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y\Dropbox\Documents\UNCC FINN 6216 Scribbles\"/>
    </mc:Choice>
  </mc:AlternateContent>
  <bookViews>
    <workbookView xWindow="0" yWindow="0" windowWidth="19395" windowHeight="10785"/>
  </bookViews>
  <sheets>
    <sheet name="Sheet1" sheetId="1" r:id="rId1"/>
  </sheets>
  <definedNames>
    <definedName name="solver_adj" localSheetId="0" hidden="1">Sheet1!$B$27</definedName>
    <definedName name="solver_eng" localSheetId="0" hidden="1">1</definedName>
    <definedName name="solver_opt" localSheetId="0" hidden="1">Sheet1!$B$28</definedName>
    <definedName name="solver_typ" localSheetId="0" hidden="1">1</definedName>
    <definedName name="solver_val" localSheetId="0" hidden="1">0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A34" i="1"/>
  <c r="A35" i="1"/>
  <c r="A36" i="1"/>
  <c r="A37" i="1"/>
  <c r="A38" i="1"/>
  <c r="A39" i="1"/>
  <c r="A40" i="1"/>
  <c r="A41" i="1"/>
  <c r="A42" i="1"/>
  <c r="AQ1" i="1"/>
  <c r="AN1" i="1"/>
  <c r="AK1" i="1"/>
  <c r="AH1" i="1"/>
  <c r="AE1" i="1"/>
  <c r="AB1" i="1"/>
  <c r="Y1" i="1"/>
  <c r="V1" i="1"/>
  <c r="S1" i="1"/>
  <c r="P1" i="1"/>
  <c r="G9" i="1"/>
  <c r="I9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A19" i="1" a="1"/>
  <c r="B19" i="1"/>
  <c r="G3" i="1"/>
  <c r="H3" i="1"/>
  <c r="G4" i="1"/>
  <c r="H4" i="1"/>
  <c r="G5" i="1"/>
  <c r="H5" i="1"/>
  <c r="G6" i="1"/>
  <c r="H6" i="1"/>
  <c r="G7" i="1"/>
  <c r="H7" i="1"/>
  <c r="G8" i="1"/>
  <c r="H8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H2" i="1"/>
  <c r="G2" i="1"/>
  <c r="A7" i="1"/>
  <c r="A5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8" i="1"/>
  <c r="B5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8" i="1"/>
  <c r="I7" i="1"/>
  <c r="I6" i="1"/>
  <c r="I5" i="1"/>
  <c r="I4" i="1"/>
  <c r="I3" i="1"/>
  <c r="B20" i="1"/>
  <c r="I2" i="1"/>
  <c r="J2" i="1"/>
  <c r="A19" i="1"/>
  <c r="A20" i="1"/>
  <c r="K3" i="1"/>
  <c r="N3" i="1"/>
  <c r="K4" i="1"/>
  <c r="N4" i="1"/>
  <c r="K5" i="1"/>
  <c r="N5" i="1"/>
  <c r="K6" i="1"/>
  <c r="N6" i="1"/>
  <c r="K7" i="1"/>
  <c r="N7" i="1"/>
  <c r="K8" i="1"/>
  <c r="N8" i="1"/>
  <c r="K9" i="1"/>
  <c r="N9" i="1"/>
  <c r="K10" i="1"/>
  <c r="N10" i="1"/>
  <c r="K11" i="1"/>
  <c r="N11" i="1"/>
  <c r="K12" i="1"/>
  <c r="N12" i="1"/>
  <c r="K13" i="1"/>
  <c r="N13" i="1"/>
  <c r="K14" i="1"/>
  <c r="N14" i="1"/>
  <c r="K15" i="1"/>
  <c r="N15" i="1"/>
  <c r="K16" i="1"/>
  <c r="N16" i="1"/>
  <c r="K17" i="1"/>
  <c r="N17" i="1"/>
  <c r="K18" i="1"/>
  <c r="N18" i="1"/>
  <c r="K19" i="1"/>
  <c r="N19" i="1"/>
  <c r="K20" i="1"/>
  <c r="N20" i="1"/>
  <c r="K21" i="1"/>
  <c r="N21" i="1"/>
  <c r="K22" i="1"/>
  <c r="N22" i="1"/>
  <c r="K23" i="1"/>
  <c r="N23" i="1"/>
  <c r="K24" i="1"/>
  <c r="N24" i="1"/>
  <c r="K25" i="1"/>
  <c r="N25" i="1"/>
  <c r="K26" i="1"/>
  <c r="N26" i="1"/>
  <c r="K27" i="1"/>
  <c r="N27" i="1"/>
  <c r="K28" i="1"/>
  <c r="N28" i="1"/>
  <c r="K29" i="1"/>
  <c r="N29" i="1"/>
  <c r="K30" i="1"/>
  <c r="N30" i="1"/>
  <c r="K31" i="1"/>
  <c r="N31" i="1"/>
  <c r="K32" i="1"/>
  <c r="N32" i="1"/>
  <c r="K33" i="1"/>
  <c r="N33" i="1"/>
  <c r="K34" i="1"/>
  <c r="N34" i="1"/>
  <c r="K35" i="1"/>
  <c r="N35" i="1"/>
  <c r="K36" i="1"/>
  <c r="N36" i="1"/>
  <c r="K37" i="1"/>
  <c r="N37" i="1"/>
  <c r="K38" i="1"/>
  <c r="N38" i="1"/>
  <c r="K39" i="1"/>
  <c r="N39" i="1"/>
  <c r="K40" i="1"/>
  <c r="N40" i="1"/>
  <c r="K41" i="1"/>
  <c r="N41" i="1"/>
  <c r="K42" i="1"/>
  <c r="N42" i="1"/>
  <c r="K43" i="1"/>
  <c r="N43" i="1"/>
  <c r="K44" i="1"/>
  <c r="N44" i="1"/>
  <c r="K45" i="1"/>
  <c r="N45" i="1"/>
  <c r="K46" i="1"/>
  <c r="N46" i="1"/>
  <c r="K47" i="1"/>
  <c r="N47" i="1"/>
  <c r="K48" i="1"/>
  <c r="N48" i="1"/>
  <c r="K49" i="1"/>
  <c r="N49" i="1"/>
  <c r="K50" i="1"/>
  <c r="N50" i="1"/>
  <c r="K51" i="1"/>
  <c r="N51" i="1"/>
  <c r="K52" i="1"/>
  <c r="N52" i="1"/>
  <c r="K53" i="1"/>
  <c r="N53" i="1"/>
  <c r="K54" i="1"/>
  <c r="N54" i="1"/>
  <c r="K55" i="1"/>
  <c r="N55" i="1"/>
  <c r="K56" i="1"/>
  <c r="N56" i="1"/>
  <c r="K57" i="1"/>
  <c r="N57" i="1"/>
  <c r="K58" i="1"/>
  <c r="N58" i="1"/>
  <c r="K59" i="1"/>
  <c r="N59" i="1"/>
  <c r="K60" i="1"/>
  <c r="N60" i="1"/>
  <c r="K61" i="1"/>
  <c r="N61" i="1"/>
  <c r="K62" i="1"/>
  <c r="N62" i="1"/>
  <c r="K63" i="1"/>
  <c r="N63" i="1"/>
  <c r="K64" i="1"/>
  <c r="N64" i="1"/>
  <c r="K65" i="1"/>
  <c r="N65" i="1"/>
  <c r="K66" i="1"/>
  <c r="N66" i="1"/>
  <c r="K67" i="1"/>
  <c r="N67" i="1"/>
  <c r="K68" i="1"/>
  <c r="N68" i="1"/>
  <c r="K69" i="1"/>
  <c r="N69" i="1"/>
  <c r="K70" i="1"/>
  <c r="N70" i="1"/>
  <c r="K71" i="1"/>
  <c r="N71" i="1"/>
  <c r="K72" i="1"/>
  <c r="N72" i="1"/>
  <c r="K73" i="1"/>
  <c r="N73" i="1"/>
  <c r="K74" i="1"/>
  <c r="N74" i="1"/>
  <c r="K75" i="1"/>
  <c r="N75" i="1"/>
  <c r="K76" i="1"/>
  <c r="N76" i="1"/>
  <c r="K77" i="1"/>
  <c r="N77" i="1"/>
  <c r="K78" i="1"/>
  <c r="N78" i="1"/>
  <c r="K79" i="1"/>
  <c r="N79" i="1"/>
  <c r="K80" i="1"/>
  <c r="N80" i="1"/>
  <c r="K81" i="1"/>
  <c r="N81" i="1"/>
  <c r="K82" i="1"/>
  <c r="N82" i="1"/>
  <c r="K83" i="1"/>
  <c r="N83" i="1"/>
  <c r="K84" i="1"/>
  <c r="N84" i="1"/>
  <c r="K85" i="1"/>
  <c r="N85" i="1"/>
  <c r="K86" i="1"/>
  <c r="N86" i="1"/>
  <c r="K87" i="1"/>
  <c r="N87" i="1"/>
  <c r="K88" i="1"/>
  <c r="N88" i="1"/>
  <c r="K89" i="1"/>
  <c r="N89" i="1"/>
  <c r="K90" i="1"/>
  <c r="N90" i="1"/>
  <c r="K91" i="1"/>
  <c r="N91" i="1"/>
  <c r="K92" i="1"/>
  <c r="N92" i="1"/>
  <c r="K93" i="1"/>
  <c r="N93" i="1"/>
  <c r="K94" i="1"/>
  <c r="N94" i="1"/>
  <c r="K95" i="1"/>
  <c r="N95" i="1"/>
  <c r="K96" i="1"/>
  <c r="N96" i="1"/>
  <c r="K97" i="1"/>
  <c r="N97" i="1"/>
  <c r="K98" i="1"/>
  <c r="N98" i="1"/>
  <c r="K99" i="1"/>
  <c r="N99" i="1"/>
  <c r="K100" i="1"/>
  <c r="N100" i="1"/>
  <c r="K101" i="1"/>
  <c r="N101" i="1"/>
  <c r="K102" i="1"/>
  <c r="N102" i="1"/>
  <c r="K103" i="1"/>
  <c r="N103" i="1"/>
  <c r="K104" i="1"/>
  <c r="N104" i="1"/>
  <c r="K105" i="1"/>
  <c r="N105" i="1"/>
  <c r="K106" i="1"/>
  <c r="N106" i="1"/>
  <c r="K107" i="1"/>
  <c r="N107" i="1"/>
  <c r="K108" i="1"/>
  <c r="N108" i="1"/>
  <c r="K109" i="1"/>
  <c r="N109" i="1"/>
  <c r="K110" i="1"/>
  <c r="N110" i="1"/>
  <c r="K111" i="1"/>
  <c r="N111" i="1"/>
  <c r="K112" i="1"/>
  <c r="N112" i="1"/>
  <c r="K113" i="1"/>
  <c r="N113" i="1"/>
  <c r="K114" i="1"/>
  <c r="N114" i="1"/>
  <c r="K115" i="1"/>
  <c r="N115" i="1"/>
  <c r="K116" i="1"/>
  <c r="N116" i="1"/>
  <c r="K117" i="1"/>
  <c r="N117" i="1"/>
  <c r="K118" i="1"/>
  <c r="N118" i="1"/>
  <c r="K119" i="1"/>
  <c r="N119" i="1"/>
  <c r="K120" i="1"/>
  <c r="N120" i="1"/>
  <c r="K121" i="1"/>
  <c r="N121" i="1"/>
  <c r="K122" i="1"/>
  <c r="N122" i="1"/>
  <c r="K123" i="1"/>
  <c r="N123" i="1"/>
  <c r="K124" i="1"/>
  <c r="N124" i="1"/>
  <c r="K125" i="1"/>
  <c r="N125" i="1"/>
  <c r="K126" i="1"/>
  <c r="N126" i="1"/>
  <c r="K127" i="1"/>
  <c r="N127" i="1"/>
  <c r="K128" i="1"/>
  <c r="N128" i="1"/>
  <c r="K129" i="1"/>
  <c r="N129" i="1"/>
  <c r="K130" i="1"/>
  <c r="N130" i="1"/>
  <c r="K131" i="1"/>
  <c r="N131" i="1"/>
  <c r="K132" i="1"/>
  <c r="N132" i="1"/>
  <c r="K133" i="1"/>
  <c r="N133" i="1"/>
  <c r="K134" i="1"/>
  <c r="N134" i="1"/>
  <c r="K135" i="1"/>
  <c r="N135" i="1"/>
  <c r="K136" i="1"/>
  <c r="N136" i="1"/>
  <c r="K137" i="1"/>
  <c r="N137" i="1"/>
  <c r="K138" i="1"/>
  <c r="N138" i="1"/>
  <c r="K139" i="1"/>
  <c r="N139" i="1"/>
  <c r="K140" i="1"/>
  <c r="N140" i="1"/>
  <c r="K141" i="1"/>
  <c r="N141" i="1"/>
  <c r="K142" i="1"/>
  <c r="N142" i="1"/>
  <c r="K143" i="1"/>
  <c r="N143" i="1"/>
  <c r="K144" i="1"/>
  <c r="N144" i="1"/>
  <c r="K145" i="1"/>
  <c r="N145" i="1"/>
  <c r="K146" i="1"/>
  <c r="N146" i="1"/>
  <c r="K147" i="1"/>
  <c r="N147" i="1"/>
  <c r="K148" i="1"/>
  <c r="N148" i="1"/>
  <c r="K149" i="1"/>
  <c r="N149" i="1"/>
  <c r="K150" i="1"/>
  <c r="N150" i="1"/>
  <c r="K151" i="1"/>
  <c r="N151" i="1"/>
  <c r="K152" i="1"/>
  <c r="N152" i="1"/>
  <c r="K153" i="1"/>
  <c r="N153" i="1"/>
  <c r="K154" i="1"/>
  <c r="N154" i="1"/>
  <c r="K155" i="1"/>
  <c r="N155" i="1"/>
  <c r="K156" i="1"/>
  <c r="N156" i="1"/>
  <c r="K157" i="1"/>
  <c r="N157" i="1"/>
  <c r="K158" i="1"/>
  <c r="N158" i="1"/>
  <c r="K159" i="1"/>
  <c r="N159" i="1"/>
  <c r="K160" i="1"/>
  <c r="N160" i="1"/>
  <c r="K161" i="1"/>
  <c r="N161" i="1"/>
  <c r="K162" i="1"/>
  <c r="N162" i="1"/>
  <c r="K163" i="1"/>
  <c r="N163" i="1"/>
  <c r="K164" i="1"/>
  <c r="N164" i="1"/>
  <c r="K165" i="1"/>
  <c r="N165" i="1"/>
  <c r="K166" i="1"/>
  <c r="N166" i="1"/>
  <c r="K167" i="1"/>
  <c r="N167" i="1"/>
  <c r="K168" i="1"/>
  <c r="N168" i="1"/>
  <c r="K169" i="1"/>
  <c r="N169" i="1"/>
  <c r="K170" i="1"/>
  <c r="N170" i="1"/>
  <c r="K171" i="1"/>
  <c r="N171" i="1"/>
  <c r="K172" i="1"/>
  <c r="N172" i="1"/>
  <c r="K173" i="1"/>
  <c r="N173" i="1"/>
  <c r="K174" i="1"/>
  <c r="N174" i="1"/>
  <c r="K175" i="1"/>
  <c r="N175" i="1"/>
  <c r="K176" i="1"/>
  <c r="N176" i="1"/>
  <c r="K177" i="1"/>
  <c r="N177" i="1"/>
  <c r="K178" i="1"/>
  <c r="N178" i="1"/>
  <c r="K179" i="1"/>
  <c r="N179" i="1"/>
  <c r="K180" i="1"/>
  <c r="N180" i="1"/>
  <c r="K181" i="1"/>
  <c r="N181" i="1"/>
  <c r="K182" i="1"/>
  <c r="N182" i="1"/>
  <c r="K183" i="1"/>
  <c r="N183" i="1"/>
  <c r="K184" i="1"/>
  <c r="N184" i="1"/>
  <c r="K185" i="1"/>
  <c r="N185" i="1"/>
  <c r="K186" i="1"/>
  <c r="N186" i="1"/>
  <c r="K187" i="1"/>
  <c r="N187" i="1"/>
  <c r="K188" i="1"/>
  <c r="N188" i="1"/>
  <c r="K189" i="1"/>
  <c r="N189" i="1"/>
  <c r="K190" i="1"/>
  <c r="N190" i="1"/>
  <c r="K191" i="1"/>
  <c r="N191" i="1"/>
  <c r="K192" i="1"/>
  <c r="N192" i="1"/>
  <c r="K193" i="1"/>
  <c r="N193" i="1"/>
  <c r="K194" i="1"/>
  <c r="N194" i="1"/>
  <c r="K195" i="1"/>
  <c r="N195" i="1"/>
  <c r="K196" i="1"/>
  <c r="N196" i="1"/>
  <c r="K197" i="1"/>
  <c r="N197" i="1"/>
  <c r="K198" i="1"/>
  <c r="N198" i="1"/>
  <c r="K199" i="1"/>
  <c r="N199" i="1"/>
  <c r="K200" i="1"/>
  <c r="N200" i="1"/>
  <c r="K201" i="1"/>
  <c r="N201" i="1"/>
  <c r="K202" i="1"/>
  <c r="N202" i="1"/>
  <c r="K203" i="1"/>
  <c r="N203" i="1"/>
  <c r="K204" i="1"/>
  <c r="N204" i="1"/>
  <c r="K205" i="1"/>
  <c r="N205" i="1"/>
  <c r="K206" i="1"/>
  <c r="N206" i="1"/>
  <c r="K207" i="1"/>
  <c r="N207" i="1"/>
  <c r="K208" i="1"/>
  <c r="N208" i="1"/>
  <c r="K209" i="1"/>
  <c r="N209" i="1"/>
  <c r="K210" i="1"/>
  <c r="N210" i="1"/>
  <c r="K211" i="1"/>
  <c r="N211" i="1"/>
  <c r="K212" i="1"/>
  <c r="N212" i="1"/>
  <c r="K213" i="1"/>
  <c r="N213" i="1"/>
  <c r="K214" i="1"/>
  <c r="N214" i="1"/>
  <c r="K215" i="1"/>
  <c r="N215" i="1"/>
  <c r="K216" i="1"/>
  <c r="N216" i="1"/>
  <c r="K217" i="1"/>
  <c r="N217" i="1"/>
  <c r="K218" i="1"/>
  <c r="N218" i="1"/>
  <c r="K219" i="1"/>
  <c r="N219" i="1"/>
  <c r="K220" i="1"/>
  <c r="N220" i="1"/>
  <c r="K221" i="1"/>
  <c r="N221" i="1"/>
  <c r="K222" i="1"/>
  <c r="N222" i="1"/>
  <c r="K223" i="1"/>
  <c r="N223" i="1"/>
  <c r="K224" i="1"/>
  <c r="N224" i="1"/>
  <c r="K225" i="1"/>
  <c r="N225" i="1"/>
  <c r="K226" i="1"/>
  <c r="N226" i="1"/>
  <c r="K227" i="1"/>
  <c r="N227" i="1"/>
  <c r="K228" i="1"/>
  <c r="N228" i="1"/>
  <c r="K229" i="1"/>
  <c r="N229" i="1"/>
  <c r="K230" i="1"/>
  <c r="N230" i="1"/>
  <c r="K231" i="1"/>
  <c r="N231" i="1"/>
  <c r="K232" i="1"/>
  <c r="N232" i="1"/>
  <c r="K233" i="1"/>
  <c r="N233" i="1"/>
  <c r="K234" i="1"/>
  <c r="N234" i="1"/>
  <c r="K235" i="1"/>
  <c r="N235" i="1"/>
  <c r="K236" i="1"/>
  <c r="N236" i="1"/>
  <c r="K237" i="1"/>
  <c r="N237" i="1"/>
  <c r="K238" i="1"/>
  <c r="N238" i="1"/>
  <c r="K239" i="1"/>
  <c r="N239" i="1"/>
  <c r="K240" i="1"/>
  <c r="N240" i="1"/>
  <c r="K241" i="1"/>
  <c r="N241" i="1"/>
  <c r="K242" i="1"/>
  <c r="N242" i="1"/>
  <c r="K243" i="1"/>
  <c r="N243" i="1"/>
  <c r="K244" i="1"/>
  <c r="N244" i="1"/>
  <c r="K245" i="1"/>
  <c r="N245" i="1"/>
  <c r="K246" i="1"/>
  <c r="N246" i="1"/>
  <c r="K247" i="1"/>
  <c r="N247" i="1"/>
  <c r="K248" i="1"/>
  <c r="N248" i="1"/>
  <c r="K249" i="1"/>
  <c r="N249" i="1"/>
  <c r="K250" i="1"/>
  <c r="N250" i="1"/>
  <c r="K251" i="1"/>
  <c r="N251" i="1"/>
  <c r="K252" i="1"/>
  <c r="N252" i="1"/>
  <c r="K253" i="1"/>
  <c r="N253" i="1"/>
  <c r="K254" i="1"/>
  <c r="N254" i="1"/>
  <c r="K255" i="1"/>
  <c r="N255" i="1"/>
  <c r="K256" i="1"/>
  <c r="N256" i="1"/>
  <c r="K257" i="1"/>
  <c r="N257" i="1"/>
  <c r="K258" i="1"/>
  <c r="N258" i="1"/>
  <c r="K259" i="1"/>
  <c r="N259" i="1"/>
  <c r="K260" i="1"/>
  <c r="N260" i="1"/>
  <c r="K261" i="1"/>
  <c r="N261" i="1"/>
  <c r="K262" i="1"/>
  <c r="N262" i="1"/>
  <c r="K263" i="1"/>
  <c r="N263" i="1"/>
  <c r="K264" i="1"/>
  <c r="N264" i="1"/>
  <c r="K265" i="1"/>
  <c r="N265" i="1"/>
  <c r="K266" i="1"/>
  <c r="N266" i="1"/>
  <c r="K267" i="1"/>
  <c r="N267" i="1"/>
  <c r="K268" i="1"/>
  <c r="N268" i="1"/>
  <c r="K269" i="1"/>
  <c r="N269" i="1"/>
  <c r="K270" i="1"/>
  <c r="N270" i="1"/>
  <c r="K271" i="1"/>
  <c r="N271" i="1"/>
  <c r="K272" i="1"/>
  <c r="N272" i="1"/>
  <c r="K273" i="1"/>
  <c r="N273" i="1"/>
  <c r="K274" i="1"/>
  <c r="N274" i="1"/>
  <c r="K275" i="1"/>
  <c r="N275" i="1"/>
  <c r="K276" i="1"/>
  <c r="N276" i="1"/>
  <c r="K277" i="1"/>
  <c r="N277" i="1"/>
  <c r="K278" i="1"/>
  <c r="N278" i="1"/>
  <c r="K279" i="1"/>
  <c r="N279" i="1"/>
  <c r="K280" i="1"/>
  <c r="N280" i="1"/>
  <c r="K281" i="1"/>
  <c r="N281" i="1"/>
  <c r="K282" i="1"/>
  <c r="N282" i="1"/>
  <c r="K283" i="1"/>
  <c r="N283" i="1"/>
  <c r="K284" i="1"/>
  <c r="N284" i="1"/>
  <c r="K285" i="1"/>
  <c r="N285" i="1"/>
  <c r="K286" i="1"/>
  <c r="N286" i="1"/>
  <c r="K287" i="1"/>
  <c r="N287" i="1"/>
  <c r="K288" i="1"/>
  <c r="N288" i="1"/>
  <c r="K289" i="1"/>
  <c r="N289" i="1"/>
  <c r="K290" i="1"/>
  <c r="N290" i="1"/>
  <c r="K291" i="1"/>
  <c r="N291" i="1"/>
  <c r="K292" i="1"/>
  <c r="N292" i="1"/>
  <c r="K293" i="1"/>
  <c r="N293" i="1"/>
  <c r="K294" i="1"/>
  <c r="N294" i="1"/>
  <c r="K295" i="1"/>
  <c r="N295" i="1"/>
  <c r="K296" i="1"/>
  <c r="N296" i="1"/>
  <c r="K297" i="1"/>
  <c r="N297" i="1"/>
  <c r="K298" i="1"/>
  <c r="N298" i="1"/>
  <c r="K299" i="1"/>
  <c r="N299" i="1"/>
  <c r="K300" i="1"/>
  <c r="N300" i="1"/>
  <c r="K301" i="1"/>
  <c r="N301" i="1"/>
  <c r="K302" i="1"/>
  <c r="N302" i="1"/>
  <c r="K303" i="1"/>
  <c r="N303" i="1"/>
  <c r="K304" i="1"/>
  <c r="N304" i="1"/>
  <c r="K305" i="1"/>
  <c r="N305" i="1"/>
  <c r="K306" i="1"/>
  <c r="N306" i="1"/>
  <c r="K307" i="1"/>
  <c r="N307" i="1"/>
  <c r="K308" i="1"/>
  <c r="N308" i="1"/>
  <c r="K309" i="1"/>
  <c r="N309" i="1"/>
  <c r="K310" i="1"/>
  <c r="N310" i="1"/>
  <c r="K311" i="1"/>
  <c r="N311" i="1"/>
  <c r="K312" i="1"/>
  <c r="N312" i="1"/>
  <c r="K313" i="1"/>
  <c r="N313" i="1"/>
  <c r="K314" i="1"/>
  <c r="N314" i="1"/>
  <c r="K315" i="1"/>
  <c r="N315" i="1"/>
  <c r="K316" i="1"/>
  <c r="N316" i="1"/>
  <c r="K317" i="1"/>
  <c r="N317" i="1"/>
  <c r="K318" i="1"/>
  <c r="N318" i="1"/>
  <c r="K319" i="1"/>
  <c r="N319" i="1"/>
  <c r="K320" i="1"/>
  <c r="N320" i="1"/>
  <c r="K321" i="1"/>
  <c r="N321" i="1"/>
  <c r="K322" i="1"/>
  <c r="N322" i="1"/>
  <c r="K323" i="1"/>
  <c r="N323" i="1"/>
  <c r="K324" i="1"/>
  <c r="N324" i="1"/>
  <c r="K325" i="1"/>
  <c r="N325" i="1"/>
  <c r="K326" i="1"/>
  <c r="N326" i="1"/>
  <c r="K327" i="1"/>
  <c r="N327" i="1"/>
  <c r="K328" i="1"/>
  <c r="N328" i="1"/>
  <c r="K329" i="1"/>
  <c r="N329" i="1"/>
  <c r="K330" i="1"/>
  <c r="N330" i="1"/>
  <c r="K331" i="1"/>
  <c r="N331" i="1"/>
  <c r="K332" i="1"/>
  <c r="N332" i="1"/>
  <c r="K333" i="1"/>
  <c r="N333" i="1"/>
  <c r="K334" i="1"/>
  <c r="N334" i="1"/>
  <c r="K335" i="1"/>
  <c r="N335" i="1"/>
  <c r="K336" i="1"/>
  <c r="N336" i="1"/>
  <c r="K337" i="1"/>
  <c r="N337" i="1"/>
  <c r="K338" i="1"/>
  <c r="N338" i="1"/>
  <c r="K339" i="1"/>
  <c r="N339" i="1"/>
  <c r="K340" i="1"/>
  <c r="N340" i="1"/>
  <c r="K341" i="1"/>
  <c r="N341" i="1"/>
  <c r="K342" i="1"/>
  <c r="N342" i="1"/>
  <c r="K343" i="1"/>
  <c r="N343" i="1"/>
  <c r="K344" i="1"/>
  <c r="N344" i="1"/>
  <c r="K345" i="1"/>
  <c r="N345" i="1"/>
  <c r="K346" i="1"/>
  <c r="N346" i="1"/>
  <c r="K347" i="1"/>
  <c r="N347" i="1"/>
  <c r="K348" i="1"/>
  <c r="N348" i="1"/>
  <c r="K349" i="1"/>
  <c r="N349" i="1"/>
  <c r="K350" i="1"/>
  <c r="N350" i="1"/>
  <c r="K351" i="1"/>
  <c r="N351" i="1"/>
  <c r="K352" i="1"/>
  <c r="N352" i="1"/>
  <c r="K353" i="1"/>
  <c r="N353" i="1"/>
  <c r="K354" i="1"/>
  <c r="N354" i="1"/>
  <c r="K355" i="1"/>
  <c r="N355" i="1"/>
  <c r="K356" i="1"/>
  <c r="N356" i="1"/>
  <c r="K357" i="1"/>
  <c r="N357" i="1"/>
  <c r="K358" i="1"/>
  <c r="N358" i="1"/>
  <c r="K359" i="1"/>
  <c r="N359" i="1"/>
  <c r="K360" i="1"/>
  <c r="N360" i="1"/>
  <c r="K361" i="1"/>
  <c r="N361" i="1"/>
  <c r="K362" i="1"/>
  <c r="N362" i="1"/>
  <c r="K363" i="1"/>
  <c r="N363" i="1"/>
  <c r="K364" i="1"/>
  <c r="N364" i="1"/>
  <c r="K365" i="1"/>
  <c r="N365" i="1"/>
  <c r="K366" i="1"/>
  <c r="N366" i="1"/>
  <c r="K367" i="1"/>
  <c r="N367" i="1"/>
  <c r="K368" i="1"/>
  <c r="N368" i="1"/>
  <c r="K369" i="1"/>
  <c r="N369" i="1"/>
  <c r="K370" i="1"/>
  <c r="N370" i="1"/>
  <c r="K371" i="1"/>
  <c r="N371" i="1"/>
  <c r="K372" i="1"/>
  <c r="N372" i="1"/>
  <c r="K373" i="1"/>
  <c r="N373" i="1"/>
  <c r="K374" i="1"/>
  <c r="N374" i="1"/>
  <c r="K375" i="1"/>
  <c r="N375" i="1"/>
  <c r="K376" i="1"/>
  <c r="N376" i="1"/>
  <c r="K377" i="1"/>
  <c r="N377" i="1"/>
  <c r="K378" i="1"/>
  <c r="N378" i="1"/>
  <c r="K379" i="1"/>
  <c r="N379" i="1"/>
  <c r="K380" i="1"/>
  <c r="N380" i="1"/>
  <c r="K381" i="1"/>
  <c r="N381" i="1"/>
  <c r="K382" i="1"/>
  <c r="N382" i="1"/>
  <c r="K383" i="1"/>
  <c r="N383" i="1"/>
  <c r="K384" i="1"/>
  <c r="N384" i="1"/>
  <c r="K385" i="1"/>
  <c r="N385" i="1"/>
  <c r="K386" i="1"/>
  <c r="N386" i="1"/>
  <c r="K387" i="1"/>
  <c r="N387" i="1"/>
  <c r="K388" i="1"/>
  <c r="N388" i="1"/>
  <c r="K389" i="1"/>
  <c r="N389" i="1"/>
  <c r="K390" i="1"/>
  <c r="N390" i="1"/>
  <c r="K391" i="1"/>
  <c r="N391" i="1"/>
  <c r="K392" i="1"/>
  <c r="N392" i="1"/>
  <c r="K393" i="1"/>
  <c r="N393" i="1"/>
  <c r="K394" i="1"/>
  <c r="N394" i="1"/>
  <c r="K395" i="1"/>
  <c r="N395" i="1"/>
  <c r="K396" i="1"/>
  <c r="N396" i="1"/>
  <c r="K397" i="1"/>
  <c r="N397" i="1"/>
  <c r="K398" i="1"/>
  <c r="N398" i="1"/>
  <c r="K399" i="1"/>
  <c r="N399" i="1"/>
  <c r="K400" i="1"/>
  <c r="N400" i="1"/>
  <c r="K401" i="1"/>
  <c r="N401" i="1"/>
  <c r="K402" i="1"/>
  <c r="N402" i="1"/>
  <c r="K403" i="1"/>
  <c r="N403" i="1"/>
  <c r="K404" i="1"/>
  <c r="N404" i="1"/>
  <c r="K405" i="1"/>
  <c r="N405" i="1"/>
  <c r="K406" i="1"/>
  <c r="N406" i="1"/>
  <c r="K407" i="1"/>
  <c r="N407" i="1"/>
  <c r="K408" i="1"/>
  <c r="N408" i="1"/>
  <c r="K409" i="1"/>
  <c r="N409" i="1"/>
  <c r="K410" i="1"/>
  <c r="N410" i="1"/>
  <c r="K411" i="1"/>
  <c r="N411" i="1"/>
  <c r="K412" i="1"/>
  <c r="N412" i="1"/>
  <c r="K413" i="1"/>
  <c r="N413" i="1"/>
  <c r="K414" i="1"/>
  <c r="N414" i="1"/>
  <c r="K415" i="1"/>
  <c r="N415" i="1"/>
  <c r="K416" i="1"/>
  <c r="N416" i="1"/>
  <c r="K417" i="1"/>
  <c r="N417" i="1"/>
  <c r="K418" i="1"/>
  <c r="N418" i="1"/>
  <c r="K419" i="1"/>
  <c r="N419" i="1"/>
  <c r="K420" i="1"/>
  <c r="N420" i="1"/>
  <c r="K421" i="1"/>
  <c r="N421" i="1"/>
  <c r="K422" i="1"/>
  <c r="N422" i="1"/>
  <c r="K423" i="1"/>
  <c r="N423" i="1"/>
  <c r="K424" i="1"/>
  <c r="N424" i="1"/>
  <c r="K425" i="1"/>
  <c r="N425" i="1"/>
  <c r="K426" i="1"/>
  <c r="N426" i="1"/>
  <c r="K427" i="1"/>
  <c r="N427" i="1"/>
  <c r="K428" i="1"/>
  <c r="N428" i="1"/>
  <c r="K429" i="1"/>
  <c r="N429" i="1"/>
  <c r="K430" i="1"/>
  <c r="N430" i="1"/>
  <c r="K431" i="1"/>
  <c r="N431" i="1"/>
  <c r="K432" i="1"/>
  <c r="N432" i="1"/>
  <c r="K433" i="1"/>
  <c r="N433" i="1"/>
  <c r="K434" i="1"/>
  <c r="N434" i="1"/>
  <c r="K435" i="1"/>
  <c r="N435" i="1"/>
  <c r="K436" i="1"/>
  <c r="N436" i="1"/>
  <c r="K437" i="1"/>
  <c r="N437" i="1"/>
  <c r="K438" i="1"/>
  <c r="N438" i="1"/>
  <c r="K439" i="1"/>
  <c r="N439" i="1"/>
  <c r="K440" i="1"/>
  <c r="N440" i="1"/>
  <c r="K441" i="1"/>
  <c r="N441" i="1"/>
  <c r="K442" i="1"/>
  <c r="N442" i="1"/>
  <c r="K443" i="1"/>
  <c r="N443" i="1"/>
  <c r="K444" i="1"/>
  <c r="N444" i="1"/>
  <c r="K445" i="1"/>
  <c r="N445" i="1"/>
  <c r="K446" i="1"/>
  <c r="N446" i="1"/>
  <c r="K447" i="1"/>
  <c r="N447" i="1"/>
  <c r="K448" i="1"/>
  <c r="N448" i="1"/>
  <c r="K449" i="1"/>
  <c r="N449" i="1"/>
  <c r="K450" i="1"/>
  <c r="N450" i="1"/>
  <c r="K451" i="1"/>
  <c r="N451" i="1"/>
  <c r="K452" i="1"/>
  <c r="N452" i="1"/>
  <c r="K453" i="1"/>
  <c r="N453" i="1"/>
  <c r="K454" i="1"/>
  <c r="N454" i="1"/>
  <c r="K455" i="1"/>
  <c r="N455" i="1"/>
  <c r="K456" i="1"/>
  <c r="N456" i="1"/>
  <c r="K457" i="1"/>
  <c r="N457" i="1"/>
  <c r="K458" i="1"/>
  <c r="N458" i="1"/>
  <c r="K459" i="1"/>
  <c r="N459" i="1"/>
  <c r="K460" i="1"/>
  <c r="N460" i="1"/>
  <c r="K461" i="1"/>
  <c r="N461" i="1"/>
  <c r="K462" i="1"/>
  <c r="N462" i="1"/>
  <c r="K463" i="1"/>
  <c r="N463" i="1"/>
  <c r="K464" i="1"/>
  <c r="N464" i="1"/>
  <c r="K465" i="1"/>
  <c r="N465" i="1"/>
  <c r="K466" i="1"/>
  <c r="N466" i="1"/>
  <c r="K467" i="1"/>
  <c r="N467" i="1"/>
  <c r="K468" i="1"/>
  <c r="N468" i="1"/>
  <c r="K469" i="1"/>
  <c r="N469" i="1"/>
  <c r="K470" i="1"/>
  <c r="N470" i="1"/>
  <c r="K471" i="1"/>
  <c r="N471" i="1"/>
  <c r="K472" i="1"/>
  <c r="N472" i="1"/>
  <c r="K473" i="1"/>
  <c r="N473" i="1"/>
  <c r="K474" i="1"/>
  <c r="N474" i="1"/>
  <c r="K475" i="1"/>
  <c r="N475" i="1"/>
  <c r="K476" i="1"/>
  <c r="N476" i="1"/>
  <c r="K477" i="1"/>
  <c r="N477" i="1"/>
  <c r="K478" i="1"/>
  <c r="N478" i="1"/>
  <c r="K479" i="1"/>
  <c r="N479" i="1"/>
  <c r="K480" i="1"/>
  <c r="N480" i="1"/>
  <c r="K481" i="1"/>
  <c r="N481" i="1"/>
  <c r="K482" i="1"/>
  <c r="N482" i="1"/>
  <c r="K483" i="1"/>
  <c r="N483" i="1"/>
  <c r="K484" i="1"/>
  <c r="N484" i="1"/>
  <c r="K485" i="1"/>
  <c r="N485" i="1"/>
  <c r="K486" i="1"/>
  <c r="N486" i="1"/>
  <c r="K487" i="1"/>
  <c r="N487" i="1"/>
  <c r="K488" i="1"/>
  <c r="N488" i="1"/>
  <c r="K489" i="1"/>
  <c r="N489" i="1"/>
  <c r="K490" i="1"/>
  <c r="N490" i="1"/>
  <c r="K491" i="1"/>
  <c r="N491" i="1"/>
  <c r="K492" i="1"/>
  <c r="N492" i="1"/>
  <c r="K493" i="1"/>
  <c r="N493" i="1"/>
  <c r="K494" i="1"/>
  <c r="N494" i="1"/>
  <c r="K495" i="1"/>
  <c r="N495" i="1"/>
  <c r="K496" i="1"/>
  <c r="N496" i="1"/>
  <c r="K497" i="1"/>
  <c r="N497" i="1"/>
  <c r="K498" i="1"/>
  <c r="N498" i="1"/>
  <c r="K499" i="1"/>
  <c r="N499" i="1"/>
  <c r="K500" i="1"/>
  <c r="N500" i="1"/>
  <c r="K501" i="1"/>
  <c r="N501" i="1"/>
  <c r="K502" i="1"/>
  <c r="N502" i="1"/>
  <c r="K503" i="1"/>
  <c r="N503" i="1"/>
  <c r="K504" i="1"/>
  <c r="N504" i="1"/>
  <c r="K505" i="1"/>
  <c r="N505" i="1"/>
  <c r="K2" i="1"/>
  <c r="N2" i="1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2" i="1"/>
  <c r="M2" i="1"/>
  <c r="O2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P2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0" i="1"/>
  <c r="S80" i="1"/>
  <c r="R81" i="1"/>
  <c r="S81" i="1"/>
  <c r="R82" i="1"/>
  <c r="S82" i="1"/>
  <c r="R83" i="1"/>
  <c r="S83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0" i="1"/>
  <c r="S110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8" i="1"/>
  <c r="S118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R135" i="1"/>
  <c r="S135" i="1"/>
  <c r="R136" i="1"/>
  <c r="S136" i="1"/>
  <c r="R137" i="1"/>
  <c r="S137" i="1"/>
  <c r="R138" i="1"/>
  <c r="S138" i="1"/>
  <c r="R139" i="1"/>
  <c r="S139" i="1"/>
  <c r="R140" i="1"/>
  <c r="S140" i="1"/>
  <c r="R141" i="1"/>
  <c r="S141" i="1"/>
  <c r="R142" i="1"/>
  <c r="S142" i="1"/>
  <c r="R143" i="1"/>
  <c r="S143" i="1"/>
  <c r="R144" i="1"/>
  <c r="S144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8" i="1"/>
  <c r="S158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5" i="1"/>
  <c r="S165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78" i="1"/>
  <c r="S178" i="1"/>
  <c r="R179" i="1"/>
  <c r="S179" i="1"/>
  <c r="R180" i="1"/>
  <c r="S180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0" i="1"/>
  <c r="S190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0" i="1"/>
  <c r="S210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R227" i="1"/>
  <c r="S227" i="1"/>
  <c r="R228" i="1"/>
  <c r="S228" i="1"/>
  <c r="R229" i="1"/>
  <c r="S229" i="1"/>
  <c r="R230" i="1"/>
  <c r="S230" i="1"/>
  <c r="R231" i="1"/>
  <c r="S231" i="1"/>
  <c r="R232" i="1"/>
  <c r="S232" i="1"/>
  <c r="R233" i="1"/>
  <c r="S233" i="1"/>
  <c r="R234" i="1"/>
  <c r="S234" i="1"/>
  <c r="R235" i="1"/>
  <c r="S235" i="1"/>
  <c r="R236" i="1"/>
  <c r="S236" i="1"/>
  <c r="R237" i="1"/>
  <c r="S237" i="1"/>
  <c r="R238" i="1"/>
  <c r="S238" i="1"/>
  <c r="R239" i="1"/>
  <c r="S239" i="1"/>
  <c r="R240" i="1"/>
  <c r="S240" i="1"/>
  <c r="R241" i="1"/>
  <c r="S241" i="1"/>
  <c r="R242" i="1"/>
  <c r="S242" i="1"/>
  <c r="R243" i="1"/>
  <c r="S243" i="1"/>
  <c r="R244" i="1"/>
  <c r="S244" i="1"/>
  <c r="R245" i="1"/>
  <c r="S245" i="1"/>
  <c r="R246" i="1"/>
  <c r="S246" i="1"/>
  <c r="R247" i="1"/>
  <c r="S247" i="1"/>
  <c r="R248" i="1"/>
  <c r="S248" i="1"/>
  <c r="R249" i="1"/>
  <c r="S249" i="1"/>
  <c r="R250" i="1"/>
  <c r="S250" i="1"/>
  <c r="R251" i="1"/>
  <c r="S251" i="1"/>
  <c r="R252" i="1"/>
  <c r="S252" i="1"/>
  <c r="R253" i="1"/>
  <c r="S253" i="1"/>
  <c r="R254" i="1"/>
  <c r="S254" i="1"/>
  <c r="R255" i="1"/>
  <c r="S255" i="1"/>
  <c r="R256" i="1"/>
  <c r="S256" i="1"/>
  <c r="R257" i="1"/>
  <c r="S257" i="1"/>
  <c r="R258" i="1"/>
  <c r="S258" i="1"/>
  <c r="R259" i="1"/>
  <c r="S259" i="1"/>
  <c r="R260" i="1"/>
  <c r="S260" i="1"/>
  <c r="R261" i="1"/>
  <c r="S261" i="1"/>
  <c r="R262" i="1"/>
  <c r="S262" i="1"/>
  <c r="R263" i="1"/>
  <c r="S263" i="1"/>
  <c r="R264" i="1"/>
  <c r="S264" i="1"/>
  <c r="R265" i="1"/>
  <c r="S265" i="1"/>
  <c r="R266" i="1"/>
  <c r="S266" i="1"/>
  <c r="R267" i="1"/>
  <c r="S267" i="1"/>
  <c r="R268" i="1"/>
  <c r="S268" i="1"/>
  <c r="R269" i="1"/>
  <c r="S269" i="1"/>
  <c r="R270" i="1"/>
  <c r="S270" i="1"/>
  <c r="R271" i="1"/>
  <c r="S271" i="1"/>
  <c r="R272" i="1"/>
  <c r="S272" i="1"/>
  <c r="R273" i="1"/>
  <c r="S273" i="1"/>
  <c r="R274" i="1"/>
  <c r="S274" i="1"/>
  <c r="R275" i="1"/>
  <c r="S275" i="1"/>
  <c r="R276" i="1"/>
  <c r="S276" i="1"/>
  <c r="R277" i="1"/>
  <c r="S277" i="1"/>
  <c r="R278" i="1"/>
  <c r="S278" i="1"/>
  <c r="R279" i="1"/>
  <c r="S279" i="1"/>
  <c r="R280" i="1"/>
  <c r="S280" i="1"/>
  <c r="R281" i="1"/>
  <c r="S281" i="1"/>
  <c r="R282" i="1"/>
  <c r="S282" i="1"/>
  <c r="R283" i="1"/>
  <c r="S283" i="1"/>
  <c r="R284" i="1"/>
  <c r="S284" i="1"/>
  <c r="R285" i="1"/>
  <c r="S285" i="1"/>
  <c r="R286" i="1"/>
  <c r="S286" i="1"/>
  <c r="R287" i="1"/>
  <c r="S287" i="1"/>
  <c r="R288" i="1"/>
  <c r="S288" i="1"/>
  <c r="R289" i="1"/>
  <c r="S289" i="1"/>
  <c r="R290" i="1"/>
  <c r="S290" i="1"/>
  <c r="R291" i="1"/>
  <c r="S291" i="1"/>
  <c r="R292" i="1"/>
  <c r="S292" i="1"/>
  <c r="R293" i="1"/>
  <c r="S293" i="1"/>
  <c r="R294" i="1"/>
  <c r="S294" i="1"/>
  <c r="R295" i="1"/>
  <c r="S295" i="1"/>
  <c r="R296" i="1"/>
  <c r="S296" i="1"/>
  <c r="R297" i="1"/>
  <c r="S297" i="1"/>
  <c r="R298" i="1"/>
  <c r="S298" i="1"/>
  <c r="R299" i="1"/>
  <c r="S299" i="1"/>
  <c r="R300" i="1"/>
  <c r="S300" i="1"/>
  <c r="R301" i="1"/>
  <c r="S301" i="1"/>
  <c r="R302" i="1"/>
  <c r="S302" i="1"/>
  <c r="R303" i="1"/>
  <c r="S303" i="1"/>
  <c r="R304" i="1"/>
  <c r="S304" i="1"/>
  <c r="R305" i="1"/>
  <c r="S305" i="1"/>
  <c r="R306" i="1"/>
  <c r="S306" i="1"/>
  <c r="R307" i="1"/>
  <c r="S307" i="1"/>
  <c r="R308" i="1"/>
  <c r="S308" i="1"/>
  <c r="R309" i="1"/>
  <c r="S309" i="1"/>
  <c r="R310" i="1"/>
  <c r="S310" i="1"/>
  <c r="R311" i="1"/>
  <c r="S311" i="1"/>
  <c r="R312" i="1"/>
  <c r="S312" i="1"/>
  <c r="R313" i="1"/>
  <c r="S313" i="1"/>
  <c r="R314" i="1"/>
  <c r="S314" i="1"/>
  <c r="R315" i="1"/>
  <c r="S315" i="1"/>
  <c r="R316" i="1"/>
  <c r="S316" i="1"/>
  <c r="R317" i="1"/>
  <c r="S317" i="1"/>
  <c r="R318" i="1"/>
  <c r="S318" i="1"/>
  <c r="R319" i="1"/>
  <c r="S319" i="1"/>
  <c r="R320" i="1"/>
  <c r="S320" i="1"/>
  <c r="R321" i="1"/>
  <c r="S321" i="1"/>
  <c r="R322" i="1"/>
  <c r="S322" i="1"/>
  <c r="R323" i="1"/>
  <c r="S323" i="1"/>
  <c r="R324" i="1"/>
  <c r="S324" i="1"/>
  <c r="R325" i="1"/>
  <c r="S325" i="1"/>
  <c r="R326" i="1"/>
  <c r="S326" i="1"/>
  <c r="R327" i="1"/>
  <c r="S327" i="1"/>
  <c r="R328" i="1"/>
  <c r="S328" i="1"/>
  <c r="R329" i="1"/>
  <c r="S329" i="1"/>
  <c r="R330" i="1"/>
  <c r="S330" i="1"/>
  <c r="R331" i="1"/>
  <c r="S331" i="1"/>
  <c r="R332" i="1"/>
  <c r="S332" i="1"/>
  <c r="R333" i="1"/>
  <c r="S333" i="1"/>
  <c r="R334" i="1"/>
  <c r="S334" i="1"/>
  <c r="R335" i="1"/>
  <c r="S335" i="1"/>
  <c r="R336" i="1"/>
  <c r="S336" i="1"/>
  <c r="R337" i="1"/>
  <c r="S337" i="1"/>
  <c r="R338" i="1"/>
  <c r="S338" i="1"/>
  <c r="R339" i="1"/>
  <c r="S339" i="1"/>
  <c r="R340" i="1"/>
  <c r="S340" i="1"/>
  <c r="R341" i="1"/>
  <c r="S341" i="1"/>
  <c r="R342" i="1"/>
  <c r="S342" i="1"/>
  <c r="R343" i="1"/>
  <c r="S343" i="1"/>
  <c r="R344" i="1"/>
  <c r="S344" i="1"/>
  <c r="R345" i="1"/>
  <c r="S345" i="1"/>
  <c r="R346" i="1"/>
  <c r="S346" i="1"/>
  <c r="R347" i="1"/>
  <c r="S347" i="1"/>
  <c r="R348" i="1"/>
  <c r="S348" i="1"/>
  <c r="R349" i="1"/>
  <c r="S349" i="1"/>
  <c r="R350" i="1"/>
  <c r="S350" i="1"/>
  <c r="R351" i="1"/>
  <c r="S351" i="1"/>
  <c r="R352" i="1"/>
  <c r="S352" i="1"/>
  <c r="R353" i="1"/>
  <c r="S353" i="1"/>
  <c r="R354" i="1"/>
  <c r="S354" i="1"/>
  <c r="R355" i="1"/>
  <c r="S355" i="1"/>
  <c r="R356" i="1"/>
  <c r="S356" i="1"/>
  <c r="R357" i="1"/>
  <c r="S357" i="1"/>
  <c r="R358" i="1"/>
  <c r="S358" i="1"/>
  <c r="R359" i="1"/>
  <c r="S359" i="1"/>
  <c r="R360" i="1"/>
  <c r="S360" i="1"/>
  <c r="R361" i="1"/>
  <c r="S361" i="1"/>
  <c r="R362" i="1"/>
  <c r="S362" i="1"/>
  <c r="R363" i="1"/>
  <c r="S363" i="1"/>
  <c r="R364" i="1"/>
  <c r="S364" i="1"/>
  <c r="R365" i="1"/>
  <c r="S365" i="1"/>
  <c r="R366" i="1"/>
  <c r="S366" i="1"/>
  <c r="R367" i="1"/>
  <c r="S367" i="1"/>
  <c r="R368" i="1"/>
  <c r="S368" i="1"/>
  <c r="R369" i="1"/>
  <c r="S369" i="1"/>
  <c r="R370" i="1"/>
  <c r="S370" i="1"/>
  <c r="R371" i="1"/>
  <c r="S371" i="1"/>
  <c r="R372" i="1"/>
  <c r="S372" i="1"/>
  <c r="R373" i="1"/>
  <c r="S373" i="1"/>
  <c r="R374" i="1"/>
  <c r="S374" i="1"/>
  <c r="R375" i="1"/>
  <c r="S375" i="1"/>
  <c r="R376" i="1"/>
  <c r="S376" i="1"/>
  <c r="R377" i="1"/>
  <c r="S377" i="1"/>
  <c r="R378" i="1"/>
  <c r="S378" i="1"/>
  <c r="R379" i="1"/>
  <c r="S379" i="1"/>
  <c r="R380" i="1"/>
  <c r="S380" i="1"/>
  <c r="R381" i="1"/>
  <c r="S381" i="1"/>
  <c r="R382" i="1"/>
  <c r="S382" i="1"/>
  <c r="R383" i="1"/>
  <c r="S383" i="1"/>
  <c r="R384" i="1"/>
  <c r="S384" i="1"/>
  <c r="R385" i="1"/>
  <c r="S385" i="1"/>
  <c r="R386" i="1"/>
  <c r="S386" i="1"/>
  <c r="R387" i="1"/>
  <c r="S387" i="1"/>
  <c r="R388" i="1"/>
  <c r="S388" i="1"/>
  <c r="R389" i="1"/>
  <c r="S389" i="1"/>
  <c r="R390" i="1"/>
  <c r="S390" i="1"/>
  <c r="R391" i="1"/>
  <c r="S391" i="1"/>
  <c r="R392" i="1"/>
  <c r="S392" i="1"/>
  <c r="R393" i="1"/>
  <c r="S393" i="1"/>
  <c r="R394" i="1"/>
  <c r="S394" i="1"/>
  <c r="R395" i="1"/>
  <c r="S395" i="1"/>
  <c r="R396" i="1"/>
  <c r="S396" i="1"/>
  <c r="R397" i="1"/>
  <c r="S397" i="1"/>
  <c r="R398" i="1"/>
  <c r="S398" i="1"/>
  <c r="R399" i="1"/>
  <c r="S399" i="1"/>
  <c r="R400" i="1"/>
  <c r="S400" i="1"/>
  <c r="R401" i="1"/>
  <c r="S401" i="1"/>
  <c r="R402" i="1"/>
  <c r="S402" i="1"/>
  <c r="R403" i="1"/>
  <c r="S403" i="1"/>
  <c r="R404" i="1"/>
  <c r="S404" i="1"/>
  <c r="R405" i="1"/>
  <c r="S405" i="1"/>
  <c r="R406" i="1"/>
  <c r="S406" i="1"/>
  <c r="R407" i="1"/>
  <c r="S407" i="1"/>
  <c r="R408" i="1"/>
  <c r="S408" i="1"/>
  <c r="R409" i="1"/>
  <c r="S409" i="1"/>
  <c r="R410" i="1"/>
  <c r="S410" i="1"/>
  <c r="R411" i="1"/>
  <c r="S411" i="1"/>
  <c r="R412" i="1"/>
  <c r="S412" i="1"/>
  <c r="R413" i="1"/>
  <c r="S413" i="1"/>
  <c r="R414" i="1"/>
  <c r="S414" i="1"/>
  <c r="R415" i="1"/>
  <c r="S415" i="1"/>
  <c r="R416" i="1"/>
  <c r="S416" i="1"/>
  <c r="R417" i="1"/>
  <c r="S417" i="1"/>
  <c r="R418" i="1"/>
  <c r="S418" i="1"/>
  <c r="R419" i="1"/>
  <c r="S419" i="1"/>
  <c r="R420" i="1"/>
  <c r="S420" i="1"/>
  <c r="R421" i="1"/>
  <c r="S421" i="1"/>
  <c r="R422" i="1"/>
  <c r="S422" i="1"/>
  <c r="R423" i="1"/>
  <c r="S423" i="1"/>
  <c r="R424" i="1"/>
  <c r="S424" i="1"/>
  <c r="R425" i="1"/>
  <c r="S425" i="1"/>
  <c r="R426" i="1"/>
  <c r="S426" i="1"/>
  <c r="R427" i="1"/>
  <c r="S427" i="1"/>
  <c r="R428" i="1"/>
  <c r="S428" i="1"/>
  <c r="R429" i="1"/>
  <c r="S429" i="1"/>
  <c r="R430" i="1"/>
  <c r="S430" i="1"/>
  <c r="R431" i="1"/>
  <c r="S431" i="1"/>
  <c r="R432" i="1"/>
  <c r="S432" i="1"/>
  <c r="R433" i="1"/>
  <c r="S433" i="1"/>
  <c r="R434" i="1"/>
  <c r="S434" i="1"/>
  <c r="R435" i="1"/>
  <c r="S435" i="1"/>
  <c r="R436" i="1"/>
  <c r="S436" i="1"/>
  <c r="R437" i="1"/>
  <c r="S437" i="1"/>
  <c r="R438" i="1"/>
  <c r="S438" i="1"/>
  <c r="R439" i="1"/>
  <c r="S439" i="1"/>
  <c r="R440" i="1"/>
  <c r="S440" i="1"/>
  <c r="R441" i="1"/>
  <c r="S441" i="1"/>
  <c r="R442" i="1"/>
  <c r="S442" i="1"/>
  <c r="R443" i="1"/>
  <c r="S443" i="1"/>
  <c r="R444" i="1"/>
  <c r="S444" i="1"/>
  <c r="R445" i="1"/>
  <c r="S445" i="1"/>
  <c r="R446" i="1"/>
  <c r="S446" i="1"/>
  <c r="R447" i="1"/>
  <c r="S447" i="1"/>
  <c r="R448" i="1"/>
  <c r="S448" i="1"/>
  <c r="R449" i="1"/>
  <c r="S449" i="1"/>
  <c r="R450" i="1"/>
  <c r="S450" i="1"/>
  <c r="R451" i="1"/>
  <c r="S451" i="1"/>
  <c r="R452" i="1"/>
  <c r="S452" i="1"/>
  <c r="R453" i="1"/>
  <c r="S453" i="1"/>
  <c r="R454" i="1"/>
  <c r="S454" i="1"/>
  <c r="R455" i="1"/>
  <c r="S455" i="1"/>
  <c r="R456" i="1"/>
  <c r="S456" i="1"/>
  <c r="R457" i="1"/>
  <c r="S457" i="1"/>
  <c r="R458" i="1"/>
  <c r="S458" i="1"/>
  <c r="R459" i="1"/>
  <c r="S459" i="1"/>
  <c r="R460" i="1"/>
  <c r="S460" i="1"/>
  <c r="R461" i="1"/>
  <c r="S461" i="1"/>
  <c r="R462" i="1"/>
  <c r="S462" i="1"/>
  <c r="R463" i="1"/>
  <c r="S463" i="1"/>
  <c r="R464" i="1"/>
  <c r="S464" i="1"/>
  <c r="R465" i="1"/>
  <c r="S465" i="1"/>
  <c r="R466" i="1"/>
  <c r="S466" i="1"/>
  <c r="R467" i="1"/>
  <c r="S467" i="1"/>
  <c r="R468" i="1"/>
  <c r="S468" i="1"/>
  <c r="R469" i="1"/>
  <c r="S469" i="1"/>
  <c r="R470" i="1"/>
  <c r="S470" i="1"/>
  <c r="R471" i="1"/>
  <c r="S471" i="1"/>
  <c r="R472" i="1"/>
  <c r="S472" i="1"/>
  <c r="R473" i="1"/>
  <c r="S473" i="1"/>
  <c r="R474" i="1"/>
  <c r="S474" i="1"/>
  <c r="R475" i="1"/>
  <c r="S475" i="1"/>
  <c r="R476" i="1"/>
  <c r="S476" i="1"/>
  <c r="R477" i="1"/>
  <c r="S477" i="1"/>
  <c r="R478" i="1"/>
  <c r="S478" i="1"/>
  <c r="R479" i="1"/>
  <c r="S479" i="1"/>
  <c r="R480" i="1"/>
  <c r="S480" i="1"/>
  <c r="R481" i="1"/>
  <c r="S481" i="1"/>
  <c r="R482" i="1"/>
  <c r="S482" i="1"/>
  <c r="R483" i="1"/>
  <c r="S483" i="1"/>
  <c r="R484" i="1"/>
  <c r="S484" i="1"/>
  <c r="R485" i="1"/>
  <c r="S485" i="1"/>
  <c r="R486" i="1"/>
  <c r="S486" i="1"/>
  <c r="R487" i="1"/>
  <c r="S487" i="1"/>
  <c r="R488" i="1"/>
  <c r="S488" i="1"/>
  <c r="R489" i="1"/>
  <c r="S489" i="1"/>
  <c r="R490" i="1"/>
  <c r="S490" i="1"/>
  <c r="R491" i="1"/>
  <c r="S491" i="1"/>
  <c r="R492" i="1"/>
  <c r="S492" i="1"/>
  <c r="R493" i="1"/>
  <c r="S493" i="1"/>
  <c r="R494" i="1"/>
  <c r="S494" i="1"/>
  <c r="R495" i="1"/>
  <c r="S495" i="1"/>
  <c r="R496" i="1"/>
  <c r="S496" i="1"/>
  <c r="R497" i="1"/>
  <c r="S497" i="1"/>
  <c r="R498" i="1"/>
  <c r="S498" i="1"/>
  <c r="R499" i="1"/>
  <c r="S499" i="1"/>
  <c r="R500" i="1"/>
  <c r="S500" i="1"/>
  <c r="R501" i="1"/>
  <c r="S501" i="1"/>
  <c r="R502" i="1"/>
  <c r="S502" i="1"/>
  <c r="R503" i="1"/>
  <c r="S503" i="1"/>
  <c r="R504" i="1"/>
  <c r="S504" i="1"/>
  <c r="R505" i="1"/>
  <c r="S505" i="1"/>
  <c r="U2" i="1"/>
  <c r="V2" i="1"/>
  <c r="U3" i="1"/>
  <c r="V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36" i="1"/>
  <c r="V36" i="1"/>
  <c r="U37" i="1"/>
  <c r="V37" i="1"/>
  <c r="U38" i="1"/>
  <c r="V38" i="1"/>
  <c r="U39" i="1"/>
  <c r="V39" i="1"/>
  <c r="U40" i="1"/>
  <c r="V40" i="1"/>
  <c r="U41" i="1"/>
  <c r="V41" i="1"/>
  <c r="U42" i="1"/>
  <c r="V42" i="1"/>
  <c r="U43" i="1"/>
  <c r="V43" i="1"/>
  <c r="U44" i="1"/>
  <c r="V44" i="1"/>
  <c r="U45" i="1"/>
  <c r="V45" i="1"/>
  <c r="U46" i="1"/>
  <c r="V46" i="1"/>
  <c r="U47" i="1"/>
  <c r="V47" i="1"/>
  <c r="U48" i="1"/>
  <c r="V48" i="1"/>
  <c r="U49" i="1"/>
  <c r="V49" i="1"/>
  <c r="U50" i="1"/>
  <c r="V50" i="1"/>
  <c r="U51" i="1"/>
  <c r="V51" i="1"/>
  <c r="U52" i="1"/>
  <c r="V52" i="1"/>
  <c r="U53" i="1"/>
  <c r="V53" i="1"/>
  <c r="U54" i="1"/>
  <c r="V54" i="1"/>
  <c r="U55" i="1"/>
  <c r="V55" i="1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U64" i="1"/>
  <c r="V64" i="1"/>
  <c r="U65" i="1"/>
  <c r="V65" i="1"/>
  <c r="U66" i="1"/>
  <c r="V66" i="1"/>
  <c r="U67" i="1"/>
  <c r="V67" i="1"/>
  <c r="U68" i="1"/>
  <c r="V68" i="1"/>
  <c r="U69" i="1"/>
  <c r="V69" i="1"/>
  <c r="U70" i="1"/>
  <c r="V70" i="1"/>
  <c r="U71" i="1"/>
  <c r="V71" i="1"/>
  <c r="U72" i="1"/>
  <c r="V72" i="1"/>
  <c r="U73" i="1"/>
  <c r="V73" i="1"/>
  <c r="U74" i="1"/>
  <c r="V74" i="1"/>
  <c r="U75" i="1"/>
  <c r="V75" i="1"/>
  <c r="U76" i="1"/>
  <c r="V76" i="1"/>
  <c r="U77" i="1"/>
  <c r="V77" i="1"/>
  <c r="U78" i="1"/>
  <c r="V78" i="1"/>
  <c r="U79" i="1"/>
  <c r="V79" i="1"/>
  <c r="U80" i="1"/>
  <c r="V80" i="1"/>
  <c r="U81" i="1"/>
  <c r="V81" i="1"/>
  <c r="U82" i="1"/>
  <c r="V82" i="1"/>
  <c r="U83" i="1"/>
  <c r="V83" i="1"/>
  <c r="U84" i="1"/>
  <c r="V84" i="1"/>
  <c r="U85" i="1"/>
  <c r="V85" i="1"/>
  <c r="U86" i="1"/>
  <c r="V86" i="1"/>
  <c r="U87" i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U97" i="1"/>
  <c r="V97" i="1"/>
  <c r="U98" i="1"/>
  <c r="V98" i="1"/>
  <c r="U99" i="1"/>
  <c r="V99" i="1"/>
  <c r="U100" i="1"/>
  <c r="V100" i="1"/>
  <c r="U101" i="1"/>
  <c r="V101" i="1"/>
  <c r="U102" i="1"/>
  <c r="V102" i="1"/>
  <c r="U103" i="1"/>
  <c r="V103" i="1"/>
  <c r="U104" i="1"/>
  <c r="V104" i="1"/>
  <c r="U105" i="1"/>
  <c r="V105" i="1"/>
  <c r="U106" i="1"/>
  <c r="V106" i="1"/>
  <c r="U107" i="1"/>
  <c r="V107" i="1"/>
  <c r="U108" i="1"/>
  <c r="V108" i="1"/>
  <c r="U109" i="1"/>
  <c r="V109" i="1"/>
  <c r="U110" i="1"/>
  <c r="V110" i="1"/>
  <c r="U111" i="1"/>
  <c r="V111" i="1"/>
  <c r="U112" i="1"/>
  <c r="V112" i="1"/>
  <c r="U113" i="1"/>
  <c r="V113" i="1"/>
  <c r="U114" i="1"/>
  <c r="V114" i="1"/>
  <c r="U115" i="1"/>
  <c r="V115" i="1"/>
  <c r="U116" i="1"/>
  <c r="V116" i="1"/>
  <c r="U117" i="1"/>
  <c r="V117" i="1"/>
  <c r="U118" i="1"/>
  <c r="V118" i="1"/>
  <c r="U119" i="1"/>
  <c r="V119" i="1"/>
  <c r="U120" i="1"/>
  <c r="V120" i="1"/>
  <c r="U121" i="1"/>
  <c r="V121" i="1"/>
  <c r="U122" i="1"/>
  <c r="V122" i="1"/>
  <c r="U123" i="1"/>
  <c r="V123" i="1"/>
  <c r="U124" i="1"/>
  <c r="V124" i="1"/>
  <c r="U125" i="1"/>
  <c r="V125" i="1"/>
  <c r="U126" i="1"/>
  <c r="V126" i="1"/>
  <c r="U127" i="1"/>
  <c r="V127" i="1"/>
  <c r="U128" i="1"/>
  <c r="V128" i="1"/>
  <c r="U129" i="1"/>
  <c r="V129" i="1"/>
  <c r="U130" i="1"/>
  <c r="V130" i="1"/>
  <c r="U131" i="1"/>
  <c r="V131" i="1"/>
  <c r="U132" i="1"/>
  <c r="V132" i="1"/>
  <c r="U133" i="1"/>
  <c r="V133" i="1"/>
  <c r="U134" i="1"/>
  <c r="V134" i="1"/>
  <c r="U135" i="1"/>
  <c r="V135" i="1"/>
  <c r="U136" i="1"/>
  <c r="V136" i="1"/>
  <c r="U137" i="1"/>
  <c r="V137" i="1"/>
  <c r="U138" i="1"/>
  <c r="V138" i="1"/>
  <c r="U139" i="1"/>
  <c r="V139" i="1"/>
  <c r="U140" i="1"/>
  <c r="V140" i="1"/>
  <c r="U141" i="1"/>
  <c r="V141" i="1"/>
  <c r="U142" i="1"/>
  <c r="V142" i="1"/>
  <c r="U143" i="1"/>
  <c r="V143" i="1"/>
  <c r="U144" i="1"/>
  <c r="V144" i="1"/>
  <c r="U145" i="1"/>
  <c r="V145" i="1"/>
  <c r="U146" i="1"/>
  <c r="V146" i="1"/>
  <c r="U147" i="1"/>
  <c r="V147" i="1"/>
  <c r="U148" i="1"/>
  <c r="V148" i="1"/>
  <c r="U149" i="1"/>
  <c r="V149" i="1"/>
  <c r="U150" i="1"/>
  <c r="V150" i="1"/>
  <c r="U151" i="1"/>
  <c r="V151" i="1"/>
  <c r="U152" i="1"/>
  <c r="V152" i="1"/>
  <c r="U153" i="1"/>
  <c r="V153" i="1"/>
  <c r="U154" i="1"/>
  <c r="V154" i="1"/>
  <c r="U155" i="1"/>
  <c r="V155" i="1"/>
  <c r="U156" i="1"/>
  <c r="V156" i="1"/>
  <c r="U157" i="1"/>
  <c r="V157" i="1"/>
  <c r="U158" i="1"/>
  <c r="V158" i="1"/>
  <c r="U159" i="1"/>
  <c r="V159" i="1"/>
  <c r="U160" i="1"/>
  <c r="V160" i="1"/>
  <c r="U161" i="1"/>
  <c r="V161" i="1"/>
  <c r="U162" i="1"/>
  <c r="V162" i="1"/>
  <c r="U163" i="1"/>
  <c r="V163" i="1"/>
  <c r="U164" i="1"/>
  <c r="V164" i="1"/>
  <c r="U165" i="1"/>
  <c r="V165" i="1"/>
  <c r="U166" i="1"/>
  <c r="V166" i="1"/>
  <c r="U167" i="1"/>
  <c r="V167" i="1"/>
  <c r="U168" i="1"/>
  <c r="V168" i="1"/>
  <c r="U169" i="1"/>
  <c r="V169" i="1"/>
  <c r="U170" i="1"/>
  <c r="V170" i="1"/>
  <c r="U171" i="1"/>
  <c r="V171" i="1"/>
  <c r="U172" i="1"/>
  <c r="V172" i="1"/>
  <c r="U173" i="1"/>
  <c r="V173" i="1"/>
  <c r="U174" i="1"/>
  <c r="V174" i="1"/>
  <c r="U175" i="1"/>
  <c r="V175" i="1"/>
  <c r="U176" i="1"/>
  <c r="V176" i="1"/>
  <c r="U177" i="1"/>
  <c r="V177" i="1"/>
  <c r="U178" i="1"/>
  <c r="V178" i="1"/>
  <c r="U179" i="1"/>
  <c r="V179" i="1"/>
  <c r="U180" i="1"/>
  <c r="V180" i="1"/>
  <c r="U181" i="1"/>
  <c r="V181" i="1"/>
  <c r="U182" i="1"/>
  <c r="V182" i="1"/>
  <c r="U183" i="1"/>
  <c r="V183" i="1"/>
  <c r="U184" i="1"/>
  <c r="V184" i="1"/>
  <c r="U185" i="1"/>
  <c r="V185" i="1"/>
  <c r="U186" i="1"/>
  <c r="V186" i="1"/>
  <c r="U187" i="1"/>
  <c r="V187" i="1"/>
  <c r="U188" i="1"/>
  <c r="V188" i="1"/>
  <c r="U189" i="1"/>
  <c r="V189" i="1"/>
  <c r="U190" i="1"/>
  <c r="V190" i="1"/>
  <c r="U191" i="1"/>
  <c r="V191" i="1"/>
  <c r="U192" i="1"/>
  <c r="V192" i="1"/>
  <c r="U193" i="1"/>
  <c r="V193" i="1"/>
  <c r="U194" i="1"/>
  <c r="V194" i="1"/>
  <c r="U195" i="1"/>
  <c r="V195" i="1"/>
  <c r="U196" i="1"/>
  <c r="V196" i="1"/>
  <c r="U197" i="1"/>
  <c r="V197" i="1"/>
  <c r="U198" i="1"/>
  <c r="V198" i="1"/>
  <c r="U199" i="1"/>
  <c r="V199" i="1"/>
  <c r="U200" i="1"/>
  <c r="V200" i="1"/>
  <c r="U201" i="1"/>
  <c r="V201" i="1"/>
  <c r="U202" i="1"/>
  <c r="V202" i="1"/>
  <c r="U203" i="1"/>
  <c r="V203" i="1"/>
  <c r="U204" i="1"/>
  <c r="V204" i="1"/>
  <c r="U205" i="1"/>
  <c r="V205" i="1"/>
  <c r="U206" i="1"/>
  <c r="V206" i="1"/>
  <c r="U207" i="1"/>
  <c r="V207" i="1"/>
  <c r="U208" i="1"/>
  <c r="V208" i="1"/>
  <c r="U209" i="1"/>
  <c r="V209" i="1"/>
  <c r="U210" i="1"/>
  <c r="V210" i="1"/>
  <c r="U211" i="1"/>
  <c r="V211" i="1"/>
  <c r="U212" i="1"/>
  <c r="V212" i="1"/>
  <c r="U213" i="1"/>
  <c r="V213" i="1"/>
  <c r="U214" i="1"/>
  <c r="V214" i="1"/>
  <c r="U215" i="1"/>
  <c r="V215" i="1"/>
  <c r="U216" i="1"/>
  <c r="V216" i="1"/>
  <c r="U217" i="1"/>
  <c r="V217" i="1"/>
  <c r="U218" i="1"/>
  <c r="V218" i="1"/>
  <c r="U219" i="1"/>
  <c r="V219" i="1"/>
  <c r="U220" i="1"/>
  <c r="V220" i="1"/>
  <c r="U221" i="1"/>
  <c r="V221" i="1"/>
  <c r="U222" i="1"/>
  <c r="V222" i="1"/>
  <c r="U223" i="1"/>
  <c r="V223" i="1"/>
  <c r="U224" i="1"/>
  <c r="V224" i="1"/>
  <c r="U225" i="1"/>
  <c r="V225" i="1"/>
  <c r="U226" i="1"/>
  <c r="V226" i="1"/>
  <c r="U227" i="1"/>
  <c r="V227" i="1"/>
  <c r="U228" i="1"/>
  <c r="V228" i="1"/>
  <c r="U229" i="1"/>
  <c r="V229" i="1"/>
  <c r="U230" i="1"/>
  <c r="V230" i="1"/>
  <c r="U231" i="1"/>
  <c r="V231" i="1"/>
  <c r="U232" i="1"/>
  <c r="V232" i="1"/>
  <c r="U233" i="1"/>
  <c r="V233" i="1"/>
  <c r="U234" i="1"/>
  <c r="V234" i="1"/>
  <c r="U235" i="1"/>
  <c r="V235" i="1"/>
  <c r="U236" i="1"/>
  <c r="V236" i="1"/>
  <c r="U237" i="1"/>
  <c r="V237" i="1"/>
  <c r="U238" i="1"/>
  <c r="V238" i="1"/>
  <c r="U239" i="1"/>
  <c r="V239" i="1"/>
  <c r="U240" i="1"/>
  <c r="V240" i="1"/>
  <c r="U241" i="1"/>
  <c r="V241" i="1"/>
  <c r="U242" i="1"/>
  <c r="V242" i="1"/>
  <c r="U243" i="1"/>
  <c r="V243" i="1"/>
  <c r="U244" i="1"/>
  <c r="V244" i="1"/>
  <c r="U245" i="1"/>
  <c r="V245" i="1"/>
  <c r="U246" i="1"/>
  <c r="V246" i="1"/>
  <c r="U247" i="1"/>
  <c r="V247" i="1"/>
  <c r="U248" i="1"/>
  <c r="V248" i="1"/>
  <c r="U249" i="1"/>
  <c r="V249" i="1"/>
  <c r="U250" i="1"/>
  <c r="V250" i="1"/>
  <c r="U251" i="1"/>
  <c r="V251" i="1"/>
  <c r="U252" i="1"/>
  <c r="V252" i="1"/>
  <c r="U253" i="1"/>
  <c r="V253" i="1"/>
  <c r="U254" i="1"/>
  <c r="V254" i="1"/>
  <c r="U255" i="1"/>
  <c r="V255" i="1"/>
  <c r="U256" i="1"/>
  <c r="V256" i="1"/>
  <c r="U257" i="1"/>
  <c r="V257" i="1"/>
  <c r="U258" i="1"/>
  <c r="V258" i="1"/>
  <c r="U259" i="1"/>
  <c r="V259" i="1"/>
  <c r="U260" i="1"/>
  <c r="V260" i="1"/>
  <c r="U261" i="1"/>
  <c r="V261" i="1"/>
  <c r="U262" i="1"/>
  <c r="V262" i="1"/>
  <c r="U263" i="1"/>
  <c r="V263" i="1"/>
  <c r="U264" i="1"/>
  <c r="V264" i="1"/>
  <c r="U265" i="1"/>
  <c r="V265" i="1"/>
  <c r="U266" i="1"/>
  <c r="V266" i="1"/>
  <c r="U267" i="1"/>
  <c r="V267" i="1"/>
  <c r="U268" i="1"/>
  <c r="V268" i="1"/>
  <c r="U269" i="1"/>
  <c r="V269" i="1"/>
  <c r="U270" i="1"/>
  <c r="V270" i="1"/>
  <c r="U271" i="1"/>
  <c r="V271" i="1"/>
  <c r="U272" i="1"/>
  <c r="V272" i="1"/>
  <c r="U273" i="1"/>
  <c r="V273" i="1"/>
  <c r="U274" i="1"/>
  <c r="V274" i="1"/>
  <c r="U275" i="1"/>
  <c r="V275" i="1"/>
  <c r="U276" i="1"/>
  <c r="V276" i="1"/>
  <c r="U277" i="1"/>
  <c r="V277" i="1"/>
  <c r="U278" i="1"/>
  <c r="V278" i="1"/>
  <c r="U279" i="1"/>
  <c r="V279" i="1"/>
  <c r="U280" i="1"/>
  <c r="V280" i="1"/>
  <c r="U281" i="1"/>
  <c r="V281" i="1"/>
  <c r="U282" i="1"/>
  <c r="V282" i="1"/>
  <c r="U283" i="1"/>
  <c r="V283" i="1"/>
  <c r="U284" i="1"/>
  <c r="V284" i="1"/>
  <c r="U285" i="1"/>
  <c r="V285" i="1"/>
  <c r="U286" i="1"/>
  <c r="V286" i="1"/>
  <c r="U287" i="1"/>
  <c r="V287" i="1"/>
  <c r="U288" i="1"/>
  <c r="V288" i="1"/>
  <c r="U289" i="1"/>
  <c r="V289" i="1"/>
  <c r="U290" i="1"/>
  <c r="V290" i="1"/>
  <c r="U291" i="1"/>
  <c r="V291" i="1"/>
  <c r="U292" i="1"/>
  <c r="V292" i="1"/>
  <c r="U293" i="1"/>
  <c r="V293" i="1"/>
  <c r="U294" i="1"/>
  <c r="V294" i="1"/>
  <c r="U295" i="1"/>
  <c r="V295" i="1"/>
  <c r="U296" i="1"/>
  <c r="V296" i="1"/>
  <c r="U297" i="1"/>
  <c r="V297" i="1"/>
  <c r="U298" i="1"/>
  <c r="V298" i="1"/>
  <c r="U299" i="1"/>
  <c r="V299" i="1"/>
  <c r="U300" i="1"/>
  <c r="V300" i="1"/>
  <c r="U301" i="1"/>
  <c r="V301" i="1"/>
  <c r="U302" i="1"/>
  <c r="V302" i="1"/>
  <c r="U303" i="1"/>
  <c r="V303" i="1"/>
  <c r="U304" i="1"/>
  <c r="V304" i="1"/>
  <c r="U305" i="1"/>
  <c r="V305" i="1"/>
  <c r="U306" i="1"/>
  <c r="V306" i="1"/>
  <c r="U307" i="1"/>
  <c r="V307" i="1"/>
  <c r="U308" i="1"/>
  <c r="V308" i="1"/>
  <c r="U309" i="1"/>
  <c r="V309" i="1"/>
  <c r="U310" i="1"/>
  <c r="V310" i="1"/>
  <c r="U311" i="1"/>
  <c r="V311" i="1"/>
  <c r="U312" i="1"/>
  <c r="V312" i="1"/>
  <c r="U313" i="1"/>
  <c r="V313" i="1"/>
  <c r="U314" i="1"/>
  <c r="V314" i="1"/>
  <c r="U315" i="1"/>
  <c r="V315" i="1"/>
  <c r="U316" i="1"/>
  <c r="V316" i="1"/>
  <c r="U317" i="1"/>
  <c r="V317" i="1"/>
  <c r="U318" i="1"/>
  <c r="V318" i="1"/>
  <c r="U319" i="1"/>
  <c r="V319" i="1"/>
  <c r="U320" i="1"/>
  <c r="V320" i="1"/>
  <c r="U321" i="1"/>
  <c r="V321" i="1"/>
  <c r="U322" i="1"/>
  <c r="V322" i="1"/>
  <c r="U323" i="1"/>
  <c r="V323" i="1"/>
  <c r="U324" i="1"/>
  <c r="V324" i="1"/>
  <c r="U325" i="1"/>
  <c r="V325" i="1"/>
  <c r="U326" i="1"/>
  <c r="V326" i="1"/>
  <c r="U327" i="1"/>
  <c r="V327" i="1"/>
  <c r="U328" i="1"/>
  <c r="V328" i="1"/>
  <c r="U329" i="1"/>
  <c r="V329" i="1"/>
  <c r="U330" i="1"/>
  <c r="V330" i="1"/>
  <c r="U331" i="1"/>
  <c r="V331" i="1"/>
  <c r="U332" i="1"/>
  <c r="V332" i="1"/>
  <c r="U333" i="1"/>
  <c r="V333" i="1"/>
  <c r="U334" i="1"/>
  <c r="V334" i="1"/>
  <c r="U335" i="1"/>
  <c r="V335" i="1"/>
  <c r="U336" i="1"/>
  <c r="V336" i="1"/>
  <c r="U337" i="1"/>
  <c r="V337" i="1"/>
  <c r="U338" i="1"/>
  <c r="V338" i="1"/>
  <c r="U339" i="1"/>
  <c r="V339" i="1"/>
  <c r="U340" i="1"/>
  <c r="V340" i="1"/>
  <c r="U341" i="1"/>
  <c r="V341" i="1"/>
  <c r="U342" i="1"/>
  <c r="V342" i="1"/>
  <c r="U343" i="1"/>
  <c r="V343" i="1"/>
  <c r="U344" i="1"/>
  <c r="V344" i="1"/>
  <c r="U345" i="1"/>
  <c r="V345" i="1"/>
  <c r="U346" i="1"/>
  <c r="V346" i="1"/>
  <c r="U347" i="1"/>
  <c r="V347" i="1"/>
  <c r="U348" i="1"/>
  <c r="V348" i="1"/>
  <c r="U349" i="1"/>
  <c r="V349" i="1"/>
  <c r="U350" i="1"/>
  <c r="V350" i="1"/>
  <c r="U351" i="1"/>
  <c r="V351" i="1"/>
  <c r="U352" i="1"/>
  <c r="V352" i="1"/>
  <c r="U353" i="1"/>
  <c r="V353" i="1"/>
  <c r="U354" i="1"/>
  <c r="V354" i="1"/>
  <c r="U355" i="1"/>
  <c r="V355" i="1"/>
  <c r="U356" i="1"/>
  <c r="V356" i="1"/>
  <c r="U357" i="1"/>
  <c r="V357" i="1"/>
  <c r="U358" i="1"/>
  <c r="V358" i="1"/>
  <c r="U359" i="1"/>
  <c r="V359" i="1"/>
  <c r="U360" i="1"/>
  <c r="V360" i="1"/>
  <c r="U361" i="1"/>
  <c r="V361" i="1"/>
  <c r="U362" i="1"/>
  <c r="V362" i="1"/>
  <c r="U363" i="1"/>
  <c r="V363" i="1"/>
  <c r="U364" i="1"/>
  <c r="V364" i="1"/>
  <c r="U365" i="1"/>
  <c r="V365" i="1"/>
  <c r="U366" i="1"/>
  <c r="V366" i="1"/>
  <c r="U367" i="1"/>
  <c r="V367" i="1"/>
  <c r="U368" i="1"/>
  <c r="V368" i="1"/>
  <c r="U369" i="1"/>
  <c r="V369" i="1"/>
  <c r="U370" i="1"/>
  <c r="V370" i="1"/>
  <c r="U371" i="1"/>
  <c r="V371" i="1"/>
  <c r="U372" i="1"/>
  <c r="V372" i="1"/>
  <c r="U373" i="1"/>
  <c r="V373" i="1"/>
  <c r="U374" i="1"/>
  <c r="V374" i="1"/>
  <c r="U375" i="1"/>
  <c r="V375" i="1"/>
  <c r="U376" i="1"/>
  <c r="V376" i="1"/>
  <c r="U377" i="1"/>
  <c r="V377" i="1"/>
  <c r="U378" i="1"/>
  <c r="V378" i="1"/>
  <c r="U379" i="1"/>
  <c r="V379" i="1"/>
  <c r="U380" i="1"/>
  <c r="V380" i="1"/>
  <c r="U381" i="1"/>
  <c r="V381" i="1"/>
  <c r="U382" i="1"/>
  <c r="V382" i="1"/>
  <c r="U383" i="1"/>
  <c r="V383" i="1"/>
  <c r="U384" i="1"/>
  <c r="V384" i="1"/>
  <c r="U385" i="1"/>
  <c r="V385" i="1"/>
  <c r="U386" i="1"/>
  <c r="V386" i="1"/>
  <c r="U387" i="1"/>
  <c r="V387" i="1"/>
  <c r="U388" i="1"/>
  <c r="V388" i="1"/>
  <c r="U389" i="1"/>
  <c r="V389" i="1"/>
  <c r="U390" i="1"/>
  <c r="V390" i="1"/>
  <c r="U391" i="1"/>
  <c r="V391" i="1"/>
  <c r="U392" i="1"/>
  <c r="V392" i="1"/>
  <c r="U393" i="1"/>
  <c r="V393" i="1"/>
  <c r="U394" i="1"/>
  <c r="V394" i="1"/>
  <c r="U395" i="1"/>
  <c r="V395" i="1"/>
  <c r="U396" i="1"/>
  <c r="V396" i="1"/>
  <c r="U397" i="1"/>
  <c r="V397" i="1"/>
  <c r="U398" i="1"/>
  <c r="V398" i="1"/>
  <c r="U399" i="1"/>
  <c r="V399" i="1"/>
  <c r="U400" i="1"/>
  <c r="V400" i="1"/>
  <c r="U401" i="1"/>
  <c r="V401" i="1"/>
  <c r="U402" i="1"/>
  <c r="V402" i="1"/>
  <c r="U403" i="1"/>
  <c r="V403" i="1"/>
  <c r="U404" i="1"/>
  <c r="V404" i="1"/>
  <c r="U405" i="1"/>
  <c r="V405" i="1"/>
  <c r="U406" i="1"/>
  <c r="V406" i="1"/>
  <c r="U407" i="1"/>
  <c r="V407" i="1"/>
  <c r="U408" i="1"/>
  <c r="V408" i="1"/>
  <c r="U409" i="1"/>
  <c r="V409" i="1"/>
  <c r="U410" i="1"/>
  <c r="V410" i="1"/>
  <c r="U411" i="1"/>
  <c r="V411" i="1"/>
  <c r="U412" i="1"/>
  <c r="V412" i="1"/>
  <c r="U413" i="1"/>
  <c r="V413" i="1"/>
  <c r="U414" i="1"/>
  <c r="V414" i="1"/>
  <c r="U415" i="1"/>
  <c r="V415" i="1"/>
  <c r="U416" i="1"/>
  <c r="V416" i="1"/>
  <c r="U417" i="1"/>
  <c r="V417" i="1"/>
  <c r="U418" i="1"/>
  <c r="V418" i="1"/>
  <c r="U419" i="1"/>
  <c r="V419" i="1"/>
  <c r="U420" i="1"/>
  <c r="V420" i="1"/>
  <c r="U421" i="1"/>
  <c r="V421" i="1"/>
  <c r="U422" i="1"/>
  <c r="V422" i="1"/>
  <c r="U423" i="1"/>
  <c r="V423" i="1"/>
  <c r="U424" i="1"/>
  <c r="V424" i="1"/>
  <c r="U425" i="1"/>
  <c r="V425" i="1"/>
  <c r="U426" i="1"/>
  <c r="V426" i="1"/>
  <c r="U427" i="1"/>
  <c r="V427" i="1"/>
  <c r="U428" i="1"/>
  <c r="V428" i="1"/>
  <c r="U429" i="1"/>
  <c r="V429" i="1"/>
  <c r="U430" i="1"/>
  <c r="V430" i="1"/>
  <c r="U431" i="1"/>
  <c r="V431" i="1"/>
  <c r="U432" i="1"/>
  <c r="V432" i="1"/>
  <c r="U433" i="1"/>
  <c r="V433" i="1"/>
  <c r="U434" i="1"/>
  <c r="V434" i="1"/>
  <c r="U435" i="1"/>
  <c r="V435" i="1"/>
  <c r="U436" i="1"/>
  <c r="V436" i="1"/>
  <c r="U437" i="1"/>
  <c r="V437" i="1"/>
  <c r="U438" i="1"/>
  <c r="V438" i="1"/>
  <c r="U439" i="1"/>
  <c r="V439" i="1"/>
  <c r="U440" i="1"/>
  <c r="V440" i="1"/>
  <c r="U441" i="1"/>
  <c r="V441" i="1"/>
  <c r="U442" i="1"/>
  <c r="V442" i="1"/>
  <c r="U443" i="1"/>
  <c r="V443" i="1"/>
  <c r="U444" i="1"/>
  <c r="V444" i="1"/>
  <c r="U445" i="1"/>
  <c r="V445" i="1"/>
  <c r="U446" i="1"/>
  <c r="V446" i="1"/>
  <c r="U447" i="1"/>
  <c r="V447" i="1"/>
  <c r="U448" i="1"/>
  <c r="V448" i="1"/>
  <c r="U449" i="1"/>
  <c r="V449" i="1"/>
  <c r="U450" i="1"/>
  <c r="V450" i="1"/>
  <c r="U451" i="1"/>
  <c r="V451" i="1"/>
  <c r="U452" i="1"/>
  <c r="V452" i="1"/>
  <c r="U453" i="1"/>
  <c r="V453" i="1"/>
  <c r="U454" i="1"/>
  <c r="V454" i="1"/>
  <c r="U455" i="1"/>
  <c r="V455" i="1"/>
  <c r="U456" i="1"/>
  <c r="V456" i="1"/>
  <c r="U457" i="1"/>
  <c r="V457" i="1"/>
  <c r="U458" i="1"/>
  <c r="V458" i="1"/>
  <c r="U459" i="1"/>
  <c r="V459" i="1"/>
  <c r="U460" i="1"/>
  <c r="V460" i="1"/>
  <c r="U461" i="1"/>
  <c r="V461" i="1"/>
  <c r="U462" i="1"/>
  <c r="V462" i="1"/>
  <c r="U463" i="1"/>
  <c r="V463" i="1"/>
  <c r="U464" i="1"/>
  <c r="V464" i="1"/>
  <c r="U465" i="1"/>
  <c r="V465" i="1"/>
  <c r="U466" i="1"/>
  <c r="V466" i="1"/>
  <c r="U467" i="1"/>
  <c r="V467" i="1"/>
  <c r="U468" i="1"/>
  <c r="V468" i="1"/>
  <c r="U469" i="1"/>
  <c r="V469" i="1"/>
  <c r="U470" i="1"/>
  <c r="V470" i="1"/>
  <c r="U471" i="1"/>
  <c r="V471" i="1"/>
  <c r="U472" i="1"/>
  <c r="V472" i="1"/>
  <c r="U473" i="1"/>
  <c r="V473" i="1"/>
  <c r="U474" i="1"/>
  <c r="V474" i="1"/>
  <c r="U475" i="1"/>
  <c r="V475" i="1"/>
  <c r="U476" i="1"/>
  <c r="V476" i="1"/>
  <c r="U477" i="1"/>
  <c r="V477" i="1"/>
  <c r="U478" i="1"/>
  <c r="V478" i="1"/>
  <c r="U479" i="1"/>
  <c r="V479" i="1"/>
  <c r="U480" i="1"/>
  <c r="V480" i="1"/>
  <c r="U481" i="1"/>
  <c r="V481" i="1"/>
  <c r="U482" i="1"/>
  <c r="V482" i="1"/>
  <c r="U483" i="1"/>
  <c r="V483" i="1"/>
  <c r="U484" i="1"/>
  <c r="V484" i="1"/>
  <c r="U485" i="1"/>
  <c r="V485" i="1"/>
  <c r="U486" i="1"/>
  <c r="V486" i="1"/>
  <c r="U487" i="1"/>
  <c r="V487" i="1"/>
  <c r="U488" i="1"/>
  <c r="V488" i="1"/>
  <c r="U489" i="1"/>
  <c r="V489" i="1"/>
  <c r="U490" i="1"/>
  <c r="V490" i="1"/>
  <c r="U491" i="1"/>
  <c r="V491" i="1"/>
  <c r="U492" i="1"/>
  <c r="V492" i="1"/>
  <c r="U493" i="1"/>
  <c r="V493" i="1"/>
  <c r="U494" i="1"/>
  <c r="V494" i="1"/>
  <c r="U495" i="1"/>
  <c r="V495" i="1"/>
  <c r="U496" i="1"/>
  <c r="V496" i="1"/>
  <c r="U497" i="1"/>
  <c r="V497" i="1"/>
  <c r="U498" i="1"/>
  <c r="V498" i="1"/>
  <c r="U499" i="1"/>
  <c r="V499" i="1"/>
  <c r="U500" i="1"/>
  <c r="V500" i="1"/>
  <c r="U501" i="1"/>
  <c r="V501" i="1"/>
  <c r="U502" i="1"/>
  <c r="V502" i="1"/>
  <c r="U503" i="1"/>
  <c r="V503" i="1"/>
  <c r="U504" i="1"/>
  <c r="V504" i="1"/>
  <c r="U505" i="1"/>
  <c r="V505" i="1"/>
  <c r="X2" i="1"/>
  <c r="Y2" i="1"/>
  <c r="X3" i="1"/>
  <c r="Y3" i="1"/>
  <c r="X4" i="1"/>
  <c r="Y4" i="1"/>
  <c r="X5" i="1"/>
  <c r="Y5" i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33" i="1"/>
  <c r="Y33" i="1"/>
  <c r="X34" i="1"/>
  <c r="Y34" i="1"/>
  <c r="X35" i="1"/>
  <c r="Y35" i="1"/>
  <c r="X36" i="1"/>
  <c r="Y36" i="1"/>
  <c r="X37" i="1"/>
  <c r="Y37" i="1"/>
  <c r="X38" i="1"/>
  <c r="Y38" i="1"/>
  <c r="X39" i="1"/>
  <c r="Y39" i="1"/>
  <c r="X40" i="1"/>
  <c r="Y40" i="1"/>
  <c r="X41" i="1"/>
  <c r="Y41" i="1"/>
  <c r="X42" i="1"/>
  <c r="Y42" i="1"/>
  <c r="X43" i="1"/>
  <c r="Y43" i="1"/>
  <c r="X44" i="1"/>
  <c r="Y44" i="1"/>
  <c r="X45" i="1"/>
  <c r="Y45" i="1"/>
  <c r="X46" i="1"/>
  <c r="Y46" i="1"/>
  <c r="X47" i="1"/>
  <c r="Y47" i="1"/>
  <c r="X48" i="1"/>
  <c r="Y48" i="1"/>
  <c r="X49" i="1"/>
  <c r="Y49" i="1"/>
  <c r="X50" i="1"/>
  <c r="Y50" i="1"/>
  <c r="X51" i="1"/>
  <c r="Y51" i="1"/>
  <c r="X52" i="1"/>
  <c r="Y52" i="1"/>
  <c r="X53" i="1"/>
  <c r="Y53" i="1"/>
  <c r="X54" i="1"/>
  <c r="Y54" i="1"/>
  <c r="X55" i="1"/>
  <c r="Y55" i="1"/>
  <c r="X56" i="1"/>
  <c r="Y56" i="1"/>
  <c r="X57" i="1"/>
  <c r="Y57" i="1"/>
  <c r="X58" i="1"/>
  <c r="Y58" i="1"/>
  <c r="X59" i="1"/>
  <c r="Y59" i="1"/>
  <c r="X60" i="1"/>
  <c r="Y60" i="1"/>
  <c r="X61" i="1"/>
  <c r="Y61" i="1"/>
  <c r="X62" i="1"/>
  <c r="Y62" i="1"/>
  <c r="X63" i="1"/>
  <c r="Y63" i="1"/>
  <c r="X64" i="1"/>
  <c r="Y64" i="1"/>
  <c r="X65" i="1"/>
  <c r="Y65" i="1"/>
  <c r="X66" i="1"/>
  <c r="Y66" i="1"/>
  <c r="X67" i="1"/>
  <c r="Y67" i="1"/>
  <c r="X68" i="1"/>
  <c r="Y68" i="1"/>
  <c r="X69" i="1"/>
  <c r="Y69" i="1"/>
  <c r="X70" i="1"/>
  <c r="Y70" i="1"/>
  <c r="X71" i="1"/>
  <c r="Y71" i="1"/>
  <c r="X72" i="1"/>
  <c r="Y72" i="1"/>
  <c r="X73" i="1"/>
  <c r="Y73" i="1"/>
  <c r="X74" i="1"/>
  <c r="Y74" i="1"/>
  <c r="X75" i="1"/>
  <c r="Y75" i="1"/>
  <c r="X76" i="1"/>
  <c r="Y76" i="1"/>
  <c r="X77" i="1"/>
  <c r="Y77" i="1"/>
  <c r="X78" i="1"/>
  <c r="Y78" i="1"/>
  <c r="X79" i="1"/>
  <c r="Y79" i="1"/>
  <c r="X80" i="1"/>
  <c r="Y80" i="1"/>
  <c r="X81" i="1"/>
  <c r="Y81" i="1"/>
  <c r="X82" i="1"/>
  <c r="Y82" i="1"/>
  <c r="X83" i="1"/>
  <c r="Y83" i="1"/>
  <c r="X84" i="1"/>
  <c r="Y84" i="1"/>
  <c r="X85" i="1"/>
  <c r="Y85" i="1"/>
  <c r="X86" i="1"/>
  <c r="Y86" i="1"/>
  <c r="X87" i="1"/>
  <c r="Y87" i="1"/>
  <c r="X88" i="1"/>
  <c r="Y88" i="1"/>
  <c r="X89" i="1"/>
  <c r="Y89" i="1"/>
  <c r="X90" i="1"/>
  <c r="Y90" i="1"/>
  <c r="X91" i="1"/>
  <c r="Y91" i="1"/>
  <c r="X92" i="1"/>
  <c r="Y92" i="1"/>
  <c r="X93" i="1"/>
  <c r="Y93" i="1"/>
  <c r="X94" i="1"/>
  <c r="Y94" i="1"/>
  <c r="X95" i="1"/>
  <c r="Y95" i="1"/>
  <c r="X96" i="1"/>
  <c r="Y96" i="1"/>
  <c r="X97" i="1"/>
  <c r="Y97" i="1"/>
  <c r="X98" i="1"/>
  <c r="Y98" i="1"/>
  <c r="X99" i="1"/>
  <c r="Y99" i="1"/>
  <c r="X100" i="1"/>
  <c r="Y100" i="1"/>
  <c r="X101" i="1"/>
  <c r="Y101" i="1"/>
  <c r="X102" i="1"/>
  <c r="Y102" i="1"/>
  <c r="X103" i="1"/>
  <c r="Y103" i="1"/>
  <c r="X104" i="1"/>
  <c r="Y104" i="1"/>
  <c r="X105" i="1"/>
  <c r="Y105" i="1"/>
  <c r="X106" i="1"/>
  <c r="Y106" i="1"/>
  <c r="X107" i="1"/>
  <c r="Y107" i="1"/>
  <c r="X108" i="1"/>
  <c r="Y108" i="1"/>
  <c r="X109" i="1"/>
  <c r="Y109" i="1"/>
  <c r="X110" i="1"/>
  <c r="Y110" i="1"/>
  <c r="X111" i="1"/>
  <c r="Y111" i="1"/>
  <c r="X112" i="1"/>
  <c r="Y112" i="1"/>
  <c r="X113" i="1"/>
  <c r="Y113" i="1"/>
  <c r="X114" i="1"/>
  <c r="Y114" i="1"/>
  <c r="X115" i="1"/>
  <c r="Y115" i="1"/>
  <c r="X116" i="1"/>
  <c r="Y116" i="1"/>
  <c r="X117" i="1"/>
  <c r="Y117" i="1"/>
  <c r="X118" i="1"/>
  <c r="Y118" i="1"/>
  <c r="X119" i="1"/>
  <c r="Y119" i="1"/>
  <c r="X120" i="1"/>
  <c r="Y120" i="1"/>
  <c r="X121" i="1"/>
  <c r="Y121" i="1"/>
  <c r="X122" i="1"/>
  <c r="Y122" i="1"/>
  <c r="X123" i="1"/>
  <c r="Y123" i="1"/>
  <c r="X124" i="1"/>
  <c r="Y124" i="1"/>
  <c r="X125" i="1"/>
  <c r="Y125" i="1"/>
  <c r="X126" i="1"/>
  <c r="Y126" i="1"/>
  <c r="X127" i="1"/>
  <c r="Y127" i="1"/>
  <c r="X128" i="1"/>
  <c r="Y128" i="1"/>
  <c r="X129" i="1"/>
  <c r="Y129" i="1"/>
  <c r="X130" i="1"/>
  <c r="Y130" i="1"/>
  <c r="X131" i="1"/>
  <c r="Y131" i="1"/>
  <c r="X132" i="1"/>
  <c r="Y132" i="1"/>
  <c r="X133" i="1"/>
  <c r="Y133" i="1"/>
  <c r="X134" i="1"/>
  <c r="Y134" i="1"/>
  <c r="X135" i="1"/>
  <c r="Y135" i="1"/>
  <c r="X136" i="1"/>
  <c r="Y136" i="1"/>
  <c r="X137" i="1"/>
  <c r="Y137" i="1"/>
  <c r="X138" i="1"/>
  <c r="Y138" i="1"/>
  <c r="X139" i="1"/>
  <c r="Y139" i="1"/>
  <c r="X140" i="1"/>
  <c r="Y140" i="1"/>
  <c r="X141" i="1"/>
  <c r="Y141" i="1"/>
  <c r="X142" i="1"/>
  <c r="Y142" i="1"/>
  <c r="X143" i="1"/>
  <c r="Y143" i="1"/>
  <c r="X144" i="1"/>
  <c r="Y144" i="1"/>
  <c r="X145" i="1"/>
  <c r="Y145" i="1"/>
  <c r="X146" i="1"/>
  <c r="Y146" i="1"/>
  <c r="X147" i="1"/>
  <c r="Y147" i="1"/>
  <c r="X148" i="1"/>
  <c r="Y148" i="1"/>
  <c r="X149" i="1"/>
  <c r="Y149" i="1"/>
  <c r="X150" i="1"/>
  <c r="Y150" i="1"/>
  <c r="X151" i="1"/>
  <c r="Y151" i="1"/>
  <c r="X152" i="1"/>
  <c r="Y152" i="1"/>
  <c r="X153" i="1"/>
  <c r="Y153" i="1"/>
  <c r="X154" i="1"/>
  <c r="Y154" i="1"/>
  <c r="X155" i="1"/>
  <c r="Y155" i="1"/>
  <c r="X156" i="1"/>
  <c r="Y156" i="1"/>
  <c r="X157" i="1"/>
  <c r="Y157" i="1"/>
  <c r="X158" i="1"/>
  <c r="Y158" i="1"/>
  <c r="X159" i="1"/>
  <c r="Y159" i="1"/>
  <c r="X160" i="1"/>
  <c r="Y160" i="1"/>
  <c r="X161" i="1"/>
  <c r="Y161" i="1"/>
  <c r="X162" i="1"/>
  <c r="Y162" i="1"/>
  <c r="X163" i="1"/>
  <c r="Y163" i="1"/>
  <c r="X164" i="1"/>
  <c r="Y164" i="1"/>
  <c r="X165" i="1"/>
  <c r="Y165" i="1"/>
  <c r="X166" i="1"/>
  <c r="Y166" i="1"/>
  <c r="X167" i="1"/>
  <c r="Y167" i="1"/>
  <c r="X168" i="1"/>
  <c r="Y168" i="1"/>
  <c r="X169" i="1"/>
  <c r="Y169" i="1"/>
  <c r="X170" i="1"/>
  <c r="Y170" i="1"/>
  <c r="X171" i="1"/>
  <c r="Y171" i="1"/>
  <c r="X172" i="1"/>
  <c r="Y172" i="1"/>
  <c r="X173" i="1"/>
  <c r="Y173" i="1"/>
  <c r="X174" i="1"/>
  <c r="Y174" i="1"/>
  <c r="X175" i="1"/>
  <c r="Y175" i="1"/>
  <c r="X176" i="1"/>
  <c r="Y176" i="1"/>
  <c r="X177" i="1"/>
  <c r="Y177" i="1"/>
  <c r="X178" i="1"/>
  <c r="Y178" i="1"/>
  <c r="X179" i="1"/>
  <c r="Y179" i="1"/>
  <c r="X180" i="1"/>
  <c r="Y180" i="1"/>
  <c r="X181" i="1"/>
  <c r="Y181" i="1"/>
  <c r="X182" i="1"/>
  <c r="Y182" i="1"/>
  <c r="X183" i="1"/>
  <c r="Y183" i="1"/>
  <c r="X184" i="1"/>
  <c r="Y184" i="1"/>
  <c r="X185" i="1"/>
  <c r="Y185" i="1"/>
  <c r="X186" i="1"/>
  <c r="Y186" i="1"/>
  <c r="X187" i="1"/>
  <c r="Y187" i="1"/>
  <c r="X188" i="1"/>
  <c r="Y188" i="1"/>
  <c r="X189" i="1"/>
  <c r="Y189" i="1"/>
  <c r="X190" i="1"/>
  <c r="Y190" i="1"/>
  <c r="X191" i="1"/>
  <c r="Y191" i="1"/>
  <c r="X192" i="1"/>
  <c r="Y192" i="1"/>
  <c r="X193" i="1"/>
  <c r="Y193" i="1"/>
  <c r="X194" i="1"/>
  <c r="Y194" i="1"/>
  <c r="X195" i="1"/>
  <c r="Y195" i="1"/>
  <c r="X196" i="1"/>
  <c r="Y196" i="1"/>
  <c r="X197" i="1"/>
  <c r="Y197" i="1"/>
  <c r="X198" i="1"/>
  <c r="Y198" i="1"/>
  <c r="X199" i="1"/>
  <c r="Y199" i="1"/>
  <c r="X200" i="1"/>
  <c r="Y200" i="1"/>
  <c r="X201" i="1"/>
  <c r="Y201" i="1"/>
  <c r="X202" i="1"/>
  <c r="Y202" i="1"/>
  <c r="X203" i="1"/>
  <c r="Y203" i="1"/>
  <c r="X204" i="1"/>
  <c r="Y204" i="1"/>
  <c r="X205" i="1"/>
  <c r="Y205" i="1"/>
  <c r="X206" i="1"/>
  <c r="Y206" i="1"/>
  <c r="X207" i="1"/>
  <c r="Y207" i="1"/>
  <c r="X208" i="1"/>
  <c r="Y208" i="1"/>
  <c r="X209" i="1"/>
  <c r="Y209" i="1"/>
  <c r="X210" i="1"/>
  <c r="Y210" i="1"/>
  <c r="X211" i="1"/>
  <c r="Y211" i="1"/>
  <c r="X212" i="1"/>
  <c r="Y212" i="1"/>
  <c r="X213" i="1"/>
  <c r="Y213" i="1"/>
  <c r="X214" i="1"/>
  <c r="Y214" i="1"/>
  <c r="X215" i="1"/>
  <c r="Y215" i="1"/>
  <c r="X216" i="1"/>
  <c r="Y216" i="1"/>
  <c r="X217" i="1"/>
  <c r="Y217" i="1"/>
  <c r="X218" i="1"/>
  <c r="Y218" i="1"/>
  <c r="X219" i="1"/>
  <c r="Y219" i="1"/>
  <c r="X220" i="1"/>
  <c r="Y220" i="1"/>
  <c r="X221" i="1"/>
  <c r="Y221" i="1"/>
  <c r="X222" i="1"/>
  <c r="Y222" i="1"/>
  <c r="X223" i="1"/>
  <c r="Y223" i="1"/>
  <c r="X224" i="1"/>
  <c r="Y224" i="1"/>
  <c r="X225" i="1"/>
  <c r="Y225" i="1"/>
  <c r="X226" i="1"/>
  <c r="Y226" i="1"/>
  <c r="X227" i="1"/>
  <c r="Y227" i="1"/>
  <c r="X228" i="1"/>
  <c r="Y228" i="1"/>
  <c r="X229" i="1"/>
  <c r="Y229" i="1"/>
  <c r="X230" i="1"/>
  <c r="Y230" i="1"/>
  <c r="X231" i="1"/>
  <c r="Y231" i="1"/>
  <c r="X232" i="1"/>
  <c r="Y232" i="1"/>
  <c r="X233" i="1"/>
  <c r="Y233" i="1"/>
  <c r="X234" i="1"/>
  <c r="Y234" i="1"/>
  <c r="X235" i="1"/>
  <c r="Y235" i="1"/>
  <c r="X236" i="1"/>
  <c r="Y236" i="1"/>
  <c r="X237" i="1"/>
  <c r="Y237" i="1"/>
  <c r="X238" i="1"/>
  <c r="Y238" i="1"/>
  <c r="X239" i="1"/>
  <c r="Y239" i="1"/>
  <c r="X240" i="1"/>
  <c r="Y240" i="1"/>
  <c r="X241" i="1"/>
  <c r="Y241" i="1"/>
  <c r="X242" i="1"/>
  <c r="Y242" i="1"/>
  <c r="X243" i="1"/>
  <c r="Y243" i="1"/>
  <c r="X244" i="1"/>
  <c r="Y244" i="1"/>
  <c r="X245" i="1"/>
  <c r="Y245" i="1"/>
  <c r="X246" i="1"/>
  <c r="Y246" i="1"/>
  <c r="X247" i="1"/>
  <c r="Y247" i="1"/>
  <c r="X248" i="1"/>
  <c r="Y248" i="1"/>
  <c r="X249" i="1"/>
  <c r="Y249" i="1"/>
  <c r="X250" i="1"/>
  <c r="Y250" i="1"/>
  <c r="X251" i="1"/>
  <c r="Y251" i="1"/>
  <c r="X252" i="1"/>
  <c r="Y252" i="1"/>
  <c r="X253" i="1"/>
  <c r="Y253" i="1"/>
  <c r="X254" i="1"/>
  <c r="Y254" i="1"/>
  <c r="X255" i="1"/>
  <c r="Y255" i="1"/>
  <c r="X256" i="1"/>
  <c r="Y256" i="1"/>
  <c r="X257" i="1"/>
  <c r="Y257" i="1"/>
  <c r="X258" i="1"/>
  <c r="Y258" i="1"/>
  <c r="X259" i="1"/>
  <c r="Y259" i="1"/>
  <c r="X260" i="1"/>
  <c r="Y260" i="1"/>
  <c r="X261" i="1"/>
  <c r="Y261" i="1"/>
  <c r="X262" i="1"/>
  <c r="Y262" i="1"/>
  <c r="X263" i="1"/>
  <c r="Y263" i="1"/>
  <c r="X264" i="1"/>
  <c r="Y264" i="1"/>
  <c r="X265" i="1"/>
  <c r="Y265" i="1"/>
  <c r="X266" i="1"/>
  <c r="Y266" i="1"/>
  <c r="X267" i="1"/>
  <c r="Y267" i="1"/>
  <c r="X268" i="1"/>
  <c r="Y268" i="1"/>
  <c r="X269" i="1"/>
  <c r="Y269" i="1"/>
  <c r="X270" i="1"/>
  <c r="Y270" i="1"/>
  <c r="X271" i="1"/>
  <c r="Y271" i="1"/>
  <c r="X272" i="1"/>
  <c r="Y272" i="1"/>
  <c r="X273" i="1"/>
  <c r="Y273" i="1"/>
  <c r="X274" i="1"/>
  <c r="Y274" i="1"/>
  <c r="X275" i="1"/>
  <c r="Y275" i="1"/>
  <c r="X276" i="1"/>
  <c r="Y276" i="1"/>
  <c r="X277" i="1"/>
  <c r="Y277" i="1"/>
  <c r="X278" i="1"/>
  <c r="Y278" i="1"/>
  <c r="X279" i="1"/>
  <c r="Y279" i="1"/>
  <c r="X280" i="1"/>
  <c r="Y280" i="1"/>
  <c r="X281" i="1"/>
  <c r="Y281" i="1"/>
  <c r="X282" i="1"/>
  <c r="Y282" i="1"/>
  <c r="X283" i="1"/>
  <c r="Y283" i="1"/>
  <c r="X284" i="1"/>
  <c r="Y284" i="1"/>
  <c r="X285" i="1"/>
  <c r="Y285" i="1"/>
  <c r="X286" i="1"/>
  <c r="Y286" i="1"/>
  <c r="X287" i="1"/>
  <c r="Y287" i="1"/>
  <c r="X288" i="1"/>
  <c r="Y288" i="1"/>
  <c r="X289" i="1"/>
  <c r="Y289" i="1"/>
  <c r="X290" i="1"/>
  <c r="Y290" i="1"/>
  <c r="X291" i="1"/>
  <c r="Y291" i="1"/>
  <c r="X292" i="1"/>
  <c r="Y292" i="1"/>
  <c r="X293" i="1"/>
  <c r="Y293" i="1"/>
  <c r="X294" i="1"/>
  <c r="Y294" i="1"/>
  <c r="X295" i="1"/>
  <c r="Y295" i="1"/>
  <c r="X296" i="1"/>
  <c r="Y296" i="1"/>
  <c r="X297" i="1"/>
  <c r="Y297" i="1"/>
  <c r="X298" i="1"/>
  <c r="Y298" i="1"/>
  <c r="X299" i="1"/>
  <c r="Y299" i="1"/>
  <c r="X300" i="1"/>
  <c r="Y300" i="1"/>
  <c r="X301" i="1"/>
  <c r="Y301" i="1"/>
  <c r="X302" i="1"/>
  <c r="Y302" i="1"/>
  <c r="X303" i="1"/>
  <c r="Y303" i="1"/>
  <c r="X304" i="1"/>
  <c r="Y304" i="1"/>
  <c r="X305" i="1"/>
  <c r="Y305" i="1"/>
  <c r="X306" i="1"/>
  <c r="Y306" i="1"/>
  <c r="X307" i="1"/>
  <c r="Y307" i="1"/>
  <c r="X308" i="1"/>
  <c r="Y308" i="1"/>
  <c r="X309" i="1"/>
  <c r="Y309" i="1"/>
  <c r="X310" i="1"/>
  <c r="Y310" i="1"/>
  <c r="X311" i="1"/>
  <c r="Y311" i="1"/>
  <c r="X312" i="1"/>
  <c r="Y312" i="1"/>
  <c r="X313" i="1"/>
  <c r="Y313" i="1"/>
  <c r="X314" i="1"/>
  <c r="Y314" i="1"/>
  <c r="X315" i="1"/>
  <c r="Y315" i="1"/>
  <c r="X316" i="1"/>
  <c r="Y316" i="1"/>
  <c r="X317" i="1"/>
  <c r="Y317" i="1"/>
  <c r="X318" i="1"/>
  <c r="Y318" i="1"/>
  <c r="X319" i="1"/>
  <c r="Y319" i="1"/>
  <c r="X320" i="1"/>
  <c r="Y320" i="1"/>
  <c r="X321" i="1"/>
  <c r="Y321" i="1"/>
  <c r="X322" i="1"/>
  <c r="Y322" i="1"/>
  <c r="X323" i="1"/>
  <c r="Y323" i="1"/>
  <c r="X324" i="1"/>
  <c r="Y324" i="1"/>
  <c r="X325" i="1"/>
  <c r="Y325" i="1"/>
  <c r="X326" i="1"/>
  <c r="Y326" i="1"/>
  <c r="X327" i="1"/>
  <c r="Y327" i="1"/>
  <c r="X328" i="1"/>
  <c r="Y328" i="1"/>
  <c r="X329" i="1"/>
  <c r="Y329" i="1"/>
  <c r="X330" i="1"/>
  <c r="Y330" i="1"/>
  <c r="X331" i="1"/>
  <c r="Y331" i="1"/>
  <c r="X332" i="1"/>
  <c r="Y332" i="1"/>
  <c r="X333" i="1"/>
  <c r="Y333" i="1"/>
  <c r="X334" i="1"/>
  <c r="Y334" i="1"/>
  <c r="X335" i="1"/>
  <c r="Y335" i="1"/>
  <c r="X336" i="1"/>
  <c r="Y336" i="1"/>
  <c r="X337" i="1"/>
  <c r="Y337" i="1"/>
  <c r="X338" i="1"/>
  <c r="Y338" i="1"/>
  <c r="X339" i="1"/>
  <c r="Y339" i="1"/>
  <c r="X340" i="1"/>
  <c r="Y340" i="1"/>
  <c r="X341" i="1"/>
  <c r="Y341" i="1"/>
  <c r="X342" i="1"/>
  <c r="Y342" i="1"/>
  <c r="X343" i="1"/>
  <c r="Y343" i="1"/>
  <c r="X344" i="1"/>
  <c r="Y344" i="1"/>
  <c r="X345" i="1"/>
  <c r="Y345" i="1"/>
  <c r="X346" i="1"/>
  <c r="Y346" i="1"/>
  <c r="X347" i="1"/>
  <c r="Y347" i="1"/>
  <c r="X348" i="1"/>
  <c r="Y348" i="1"/>
  <c r="X349" i="1"/>
  <c r="Y349" i="1"/>
  <c r="X350" i="1"/>
  <c r="Y350" i="1"/>
  <c r="X351" i="1"/>
  <c r="Y351" i="1"/>
  <c r="X352" i="1"/>
  <c r="Y352" i="1"/>
  <c r="X353" i="1"/>
  <c r="Y353" i="1"/>
  <c r="X354" i="1"/>
  <c r="Y354" i="1"/>
  <c r="X355" i="1"/>
  <c r="Y355" i="1"/>
  <c r="X356" i="1"/>
  <c r="Y356" i="1"/>
  <c r="X357" i="1"/>
  <c r="Y357" i="1"/>
  <c r="X358" i="1"/>
  <c r="Y358" i="1"/>
  <c r="X359" i="1"/>
  <c r="Y359" i="1"/>
  <c r="X360" i="1"/>
  <c r="Y360" i="1"/>
  <c r="X361" i="1"/>
  <c r="Y361" i="1"/>
  <c r="X362" i="1"/>
  <c r="Y362" i="1"/>
  <c r="X363" i="1"/>
  <c r="Y363" i="1"/>
  <c r="X364" i="1"/>
  <c r="Y364" i="1"/>
  <c r="X365" i="1"/>
  <c r="Y365" i="1"/>
  <c r="X366" i="1"/>
  <c r="Y366" i="1"/>
  <c r="X367" i="1"/>
  <c r="Y367" i="1"/>
  <c r="X368" i="1"/>
  <c r="Y368" i="1"/>
  <c r="X369" i="1"/>
  <c r="Y369" i="1"/>
  <c r="X370" i="1"/>
  <c r="Y370" i="1"/>
  <c r="X371" i="1"/>
  <c r="Y371" i="1"/>
  <c r="X372" i="1"/>
  <c r="Y372" i="1"/>
  <c r="X373" i="1"/>
  <c r="Y373" i="1"/>
  <c r="X374" i="1"/>
  <c r="Y374" i="1"/>
  <c r="X375" i="1"/>
  <c r="Y375" i="1"/>
  <c r="X376" i="1"/>
  <c r="Y376" i="1"/>
  <c r="X377" i="1"/>
  <c r="Y377" i="1"/>
  <c r="X378" i="1"/>
  <c r="Y378" i="1"/>
  <c r="X379" i="1"/>
  <c r="Y379" i="1"/>
  <c r="X380" i="1"/>
  <c r="Y380" i="1"/>
  <c r="X381" i="1"/>
  <c r="Y381" i="1"/>
  <c r="X382" i="1"/>
  <c r="Y382" i="1"/>
  <c r="X383" i="1"/>
  <c r="Y383" i="1"/>
  <c r="X384" i="1"/>
  <c r="Y384" i="1"/>
  <c r="X385" i="1"/>
  <c r="Y385" i="1"/>
  <c r="X386" i="1"/>
  <c r="Y386" i="1"/>
  <c r="X387" i="1"/>
  <c r="Y387" i="1"/>
  <c r="X388" i="1"/>
  <c r="Y388" i="1"/>
  <c r="X389" i="1"/>
  <c r="Y389" i="1"/>
  <c r="X390" i="1"/>
  <c r="Y390" i="1"/>
  <c r="X391" i="1"/>
  <c r="Y391" i="1"/>
  <c r="X392" i="1"/>
  <c r="Y392" i="1"/>
  <c r="X393" i="1"/>
  <c r="Y393" i="1"/>
  <c r="X394" i="1"/>
  <c r="Y394" i="1"/>
  <c r="X395" i="1"/>
  <c r="Y395" i="1"/>
  <c r="X396" i="1"/>
  <c r="Y396" i="1"/>
  <c r="X397" i="1"/>
  <c r="Y397" i="1"/>
  <c r="X398" i="1"/>
  <c r="Y398" i="1"/>
  <c r="X399" i="1"/>
  <c r="Y399" i="1"/>
  <c r="X400" i="1"/>
  <c r="Y400" i="1"/>
  <c r="X401" i="1"/>
  <c r="Y401" i="1"/>
  <c r="X402" i="1"/>
  <c r="Y402" i="1"/>
  <c r="X403" i="1"/>
  <c r="Y403" i="1"/>
  <c r="X404" i="1"/>
  <c r="Y404" i="1"/>
  <c r="X405" i="1"/>
  <c r="Y405" i="1"/>
  <c r="X406" i="1"/>
  <c r="Y406" i="1"/>
  <c r="X407" i="1"/>
  <c r="Y407" i="1"/>
  <c r="X408" i="1"/>
  <c r="Y408" i="1"/>
  <c r="X409" i="1"/>
  <c r="Y409" i="1"/>
  <c r="X410" i="1"/>
  <c r="Y410" i="1"/>
  <c r="X411" i="1"/>
  <c r="Y411" i="1"/>
  <c r="X412" i="1"/>
  <c r="Y412" i="1"/>
  <c r="X413" i="1"/>
  <c r="Y413" i="1"/>
  <c r="X414" i="1"/>
  <c r="Y414" i="1"/>
  <c r="X415" i="1"/>
  <c r="Y415" i="1"/>
  <c r="X416" i="1"/>
  <c r="Y416" i="1"/>
  <c r="X417" i="1"/>
  <c r="Y417" i="1"/>
  <c r="X418" i="1"/>
  <c r="Y418" i="1"/>
  <c r="X419" i="1"/>
  <c r="Y419" i="1"/>
  <c r="X420" i="1"/>
  <c r="Y420" i="1"/>
  <c r="X421" i="1"/>
  <c r="Y421" i="1"/>
  <c r="X422" i="1"/>
  <c r="Y422" i="1"/>
  <c r="X423" i="1"/>
  <c r="Y423" i="1"/>
  <c r="X424" i="1"/>
  <c r="Y424" i="1"/>
  <c r="X425" i="1"/>
  <c r="Y425" i="1"/>
  <c r="X426" i="1"/>
  <c r="Y426" i="1"/>
  <c r="X427" i="1"/>
  <c r="Y427" i="1"/>
  <c r="X428" i="1"/>
  <c r="Y428" i="1"/>
  <c r="X429" i="1"/>
  <c r="Y429" i="1"/>
  <c r="X430" i="1"/>
  <c r="Y430" i="1"/>
  <c r="X431" i="1"/>
  <c r="Y431" i="1"/>
  <c r="X432" i="1"/>
  <c r="Y432" i="1"/>
  <c r="X433" i="1"/>
  <c r="Y433" i="1"/>
  <c r="X434" i="1"/>
  <c r="Y434" i="1"/>
  <c r="X435" i="1"/>
  <c r="Y435" i="1"/>
  <c r="X436" i="1"/>
  <c r="Y436" i="1"/>
  <c r="X437" i="1"/>
  <c r="Y437" i="1"/>
  <c r="X438" i="1"/>
  <c r="Y438" i="1"/>
  <c r="X439" i="1"/>
  <c r="Y439" i="1"/>
  <c r="X440" i="1"/>
  <c r="Y440" i="1"/>
  <c r="X441" i="1"/>
  <c r="Y441" i="1"/>
  <c r="X442" i="1"/>
  <c r="Y442" i="1"/>
  <c r="X443" i="1"/>
  <c r="Y443" i="1"/>
  <c r="X444" i="1"/>
  <c r="Y444" i="1"/>
  <c r="X445" i="1"/>
  <c r="Y445" i="1"/>
  <c r="X446" i="1"/>
  <c r="Y446" i="1"/>
  <c r="X447" i="1"/>
  <c r="Y447" i="1"/>
  <c r="X448" i="1"/>
  <c r="Y448" i="1"/>
  <c r="X449" i="1"/>
  <c r="Y449" i="1"/>
  <c r="X450" i="1"/>
  <c r="Y450" i="1"/>
  <c r="X451" i="1"/>
  <c r="Y451" i="1"/>
  <c r="X452" i="1"/>
  <c r="Y452" i="1"/>
  <c r="X453" i="1"/>
  <c r="Y453" i="1"/>
  <c r="X454" i="1"/>
  <c r="Y454" i="1"/>
  <c r="X455" i="1"/>
  <c r="Y455" i="1"/>
  <c r="X456" i="1"/>
  <c r="Y456" i="1"/>
  <c r="X457" i="1"/>
  <c r="Y457" i="1"/>
  <c r="X458" i="1"/>
  <c r="Y458" i="1"/>
  <c r="X459" i="1"/>
  <c r="Y459" i="1"/>
  <c r="X460" i="1"/>
  <c r="Y460" i="1"/>
  <c r="X461" i="1"/>
  <c r="Y461" i="1"/>
  <c r="X462" i="1"/>
  <c r="Y462" i="1"/>
  <c r="X463" i="1"/>
  <c r="Y463" i="1"/>
  <c r="X464" i="1"/>
  <c r="Y464" i="1"/>
  <c r="X465" i="1"/>
  <c r="Y465" i="1"/>
  <c r="X466" i="1"/>
  <c r="Y466" i="1"/>
  <c r="X467" i="1"/>
  <c r="Y467" i="1"/>
  <c r="X468" i="1"/>
  <c r="Y468" i="1"/>
  <c r="X469" i="1"/>
  <c r="Y469" i="1"/>
  <c r="X470" i="1"/>
  <c r="Y470" i="1"/>
  <c r="X471" i="1"/>
  <c r="Y471" i="1"/>
  <c r="X472" i="1"/>
  <c r="Y472" i="1"/>
  <c r="X473" i="1"/>
  <c r="Y473" i="1"/>
  <c r="X474" i="1"/>
  <c r="Y474" i="1"/>
  <c r="X475" i="1"/>
  <c r="Y475" i="1"/>
  <c r="X476" i="1"/>
  <c r="Y476" i="1"/>
  <c r="X477" i="1"/>
  <c r="Y477" i="1"/>
  <c r="X478" i="1"/>
  <c r="Y478" i="1"/>
  <c r="X479" i="1"/>
  <c r="Y479" i="1"/>
  <c r="X480" i="1"/>
  <c r="Y480" i="1"/>
  <c r="X481" i="1"/>
  <c r="Y481" i="1"/>
  <c r="X482" i="1"/>
  <c r="Y482" i="1"/>
  <c r="X483" i="1"/>
  <c r="Y483" i="1"/>
  <c r="X484" i="1"/>
  <c r="Y484" i="1"/>
  <c r="X485" i="1"/>
  <c r="Y485" i="1"/>
  <c r="X486" i="1"/>
  <c r="Y486" i="1"/>
  <c r="X487" i="1"/>
  <c r="Y487" i="1"/>
  <c r="X488" i="1"/>
  <c r="Y488" i="1"/>
  <c r="X489" i="1"/>
  <c r="Y489" i="1"/>
  <c r="X490" i="1"/>
  <c r="Y490" i="1"/>
  <c r="X491" i="1"/>
  <c r="Y491" i="1"/>
  <c r="X492" i="1"/>
  <c r="Y492" i="1"/>
  <c r="X493" i="1"/>
  <c r="Y493" i="1"/>
  <c r="X494" i="1"/>
  <c r="Y494" i="1"/>
  <c r="X495" i="1"/>
  <c r="Y495" i="1"/>
  <c r="X496" i="1"/>
  <c r="Y496" i="1"/>
  <c r="X497" i="1"/>
  <c r="Y497" i="1"/>
  <c r="X498" i="1"/>
  <c r="Y498" i="1"/>
  <c r="X499" i="1"/>
  <c r="Y499" i="1"/>
  <c r="X500" i="1"/>
  <c r="Y500" i="1"/>
  <c r="X501" i="1"/>
  <c r="Y501" i="1"/>
  <c r="X502" i="1"/>
  <c r="Y502" i="1"/>
  <c r="X503" i="1"/>
  <c r="Y503" i="1"/>
  <c r="X504" i="1"/>
  <c r="Y504" i="1"/>
  <c r="X505" i="1"/>
  <c r="Y505" i="1"/>
  <c r="AA2" i="1"/>
  <c r="AB2" i="1"/>
  <c r="AA3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D2" i="1"/>
  <c r="AE2" i="1"/>
  <c r="AD3" i="1"/>
  <c r="AE3" i="1"/>
  <c r="AD4" i="1"/>
  <c r="AE4" i="1"/>
  <c r="AD5" i="1"/>
  <c r="AE5" i="1"/>
  <c r="AD6" i="1"/>
  <c r="AE6" i="1"/>
  <c r="AD7" i="1"/>
  <c r="AE7" i="1"/>
  <c r="AD8" i="1"/>
  <c r="AE8" i="1"/>
  <c r="AD9" i="1"/>
  <c r="AE9" i="1"/>
  <c r="AD10" i="1"/>
  <c r="AE10" i="1"/>
  <c r="AD11" i="1"/>
  <c r="AE11" i="1"/>
  <c r="AD12" i="1"/>
  <c r="AE12" i="1"/>
  <c r="AD13" i="1"/>
  <c r="AE13" i="1"/>
  <c r="AD14" i="1"/>
  <c r="AE14" i="1"/>
  <c r="AD15" i="1"/>
  <c r="AE15" i="1"/>
  <c r="AD16" i="1"/>
  <c r="AE16" i="1"/>
  <c r="AD17" i="1"/>
  <c r="AE17" i="1"/>
  <c r="AD18" i="1"/>
  <c r="AE18" i="1"/>
  <c r="AD19" i="1"/>
  <c r="AE19" i="1"/>
  <c r="AD20" i="1"/>
  <c r="AE20" i="1"/>
  <c r="AD21" i="1"/>
  <c r="AE21" i="1"/>
  <c r="AD22" i="1"/>
  <c r="AE22" i="1"/>
  <c r="AD23" i="1"/>
  <c r="AE23" i="1"/>
  <c r="AD24" i="1"/>
  <c r="AE24" i="1"/>
  <c r="AD25" i="1"/>
  <c r="AE25" i="1"/>
  <c r="AD26" i="1"/>
  <c r="AE26" i="1"/>
  <c r="AD27" i="1"/>
  <c r="AE27" i="1"/>
  <c r="AD28" i="1"/>
  <c r="AE28" i="1"/>
  <c r="AD29" i="1"/>
  <c r="AE29" i="1"/>
  <c r="AD30" i="1"/>
  <c r="AE30" i="1"/>
  <c r="AD31" i="1"/>
  <c r="AE31" i="1"/>
  <c r="AD32" i="1"/>
  <c r="AE32" i="1"/>
  <c r="AD33" i="1"/>
  <c r="AE33" i="1"/>
  <c r="AD34" i="1"/>
  <c r="AE34" i="1"/>
  <c r="AD35" i="1"/>
  <c r="AE35" i="1"/>
  <c r="AD36" i="1"/>
  <c r="AE36" i="1"/>
  <c r="AD37" i="1"/>
  <c r="AE37" i="1"/>
  <c r="AD38" i="1"/>
  <c r="AE38" i="1"/>
  <c r="AD39" i="1"/>
  <c r="AE39" i="1"/>
  <c r="AD40" i="1"/>
  <c r="AE40" i="1"/>
  <c r="AD41" i="1"/>
  <c r="AE41" i="1"/>
  <c r="AD42" i="1"/>
  <c r="AE42" i="1"/>
  <c r="AD43" i="1"/>
  <c r="AE43" i="1"/>
  <c r="AD44" i="1"/>
  <c r="AE44" i="1"/>
  <c r="AD45" i="1"/>
  <c r="AE45" i="1"/>
  <c r="AD46" i="1"/>
  <c r="AE46" i="1"/>
  <c r="AD47" i="1"/>
  <c r="AE47" i="1"/>
  <c r="AD48" i="1"/>
  <c r="AE48" i="1"/>
  <c r="AD49" i="1"/>
  <c r="AE49" i="1"/>
  <c r="AD50" i="1"/>
  <c r="AE50" i="1"/>
  <c r="AD51" i="1"/>
  <c r="AE51" i="1"/>
  <c r="AD52" i="1"/>
  <c r="AE52" i="1"/>
  <c r="AD53" i="1"/>
  <c r="AE53" i="1"/>
  <c r="AD54" i="1"/>
  <c r="AE54" i="1"/>
  <c r="AD55" i="1"/>
  <c r="AE55" i="1"/>
  <c r="AD56" i="1"/>
  <c r="AE56" i="1"/>
  <c r="AD57" i="1"/>
  <c r="AE57" i="1"/>
  <c r="AD58" i="1"/>
  <c r="AE58" i="1"/>
  <c r="AD59" i="1"/>
  <c r="AE59" i="1"/>
  <c r="AD60" i="1"/>
  <c r="AE60" i="1"/>
  <c r="AD61" i="1"/>
  <c r="AE61" i="1"/>
  <c r="AD62" i="1"/>
  <c r="AE62" i="1"/>
  <c r="AD63" i="1"/>
  <c r="AE63" i="1"/>
  <c r="AD64" i="1"/>
  <c r="AE64" i="1"/>
  <c r="AD65" i="1"/>
  <c r="AE65" i="1"/>
  <c r="AD66" i="1"/>
  <c r="AE66" i="1"/>
  <c r="AD67" i="1"/>
  <c r="AE67" i="1"/>
  <c r="AD68" i="1"/>
  <c r="AE68" i="1"/>
  <c r="AD69" i="1"/>
  <c r="AE69" i="1"/>
  <c r="AD70" i="1"/>
  <c r="AE70" i="1"/>
  <c r="AD71" i="1"/>
  <c r="AE71" i="1"/>
  <c r="AD72" i="1"/>
  <c r="AE72" i="1"/>
  <c r="AD73" i="1"/>
  <c r="AE73" i="1"/>
  <c r="AD74" i="1"/>
  <c r="AE74" i="1"/>
  <c r="AD75" i="1"/>
  <c r="AE75" i="1"/>
  <c r="AD76" i="1"/>
  <c r="AE76" i="1"/>
  <c r="AD77" i="1"/>
  <c r="AE77" i="1"/>
  <c r="AD78" i="1"/>
  <c r="AE78" i="1"/>
  <c r="AD79" i="1"/>
  <c r="AE79" i="1"/>
  <c r="AD80" i="1"/>
  <c r="AE80" i="1"/>
  <c r="AD81" i="1"/>
  <c r="AE81" i="1"/>
  <c r="AD82" i="1"/>
  <c r="AE82" i="1"/>
  <c r="AD83" i="1"/>
  <c r="AE83" i="1"/>
  <c r="AD84" i="1"/>
  <c r="AE84" i="1"/>
  <c r="AD85" i="1"/>
  <c r="AE85" i="1"/>
  <c r="AD86" i="1"/>
  <c r="AE86" i="1"/>
  <c r="AD87" i="1"/>
  <c r="AE87" i="1"/>
  <c r="AD88" i="1"/>
  <c r="AE88" i="1"/>
  <c r="AD89" i="1"/>
  <c r="AE89" i="1"/>
  <c r="AD90" i="1"/>
  <c r="AE90" i="1"/>
  <c r="AD91" i="1"/>
  <c r="AE91" i="1"/>
  <c r="AD92" i="1"/>
  <c r="AE92" i="1"/>
  <c r="AD93" i="1"/>
  <c r="AE93" i="1"/>
  <c r="AD94" i="1"/>
  <c r="AE94" i="1"/>
  <c r="AD95" i="1"/>
  <c r="AE95" i="1"/>
  <c r="AD96" i="1"/>
  <c r="AE96" i="1"/>
  <c r="AD97" i="1"/>
  <c r="AE97" i="1"/>
  <c r="AD98" i="1"/>
  <c r="AE98" i="1"/>
  <c r="AD99" i="1"/>
  <c r="AE99" i="1"/>
  <c r="AD100" i="1"/>
  <c r="AE100" i="1"/>
  <c r="AD101" i="1"/>
  <c r="AE101" i="1"/>
  <c r="AD102" i="1"/>
  <c r="AE102" i="1"/>
  <c r="AD103" i="1"/>
  <c r="AE103" i="1"/>
  <c r="AD104" i="1"/>
  <c r="AE104" i="1"/>
  <c r="AD105" i="1"/>
  <c r="AE105" i="1"/>
  <c r="AD106" i="1"/>
  <c r="AE106" i="1"/>
  <c r="AD107" i="1"/>
  <c r="AE107" i="1"/>
  <c r="AD108" i="1"/>
  <c r="AE108" i="1"/>
  <c r="AD109" i="1"/>
  <c r="AE109" i="1"/>
  <c r="AD110" i="1"/>
  <c r="AE110" i="1"/>
  <c r="AD111" i="1"/>
  <c r="AE111" i="1"/>
  <c r="AD112" i="1"/>
  <c r="AE112" i="1"/>
  <c r="AD113" i="1"/>
  <c r="AE113" i="1"/>
  <c r="AD114" i="1"/>
  <c r="AE114" i="1"/>
  <c r="AD115" i="1"/>
  <c r="AE115" i="1"/>
  <c r="AD116" i="1"/>
  <c r="AE116" i="1"/>
  <c r="AD117" i="1"/>
  <c r="AE117" i="1"/>
  <c r="AD118" i="1"/>
  <c r="AE118" i="1"/>
  <c r="AD119" i="1"/>
  <c r="AE119" i="1"/>
  <c r="AD120" i="1"/>
  <c r="AE120" i="1"/>
  <c r="AD121" i="1"/>
  <c r="AE121" i="1"/>
  <c r="AD122" i="1"/>
  <c r="AE122" i="1"/>
  <c r="AD123" i="1"/>
  <c r="AE123" i="1"/>
  <c r="AD124" i="1"/>
  <c r="AE124" i="1"/>
  <c r="AD125" i="1"/>
  <c r="AE125" i="1"/>
  <c r="AD126" i="1"/>
  <c r="AE126" i="1"/>
  <c r="AD127" i="1"/>
  <c r="AE127" i="1"/>
  <c r="AD128" i="1"/>
  <c r="AE128" i="1"/>
  <c r="AD129" i="1"/>
  <c r="AE129" i="1"/>
  <c r="AD130" i="1"/>
  <c r="AE130" i="1"/>
  <c r="AD131" i="1"/>
  <c r="AE131" i="1"/>
  <c r="AD132" i="1"/>
  <c r="AE132" i="1"/>
  <c r="AD133" i="1"/>
  <c r="AE133" i="1"/>
  <c r="AD134" i="1"/>
  <c r="AE134" i="1"/>
  <c r="AD135" i="1"/>
  <c r="AE135" i="1"/>
  <c r="AD136" i="1"/>
  <c r="AE136" i="1"/>
  <c r="AD137" i="1"/>
  <c r="AE137" i="1"/>
  <c r="AD138" i="1"/>
  <c r="AE138" i="1"/>
  <c r="AD139" i="1"/>
  <c r="AE139" i="1"/>
  <c r="AD140" i="1"/>
  <c r="AE140" i="1"/>
  <c r="AD141" i="1"/>
  <c r="AE141" i="1"/>
  <c r="AD142" i="1"/>
  <c r="AE142" i="1"/>
  <c r="AD143" i="1"/>
  <c r="AE143" i="1"/>
  <c r="AD144" i="1"/>
  <c r="AE144" i="1"/>
  <c r="AD145" i="1"/>
  <c r="AE145" i="1"/>
  <c r="AD146" i="1"/>
  <c r="AE146" i="1"/>
  <c r="AD147" i="1"/>
  <c r="AE147" i="1"/>
  <c r="AD148" i="1"/>
  <c r="AE148" i="1"/>
  <c r="AD149" i="1"/>
  <c r="AE149" i="1"/>
  <c r="AD150" i="1"/>
  <c r="AE150" i="1"/>
  <c r="AD151" i="1"/>
  <c r="AE151" i="1"/>
  <c r="AD152" i="1"/>
  <c r="AE152" i="1"/>
  <c r="AD153" i="1"/>
  <c r="AE153" i="1"/>
  <c r="AD154" i="1"/>
  <c r="AE154" i="1"/>
  <c r="AD155" i="1"/>
  <c r="AE155" i="1"/>
  <c r="AD156" i="1"/>
  <c r="AE156" i="1"/>
  <c r="AD157" i="1"/>
  <c r="AE157" i="1"/>
  <c r="AD158" i="1"/>
  <c r="AE158" i="1"/>
  <c r="AD159" i="1"/>
  <c r="AE159" i="1"/>
  <c r="AD160" i="1"/>
  <c r="AE160" i="1"/>
  <c r="AD161" i="1"/>
  <c r="AE161" i="1"/>
  <c r="AD162" i="1"/>
  <c r="AE162" i="1"/>
  <c r="AD163" i="1"/>
  <c r="AE163" i="1"/>
  <c r="AD164" i="1"/>
  <c r="AE164" i="1"/>
  <c r="AD165" i="1"/>
  <c r="AE165" i="1"/>
  <c r="AD166" i="1"/>
  <c r="AE166" i="1"/>
  <c r="AD167" i="1"/>
  <c r="AE167" i="1"/>
  <c r="AD168" i="1"/>
  <c r="AE168" i="1"/>
  <c r="AD169" i="1"/>
  <c r="AE169" i="1"/>
  <c r="AD170" i="1"/>
  <c r="AE170" i="1"/>
  <c r="AD171" i="1"/>
  <c r="AE171" i="1"/>
  <c r="AD172" i="1"/>
  <c r="AE172" i="1"/>
  <c r="AD173" i="1"/>
  <c r="AE173" i="1"/>
  <c r="AD174" i="1"/>
  <c r="AE174" i="1"/>
  <c r="AD175" i="1"/>
  <c r="AE175" i="1"/>
  <c r="AD176" i="1"/>
  <c r="AE176" i="1"/>
  <c r="AD177" i="1"/>
  <c r="AE177" i="1"/>
  <c r="AD178" i="1"/>
  <c r="AE178" i="1"/>
  <c r="AD179" i="1"/>
  <c r="AE179" i="1"/>
  <c r="AD180" i="1"/>
  <c r="AE180" i="1"/>
  <c r="AD181" i="1"/>
  <c r="AE181" i="1"/>
  <c r="AD182" i="1"/>
  <c r="AE182" i="1"/>
  <c r="AD183" i="1"/>
  <c r="AE183" i="1"/>
  <c r="AD184" i="1"/>
  <c r="AE184" i="1"/>
  <c r="AD185" i="1"/>
  <c r="AE185" i="1"/>
  <c r="AD186" i="1"/>
  <c r="AE186" i="1"/>
  <c r="AD187" i="1"/>
  <c r="AE187" i="1"/>
  <c r="AD188" i="1"/>
  <c r="AE188" i="1"/>
  <c r="AD189" i="1"/>
  <c r="AE189" i="1"/>
  <c r="AD190" i="1"/>
  <c r="AE190" i="1"/>
  <c r="AD191" i="1"/>
  <c r="AE191" i="1"/>
  <c r="AD192" i="1"/>
  <c r="AE192" i="1"/>
  <c r="AD193" i="1"/>
  <c r="AE193" i="1"/>
  <c r="AD194" i="1"/>
  <c r="AE194" i="1"/>
  <c r="AD195" i="1"/>
  <c r="AE195" i="1"/>
  <c r="AD196" i="1"/>
  <c r="AE196" i="1"/>
  <c r="AD197" i="1"/>
  <c r="AE197" i="1"/>
  <c r="AD198" i="1"/>
  <c r="AE198" i="1"/>
  <c r="AD199" i="1"/>
  <c r="AE199" i="1"/>
  <c r="AD200" i="1"/>
  <c r="AE200" i="1"/>
  <c r="AD201" i="1"/>
  <c r="AE201" i="1"/>
  <c r="AD202" i="1"/>
  <c r="AE202" i="1"/>
  <c r="AD203" i="1"/>
  <c r="AE203" i="1"/>
  <c r="AD204" i="1"/>
  <c r="AE204" i="1"/>
  <c r="AD205" i="1"/>
  <c r="AE205" i="1"/>
  <c r="AD206" i="1"/>
  <c r="AE206" i="1"/>
  <c r="AD207" i="1"/>
  <c r="AE207" i="1"/>
  <c r="AD208" i="1"/>
  <c r="AE208" i="1"/>
  <c r="AD209" i="1"/>
  <c r="AE209" i="1"/>
  <c r="AD210" i="1"/>
  <c r="AE210" i="1"/>
  <c r="AD211" i="1"/>
  <c r="AE211" i="1"/>
  <c r="AD212" i="1"/>
  <c r="AE212" i="1"/>
  <c r="AD213" i="1"/>
  <c r="AE213" i="1"/>
  <c r="AD214" i="1"/>
  <c r="AE214" i="1"/>
  <c r="AD215" i="1"/>
  <c r="AE215" i="1"/>
  <c r="AD216" i="1"/>
  <c r="AE216" i="1"/>
  <c r="AD217" i="1"/>
  <c r="AE217" i="1"/>
  <c r="AD218" i="1"/>
  <c r="AE218" i="1"/>
  <c r="AD219" i="1"/>
  <c r="AE219" i="1"/>
  <c r="AD220" i="1"/>
  <c r="AE220" i="1"/>
  <c r="AD221" i="1"/>
  <c r="AE221" i="1"/>
  <c r="AD222" i="1"/>
  <c r="AE222" i="1"/>
  <c r="AD223" i="1"/>
  <c r="AE223" i="1"/>
  <c r="AD224" i="1"/>
  <c r="AE224" i="1"/>
  <c r="AD225" i="1"/>
  <c r="AE225" i="1"/>
  <c r="AD226" i="1"/>
  <c r="AE226" i="1"/>
  <c r="AD227" i="1"/>
  <c r="AE227" i="1"/>
  <c r="AD228" i="1"/>
  <c r="AE228" i="1"/>
  <c r="AD229" i="1"/>
  <c r="AE229" i="1"/>
  <c r="AD230" i="1"/>
  <c r="AE230" i="1"/>
  <c r="AD231" i="1"/>
  <c r="AE231" i="1"/>
  <c r="AD232" i="1"/>
  <c r="AE232" i="1"/>
  <c r="AD233" i="1"/>
  <c r="AE233" i="1"/>
  <c r="AD234" i="1"/>
  <c r="AE234" i="1"/>
  <c r="AD235" i="1"/>
  <c r="AE235" i="1"/>
  <c r="AD236" i="1"/>
  <c r="AE236" i="1"/>
  <c r="AD237" i="1"/>
  <c r="AE237" i="1"/>
  <c r="AD238" i="1"/>
  <c r="AE238" i="1"/>
  <c r="AD239" i="1"/>
  <c r="AE239" i="1"/>
  <c r="AD240" i="1"/>
  <c r="AE240" i="1"/>
  <c r="AD241" i="1"/>
  <c r="AE241" i="1"/>
  <c r="AD242" i="1"/>
  <c r="AE242" i="1"/>
  <c r="AD243" i="1"/>
  <c r="AE243" i="1"/>
  <c r="AD244" i="1"/>
  <c r="AE244" i="1"/>
  <c r="AD245" i="1"/>
  <c r="AE245" i="1"/>
  <c r="AD246" i="1"/>
  <c r="AE246" i="1"/>
  <c r="AD247" i="1"/>
  <c r="AE247" i="1"/>
  <c r="AD248" i="1"/>
  <c r="AE248" i="1"/>
  <c r="AD249" i="1"/>
  <c r="AE249" i="1"/>
  <c r="AD250" i="1"/>
  <c r="AE250" i="1"/>
  <c r="AD251" i="1"/>
  <c r="AE251" i="1"/>
  <c r="AD252" i="1"/>
  <c r="AE252" i="1"/>
  <c r="AD253" i="1"/>
  <c r="AE253" i="1"/>
  <c r="AD254" i="1"/>
  <c r="AE254" i="1"/>
  <c r="AD255" i="1"/>
  <c r="AE255" i="1"/>
  <c r="AD256" i="1"/>
  <c r="AE256" i="1"/>
  <c r="AD257" i="1"/>
  <c r="AE257" i="1"/>
  <c r="AD258" i="1"/>
  <c r="AE258" i="1"/>
  <c r="AD259" i="1"/>
  <c r="AE259" i="1"/>
  <c r="AD260" i="1"/>
  <c r="AE260" i="1"/>
  <c r="AD261" i="1"/>
  <c r="AE261" i="1"/>
  <c r="AD262" i="1"/>
  <c r="AE262" i="1"/>
  <c r="AD263" i="1"/>
  <c r="AE263" i="1"/>
  <c r="AD264" i="1"/>
  <c r="AE264" i="1"/>
  <c r="AD265" i="1"/>
  <c r="AE265" i="1"/>
  <c r="AD266" i="1"/>
  <c r="AE266" i="1"/>
  <c r="AD267" i="1"/>
  <c r="AE267" i="1"/>
  <c r="AD268" i="1"/>
  <c r="AE268" i="1"/>
  <c r="AD269" i="1"/>
  <c r="AE269" i="1"/>
  <c r="AD270" i="1"/>
  <c r="AE270" i="1"/>
  <c r="AD271" i="1"/>
  <c r="AE271" i="1"/>
  <c r="AD272" i="1"/>
  <c r="AE272" i="1"/>
  <c r="AD273" i="1"/>
  <c r="AE273" i="1"/>
  <c r="AD274" i="1"/>
  <c r="AE274" i="1"/>
  <c r="AD275" i="1"/>
  <c r="AE275" i="1"/>
  <c r="AD276" i="1"/>
  <c r="AE276" i="1"/>
  <c r="AD277" i="1"/>
  <c r="AE277" i="1"/>
  <c r="AD278" i="1"/>
  <c r="AE278" i="1"/>
  <c r="AD279" i="1"/>
  <c r="AE279" i="1"/>
  <c r="AD280" i="1"/>
  <c r="AE280" i="1"/>
  <c r="AD281" i="1"/>
  <c r="AE281" i="1"/>
  <c r="AD282" i="1"/>
  <c r="AE282" i="1"/>
  <c r="AD283" i="1"/>
  <c r="AE283" i="1"/>
  <c r="AD284" i="1"/>
  <c r="AE284" i="1"/>
  <c r="AD285" i="1"/>
  <c r="AE285" i="1"/>
  <c r="AD286" i="1"/>
  <c r="AE286" i="1"/>
  <c r="AD287" i="1"/>
  <c r="AE287" i="1"/>
  <c r="AD288" i="1"/>
  <c r="AE288" i="1"/>
  <c r="AD289" i="1"/>
  <c r="AE289" i="1"/>
  <c r="AD290" i="1"/>
  <c r="AE290" i="1"/>
  <c r="AD291" i="1"/>
  <c r="AE291" i="1"/>
  <c r="AD292" i="1"/>
  <c r="AE292" i="1"/>
  <c r="AD293" i="1"/>
  <c r="AE293" i="1"/>
  <c r="AD294" i="1"/>
  <c r="AE294" i="1"/>
  <c r="AD295" i="1"/>
  <c r="AE295" i="1"/>
  <c r="AD296" i="1"/>
  <c r="AE296" i="1"/>
  <c r="AD297" i="1"/>
  <c r="AE297" i="1"/>
  <c r="AD298" i="1"/>
  <c r="AE298" i="1"/>
  <c r="AD299" i="1"/>
  <c r="AE299" i="1"/>
  <c r="AD300" i="1"/>
  <c r="AE300" i="1"/>
  <c r="AD301" i="1"/>
  <c r="AE301" i="1"/>
  <c r="AD302" i="1"/>
  <c r="AE302" i="1"/>
  <c r="AD303" i="1"/>
  <c r="AE303" i="1"/>
  <c r="AD304" i="1"/>
  <c r="AE304" i="1"/>
  <c r="AD305" i="1"/>
  <c r="AE305" i="1"/>
  <c r="AD306" i="1"/>
  <c r="AE306" i="1"/>
  <c r="AD307" i="1"/>
  <c r="AE307" i="1"/>
  <c r="AD308" i="1"/>
  <c r="AE308" i="1"/>
  <c r="AD309" i="1"/>
  <c r="AE309" i="1"/>
  <c r="AD310" i="1"/>
  <c r="AE310" i="1"/>
  <c r="AD311" i="1"/>
  <c r="AE311" i="1"/>
  <c r="AD312" i="1"/>
  <c r="AE312" i="1"/>
  <c r="AD313" i="1"/>
  <c r="AE313" i="1"/>
  <c r="AD314" i="1"/>
  <c r="AE314" i="1"/>
  <c r="AD315" i="1"/>
  <c r="AE315" i="1"/>
  <c r="AD316" i="1"/>
  <c r="AE316" i="1"/>
  <c r="AD317" i="1"/>
  <c r="AE317" i="1"/>
  <c r="AD318" i="1"/>
  <c r="AE318" i="1"/>
  <c r="AD319" i="1"/>
  <c r="AE319" i="1"/>
  <c r="AD320" i="1"/>
  <c r="AE320" i="1"/>
  <c r="AD321" i="1"/>
  <c r="AE321" i="1"/>
  <c r="AD322" i="1"/>
  <c r="AE322" i="1"/>
  <c r="AD323" i="1"/>
  <c r="AE323" i="1"/>
  <c r="AD324" i="1"/>
  <c r="AE324" i="1"/>
  <c r="AD325" i="1"/>
  <c r="AE325" i="1"/>
  <c r="AD326" i="1"/>
  <c r="AE326" i="1"/>
  <c r="AD327" i="1"/>
  <c r="AE327" i="1"/>
  <c r="AD328" i="1"/>
  <c r="AE328" i="1"/>
  <c r="AD329" i="1"/>
  <c r="AE329" i="1"/>
  <c r="AD330" i="1"/>
  <c r="AE330" i="1"/>
  <c r="AD331" i="1"/>
  <c r="AE331" i="1"/>
  <c r="AD332" i="1"/>
  <c r="AE332" i="1"/>
  <c r="AD333" i="1"/>
  <c r="AE333" i="1"/>
  <c r="AD334" i="1"/>
  <c r="AE334" i="1"/>
  <c r="AD335" i="1"/>
  <c r="AE335" i="1"/>
  <c r="AD336" i="1"/>
  <c r="AE336" i="1"/>
  <c r="AD337" i="1"/>
  <c r="AE337" i="1"/>
  <c r="AD338" i="1"/>
  <c r="AE338" i="1"/>
  <c r="AD339" i="1"/>
  <c r="AE339" i="1"/>
  <c r="AD340" i="1"/>
  <c r="AE340" i="1"/>
  <c r="AD341" i="1"/>
  <c r="AE341" i="1"/>
  <c r="AD342" i="1"/>
  <c r="AE342" i="1"/>
  <c r="AD343" i="1"/>
  <c r="AE343" i="1"/>
  <c r="AD344" i="1"/>
  <c r="AE344" i="1"/>
  <c r="AD345" i="1"/>
  <c r="AE345" i="1"/>
  <c r="AD346" i="1"/>
  <c r="AE346" i="1"/>
  <c r="AD347" i="1"/>
  <c r="AE347" i="1"/>
  <c r="AD348" i="1"/>
  <c r="AE348" i="1"/>
  <c r="AD349" i="1"/>
  <c r="AE349" i="1"/>
  <c r="AD350" i="1"/>
  <c r="AE350" i="1"/>
  <c r="AD351" i="1"/>
  <c r="AE351" i="1"/>
  <c r="AD352" i="1"/>
  <c r="AE352" i="1"/>
  <c r="AD353" i="1"/>
  <c r="AE353" i="1"/>
  <c r="AD354" i="1"/>
  <c r="AE354" i="1"/>
  <c r="AD355" i="1"/>
  <c r="AE355" i="1"/>
  <c r="AD356" i="1"/>
  <c r="AE356" i="1"/>
  <c r="AD357" i="1"/>
  <c r="AE357" i="1"/>
  <c r="AD358" i="1"/>
  <c r="AE358" i="1"/>
  <c r="AD359" i="1"/>
  <c r="AE359" i="1"/>
  <c r="AD360" i="1"/>
  <c r="AE360" i="1"/>
  <c r="AD361" i="1"/>
  <c r="AE361" i="1"/>
  <c r="AD362" i="1"/>
  <c r="AE362" i="1"/>
  <c r="AD363" i="1"/>
  <c r="AE363" i="1"/>
  <c r="AD364" i="1"/>
  <c r="AE364" i="1"/>
  <c r="AD365" i="1"/>
  <c r="AE365" i="1"/>
  <c r="AD366" i="1"/>
  <c r="AE366" i="1"/>
  <c r="AD367" i="1"/>
  <c r="AE367" i="1"/>
  <c r="AD368" i="1"/>
  <c r="AE368" i="1"/>
  <c r="AD369" i="1"/>
  <c r="AE369" i="1"/>
  <c r="AD370" i="1"/>
  <c r="AE370" i="1"/>
  <c r="AD371" i="1"/>
  <c r="AE371" i="1"/>
  <c r="AD372" i="1"/>
  <c r="AE372" i="1"/>
  <c r="AD373" i="1"/>
  <c r="AE373" i="1"/>
  <c r="AD374" i="1"/>
  <c r="AE374" i="1"/>
  <c r="AD375" i="1"/>
  <c r="AE375" i="1"/>
  <c r="AD376" i="1"/>
  <c r="AE376" i="1"/>
  <c r="AD377" i="1"/>
  <c r="AE377" i="1"/>
  <c r="AD378" i="1"/>
  <c r="AE378" i="1"/>
  <c r="AD379" i="1"/>
  <c r="AE379" i="1"/>
  <c r="AD380" i="1"/>
  <c r="AE380" i="1"/>
  <c r="AD381" i="1"/>
  <c r="AE381" i="1"/>
  <c r="AD382" i="1"/>
  <c r="AE382" i="1"/>
  <c r="AD383" i="1"/>
  <c r="AE383" i="1"/>
  <c r="AD384" i="1"/>
  <c r="AE384" i="1"/>
  <c r="AD385" i="1"/>
  <c r="AE385" i="1"/>
  <c r="AD386" i="1"/>
  <c r="AE386" i="1"/>
  <c r="AD387" i="1"/>
  <c r="AE387" i="1"/>
  <c r="AD388" i="1"/>
  <c r="AE388" i="1"/>
  <c r="AD389" i="1"/>
  <c r="AE389" i="1"/>
  <c r="AD390" i="1"/>
  <c r="AE390" i="1"/>
  <c r="AD391" i="1"/>
  <c r="AE391" i="1"/>
  <c r="AD392" i="1"/>
  <c r="AE392" i="1"/>
  <c r="AD393" i="1"/>
  <c r="AE393" i="1"/>
  <c r="AD394" i="1"/>
  <c r="AE394" i="1"/>
  <c r="AD395" i="1"/>
  <c r="AE395" i="1"/>
  <c r="AD396" i="1"/>
  <c r="AE396" i="1"/>
  <c r="AD397" i="1"/>
  <c r="AE397" i="1"/>
  <c r="AD398" i="1"/>
  <c r="AE398" i="1"/>
  <c r="AD399" i="1"/>
  <c r="AE399" i="1"/>
  <c r="AD400" i="1"/>
  <c r="AE400" i="1"/>
  <c r="AD401" i="1"/>
  <c r="AE401" i="1"/>
  <c r="AD402" i="1"/>
  <c r="AE402" i="1"/>
  <c r="AD403" i="1"/>
  <c r="AE403" i="1"/>
  <c r="AD404" i="1"/>
  <c r="AE404" i="1"/>
  <c r="AD405" i="1"/>
  <c r="AE405" i="1"/>
  <c r="AD406" i="1"/>
  <c r="AE406" i="1"/>
  <c r="AD407" i="1"/>
  <c r="AE407" i="1"/>
  <c r="AD408" i="1"/>
  <c r="AE408" i="1"/>
  <c r="AD409" i="1"/>
  <c r="AE409" i="1"/>
  <c r="AD410" i="1"/>
  <c r="AE410" i="1"/>
  <c r="AD411" i="1"/>
  <c r="AE411" i="1"/>
  <c r="AD412" i="1"/>
  <c r="AE412" i="1"/>
  <c r="AD413" i="1"/>
  <c r="AE413" i="1"/>
  <c r="AD414" i="1"/>
  <c r="AE414" i="1"/>
  <c r="AD415" i="1"/>
  <c r="AE415" i="1"/>
  <c r="AD416" i="1"/>
  <c r="AE416" i="1"/>
  <c r="AD417" i="1"/>
  <c r="AE417" i="1"/>
  <c r="AD418" i="1"/>
  <c r="AE418" i="1"/>
  <c r="AD419" i="1"/>
  <c r="AE419" i="1"/>
  <c r="AD420" i="1"/>
  <c r="AE420" i="1"/>
  <c r="AD421" i="1"/>
  <c r="AE421" i="1"/>
  <c r="AD422" i="1"/>
  <c r="AE422" i="1"/>
  <c r="AD423" i="1"/>
  <c r="AE423" i="1"/>
  <c r="AD424" i="1"/>
  <c r="AE424" i="1"/>
  <c r="AD425" i="1"/>
  <c r="AE425" i="1"/>
  <c r="AD426" i="1"/>
  <c r="AE426" i="1"/>
  <c r="AD427" i="1"/>
  <c r="AE427" i="1"/>
  <c r="AD428" i="1"/>
  <c r="AE428" i="1"/>
  <c r="AD429" i="1"/>
  <c r="AE429" i="1"/>
  <c r="AD430" i="1"/>
  <c r="AE430" i="1"/>
  <c r="AD431" i="1"/>
  <c r="AE431" i="1"/>
  <c r="AD432" i="1"/>
  <c r="AE432" i="1"/>
  <c r="AD433" i="1"/>
  <c r="AE433" i="1"/>
  <c r="AD434" i="1"/>
  <c r="AE434" i="1"/>
  <c r="AD435" i="1"/>
  <c r="AE435" i="1"/>
  <c r="AD436" i="1"/>
  <c r="AE436" i="1"/>
  <c r="AD437" i="1"/>
  <c r="AE437" i="1"/>
  <c r="AD438" i="1"/>
  <c r="AE438" i="1"/>
  <c r="AD439" i="1"/>
  <c r="AE439" i="1"/>
  <c r="AD440" i="1"/>
  <c r="AE440" i="1"/>
  <c r="AD441" i="1"/>
  <c r="AE441" i="1"/>
  <c r="AD442" i="1"/>
  <c r="AE442" i="1"/>
  <c r="AD443" i="1"/>
  <c r="AE443" i="1"/>
  <c r="AD444" i="1"/>
  <c r="AE444" i="1"/>
  <c r="AD445" i="1"/>
  <c r="AE445" i="1"/>
  <c r="AD446" i="1"/>
  <c r="AE446" i="1"/>
  <c r="AD447" i="1"/>
  <c r="AE447" i="1"/>
  <c r="AD448" i="1"/>
  <c r="AE448" i="1"/>
  <c r="AD449" i="1"/>
  <c r="AE449" i="1"/>
  <c r="AD450" i="1"/>
  <c r="AE450" i="1"/>
  <c r="AD451" i="1"/>
  <c r="AE451" i="1"/>
  <c r="AD452" i="1"/>
  <c r="AE452" i="1"/>
  <c r="AD453" i="1"/>
  <c r="AE453" i="1"/>
  <c r="AD454" i="1"/>
  <c r="AE454" i="1"/>
  <c r="AD455" i="1"/>
  <c r="AE455" i="1"/>
  <c r="AD456" i="1"/>
  <c r="AE456" i="1"/>
  <c r="AD457" i="1"/>
  <c r="AE457" i="1"/>
  <c r="AD458" i="1"/>
  <c r="AE458" i="1"/>
  <c r="AD459" i="1"/>
  <c r="AE459" i="1"/>
  <c r="AD460" i="1"/>
  <c r="AE460" i="1"/>
  <c r="AD461" i="1"/>
  <c r="AE461" i="1"/>
  <c r="AD462" i="1"/>
  <c r="AE462" i="1"/>
  <c r="AD463" i="1"/>
  <c r="AE463" i="1"/>
  <c r="AD464" i="1"/>
  <c r="AE464" i="1"/>
  <c r="AD465" i="1"/>
  <c r="AE465" i="1"/>
  <c r="AD466" i="1"/>
  <c r="AE466" i="1"/>
  <c r="AD467" i="1"/>
  <c r="AE467" i="1"/>
  <c r="AD468" i="1"/>
  <c r="AE468" i="1"/>
  <c r="AD469" i="1"/>
  <c r="AE469" i="1"/>
  <c r="AD470" i="1"/>
  <c r="AE470" i="1"/>
  <c r="AD471" i="1"/>
  <c r="AE471" i="1"/>
  <c r="AD472" i="1"/>
  <c r="AE472" i="1"/>
  <c r="AD473" i="1"/>
  <c r="AE473" i="1"/>
  <c r="AD474" i="1"/>
  <c r="AE474" i="1"/>
  <c r="AD475" i="1"/>
  <c r="AE475" i="1"/>
  <c r="AD476" i="1"/>
  <c r="AE476" i="1"/>
  <c r="AD477" i="1"/>
  <c r="AE477" i="1"/>
  <c r="AD478" i="1"/>
  <c r="AE478" i="1"/>
  <c r="AD479" i="1"/>
  <c r="AE479" i="1"/>
  <c r="AD480" i="1"/>
  <c r="AE480" i="1"/>
  <c r="AD481" i="1"/>
  <c r="AE481" i="1"/>
  <c r="AD482" i="1"/>
  <c r="AE482" i="1"/>
  <c r="AD483" i="1"/>
  <c r="AE483" i="1"/>
  <c r="AD484" i="1"/>
  <c r="AE484" i="1"/>
  <c r="AD485" i="1"/>
  <c r="AE485" i="1"/>
  <c r="AD486" i="1"/>
  <c r="AE486" i="1"/>
  <c r="AD487" i="1"/>
  <c r="AE487" i="1"/>
  <c r="AD488" i="1"/>
  <c r="AE488" i="1"/>
  <c r="AD489" i="1"/>
  <c r="AE489" i="1"/>
  <c r="AD490" i="1"/>
  <c r="AE490" i="1"/>
  <c r="AD491" i="1"/>
  <c r="AE491" i="1"/>
  <c r="AD492" i="1"/>
  <c r="AE492" i="1"/>
  <c r="AD493" i="1"/>
  <c r="AE493" i="1"/>
  <c r="AD494" i="1"/>
  <c r="AE494" i="1"/>
  <c r="AD495" i="1"/>
  <c r="AE495" i="1"/>
  <c r="AD496" i="1"/>
  <c r="AE496" i="1"/>
  <c r="AD497" i="1"/>
  <c r="AE497" i="1"/>
  <c r="AD498" i="1"/>
  <c r="AE498" i="1"/>
  <c r="AD499" i="1"/>
  <c r="AE499" i="1"/>
  <c r="AD500" i="1"/>
  <c r="AE500" i="1"/>
  <c r="AD501" i="1"/>
  <c r="AE501" i="1"/>
  <c r="AD502" i="1"/>
  <c r="AE502" i="1"/>
  <c r="AD503" i="1"/>
  <c r="AE503" i="1"/>
  <c r="AD504" i="1"/>
  <c r="AE504" i="1"/>
  <c r="AD505" i="1"/>
  <c r="AE505" i="1"/>
  <c r="AG2" i="1"/>
  <c r="AH2" i="1"/>
  <c r="AG3" i="1"/>
  <c r="AH3" i="1"/>
  <c r="AG4" i="1"/>
  <c r="AH4" i="1"/>
  <c r="AG5" i="1"/>
  <c r="AH5" i="1"/>
  <c r="AG6" i="1"/>
  <c r="AH6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G14" i="1"/>
  <c r="AH14" i="1"/>
  <c r="AG15" i="1"/>
  <c r="AH15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AG101" i="1"/>
  <c r="AH101" i="1"/>
  <c r="AG102" i="1"/>
  <c r="AH102" i="1"/>
  <c r="AG103" i="1"/>
  <c r="AH103" i="1"/>
  <c r="AG104" i="1"/>
  <c r="AH104" i="1"/>
  <c r="AG105" i="1"/>
  <c r="AH105" i="1"/>
  <c r="AG106" i="1"/>
  <c r="AH106" i="1"/>
  <c r="AG107" i="1"/>
  <c r="AH107" i="1"/>
  <c r="AG108" i="1"/>
  <c r="AH108" i="1"/>
  <c r="AG109" i="1"/>
  <c r="AH109" i="1"/>
  <c r="AG110" i="1"/>
  <c r="AH110" i="1"/>
  <c r="AG111" i="1"/>
  <c r="AH111" i="1"/>
  <c r="AG112" i="1"/>
  <c r="AH112" i="1"/>
  <c r="AG113" i="1"/>
  <c r="AH113" i="1"/>
  <c r="AG114" i="1"/>
  <c r="AH114" i="1"/>
  <c r="AG115" i="1"/>
  <c r="AH115" i="1"/>
  <c r="AG116" i="1"/>
  <c r="AH116" i="1"/>
  <c r="AG117" i="1"/>
  <c r="AH117" i="1"/>
  <c r="AG118" i="1"/>
  <c r="AH118" i="1"/>
  <c r="AG119" i="1"/>
  <c r="AH119" i="1"/>
  <c r="AG120" i="1"/>
  <c r="AH120" i="1"/>
  <c r="AG121" i="1"/>
  <c r="AH121" i="1"/>
  <c r="AG122" i="1"/>
  <c r="AH122" i="1"/>
  <c r="AG123" i="1"/>
  <c r="AH123" i="1"/>
  <c r="AG124" i="1"/>
  <c r="AH124" i="1"/>
  <c r="AG125" i="1"/>
  <c r="AH125" i="1"/>
  <c r="AG126" i="1"/>
  <c r="AH126" i="1"/>
  <c r="AG127" i="1"/>
  <c r="AH127" i="1"/>
  <c r="AG128" i="1"/>
  <c r="AH128" i="1"/>
  <c r="AG129" i="1"/>
  <c r="AH129" i="1"/>
  <c r="AG130" i="1"/>
  <c r="AH130" i="1"/>
  <c r="AG131" i="1"/>
  <c r="AH131" i="1"/>
  <c r="AG132" i="1"/>
  <c r="AH132" i="1"/>
  <c r="AG133" i="1"/>
  <c r="AH133" i="1"/>
  <c r="AG134" i="1"/>
  <c r="AH134" i="1"/>
  <c r="AG135" i="1"/>
  <c r="AH135" i="1"/>
  <c r="AG136" i="1"/>
  <c r="AH136" i="1"/>
  <c r="AG137" i="1"/>
  <c r="AH137" i="1"/>
  <c r="AG138" i="1"/>
  <c r="AH138" i="1"/>
  <c r="AG139" i="1"/>
  <c r="AH139" i="1"/>
  <c r="AG140" i="1"/>
  <c r="AH140" i="1"/>
  <c r="AG141" i="1"/>
  <c r="AH141" i="1"/>
  <c r="AG142" i="1"/>
  <c r="AH142" i="1"/>
  <c r="AG143" i="1"/>
  <c r="AH143" i="1"/>
  <c r="AG144" i="1"/>
  <c r="AH144" i="1"/>
  <c r="AG145" i="1"/>
  <c r="AH145" i="1"/>
  <c r="AG146" i="1"/>
  <c r="AH146" i="1"/>
  <c r="AG147" i="1"/>
  <c r="AH147" i="1"/>
  <c r="AG148" i="1"/>
  <c r="AH148" i="1"/>
  <c r="AG149" i="1"/>
  <c r="AH149" i="1"/>
  <c r="AG150" i="1"/>
  <c r="AH150" i="1"/>
  <c r="AG151" i="1"/>
  <c r="AH151" i="1"/>
  <c r="AG152" i="1"/>
  <c r="AH152" i="1"/>
  <c r="AG153" i="1"/>
  <c r="AH153" i="1"/>
  <c r="AG154" i="1"/>
  <c r="AH154" i="1"/>
  <c r="AG155" i="1"/>
  <c r="AH155" i="1"/>
  <c r="AG156" i="1"/>
  <c r="AH156" i="1"/>
  <c r="AG157" i="1"/>
  <c r="AH157" i="1"/>
  <c r="AG158" i="1"/>
  <c r="AH158" i="1"/>
  <c r="AG159" i="1"/>
  <c r="AH159" i="1"/>
  <c r="AG160" i="1"/>
  <c r="AH160" i="1"/>
  <c r="AG161" i="1"/>
  <c r="AH161" i="1"/>
  <c r="AG162" i="1"/>
  <c r="AH162" i="1"/>
  <c r="AG163" i="1"/>
  <c r="AH163" i="1"/>
  <c r="AG164" i="1"/>
  <c r="AH164" i="1"/>
  <c r="AG165" i="1"/>
  <c r="AH165" i="1"/>
  <c r="AG166" i="1"/>
  <c r="AH166" i="1"/>
  <c r="AG167" i="1"/>
  <c r="AH167" i="1"/>
  <c r="AG168" i="1"/>
  <c r="AH168" i="1"/>
  <c r="AG169" i="1"/>
  <c r="AH169" i="1"/>
  <c r="AG170" i="1"/>
  <c r="AH170" i="1"/>
  <c r="AG171" i="1"/>
  <c r="AH171" i="1"/>
  <c r="AG172" i="1"/>
  <c r="AH172" i="1"/>
  <c r="AG173" i="1"/>
  <c r="AH173" i="1"/>
  <c r="AG174" i="1"/>
  <c r="AH174" i="1"/>
  <c r="AG175" i="1"/>
  <c r="AH175" i="1"/>
  <c r="AG176" i="1"/>
  <c r="AH176" i="1"/>
  <c r="AG177" i="1"/>
  <c r="AH177" i="1"/>
  <c r="AG178" i="1"/>
  <c r="AH178" i="1"/>
  <c r="AG179" i="1"/>
  <c r="AH179" i="1"/>
  <c r="AG180" i="1"/>
  <c r="AH180" i="1"/>
  <c r="AG181" i="1"/>
  <c r="AH181" i="1"/>
  <c r="AG182" i="1"/>
  <c r="AH182" i="1"/>
  <c r="AG183" i="1"/>
  <c r="AH183" i="1"/>
  <c r="AG184" i="1"/>
  <c r="AH184" i="1"/>
  <c r="AG185" i="1"/>
  <c r="AH185" i="1"/>
  <c r="AG186" i="1"/>
  <c r="AH186" i="1"/>
  <c r="AG187" i="1"/>
  <c r="AH187" i="1"/>
  <c r="AG188" i="1"/>
  <c r="AH188" i="1"/>
  <c r="AG189" i="1"/>
  <c r="AH189" i="1"/>
  <c r="AG190" i="1"/>
  <c r="AH190" i="1"/>
  <c r="AG191" i="1"/>
  <c r="AH191" i="1"/>
  <c r="AG192" i="1"/>
  <c r="AH192" i="1"/>
  <c r="AG193" i="1"/>
  <c r="AH193" i="1"/>
  <c r="AG194" i="1"/>
  <c r="AH194" i="1"/>
  <c r="AG195" i="1"/>
  <c r="AH195" i="1"/>
  <c r="AG196" i="1"/>
  <c r="AH196" i="1"/>
  <c r="AG197" i="1"/>
  <c r="AH197" i="1"/>
  <c r="AG198" i="1"/>
  <c r="AH198" i="1"/>
  <c r="AG199" i="1"/>
  <c r="AH199" i="1"/>
  <c r="AG200" i="1"/>
  <c r="AH200" i="1"/>
  <c r="AG201" i="1"/>
  <c r="AH201" i="1"/>
  <c r="AG202" i="1"/>
  <c r="AH202" i="1"/>
  <c r="AG203" i="1"/>
  <c r="AH203" i="1"/>
  <c r="AG204" i="1"/>
  <c r="AH204" i="1"/>
  <c r="AG205" i="1"/>
  <c r="AH205" i="1"/>
  <c r="AG206" i="1"/>
  <c r="AH206" i="1"/>
  <c r="AG207" i="1"/>
  <c r="AH207" i="1"/>
  <c r="AG208" i="1"/>
  <c r="AH208" i="1"/>
  <c r="AG209" i="1"/>
  <c r="AH209" i="1"/>
  <c r="AG210" i="1"/>
  <c r="AH210" i="1"/>
  <c r="AG211" i="1"/>
  <c r="AH211" i="1"/>
  <c r="AG212" i="1"/>
  <c r="AH212" i="1"/>
  <c r="AG213" i="1"/>
  <c r="AH213" i="1"/>
  <c r="AG214" i="1"/>
  <c r="AH214" i="1"/>
  <c r="AG215" i="1"/>
  <c r="AH215" i="1"/>
  <c r="AG216" i="1"/>
  <c r="AH216" i="1"/>
  <c r="AG217" i="1"/>
  <c r="AH217" i="1"/>
  <c r="AG218" i="1"/>
  <c r="AH218" i="1"/>
  <c r="AG219" i="1"/>
  <c r="AH219" i="1"/>
  <c r="AG220" i="1"/>
  <c r="AH220" i="1"/>
  <c r="AG221" i="1"/>
  <c r="AH221" i="1"/>
  <c r="AG222" i="1"/>
  <c r="AH222" i="1"/>
  <c r="AG223" i="1"/>
  <c r="AH223" i="1"/>
  <c r="AG224" i="1"/>
  <c r="AH224" i="1"/>
  <c r="AG225" i="1"/>
  <c r="AH225" i="1"/>
  <c r="AG226" i="1"/>
  <c r="AH226" i="1"/>
  <c r="AG227" i="1"/>
  <c r="AH227" i="1"/>
  <c r="AG228" i="1"/>
  <c r="AH228" i="1"/>
  <c r="AG229" i="1"/>
  <c r="AH229" i="1"/>
  <c r="AG230" i="1"/>
  <c r="AH230" i="1"/>
  <c r="AG231" i="1"/>
  <c r="AH231" i="1"/>
  <c r="AG232" i="1"/>
  <c r="AH232" i="1"/>
  <c r="AG233" i="1"/>
  <c r="AH233" i="1"/>
  <c r="AG234" i="1"/>
  <c r="AH234" i="1"/>
  <c r="AG235" i="1"/>
  <c r="AH235" i="1"/>
  <c r="AG236" i="1"/>
  <c r="AH236" i="1"/>
  <c r="AG237" i="1"/>
  <c r="AH237" i="1"/>
  <c r="AG238" i="1"/>
  <c r="AH238" i="1"/>
  <c r="AG239" i="1"/>
  <c r="AH239" i="1"/>
  <c r="AG240" i="1"/>
  <c r="AH240" i="1"/>
  <c r="AG241" i="1"/>
  <c r="AH241" i="1"/>
  <c r="AG242" i="1"/>
  <c r="AH242" i="1"/>
  <c r="AG243" i="1"/>
  <c r="AH243" i="1"/>
  <c r="AG244" i="1"/>
  <c r="AH244" i="1"/>
  <c r="AG245" i="1"/>
  <c r="AH245" i="1"/>
  <c r="AG246" i="1"/>
  <c r="AH246" i="1"/>
  <c r="AG247" i="1"/>
  <c r="AH247" i="1"/>
  <c r="AG248" i="1"/>
  <c r="AH248" i="1"/>
  <c r="AG249" i="1"/>
  <c r="AH249" i="1"/>
  <c r="AG250" i="1"/>
  <c r="AH250" i="1"/>
  <c r="AG251" i="1"/>
  <c r="AH251" i="1"/>
  <c r="AG252" i="1"/>
  <c r="AH252" i="1"/>
  <c r="AG253" i="1"/>
  <c r="AH253" i="1"/>
  <c r="AG254" i="1"/>
  <c r="AH254" i="1"/>
  <c r="AG255" i="1"/>
  <c r="AH255" i="1"/>
  <c r="AG256" i="1"/>
  <c r="AH256" i="1"/>
  <c r="AG257" i="1"/>
  <c r="AH257" i="1"/>
  <c r="AG258" i="1"/>
  <c r="AH258" i="1"/>
  <c r="AG259" i="1"/>
  <c r="AH259" i="1"/>
  <c r="AG260" i="1"/>
  <c r="AH260" i="1"/>
  <c r="AG261" i="1"/>
  <c r="AH261" i="1"/>
  <c r="AG262" i="1"/>
  <c r="AH262" i="1"/>
  <c r="AG263" i="1"/>
  <c r="AH263" i="1"/>
  <c r="AG264" i="1"/>
  <c r="AH264" i="1"/>
  <c r="AG265" i="1"/>
  <c r="AH265" i="1"/>
  <c r="AG266" i="1"/>
  <c r="AH266" i="1"/>
  <c r="AG267" i="1"/>
  <c r="AH267" i="1"/>
  <c r="AG268" i="1"/>
  <c r="AH268" i="1"/>
  <c r="AG269" i="1"/>
  <c r="AH269" i="1"/>
  <c r="AG270" i="1"/>
  <c r="AH270" i="1"/>
  <c r="AG271" i="1"/>
  <c r="AH271" i="1"/>
  <c r="AG272" i="1"/>
  <c r="AH272" i="1"/>
  <c r="AG273" i="1"/>
  <c r="AH273" i="1"/>
  <c r="AG274" i="1"/>
  <c r="AH274" i="1"/>
  <c r="AG275" i="1"/>
  <c r="AH275" i="1"/>
  <c r="AG276" i="1"/>
  <c r="AH276" i="1"/>
  <c r="AG277" i="1"/>
  <c r="AH277" i="1"/>
  <c r="AG278" i="1"/>
  <c r="AH278" i="1"/>
  <c r="AG279" i="1"/>
  <c r="AH279" i="1"/>
  <c r="AG280" i="1"/>
  <c r="AH280" i="1"/>
  <c r="AG281" i="1"/>
  <c r="AH281" i="1"/>
  <c r="AG282" i="1"/>
  <c r="AH282" i="1"/>
  <c r="AG283" i="1"/>
  <c r="AH283" i="1"/>
  <c r="AG284" i="1"/>
  <c r="AH284" i="1"/>
  <c r="AG285" i="1"/>
  <c r="AH285" i="1"/>
  <c r="AG286" i="1"/>
  <c r="AH286" i="1"/>
  <c r="AG287" i="1"/>
  <c r="AH287" i="1"/>
  <c r="AG288" i="1"/>
  <c r="AH288" i="1"/>
  <c r="AG289" i="1"/>
  <c r="AH289" i="1"/>
  <c r="AG290" i="1"/>
  <c r="AH290" i="1"/>
  <c r="AG291" i="1"/>
  <c r="AH291" i="1"/>
  <c r="AG292" i="1"/>
  <c r="AH292" i="1"/>
  <c r="AG293" i="1"/>
  <c r="AH293" i="1"/>
  <c r="AG294" i="1"/>
  <c r="AH294" i="1"/>
  <c r="AG295" i="1"/>
  <c r="AH295" i="1"/>
  <c r="AG296" i="1"/>
  <c r="AH296" i="1"/>
  <c r="AG297" i="1"/>
  <c r="AH297" i="1"/>
  <c r="AG298" i="1"/>
  <c r="AH298" i="1"/>
  <c r="AG299" i="1"/>
  <c r="AH299" i="1"/>
  <c r="AG300" i="1"/>
  <c r="AH300" i="1"/>
  <c r="AG301" i="1"/>
  <c r="AH301" i="1"/>
  <c r="AG302" i="1"/>
  <c r="AH302" i="1"/>
  <c r="AG303" i="1"/>
  <c r="AH303" i="1"/>
  <c r="AG304" i="1"/>
  <c r="AH304" i="1"/>
  <c r="AG305" i="1"/>
  <c r="AH305" i="1"/>
  <c r="AG306" i="1"/>
  <c r="AH306" i="1"/>
  <c r="AG307" i="1"/>
  <c r="AH307" i="1"/>
  <c r="AG308" i="1"/>
  <c r="AH308" i="1"/>
  <c r="AG309" i="1"/>
  <c r="AH309" i="1"/>
  <c r="AG310" i="1"/>
  <c r="AH310" i="1"/>
  <c r="AG311" i="1"/>
  <c r="AH311" i="1"/>
  <c r="AG312" i="1"/>
  <c r="AH312" i="1"/>
  <c r="AG313" i="1"/>
  <c r="AH313" i="1"/>
  <c r="AG314" i="1"/>
  <c r="AH314" i="1"/>
  <c r="AG315" i="1"/>
  <c r="AH315" i="1"/>
  <c r="AG316" i="1"/>
  <c r="AH316" i="1"/>
  <c r="AG317" i="1"/>
  <c r="AH317" i="1"/>
  <c r="AG318" i="1"/>
  <c r="AH318" i="1"/>
  <c r="AG319" i="1"/>
  <c r="AH319" i="1"/>
  <c r="AG320" i="1"/>
  <c r="AH320" i="1"/>
  <c r="AG321" i="1"/>
  <c r="AH321" i="1"/>
  <c r="AG322" i="1"/>
  <c r="AH322" i="1"/>
  <c r="AG323" i="1"/>
  <c r="AH323" i="1"/>
  <c r="AG324" i="1"/>
  <c r="AH324" i="1"/>
  <c r="AG325" i="1"/>
  <c r="AH325" i="1"/>
  <c r="AG326" i="1"/>
  <c r="AH326" i="1"/>
  <c r="AG327" i="1"/>
  <c r="AH327" i="1"/>
  <c r="AG328" i="1"/>
  <c r="AH328" i="1"/>
  <c r="AG329" i="1"/>
  <c r="AH329" i="1"/>
  <c r="AG330" i="1"/>
  <c r="AH330" i="1"/>
  <c r="AG331" i="1"/>
  <c r="AH331" i="1"/>
  <c r="AG332" i="1"/>
  <c r="AH332" i="1"/>
  <c r="AG333" i="1"/>
  <c r="AH333" i="1"/>
  <c r="AG334" i="1"/>
  <c r="AH334" i="1"/>
  <c r="AG335" i="1"/>
  <c r="AH335" i="1"/>
  <c r="AG336" i="1"/>
  <c r="AH336" i="1"/>
  <c r="AG337" i="1"/>
  <c r="AH337" i="1"/>
  <c r="AG338" i="1"/>
  <c r="AH338" i="1"/>
  <c r="AG339" i="1"/>
  <c r="AH339" i="1"/>
  <c r="AG340" i="1"/>
  <c r="AH340" i="1"/>
  <c r="AG341" i="1"/>
  <c r="AH341" i="1"/>
  <c r="AG342" i="1"/>
  <c r="AH342" i="1"/>
  <c r="AG343" i="1"/>
  <c r="AH343" i="1"/>
  <c r="AG344" i="1"/>
  <c r="AH344" i="1"/>
  <c r="AG345" i="1"/>
  <c r="AH345" i="1"/>
  <c r="AG346" i="1"/>
  <c r="AH346" i="1"/>
  <c r="AG347" i="1"/>
  <c r="AH347" i="1"/>
  <c r="AG348" i="1"/>
  <c r="AH348" i="1"/>
  <c r="AG349" i="1"/>
  <c r="AH349" i="1"/>
  <c r="AG350" i="1"/>
  <c r="AH350" i="1"/>
  <c r="AG351" i="1"/>
  <c r="AH351" i="1"/>
  <c r="AG352" i="1"/>
  <c r="AH352" i="1"/>
  <c r="AG353" i="1"/>
  <c r="AH353" i="1"/>
  <c r="AG354" i="1"/>
  <c r="AH354" i="1"/>
  <c r="AG355" i="1"/>
  <c r="AH355" i="1"/>
  <c r="AG356" i="1"/>
  <c r="AH356" i="1"/>
  <c r="AG357" i="1"/>
  <c r="AH357" i="1"/>
  <c r="AG358" i="1"/>
  <c r="AH358" i="1"/>
  <c r="AG359" i="1"/>
  <c r="AH359" i="1"/>
  <c r="AG360" i="1"/>
  <c r="AH360" i="1"/>
  <c r="AG361" i="1"/>
  <c r="AH361" i="1"/>
  <c r="AG362" i="1"/>
  <c r="AH362" i="1"/>
  <c r="AG363" i="1"/>
  <c r="AH363" i="1"/>
  <c r="AG364" i="1"/>
  <c r="AH364" i="1"/>
  <c r="AG365" i="1"/>
  <c r="AH365" i="1"/>
  <c r="AG366" i="1"/>
  <c r="AH366" i="1"/>
  <c r="AG367" i="1"/>
  <c r="AH367" i="1"/>
  <c r="AG368" i="1"/>
  <c r="AH368" i="1"/>
  <c r="AG369" i="1"/>
  <c r="AH369" i="1"/>
  <c r="AG370" i="1"/>
  <c r="AH370" i="1"/>
  <c r="AG371" i="1"/>
  <c r="AH371" i="1"/>
  <c r="AG372" i="1"/>
  <c r="AH372" i="1"/>
  <c r="AG373" i="1"/>
  <c r="AH373" i="1"/>
  <c r="AG374" i="1"/>
  <c r="AH374" i="1"/>
  <c r="AG375" i="1"/>
  <c r="AH375" i="1"/>
  <c r="AG376" i="1"/>
  <c r="AH376" i="1"/>
  <c r="AG377" i="1"/>
  <c r="AH377" i="1"/>
  <c r="AG378" i="1"/>
  <c r="AH378" i="1"/>
  <c r="AG379" i="1"/>
  <c r="AH379" i="1"/>
  <c r="AG380" i="1"/>
  <c r="AH380" i="1"/>
  <c r="AG381" i="1"/>
  <c r="AH381" i="1"/>
  <c r="AG382" i="1"/>
  <c r="AH382" i="1"/>
  <c r="AG383" i="1"/>
  <c r="AH383" i="1"/>
  <c r="AG384" i="1"/>
  <c r="AH384" i="1"/>
  <c r="AG385" i="1"/>
  <c r="AH385" i="1"/>
  <c r="AG386" i="1"/>
  <c r="AH386" i="1"/>
  <c r="AG387" i="1"/>
  <c r="AH387" i="1"/>
  <c r="AG388" i="1"/>
  <c r="AH388" i="1"/>
  <c r="AG389" i="1"/>
  <c r="AH389" i="1"/>
  <c r="AG390" i="1"/>
  <c r="AH390" i="1"/>
  <c r="AG391" i="1"/>
  <c r="AH391" i="1"/>
  <c r="AG392" i="1"/>
  <c r="AH392" i="1"/>
  <c r="AG393" i="1"/>
  <c r="AH393" i="1"/>
  <c r="AG394" i="1"/>
  <c r="AH394" i="1"/>
  <c r="AG395" i="1"/>
  <c r="AH395" i="1"/>
  <c r="AG396" i="1"/>
  <c r="AH396" i="1"/>
  <c r="AG397" i="1"/>
  <c r="AH397" i="1"/>
  <c r="AG398" i="1"/>
  <c r="AH398" i="1"/>
  <c r="AG399" i="1"/>
  <c r="AH399" i="1"/>
  <c r="AG400" i="1"/>
  <c r="AH400" i="1"/>
  <c r="AG401" i="1"/>
  <c r="AH401" i="1"/>
  <c r="AG402" i="1"/>
  <c r="AH402" i="1"/>
  <c r="AG403" i="1"/>
  <c r="AH403" i="1"/>
  <c r="AG404" i="1"/>
  <c r="AH404" i="1"/>
  <c r="AG405" i="1"/>
  <c r="AH405" i="1"/>
  <c r="AG406" i="1"/>
  <c r="AH406" i="1"/>
  <c r="AG407" i="1"/>
  <c r="AH407" i="1"/>
  <c r="AG408" i="1"/>
  <c r="AH408" i="1"/>
  <c r="AG409" i="1"/>
  <c r="AH409" i="1"/>
  <c r="AG410" i="1"/>
  <c r="AH410" i="1"/>
  <c r="AG411" i="1"/>
  <c r="AH411" i="1"/>
  <c r="AG412" i="1"/>
  <c r="AH412" i="1"/>
  <c r="AG413" i="1"/>
  <c r="AH413" i="1"/>
  <c r="AG414" i="1"/>
  <c r="AH414" i="1"/>
  <c r="AG415" i="1"/>
  <c r="AH415" i="1"/>
  <c r="AG416" i="1"/>
  <c r="AH416" i="1"/>
  <c r="AG417" i="1"/>
  <c r="AH417" i="1"/>
  <c r="AG418" i="1"/>
  <c r="AH418" i="1"/>
  <c r="AG419" i="1"/>
  <c r="AH419" i="1"/>
  <c r="AG420" i="1"/>
  <c r="AH420" i="1"/>
  <c r="AG421" i="1"/>
  <c r="AH421" i="1"/>
  <c r="AG422" i="1"/>
  <c r="AH422" i="1"/>
  <c r="AG423" i="1"/>
  <c r="AH423" i="1"/>
  <c r="AG424" i="1"/>
  <c r="AH424" i="1"/>
  <c r="AG425" i="1"/>
  <c r="AH425" i="1"/>
  <c r="AG426" i="1"/>
  <c r="AH426" i="1"/>
  <c r="AG427" i="1"/>
  <c r="AH427" i="1"/>
  <c r="AG428" i="1"/>
  <c r="AH428" i="1"/>
  <c r="AG429" i="1"/>
  <c r="AH429" i="1"/>
  <c r="AG430" i="1"/>
  <c r="AH430" i="1"/>
  <c r="AG431" i="1"/>
  <c r="AH431" i="1"/>
  <c r="AG432" i="1"/>
  <c r="AH432" i="1"/>
  <c r="AG433" i="1"/>
  <c r="AH433" i="1"/>
  <c r="AG434" i="1"/>
  <c r="AH434" i="1"/>
  <c r="AG435" i="1"/>
  <c r="AH435" i="1"/>
  <c r="AG436" i="1"/>
  <c r="AH436" i="1"/>
  <c r="AG437" i="1"/>
  <c r="AH437" i="1"/>
  <c r="AG438" i="1"/>
  <c r="AH438" i="1"/>
  <c r="AG439" i="1"/>
  <c r="AH439" i="1"/>
  <c r="AG440" i="1"/>
  <c r="AH440" i="1"/>
  <c r="AG441" i="1"/>
  <c r="AH441" i="1"/>
  <c r="AG442" i="1"/>
  <c r="AH442" i="1"/>
  <c r="AG443" i="1"/>
  <c r="AH443" i="1"/>
  <c r="AG444" i="1"/>
  <c r="AH444" i="1"/>
  <c r="AG445" i="1"/>
  <c r="AH445" i="1"/>
  <c r="AG446" i="1"/>
  <c r="AH446" i="1"/>
  <c r="AG447" i="1"/>
  <c r="AH447" i="1"/>
  <c r="AG448" i="1"/>
  <c r="AH448" i="1"/>
  <c r="AG449" i="1"/>
  <c r="AH449" i="1"/>
  <c r="AG450" i="1"/>
  <c r="AH450" i="1"/>
  <c r="AG451" i="1"/>
  <c r="AH451" i="1"/>
  <c r="AG452" i="1"/>
  <c r="AH452" i="1"/>
  <c r="AG453" i="1"/>
  <c r="AH453" i="1"/>
  <c r="AG454" i="1"/>
  <c r="AH454" i="1"/>
  <c r="AG455" i="1"/>
  <c r="AH455" i="1"/>
  <c r="AG456" i="1"/>
  <c r="AH456" i="1"/>
  <c r="AG457" i="1"/>
  <c r="AH457" i="1"/>
  <c r="AG458" i="1"/>
  <c r="AH458" i="1"/>
  <c r="AG459" i="1"/>
  <c r="AH459" i="1"/>
  <c r="AG460" i="1"/>
  <c r="AH460" i="1"/>
  <c r="AG461" i="1"/>
  <c r="AH461" i="1"/>
  <c r="AG462" i="1"/>
  <c r="AH462" i="1"/>
  <c r="AG463" i="1"/>
  <c r="AH463" i="1"/>
  <c r="AG464" i="1"/>
  <c r="AH464" i="1"/>
  <c r="AG465" i="1"/>
  <c r="AH465" i="1"/>
  <c r="AG466" i="1"/>
  <c r="AH466" i="1"/>
  <c r="AG467" i="1"/>
  <c r="AH467" i="1"/>
  <c r="AG468" i="1"/>
  <c r="AH468" i="1"/>
  <c r="AG469" i="1"/>
  <c r="AH469" i="1"/>
  <c r="AG470" i="1"/>
  <c r="AH470" i="1"/>
  <c r="AG471" i="1"/>
  <c r="AH471" i="1"/>
  <c r="AG472" i="1"/>
  <c r="AH472" i="1"/>
  <c r="AG473" i="1"/>
  <c r="AH473" i="1"/>
  <c r="AG474" i="1"/>
  <c r="AH474" i="1"/>
  <c r="AG475" i="1"/>
  <c r="AH475" i="1"/>
  <c r="AG476" i="1"/>
  <c r="AH476" i="1"/>
  <c r="AG477" i="1"/>
  <c r="AH477" i="1"/>
  <c r="AG478" i="1"/>
  <c r="AH478" i="1"/>
  <c r="AG479" i="1"/>
  <c r="AH479" i="1"/>
  <c r="AG480" i="1"/>
  <c r="AH480" i="1"/>
  <c r="AG481" i="1"/>
  <c r="AH481" i="1"/>
  <c r="AG482" i="1"/>
  <c r="AH482" i="1"/>
  <c r="AG483" i="1"/>
  <c r="AH483" i="1"/>
  <c r="AG484" i="1"/>
  <c r="AH484" i="1"/>
  <c r="AG485" i="1"/>
  <c r="AH485" i="1"/>
  <c r="AG486" i="1"/>
  <c r="AH486" i="1"/>
  <c r="AG487" i="1"/>
  <c r="AH487" i="1"/>
  <c r="AG488" i="1"/>
  <c r="AH488" i="1"/>
  <c r="AG489" i="1"/>
  <c r="AH489" i="1"/>
  <c r="AG490" i="1"/>
  <c r="AH490" i="1"/>
  <c r="AG491" i="1"/>
  <c r="AH491" i="1"/>
  <c r="AG492" i="1"/>
  <c r="AH492" i="1"/>
  <c r="AG493" i="1"/>
  <c r="AH493" i="1"/>
  <c r="AG494" i="1"/>
  <c r="AH494" i="1"/>
  <c r="AG495" i="1"/>
  <c r="AH495" i="1"/>
  <c r="AG496" i="1"/>
  <c r="AH496" i="1"/>
  <c r="AG497" i="1"/>
  <c r="AH497" i="1"/>
  <c r="AG498" i="1"/>
  <c r="AH498" i="1"/>
  <c r="AG499" i="1"/>
  <c r="AH499" i="1"/>
  <c r="AG500" i="1"/>
  <c r="AH500" i="1"/>
  <c r="AG501" i="1"/>
  <c r="AH501" i="1"/>
  <c r="AG502" i="1"/>
  <c r="AH502" i="1"/>
  <c r="AG503" i="1"/>
  <c r="AH503" i="1"/>
  <c r="AG504" i="1"/>
  <c r="AH504" i="1"/>
  <c r="AG505" i="1"/>
  <c r="AH505" i="1"/>
  <c r="AJ2" i="1"/>
  <c r="AK2" i="1"/>
  <c r="AJ3" i="1"/>
  <c r="AK3" i="1"/>
  <c r="AJ4" i="1"/>
  <c r="AK4" i="1"/>
  <c r="AJ5" i="1"/>
  <c r="AK5" i="1"/>
  <c r="AJ6" i="1"/>
  <c r="AK6" i="1"/>
  <c r="AJ7" i="1"/>
  <c r="AK7" i="1"/>
  <c r="AJ8" i="1"/>
  <c r="AK8" i="1"/>
  <c r="AJ9" i="1"/>
  <c r="AK9" i="1"/>
  <c r="AJ10" i="1"/>
  <c r="AK10" i="1"/>
  <c r="AJ11" i="1"/>
  <c r="AK11" i="1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4" i="1"/>
  <c r="AK54" i="1"/>
  <c r="AJ55" i="1"/>
  <c r="AK55" i="1"/>
  <c r="AJ56" i="1"/>
  <c r="AK56" i="1"/>
  <c r="AJ57" i="1"/>
  <c r="AK57" i="1"/>
  <c r="AJ58" i="1"/>
  <c r="AK58" i="1"/>
  <c r="AJ59" i="1"/>
  <c r="AK59" i="1"/>
  <c r="AJ60" i="1"/>
  <c r="AK60" i="1"/>
  <c r="AJ61" i="1"/>
  <c r="AK61" i="1"/>
  <c r="AJ62" i="1"/>
  <c r="AK62" i="1"/>
  <c r="AJ63" i="1"/>
  <c r="AK63" i="1"/>
  <c r="AJ64" i="1"/>
  <c r="AK64" i="1"/>
  <c r="AJ65" i="1"/>
  <c r="AK65" i="1"/>
  <c r="AJ66" i="1"/>
  <c r="AK66" i="1"/>
  <c r="AJ67" i="1"/>
  <c r="AK67" i="1"/>
  <c r="AJ68" i="1"/>
  <c r="AK68" i="1"/>
  <c r="AJ69" i="1"/>
  <c r="AK69" i="1"/>
  <c r="AJ70" i="1"/>
  <c r="AK70" i="1"/>
  <c r="AJ71" i="1"/>
  <c r="AK71" i="1"/>
  <c r="AJ72" i="1"/>
  <c r="AK72" i="1"/>
  <c r="AJ73" i="1"/>
  <c r="AK73" i="1"/>
  <c r="AJ74" i="1"/>
  <c r="AK74" i="1"/>
  <c r="AJ75" i="1"/>
  <c r="AK75" i="1"/>
  <c r="AJ76" i="1"/>
  <c r="AK76" i="1"/>
  <c r="AJ77" i="1"/>
  <c r="AK77" i="1"/>
  <c r="AJ78" i="1"/>
  <c r="AK78" i="1"/>
  <c r="AJ79" i="1"/>
  <c r="AK79" i="1"/>
  <c r="AJ80" i="1"/>
  <c r="AK80" i="1"/>
  <c r="AJ81" i="1"/>
  <c r="AK81" i="1"/>
  <c r="AJ82" i="1"/>
  <c r="AK82" i="1"/>
  <c r="AJ83" i="1"/>
  <c r="AK83" i="1"/>
  <c r="AJ84" i="1"/>
  <c r="AK84" i="1"/>
  <c r="AJ85" i="1"/>
  <c r="AK85" i="1"/>
  <c r="AJ86" i="1"/>
  <c r="AK86" i="1"/>
  <c r="AJ87" i="1"/>
  <c r="AK87" i="1"/>
  <c r="AJ88" i="1"/>
  <c r="AK88" i="1"/>
  <c r="AJ89" i="1"/>
  <c r="AK89" i="1"/>
  <c r="AJ90" i="1"/>
  <c r="AK90" i="1"/>
  <c r="AJ91" i="1"/>
  <c r="AK91" i="1"/>
  <c r="AJ92" i="1"/>
  <c r="AK92" i="1"/>
  <c r="AJ93" i="1"/>
  <c r="AK93" i="1"/>
  <c r="AJ94" i="1"/>
  <c r="AK94" i="1"/>
  <c r="AJ95" i="1"/>
  <c r="AK95" i="1"/>
  <c r="AJ96" i="1"/>
  <c r="AK96" i="1"/>
  <c r="AJ97" i="1"/>
  <c r="AK97" i="1"/>
  <c r="AJ98" i="1"/>
  <c r="AK98" i="1"/>
  <c r="AJ99" i="1"/>
  <c r="AK99" i="1"/>
  <c r="AJ100" i="1"/>
  <c r="AK100" i="1"/>
  <c r="AJ101" i="1"/>
  <c r="AK101" i="1"/>
  <c r="AJ102" i="1"/>
  <c r="AK102" i="1"/>
  <c r="AJ103" i="1"/>
  <c r="AK103" i="1"/>
  <c r="AJ104" i="1"/>
  <c r="AK104" i="1"/>
  <c r="AJ105" i="1"/>
  <c r="AK105" i="1"/>
  <c r="AJ106" i="1"/>
  <c r="AK106" i="1"/>
  <c r="AJ107" i="1"/>
  <c r="AK107" i="1"/>
  <c r="AJ108" i="1"/>
  <c r="AK108" i="1"/>
  <c r="AJ109" i="1"/>
  <c r="AK109" i="1"/>
  <c r="AJ110" i="1"/>
  <c r="AK110" i="1"/>
  <c r="AJ111" i="1"/>
  <c r="AK111" i="1"/>
  <c r="AJ112" i="1"/>
  <c r="AK112" i="1"/>
  <c r="AJ113" i="1"/>
  <c r="AK113" i="1"/>
  <c r="AJ114" i="1"/>
  <c r="AK114" i="1"/>
  <c r="AJ115" i="1"/>
  <c r="AK115" i="1"/>
  <c r="AJ116" i="1"/>
  <c r="AK116" i="1"/>
  <c r="AJ117" i="1"/>
  <c r="AK117" i="1"/>
  <c r="AJ118" i="1"/>
  <c r="AK118" i="1"/>
  <c r="AJ119" i="1"/>
  <c r="AK119" i="1"/>
  <c r="AJ120" i="1"/>
  <c r="AK120" i="1"/>
  <c r="AJ121" i="1"/>
  <c r="AK121" i="1"/>
  <c r="AJ122" i="1"/>
  <c r="AK122" i="1"/>
  <c r="AJ123" i="1"/>
  <c r="AK123" i="1"/>
  <c r="AJ124" i="1"/>
  <c r="AK124" i="1"/>
  <c r="AJ125" i="1"/>
  <c r="AK125" i="1"/>
  <c r="AJ126" i="1"/>
  <c r="AK126" i="1"/>
  <c r="AJ127" i="1"/>
  <c r="AK127" i="1"/>
  <c r="AJ128" i="1"/>
  <c r="AK128" i="1"/>
  <c r="AJ129" i="1"/>
  <c r="AK129" i="1"/>
  <c r="AJ130" i="1"/>
  <c r="AK130" i="1"/>
  <c r="AJ131" i="1"/>
  <c r="AK131" i="1"/>
  <c r="AJ132" i="1"/>
  <c r="AK132" i="1"/>
  <c r="AJ133" i="1"/>
  <c r="AK133" i="1"/>
  <c r="AJ134" i="1"/>
  <c r="AK134" i="1"/>
  <c r="AJ135" i="1"/>
  <c r="AK135" i="1"/>
  <c r="AJ136" i="1"/>
  <c r="AK136" i="1"/>
  <c r="AJ137" i="1"/>
  <c r="AK137" i="1"/>
  <c r="AJ138" i="1"/>
  <c r="AK138" i="1"/>
  <c r="AJ139" i="1"/>
  <c r="AK139" i="1"/>
  <c r="AJ140" i="1"/>
  <c r="AK140" i="1"/>
  <c r="AJ141" i="1"/>
  <c r="AK141" i="1"/>
  <c r="AJ142" i="1"/>
  <c r="AK142" i="1"/>
  <c r="AJ143" i="1"/>
  <c r="AK143" i="1"/>
  <c r="AJ144" i="1"/>
  <c r="AK144" i="1"/>
  <c r="AJ145" i="1"/>
  <c r="AK145" i="1"/>
  <c r="AJ146" i="1"/>
  <c r="AK146" i="1"/>
  <c r="AJ147" i="1"/>
  <c r="AK147" i="1"/>
  <c r="AJ148" i="1"/>
  <c r="AK148" i="1"/>
  <c r="AJ149" i="1"/>
  <c r="AK149" i="1"/>
  <c r="AJ150" i="1"/>
  <c r="AK150" i="1"/>
  <c r="AJ151" i="1"/>
  <c r="AK151" i="1"/>
  <c r="AJ152" i="1"/>
  <c r="AK152" i="1"/>
  <c r="AJ153" i="1"/>
  <c r="AK153" i="1"/>
  <c r="AJ154" i="1"/>
  <c r="AK154" i="1"/>
  <c r="AJ155" i="1"/>
  <c r="AK155" i="1"/>
  <c r="AJ156" i="1"/>
  <c r="AK156" i="1"/>
  <c r="AJ157" i="1"/>
  <c r="AK157" i="1"/>
  <c r="AJ158" i="1"/>
  <c r="AK158" i="1"/>
  <c r="AJ159" i="1"/>
  <c r="AK159" i="1"/>
  <c r="AJ160" i="1"/>
  <c r="AK160" i="1"/>
  <c r="AJ161" i="1"/>
  <c r="AK161" i="1"/>
  <c r="AJ162" i="1"/>
  <c r="AK162" i="1"/>
  <c r="AJ163" i="1"/>
  <c r="AK163" i="1"/>
  <c r="AJ164" i="1"/>
  <c r="AK164" i="1"/>
  <c r="AJ165" i="1"/>
  <c r="AK165" i="1"/>
  <c r="AJ166" i="1"/>
  <c r="AK166" i="1"/>
  <c r="AJ167" i="1"/>
  <c r="AK167" i="1"/>
  <c r="AJ168" i="1"/>
  <c r="AK168" i="1"/>
  <c r="AJ169" i="1"/>
  <c r="AK169" i="1"/>
  <c r="AJ170" i="1"/>
  <c r="AK170" i="1"/>
  <c r="AJ171" i="1"/>
  <c r="AK171" i="1"/>
  <c r="AJ172" i="1"/>
  <c r="AK172" i="1"/>
  <c r="AJ173" i="1"/>
  <c r="AK173" i="1"/>
  <c r="AJ174" i="1"/>
  <c r="AK174" i="1"/>
  <c r="AJ175" i="1"/>
  <c r="AK175" i="1"/>
  <c r="AJ176" i="1"/>
  <c r="AK176" i="1"/>
  <c r="AJ177" i="1"/>
  <c r="AK177" i="1"/>
  <c r="AJ178" i="1"/>
  <c r="AK178" i="1"/>
  <c r="AJ179" i="1"/>
  <c r="AK179" i="1"/>
  <c r="AJ180" i="1"/>
  <c r="AK180" i="1"/>
  <c r="AJ181" i="1"/>
  <c r="AK181" i="1"/>
  <c r="AJ182" i="1"/>
  <c r="AK182" i="1"/>
  <c r="AJ183" i="1"/>
  <c r="AK183" i="1"/>
  <c r="AJ184" i="1"/>
  <c r="AK184" i="1"/>
  <c r="AJ185" i="1"/>
  <c r="AK185" i="1"/>
  <c r="AJ186" i="1"/>
  <c r="AK186" i="1"/>
  <c r="AJ187" i="1"/>
  <c r="AK187" i="1"/>
  <c r="AJ188" i="1"/>
  <c r="AK188" i="1"/>
  <c r="AJ189" i="1"/>
  <c r="AK189" i="1"/>
  <c r="AJ190" i="1"/>
  <c r="AK190" i="1"/>
  <c r="AJ191" i="1"/>
  <c r="AK191" i="1"/>
  <c r="AJ192" i="1"/>
  <c r="AK192" i="1"/>
  <c r="AJ193" i="1"/>
  <c r="AK193" i="1"/>
  <c r="AJ194" i="1"/>
  <c r="AK194" i="1"/>
  <c r="AJ195" i="1"/>
  <c r="AK195" i="1"/>
  <c r="AJ196" i="1"/>
  <c r="AK196" i="1"/>
  <c r="AJ197" i="1"/>
  <c r="AK197" i="1"/>
  <c r="AJ198" i="1"/>
  <c r="AK198" i="1"/>
  <c r="AJ199" i="1"/>
  <c r="AK199" i="1"/>
  <c r="AJ200" i="1"/>
  <c r="AK200" i="1"/>
  <c r="AJ201" i="1"/>
  <c r="AK201" i="1"/>
  <c r="AJ202" i="1"/>
  <c r="AK202" i="1"/>
  <c r="AJ203" i="1"/>
  <c r="AK203" i="1"/>
  <c r="AJ204" i="1"/>
  <c r="AK204" i="1"/>
  <c r="AJ205" i="1"/>
  <c r="AK205" i="1"/>
  <c r="AJ206" i="1"/>
  <c r="AK206" i="1"/>
  <c r="AJ207" i="1"/>
  <c r="AK207" i="1"/>
  <c r="AJ208" i="1"/>
  <c r="AK208" i="1"/>
  <c r="AJ209" i="1"/>
  <c r="AK209" i="1"/>
  <c r="AJ210" i="1"/>
  <c r="AK210" i="1"/>
  <c r="AJ211" i="1"/>
  <c r="AK211" i="1"/>
  <c r="AJ212" i="1"/>
  <c r="AK212" i="1"/>
  <c r="AJ213" i="1"/>
  <c r="AK213" i="1"/>
  <c r="AJ214" i="1"/>
  <c r="AK214" i="1"/>
  <c r="AJ215" i="1"/>
  <c r="AK215" i="1"/>
  <c r="AJ216" i="1"/>
  <c r="AK216" i="1"/>
  <c r="AJ217" i="1"/>
  <c r="AK217" i="1"/>
  <c r="AJ218" i="1"/>
  <c r="AK218" i="1"/>
  <c r="AJ219" i="1"/>
  <c r="AK219" i="1"/>
  <c r="AJ220" i="1"/>
  <c r="AK220" i="1"/>
  <c r="AJ221" i="1"/>
  <c r="AK221" i="1"/>
  <c r="AJ222" i="1"/>
  <c r="AK222" i="1"/>
  <c r="AJ223" i="1"/>
  <c r="AK223" i="1"/>
  <c r="AJ224" i="1"/>
  <c r="AK224" i="1"/>
  <c r="AJ225" i="1"/>
  <c r="AK225" i="1"/>
  <c r="AJ226" i="1"/>
  <c r="AK226" i="1"/>
  <c r="AJ227" i="1"/>
  <c r="AK227" i="1"/>
  <c r="AJ228" i="1"/>
  <c r="AK228" i="1"/>
  <c r="AJ229" i="1"/>
  <c r="AK229" i="1"/>
  <c r="AJ230" i="1"/>
  <c r="AK230" i="1"/>
  <c r="AJ231" i="1"/>
  <c r="AK231" i="1"/>
  <c r="AJ232" i="1"/>
  <c r="AK232" i="1"/>
  <c r="AJ233" i="1"/>
  <c r="AK233" i="1"/>
  <c r="AJ234" i="1"/>
  <c r="AK234" i="1"/>
  <c r="AJ235" i="1"/>
  <c r="AK235" i="1"/>
  <c r="AJ236" i="1"/>
  <c r="AK236" i="1"/>
  <c r="AJ237" i="1"/>
  <c r="AK237" i="1"/>
  <c r="AJ238" i="1"/>
  <c r="AK238" i="1"/>
  <c r="AJ239" i="1"/>
  <c r="AK239" i="1"/>
  <c r="AJ240" i="1"/>
  <c r="AK240" i="1"/>
  <c r="AJ241" i="1"/>
  <c r="AK241" i="1"/>
  <c r="AJ242" i="1"/>
  <c r="AK242" i="1"/>
  <c r="AJ243" i="1"/>
  <c r="AK243" i="1"/>
  <c r="AJ244" i="1"/>
  <c r="AK244" i="1"/>
  <c r="AJ245" i="1"/>
  <c r="AK245" i="1"/>
  <c r="AJ246" i="1"/>
  <c r="AK246" i="1"/>
  <c r="AJ247" i="1"/>
  <c r="AK247" i="1"/>
  <c r="AJ248" i="1"/>
  <c r="AK248" i="1"/>
  <c r="AJ249" i="1"/>
  <c r="AK249" i="1"/>
  <c r="AJ250" i="1"/>
  <c r="AK250" i="1"/>
  <c r="AJ251" i="1"/>
  <c r="AK251" i="1"/>
  <c r="AJ252" i="1"/>
  <c r="AK252" i="1"/>
  <c r="AJ253" i="1"/>
  <c r="AK253" i="1"/>
  <c r="AJ254" i="1"/>
  <c r="AK254" i="1"/>
  <c r="AJ255" i="1"/>
  <c r="AK255" i="1"/>
  <c r="AJ256" i="1"/>
  <c r="AK256" i="1"/>
  <c r="AJ257" i="1"/>
  <c r="AK257" i="1"/>
  <c r="AJ258" i="1"/>
  <c r="AK258" i="1"/>
  <c r="AJ259" i="1"/>
  <c r="AK259" i="1"/>
  <c r="AJ260" i="1"/>
  <c r="AK260" i="1"/>
  <c r="AJ261" i="1"/>
  <c r="AK261" i="1"/>
  <c r="AJ262" i="1"/>
  <c r="AK262" i="1"/>
  <c r="AJ263" i="1"/>
  <c r="AK263" i="1"/>
  <c r="AJ264" i="1"/>
  <c r="AK264" i="1"/>
  <c r="AJ265" i="1"/>
  <c r="AK265" i="1"/>
  <c r="AJ266" i="1"/>
  <c r="AK266" i="1"/>
  <c r="AJ267" i="1"/>
  <c r="AK267" i="1"/>
  <c r="AJ268" i="1"/>
  <c r="AK268" i="1"/>
  <c r="AJ269" i="1"/>
  <c r="AK269" i="1"/>
  <c r="AJ270" i="1"/>
  <c r="AK270" i="1"/>
  <c r="AJ271" i="1"/>
  <c r="AK271" i="1"/>
  <c r="AJ272" i="1"/>
  <c r="AK272" i="1"/>
  <c r="AJ273" i="1"/>
  <c r="AK273" i="1"/>
  <c r="AJ274" i="1"/>
  <c r="AK274" i="1"/>
  <c r="AJ275" i="1"/>
  <c r="AK275" i="1"/>
  <c r="AJ276" i="1"/>
  <c r="AK276" i="1"/>
  <c r="AJ277" i="1"/>
  <c r="AK277" i="1"/>
  <c r="AJ278" i="1"/>
  <c r="AK278" i="1"/>
  <c r="AJ279" i="1"/>
  <c r="AK279" i="1"/>
  <c r="AJ280" i="1"/>
  <c r="AK280" i="1"/>
  <c r="AJ281" i="1"/>
  <c r="AK281" i="1"/>
  <c r="AJ282" i="1"/>
  <c r="AK282" i="1"/>
  <c r="AJ283" i="1"/>
  <c r="AK283" i="1"/>
  <c r="AJ284" i="1"/>
  <c r="AK284" i="1"/>
  <c r="AJ285" i="1"/>
  <c r="AK285" i="1"/>
  <c r="AJ286" i="1"/>
  <c r="AK286" i="1"/>
  <c r="AJ287" i="1"/>
  <c r="AK287" i="1"/>
  <c r="AJ288" i="1"/>
  <c r="AK288" i="1"/>
  <c r="AJ289" i="1"/>
  <c r="AK289" i="1"/>
  <c r="AJ290" i="1"/>
  <c r="AK290" i="1"/>
  <c r="AJ291" i="1"/>
  <c r="AK291" i="1"/>
  <c r="AJ292" i="1"/>
  <c r="AK292" i="1"/>
  <c r="AJ293" i="1"/>
  <c r="AK293" i="1"/>
  <c r="AJ294" i="1"/>
  <c r="AK294" i="1"/>
  <c r="AJ295" i="1"/>
  <c r="AK295" i="1"/>
  <c r="AJ296" i="1"/>
  <c r="AK296" i="1"/>
  <c r="AJ297" i="1"/>
  <c r="AK297" i="1"/>
  <c r="AJ298" i="1"/>
  <c r="AK298" i="1"/>
  <c r="AJ299" i="1"/>
  <c r="AK299" i="1"/>
  <c r="AJ300" i="1"/>
  <c r="AK300" i="1"/>
  <c r="AJ301" i="1"/>
  <c r="AK301" i="1"/>
  <c r="AJ302" i="1"/>
  <c r="AK302" i="1"/>
  <c r="AJ303" i="1"/>
  <c r="AK303" i="1"/>
  <c r="AJ304" i="1"/>
  <c r="AK304" i="1"/>
  <c r="AJ305" i="1"/>
  <c r="AK305" i="1"/>
  <c r="AJ306" i="1"/>
  <c r="AK306" i="1"/>
  <c r="AJ307" i="1"/>
  <c r="AK307" i="1"/>
  <c r="AJ308" i="1"/>
  <c r="AK308" i="1"/>
  <c r="AJ309" i="1"/>
  <c r="AK309" i="1"/>
  <c r="AJ310" i="1"/>
  <c r="AK310" i="1"/>
  <c r="AJ311" i="1"/>
  <c r="AK311" i="1"/>
  <c r="AJ312" i="1"/>
  <c r="AK312" i="1"/>
  <c r="AJ313" i="1"/>
  <c r="AK313" i="1"/>
  <c r="AJ314" i="1"/>
  <c r="AK314" i="1"/>
  <c r="AJ315" i="1"/>
  <c r="AK315" i="1"/>
  <c r="AJ316" i="1"/>
  <c r="AK316" i="1"/>
  <c r="AJ317" i="1"/>
  <c r="AK317" i="1"/>
  <c r="AJ318" i="1"/>
  <c r="AK318" i="1"/>
  <c r="AJ319" i="1"/>
  <c r="AK319" i="1"/>
  <c r="AJ320" i="1"/>
  <c r="AK320" i="1"/>
  <c r="AJ321" i="1"/>
  <c r="AK321" i="1"/>
  <c r="AJ322" i="1"/>
  <c r="AK322" i="1"/>
  <c r="AJ323" i="1"/>
  <c r="AK323" i="1"/>
  <c r="AJ324" i="1"/>
  <c r="AK324" i="1"/>
  <c r="AJ325" i="1"/>
  <c r="AK325" i="1"/>
  <c r="AJ326" i="1"/>
  <c r="AK326" i="1"/>
  <c r="AJ327" i="1"/>
  <c r="AK327" i="1"/>
  <c r="AJ328" i="1"/>
  <c r="AK328" i="1"/>
  <c r="AJ329" i="1"/>
  <c r="AK329" i="1"/>
  <c r="AJ330" i="1"/>
  <c r="AK330" i="1"/>
  <c r="AJ331" i="1"/>
  <c r="AK331" i="1"/>
  <c r="AJ332" i="1"/>
  <c r="AK332" i="1"/>
  <c r="AJ333" i="1"/>
  <c r="AK333" i="1"/>
  <c r="AJ334" i="1"/>
  <c r="AK334" i="1"/>
  <c r="AJ335" i="1"/>
  <c r="AK335" i="1"/>
  <c r="AJ336" i="1"/>
  <c r="AK336" i="1"/>
  <c r="AJ337" i="1"/>
  <c r="AK337" i="1"/>
  <c r="AJ338" i="1"/>
  <c r="AK338" i="1"/>
  <c r="AJ339" i="1"/>
  <c r="AK339" i="1"/>
  <c r="AJ340" i="1"/>
  <c r="AK340" i="1"/>
  <c r="AJ341" i="1"/>
  <c r="AK341" i="1"/>
  <c r="AJ342" i="1"/>
  <c r="AK342" i="1"/>
  <c r="AJ343" i="1"/>
  <c r="AK343" i="1"/>
  <c r="AJ344" i="1"/>
  <c r="AK344" i="1"/>
  <c r="AJ345" i="1"/>
  <c r="AK345" i="1"/>
  <c r="AJ346" i="1"/>
  <c r="AK346" i="1"/>
  <c r="AJ347" i="1"/>
  <c r="AK347" i="1"/>
  <c r="AJ348" i="1"/>
  <c r="AK348" i="1"/>
  <c r="AJ349" i="1"/>
  <c r="AK349" i="1"/>
  <c r="AJ350" i="1"/>
  <c r="AK350" i="1"/>
  <c r="AJ351" i="1"/>
  <c r="AK351" i="1"/>
  <c r="AJ352" i="1"/>
  <c r="AK352" i="1"/>
  <c r="AJ353" i="1"/>
  <c r="AK353" i="1"/>
  <c r="AJ354" i="1"/>
  <c r="AK354" i="1"/>
  <c r="AJ355" i="1"/>
  <c r="AK355" i="1"/>
  <c r="AJ356" i="1"/>
  <c r="AK356" i="1"/>
  <c r="AJ357" i="1"/>
  <c r="AK357" i="1"/>
  <c r="AJ358" i="1"/>
  <c r="AK358" i="1"/>
  <c r="AJ359" i="1"/>
  <c r="AK359" i="1"/>
  <c r="AJ360" i="1"/>
  <c r="AK360" i="1"/>
  <c r="AJ361" i="1"/>
  <c r="AK361" i="1"/>
  <c r="AJ362" i="1"/>
  <c r="AK362" i="1"/>
  <c r="AJ363" i="1"/>
  <c r="AK363" i="1"/>
  <c r="AJ364" i="1"/>
  <c r="AK364" i="1"/>
  <c r="AJ365" i="1"/>
  <c r="AK365" i="1"/>
  <c r="AJ366" i="1"/>
  <c r="AK366" i="1"/>
  <c r="AJ367" i="1"/>
  <c r="AK367" i="1"/>
  <c r="AJ368" i="1"/>
  <c r="AK368" i="1"/>
  <c r="AJ369" i="1"/>
  <c r="AK369" i="1"/>
  <c r="AJ370" i="1"/>
  <c r="AK370" i="1"/>
  <c r="AJ371" i="1"/>
  <c r="AK371" i="1"/>
  <c r="AJ372" i="1"/>
  <c r="AK372" i="1"/>
  <c r="AJ373" i="1"/>
  <c r="AK373" i="1"/>
  <c r="AJ374" i="1"/>
  <c r="AK374" i="1"/>
  <c r="AJ375" i="1"/>
  <c r="AK375" i="1"/>
  <c r="AJ376" i="1"/>
  <c r="AK376" i="1"/>
  <c r="AJ377" i="1"/>
  <c r="AK377" i="1"/>
  <c r="AJ378" i="1"/>
  <c r="AK378" i="1"/>
  <c r="AJ379" i="1"/>
  <c r="AK379" i="1"/>
  <c r="AJ380" i="1"/>
  <c r="AK380" i="1"/>
  <c r="AJ381" i="1"/>
  <c r="AK381" i="1"/>
  <c r="AJ382" i="1"/>
  <c r="AK382" i="1"/>
  <c r="AJ383" i="1"/>
  <c r="AK383" i="1"/>
  <c r="AJ384" i="1"/>
  <c r="AK384" i="1"/>
  <c r="AJ385" i="1"/>
  <c r="AK385" i="1"/>
  <c r="AJ386" i="1"/>
  <c r="AK386" i="1"/>
  <c r="AJ387" i="1"/>
  <c r="AK387" i="1"/>
  <c r="AJ388" i="1"/>
  <c r="AK388" i="1"/>
  <c r="AJ389" i="1"/>
  <c r="AK389" i="1"/>
  <c r="AJ390" i="1"/>
  <c r="AK390" i="1"/>
  <c r="AJ391" i="1"/>
  <c r="AK391" i="1"/>
  <c r="AJ392" i="1"/>
  <c r="AK392" i="1"/>
  <c r="AJ393" i="1"/>
  <c r="AK393" i="1"/>
  <c r="AJ394" i="1"/>
  <c r="AK394" i="1"/>
  <c r="AJ395" i="1"/>
  <c r="AK395" i="1"/>
  <c r="AJ396" i="1"/>
  <c r="AK396" i="1"/>
  <c r="AJ397" i="1"/>
  <c r="AK397" i="1"/>
  <c r="AJ398" i="1"/>
  <c r="AK398" i="1"/>
  <c r="AJ399" i="1"/>
  <c r="AK399" i="1"/>
  <c r="AJ400" i="1"/>
  <c r="AK400" i="1"/>
  <c r="AJ401" i="1"/>
  <c r="AK401" i="1"/>
  <c r="AJ402" i="1"/>
  <c r="AK402" i="1"/>
  <c r="AJ403" i="1"/>
  <c r="AK403" i="1"/>
  <c r="AJ404" i="1"/>
  <c r="AK404" i="1"/>
  <c r="AJ405" i="1"/>
  <c r="AK405" i="1"/>
  <c r="AJ406" i="1"/>
  <c r="AK406" i="1"/>
  <c r="AJ407" i="1"/>
  <c r="AK407" i="1"/>
  <c r="AJ408" i="1"/>
  <c r="AK408" i="1"/>
  <c r="AJ409" i="1"/>
  <c r="AK409" i="1"/>
  <c r="AJ410" i="1"/>
  <c r="AK410" i="1"/>
  <c r="AJ411" i="1"/>
  <c r="AK411" i="1"/>
  <c r="AJ412" i="1"/>
  <c r="AK412" i="1"/>
  <c r="AJ413" i="1"/>
  <c r="AK413" i="1"/>
  <c r="AJ414" i="1"/>
  <c r="AK414" i="1"/>
  <c r="AJ415" i="1"/>
  <c r="AK415" i="1"/>
  <c r="AJ416" i="1"/>
  <c r="AK416" i="1"/>
  <c r="AJ417" i="1"/>
  <c r="AK417" i="1"/>
  <c r="AJ418" i="1"/>
  <c r="AK418" i="1"/>
  <c r="AJ419" i="1"/>
  <c r="AK419" i="1"/>
  <c r="AJ420" i="1"/>
  <c r="AK420" i="1"/>
  <c r="AJ421" i="1"/>
  <c r="AK421" i="1"/>
  <c r="AJ422" i="1"/>
  <c r="AK422" i="1"/>
  <c r="AJ423" i="1"/>
  <c r="AK423" i="1"/>
  <c r="AJ424" i="1"/>
  <c r="AK424" i="1"/>
  <c r="AJ425" i="1"/>
  <c r="AK425" i="1"/>
  <c r="AJ426" i="1"/>
  <c r="AK426" i="1"/>
  <c r="AJ427" i="1"/>
  <c r="AK427" i="1"/>
  <c r="AJ428" i="1"/>
  <c r="AK428" i="1"/>
  <c r="AJ429" i="1"/>
  <c r="AK429" i="1"/>
  <c r="AJ430" i="1"/>
  <c r="AK430" i="1"/>
  <c r="AJ431" i="1"/>
  <c r="AK431" i="1"/>
  <c r="AJ432" i="1"/>
  <c r="AK432" i="1"/>
  <c r="AJ433" i="1"/>
  <c r="AK433" i="1"/>
  <c r="AJ434" i="1"/>
  <c r="AK434" i="1"/>
  <c r="AJ435" i="1"/>
  <c r="AK435" i="1"/>
  <c r="AJ436" i="1"/>
  <c r="AK436" i="1"/>
  <c r="AJ437" i="1"/>
  <c r="AK437" i="1"/>
  <c r="AJ438" i="1"/>
  <c r="AK438" i="1"/>
  <c r="AJ439" i="1"/>
  <c r="AK439" i="1"/>
  <c r="AJ440" i="1"/>
  <c r="AK440" i="1"/>
  <c r="AJ441" i="1"/>
  <c r="AK441" i="1"/>
  <c r="AJ442" i="1"/>
  <c r="AK442" i="1"/>
  <c r="AJ443" i="1"/>
  <c r="AK443" i="1"/>
  <c r="AJ444" i="1"/>
  <c r="AK444" i="1"/>
  <c r="AJ445" i="1"/>
  <c r="AK445" i="1"/>
  <c r="AJ446" i="1"/>
  <c r="AK446" i="1"/>
  <c r="AJ447" i="1"/>
  <c r="AK447" i="1"/>
  <c r="AJ448" i="1"/>
  <c r="AK448" i="1"/>
  <c r="AJ449" i="1"/>
  <c r="AK449" i="1"/>
  <c r="AJ450" i="1"/>
  <c r="AK450" i="1"/>
  <c r="AJ451" i="1"/>
  <c r="AK451" i="1"/>
  <c r="AJ452" i="1"/>
  <c r="AK452" i="1"/>
  <c r="AJ453" i="1"/>
  <c r="AK453" i="1"/>
  <c r="AJ454" i="1"/>
  <c r="AK454" i="1"/>
  <c r="AJ455" i="1"/>
  <c r="AK455" i="1"/>
  <c r="AJ456" i="1"/>
  <c r="AK456" i="1"/>
  <c r="AJ457" i="1"/>
  <c r="AK457" i="1"/>
  <c r="AJ458" i="1"/>
  <c r="AK458" i="1"/>
  <c r="AJ459" i="1"/>
  <c r="AK459" i="1"/>
  <c r="AJ460" i="1"/>
  <c r="AK460" i="1"/>
  <c r="AJ461" i="1"/>
  <c r="AK461" i="1"/>
  <c r="AJ462" i="1"/>
  <c r="AK462" i="1"/>
  <c r="AJ463" i="1"/>
  <c r="AK463" i="1"/>
  <c r="AJ464" i="1"/>
  <c r="AK464" i="1"/>
  <c r="AJ465" i="1"/>
  <c r="AK465" i="1"/>
  <c r="AJ466" i="1"/>
  <c r="AK466" i="1"/>
  <c r="AJ467" i="1"/>
  <c r="AK467" i="1"/>
  <c r="AJ468" i="1"/>
  <c r="AK468" i="1"/>
  <c r="AJ469" i="1"/>
  <c r="AK469" i="1"/>
  <c r="AJ470" i="1"/>
  <c r="AK470" i="1"/>
  <c r="AJ471" i="1"/>
  <c r="AK471" i="1"/>
  <c r="AJ472" i="1"/>
  <c r="AK472" i="1"/>
  <c r="AJ473" i="1"/>
  <c r="AK473" i="1"/>
  <c r="AJ474" i="1"/>
  <c r="AK474" i="1"/>
  <c r="AJ475" i="1"/>
  <c r="AK475" i="1"/>
  <c r="AJ476" i="1"/>
  <c r="AK476" i="1"/>
  <c r="AJ477" i="1"/>
  <c r="AK477" i="1"/>
  <c r="AJ478" i="1"/>
  <c r="AK478" i="1"/>
  <c r="AJ479" i="1"/>
  <c r="AK479" i="1"/>
  <c r="AJ480" i="1"/>
  <c r="AK480" i="1"/>
  <c r="AJ481" i="1"/>
  <c r="AK481" i="1"/>
  <c r="AJ482" i="1"/>
  <c r="AK482" i="1"/>
  <c r="AJ483" i="1"/>
  <c r="AK483" i="1"/>
  <c r="AJ484" i="1"/>
  <c r="AK484" i="1"/>
  <c r="AJ485" i="1"/>
  <c r="AK485" i="1"/>
  <c r="AJ486" i="1"/>
  <c r="AK486" i="1"/>
  <c r="AJ487" i="1"/>
  <c r="AK487" i="1"/>
  <c r="AJ488" i="1"/>
  <c r="AK488" i="1"/>
  <c r="AJ489" i="1"/>
  <c r="AK489" i="1"/>
  <c r="AJ490" i="1"/>
  <c r="AK490" i="1"/>
  <c r="AJ491" i="1"/>
  <c r="AK491" i="1"/>
  <c r="AJ492" i="1"/>
  <c r="AK492" i="1"/>
  <c r="AJ493" i="1"/>
  <c r="AK493" i="1"/>
  <c r="AJ494" i="1"/>
  <c r="AK494" i="1"/>
  <c r="AJ495" i="1"/>
  <c r="AK495" i="1"/>
  <c r="AJ496" i="1"/>
  <c r="AK496" i="1"/>
  <c r="AJ497" i="1"/>
  <c r="AK497" i="1"/>
  <c r="AJ498" i="1"/>
  <c r="AK498" i="1"/>
  <c r="AJ499" i="1"/>
  <c r="AK499" i="1"/>
  <c r="AJ500" i="1"/>
  <c r="AK500" i="1"/>
  <c r="AJ501" i="1"/>
  <c r="AK501" i="1"/>
  <c r="AJ502" i="1"/>
  <c r="AK502" i="1"/>
  <c r="AJ503" i="1"/>
  <c r="AK503" i="1"/>
  <c r="AJ504" i="1"/>
  <c r="AK504" i="1"/>
  <c r="AJ505" i="1"/>
  <c r="AK505" i="1"/>
  <c r="AM2" i="1"/>
  <c r="AN2" i="1"/>
  <c r="AM3" i="1"/>
  <c r="AN3" i="1"/>
  <c r="AM4" i="1"/>
  <c r="AN4" i="1"/>
  <c r="AM5" i="1"/>
  <c r="AN5" i="1"/>
  <c r="AM6" i="1"/>
  <c r="AN6" i="1"/>
  <c r="AM7" i="1"/>
  <c r="AN7" i="1"/>
  <c r="AM8" i="1"/>
  <c r="AN8" i="1"/>
  <c r="AM9" i="1"/>
  <c r="AN9" i="1"/>
  <c r="AM10" i="1"/>
  <c r="AN10" i="1"/>
  <c r="AM11" i="1"/>
  <c r="AN11" i="1"/>
  <c r="AM12" i="1"/>
  <c r="AN12" i="1"/>
  <c r="AM13" i="1"/>
  <c r="AN13" i="1"/>
  <c r="AM14" i="1"/>
  <c r="AN14" i="1"/>
  <c r="AM15" i="1"/>
  <c r="AN15" i="1"/>
  <c r="AM16" i="1"/>
  <c r="AN16" i="1"/>
  <c r="AM17" i="1"/>
  <c r="AN17" i="1"/>
  <c r="AM18" i="1"/>
  <c r="AN18" i="1"/>
  <c r="AM19" i="1"/>
  <c r="AN19" i="1"/>
  <c r="AM20" i="1"/>
  <c r="AN20" i="1"/>
  <c r="AM21" i="1"/>
  <c r="AN21" i="1"/>
  <c r="AM22" i="1"/>
  <c r="AN22" i="1"/>
  <c r="AM23" i="1"/>
  <c r="AN23" i="1"/>
  <c r="AM24" i="1"/>
  <c r="AN24" i="1"/>
  <c r="AM25" i="1"/>
  <c r="AN25" i="1"/>
  <c r="AM26" i="1"/>
  <c r="AN26" i="1"/>
  <c r="AM27" i="1"/>
  <c r="AN27" i="1"/>
  <c r="AM28" i="1"/>
  <c r="AN28" i="1"/>
  <c r="AM29" i="1"/>
  <c r="AN29" i="1"/>
  <c r="AM30" i="1"/>
  <c r="AN30" i="1"/>
  <c r="AM31" i="1"/>
  <c r="AN31" i="1"/>
  <c r="AM32" i="1"/>
  <c r="AN32" i="1"/>
  <c r="AM33" i="1"/>
  <c r="AN33" i="1"/>
  <c r="AM34" i="1"/>
  <c r="AN34" i="1"/>
  <c r="AM35" i="1"/>
  <c r="AN35" i="1"/>
  <c r="AM36" i="1"/>
  <c r="AN36" i="1"/>
  <c r="AM37" i="1"/>
  <c r="AN37" i="1"/>
  <c r="AM38" i="1"/>
  <c r="AN38" i="1"/>
  <c r="AM39" i="1"/>
  <c r="AN39" i="1"/>
  <c r="AM40" i="1"/>
  <c r="AN40" i="1"/>
  <c r="AM41" i="1"/>
  <c r="AN41" i="1"/>
  <c r="AM42" i="1"/>
  <c r="AN42" i="1"/>
  <c r="AM43" i="1"/>
  <c r="AN43" i="1"/>
  <c r="AM44" i="1"/>
  <c r="AN44" i="1"/>
  <c r="AM45" i="1"/>
  <c r="AN45" i="1"/>
  <c r="AM46" i="1"/>
  <c r="AN46" i="1"/>
  <c r="AM47" i="1"/>
  <c r="AN47" i="1"/>
  <c r="AM48" i="1"/>
  <c r="AN48" i="1"/>
  <c r="AM49" i="1"/>
  <c r="AN49" i="1"/>
  <c r="AM50" i="1"/>
  <c r="AN50" i="1"/>
  <c r="AM51" i="1"/>
  <c r="AN51" i="1"/>
  <c r="AM52" i="1"/>
  <c r="AN52" i="1"/>
  <c r="AM53" i="1"/>
  <c r="AN53" i="1"/>
  <c r="AM54" i="1"/>
  <c r="AN54" i="1"/>
  <c r="AM55" i="1"/>
  <c r="AN55" i="1"/>
  <c r="AM56" i="1"/>
  <c r="AN56" i="1"/>
  <c r="AM57" i="1"/>
  <c r="AN57" i="1"/>
  <c r="AM58" i="1"/>
  <c r="AN58" i="1"/>
  <c r="AM59" i="1"/>
  <c r="AN59" i="1"/>
  <c r="AM60" i="1"/>
  <c r="AN60" i="1"/>
  <c r="AM61" i="1"/>
  <c r="AN61" i="1"/>
  <c r="AM62" i="1"/>
  <c r="AN62" i="1"/>
  <c r="AM63" i="1"/>
  <c r="AN63" i="1"/>
  <c r="AM64" i="1"/>
  <c r="AN64" i="1"/>
  <c r="AM65" i="1"/>
  <c r="AN65" i="1"/>
  <c r="AM66" i="1"/>
  <c r="AN66" i="1"/>
  <c r="AM67" i="1"/>
  <c r="AN67" i="1"/>
  <c r="AM68" i="1"/>
  <c r="AN68" i="1"/>
  <c r="AM69" i="1"/>
  <c r="AN69" i="1"/>
  <c r="AM70" i="1"/>
  <c r="AN70" i="1"/>
  <c r="AM71" i="1"/>
  <c r="AN71" i="1"/>
  <c r="AM72" i="1"/>
  <c r="AN72" i="1"/>
  <c r="AM73" i="1"/>
  <c r="AN73" i="1"/>
  <c r="AM74" i="1"/>
  <c r="AN74" i="1"/>
  <c r="AM75" i="1"/>
  <c r="AN75" i="1"/>
  <c r="AM76" i="1"/>
  <c r="AN76" i="1"/>
  <c r="AM77" i="1"/>
  <c r="AN77" i="1"/>
  <c r="AM78" i="1"/>
  <c r="AN78" i="1"/>
  <c r="AM79" i="1"/>
  <c r="AN79" i="1"/>
  <c r="AM80" i="1"/>
  <c r="AN80" i="1"/>
  <c r="AM81" i="1"/>
  <c r="AN81" i="1"/>
  <c r="AM82" i="1"/>
  <c r="AN82" i="1"/>
  <c r="AM83" i="1"/>
  <c r="AN83" i="1"/>
  <c r="AM84" i="1"/>
  <c r="AN84" i="1"/>
  <c r="AM85" i="1"/>
  <c r="AN85" i="1"/>
  <c r="AM86" i="1"/>
  <c r="AN86" i="1"/>
  <c r="AM87" i="1"/>
  <c r="AN87" i="1"/>
  <c r="AM88" i="1"/>
  <c r="AN88" i="1"/>
  <c r="AM89" i="1"/>
  <c r="AN89" i="1"/>
  <c r="AM90" i="1"/>
  <c r="AN90" i="1"/>
  <c r="AM91" i="1"/>
  <c r="AN91" i="1"/>
  <c r="AM92" i="1"/>
  <c r="AN92" i="1"/>
  <c r="AM93" i="1"/>
  <c r="AN93" i="1"/>
  <c r="AM94" i="1"/>
  <c r="AN94" i="1"/>
  <c r="AM95" i="1"/>
  <c r="AN95" i="1"/>
  <c r="AM96" i="1"/>
  <c r="AN96" i="1"/>
  <c r="AM97" i="1"/>
  <c r="AN97" i="1"/>
  <c r="AM98" i="1"/>
  <c r="AN98" i="1"/>
  <c r="AM99" i="1"/>
  <c r="AN99" i="1"/>
  <c r="AM100" i="1"/>
  <c r="AN100" i="1"/>
  <c r="AM101" i="1"/>
  <c r="AN101" i="1"/>
  <c r="AM102" i="1"/>
  <c r="AN102" i="1"/>
  <c r="AM103" i="1"/>
  <c r="AN103" i="1"/>
  <c r="AM104" i="1"/>
  <c r="AN104" i="1"/>
  <c r="AM105" i="1"/>
  <c r="AN105" i="1"/>
  <c r="AM106" i="1"/>
  <c r="AN106" i="1"/>
  <c r="AM107" i="1"/>
  <c r="AN107" i="1"/>
  <c r="AM108" i="1"/>
  <c r="AN108" i="1"/>
  <c r="AM109" i="1"/>
  <c r="AN109" i="1"/>
  <c r="AM110" i="1"/>
  <c r="AN110" i="1"/>
  <c r="AM111" i="1"/>
  <c r="AN111" i="1"/>
  <c r="AM112" i="1"/>
  <c r="AN112" i="1"/>
  <c r="AM113" i="1"/>
  <c r="AN113" i="1"/>
  <c r="AM114" i="1"/>
  <c r="AN114" i="1"/>
  <c r="AM115" i="1"/>
  <c r="AN115" i="1"/>
  <c r="AM116" i="1"/>
  <c r="AN116" i="1"/>
  <c r="AM117" i="1"/>
  <c r="AN117" i="1"/>
  <c r="AM118" i="1"/>
  <c r="AN118" i="1"/>
  <c r="AM119" i="1"/>
  <c r="AN119" i="1"/>
  <c r="AM120" i="1"/>
  <c r="AN120" i="1"/>
  <c r="AM121" i="1"/>
  <c r="AN121" i="1"/>
  <c r="AM122" i="1"/>
  <c r="AN122" i="1"/>
  <c r="AM123" i="1"/>
  <c r="AN123" i="1"/>
  <c r="AM124" i="1"/>
  <c r="AN124" i="1"/>
  <c r="AM125" i="1"/>
  <c r="AN125" i="1"/>
  <c r="AM126" i="1"/>
  <c r="AN126" i="1"/>
  <c r="AM127" i="1"/>
  <c r="AN127" i="1"/>
  <c r="AM128" i="1"/>
  <c r="AN128" i="1"/>
  <c r="AM129" i="1"/>
  <c r="AN129" i="1"/>
  <c r="AM130" i="1"/>
  <c r="AN130" i="1"/>
  <c r="AM131" i="1"/>
  <c r="AN131" i="1"/>
  <c r="AM132" i="1"/>
  <c r="AN132" i="1"/>
  <c r="AM133" i="1"/>
  <c r="AN133" i="1"/>
  <c r="AM134" i="1"/>
  <c r="AN134" i="1"/>
  <c r="AM135" i="1"/>
  <c r="AN135" i="1"/>
  <c r="AM136" i="1"/>
  <c r="AN136" i="1"/>
  <c r="AM137" i="1"/>
  <c r="AN137" i="1"/>
  <c r="AM138" i="1"/>
  <c r="AN138" i="1"/>
  <c r="AM139" i="1"/>
  <c r="AN139" i="1"/>
  <c r="AM140" i="1"/>
  <c r="AN140" i="1"/>
  <c r="AM141" i="1"/>
  <c r="AN141" i="1"/>
  <c r="AM142" i="1"/>
  <c r="AN142" i="1"/>
  <c r="AM143" i="1"/>
  <c r="AN143" i="1"/>
  <c r="AM144" i="1"/>
  <c r="AN144" i="1"/>
  <c r="AM145" i="1"/>
  <c r="AN145" i="1"/>
  <c r="AM146" i="1"/>
  <c r="AN146" i="1"/>
  <c r="AM147" i="1"/>
  <c r="AN147" i="1"/>
  <c r="AM148" i="1"/>
  <c r="AN148" i="1"/>
  <c r="AM149" i="1"/>
  <c r="AN149" i="1"/>
  <c r="AM150" i="1"/>
  <c r="AN150" i="1"/>
  <c r="AM151" i="1"/>
  <c r="AN151" i="1"/>
  <c r="AM152" i="1"/>
  <c r="AN152" i="1"/>
  <c r="AM153" i="1"/>
  <c r="AN153" i="1"/>
  <c r="AM154" i="1"/>
  <c r="AN154" i="1"/>
  <c r="AM155" i="1"/>
  <c r="AN155" i="1"/>
  <c r="AM156" i="1"/>
  <c r="AN156" i="1"/>
  <c r="AM157" i="1"/>
  <c r="AN157" i="1"/>
  <c r="AM158" i="1"/>
  <c r="AN158" i="1"/>
  <c r="AM159" i="1"/>
  <c r="AN159" i="1"/>
  <c r="AM160" i="1"/>
  <c r="AN160" i="1"/>
  <c r="AM161" i="1"/>
  <c r="AN161" i="1"/>
  <c r="AM162" i="1"/>
  <c r="AN162" i="1"/>
  <c r="AM163" i="1"/>
  <c r="AN163" i="1"/>
  <c r="AM164" i="1"/>
  <c r="AN164" i="1"/>
  <c r="AM165" i="1"/>
  <c r="AN165" i="1"/>
  <c r="AM166" i="1"/>
  <c r="AN166" i="1"/>
  <c r="AM167" i="1"/>
  <c r="AN167" i="1"/>
  <c r="AM168" i="1"/>
  <c r="AN168" i="1"/>
  <c r="AM169" i="1"/>
  <c r="AN169" i="1"/>
  <c r="AM170" i="1"/>
  <c r="AN170" i="1"/>
  <c r="AM171" i="1"/>
  <c r="AN171" i="1"/>
  <c r="AM172" i="1"/>
  <c r="AN172" i="1"/>
  <c r="AM173" i="1"/>
  <c r="AN173" i="1"/>
  <c r="AM174" i="1"/>
  <c r="AN174" i="1"/>
  <c r="AM175" i="1"/>
  <c r="AN175" i="1"/>
  <c r="AM176" i="1"/>
  <c r="AN176" i="1"/>
  <c r="AM177" i="1"/>
  <c r="AN177" i="1"/>
  <c r="AM178" i="1"/>
  <c r="AN178" i="1"/>
  <c r="AM179" i="1"/>
  <c r="AN179" i="1"/>
  <c r="AM180" i="1"/>
  <c r="AN180" i="1"/>
  <c r="AM181" i="1"/>
  <c r="AN181" i="1"/>
  <c r="AM182" i="1"/>
  <c r="AN182" i="1"/>
  <c r="AM183" i="1"/>
  <c r="AN183" i="1"/>
  <c r="AM184" i="1"/>
  <c r="AN184" i="1"/>
  <c r="AM185" i="1"/>
  <c r="AN185" i="1"/>
  <c r="AM186" i="1"/>
  <c r="AN186" i="1"/>
  <c r="AM187" i="1"/>
  <c r="AN187" i="1"/>
  <c r="AM188" i="1"/>
  <c r="AN188" i="1"/>
  <c r="AM189" i="1"/>
  <c r="AN189" i="1"/>
  <c r="AM190" i="1"/>
  <c r="AN190" i="1"/>
  <c r="AM191" i="1"/>
  <c r="AN191" i="1"/>
  <c r="AM192" i="1"/>
  <c r="AN192" i="1"/>
  <c r="AM193" i="1"/>
  <c r="AN193" i="1"/>
  <c r="AM194" i="1"/>
  <c r="AN194" i="1"/>
  <c r="AM195" i="1"/>
  <c r="AN195" i="1"/>
  <c r="AM196" i="1"/>
  <c r="AN196" i="1"/>
  <c r="AM197" i="1"/>
  <c r="AN197" i="1"/>
  <c r="AM198" i="1"/>
  <c r="AN198" i="1"/>
  <c r="AM199" i="1"/>
  <c r="AN199" i="1"/>
  <c r="AM200" i="1"/>
  <c r="AN200" i="1"/>
  <c r="AM201" i="1"/>
  <c r="AN201" i="1"/>
  <c r="AM202" i="1"/>
  <c r="AN202" i="1"/>
  <c r="AM203" i="1"/>
  <c r="AN203" i="1"/>
  <c r="AM204" i="1"/>
  <c r="AN204" i="1"/>
  <c r="AM205" i="1"/>
  <c r="AN205" i="1"/>
  <c r="AM206" i="1"/>
  <c r="AN206" i="1"/>
  <c r="AM207" i="1"/>
  <c r="AN207" i="1"/>
  <c r="AM208" i="1"/>
  <c r="AN208" i="1"/>
  <c r="AM209" i="1"/>
  <c r="AN209" i="1"/>
  <c r="AM210" i="1"/>
  <c r="AN210" i="1"/>
  <c r="AM211" i="1"/>
  <c r="AN211" i="1"/>
  <c r="AM212" i="1"/>
  <c r="AN212" i="1"/>
  <c r="AM213" i="1"/>
  <c r="AN213" i="1"/>
  <c r="AM214" i="1"/>
  <c r="AN214" i="1"/>
  <c r="AM215" i="1"/>
  <c r="AN215" i="1"/>
  <c r="AM216" i="1"/>
  <c r="AN216" i="1"/>
  <c r="AM217" i="1"/>
  <c r="AN217" i="1"/>
  <c r="AM218" i="1"/>
  <c r="AN218" i="1"/>
  <c r="AM219" i="1"/>
  <c r="AN219" i="1"/>
  <c r="AM220" i="1"/>
  <c r="AN220" i="1"/>
  <c r="AM221" i="1"/>
  <c r="AN221" i="1"/>
  <c r="AM222" i="1"/>
  <c r="AN222" i="1"/>
  <c r="AM223" i="1"/>
  <c r="AN223" i="1"/>
  <c r="AM224" i="1"/>
  <c r="AN224" i="1"/>
  <c r="AM225" i="1"/>
  <c r="AN225" i="1"/>
  <c r="AM226" i="1"/>
  <c r="AN226" i="1"/>
  <c r="AM227" i="1"/>
  <c r="AN227" i="1"/>
  <c r="AM228" i="1"/>
  <c r="AN228" i="1"/>
  <c r="AM229" i="1"/>
  <c r="AN229" i="1"/>
  <c r="AM230" i="1"/>
  <c r="AN230" i="1"/>
  <c r="AM231" i="1"/>
  <c r="AN231" i="1"/>
  <c r="AM232" i="1"/>
  <c r="AN232" i="1"/>
  <c r="AM233" i="1"/>
  <c r="AN233" i="1"/>
  <c r="AM234" i="1"/>
  <c r="AN234" i="1"/>
  <c r="AM235" i="1"/>
  <c r="AN235" i="1"/>
  <c r="AM236" i="1"/>
  <c r="AN236" i="1"/>
  <c r="AM237" i="1"/>
  <c r="AN237" i="1"/>
  <c r="AM238" i="1"/>
  <c r="AN238" i="1"/>
  <c r="AM239" i="1"/>
  <c r="AN239" i="1"/>
  <c r="AM240" i="1"/>
  <c r="AN240" i="1"/>
  <c r="AM241" i="1"/>
  <c r="AN241" i="1"/>
  <c r="AM242" i="1"/>
  <c r="AN242" i="1"/>
  <c r="AM243" i="1"/>
  <c r="AN243" i="1"/>
  <c r="AM244" i="1"/>
  <c r="AN244" i="1"/>
  <c r="AM245" i="1"/>
  <c r="AN245" i="1"/>
  <c r="AM246" i="1"/>
  <c r="AN246" i="1"/>
  <c r="AM247" i="1"/>
  <c r="AN247" i="1"/>
  <c r="AM248" i="1"/>
  <c r="AN248" i="1"/>
  <c r="AM249" i="1"/>
  <c r="AN249" i="1"/>
  <c r="AM250" i="1"/>
  <c r="AN250" i="1"/>
  <c r="AM251" i="1"/>
  <c r="AN251" i="1"/>
  <c r="AM252" i="1"/>
  <c r="AN252" i="1"/>
  <c r="AM253" i="1"/>
  <c r="AN253" i="1"/>
  <c r="AM254" i="1"/>
  <c r="AN254" i="1"/>
  <c r="AM255" i="1"/>
  <c r="AN255" i="1"/>
  <c r="AM256" i="1"/>
  <c r="AN256" i="1"/>
  <c r="AM257" i="1"/>
  <c r="AN257" i="1"/>
  <c r="AM258" i="1"/>
  <c r="AN258" i="1"/>
  <c r="AM259" i="1"/>
  <c r="AN259" i="1"/>
  <c r="AM260" i="1"/>
  <c r="AN260" i="1"/>
  <c r="AM261" i="1"/>
  <c r="AN261" i="1"/>
  <c r="AM262" i="1"/>
  <c r="AN262" i="1"/>
  <c r="AM263" i="1"/>
  <c r="AN263" i="1"/>
  <c r="AM264" i="1"/>
  <c r="AN264" i="1"/>
  <c r="AM265" i="1"/>
  <c r="AN265" i="1"/>
  <c r="AM266" i="1"/>
  <c r="AN266" i="1"/>
  <c r="AM267" i="1"/>
  <c r="AN267" i="1"/>
  <c r="AM268" i="1"/>
  <c r="AN268" i="1"/>
  <c r="AM269" i="1"/>
  <c r="AN269" i="1"/>
  <c r="AM270" i="1"/>
  <c r="AN270" i="1"/>
  <c r="AM271" i="1"/>
  <c r="AN271" i="1"/>
  <c r="AM272" i="1"/>
  <c r="AN272" i="1"/>
  <c r="AM273" i="1"/>
  <c r="AN273" i="1"/>
  <c r="AM274" i="1"/>
  <c r="AN274" i="1"/>
  <c r="AM275" i="1"/>
  <c r="AN275" i="1"/>
  <c r="AM276" i="1"/>
  <c r="AN276" i="1"/>
  <c r="AM277" i="1"/>
  <c r="AN277" i="1"/>
  <c r="AM278" i="1"/>
  <c r="AN278" i="1"/>
  <c r="AM279" i="1"/>
  <c r="AN279" i="1"/>
  <c r="AM280" i="1"/>
  <c r="AN280" i="1"/>
  <c r="AM281" i="1"/>
  <c r="AN281" i="1"/>
  <c r="AM282" i="1"/>
  <c r="AN282" i="1"/>
  <c r="AM283" i="1"/>
  <c r="AN283" i="1"/>
  <c r="AM284" i="1"/>
  <c r="AN284" i="1"/>
  <c r="AM285" i="1"/>
  <c r="AN285" i="1"/>
  <c r="AM286" i="1"/>
  <c r="AN286" i="1"/>
  <c r="AM287" i="1"/>
  <c r="AN287" i="1"/>
  <c r="AM288" i="1"/>
  <c r="AN288" i="1"/>
  <c r="AM289" i="1"/>
  <c r="AN289" i="1"/>
  <c r="AM290" i="1"/>
  <c r="AN290" i="1"/>
  <c r="AM291" i="1"/>
  <c r="AN291" i="1"/>
  <c r="AM292" i="1"/>
  <c r="AN292" i="1"/>
  <c r="AM293" i="1"/>
  <c r="AN293" i="1"/>
  <c r="AM294" i="1"/>
  <c r="AN294" i="1"/>
  <c r="AM295" i="1"/>
  <c r="AN295" i="1"/>
  <c r="AM296" i="1"/>
  <c r="AN296" i="1"/>
  <c r="AM297" i="1"/>
  <c r="AN297" i="1"/>
  <c r="AM298" i="1"/>
  <c r="AN298" i="1"/>
  <c r="AM299" i="1"/>
  <c r="AN299" i="1"/>
  <c r="AM300" i="1"/>
  <c r="AN300" i="1"/>
  <c r="AM301" i="1"/>
  <c r="AN301" i="1"/>
  <c r="AM302" i="1"/>
  <c r="AN302" i="1"/>
  <c r="AM303" i="1"/>
  <c r="AN303" i="1"/>
  <c r="AM304" i="1"/>
  <c r="AN304" i="1"/>
  <c r="AM305" i="1"/>
  <c r="AN305" i="1"/>
  <c r="AM306" i="1"/>
  <c r="AN306" i="1"/>
  <c r="AM307" i="1"/>
  <c r="AN307" i="1"/>
  <c r="AM308" i="1"/>
  <c r="AN308" i="1"/>
  <c r="AM309" i="1"/>
  <c r="AN309" i="1"/>
  <c r="AM310" i="1"/>
  <c r="AN310" i="1"/>
  <c r="AM311" i="1"/>
  <c r="AN311" i="1"/>
  <c r="AM312" i="1"/>
  <c r="AN312" i="1"/>
  <c r="AM313" i="1"/>
  <c r="AN313" i="1"/>
  <c r="AM314" i="1"/>
  <c r="AN314" i="1"/>
  <c r="AM315" i="1"/>
  <c r="AN315" i="1"/>
  <c r="AM316" i="1"/>
  <c r="AN316" i="1"/>
  <c r="AM317" i="1"/>
  <c r="AN317" i="1"/>
  <c r="AM318" i="1"/>
  <c r="AN318" i="1"/>
  <c r="AM319" i="1"/>
  <c r="AN319" i="1"/>
  <c r="AM320" i="1"/>
  <c r="AN320" i="1"/>
  <c r="AM321" i="1"/>
  <c r="AN321" i="1"/>
  <c r="AM322" i="1"/>
  <c r="AN322" i="1"/>
  <c r="AM323" i="1"/>
  <c r="AN323" i="1"/>
  <c r="AM324" i="1"/>
  <c r="AN324" i="1"/>
  <c r="AM325" i="1"/>
  <c r="AN325" i="1"/>
  <c r="AM326" i="1"/>
  <c r="AN326" i="1"/>
  <c r="AM327" i="1"/>
  <c r="AN327" i="1"/>
  <c r="AM328" i="1"/>
  <c r="AN328" i="1"/>
  <c r="AM329" i="1"/>
  <c r="AN329" i="1"/>
  <c r="AM330" i="1"/>
  <c r="AN330" i="1"/>
  <c r="AM331" i="1"/>
  <c r="AN331" i="1"/>
  <c r="AM332" i="1"/>
  <c r="AN332" i="1"/>
  <c r="AM333" i="1"/>
  <c r="AN333" i="1"/>
  <c r="AM334" i="1"/>
  <c r="AN334" i="1"/>
  <c r="AM335" i="1"/>
  <c r="AN335" i="1"/>
  <c r="AM336" i="1"/>
  <c r="AN336" i="1"/>
  <c r="AM337" i="1"/>
  <c r="AN337" i="1"/>
  <c r="AM338" i="1"/>
  <c r="AN338" i="1"/>
  <c r="AM339" i="1"/>
  <c r="AN339" i="1"/>
  <c r="AM340" i="1"/>
  <c r="AN340" i="1"/>
  <c r="AM341" i="1"/>
  <c r="AN341" i="1"/>
  <c r="AM342" i="1"/>
  <c r="AN342" i="1"/>
  <c r="AM343" i="1"/>
  <c r="AN343" i="1"/>
  <c r="AM344" i="1"/>
  <c r="AN344" i="1"/>
  <c r="AM345" i="1"/>
  <c r="AN345" i="1"/>
  <c r="AM346" i="1"/>
  <c r="AN346" i="1"/>
  <c r="AM347" i="1"/>
  <c r="AN347" i="1"/>
  <c r="AM348" i="1"/>
  <c r="AN348" i="1"/>
  <c r="AM349" i="1"/>
  <c r="AN349" i="1"/>
  <c r="AM350" i="1"/>
  <c r="AN350" i="1"/>
  <c r="AM351" i="1"/>
  <c r="AN351" i="1"/>
  <c r="AM352" i="1"/>
  <c r="AN352" i="1"/>
  <c r="AM353" i="1"/>
  <c r="AN353" i="1"/>
  <c r="AM354" i="1"/>
  <c r="AN354" i="1"/>
  <c r="AM355" i="1"/>
  <c r="AN355" i="1"/>
  <c r="AM356" i="1"/>
  <c r="AN356" i="1"/>
  <c r="AM357" i="1"/>
  <c r="AN357" i="1"/>
  <c r="AM358" i="1"/>
  <c r="AN358" i="1"/>
  <c r="AM359" i="1"/>
  <c r="AN359" i="1"/>
  <c r="AM360" i="1"/>
  <c r="AN360" i="1"/>
  <c r="AM361" i="1"/>
  <c r="AN361" i="1"/>
  <c r="AM362" i="1"/>
  <c r="AN362" i="1"/>
  <c r="AM363" i="1"/>
  <c r="AN363" i="1"/>
  <c r="AM364" i="1"/>
  <c r="AN364" i="1"/>
  <c r="AM365" i="1"/>
  <c r="AN365" i="1"/>
  <c r="AM366" i="1"/>
  <c r="AN366" i="1"/>
  <c r="AM367" i="1"/>
  <c r="AN367" i="1"/>
  <c r="AM368" i="1"/>
  <c r="AN368" i="1"/>
  <c r="AM369" i="1"/>
  <c r="AN369" i="1"/>
  <c r="AM370" i="1"/>
  <c r="AN370" i="1"/>
  <c r="AM371" i="1"/>
  <c r="AN371" i="1"/>
  <c r="AM372" i="1"/>
  <c r="AN372" i="1"/>
  <c r="AM373" i="1"/>
  <c r="AN373" i="1"/>
  <c r="AM374" i="1"/>
  <c r="AN374" i="1"/>
  <c r="AM375" i="1"/>
  <c r="AN375" i="1"/>
  <c r="AM376" i="1"/>
  <c r="AN376" i="1"/>
  <c r="AM377" i="1"/>
  <c r="AN377" i="1"/>
  <c r="AM378" i="1"/>
  <c r="AN378" i="1"/>
  <c r="AM379" i="1"/>
  <c r="AN379" i="1"/>
  <c r="AM380" i="1"/>
  <c r="AN380" i="1"/>
  <c r="AM381" i="1"/>
  <c r="AN381" i="1"/>
  <c r="AM382" i="1"/>
  <c r="AN382" i="1"/>
  <c r="AM383" i="1"/>
  <c r="AN383" i="1"/>
  <c r="AM384" i="1"/>
  <c r="AN384" i="1"/>
  <c r="AM385" i="1"/>
  <c r="AN385" i="1"/>
  <c r="AM386" i="1"/>
  <c r="AN386" i="1"/>
  <c r="AM387" i="1"/>
  <c r="AN387" i="1"/>
  <c r="AM388" i="1"/>
  <c r="AN388" i="1"/>
  <c r="AM389" i="1"/>
  <c r="AN389" i="1"/>
  <c r="AM390" i="1"/>
  <c r="AN390" i="1"/>
  <c r="AM391" i="1"/>
  <c r="AN391" i="1"/>
  <c r="AM392" i="1"/>
  <c r="AN392" i="1"/>
  <c r="AM393" i="1"/>
  <c r="AN393" i="1"/>
  <c r="AM394" i="1"/>
  <c r="AN394" i="1"/>
  <c r="AM395" i="1"/>
  <c r="AN395" i="1"/>
  <c r="AM396" i="1"/>
  <c r="AN396" i="1"/>
  <c r="AM397" i="1"/>
  <c r="AN397" i="1"/>
  <c r="AM398" i="1"/>
  <c r="AN398" i="1"/>
  <c r="AM399" i="1"/>
  <c r="AN399" i="1"/>
  <c r="AM400" i="1"/>
  <c r="AN400" i="1"/>
  <c r="AM401" i="1"/>
  <c r="AN401" i="1"/>
  <c r="AM402" i="1"/>
  <c r="AN402" i="1"/>
  <c r="AM403" i="1"/>
  <c r="AN403" i="1"/>
  <c r="AM404" i="1"/>
  <c r="AN404" i="1"/>
  <c r="AM405" i="1"/>
  <c r="AN405" i="1"/>
  <c r="AM406" i="1"/>
  <c r="AN406" i="1"/>
  <c r="AM407" i="1"/>
  <c r="AN407" i="1"/>
  <c r="AM408" i="1"/>
  <c r="AN408" i="1"/>
  <c r="AM409" i="1"/>
  <c r="AN409" i="1"/>
  <c r="AM410" i="1"/>
  <c r="AN410" i="1"/>
  <c r="AM411" i="1"/>
  <c r="AN411" i="1"/>
  <c r="AM412" i="1"/>
  <c r="AN412" i="1"/>
  <c r="AM413" i="1"/>
  <c r="AN413" i="1"/>
  <c r="AM414" i="1"/>
  <c r="AN414" i="1"/>
  <c r="AM415" i="1"/>
  <c r="AN415" i="1"/>
  <c r="AM416" i="1"/>
  <c r="AN416" i="1"/>
  <c r="AM417" i="1"/>
  <c r="AN417" i="1"/>
  <c r="AM418" i="1"/>
  <c r="AN418" i="1"/>
  <c r="AM419" i="1"/>
  <c r="AN419" i="1"/>
  <c r="AM420" i="1"/>
  <c r="AN420" i="1"/>
  <c r="AM421" i="1"/>
  <c r="AN421" i="1"/>
  <c r="AM422" i="1"/>
  <c r="AN422" i="1"/>
  <c r="AM423" i="1"/>
  <c r="AN423" i="1"/>
  <c r="AM424" i="1"/>
  <c r="AN424" i="1"/>
  <c r="AM425" i="1"/>
  <c r="AN425" i="1"/>
  <c r="AM426" i="1"/>
  <c r="AN426" i="1"/>
  <c r="AM427" i="1"/>
  <c r="AN427" i="1"/>
  <c r="AM428" i="1"/>
  <c r="AN428" i="1"/>
  <c r="AM429" i="1"/>
  <c r="AN429" i="1"/>
  <c r="AM430" i="1"/>
  <c r="AN430" i="1"/>
  <c r="AM431" i="1"/>
  <c r="AN431" i="1"/>
  <c r="AM432" i="1"/>
  <c r="AN432" i="1"/>
  <c r="AM433" i="1"/>
  <c r="AN433" i="1"/>
  <c r="AM434" i="1"/>
  <c r="AN434" i="1"/>
  <c r="AM435" i="1"/>
  <c r="AN435" i="1"/>
  <c r="AM436" i="1"/>
  <c r="AN436" i="1"/>
  <c r="AM437" i="1"/>
  <c r="AN437" i="1"/>
  <c r="AM438" i="1"/>
  <c r="AN438" i="1"/>
  <c r="AM439" i="1"/>
  <c r="AN439" i="1"/>
  <c r="AM440" i="1"/>
  <c r="AN440" i="1"/>
  <c r="AM441" i="1"/>
  <c r="AN441" i="1"/>
  <c r="AM442" i="1"/>
  <c r="AN442" i="1"/>
  <c r="AM443" i="1"/>
  <c r="AN443" i="1"/>
  <c r="AM444" i="1"/>
  <c r="AN444" i="1"/>
  <c r="AM445" i="1"/>
  <c r="AN445" i="1"/>
  <c r="AM446" i="1"/>
  <c r="AN446" i="1"/>
  <c r="AM447" i="1"/>
  <c r="AN447" i="1"/>
  <c r="AM448" i="1"/>
  <c r="AN448" i="1"/>
  <c r="AM449" i="1"/>
  <c r="AN449" i="1"/>
  <c r="AM450" i="1"/>
  <c r="AN450" i="1"/>
  <c r="AM451" i="1"/>
  <c r="AN451" i="1"/>
  <c r="AM452" i="1"/>
  <c r="AN452" i="1"/>
  <c r="AM453" i="1"/>
  <c r="AN453" i="1"/>
  <c r="AM454" i="1"/>
  <c r="AN454" i="1"/>
  <c r="AM455" i="1"/>
  <c r="AN455" i="1"/>
  <c r="AM456" i="1"/>
  <c r="AN456" i="1"/>
  <c r="AM457" i="1"/>
  <c r="AN457" i="1"/>
  <c r="AM458" i="1"/>
  <c r="AN458" i="1"/>
  <c r="AM459" i="1"/>
  <c r="AN459" i="1"/>
  <c r="AM460" i="1"/>
  <c r="AN460" i="1"/>
  <c r="AM461" i="1"/>
  <c r="AN461" i="1"/>
  <c r="AM462" i="1"/>
  <c r="AN462" i="1"/>
  <c r="AM463" i="1"/>
  <c r="AN463" i="1"/>
  <c r="AM464" i="1"/>
  <c r="AN464" i="1"/>
  <c r="AM465" i="1"/>
  <c r="AN465" i="1"/>
  <c r="AM466" i="1"/>
  <c r="AN466" i="1"/>
  <c r="AM467" i="1"/>
  <c r="AN467" i="1"/>
  <c r="AM468" i="1"/>
  <c r="AN468" i="1"/>
  <c r="AM469" i="1"/>
  <c r="AN469" i="1"/>
  <c r="AM470" i="1"/>
  <c r="AN470" i="1"/>
  <c r="AM471" i="1"/>
  <c r="AN471" i="1"/>
  <c r="AM472" i="1"/>
  <c r="AN472" i="1"/>
  <c r="AM473" i="1"/>
  <c r="AN473" i="1"/>
  <c r="AM474" i="1"/>
  <c r="AN474" i="1"/>
  <c r="AM475" i="1"/>
  <c r="AN475" i="1"/>
  <c r="AM476" i="1"/>
  <c r="AN476" i="1"/>
  <c r="AM477" i="1"/>
  <c r="AN477" i="1"/>
  <c r="AM478" i="1"/>
  <c r="AN478" i="1"/>
  <c r="AM479" i="1"/>
  <c r="AN479" i="1"/>
  <c r="AM480" i="1"/>
  <c r="AN480" i="1"/>
  <c r="AM481" i="1"/>
  <c r="AN481" i="1"/>
  <c r="AM482" i="1"/>
  <c r="AN482" i="1"/>
  <c r="AM483" i="1"/>
  <c r="AN483" i="1"/>
  <c r="AM484" i="1"/>
  <c r="AN484" i="1"/>
  <c r="AM485" i="1"/>
  <c r="AN485" i="1"/>
  <c r="AM486" i="1"/>
  <c r="AN486" i="1"/>
  <c r="AM487" i="1"/>
  <c r="AN487" i="1"/>
  <c r="AM488" i="1"/>
  <c r="AN488" i="1"/>
  <c r="AM489" i="1"/>
  <c r="AN489" i="1"/>
  <c r="AM490" i="1"/>
  <c r="AN490" i="1"/>
  <c r="AM491" i="1"/>
  <c r="AN491" i="1"/>
  <c r="AM492" i="1"/>
  <c r="AN492" i="1"/>
  <c r="AM493" i="1"/>
  <c r="AN493" i="1"/>
  <c r="AM494" i="1"/>
  <c r="AN494" i="1"/>
  <c r="AM495" i="1"/>
  <c r="AN495" i="1"/>
  <c r="AM496" i="1"/>
  <c r="AN496" i="1"/>
  <c r="AM497" i="1"/>
  <c r="AN497" i="1"/>
  <c r="AM498" i="1"/>
  <c r="AN498" i="1"/>
  <c r="AM499" i="1"/>
  <c r="AN499" i="1"/>
  <c r="AM500" i="1"/>
  <c r="AN500" i="1"/>
  <c r="AM501" i="1"/>
  <c r="AN501" i="1"/>
  <c r="AM502" i="1"/>
  <c r="AN502" i="1"/>
  <c r="AM503" i="1"/>
  <c r="AN503" i="1"/>
  <c r="AM504" i="1"/>
  <c r="AN504" i="1"/>
  <c r="AM505" i="1"/>
  <c r="AN50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B3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B34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B35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B36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B37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B38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B39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B40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B41" i="1"/>
  <c r="AP2" i="1"/>
  <c r="AQ2" i="1"/>
  <c r="AP3" i="1"/>
  <c r="AQ3" i="1"/>
  <c r="AR3" i="1"/>
  <c r="AP4" i="1"/>
  <c r="AQ4" i="1"/>
  <c r="AR4" i="1"/>
  <c r="AP5" i="1"/>
  <c r="AQ5" i="1"/>
  <c r="AR5" i="1"/>
  <c r="AP6" i="1"/>
  <c r="AQ6" i="1"/>
  <c r="AR6" i="1"/>
  <c r="AP7" i="1"/>
  <c r="AQ7" i="1"/>
  <c r="AR7" i="1"/>
  <c r="AP8" i="1"/>
  <c r="AQ8" i="1"/>
  <c r="AR8" i="1"/>
  <c r="AP9" i="1"/>
  <c r="AQ9" i="1"/>
  <c r="AR9" i="1"/>
  <c r="AP10" i="1"/>
  <c r="AQ10" i="1"/>
  <c r="AR10" i="1"/>
  <c r="AP11" i="1"/>
  <c r="AQ11" i="1"/>
  <c r="AR11" i="1"/>
  <c r="AP12" i="1"/>
  <c r="AQ12" i="1"/>
  <c r="AR12" i="1"/>
  <c r="AP13" i="1"/>
  <c r="AQ13" i="1"/>
  <c r="AR13" i="1"/>
  <c r="AP14" i="1"/>
  <c r="AQ14" i="1"/>
  <c r="AR14" i="1"/>
  <c r="AP15" i="1"/>
  <c r="AQ15" i="1"/>
  <c r="AR15" i="1"/>
  <c r="AP16" i="1"/>
  <c r="AQ16" i="1"/>
  <c r="AR16" i="1"/>
  <c r="AP17" i="1"/>
  <c r="AQ17" i="1"/>
  <c r="AR17" i="1"/>
  <c r="AP18" i="1"/>
  <c r="AQ18" i="1"/>
  <c r="AR18" i="1"/>
  <c r="AP19" i="1"/>
  <c r="AQ19" i="1"/>
  <c r="AR19" i="1"/>
  <c r="AP20" i="1"/>
  <c r="AQ20" i="1"/>
  <c r="AR20" i="1"/>
  <c r="AP21" i="1"/>
  <c r="AQ21" i="1"/>
  <c r="AR21" i="1"/>
  <c r="AP22" i="1"/>
  <c r="AQ22" i="1"/>
  <c r="AR22" i="1"/>
  <c r="AP23" i="1"/>
  <c r="AQ23" i="1"/>
  <c r="AR23" i="1"/>
  <c r="AP24" i="1"/>
  <c r="AQ24" i="1"/>
  <c r="AR24" i="1"/>
  <c r="AP25" i="1"/>
  <c r="AQ25" i="1"/>
  <c r="AR25" i="1"/>
  <c r="AP26" i="1"/>
  <c r="AQ26" i="1"/>
  <c r="AR26" i="1"/>
  <c r="AP27" i="1"/>
  <c r="AQ27" i="1"/>
  <c r="AR27" i="1"/>
  <c r="AP28" i="1"/>
  <c r="AQ28" i="1"/>
  <c r="AR28" i="1"/>
  <c r="AP29" i="1"/>
  <c r="AQ29" i="1"/>
  <c r="AR29" i="1"/>
  <c r="AP30" i="1"/>
  <c r="AQ30" i="1"/>
  <c r="AR30" i="1"/>
  <c r="AP31" i="1"/>
  <c r="AQ31" i="1"/>
  <c r="AR31" i="1"/>
  <c r="AP32" i="1"/>
  <c r="AQ32" i="1"/>
  <c r="AR32" i="1"/>
  <c r="AP33" i="1"/>
  <c r="AQ33" i="1"/>
  <c r="AR33" i="1"/>
  <c r="AP34" i="1"/>
  <c r="AQ34" i="1"/>
  <c r="AR34" i="1"/>
  <c r="AP35" i="1"/>
  <c r="AQ35" i="1"/>
  <c r="AR35" i="1"/>
  <c r="AP36" i="1"/>
  <c r="AQ36" i="1"/>
  <c r="AR36" i="1"/>
  <c r="AP37" i="1"/>
  <c r="AQ37" i="1"/>
  <c r="AR37" i="1"/>
  <c r="AP38" i="1"/>
  <c r="AQ38" i="1"/>
  <c r="AR38" i="1"/>
  <c r="AP39" i="1"/>
  <c r="AQ39" i="1"/>
  <c r="AR39" i="1"/>
  <c r="AP40" i="1"/>
  <c r="AQ40" i="1"/>
  <c r="AR40" i="1"/>
  <c r="AP41" i="1"/>
  <c r="AQ41" i="1"/>
  <c r="AR41" i="1"/>
  <c r="AP42" i="1"/>
  <c r="AQ42" i="1"/>
  <c r="AR42" i="1"/>
  <c r="AP43" i="1"/>
  <c r="AQ43" i="1"/>
  <c r="AR43" i="1"/>
  <c r="AP44" i="1"/>
  <c r="AQ44" i="1"/>
  <c r="AR44" i="1"/>
  <c r="AP45" i="1"/>
  <c r="AQ45" i="1"/>
  <c r="AR45" i="1"/>
  <c r="AP46" i="1"/>
  <c r="AQ46" i="1"/>
  <c r="AR46" i="1"/>
  <c r="AP47" i="1"/>
  <c r="AQ47" i="1"/>
  <c r="AR47" i="1"/>
  <c r="AP48" i="1"/>
  <c r="AQ48" i="1"/>
  <c r="AR48" i="1"/>
  <c r="AP49" i="1"/>
  <c r="AQ49" i="1"/>
  <c r="AR49" i="1"/>
  <c r="AP50" i="1"/>
  <c r="AQ50" i="1"/>
  <c r="AR50" i="1"/>
  <c r="AP51" i="1"/>
  <c r="AQ51" i="1"/>
  <c r="AR51" i="1"/>
  <c r="AP52" i="1"/>
  <c r="AQ52" i="1"/>
  <c r="AR52" i="1"/>
  <c r="AP53" i="1"/>
  <c r="AQ53" i="1"/>
  <c r="AR53" i="1"/>
  <c r="AP54" i="1"/>
  <c r="AQ54" i="1"/>
  <c r="AR54" i="1"/>
  <c r="AP55" i="1"/>
  <c r="AQ55" i="1"/>
  <c r="AR55" i="1"/>
  <c r="AP56" i="1"/>
  <c r="AQ56" i="1"/>
  <c r="AR56" i="1"/>
  <c r="AP57" i="1"/>
  <c r="AQ57" i="1"/>
  <c r="AR57" i="1"/>
  <c r="AP58" i="1"/>
  <c r="AQ58" i="1"/>
  <c r="AR58" i="1"/>
  <c r="AP59" i="1"/>
  <c r="AQ59" i="1"/>
  <c r="AR59" i="1"/>
  <c r="AP60" i="1"/>
  <c r="AQ60" i="1"/>
  <c r="AR60" i="1"/>
  <c r="AP61" i="1"/>
  <c r="AQ61" i="1"/>
  <c r="AR61" i="1"/>
  <c r="AP62" i="1"/>
  <c r="AQ62" i="1"/>
  <c r="AR62" i="1"/>
  <c r="AP63" i="1"/>
  <c r="AQ63" i="1"/>
  <c r="AR63" i="1"/>
  <c r="AP64" i="1"/>
  <c r="AQ64" i="1"/>
  <c r="AR64" i="1"/>
  <c r="AP65" i="1"/>
  <c r="AQ65" i="1"/>
  <c r="AR65" i="1"/>
  <c r="AP66" i="1"/>
  <c r="AQ66" i="1"/>
  <c r="AR66" i="1"/>
  <c r="AP67" i="1"/>
  <c r="AQ67" i="1"/>
  <c r="AR67" i="1"/>
  <c r="AP68" i="1"/>
  <c r="AQ68" i="1"/>
  <c r="AR68" i="1"/>
  <c r="AP69" i="1"/>
  <c r="AQ69" i="1"/>
  <c r="AR69" i="1"/>
  <c r="AP70" i="1"/>
  <c r="AQ70" i="1"/>
  <c r="AR70" i="1"/>
  <c r="AP71" i="1"/>
  <c r="AQ71" i="1"/>
  <c r="AR71" i="1"/>
  <c r="AP72" i="1"/>
  <c r="AQ72" i="1"/>
  <c r="AR72" i="1"/>
  <c r="AP73" i="1"/>
  <c r="AQ73" i="1"/>
  <c r="AR73" i="1"/>
  <c r="AP74" i="1"/>
  <c r="AQ74" i="1"/>
  <c r="AR74" i="1"/>
  <c r="AP75" i="1"/>
  <c r="AQ75" i="1"/>
  <c r="AR75" i="1"/>
  <c r="AP76" i="1"/>
  <c r="AQ76" i="1"/>
  <c r="AR76" i="1"/>
  <c r="AP77" i="1"/>
  <c r="AQ77" i="1"/>
  <c r="AR77" i="1"/>
  <c r="AP78" i="1"/>
  <c r="AQ78" i="1"/>
  <c r="AR78" i="1"/>
  <c r="AP79" i="1"/>
  <c r="AQ79" i="1"/>
  <c r="AR79" i="1"/>
  <c r="AP80" i="1"/>
  <c r="AQ80" i="1"/>
  <c r="AR80" i="1"/>
  <c r="AP81" i="1"/>
  <c r="AQ81" i="1"/>
  <c r="AR81" i="1"/>
  <c r="AP82" i="1"/>
  <c r="AQ82" i="1"/>
  <c r="AR82" i="1"/>
  <c r="AP83" i="1"/>
  <c r="AQ83" i="1"/>
  <c r="AR83" i="1"/>
  <c r="AP84" i="1"/>
  <c r="AQ84" i="1"/>
  <c r="AR84" i="1"/>
  <c r="AP85" i="1"/>
  <c r="AQ85" i="1"/>
  <c r="AR85" i="1"/>
  <c r="AP86" i="1"/>
  <c r="AQ86" i="1"/>
  <c r="AR86" i="1"/>
  <c r="AP87" i="1"/>
  <c r="AQ87" i="1"/>
  <c r="AR87" i="1"/>
  <c r="AP88" i="1"/>
  <c r="AQ88" i="1"/>
  <c r="AR88" i="1"/>
  <c r="AP89" i="1"/>
  <c r="AQ89" i="1"/>
  <c r="AR89" i="1"/>
  <c r="AP90" i="1"/>
  <c r="AQ90" i="1"/>
  <c r="AR90" i="1"/>
  <c r="AP91" i="1"/>
  <c r="AQ91" i="1"/>
  <c r="AR91" i="1"/>
  <c r="AP92" i="1"/>
  <c r="AQ92" i="1"/>
  <c r="AR92" i="1"/>
  <c r="AP93" i="1"/>
  <c r="AQ93" i="1"/>
  <c r="AR93" i="1"/>
  <c r="AP94" i="1"/>
  <c r="AQ94" i="1"/>
  <c r="AR94" i="1"/>
  <c r="AP95" i="1"/>
  <c r="AQ95" i="1"/>
  <c r="AR95" i="1"/>
  <c r="AP96" i="1"/>
  <c r="AQ96" i="1"/>
  <c r="AR96" i="1"/>
  <c r="AP97" i="1"/>
  <c r="AQ97" i="1"/>
  <c r="AR97" i="1"/>
  <c r="AP98" i="1"/>
  <c r="AQ98" i="1"/>
  <c r="AR98" i="1"/>
  <c r="AP99" i="1"/>
  <c r="AQ99" i="1"/>
  <c r="AR99" i="1"/>
  <c r="AP100" i="1"/>
  <c r="AQ100" i="1"/>
  <c r="AR100" i="1"/>
  <c r="AP101" i="1"/>
  <c r="AQ101" i="1"/>
  <c r="AR101" i="1"/>
  <c r="AP102" i="1"/>
  <c r="AQ102" i="1"/>
  <c r="AR102" i="1"/>
  <c r="AP103" i="1"/>
  <c r="AQ103" i="1"/>
  <c r="AR103" i="1"/>
  <c r="AP104" i="1"/>
  <c r="AQ104" i="1"/>
  <c r="AR104" i="1"/>
  <c r="AP105" i="1"/>
  <c r="AQ105" i="1"/>
  <c r="AR105" i="1"/>
  <c r="AP106" i="1"/>
  <c r="AQ106" i="1"/>
  <c r="AR106" i="1"/>
  <c r="AP107" i="1"/>
  <c r="AQ107" i="1"/>
  <c r="AR107" i="1"/>
  <c r="AP108" i="1"/>
  <c r="AQ108" i="1"/>
  <c r="AR108" i="1"/>
  <c r="AP109" i="1"/>
  <c r="AQ109" i="1"/>
  <c r="AR109" i="1"/>
  <c r="AP110" i="1"/>
  <c r="AQ110" i="1"/>
  <c r="AR110" i="1"/>
  <c r="AP111" i="1"/>
  <c r="AQ111" i="1"/>
  <c r="AR111" i="1"/>
  <c r="AP112" i="1"/>
  <c r="AQ112" i="1"/>
  <c r="AR112" i="1"/>
  <c r="AP113" i="1"/>
  <c r="AQ113" i="1"/>
  <c r="AR113" i="1"/>
  <c r="AP114" i="1"/>
  <c r="AQ114" i="1"/>
  <c r="AR114" i="1"/>
  <c r="AP115" i="1"/>
  <c r="AQ115" i="1"/>
  <c r="AR115" i="1"/>
  <c r="AP116" i="1"/>
  <c r="AQ116" i="1"/>
  <c r="AR116" i="1"/>
  <c r="AP117" i="1"/>
  <c r="AQ117" i="1"/>
  <c r="AR117" i="1"/>
  <c r="AP118" i="1"/>
  <c r="AQ118" i="1"/>
  <c r="AR118" i="1"/>
  <c r="AP119" i="1"/>
  <c r="AQ119" i="1"/>
  <c r="AR119" i="1"/>
  <c r="AP120" i="1"/>
  <c r="AQ120" i="1"/>
  <c r="AR120" i="1"/>
  <c r="AP121" i="1"/>
  <c r="AQ121" i="1"/>
  <c r="AR121" i="1"/>
  <c r="AP122" i="1"/>
  <c r="AQ122" i="1"/>
  <c r="AR122" i="1"/>
  <c r="AP123" i="1"/>
  <c r="AQ123" i="1"/>
  <c r="AR123" i="1"/>
  <c r="AP124" i="1"/>
  <c r="AQ124" i="1"/>
  <c r="AR124" i="1"/>
  <c r="AP125" i="1"/>
  <c r="AQ125" i="1"/>
  <c r="AR125" i="1"/>
  <c r="AP126" i="1"/>
  <c r="AQ126" i="1"/>
  <c r="AR126" i="1"/>
  <c r="AP127" i="1"/>
  <c r="AQ127" i="1"/>
  <c r="AR127" i="1"/>
  <c r="AP128" i="1"/>
  <c r="AQ128" i="1"/>
  <c r="AR128" i="1"/>
  <c r="AP129" i="1"/>
  <c r="AQ129" i="1"/>
  <c r="AR129" i="1"/>
  <c r="AP130" i="1"/>
  <c r="AQ130" i="1"/>
  <c r="AR130" i="1"/>
  <c r="AP131" i="1"/>
  <c r="AQ131" i="1"/>
  <c r="AR131" i="1"/>
  <c r="AP132" i="1"/>
  <c r="AQ132" i="1"/>
  <c r="AR132" i="1"/>
  <c r="AP133" i="1"/>
  <c r="AQ133" i="1"/>
  <c r="AR133" i="1"/>
  <c r="AP134" i="1"/>
  <c r="AQ134" i="1"/>
  <c r="AR134" i="1"/>
  <c r="AP135" i="1"/>
  <c r="AQ135" i="1"/>
  <c r="AR135" i="1"/>
  <c r="AP136" i="1"/>
  <c r="AQ136" i="1"/>
  <c r="AR136" i="1"/>
  <c r="AP137" i="1"/>
  <c r="AQ137" i="1"/>
  <c r="AR137" i="1"/>
  <c r="AP138" i="1"/>
  <c r="AQ138" i="1"/>
  <c r="AR138" i="1"/>
  <c r="AP139" i="1"/>
  <c r="AQ139" i="1"/>
  <c r="AR139" i="1"/>
  <c r="AP140" i="1"/>
  <c r="AQ140" i="1"/>
  <c r="AR140" i="1"/>
  <c r="AP141" i="1"/>
  <c r="AQ141" i="1"/>
  <c r="AR141" i="1"/>
  <c r="AP142" i="1"/>
  <c r="AQ142" i="1"/>
  <c r="AR142" i="1"/>
  <c r="AP143" i="1"/>
  <c r="AQ143" i="1"/>
  <c r="AR143" i="1"/>
  <c r="AP144" i="1"/>
  <c r="AQ144" i="1"/>
  <c r="AR144" i="1"/>
  <c r="AP145" i="1"/>
  <c r="AQ145" i="1"/>
  <c r="AR145" i="1"/>
  <c r="AP146" i="1"/>
  <c r="AQ146" i="1"/>
  <c r="AR146" i="1"/>
  <c r="AP147" i="1"/>
  <c r="AQ147" i="1"/>
  <c r="AR147" i="1"/>
  <c r="AP148" i="1"/>
  <c r="AQ148" i="1"/>
  <c r="AR148" i="1"/>
  <c r="AP149" i="1"/>
  <c r="AQ149" i="1"/>
  <c r="AR149" i="1"/>
  <c r="AP150" i="1"/>
  <c r="AQ150" i="1"/>
  <c r="AR150" i="1"/>
  <c r="AP151" i="1"/>
  <c r="AQ151" i="1"/>
  <c r="AR151" i="1"/>
  <c r="AP152" i="1"/>
  <c r="AQ152" i="1"/>
  <c r="AR152" i="1"/>
  <c r="AP153" i="1"/>
  <c r="AQ153" i="1"/>
  <c r="AR153" i="1"/>
  <c r="AP154" i="1"/>
  <c r="AQ154" i="1"/>
  <c r="AR154" i="1"/>
  <c r="AP155" i="1"/>
  <c r="AQ155" i="1"/>
  <c r="AR155" i="1"/>
  <c r="AP156" i="1"/>
  <c r="AQ156" i="1"/>
  <c r="AR156" i="1"/>
  <c r="AP157" i="1"/>
  <c r="AQ157" i="1"/>
  <c r="AR157" i="1"/>
  <c r="AP158" i="1"/>
  <c r="AQ158" i="1"/>
  <c r="AR158" i="1"/>
  <c r="AP159" i="1"/>
  <c r="AQ159" i="1"/>
  <c r="AR159" i="1"/>
  <c r="AP160" i="1"/>
  <c r="AQ160" i="1"/>
  <c r="AR160" i="1"/>
  <c r="AP161" i="1"/>
  <c r="AQ161" i="1"/>
  <c r="AR161" i="1"/>
  <c r="AP162" i="1"/>
  <c r="AQ162" i="1"/>
  <c r="AR162" i="1"/>
  <c r="AP163" i="1"/>
  <c r="AQ163" i="1"/>
  <c r="AR163" i="1"/>
  <c r="AP164" i="1"/>
  <c r="AQ164" i="1"/>
  <c r="AR164" i="1"/>
  <c r="AP165" i="1"/>
  <c r="AQ165" i="1"/>
  <c r="AR165" i="1"/>
  <c r="AP166" i="1"/>
  <c r="AQ166" i="1"/>
  <c r="AR166" i="1"/>
  <c r="AP167" i="1"/>
  <c r="AQ167" i="1"/>
  <c r="AR167" i="1"/>
  <c r="AP168" i="1"/>
  <c r="AQ168" i="1"/>
  <c r="AR168" i="1"/>
  <c r="AP169" i="1"/>
  <c r="AQ169" i="1"/>
  <c r="AR169" i="1"/>
  <c r="AP170" i="1"/>
  <c r="AQ170" i="1"/>
  <c r="AR170" i="1"/>
  <c r="AP171" i="1"/>
  <c r="AQ171" i="1"/>
  <c r="AR171" i="1"/>
  <c r="AP172" i="1"/>
  <c r="AQ172" i="1"/>
  <c r="AR172" i="1"/>
  <c r="AP173" i="1"/>
  <c r="AQ173" i="1"/>
  <c r="AR173" i="1"/>
  <c r="AP174" i="1"/>
  <c r="AQ174" i="1"/>
  <c r="AR174" i="1"/>
  <c r="AP175" i="1"/>
  <c r="AQ175" i="1"/>
  <c r="AR175" i="1"/>
  <c r="AP176" i="1"/>
  <c r="AQ176" i="1"/>
  <c r="AR176" i="1"/>
  <c r="AP177" i="1"/>
  <c r="AQ177" i="1"/>
  <c r="AR177" i="1"/>
  <c r="AP178" i="1"/>
  <c r="AQ178" i="1"/>
  <c r="AR178" i="1"/>
  <c r="AP179" i="1"/>
  <c r="AQ179" i="1"/>
  <c r="AR179" i="1"/>
  <c r="AP180" i="1"/>
  <c r="AQ180" i="1"/>
  <c r="AR180" i="1"/>
  <c r="AP181" i="1"/>
  <c r="AQ181" i="1"/>
  <c r="AR181" i="1"/>
  <c r="AP182" i="1"/>
  <c r="AQ182" i="1"/>
  <c r="AR182" i="1"/>
  <c r="AP183" i="1"/>
  <c r="AQ183" i="1"/>
  <c r="AR183" i="1"/>
  <c r="AP184" i="1"/>
  <c r="AQ184" i="1"/>
  <c r="AR184" i="1"/>
  <c r="AP185" i="1"/>
  <c r="AQ185" i="1"/>
  <c r="AR185" i="1"/>
  <c r="AP186" i="1"/>
  <c r="AQ186" i="1"/>
  <c r="AR186" i="1"/>
  <c r="AP187" i="1"/>
  <c r="AQ187" i="1"/>
  <c r="AR187" i="1"/>
  <c r="AP188" i="1"/>
  <c r="AQ188" i="1"/>
  <c r="AR188" i="1"/>
  <c r="AP189" i="1"/>
  <c r="AQ189" i="1"/>
  <c r="AR189" i="1"/>
  <c r="AP190" i="1"/>
  <c r="AQ190" i="1"/>
  <c r="AR190" i="1"/>
  <c r="AP191" i="1"/>
  <c r="AQ191" i="1"/>
  <c r="AR191" i="1"/>
  <c r="AP192" i="1"/>
  <c r="AQ192" i="1"/>
  <c r="AR192" i="1"/>
  <c r="AP193" i="1"/>
  <c r="AQ193" i="1"/>
  <c r="AR193" i="1"/>
  <c r="AP194" i="1"/>
  <c r="AQ194" i="1"/>
  <c r="AR194" i="1"/>
  <c r="AP195" i="1"/>
  <c r="AQ195" i="1"/>
  <c r="AR195" i="1"/>
  <c r="AP196" i="1"/>
  <c r="AQ196" i="1"/>
  <c r="AR196" i="1"/>
  <c r="AP197" i="1"/>
  <c r="AQ197" i="1"/>
  <c r="AR197" i="1"/>
  <c r="AP198" i="1"/>
  <c r="AQ198" i="1"/>
  <c r="AR198" i="1"/>
  <c r="AP199" i="1"/>
  <c r="AQ199" i="1"/>
  <c r="AR199" i="1"/>
  <c r="AP200" i="1"/>
  <c r="AQ200" i="1"/>
  <c r="AR200" i="1"/>
  <c r="AP201" i="1"/>
  <c r="AQ201" i="1"/>
  <c r="AR201" i="1"/>
  <c r="AP202" i="1"/>
  <c r="AQ202" i="1"/>
  <c r="AR202" i="1"/>
  <c r="AP203" i="1"/>
  <c r="AQ203" i="1"/>
  <c r="AR203" i="1"/>
  <c r="AP204" i="1"/>
  <c r="AQ204" i="1"/>
  <c r="AR204" i="1"/>
  <c r="AP205" i="1"/>
  <c r="AQ205" i="1"/>
  <c r="AR205" i="1"/>
  <c r="AP206" i="1"/>
  <c r="AQ206" i="1"/>
  <c r="AR206" i="1"/>
  <c r="AP207" i="1"/>
  <c r="AQ207" i="1"/>
  <c r="AR207" i="1"/>
  <c r="AP208" i="1"/>
  <c r="AQ208" i="1"/>
  <c r="AR208" i="1"/>
  <c r="AP209" i="1"/>
  <c r="AQ209" i="1"/>
  <c r="AR209" i="1"/>
  <c r="AP210" i="1"/>
  <c r="AQ210" i="1"/>
  <c r="AR210" i="1"/>
  <c r="AP211" i="1"/>
  <c r="AQ211" i="1"/>
  <c r="AR211" i="1"/>
  <c r="AP212" i="1"/>
  <c r="AQ212" i="1"/>
  <c r="AR212" i="1"/>
  <c r="AP213" i="1"/>
  <c r="AQ213" i="1"/>
  <c r="AR213" i="1"/>
  <c r="AP214" i="1"/>
  <c r="AQ214" i="1"/>
  <c r="AR214" i="1"/>
  <c r="AP215" i="1"/>
  <c r="AQ215" i="1"/>
  <c r="AR215" i="1"/>
  <c r="AP216" i="1"/>
  <c r="AQ216" i="1"/>
  <c r="AR216" i="1"/>
  <c r="AP217" i="1"/>
  <c r="AQ217" i="1"/>
  <c r="AR217" i="1"/>
  <c r="AP218" i="1"/>
  <c r="AQ218" i="1"/>
  <c r="AR218" i="1"/>
  <c r="AP219" i="1"/>
  <c r="AQ219" i="1"/>
  <c r="AR219" i="1"/>
  <c r="AP220" i="1"/>
  <c r="AQ220" i="1"/>
  <c r="AR220" i="1"/>
  <c r="AP221" i="1"/>
  <c r="AQ221" i="1"/>
  <c r="AR221" i="1"/>
  <c r="AP222" i="1"/>
  <c r="AQ222" i="1"/>
  <c r="AR222" i="1"/>
  <c r="AP223" i="1"/>
  <c r="AQ223" i="1"/>
  <c r="AR223" i="1"/>
  <c r="AP224" i="1"/>
  <c r="AQ224" i="1"/>
  <c r="AR224" i="1"/>
  <c r="AP225" i="1"/>
  <c r="AQ225" i="1"/>
  <c r="AR225" i="1"/>
  <c r="AP226" i="1"/>
  <c r="AQ226" i="1"/>
  <c r="AR226" i="1"/>
  <c r="AP227" i="1"/>
  <c r="AQ227" i="1"/>
  <c r="AR227" i="1"/>
  <c r="AP228" i="1"/>
  <c r="AQ228" i="1"/>
  <c r="AR228" i="1"/>
  <c r="AP229" i="1"/>
  <c r="AQ229" i="1"/>
  <c r="AR229" i="1"/>
  <c r="AP230" i="1"/>
  <c r="AQ230" i="1"/>
  <c r="AR230" i="1"/>
  <c r="AP231" i="1"/>
  <c r="AQ231" i="1"/>
  <c r="AR231" i="1"/>
  <c r="AP232" i="1"/>
  <c r="AQ232" i="1"/>
  <c r="AR232" i="1"/>
  <c r="AP233" i="1"/>
  <c r="AQ233" i="1"/>
  <c r="AR233" i="1"/>
  <c r="AP234" i="1"/>
  <c r="AQ234" i="1"/>
  <c r="AR234" i="1"/>
  <c r="AP235" i="1"/>
  <c r="AQ235" i="1"/>
  <c r="AR235" i="1"/>
  <c r="AP236" i="1"/>
  <c r="AQ236" i="1"/>
  <c r="AR236" i="1"/>
  <c r="AP237" i="1"/>
  <c r="AQ237" i="1"/>
  <c r="AR237" i="1"/>
  <c r="AP238" i="1"/>
  <c r="AQ238" i="1"/>
  <c r="AR238" i="1"/>
  <c r="AP239" i="1"/>
  <c r="AQ239" i="1"/>
  <c r="AR239" i="1"/>
  <c r="AP240" i="1"/>
  <c r="AQ240" i="1"/>
  <c r="AR240" i="1"/>
  <c r="AP241" i="1"/>
  <c r="AQ241" i="1"/>
  <c r="AR241" i="1"/>
  <c r="AP242" i="1"/>
  <c r="AQ242" i="1"/>
  <c r="AR242" i="1"/>
  <c r="AP243" i="1"/>
  <c r="AQ243" i="1"/>
  <c r="AR243" i="1"/>
  <c r="AP244" i="1"/>
  <c r="AQ244" i="1"/>
  <c r="AR244" i="1"/>
  <c r="AP245" i="1"/>
  <c r="AQ245" i="1"/>
  <c r="AR245" i="1"/>
  <c r="AP246" i="1"/>
  <c r="AQ246" i="1"/>
  <c r="AR246" i="1"/>
  <c r="AP247" i="1"/>
  <c r="AQ247" i="1"/>
  <c r="AR247" i="1"/>
  <c r="AP248" i="1"/>
  <c r="AQ248" i="1"/>
  <c r="AR248" i="1"/>
  <c r="AP249" i="1"/>
  <c r="AQ249" i="1"/>
  <c r="AR249" i="1"/>
  <c r="AP250" i="1"/>
  <c r="AQ250" i="1"/>
  <c r="AR250" i="1"/>
  <c r="AP251" i="1"/>
  <c r="AQ251" i="1"/>
  <c r="AR251" i="1"/>
  <c r="AP252" i="1"/>
  <c r="AQ252" i="1"/>
  <c r="AR252" i="1"/>
  <c r="AP253" i="1"/>
  <c r="AQ253" i="1"/>
  <c r="AR253" i="1"/>
  <c r="AP254" i="1"/>
  <c r="AQ254" i="1"/>
  <c r="AR254" i="1"/>
  <c r="AP255" i="1"/>
  <c r="AQ255" i="1"/>
  <c r="AR255" i="1"/>
  <c r="AP256" i="1"/>
  <c r="AQ256" i="1"/>
  <c r="AR256" i="1"/>
  <c r="AP257" i="1"/>
  <c r="AQ257" i="1"/>
  <c r="AR257" i="1"/>
  <c r="AP258" i="1"/>
  <c r="AQ258" i="1"/>
  <c r="AR258" i="1"/>
  <c r="AP259" i="1"/>
  <c r="AQ259" i="1"/>
  <c r="AR259" i="1"/>
  <c r="AP260" i="1"/>
  <c r="AQ260" i="1"/>
  <c r="AR260" i="1"/>
  <c r="AP261" i="1"/>
  <c r="AQ261" i="1"/>
  <c r="AR261" i="1"/>
  <c r="AP262" i="1"/>
  <c r="AQ262" i="1"/>
  <c r="AR262" i="1"/>
  <c r="AP263" i="1"/>
  <c r="AQ263" i="1"/>
  <c r="AR263" i="1"/>
  <c r="AP264" i="1"/>
  <c r="AQ264" i="1"/>
  <c r="AR264" i="1"/>
  <c r="AP265" i="1"/>
  <c r="AQ265" i="1"/>
  <c r="AR265" i="1"/>
  <c r="AP266" i="1"/>
  <c r="AQ266" i="1"/>
  <c r="AR266" i="1"/>
  <c r="AP267" i="1"/>
  <c r="AQ267" i="1"/>
  <c r="AR267" i="1"/>
  <c r="AP268" i="1"/>
  <c r="AQ268" i="1"/>
  <c r="AR268" i="1"/>
  <c r="AP269" i="1"/>
  <c r="AQ269" i="1"/>
  <c r="AR269" i="1"/>
  <c r="AP270" i="1"/>
  <c r="AQ270" i="1"/>
  <c r="AR270" i="1"/>
  <c r="AP271" i="1"/>
  <c r="AQ271" i="1"/>
  <c r="AR271" i="1"/>
  <c r="AP272" i="1"/>
  <c r="AQ272" i="1"/>
  <c r="AR272" i="1"/>
  <c r="AP273" i="1"/>
  <c r="AQ273" i="1"/>
  <c r="AR273" i="1"/>
  <c r="AP274" i="1"/>
  <c r="AQ274" i="1"/>
  <c r="AR274" i="1"/>
  <c r="AP275" i="1"/>
  <c r="AQ275" i="1"/>
  <c r="AR275" i="1"/>
  <c r="AP276" i="1"/>
  <c r="AQ276" i="1"/>
  <c r="AR276" i="1"/>
  <c r="AP277" i="1"/>
  <c r="AQ277" i="1"/>
  <c r="AR277" i="1"/>
  <c r="AP278" i="1"/>
  <c r="AQ278" i="1"/>
  <c r="AR278" i="1"/>
  <c r="AP279" i="1"/>
  <c r="AQ279" i="1"/>
  <c r="AR279" i="1"/>
  <c r="AP280" i="1"/>
  <c r="AQ280" i="1"/>
  <c r="AR280" i="1"/>
  <c r="AP281" i="1"/>
  <c r="AQ281" i="1"/>
  <c r="AR281" i="1"/>
  <c r="AP282" i="1"/>
  <c r="AQ282" i="1"/>
  <c r="AR282" i="1"/>
  <c r="AP283" i="1"/>
  <c r="AQ283" i="1"/>
  <c r="AR283" i="1"/>
  <c r="AP284" i="1"/>
  <c r="AQ284" i="1"/>
  <c r="AR284" i="1"/>
  <c r="AP285" i="1"/>
  <c r="AQ285" i="1"/>
  <c r="AR285" i="1"/>
  <c r="AP286" i="1"/>
  <c r="AQ286" i="1"/>
  <c r="AR286" i="1"/>
  <c r="AP287" i="1"/>
  <c r="AQ287" i="1"/>
  <c r="AR287" i="1"/>
  <c r="AP288" i="1"/>
  <c r="AQ288" i="1"/>
  <c r="AR288" i="1"/>
  <c r="AP289" i="1"/>
  <c r="AQ289" i="1"/>
  <c r="AR289" i="1"/>
  <c r="AP290" i="1"/>
  <c r="AQ290" i="1"/>
  <c r="AR290" i="1"/>
  <c r="AP291" i="1"/>
  <c r="AQ291" i="1"/>
  <c r="AR291" i="1"/>
  <c r="AP292" i="1"/>
  <c r="AQ292" i="1"/>
  <c r="AR292" i="1"/>
  <c r="AP293" i="1"/>
  <c r="AQ293" i="1"/>
  <c r="AR293" i="1"/>
  <c r="AP294" i="1"/>
  <c r="AQ294" i="1"/>
  <c r="AR294" i="1"/>
  <c r="AP295" i="1"/>
  <c r="AQ295" i="1"/>
  <c r="AR295" i="1"/>
  <c r="AP296" i="1"/>
  <c r="AQ296" i="1"/>
  <c r="AR296" i="1"/>
  <c r="AP297" i="1"/>
  <c r="AQ297" i="1"/>
  <c r="AR297" i="1"/>
  <c r="AP298" i="1"/>
  <c r="AQ298" i="1"/>
  <c r="AR298" i="1"/>
  <c r="AP299" i="1"/>
  <c r="AQ299" i="1"/>
  <c r="AR299" i="1"/>
  <c r="AP300" i="1"/>
  <c r="AQ300" i="1"/>
  <c r="AR300" i="1"/>
  <c r="AP301" i="1"/>
  <c r="AQ301" i="1"/>
  <c r="AR301" i="1"/>
  <c r="AP302" i="1"/>
  <c r="AQ302" i="1"/>
  <c r="AR302" i="1"/>
  <c r="AP303" i="1"/>
  <c r="AQ303" i="1"/>
  <c r="AR303" i="1"/>
  <c r="AP304" i="1"/>
  <c r="AQ304" i="1"/>
  <c r="AR304" i="1"/>
  <c r="AP305" i="1"/>
  <c r="AQ305" i="1"/>
  <c r="AR305" i="1"/>
  <c r="AP306" i="1"/>
  <c r="AQ306" i="1"/>
  <c r="AR306" i="1"/>
  <c r="AP307" i="1"/>
  <c r="AQ307" i="1"/>
  <c r="AR307" i="1"/>
  <c r="AP308" i="1"/>
  <c r="AQ308" i="1"/>
  <c r="AR308" i="1"/>
  <c r="AP309" i="1"/>
  <c r="AQ309" i="1"/>
  <c r="AR309" i="1"/>
  <c r="AP310" i="1"/>
  <c r="AQ310" i="1"/>
  <c r="AR310" i="1"/>
  <c r="AP311" i="1"/>
  <c r="AQ311" i="1"/>
  <c r="AR311" i="1"/>
  <c r="AP312" i="1"/>
  <c r="AQ312" i="1"/>
  <c r="AR312" i="1"/>
  <c r="AP313" i="1"/>
  <c r="AQ313" i="1"/>
  <c r="AR313" i="1"/>
  <c r="AP314" i="1"/>
  <c r="AQ314" i="1"/>
  <c r="AR314" i="1"/>
  <c r="AP315" i="1"/>
  <c r="AQ315" i="1"/>
  <c r="AR315" i="1"/>
  <c r="AP316" i="1"/>
  <c r="AQ316" i="1"/>
  <c r="AR316" i="1"/>
  <c r="AP317" i="1"/>
  <c r="AQ317" i="1"/>
  <c r="AR317" i="1"/>
  <c r="AP318" i="1"/>
  <c r="AQ318" i="1"/>
  <c r="AR318" i="1"/>
  <c r="AP319" i="1"/>
  <c r="AQ319" i="1"/>
  <c r="AR319" i="1"/>
  <c r="AP320" i="1"/>
  <c r="AQ320" i="1"/>
  <c r="AR320" i="1"/>
  <c r="AP321" i="1"/>
  <c r="AQ321" i="1"/>
  <c r="AR321" i="1"/>
  <c r="AP322" i="1"/>
  <c r="AQ322" i="1"/>
  <c r="AR322" i="1"/>
  <c r="AP323" i="1"/>
  <c r="AQ323" i="1"/>
  <c r="AR323" i="1"/>
  <c r="AP324" i="1"/>
  <c r="AQ324" i="1"/>
  <c r="AR324" i="1"/>
  <c r="AP325" i="1"/>
  <c r="AQ325" i="1"/>
  <c r="AR325" i="1"/>
  <c r="AP326" i="1"/>
  <c r="AQ326" i="1"/>
  <c r="AR326" i="1"/>
  <c r="AP327" i="1"/>
  <c r="AQ327" i="1"/>
  <c r="AR327" i="1"/>
  <c r="AP328" i="1"/>
  <c r="AQ328" i="1"/>
  <c r="AR328" i="1"/>
  <c r="AP329" i="1"/>
  <c r="AQ329" i="1"/>
  <c r="AR329" i="1"/>
  <c r="AP330" i="1"/>
  <c r="AQ330" i="1"/>
  <c r="AR330" i="1"/>
  <c r="AP331" i="1"/>
  <c r="AQ331" i="1"/>
  <c r="AR331" i="1"/>
  <c r="AP332" i="1"/>
  <c r="AQ332" i="1"/>
  <c r="AR332" i="1"/>
  <c r="AP333" i="1"/>
  <c r="AQ333" i="1"/>
  <c r="AR333" i="1"/>
  <c r="AP334" i="1"/>
  <c r="AQ334" i="1"/>
  <c r="AR334" i="1"/>
  <c r="AP335" i="1"/>
  <c r="AQ335" i="1"/>
  <c r="AR335" i="1"/>
  <c r="AP336" i="1"/>
  <c r="AQ336" i="1"/>
  <c r="AR336" i="1"/>
  <c r="AP337" i="1"/>
  <c r="AQ337" i="1"/>
  <c r="AR337" i="1"/>
  <c r="AP338" i="1"/>
  <c r="AQ338" i="1"/>
  <c r="AR338" i="1"/>
  <c r="AP339" i="1"/>
  <c r="AQ339" i="1"/>
  <c r="AR339" i="1"/>
  <c r="AP340" i="1"/>
  <c r="AQ340" i="1"/>
  <c r="AR340" i="1"/>
  <c r="AP341" i="1"/>
  <c r="AQ341" i="1"/>
  <c r="AR341" i="1"/>
  <c r="AP342" i="1"/>
  <c r="AQ342" i="1"/>
  <c r="AR342" i="1"/>
  <c r="AP343" i="1"/>
  <c r="AQ343" i="1"/>
  <c r="AR343" i="1"/>
  <c r="AP344" i="1"/>
  <c r="AQ344" i="1"/>
  <c r="AR344" i="1"/>
  <c r="AP345" i="1"/>
  <c r="AQ345" i="1"/>
  <c r="AR345" i="1"/>
  <c r="AP346" i="1"/>
  <c r="AQ346" i="1"/>
  <c r="AR346" i="1"/>
  <c r="AP347" i="1"/>
  <c r="AQ347" i="1"/>
  <c r="AR347" i="1"/>
  <c r="AP348" i="1"/>
  <c r="AQ348" i="1"/>
  <c r="AR348" i="1"/>
  <c r="AP349" i="1"/>
  <c r="AQ349" i="1"/>
  <c r="AR349" i="1"/>
  <c r="AP350" i="1"/>
  <c r="AQ350" i="1"/>
  <c r="AR350" i="1"/>
  <c r="AP351" i="1"/>
  <c r="AQ351" i="1"/>
  <c r="AR351" i="1"/>
  <c r="AP352" i="1"/>
  <c r="AQ352" i="1"/>
  <c r="AR352" i="1"/>
  <c r="AP353" i="1"/>
  <c r="AQ353" i="1"/>
  <c r="AR353" i="1"/>
  <c r="AP354" i="1"/>
  <c r="AQ354" i="1"/>
  <c r="AR354" i="1"/>
  <c r="AP355" i="1"/>
  <c r="AQ355" i="1"/>
  <c r="AR355" i="1"/>
  <c r="AP356" i="1"/>
  <c r="AQ356" i="1"/>
  <c r="AR356" i="1"/>
  <c r="AP357" i="1"/>
  <c r="AQ357" i="1"/>
  <c r="AR357" i="1"/>
  <c r="AP358" i="1"/>
  <c r="AQ358" i="1"/>
  <c r="AR358" i="1"/>
  <c r="AP359" i="1"/>
  <c r="AQ359" i="1"/>
  <c r="AR359" i="1"/>
  <c r="AP360" i="1"/>
  <c r="AQ360" i="1"/>
  <c r="AR360" i="1"/>
  <c r="AP361" i="1"/>
  <c r="AQ361" i="1"/>
  <c r="AR361" i="1"/>
  <c r="AP362" i="1"/>
  <c r="AQ362" i="1"/>
  <c r="AR362" i="1"/>
  <c r="AP363" i="1"/>
  <c r="AQ363" i="1"/>
  <c r="AR363" i="1"/>
  <c r="AP364" i="1"/>
  <c r="AQ364" i="1"/>
  <c r="AR364" i="1"/>
  <c r="AP365" i="1"/>
  <c r="AQ365" i="1"/>
  <c r="AR365" i="1"/>
  <c r="AP366" i="1"/>
  <c r="AQ366" i="1"/>
  <c r="AR366" i="1"/>
  <c r="AP367" i="1"/>
  <c r="AQ367" i="1"/>
  <c r="AR367" i="1"/>
  <c r="AP368" i="1"/>
  <c r="AQ368" i="1"/>
  <c r="AR368" i="1"/>
  <c r="AP369" i="1"/>
  <c r="AQ369" i="1"/>
  <c r="AR369" i="1"/>
  <c r="AP370" i="1"/>
  <c r="AQ370" i="1"/>
  <c r="AR370" i="1"/>
  <c r="AP371" i="1"/>
  <c r="AQ371" i="1"/>
  <c r="AR371" i="1"/>
  <c r="AP372" i="1"/>
  <c r="AQ372" i="1"/>
  <c r="AR372" i="1"/>
  <c r="AP373" i="1"/>
  <c r="AQ373" i="1"/>
  <c r="AR373" i="1"/>
  <c r="AP374" i="1"/>
  <c r="AQ374" i="1"/>
  <c r="AR374" i="1"/>
  <c r="AP375" i="1"/>
  <c r="AQ375" i="1"/>
  <c r="AR375" i="1"/>
  <c r="AP376" i="1"/>
  <c r="AQ376" i="1"/>
  <c r="AR376" i="1"/>
  <c r="AP377" i="1"/>
  <c r="AQ377" i="1"/>
  <c r="AR377" i="1"/>
  <c r="AP378" i="1"/>
  <c r="AQ378" i="1"/>
  <c r="AR378" i="1"/>
  <c r="AP379" i="1"/>
  <c r="AQ379" i="1"/>
  <c r="AR379" i="1"/>
  <c r="AP380" i="1"/>
  <c r="AQ380" i="1"/>
  <c r="AR380" i="1"/>
  <c r="AP381" i="1"/>
  <c r="AQ381" i="1"/>
  <c r="AR381" i="1"/>
  <c r="AP382" i="1"/>
  <c r="AQ382" i="1"/>
  <c r="AR382" i="1"/>
  <c r="AP383" i="1"/>
  <c r="AQ383" i="1"/>
  <c r="AR383" i="1"/>
  <c r="AP384" i="1"/>
  <c r="AQ384" i="1"/>
  <c r="AR384" i="1"/>
  <c r="AP385" i="1"/>
  <c r="AQ385" i="1"/>
  <c r="AR385" i="1"/>
  <c r="AP386" i="1"/>
  <c r="AQ386" i="1"/>
  <c r="AR386" i="1"/>
  <c r="AP387" i="1"/>
  <c r="AQ387" i="1"/>
  <c r="AR387" i="1"/>
  <c r="AP388" i="1"/>
  <c r="AQ388" i="1"/>
  <c r="AR388" i="1"/>
  <c r="AP389" i="1"/>
  <c r="AQ389" i="1"/>
  <c r="AR389" i="1"/>
  <c r="AP390" i="1"/>
  <c r="AQ390" i="1"/>
  <c r="AR390" i="1"/>
  <c r="AP391" i="1"/>
  <c r="AQ391" i="1"/>
  <c r="AR391" i="1"/>
  <c r="AP392" i="1"/>
  <c r="AQ392" i="1"/>
  <c r="AR392" i="1"/>
  <c r="AP393" i="1"/>
  <c r="AQ393" i="1"/>
  <c r="AR393" i="1"/>
  <c r="AP394" i="1"/>
  <c r="AQ394" i="1"/>
  <c r="AR394" i="1"/>
  <c r="AP395" i="1"/>
  <c r="AQ395" i="1"/>
  <c r="AR395" i="1"/>
  <c r="AP396" i="1"/>
  <c r="AQ396" i="1"/>
  <c r="AR396" i="1"/>
  <c r="AP397" i="1"/>
  <c r="AQ397" i="1"/>
  <c r="AR397" i="1"/>
  <c r="AP398" i="1"/>
  <c r="AQ398" i="1"/>
  <c r="AR398" i="1"/>
  <c r="AP399" i="1"/>
  <c r="AQ399" i="1"/>
  <c r="AR399" i="1"/>
  <c r="AP400" i="1"/>
  <c r="AQ400" i="1"/>
  <c r="AR400" i="1"/>
  <c r="AP401" i="1"/>
  <c r="AQ401" i="1"/>
  <c r="AR401" i="1"/>
  <c r="AP402" i="1"/>
  <c r="AQ402" i="1"/>
  <c r="AR402" i="1"/>
  <c r="AP403" i="1"/>
  <c r="AQ403" i="1"/>
  <c r="AR403" i="1"/>
  <c r="AP404" i="1"/>
  <c r="AQ404" i="1"/>
  <c r="AR404" i="1"/>
  <c r="AP405" i="1"/>
  <c r="AQ405" i="1"/>
  <c r="AR405" i="1"/>
  <c r="AP406" i="1"/>
  <c r="AQ406" i="1"/>
  <c r="AR406" i="1"/>
  <c r="AP407" i="1"/>
  <c r="AQ407" i="1"/>
  <c r="AR407" i="1"/>
  <c r="AP408" i="1"/>
  <c r="AQ408" i="1"/>
  <c r="AR408" i="1"/>
  <c r="AP409" i="1"/>
  <c r="AQ409" i="1"/>
  <c r="AR409" i="1"/>
  <c r="AP410" i="1"/>
  <c r="AQ410" i="1"/>
  <c r="AR410" i="1"/>
  <c r="AP411" i="1"/>
  <c r="AQ411" i="1"/>
  <c r="AR411" i="1"/>
  <c r="AP412" i="1"/>
  <c r="AQ412" i="1"/>
  <c r="AR412" i="1"/>
  <c r="AP413" i="1"/>
  <c r="AQ413" i="1"/>
  <c r="AR413" i="1"/>
  <c r="AP414" i="1"/>
  <c r="AQ414" i="1"/>
  <c r="AR414" i="1"/>
  <c r="AP415" i="1"/>
  <c r="AQ415" i="1"/>
  <c r="AR415" i="1"/>
  <c r="AP416" i="1"/>
  <c r="AQ416" i="1"/>
  <c r="AR416" i="1"/>
  <c r="AP417" i="1"/>
  <c r="AQ417" i="1"/>
  <c r="AR417" i="1"/>
  <c r="AP418" i="1"/>
  <c r="AQ418" i="1"/>
  <c r="AR418" i="1"/>
  <c r="AP419" i="1"/>
  <c r="AQ419" i="1"/>
  <c r="AR419" i="1"/>
  <c r="AP420" i="1"/>
  <c r="AQ420" i="1"/>
  <c r="AR420" i="1"/>
  <c r="AP421" i="1"/>
  <c r="AQ421" i="1"/>
  <c r="AR421" i="1"/>
  <c r="AP422" i="1"/>
  <c r="AQ422" i="1"/>
  <c r="AR422" i="1"/>
  <c r="AP423" i="1"/>
  <c r="AQ423" i="1"/>
  <c r="AR423" i="1"/>
  <c r="AP424" i="1"/>
  <c r="AQ424" i="1"/>
  <c r="AR424" i="1"/>
  <c r="AP425" i="1"/>
  <c r="AQ425" i="1"/>
  <c r="AR425" i="1"/>
  <c r="AP426" i="1"/>
  <c r="AQ426" i="1"/>
  <c r="AR426" i="1"/>
  <c r="AP427" i="1"/>
  <c r="AQ427" i="1"/>
  <c r="AR427" i="1"/>
  <c r="AP428" i="1"/>
  <c r="AQ428" i="1"/>
  <c r="AR428" i="1"/>
  <c r="AP429" i="1"/>
  <c r="AQ429" i="1"/>
  <c r="AR429" i="1"/>
  <c r="AP430" i="1"/>
  <c r="AQ430" i="1"/>
  <c r="AR430" i="1"/>
  <c r="AP431" i="1"/>
  <c r="AQ431" i="1"/>
  <c r="AR431" i="1"/>
  <c r="AP432" i="1"/>
  <c r="AQ432" i="1"/>
  <c r="AR432" i="1"/>
  <c r="AP433" i="1"/>
  <c r="AQ433" i="1"/>
  <c r="AR433" i="1"/>
  <c r="AP434" i="1"/>
  <c r="AQ434" i="1"/>
  <c r="AR434" i="1"/>
  <c r="AP435" i="1"/>
  <c r="AQ435" i="1"/>
  <c r="AR435" i="1"/>
  <c r="AP436" i="1"/>
  <c r="AQ436" i="1"/>
  <c r="AR436" i="1"/>
  <c r="AP437" i="1"/>
  <c r="AQ437" i="1"/>
  <c r="AR437" i="1"/>
  <c r="AP438" i="1"/>
  <c r="AQ438" i="1"/>
  <c r="AR438" i="1"/>
  <c r="AP439" i="1"/>
  <c r="AQ439" i="1"/>
  <c r="AR439" i="1"/>
  <c r="AP440" i="1"/>
  <c r="AQ440" i="1"/>
  <c r="AR440" i="1"/>
  <c r="AP441" i="1"/>
  <c r="AQ441" i="1"/>
  <c r="AR441" i="1"/>
  <c r="AP442" i="1"/>
  <c r="AQ442" i="1"/>
  <c r="AR442" i="1"/>
  <c r="AP443" i="1"/>
  <c r="AQ443" i="1"/>
  <c r="AR443" i="1"/>
  <c r="AP444" i="1"/>
  <c r="AQ444" i="1"/>
  <c r="AR444" i="1"/>
  <c r="AP445" i="1"/>
  <c r="AQ445" i="1"/>
  <c r="AR445" i="1"/>
  <c r="AP446" i="1"/>
  <c r="AQ446" i="1"/>
  <c r="AR446" i="1"/>
  <c r="AP447" i="1"/>
  <c r="AQ447" i="1"/>
  <c r="AR447" i="1"/>
  <c r="AP448" i="1"/>
  <c r="AQ448" i="1"/>
  <c r="AR448" i="1"/>
  <c r="AP449" i="1"/>
  <c r="AQ449" i="1"/>
  <c r="AR449" i="1"/>
  <c r="AP450" i="1"/>
  <c r="AQ450" i="1"/>
  <c r="AR450" i="1"/>
  <c r="AP451" i="1"/>
  <c r="AQ451" i="1"/>
  <c r="AR451" i="1"/>
  <c r="AP452" i="1"/>
  <c r="AQ452" i="1"/>
  <c r="AR452" i="1"/>
  <c r="AP453" i="1"/>
  <c r="AQ453" i="1"/>
  <c r="AR453" i="1"/>
  <c r="AP454" i="1"/>
  <c r="AQ454" i="1"/>
  <c r="AR454" i="1"/>
  <c r="AP455" i="1"/>
  <c r="AQ455" i="1"/>
  <c r="AR455" i="1"/>
  <c r="AP456" i="1"/>
  <c r="AQ456" i="1"/>
  <c r="AR456" i="1"/>
  <c r="AP457" i="1"/>
  <c r="AQ457" i="1"/>
  <c r="AR457" i="1"/>
  <c r="AP458" i="1"/>
  <c r="AQ458" i="1"/>
  <c r="AR458" i="1"/>
  <c r="AP459" i="1"/>
  <c r="AQ459" i="1"/>
  <c r="AR459" i="1"/>
  <c r="AP460" i="1"/>
  <c r="AQ460" i="1"/>
  <c r="AR460" i="1"/>
  <c r="AP461" i="1"/>
  <c r="AQ461" i="1"/>
  <c r="AR461" i="1"/>
  <c r="AP462" i="1"/>
  <c r="AQ462" i="1"/>
  <c r="AR462" i="1"/>
  <c r="AP463" i="1"/>
  <c r="AQ463" i="1"/>
  <c r="AR463" i="1"/>
  <c r="AP464" i="1"/>
  <c r="AQ464" i="1"/>
  <c r="AR464" i="1"/>
  <c r="AP465" i="1"/>
  <c r="AQ465" i="1"/>
  <c r="AR465" i="1"/>
  <c r="AP466" i="1"/>
  <c r="AQ466" i="1"/>
  <c r="AR466" i="1"/>
  <c r="AP467" i="1"/>
  <c r="AQ467" i="1"/>
  <c r="AR467" i="1"/>
  <c r="AP468" i="1"/>
  <c r="AQ468" i="1"/>
  <c r="AR468" i="1"/>
  <c r="AP469" i="1"/>
  <c r="AQ469" i="1"/>
  <c r="AR469" i="1"/>
  <c r="AP470" i="1"/>
  <c r="AQ470" i="1"/>
  <c r="AR470" i="1"/>
  <c r="AP471" i="1"/>
  <c r="AQ471" i="1"/>
  <c r="AR471" i="1"/>
  <c r="AP472" i="1"/>
  <c r="AQ472" i="1"/>
  <c r="AR472" i="1"/>
  <c r="AP473" i="1"/>
  <c r="AQ473" i="1"/>
  <c r="AR473" i="1"/>
  <c r="AP474" i="1"/>
  <c r="AQ474" i="1"/>
  <c r="AR474" i="1"/>
  <c r="AP475" i="1"/>
  <c r="AQ475" i="1"/>
  <c r="AR475" i="1"/>
  <c r="AP476" i="1"/>
  <c r="AQ476" i="1"/>
  <c r="AR476" i="1"/>
  <c r="AP477" i="1"/>
  <c r="AQ477" i="1"/>
  <c r="AR477" i="1"/>
  <c r="AP478" i="1"/>
  <c r="AQ478" i="1"/>
  <c r="AR478" i="1"/>
  <c r="AP479" i="1"/>
  <c r="AQ479" i="1"/>
  <c r="AR479" i="1"/>
  <c r="AP480" i="1"/>
  <c r="AQ480" i="1"/>
  <c r="AR480" i="1"/>
  <c r="AP481" i="1"/>
  <c r="AQ481" i="1"/>
  <c r="AR481" i="1"/>
  <c r="AP482" i="1"/>
  <c r="AQ482" i="1"/>
  <c r="AR482" i="1"/>
  <c r="AP483" i="1"/>
  <c r="AQ483" i="1"/>
  <c r="AR483" i="1"/>
  <c r="AP484" i="1"/>
  <c r="AQ484" i="1"/>
  <c r="AR484" i="1"/>
  <c r="AP485" i="1"/>
  <c r="AQ485" i="1"/>
  <c r="AR485" i="1"/>
  <c r="AP486" i="1"/>
  <c r="AQ486" i="1"/>
  <c r="AR486" i="1"/>
  <c r="AP487" i="1"/>
  <c r="AQ487" i="1"/>
  <c r="AR487" i="1"/>
  <c r="AP488" i="1"/>
  <c r="AQ488" i="1"/>
  <c r="AR488" i="1"/>
  <c r="AP489" i="1"/>
  <c r="AQ489" i="1"/>
  <c r="AR489" i="1"/>
  <c r="AP490" i="1"/>
  <c r="AQ490" i="1"/>
  <c r="AR490" i="1"/>
  <c r="AP491" i="1"/>
  <c r="AQ491" i="1"/>
  <c r="AR491" i="1"/>
  <c r="AP492" i="1"/>
  <c r="AQ492" i="1"/>
  <c r="AR492" i="1"/>
  <c r="AP493" i="1"/>
  <c r="AQ493" i="1"/>
  <c r="AR493" i="1"/>
  <c r="AP494" i="1"/>
  <c r="AQ494" i="1"/>
  <c r="AR494" i="1"/>
  <c r="AP495" i="1"/>
  <c r="AQ495" i="1"/>
  <c r="AR495" i="1"/>
  <c r="AP496" i="1"/>
  <c r="AQ496" i="1"/>
  <c r="AR496" i="1"/>
  <c r="AP497" i="1"/>
  <c r="AQ497" i="1"/>
  <c r="AR497" i="1"/>
  <c r="AP498" i="1"/>
  <c r="AQ498" i="1"/>
  <c r="AR498" i="1"/>
  <c r="AP499" i="1"/>
  <c r="AQ499" i="1"/>
  <c r="AR499" i="1"/>
  <c r="AP500" i="1"/>
  <c r="AQ500" i="1"/>
  <c r="AR500" i="1"/>
  <c r="AP501" i="1"/>
  <c r="AQ501" i="1"/>
  <c r="AR501" i="1"/>
  <c r="AP502" i="1"/>
  <c r="AQ502" i="1"/>
  <c r="AR502" i="1"/>
  <c r="AP503" i="1"/>
  <c r="AQ503" i="1"/>
  <c r="AR503" i="1"/>
  <c r="AP504" i="1"/>
  <c r="AQ504" i="1"/>
  <c r="AR504" i="1"/>
  <c r="AP505" i="1"/>
  <c r="AQ505" i="1"/>
  <c r="AR505" i="1"/>
  <c r="AR2" i="1"/>
  <c r="B42" i="1"/>
  <c r="C42" i="1"/>
  <c r="C33" i="1"/>
  <c r="C34" i="1"/>
  <c r="C35" i="1"/>
  <c r="C36" i="1"/>
  <c r="C37" i="1"/>
  <c r="C38" i="1"/>
  <c r="C39" i="1"/>
  <c r="C40" i="1"/>
  <c r="C41" i="1"/>
  <c r="A23" i="1"/>
  <c r="B28" i="1"/>
  <c r="B23" i="1"/>
  <c r="C28" i="1"/>
  <c r="A25" i="1"/>
  <c r="B29" i="1"/>
  <c r="B25" i="1"/>
  <c r="C29" i="1"/>
  <c r="B26" i="1"/>
  <c r="C30" i="1"/>
  <c r="A26" i="1"/>
  <c r="B30" i="1"/>
</calcChain>
</file>

<file path=xl/sharedStrings.xml><?xml version="1.0" encoding="utf-8"?>
<sst xmlns="http://schemas.openxmlformats.org/spreadsheetml/2006/main" count="30" uniqueCount="30">
  <si>
    <t>Date</t>
  </si>
  <si>
    <t>shifts</t>
  </si>
  <si>
    <t>mu_[k]</t>
  </si>
  <si>
    <t>sample covariance matrix</t>
  </si>
  <si>
    <t>sample means</t>
  </si>
  <si>
    <t xml:space="preserve">sigma_[k]      </t>
  </si>
  <si>
    <t>inverse sigma_[k]</t>
  </si>
  <si>
    <t>X-mu_[k]</t>
  </si>
  <si>
    <t>mu_[k+1]</t>
  </si>
  <si>
    <t xml:space="preserve">sigma_[k+1]      </t>
  </si>
  <si>
    <t>elliptical cutoff</t>
  </si>
  <si>
    <t>X|D^2&gt;c</t>
  </si>
  <si>
    <t>&gt;0 ?</t>
  </si>
  <si>
    <t>non zero entries</t>
  </si>
  <si>
    <t>count</t>
  </si>
  <si>
    <t>correlation</t>
  </si>
  <si>
    <t>AAPL</t>
  </si>
  <si>
    <t>SPY</t>
  </si>
  <si>
    <t>two stocks AAPL and SPY</t>
  </si>
  <si>
    <t>Fitting an elliptical distribution, problem 3</t>
  </si>
  <si>
    <t>Homework 2 Answers</t>
  </si>
  <si>
    <t>D[i,k]</t>
  </si>
  <si>
    <t>D[i,k]^2</t>
  </si>
  <si>
    <t>w1(D[I,k])</t>
  </si>
  <si>
    <t>w2(D^2)</t>
  </si>
  <si>
    <t>weight cutoff w1</t>
  </si>
  <si>
    <t>weight cutoff w2</t>
  </si>
  <si>
    <t>mu diffs</t>
  </si>
  <si>
    <t>sigma diffs</t>
  </si>
  <si>
    <t>increment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</si>
</sst>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4" fontId="0" fillId="0" borderId="0" xfId="0" applyNumberForma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10" fontId="0" fillId="0" borderId="0" xfId="0" quotePrefix="1" applyNumberFormat="1"/>
    <xf numFmtId="0" fontId="1" fillId="0" borderId="0" xfId="0" applyFont="1"/>
    <xf numFmtId="0" fontId="2" fillId="0" borderId="0" xfId="0" applyFont="1"/>
    <xf numFmtId="164" fontId="3" fillId="0" borderId="0" xfId="0" applyNumberFormat="1" applyFont="1"/>
    <xf numFmtId="0" fontId="3" fillId="0" borderId="0" xfId="0" applyFont="1"/>
    <xf numFmtId="164" fontId="2" fillId="0" borderId="0" xfId="0" applyNumberFormat="1" applyFont="1"/>
    <xf numFmtId="0" fontId="2" fillId="0" borderId="0" xfId="0" quotePrefix="1" applyFont="1"/>
    <xf numFmtId="0" fontId="3" fillId="0" borderId="0" xfId="0" applyNumberFormat="1" applyFont="1"/>
    <xf numFmtId="10" fontId="3" fillId="0" borderId="0" xfId="0" applyNumberFormat="1" applyFont="1"/>
    <xf numFmtId="10" fontId="3" fillId="0" borderId="0" xfId="0" quotePrefix="1" applyNumberFormat="1" applyFont="1"/>
    <xf numFmtId="0" fontId="3" fillId="0" borderId="0" xfId="0" quotePrefix="1" applyNumberFormat="1" applyFont="1"/>
    <xf numFmtId="164" fontId="4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506"/>
  <sheetViews>
    <sheetView tabSelected="1" workbookViewId="0">
      <selection activeCell="A13" sqref="A13"/>
    </sheetView>
  </sheetViews>
  <sheetFormatPr defaultRowHeight="15" x14ac:dyDescent="0.25"/>
  <cols>
    <col min="1" max="1" width="32.5703125" customWidth="1"/>
    <col min="2" max="2" width="19.85546875" customWidth="1"/>
    <col min="3" max="3" width="13.5703125" customWidth="1"/>
    <col min="4" max="4" width="11.140625" style="2" customWidth="1"/>
    <col min="5" max="5" width="11.5703125" customWidth="1"/>
    <col min="9" max="9" width="13" customWidth="1"/>
    <col min="10" max="10" width="9.28515625" customWidth="1"/>
    <col min="11" max="12" width="13.85546875" customWidth="1"/>
    <col min="15" max="16" width="9.140625" style="3"/>
    <col min="23" max="24" width="9.140625" style="3"/>
    <col min="26" max="26" width="13.42578125" customWidth="1"/>
    <col min="27" max="27" width="11.85546875" customWidth="1"/>
    <col min="30" max="30" width="10.28515625" customWidth="1"/>
    <col min="31" max="31" width="11.42578125" customWidth="1"/>
    <col min="33" max="33" width="11.5703125" customWidth="1"/>
  </cols>
  <sheetData>
    <row r="1" spans="1:44" ht="18.75" x14ac:dyDescent="0.3">
      <c r="A1" s="7" t="s">
        <v>20</v>
      </c>
      <c r="D1" t="s">
        <v>0</v>
      </c>
      <c r="E1" s="2" t="s">
        <v>16</v>
      </c>
      <c r="F1" t="s">
        <v>17</v>
      </c>
      <c r="G1" t="s">
        <v>1</v>
      </c>
      <c r="I1" t="s">
        <v>7</v>
      </c>
      <c r="K1" t="s">
        <v>22</v>
      </c>
      <c r="L1" t="s">
        <v>21</v>
      </c>
      <c r="M1" t="s">
        <v>23</v>
      </c>
      <c r="N1" t="s">
        <v>24</v>
      </c>
      <c r="O1" s="3" t="s">
        <v>11</v>
      </c>
      <c r="P1" s="3">
        <f>A33</f>
        <v>0</v>
      </c>
      <c r="Q1" t="s">
        <v>12</v>
      </c>
      <c r="S1">
        <f>A34</f>
        <v>1</v>
      </c>
      <c r="V1">
        <f>A35</f>
        <v>2</v>
      </c>
      <c r="Y1">
        <f>A36</f>
        <v>3</v>
      </c>
      <c r="AB1">
        <f>A37</f>
        <v>4</v>
      </c>
      <c r="AE1">
        <f>A38</f>
        <v>5</v>
      </c>
      <c r="AH1">
        <f>A39</f>
        <v>6</v>
      </c>
      <c r="AK1">
        <f>A40</f>
        <v>7</v>
      </c>
      <c r="AN1">
        <f>A41</f>
        <v>8</v>
      </c>
      <c r="AQ1">
        <f>A42</f>
        <v>9</v>
      </c>
    </row>
    <row r="2" spans="1:44" x14ac:dyDescent="0.25">
      <c r="A2" s="8" t="s">
        <v>18</v>
      </c>
      <c r="D2" s="1">
        <v>42741</v>
      </c>
      <c r="E2" s="2">
        <v>117.910004</v>
      </c>
      <c r="F2" s="3">
        <v>227.21000699999999</v>
      </c>
      <c r="G2" s="2">
        <f>E2-E3</f>
        <v>1.3000030000000038</v>
      </c>
      <c r="H2" s="2">
        <f>F2-F3</f>
        <v>0.81001299999999787</v>
      </c>
      <c r="I2" s="4">
        <f t="shared" ref="I2:I65" si="0">G2-$A$14</f>
        <v>1.2376237303645108</v>
      </c>
      <c r="J2" s="4">
        <f t="shared" ref="J2:J65" si="1">H2-$B$14</f>
        <v>0.70879206101931469</v>
      </c>
      <c r="K2" s="4">
        <f>SUMPRODUCT(MMULT(I2:J2,$A$19:$B$20),I2:J2)</f>
        <v>1.9345554802101916</v>
      </c>
      <c r="L2" s="4">
        <f>SQRT(K2)</f>
        <v>1.3908829858080052</v>
      </c>
      <c r="M2" s="4">
        <f>IF(L2&lt;$B$12,1,$B$12/L2)</f>
        <v>1</v>
      </c>
      <c r="N2" s="4">
        <f>IF(K2&lt;$B$12,1,$B$21/K2)</f>
        <v>1</v>
      </c>
      <c r="O2" s="3">
        <f>IF($K2&gt;P$1,$G2,0)</f>
        <v>1.3000030000000038</v>
      </c>
      <c r="P2" s="3">
        <f>IF($K2&gt;P$1,$H2,0)</f>
        <v>0.81001299999999787</v>
      </c>
      <c r="Q2">
        <f>IF($K2&gt;P$1,1,0)</f>
        <v>1</v>
      </c>
      <c r="R2" s="3">
        <f>IF($K2&gt;S$1,$G2,0)</f>
        <v>1.3000030000000038</v>
      </c>
      <c r="S2" s="3">
        <f>IF($K2&gt;S$1,$H2,0)</f>
        <v>0.81001299999999787</v>
      </c>
      <c r="T2">
        <f>IF($K2&gt;S$1,1,0)</f>
        <v>1</v>
      </c>
      <c r="U2" s="3">
        <f>IF($K2&gt;V$1,$G2,0)</f>
        <v>0</v>
      </c>
      <c r="V2" s="3">
        <f>IF($K2&gt;V$1,$H2,0)</f>
        <v>0</v>
      </c>
      <c r="W2">
        <f>IF($K2&gt;V$1,1,0)</f>
        <v>0</v>
      </c>
      <c r="X2" s="3">
        <f>IF($K2&gt;Y$1,$G2,0)</f>
        <v>0</v>
      </c>
      <c r="Y2" s="3">
        <f>IF($K2&gt;Y$1,$H2,0)</f>
        <v>0</v>
      </c>
      <c r="Z2">
        <f>IF($K2&gt;Y$1,1,0)</f>
        <v>0</v>
      </c>
      <c r="AA2" s="3">
        <f>IF($K2&gt;AB$1,$G2,0)</f>
        <v>0</v>
      </c>
      <c r="AB2" s="3">
        <f>IF($K2&gt;AB$1,$H2,0)</f>
        <v>0</v>
      </c>
      <c r="AC2">
        <f>IF($K2&gt;AB$1,1,0)</f>
        <v>0</v>
      </c>
      <c r="AD2" s="3">
        <f>IF($K2&gt;AE$1,$G2,0)</f>
        <v>0</v>
      </c>
      <c r="AE2" s="3">
        <f>IF($K2&gt;AE$1,$H2,0)</f>
        <v>0</v>
      </c>
      <c r="AF2">
        <f>IF($K2&gt;AE$1,1,0)</f>
        <v>0</v>
      </c>
      <c r="AG2" s="3">
        <f>IF($K2&gt;AH$1,$G2,0)</f>
        <v>0</v>
      </c>
      <c r="AH2" s="3">
        <f>IF($K2&gt;AH$1,$H2,0)</f>
        <v>0</v>
      </c>
      <c r="AI2">
        <f>IF($K2&gt;AH$1,1,0)</f>
        <v>0</v>
      </c>
      <c r="AJ2" s="3">
        <f>IF($K2&gt;AK$1,$G2,0)</f>
        <v>0</v>
      </c>
      <c r="AK2" s="3">
        <f>IF($K2&gt;AK$1,$H2,0)</f>
        <v>0</v>
      </c>
      <c r="AL2">
        <f>IF($K2&gt;AK$1,1,0)</f>
        <v>0</v>
      </c>
      <c r="AM2" s="3">
        <f>IF($K2&gt;AN$1,$G2,0)</f>
        <v>0</v>
      </c>
      <c r="AN2" s="3">
        <f>IF($K2&gt;AN$1,$H2,0)</f>
        <v>0</v>
      </c>
      <c r="AO2">
        <f>IF($K2&gt;AN$1,1,0)</f>
        <v>0</v>
      </c>
      <c r="AP2" s="3">
        <f>IF($K2&gt;AQ$1,$G2,0)</f>
        <v>0</v>
      </c>
      <c r="AQ2" s="3">
        <f>IF($K2&gt;AQ$1,$H2,0)</f>
        <v>0</v>
      </c>
      <c r="AR2">
        <f>IF($K2&gt;AQ$1,1,0)</f>
        <v>0</v>
      </c>
    </row>
    <row r="3" spans="1:44" x14ac:dyDescent="0.25">
      <c r="A3" s="8" t="s">
        <v>19</v>
      </c>
      <c r="D3" s="1">
        <v>42740</v>
      </c>
      <c r="E3" s="2">
        <v>116.610001</v>
      </c>
      <c r="F3" s="3">
        <v>226.39999399999999</v>
      </c>
      <c r="G3" s="2">
        <f t="shared" ref="G3:G66" si="2">E3-E4</f>
        <v>0.59000399999999331</v>
      </c>
      <c r="H3" s="2">
        <f t="shared" ref="H3:H66" si="3">F3-F4</f>
        <v>-0.18000800000001504</v>
      </c>
      <c r="I3" s="4">
        <f t="shared" si="0"/>
        <v>0.52762473036450031</v>
      </c>
      <c r="J3" s="4">
        <f t="shared" si="1"/>
        <v>-0.28122893898069823</v>
      </c>
      <c r="K3" s="4">
        <f t="shared" ref="K3:K66" si="4">SUMPRODUCT(MMULT(I3:J3,$A$19:$B$20),I3:J3)</f>
        <v>1.127367363195809</v>
      </c>
      <c r="L3" s="4">
        <f t="shared" ref="L3:L66" si="5">SQRT(K3)</f>
        <v>1.0617755710110348</v>
      </c>
      <c r="M3" s="4">
        <f t="shared" ref="M3:M66" si="6">IF(L3&lt;$B$12,1,$B$12/L3)</f>
        <v>1</v>
      </c>
      <c r="N3" s="4">
        <f t="shared" ref="N3:N66" si="7">IF(K3&lt;$B$12,1,$B$21/K3)</f>
        <v>1</v>
      </c>
      <c r="O3" s="3">
        <f t="shared" ref="O3:O66" si="8">IF($K3&gt;P$1,$G3,0)</f>
        <v>0.59000399999999331</v>
      </c>
      <c r="P3" s="3">
        <f t="shared" ref="P3:P66" si="9">IF($K3&gt;P$1,$H3,0)</f>
        <v>-0.18000800000001504</v>
      </c>
      <c r="Q3">
        <f t="shared" ref="Q3:Q66" si="10">IF($K3&gt;P$1,1,0)</f>
        <v>1</v>
      </c>
      <c r="R3" s="3">
        <f t="shared" ref="R3:R66" si="11">IF($K3&gt;S$1,$G3,0)</f>
        <v>0.59000399999999331</v>
      </c>
      <c r="S3" s="3">
        <f t="shared" ref="S3:S66" si="12">IF($K3&gt;S$1,$H3,0)</f>
        <v>-0.18000800000001504</v>
      </c>
      <c r="T3">
        <f t="shared" ref="T3:T66" si="13">IF($K3&gt;S$1,1,0)</f>
        <v>1</v>
      </c>
      <c r="U3" s="3">
        <f t="shared" ref="U3:U66" si="14">IF($K3&gt;V$1,$G3,0)</f>
        <v>0</v>
      </c>
      <c r="V3" s="3">
        <f t="shared" ref="V3:V66" si="15">IF($K3&gt;V$1,$H3,0)</f>
        <v>0</v>
      </c>
      <c r="W3">
        <f t="shared" ref="W3:W66" si="16">IF($K3&gt;V$1,1,0)</f>
        <v>0</v>
      </c>
      <c r="X3" s="3">
        <f t="shared" ref="X3:X66" si="17">IF($K3&gt;Y$1,$G3,0)</f>
        <v>0</v>
      </c>
      <c r="Y3" s="3">
        <f t="shared" ref="Y3:Y66" si="18">IF($K3&gt;Y$1,$H3,0)</f>
        <v>0</v>
      </c>
      <c r="Z3">
        <f t="shared" ref="Z3:Z66" si="19">IF($K3&gt;Y$1,1,0)</f>
        <v>0</v>
      </c>
      <c r="AA3" s="3">
        <f t="shared" ref="AA3:AA66" si="20">IF($K3&gt;AB$1,$G3,0)</f>
        <v>0</v>
      </c>
      <c r="AB3" s="3">
        <f t="shared" ref="AB3:AB66" si="21">IF($K3&gt;AB$1,$H3,0)</f>
        <v>0</v>
      </c>
      <c r="AC3">
        <f t="shared" ref="AC3:AC66" si="22">IF($K3&gt;AB$1,1,0)</f>
        <v>0</v>
      </c>
      <c r="AD3" s="3">
        <f t="shared" ref="AD3:AD66" si="23">IF($K3&gt;AE$1,$G3,0)</f>
        <v>0</v>
      </c>
      <c r="AE3" s="3">
        <f t="shared" ref="AE3:AE66" si="24">IF($K3&gt;AE$1,$H3,0)</f>
        <v>0</v>
      </c>
      <c r="AF3">
        <f t="shared" ref="AF3:AF66" si="25">IF($K3&gt;AE$1,1,0)</f>
        <v>0</v>
      </c>
      <c r="AG3" s="3">
        <f t="shared" ref="AG3:AG66" si="26">IF($K3&gt;AH$1,$G3,0)</f>
        <v>0</v>
      </c>
      <c r="AH3" s="3">
        <f t="shared" ref="AH3:AH66" si="27">IF($K3&gt;AH$1,$H3,0)</f>
        <v>0</v>
      </c>
      <c r="AI3">
        <f t="shared" ref="AI3:AI66" si="28">IF($K3&gt;AH$1,1,0)</f>
        <v>0</v>
      </c>
      <c r="AJ3" s="3">
        <f t="shared" ref="AJ3:AJ66" si="29">IF($K3&gt;AK$1,$G3,0)</f>
        <v>0</v>
      </c>
      <c r="AK3" s="3">
        <f t="shared" ref="AK3:AK66" si="30">IF($K3&gt;AK$1,$H3,0)</f>
        <v>0</v>
      </c>
      <c r="AL3">
        <f t="shared" ref="AL3:AL66" si="31">IF($K3&gt;AK$1,1,0)</f>
        <v>0</v>
      </c>
      <c r="AM3" s="3">
        <f t="shared" ref="AM3:AM66" si="32">IF($K3&gt;AN$1,$G3,0)</f>
        <v>0</v>
      </c>
      <c r="AN3" s="3">
        <f t="shared" ref="AN3:AN66" si="33">IF($K3&gt;AN$1,$H3,0)</f>
        <v>0</v>
      </c>
      <c r="AO3">
        <f t="shared" ref="AO3:AO66" si="34">IF($K3&gt;AN$1,1,0)</f>
        <v>0</v>
      </c>
      <c r="AP3" s="3">
        <f t="shared" ref="AP3:AP66" si="35">IF($K3&gt;AQ$1,$G3,0)</f>
        <v>0</v>
      </c>
      <c r="AQ3" s="3">
        <f t="shared" ref="AQ3:AQ66" si="36">IF($K3&gt;AQ$1,$H3,0)</f>
        <v>0</v>
      </c>
      <c r="AR3">
        <f t="shared" ref="AR3:AR66" si="37">IF($K3&gt;AQ$1,1,0)</f>
        <v>0</v>
      </c>
    </row>
    <row r="4" spans="1:44" x14ac:dyDescent="0.25">
      <c r="A4" s="8" t="s">
        <v>4</v>
      </c>
      <c r="D4" s="1">
        <v>42739</v>
      </c>
      <c r="E4" s="2">
        <v>116.019997</v>
      </c>
      <c r="F4" s="3">
        <v>226.58000200000001</v>
      </c>
      <c r="G4" s="2">
        <f t="shared" si="2"/>
        <v>-0.13000499999999704</v>
      </c>
      <c r="H4" s="2">
        <f t="shared" si="3"/>
        <v>1.339997000000011</v>
      </c>
      <c r="I4" s="4">
        <f t="shared" si="0"/>
        <v>-0.19238426963549005</v>
      </c>
      <c r="J4" s="4">
        <f t="shared" si="1"/>
        <v>1.2387760610193277</v>
      </c>
      <c r="K4" s="4">
        <f t="shared" si="4"/>
        <v>3.6070637309881937</v>
      </c>
      <c r="L4" s="4">
        <f t="shared" si="5"/>
        <v>1.8992271404411305</v>
      </c>
      <c r="M4" s="4">
        <f t="shared" si="6"/>
        <v>1</v>
      </c>
      <c r="N4" s="4">
        <f t="shared" si="7"/>
        <v>0.33268056499551979</v>
      </c>
      <c r="O4" s="3">
        <f t="shared" si="8"/>
        <v>-0.13000499999999704</v>
      </c>
      <c r="P4" s="3">
        <f t="shared" si="9"/>
        <v>1.339997000000011</v>
      </c>
      <c r="Q4">
        <f t="shared" si="10"/>
        <v>1</v>
      </c>
      <c r="R4" s="3">
        <f t="shared" si="11"/>
        <v>-0.13000499999999704</v>
      </c>
      <c r="S4" s="3">
        <f t="shared" si="12"/>
        <v>1.339997000000011</v>
      </c>
      <c r="T4">
        <f t="shared" si="13"/>
        <v>1</v>
      </c>
      <c r="U4" s="3">
        <f t="shared" si="14"/>
        <v>-0.13000499999999704</v>
      </c>
      <c r="V4" s="3">
        <f t="shared" si="15"/>
        <v>1.339997000000011</v>
      </c>
      <c r="W4">
        <f t="shared" si="16"/>
        <v>1</v>
      </c>
      <c r="X4" s="3">
        <f t="shared" si="17"/>
        <v>-0.13000499999999704</v>
      </c>
      <c r="Y4" s="3">
        <f t="shared" si="18"/>
        <v>1.339997000000011</v>
      </c>
      <c r="Z4">
        <f t="shared" si="19"/>
        <v>1</v>
      </c>
      <c r="AA4" s="3">
        <f t="shared" si="20"/>
        <v>0</v>
      </c>
      <c r="AB4" s="3">
        <f t="shared" si="21"/>
        <v>0</v>
      </c>
      <c r="AC4">
        <f t="shared" si="22"/>
        <v>0</v>
      </c>
      <c r="AD4" s="3">
        <f t="shared" si="23"/>
        <v>0</v>
      </c>
      <c r="AE4" s="3">
        <f t="shared" si="24"/>
        <v>0</v>
      </c>
      <c r="AF4">
        <f t="shared" si="25"/>
        <v>0</v>
      </c>
      <c r="AG4" s="3">
        <f t="shared" si="26"/>
        <v>0</v>
      </c>
      <c r="AH4" s="3">
        <f t="shared" si="27"/>
        <v>0</v>
      </c>
      <c r="AI4">
        <f t="shared" si="28"/>
        <v>0</v>
      </c>
      <c r="AJ4" s="3">
        <f t="shared" si="29"/>
        <v>0</v>
      </c>
      <c r="AK4" s="3">
        <f t="shared" si="30"/>
        <v>0</v>
      </c>
      <c r="AL4">
        <f t="shared" si="31"/>
        <v>0</v>
      </c>
      <c r="AM4" s="3">
        <f t="shared" si="32"/>
        <v>0</v>
      </c>
      <c r="AN4" s="3">
        <f t="shared" si="33"/>
        <v>0</v>
      </c>
      <c r="AO4">
        <f t="shared" si="34"/>
        <v>0</v>
      </c>
      <c r="AP4" s="3">
        <f t="shared" si="35"/>
        <v>0</v>
      </c>
      <c r="AQ4" s="3">
        <f t="shared" si="36"/>
        <v>0</v>
      </c>
      <c r="AR4">
        <f t="shared" si="37"/>
        <v>0</v>
      </c>
    </row>
    <row r="5" spans="1:44" x14ac:dyDescent="0.25">
      <c r="A5" s="9">
        <f>AVERAGE(G2:G505)</f>
        <v>2.8315492063492053E-2</v>
      </c>
      <c r="B5" s="9">
        <f>AVERAGE(H2:H505)</f>
        <v>6.5788634920634886E-2</v>
      </c>
      <c r="D5" s="1">
        <v>42738</v>
      </c>
      <c r="E5" s="2">
        <v>116.150002</v>
      </c>
      <c r="F5" s="3">
        <v>225.240005</v>
      </c>
      <c r="G5" s="2">
        <f t="shared" si="2"/>
        <v>0.33000200000000746</v>
      </c>
      <c r="H5" s="2">
        <f t="shared" si="3"/>
        <v>1.7100059999999928</v>
      </c>
      <c r="I5" s="4">
        <f t="shared" si="0"/>
        <v>0.26762273036451445</v>
      </c>
      <c r="J5" s="4">
        <f t="shared" si="1"/>
        <v>1.6087850610193095</v>
      </c>
      <c r="K5" s="4">
        <f t="shared" si="4"/>
        <v>3.9424926818087669</v>
      </c>
      <c r="L5" s="4">
        <f t="shared" si="5"/>
        <v>1.9855711223244477</v>
      </c>
      <c r="M5" s="4">
        <f t="shared" si="6"/>
        <v>1</v>
      </c>
      <c r="N5" s="4">
        <f t="shared" si="7"/>
        <v>0.30437596131426548</v>
      </c>
      <c r="O5" s="3">
        <f t="shared" si="8"/>
        <v>0.33000200000000746</v>
      </c>
      <c r="P5" s="3">
        <f t="shared" si="9"/>
        <v>1.7100059999999928</v>
      </c>
      <c r="Q5">
        <f t="shared" si="10"/>
        <v>1</v>
      </c>
      <c r="R5" s="3">
        <f t="shared" si="11"/>
        <v>0.33000200000000746</v>
      </c>
      <c r="S5" s="3">
        <f t="shared" si="12"/>
        <v>1.7100059999999928</v>
      </c>
      <c r="T5">
        <f t="shared" si="13"/>
        <v>1</v>
      </c>
      <c r="U5" s="3">
        <f t="shared" si="14"/>
        <v>0.33000200000000746</v>
      </c>
      <c r="V5" s="3">
        <f t="shared" si="15"/>
        <v>1.7100059999999928</v>
      </c>
      <c r="W5">
        <f t="shared" si="16"/>
        <v>1</v>
      </c>
      <c r="X5" s="3">
        <f t="shared" si="17"/>
        <v>0.33000200000000746</v>
      </c>
      <c r="Y5" s="3">
        <f t="shared" si="18"/>
        <v>1.7100059999999928</v>
      </c>
      <c r="Z5">
        <f t="shared" si="19"/>
        <v>1</v>
      </c>
      <c r="AA5" s="3">
        <f t="shared" si="20"/>
        <v>0</v>
      </c>
      <c r="AB5" s="3">
        <f t="shared" si="21"/>
        <v>0</v>
      </c>
      <c r="AC5">
        <f t="shared" si="22"/>
        <v>0</v>
      </c>
      <c r="AD5" s="3">
        <f t="shared" si="23"/>
        <v>0</v>
      </c>
      <c r="AE5" s="3">
        <f t="shared" si="24"/>
        <v>0</v>
      </c>
      <c r="AF5">
        <f t="shared" si="25"/>
        <v>0</v>
      </c>
      <c r="AG5" s="3">
        <f t="shared" si="26"/>
        <v>0</v>
      </c>
      <c r="AH5" s="3">
        <f t="shared" si="27"/>
        <v>0</v>
      </c>
      <c r="AI5">
        <f t="shared" si="28"/>
        <v>0</v>
      </c>
      <c r="AJ5" s="3">
        <f t="shared" si="29"/>
        <v>0</v>
      </c>
      <c r="AK5" s="3">
        <f t="shared" si="30"/>
        <v>0</v>
      </c>
      <c r="AL5">
        <f t="shared" si="31"/>
        <v>0</v>
      </c>
      <c r="AM5" s="3">
        <f t="shared" si="32"/>
        <v>0</v>
      </c>
      <c r="AN5" s="3">
        <f t="shared" si="33"/>
        <v>0</v>
      </c>
      <c r="AO5">
        <f t="shared" si="34"/>
        <v>0</v>
      </c>
      <c r="AP5" s="3">
        <f t="shared" si="35"/>
        <v>0</v>
      </c>
      <c r="AQ5" s="3">
        <f t="shared" si="36"/>
        <v>0</v>
      </c>
      <c r="AR5">
        <f t="shared" si="37"/>
        <v>0</v>
      </c>
    </row>
    <row r="6" spans="1:44" x14ac:dyDescent="0.25">
      <c r="A6" s="11" t="s">
        <v>3</v>
      </c>
      <c r="B6" s="4"/>
      <c r="D6" s="1">
        <v>42734</v>
      </c>
      <c r="E6" s="2">
        <v>115.82</v>
      </c>
      <c r="F6" s="3">
        <v>223.529999</v>
      </c>
      <c r="G6" s="2">
        <f t="shared" si="2"/>
        <v>-0.91000300000000323</v>
      </c>
      <c r="H6" s="2">
        <f t="shared" si="3"/>
        <v>-0.82000700000000393</v>
      </c>
      <c r="I6" s="4">
        <f t="shared" si="0"/>
        <v>-0.97238226963549623</v>
      </c>
      <c r="J6" s="4">
        <f t="shared" si="1"/>
        <v>-0.92122793898068711</v>
      </c>
      <c r="K6" s="4">
        <f t="shared" si="4"/>
        <v>1.2958289479460674</v>
      </c>
      <c r="L6" s="4">
        <f t="shared" si="5"/>
        <v>1.1383448282247639</v>
      </c>
      <c r="M6" s="4">
        <f t="shared" si="6"/>
        <v>1</v>
      </c>
      <c r="N6" s="4">
        <f t="shared" si="7"/>
        <v>1</v>
      </c>
      <c r="O6" s="3">
        <f t="shared" si="8"/>
        <v>-0.91000300000000323</v>
      </c>
      <c r="P6" s="3">
        <f t="shared" si="9"/>
        <v>-0.82000700000000393</v>
      </c>
      <c r="Q6">
        <f t="shared" si="10"/>
        <v>1</v>
      </c>
      <c r="R6" s="3">
        <f t="shared" si="11"/>
        <v>-0.91000300000000323</v>
      </c>
      <c r="S6" s="3">
        <f t="shared" si="12"/>
        <v>-0.82000700000000393</v>
      </c>
      <c r="T6">
        <f t="shared" si="13"/>
        <v>1</v>
      </c>
      <c r="U6" s="3">
        <f t="shared" si="14"/>
        <v>0</v>
      </c>
      <c r="V6" s="3">
        <f t="shared" si="15"/>
        <v>0</v>
      </c>
      <c r="W6">
        <f t="shared" si="16"/>
        <v>0</v>
      </c>
      <c r="X6" s="3">
        <f t="shared" si="17"/>
        <v>0</v>
      </c>
      <c r="Y6" s="3">
        <f t="shared" si="18"/>
        <v>0</v>
      </c>
      <c r="Z6">
        <f t="shared" si="19"/>
        <v>0</v>
      </c>
      <c r="AA6" s="3">
        <f t="shared" si="20"/>
        <v>0</v>
      </c>
      <c r="AB6" s="3">
        <f t="shared" si="21"/>
        <v>0</v>
      </c>
      <c r="AC6">
        <f t="shared" si="22"/>
        <v>0</v>
      </c>
      <c r="AD6" s="3">
        <f t="shared" si="23"/>
        <v>0</v>
      </c>
      <c r="AE6" s="3">
        <f t="shared" si="24"/>
        <v>0</v>
      </c>
      <c r="AF6">
        <f t="shared" si="25"/>
        <v>0</v>
      </c>
      <c r="AG6" s="3">
        <f t="shared" si="26"/>
        <v>0</v>
      </c>
      <c r="AH6" s="3">
        <f t="shared" si="27"/>
        <v>0</v>
      </c>
      <c r="AI6">
        <f t="shared" si="28"/>
        <v>0</v>
      </c>
      <c r="AJ6" s="3">
        <f t="shared" si="29"/>
        <v>0</v>
      </c>
      <c r="AK6" s="3">
        <f t="shared" si="30"/>
        <v>0</v>
      </c>
      <c r="AL6">
        <f t="shared" si="31"/>
        <v>0</v>
      </c>
      <c r="AM6" s="3">
        <f t="shared" si="32"/>
        <v>0</v>
      </c>
      <c r="AN6" s="3">
        <f t="shared" si="33"/>
        <v>0</v>
      </c>
      <c r="AO6">
        <f t="shared" si="34"/>
        <v>0</v>
      </c>
      <c r="AP6" s="3">
        <f t="shared" si="35"/>
        <v>0</v>
      </c>
      <c r="AQ6" s="3">
        <f t="shared" si="36"/>
        <v>0</v>
      </c>
      <c r="AR6">
        <f t="shared" si="37"/>
        <v>0</v>
      </c>
    </row>
    <row r="7" spans="1:44" x14ac:dyDescent="0.25">
      <c r="A7" s="9">
        <f>COVAR($G$2:$G$505,G$2:G$505)</f>
        <v>2.8858159196080293</v>
      </c>
      <c r="B7" s="9">
        <f>A8</f>
        <v>1.8276891992632358</v>
      </c>
      <c r="D7" s="1">
        <v>42733</v>
      </c>
      <c r="E7" s="2">
        <v>116.730003</v>
      </c>
      <c r="F7" s="3">
        <v>224.35000600000001</v>
      </c>
      <c r="G7" s="2">
        <f t="shared" si="2"/>
        <v>-2.9999000000003662E-2</v>
      </c>
      <c r="H7" s="2">
        <f t="shared" si="3"/>
        <v>-4.9987999999984822E-2</v>
      </c>
      <c r="I7" s="4">
        <f t="shared" si="0"/>
        <v>-9.2378269635496668E-2</v>
      </c>
      <c r="J7" s="4">
        <f t="shared" si="1"/>
        <v>-0.15120893898066803</v>
      </c>
      <c r="K7" s="4">
        <f t="shared" si="4"/>
        <v>2.5254864563656977E-2</v>
      </c>
      <c r="L7" s="4">
        <f t="shared" si="5"/>
        <v>0.15891779184111821</v>
      </c>
      <c r="M7" s="4">
        <f t="shared" si="6"/>
        <v>1</v>
      </c>
      <c r="N7" s="4">
        <f t="shared" si="7"/>
        <v>1</v>
      </c>
      <c r="O7" s="3">
        <f t="shared" si="8"/>
        <v>-2.9999000000003662E-2</v>
      </c>
      <c r="P7" s="3">
        <f t="shared" si="9"/>
        <v>-4.9987999999984822E-2</v>
      </c>
      <c r="Q7">
        <f t="shared" si="10"/>
        <v>1</v>
      </c>
      <c r="R7" s="3">
        <f t="shared" si="11"/>
        <v>0</v>
      </c>
      <c r="S7" s="3">
        <f t="shared" si="12"/>
        <v>0</v>
      </c>
      <c r="T7">
        <f t="shared" si="13"/>
        <v>0</v>
      </c>
      <c r="U7" s="3">
        <f t="shared" si="14"/>
        <v>0</v>
      </c>
      <c r="V7" s="3">
        <f t="shared" si="15"/>
        <v>0</v>
      </c>
      <c r="W7">
        <f t="shared" si="16"/>
        <v>0</v>
      </c>
      <c r="X7" s="3">
        <f t="shared" si="17"/>
        <v>0</v>
      </c>
      <c r="Y7" s="3">
        <f t="shared" si="18"/>
        <v>0</v>
      </c>
      <c r="Z7">
        <f t="shared" si="19"/>
        <v>0</v>
      </c>
      <c r="AA7" s="3">
        <f t="shared" si="20"/>
        <v>0</v>
      </c>
      <c r="AB7" s="3">
        <f t="shared" si="21"/>
        <v>0</v>
      </c>
      <c r="AC7">
        <f t="shared" si="22"/>
        <v>0</v>
      </c>
      <c r="AD7" s="3">
        <f t="shared" si="23"/>
        <v>0</v>
      </c>
      <c r="AE7" s="3">
        <f t="shared" si="24"/>
        <v>0</v>
      </c>
      <c r="AF7">
        <f t="shared" si="25"/>
        <v>0</v>
      </c>
      <c r="AG7" s="3">
        <f t="shared" si="26"/>
        <v>0</v>
      </c>
      <c r="AH7" s="3">
        <f t="shared" si="27"/>
        <v>0</v>
      </c>
      <c r="AI7">
        <f t="shared" si="28"/>
        <v>0</v>
      </c>
      <c r="AJ7" s="3">
        <f t="shared" si="29"/>
        <v>0</v>
      </c>
      <c r="AK7" s="3">
        <f t="shared" si="30"/>
        <v>0</v>
      </c>
      <c r="AL7">
        <f t="shared" si="31"/>
        <v>0</v>
      </c>
      <c r="AM7" s="3">
        <f t="shared" si="32"/>
        <v>0</v>
      </c>
      <c r="AN7" s="3">
        <f t="shared" si="33"/>
        <v>0</v>
      </c>
      <c r="AO7">
        <f t="shared" si="34"/>
        <v>0</v>
      </c>
      <c r="AP7" s="3">
        <f t="shared" si="35"/>
        <v>0</v>
      </c>
      <c r="AQ7" s="3">
        <f t="shared" si="36"/>
        <v>0</v>
      </c>
      <c r="AR7">
        <f t="shared" si="37"/>
        <v>0</v>
      </c>
    </row>
    <row r="8" spans="1:44" x14ac:dyDescent="0.25">
      <c r="A8" s="9">
        <f>COVAR($H$2:$H$505,G$2:G$505)</f>
        <v>1.8276891992632358</v>
      </c>
      <c r="B8" s="9">
        <f>COVAR($H$2:$H$505,H$2:H$505)</f>
        <v>3.1023390250271454</v>
      </c>
      <c r="D8" s="1">
        <v>42732</v>
      </c>
      <c r="E8" s="2">
        <v>116.760002</v>
      </c>
      <c r="F8" s="3">
        <v>224.39999399999999</v>
      </c>
      <c r="G8" s="2">
        <f t="shared" si="2"/>
        <v>-0.5</v>
      </c>
      <c r="H8" s="2">
        <f t="shared" si="3"/>
        <v>-1.8700100000000077</v>
      </c>
      <c r="I8" s="4">
        <f t="shared" si="0"/>
        <v>-0.56237926963549301</v>
      </c>
      <c r="J8" s="4">
        <f t="shared" si="1"/>
        <v>-1.971230938980691</v>
      </c>
      <c r="K8" s="4">
        <f t="shared" si="4"/>
        <v>5.1635433396376458</v>
      </c>
      <c r="L8" s="4">
        <f t="shared" si="5"/>
        <v>2.2723431386209358</v>
      </c>
      <c r="M8" s="4">
        <f t="shared" si="6"/>
        <v>0.88014876186955704</v>
      </c>
      <c r="N8" s="4">
        <f t="shared" si="7"/>
        <v>0.23239855290615427</v>
      </c>
      <c r="O8" s="3">
        <f t="shared" si="8"/>
        <v>-0.5</v>
      </c>
      <c r="P8" s="3">
        <f t="shared" si="9"/>
        <v>-1.8700100000000077</v>
      </c>
      <c r="Q8">
        <f t="shared" si="10"/>
        <v>1</v>
      </c>
      <c r="R8" s="3">
        <f t="shared" si="11"/>
        <v>-0.5</v>
      </c>
      <c r="S8" s="3">
        <f t="shared" si="12"/>
        <v>-1.8700100000000077</v>
      </c>
      <c r="T8">
        <f t="shared" si="13"/>
        <v>1</v>
      </c>
      <c r="U8" s="3">
        <f t="shared" si="14"/>
        <v>-0.5</v>
      </c>
      <c r="V8" s="3">
        <f t="shared" si="15"/>
        <v>-1.8700100000000077</v>
      </c>
      <c r="W8">
        <f t="shared" si="16"/>
        <v>1</v>
      </c>
      <c r="X8" s="3">
        <f t="shared" si="17"/>
        <v>-0.5</v>
      </c>
      <c r="Y8" s="3">
        <f t="shared" si="18"/>
        <v>-1.8700100000000077</v>
      </c>
      <c r="Z8">
        <f t="shared" si="19"/>
        <v>1</v>
      </c>
      <c r="AA8" s="3">
        <f t="shared" si="20"/>
        <v>-0.5</v>
      </c>
      <c r="AB8" s="3">
        <f t="shared" si="21"/>
        <v>-1.8700100000000077</v>
      </c>
      <c r="AC8">
        <f t="shared" si="22"/>
        <v>1</v>
      </c>
      <c r="AD8" s="3">
        <f t="shared" si="23"/>
        <v>-0.5</v>
      </c>
      <c r="AE8" s="3">
        <f t="shared" si="24"/>
        <v>-1.8700100000000077</v>
      </c>
      <c r="AF8">
        <f t="shared" si="25"/>
        <v>1</v>
      </c>
      <c r="AG8" s="3">
        <f t="shared" si="26"/>
        <v>0</v>
      </c>
      <c r="AH8" s="3">
        <f t="shared" si="27"/>
        <v>0</v>
      </c>
      <c r="AI8">
        <f t="shared" si="28"/>
        <v>0</v>
      </c>
      <c r="AJ8" s="3">
        <f t="shared" si="29"/>
        <v>0</v>
      </c>
      <c r="AK8" s="3">
        <f t="shared" si="30"/>
        <v>0</v>
      </c>
      <c r="AL8">
        <f t="shared" si="31"/>
        <v>0</v>
      </c>
      <c r="AM8" s="3">
        <f t="shared" si="32"/>
        <v>0</v>
      </c>
      <c r="AN8" s="3">
        <f t="shared" si="33"/>
        <v>0</v>
      </c>
      <c r="AO8">
        <f t="shared" si="34"/>
        <v>0</v>
      </c>
      <c r="AP8" s="3">
        <f t="shared" si="35"/>
        <v>0</v>
      </c>
      <c r="AQ8" s="3">
        <f t="shared" si="36"/>
        <v>0</v>
      </c>
      <c r="AR8">
        <f t="shared" si="37"/>
        <v>0</v>
      </c>
    </row>
    <row r="9" spans="1:44" x14ac:dyDescent="0.25">
      <c r="A9" s="11"/>
      <c r="B9" s="4"/>
      <c r="D9" s="1">
        <v>42731</v>
      </c>
      <c r="E9" s="2">
        <v>117.260002</v>
      </c>
      <c r="F9" s="3">
        <v>226.270004</v>
      </c>
      <c r="G9" s="2">
        <f t="shared" si="2"/>
        <v>0.74000499999999647</v>
      </c>
      <c r="H9" s="2">
        <f t="shared" si="3"/>
        <v>0.55999700000000985</v>
      </c>
      <c r="I9" s="4">
        <f t="shared" si="0"/>
        <v>0.67762573036450346</v>
      </c>
      <c r="J9" s="4">
        <f t="shared" si="1"/>
        <v>0.45877606101932666</v>
      </c>
      <c r="K9" s="4">
        <f t="shared" si="4"/>
        <v>0.5691243885902878</v>
      </c>
      <c r="L9" s="4">
        <f t="shared" si="5"/>
        <v>0.75440333283349681</v>
      </c>
      <c r="M9" s="4">
        <f t="shared" si="6"/>
        <v>1</v>
      </c>
      <c r="N9" s="4">
        <f t="shared" si="7"/>
        <v>1</v>
      </c>
      <c r="O9" s="3">
        <f t="shared" si="8"/>
        <v>0.74000499999999647</v>
      </c>
      <c r="P9" s="3">
        <f t="shared" si="9"/>
        <v>0.55999700000000985</v>
      </c>
      <c r="Q9">
        <f t="shared" si="10"/>
        <v>1</v>
      </c>
      <c r="R9" s="3">
        <f t="shared" si="11"/>
        <v>0</v>
      </c>
      <c r="S9" s="3">
        <f t="shared" si="12"/>
        <v>0</v>
      </c>
      <c r="T9">
        <f t="shared" si="13"/>
        <v>0</v>
      </c>
      <c r="U9" s="3">
        <f t="shared" si="14"/>
        <v>0</v>
      </c>
      <c r="V9" s="3">
        <f t="shared" si="15"/>
        <v>0</v>
      </c>
      <c r="W9">
        <f t="shared" si="16"/>
        <v>0</v>
      </c>
      <c r="X9" s="3">
        <f t="shared" si="17"/>
        <v>0</v>
      </c>
      <c r="Y9" s="3">
        <f t="shared" si="18"/>
        <v>0</v>
      </c>
      <c r="Z9">
        <f t="shared" si="19"/>
        <v>0</v>
      </c>
      <c r="AA9" s="3">
        <f t="shared" si="20"/>
        <v>0</v>
      </c>
      <c r="AB9" s="3">
        <f t="shared" si="21"/>
        <v>0</v>
      </c>
      <c r="AC9">
        <f t="shared" si="22"/>
        <v>0</v>
      </c>
      <c r="AD9" s="3">
        <f t="shared" si="23"/>
        <v>0</v>
      </c>
      <c r="AE9" s="3">
        <f t="shared" si="24"/>
        <v>0</v>
      </c>
      <c r="AF9">
        <f t="shared" si="25"/>
        <v>0</v>
      </c>
      <c r="AG9" s="3">
        <f t="shared" si="26"/>
        <v>0</v>
      </c>
      <c r="AH9" s="3">
        <f t="shared" si="27"/>
        <v>0</v>
      </c>
      <c r="AI9">
        <f t="shared" si="28"/>
        <v>0</v>
      </c>
      <c r="AJ9" s="3">
        <f t="shared" si="29"/>
        <v>0</v>
      </c>
      <c r="AK9" s="3">
        <f t="shared" si="30"/>
        <v>0</v>
      </c>
      <c r="AL9">
        <f t="shared" si="31"/>
        <v>0</v>
      </c>
      <c r="AM9" s="3">
        <f t="shared" si="32"/>
        <v>0</v>
      </c>
      <c r="AN9" s="3">
        <f t="shared" si="33"/>
        <v>0</v>
      </c>
      <c r="AO9">
        <f t="shared" si="34"/>
        <v>0</v>
      </c>
      <c r="AP9" s="3">
        <f t="shared" si="35"/>
        <v>0</v>
      </c>
      <c r="AQ9" s="3">
        <f t="shared" si="36"/>
        <v>0</v>
      </c>
      <c r="AR9">
        <f t="shared" si="37"/>
        <v>0</v>
      </c>
    </row>
    <row r="10" spans="1:44" x14ac:dyDescent="0.25">
      <c r="A10" s="4"/>
      <c r="B10" s="4"/>
      <c r="D10" s="1">
        <v>42727</v>
      </c>
      <c r="E10" s="2">
        <v>116.519997</v>
      </c>
      <c r="F10" s="3">
        <v>225.71000699999999</v>
      </c>
      <c r="G10" s="2">
        <f t="shared" si="2"/>
        <v>0.22999599999999987</v>
      </c>
      <c r="H10" s="2">
        <f t="shared" si="3"/>
        <v>0.33000199999997903</v>
      </c>
      <c r="I10" s="4">
        <f t="shared" si="0"/>
        <v>0.16761673036450686</v>
      </c>
      <c r="J10" s="4">
        <f t="shared" si="1"/>
        <v>0.22878106101929582</v>
      </c>
      <c r="K10" s="4">
        <f t="shared" si="4"/>
        <v>5.9489363651268889E-2</v>
      </c>
      <c r="L10" s="4">
        <f t="shared" si="5"/>
        <v>0.24390441498929225</v>
      </c>
      <c r="M10" s="4">
        <f t="shared" si="6"/>
        <v>1</v>
      </c>
      <c r="N10" s="4">
        <f t="shared" si="7"/>
        <v>1</v>
      </c>
      <c r="O10" s="3">
        <f t="shared" si="8"/>
        <v>0.22999599999999987</v>
      </c>
      <c r="P10" s="3">
        <f t="shared" si="9"/>
        <v>0.33000199999997903</v>
      </c>
      <c r="Q10">
        <f t="shared" si="10"/>
        <v>1</v>
      </c>
      <c r="R10" s="3">
        <f t="shared" si="11"/>
        <v>0</v>
      </c>
      <c r="S10" s="3">
        <f t="shared" si="12"/>
        <v>0</v>
      </c>
      <c r="T10">
        <f t="shared" si="13"/>
        <v>0</v>
      </c>
      <c r="U10" s="3">
        <f t="shared" si="14"/>
        <v>0</v>
      </c>
      <c r="V10" s="3">
        <f t="shared" si="15"/>
        <v>0</v>
      </c>
      <c r="W10">
        <f t="shared" si="16"/>
        <v>0</v>
      </c>
      <c r="X10" s="3">
        <f t="shared" si="17"/>
        <v>0</v>
      </c>
      <c r="Y10" s="3">
        <f t="shared" si="18"/>
        <v>0</v>
      </c>
      <c r="Z10">
        <f t="shared" si="19"/>
        <v>0</v>
      </c>
      <c r="AA10" s="3">
        <f t="shared" si="20"/>
        <v>0</v>
      </c>
      <c r="AB10" s="3">
        <f t="shared" si="21"/>
        <v>0</v>
      </c>
      <c r="AC10">
        <f t="shared" si="22"/>
        <v>0</v>
      </c>
      <c r="AD10" s="3">
        <f t="shared" si="23"/>
        <v>0</v>
      </c>
      <c r="AE10" s="3">
        <f t="shared" si="24"/>
        <v>0</v>
      </c>
      <c r="AF10">
        <f t="shared" si="25"/>
        <v>0</v>
      </c>
      <c r="AG10" s="3">
        <f t="shared" si="26"/>
        <v>0</v>
      </c>
      <c r="AH10" s="3">
        <f t="shared" si="27"/>
        <v>0</v>
      </c>
      <c r="AI10">
        <f t="shared" si="28"/>
        <v>0</v>
      </c>
      <c r="AJ10" s="3">
        <f t="shared" si="29"/>
        <v>0</v>
      </c>
      <c r="AK10" s="3">
        <f t="shared" si="30"/>
        <v>0</v>
      </c>
      <c r="AL10">
        <f t="shared" si="31"/>
        <v>0</v>
      </c>
      <c r="AM10" s="3">
        <f t="shared" si="32"/>
        <v>0</v>
      </c>
      <c r="AN10" s="3">
        <f t="shared" si="33"/>
        <v>0</v>
      </c>
      <c r="AO10">
        <f t="shared" si="34"/>
        <v>0</v>
      </c>
      <c r="AP10" s="3">
        <f t="shared" si="35"/>
        <v>0</v>
      </c>
      <c r="AQ10" s="3">
        <f t="shared" si="36"/>
        <v>0</v>
      </c>
      <c r="AR10">
        <f t="shared" si="37"/>
        <v>0</v>
      </c>
    </row>
    <row r="11" spans="1:44" x14ac:dyDescent="0.25">
      <c r="A11" s="4"/>
      <c r="B11" s="4"/>
      <c r="D11" s="1">
        <v>42726</v>
      </c>
      <c r="E11" s="2">
        <v>116.290001</v>
      </c>
      <c r="F11" s="3">
        <v>225.38000500000001</v>
      </c>
      <c r="G11" s="2">
        <f t="shared" si="2"/>
        <v>-0.76999699999998938</v>
      </c>
      <c r="H11" s="2">
        <f t="shared" si="3"/>
        <v>-0.38999899999998888</v>
      </c>
      <c r="I11" s="4">
        <f t="shared" si="0"/>
        <v>-0.83237626963548239</v>
      </c>
      <c r="J11" s="4">
        <f t="shared" si="1"/>
        <v>-0.49121993898067207</v>
      </c>
      <c r="K11" s="4">
        <f t="shared" si="4"/>
        <v>0.87035257780716802</v>
      </c>
      <c r="L11" s="4">
        <f t="shared" si="5"/>
        <v>0.93292688770726728</v>
      </c>
      <c r="M11" s="4">
        <f t="shared" si="6"/>
        <v>1</v>
      </c>
      <c r="N11" s="4">
        <f t="shared" si="7"/>
        <v>1</v>
      </c>
      <c r="O11" s="3">
        <f t="shared" si="8"/>
        <v>-0.76999699999998938</v>
      </c>
      <c r="P11" s="3">
        <f t="shared" si="9"/>
        <v>-0.38999899999998888</v>
      </c>
      <c r="Q11">
        <f t="shared" si="10"/>
        <v>1</v>
      </c>
      <c r="R11" s="3">
        <f t="shared" si="11"/>
        <v>0</v>
      </c>
      <c r="S11" s="3">
        <f t="shared" si="12"/>
        <v>0</v>
      </c>
      <c r="T11">
        <f t="shared" si="13"/>
        <v>0</v>
      </c>
      <c r="U11" s="3">
        <f t="shared" si="14"/>
        <v>0</v>
      </c>
      <c r="V11" s="3">
        <f t="shared" si="15"/>
        <v>0</v>
      </c>
      <c r="W11">
        <f t="shared" si="16"/>
        <v>0</v>
      </c>
      <c r="X11" s="3">
        <f t="shared" si="17"/>
        <v>0</v>
      </c>
      <c r="Y11" s="3">
        <f t="shared" si="18"/>
        <v>0</v>
      </c>
      <c r="Z11">
        <f t="shared" si="19"/>
        <v>0</v>
      </c>
      <c r="AA11" s="3">
        <f t="shared" si="20"/>
        <v>0</v>
      </c>
      <c r="AB11" s="3">
        <f t="shared" si="21"/>
        <v>0</v>
      </c>
      <c r="AC11">
        <f t="shared" si="22"/>
        <v>0</v>
      </c>
      <c r="AD11" s="3">
        <f t="shared" si="23"/>
        <v>0</v>
      </c>
      <c r="AE11" s="3">
        <f t="shared" si="24"/>
        <v>0</v>
      </c>
      <c r="AF11">
        <f t="shared" si="25"/>
        <v>0</v>
      </c>
      <c r="AG11" s="3">
        <f t="shared" si="26"/>
        <v>0</v>
      </c>
      <c r="AH11" s="3">
        <f t="shared" si="27"/>
        <v>0</v>
      </c>
      <c r="AI11">
        <f t="shared" si="28"/>
        <v>0</v>
      </c>
      <c r="AJ11" s="3">
        <f t="shared" si="29"/>
        <v>0</v>
      </c>
      <c r="AK11" s="3">
        <f t="shared" si="30"/>
        <v>0</v>
      </c>
      <c r="AL11">
        <f t="shared" si="31"/>
        <v>0</v>
      </c>
      <c r="AM11" s="3">
        <f t="shared" si="32"/>
        <v>0</v>
      </c>
      <c r="AN11" s="3">
        <f t="shared" si="33"/>
        <v>0</v>
      </c>
      <c r="AO11">
        <f t="shared" si="34"/>
        <v>0</v>
      </c>
      <c r="AP11" s="3">
        <f t="shared" si="35"/>
        <v>0</v>
      </c>
      <c r="AQ11" s="3">
        <f t="shared" si="36"/>
        <v>0</v>
      </c>
      <c r="AR11">
        <f t="shared" si="37"/>
        <v>0</v>
      </c>
    </row>
    <row r="12" spans="1:44" ht="18.75" x14ac:dyDescent="0.3">
      <c r="A12" s="8" t="s">
        <v>25</v>
      </c>
      <c r="B12" s="18">
        <v>2</v>
      </c>
      <c r="D12" s="1">
        <v>42725</v>
      </c>
      <c r="E12" s="2">
        <v>117.05999799999999</v>
      </c>
      <c r="F12" s="3">
        <v>225.770004</v>
      </c>
      <c r="G12" s="2">
        <f t="shared" si="2"/>
        <v>0.11000099999999691</v>
      </c>
      <c r="H12" s="2">
        <f t="shared" si="3"/>
        <v>-0.62998999999999228</v>
      </c>
      <c r="I12" s="4">
        <f t="shared" si="0"/>
        <v>4.7621730364503893E-2</v>
      </c>
      <c r="J12" s="4">
        <f t="shared" si="1"/>
        <v>-0.73121093898067546</v>
      </c>
      <c r="K12" s="4">
        <f t="shared" si="4"/>
        <v>1.1090156092494168</v>
      </c>
      <c r="L12" s="4">
        <f t="shared" si="5"/>
        <v>1.0530981004870423</v>
      </c>
      <c r="M12" s="4">
        <f t="shared" si="6"/>
        <v>1</v>
      </c>
      <c r="N12" s="4">
        <f t="shared" si="7"/>
        <v>1</v>
      </c>
      <c r="O12" s="3">
        <f t="shared" si="8"/>
        <v>0.11000099999999691</v>
      </c>
      <c r="P12" s="3">
        <f t="shared" si="9"/>
        <v>-0.62998999999999228</v>
      </c>
      <c r="Q12">
        <f t="shared" si="10"/>
        <v>1</v>
      </c>
      <c r="R12" s="3">
        <f t="shared" si="11"/>
        <v>0.11000099999999691</v>
      </c>
      <c r="S12" s="3">
        <f t="shared" si="12"/>
        <v>-0.62998999999999228</v>
      </c>
      <c r="T12">
        <f t="shared" si="13"/>
        <v>1</v>
      </c>
      <c r="U12" s="3">
        <f t="shared" si="14"/>
        <v>0</v>
      </c>
      <c r="V12" s="3">
        <f t="shared" si="15"/>
        <v>0</v>
      </c>
      <c r="W12">
        <f t="shared" si="16"/>
        <v>0</v>
      </c>
      <c r="X12" s="3">
        <f t="shared" si="17"/>
        <v>0</v>
      </c>
      <c r="Y12" s="3">
        <f t="shared" si="18"/>
        <v>0</v>
      </c>
      <c r="Z12">
        <f t="shared" si="19"/>
        <v>0</v>
      </c>
      <c r="AA12" s="3">
        <f t="shared" si="20"/>
        <v>0</v>
      </c>
      <c r="AB12" s="3">
        <f t="shared" si="21"/>
        <v>0</v>
      </c>
      <c r="AC12">
        <f t="shared" si="22"/>
        <v>0</v>
      </c>
      <c r="AD12" s="3">
        <f t="shared" si="23"/>
        <v>0</v>
      </c>
      <c r="AE12" s="3">
        <f t="shared" si="24"/>
        <v>0</v>
      </c>
      <c r="AF12">
        <f t="shared" si="25"/>
        <v>0</v>
      </c>
      <c r="AG12" s="3">
        <f t="shared" si="26"/>
        <v>0</v>
      </c>
      <c r="AH12" s="3">
        <f t="shared" si="27"/>
        <v>0</v>
      </c>
      <c r="AI12">
        <f t="shared" si="28"/>
        <v>0</v>
      </c>
      <c r="AJ12" s="3">
        <f t="shared" si="29"/>
        <v>0</v>
      </c>
      <c r="AK12" s="3">
        <f t="shared" si="30"/>
        <v>0</v>
      </c>
      <c r="AL12">
        <f t="shared" si="31"/>
        <v>0</v>
      </c>
      <c r="AM12" s="3">
        <f t="shared" si="32"/>
        <v>0</v>
      </c>
      <c r="AN12" s="3">
        <f t="shared" si="33"/>
        <v>0</v>
      </c>
      <c r="AO12">
        <f t="shared" si="34"/>
        <v>0</v>
      </c>
      <c r="AP12" s="3">
        <f t="shared" si="35"/>
        <v>0</v>
      </c>
      <c r="AQ12" s="3">
        <f t="shared" si="36"/>
        <v>0</v>
      </c>
      <c r="AR12">
        <f t="shared" si="37"/>
        <v>0</v>
      </c>
    </row>
    <row r="13" spans="1:44" x14ac:dyDescent="0.25">
      <c r="A13" s="8" t="s">
        <v>2</v>
      </c>
      <c r="D13" s="1">
        <v>42724</v>
      </c>
      <c r="E13" s="2">
        <v>116.949997</v>
      </c>
      <c r="F13" s="3">
        <v>226.39999399999999</v>
      </c>
      <c r="G13" s="2">
        <f t="shared" si="2"/>
        <v>0.30999799999999311</v>
      </c>
      <c r="H13" s="2">
        <f t="shared" si="3"/>
        <v>0.86999499999998875</v>
      </c>
      <c r="I13" s="4">
        <f t="shared" si="0"/>
        <v>0.24761873036450011</v>
      </c>
      <c r="J13" s="4">
        <f t="shared" si="1"/>
        <v>0.76877406101930557</v>
      </c>
      <c r="K13" s="4">
        <f t="shared" si="4"/>
        <v>0.75701647056787247</v>
      </c>
      <c r="L13" s="4">
        <f t="shared" si="5"/>
        <v>0.87006693453312689</v>
      </c>
      <c r="M13" s="4">
        <f t="shared" si="6"/>
        <v>1</v>
      </c>
      <c r="N13" s="4">
        <f t="shared" si="7"/>
        <v>1</v>
      </c>
      <c r="O13" s="3">
        <f t="shared" si="8"/>
        <v>0.30999799999999311</v>
      </c>
      <c r="P13" s="3">
        <f t="shared" si="9"/>
        <v>0.86999499999998875</v>
      </c>
      <c r="Q13">
        <f t="shared" si="10"/>
        <v>1</v>
      </c>
      <c r="R13" s="3">
        <f t="shared" si="11"/>
        <v>0</v>
      </c>
      <c r="S13" s="3">
        <f t="shared" si="12"/>
        <v>0</v>
      </c>
      <c r="T13">
        <f t="shared" si="13"/>
        <v>0</v>
      </c>
      <c r="U13" s="3">
        <f t="shared" si="14"/>
        <v>0</v>
      </c>
      <c r="V13" s="3">
        <f t="shared" si="15"/>
        <v>0</v>
      </c>
      <c r="W13">
        <f t="shared" si="16"/>
        <v>0</v>
      </c>
      <c r="X13" s="3">
        <f t="shared" si="17"/>
        <v>0</v>
      </c>
      <c r="Y13" s="3">
        <f t="shared" si="18"/>
        <v>0</v>
      </c>
      <c r="Z13">
        <f t="shared" si="19"/>
        <v>0</v>
      </c>
      <c r="AA13" s="3">
        <f t="shared" si="20"/>
        <v>0</v>
      </c>
      <c r="AB13" s="3">
        <f t="shared" si="21"/>
        <v>0</v>
      </c>
      <c r="AC13">
        <f t="shared" si="22"/>
        <v>0</v>
      </c>
      <c r="AD13" s="3">
        <f t="shared" si="23"/>
        <v>0</v>
      </c>
      <c r="AE13" s="3">
        <f t="shared" si="24"/>
        <v>0</v>
      </c>
      <c r="AF13">
        <f t="shared" si="25"/>
        <v>0</v>
      </c>
      <c r="AG13" s="3">
        <f t="shared" si="26"/>
        <v>0</v>
      </c>
      <c r="AH13" s="3">
        <f t="shared" si="27"/>
        <v>0</v>
      </c>
      <c r="AI13">
        <f t="shared" si="28"/>
        <v>0</v>
      </c>
      <c r="AJ13" s="3">
        <f t="shared" si="29"/>
        <v>0</v>
      </c>
      <c r="AK13" s="3">
        <f t="shared" si="30"/>
        <v>0</v>
      </c>
      <c r="AL13">
        <f t="shared" si="31"/>
        <v>0</v>
      </c>
      <c r="AM13" s="3">
        <f t="shared" si="32"/>
        <v>0</v>
      </c>
      <c r="AN13" s="3">
        <f t="shared" si="33"/>
        <v>0</v>
      </c>
      <c r="AO13">
        <f t="shared" si="34"/>
        <v>0</v>
      </c>
      <c r="AP13" s="3">
        <f t="shared" si="35"/>
        <v>0</v>
      </c>
      <c r="AQ13" s="3">
        <f t="shared" si="36"/>
        <v>0</v>
      </c>
      <c r="AR13">
        <f t="shared" si="37"/>
        <v>0</v>
      </c>
    </row>
    <row r="14" spans="1:44" ht="18.75" x14ac:dyDescent="0.3">
      <c r="A14" s="17">
        <v>6.2379269635493013E-2</v>
      </c>
      <c r="B14" s="17">
        <v>0.10122093898068321</v>
      </c>
      <c r="D14" s="1">
        <v>42723</v>
      </c>
      <c r="E14" s="2">
        <v>116.639999</v>
      </c>
      <c r="F14" s="3">
        <v>225.529999</v>
      </c>
      <c r="G14" s="2">
        <f t="shared" si="2"/>
        <v>0.66999800000000675</v>
      </c>
      <c r="H14" s="2">
        <f t="shared" si="3"/>
        <v>0.49000599999999395</v>
      </c>
      <c r="I14" s="4">
        <f t="shared" si="0"/>
        <v>0.60761873036451375</v>
      </c>
      <c r="J14" s="4">
        <f t="shared" si="1"/>
        <v>0.38878506101931076</v>
      </c>
      <c r="K14" s="4">
        <f t="shared" si="4"/>
        <v>0.45895568176348051</v>
      </c>
      <c r="L14" s="4">
        <f t="shared" si="5"/>
        <v>0.67746267924032577</v>
      </c>
      <c r="M14" s="4">
        <f t="shared" si="6"/>
        <v>1</v>
      </c>
      <c r="N14" s="4">
        <f t="shared" si="7"/>
        <v>1</v>
      </c>
      <c r="O14" s="3">
        <f t="shared" si="8"/>
        <v>0.66999800000000675</v>
      </c>
      <c r="P14" s="3">
        <f t="shared" si="9"/>
        <v>0.49000599999999395</v>
      </c>
      <c r="Q14">
        <f t="shared" si="10"/>
        <v>1</v>
      </c>
      <c r="R14" s="3">
        <f t="shared" si="11"/>
        <v>0</v>
      </c>
      <c r="S14" s="3">
        <f t="shared" si="12"/>
        <v>0</v>
      </c>
      <c r="T14">
        <f t="shared" si="13"/>
        <v>0</v>
      </c>
      <c r="U14" s="3">
        <f t="shared" si="14"/>
        <v>0</v>
      </c>
      <c r="V14" s="3">
        <f t="shared" si="15"/>
        <v>0</v>
      </c>
      <c r="W14">
        <f t="shared" si="16"/>
        <v>0</v>
      </c>
      <c r="X14" s="3">
        <f t="shared" si="17"/>
        <v>0</v>
      </c>
      <c r="Y14" s="3">
        <f t="shared" si="18"/>
        <v>0</v>
      </c>
      <c r="Z14">
        <f t="shared" si="19"/>
        <v>0</v>
      </c>
      <c r="AA14" s="3">
        <f t="shared" si="20"/>
        <v>0</v>
      </c>
      <c r="AB14" s="3">
        <f t="shared" si="21"/>
        <v>0</v>
      </c>
      <c r="AC14">
        <f t="shared" si="22"/>
        <v>0</v>
      </c>
      <c r="AD14" s="3">
        <f t="shared" si="23"/>
        <v>0</v>
      </c>
      <c r="AE14" s="3">
        <f t="shared" si="24"/>
        <v>0</v>
      </c>
      <c r="AF14">
        <f t="shared" si="25"/>
        <v>0</v>
      </c>
      <c r="AG14" s="3">
        <f t="shared" si="26"/>
        <v>0</v>
      </c>
      <c r="AH14" s="3">
        <f t="shared" si="27"/>
        <v>0</v>
      </c>
      <c r="AI14">
        <f t="shared" si="28"/>
        <v>0</v>
      </c>
      <c r="AJ14" s="3">
        <f t="shared" si="29"/>
        <v>0</v>
      </c>
      <c r="AK14" s="3">
        <f t="shared" si="30"/>
        <v>0</v>
      </c>
      <c r="AL14">
        <f t="shared" si="31"/>
        <v>0</v>
      </c>
      <c r="AM14" s="3">
        <f t="shared" si="32"/>
        <v>0</v>
      </c>
      <c r="AN14" s="3">
        <f t="shared" si="33"/>
        <v>0</v>
      </c>
      <c r="AO14">
        <f t="shared" si="34"/>
        <v>0</v>
      </c>
      <c r="AP14" s="3">
        <f t="shared" si="35"/>
        <v>0</v>
      </c>
      <c r="AQ14" s="3">
        <f t="shared" si="36"/>
        <v>0</v>
      </c>
      <c r="AR14">
        <f t="shared" si="37"/>
        <v>0</v>
      </c>
    </row>
    <row r="15" spans="1:44" x14ac:dyDescent="0.25">
      <c r="A15" s="8" t="s">
        <v>5</v>
      </c>
      <c r="D15" s="1">
        <v>42720</v>
      </c>
      <c r="E15" s="2">
        <v>115.970001</v>
      </c>
      <c r="F15" s="3">
        <v>225.03999300000001</v>
      </c>
      <c r="G15" s="2">
        <f t="shared" si="2"/>
        <v>0.15000100000000316</v>
      </c>
      <c r="H15" s="2">
        <f t="shared" si="3"/>
        <v>-0.4409989999999766</v>
      </c>
      <c r="I15" s="4">
        <f t="shared" si="0"/>
        <v>8.7621730364510153E-2</v>
      </c>
      <c r="J15" s="4">
        <f t="shared" si="1"/>
        <v>-0.54221993898065979</v>
      </c>
      <c r="K15" s="4">
        <f t="shared" si="4"/>
        <v>0.69711798816914683</v>
      </c>
      <c r="L15" s="4">
        <f t="shared" si="5"/>
        <v>0.83493591860043181</v>
      </c>
      <c r="M15" s="4">
        <f t="shared" si="6"/>
        <v>1</v>
      </c>
      <c r="N15" s="4">
        <f t="shared" si="7"/>
        <v>1</v>
      </c>
      <c r="O15" s="3">
        <f t="shared" si="8"/>
        <v>0.15000100000000316</v>
      </c>
      <c r="P15" s="3">
        <f t="shared" si="9"/>
        <v>-0.4409989999999766</v>
      </c>
      <c r="Q15">
        <f t="shared" si="10"/>
        <v>1</v>
      </c>
      <c r="R15" s="3">
        <f t="shared" si="11"/>
        <v>0</v>
      </c>
      <c r="S15" s="3">
        <f t="shared" si="12"/>
        <v>0</v>
      </c>
      <c r="T15">
        <f t="shared" si="13"/>
        <v>0</v>
      </c>
      <c r="U15" s="3">
        <f t="shared" si="14"/>
        <v>0</v>
      </c>
      <c r="V15" s="3">
        <f t="shared" si="15"/>
        <v>0</v>
      </c>
      <c r="W15">
        <f t="shared" si="16"/>
        <v>0</v>
      </c>
      <c r="X15" s="3">
        <f t="shared" si="17"/>
        <v>0</v>
      </c>
      <c r="Y15" s="3">
        <f t="shared" si="18"/>
        <v>0</v>
      </c>
      <c r="Z15">
        <f t="shared" si="19"/>
        <v>0</v>
      </c>
      <c r="AA15" s="3">
        <f t="shared" si="20"/>
        <v>0</v>
      </c>
      <c r="AB15" s="3">
        <f t="shared" si="21"/>
        <v>0</v>
      </c>
      <c r="AC15">
        <f t="shared" si="22"/>
        <v>0</v>
      </c>
      <c r="AD15" s="3">
        <f t="shared" si="23"/>
        <v>0</v>
      </c>
      <c r="AE15" s="3">
        <f t="shared" si="24"/>
        <v>0</v>
      </c>
      <c r="AF15">
        <f t="shared" si="25"/>
        <v>0</v>
      </c>
      <c r="AG15" s="3">
        <f t="shared" si="26"/>
        <v>0</v>
      </c>
      <c r="AH15" s="3">
        <f t="shared" si="27"/>
        <v>0</v>
      </c>
      <c r="AI15">
        <f t="shared" si="28"/>
        <v>0</v>
      </c>
      <c r="AJ15" s="3">
        <f t="shared" si="29"/>
        <v>0</v>
      </c>
      <c r="AK15" s="3">
        <f t="shared" si="30"/>
        <v>0</v>
      </c>
      <c r="AL15">
        <f t="shared" si="31"/>
        <v>0</v>
      </c>
      <c r="AM15" s="3">
        <f t="shared" si="32"/>
        <v>0</v>
      </c>
      <c r="AN15" s="3">
        <f t="shared" si="33"/>
        <v>0</v>
      </c>
      <c r="AO15">
        <f t="shared" si="34"/>
        <v>0</v>
      </c>
      <c r="AP15" s="3">
        <f t="shared" si="35"/>
        <v>0</v>
      </c>
      <c r="AQ15" s="3">
        <f t="shared" si="36"/>
        <v>0</v>
      </c>
      <c r="AR15">
        <f t="shared" si="37"/>
        <v>0</v>
      </c>
    </row>
    <row r="16" spans="1:44" ht="18.75" x14ac:dyDescent="0.3">
      <c r="A16" s="17">
        <v>0.8068795212116554</v>
      </c>
      <c r="B16" s="17">
        <v>0.55223398597481821</v>
      </c>
      <c r="D16" s="1">
        <v>42719</v>
      </c>
      <c r="E16" s="2">
        <v>115.82</v>
      </c>
      <c r="F16" s="3">
        <v>225.48099199999999</v>
      </c>
      <c r="G16" s="2">
        <f t="shared" si="2"/>
        <v>0.62999799999998629</v>
      </c>
      <c r="H16" s="2">
        <f t="shared" si="3"/>
        <v>0.92454299999999989</v>
      </c>
      <c r="I16" s="4">
        <f t="shared" si="0"/>
        <v>0.56761873036449328</v>
      </c>
      <c r="J16" s="4">
        <f t="shared" si="1"/>
        <v>0.82332206101931671</v>
      </c>
      <c r="K16" s="4">
        <f t="shared" si="4"/>
        <v>0.75783942802806659</v>
      </c>
      <c r="L16" s="4">
        <f t="shared" si="5"/>
        <v>0.87053973374456983</v>
      </c>
      <c r="M16" s="4">
        <f t="shared" si="6"/>
        <v>1</v>
      </c>
      <c r="N16" s="4">
        <f t="shared" si="7"/>
        <v>1</v>
      </c>
      <c r="O16" s="3">
        <f t="shared" si="8"/>
        <v>0.62999799999998629</v>
      </c>
      <c r="P16" s="3">
        <f t="shared" si="9"/>
        <v>0.92454299999999989</v>
      </c>
      <c r="Q16">
        <f t="shared" si="10"/>
        <v>1</v>
      </c>
      <c r="R16" s="3">
        <f t="shared" si="11"/>
        <v>0</v>
      </c>
      <c r="S16" s="3">
        <f t="shared" si="12"/>
        <v>0</v>
      </c>
      <c r="T16">
        <f t="shared" si="13"/>
        <v>0</v>
      </c>
      <c r="U16" s="3">
        <f t="shared" si="14"/>
        <v>0</v>
      </c>
      <c r="V16" s="3">
        <f t="shared" si="15"/>
        <v>0</v>
      </c>
      <c r="W16">
        <f t="shared" si="16"/>
        <v>0</v>
      </c>
      <c r="X16" s="3">
        <f t="shared" si="17"/>
        <v>0</v>
      </c>
      <c r="Y16" s="3">
        <f t="shared" si="18"/>
        <v>0</v>
      </c>
      <c r="Z16">
        <f t="shared" si="19"/>
        <v>0</v>
      </c>
      <c r="AA16" s="3">
        <f t="shared" si="20"/>
        <v>0</v>
      </c>
      <c r="AB16" s="3">
        <f t="shared" si="21"/>
        <v>0</v>
      </c>
      <c r="AC16">
        <f t="shared" si="22"/>
        <v>0</v>
      </c>
      <c r="AD16" s="3">
        <f t="shared" si="23"/>
        <v>0</v>
      </c>
      <c r="AE16" s="3">
        <f t="shared" si="24"/>
        <v>0</v>
      </c>
      <c r="AF16">
        <f t="shared" si="25"/>
        <v>0</v>
      </c>
      <c r="AG16" s="3">
        <f t="shared" si="26"/>
        <v>0</v>
      </c>
      <c r="AH16" s="3">
        <f t="shared" si="27"/>
        <v>0</v>
      </c>
      <c r="AI16">
        <f t="shared" si="28"/>
        <v>0</v>
      </c>
      <c r="AJ16" s="3">
        <f t="shared" si="29"/>
        <v>0</v>
      </c>
      <c r="AK16" s="3">
        <f t="shared" si="30"/>
        <v>0</v>
      </c>
      <c r="AL16">
        <f t="shared" si="31"/>
        <v>0</v>
      </c>
      <c r="AM16" s="3">
        <f t="shared" si="32"/>
        <v>0</v>
      </c>
      <c r="AN16" s="3">
        <f t="shared" si="33"/>
        <v>0</v>
      </c>
      <c r="AO16">
        <f t="shared" si="34"/>
        <v>0</v>
      </c>
      <c r="AP16" s="3">
        <f t="shared" si="35"/>
        <v>0</v>
      </c>
      <c r="AQ16" s="3">
        <f t="shared" si="36"/>
        <v>0</v>
      </c>
      <c r="AR16">
        <f t="shared" si="37"/>
        <v>0</v>
      </c>
    </row>
    <row r="17" spans="1:44" ht="18.75" x14ac:dyDescent="0.3">
      <c r="A17" s="17">
        <v>0.55223398597481821</v>
      </c>
      <c r="B17" s="17">
        <v>0.90533779698987427</v>
      </c>
      <c r="D17" s="1">
        <v>42718</v>
      </c>
      <c r="E17" s="2">
        <v>115.19000200000001</v>
      </c>
      <c r="F17" s="3">
        <v>224.55644899999999</v>
      </c>
      <c r="G17" s="2">
        <f t="shared" si="2"/>
        <v>0</v>
      </c>
      <c r="H17" s="2">
        <f t="shared" si="3"/>
        <v>-1.8689740000000086</v>
      </c>
      <c r="I17" s="4">
        <f t="shared" si="0"/>
        <v>-6.2379269635493013E-2</v>
      </c>
      <c r="J17" s="4">
        <f t="shared" si="1"/>
        <v>-1.9701949389806919</v>
      </c>
      <c r="K17" s="4">
        <f t="shared" si="4"/>
        <v>7.0495137432297881</v>
      </c>
      <c r="L17" s="4">
        <f t="shared" si="5"/>
        <v>2.6550920404441327</v>
      </c>
      <c r="M17" s="4">
        <f t="shared" si="6"/>
        <v>0.75326955507932158</v>
      </c>
      <c r="N17" s="4">
        <f t="shared" si="7"/>
        <v>0.17022450678281972</v>
      </c>
      <c r="O17" s="3">
        <f t="shared" si="8"/>
        <v>0</v>
      </c>
      <c r="P17" s="3">
        <f t="shared" si="9"/>
        <v>-1.8689740000000086</v>
      </c>
      <c r="Q17">
        <f t="shared" si="10"/>
        <v>1</v>
      </c>
      <c r="R17" s="3">
        <f t="shared" si="11"/>
        <v>0</v>
      </c>
      <c r="S17" s="3">
        <f t="shared" si="12"/>
        <v>-1.8689740000000086</v>
      </c>
      <c r="T17">
        <f t="shared" si="13"/>
        <v>1</v>
      </c>
      <c r="U17" s="3">
        <f t="shared" si="14"/>
        <v>0</v>
      </c>
      <c r="V17" s="3">
        <f t="shared" si="15"/>
        <v>-1.8689740000000086</v>
      </c>
      <c r="W17">
        <f t="shared" si="16"/>
        <v>1</v>
      </c>
      <c r="X17" s="3">
        <f t="shared" si="17"/>
        <v>0</v>
      </c>
      <c r="Y17" s="3">
        <f t="shared" si="18"/>
        <v>-1.8689740000000086</v>
      </c>
      <c r="Z17">
        <f t="shared" si="19"/>
        <v>1</v>
      </c>
      <c r="AA17" s="3">
        <f t="shared" si="20"/>
        <v>0</v>
      </c>
      <c r="AB17" s="3">
        <f t="shared" si="21"/>
        <v>-1.8689740000000086</v>
      </c>
      <c r="AC17">
        <f t="shared" si="22"/>
        <v>1</v>
      </c>
      <c r="AD17" s="3">
        <f t="shared" si="23"/>
        <v>0</v>
      </c>
      <c r="AE17" s="3">
        <f t="shared" si="24"/>
        <v>-1.8689740000000086</v>
      </c>
      <c r="AF17">
        <f t="shared" si="25"/>
        <v>1</v>
      </c>
      <c r="AG17" s="3">
        <f t="shared" si="26"/>
        <v>0</v>
      </c>
      <c r="AH17" s="3">
        <f t="shared" si="27"/>
        <v>-1.8689740000000086</v>
      </c>
      <c r="AI17">
        <f t="shared" si="28"/>
        <v>1</v>
      </c>
      <c r="AJ17" s="3">
        <f t="shared" si="29"/>
        <v>0</v>
      </c>
      <c r="AK17" s="3">
        <f t="shared" si="30"/>
        <v>-1.8689740000000086</v>
      </c>
      <c r="AL17">
        <f t="shared" si="31"/>
        <v>1</v>
      </c>
      <c r="AM17" s="3">
        <f t="shared" si="32"/>
        <v>0</v>
      </c>
      <c r="AN17" s="3">
        <f t="shared" si="33"/>
        <v>0</v>
      </c>
      <c r="AO17">
        <f t="shared" si="34"/>
        <v>0</v>
      </c>
      <c r="AP17" s="3">
        <f t="shared" si="35"/>
        <v>0</v>
      </c>
      <c r="AQ17" s="3">
        <f t="shared" si="36"/>
        <v>0</v>
      </c>
      <c r="AR17">
        <f t="shared" si="37"/>
        <v>0</v>
      </c>
    </row>
    <row r="18" spans="1:44" x14ac:dyDescent="0.25">
      <c r="A18" s="8" t="s">
        <v>6</v>
      </c>
      <c r="D18" s="1">
        <v>42717</v>
      </c>
      <c r="E18" s="2">
        <v>115.19000200000001</v>
      </c>
      <c r="F18" s="3">
        <v>226.42542299999999</v>
      </c>
      <c r="G18" s="2">
        <f t="shared" si="2"/>
        <v>1.8899990000000031</v>
      </c>
      <c r="H18" s="2">
        <f t="shared" si="3"/>
        <v>1.5011470000000031</v>
      </c>
      <c r="I18" s="4">
        <f t="shared" si="0"/>
        <v>1.8276197303645101</v>
      </c>
      <c r="J18" s="4">
        <f t="shared" si="1"/>
        <v>1.3999260610193198</v>
      </c>
      <c r="K18" s="4">
        <f t="shared" si="4"/>
        <v>4.1817913318164415</v>
      </c>
      <c r="L18" s="4">
        <f t="shared" si="5"/>
        <v>2.0449428676167072</v>
      </c>
      <c r="M18" s="4">
        <f t="shared" si="6"/>
        <v>0.97802243361982721</v>
      </c>
      <c r="N18" s="4">
        <f t="shared" si="7"/>
        <v>0.28695836419909476</v>
      </c>
      <c r="O18" s="3">
        <f t="shared" si="8"/>
        <v>1.8899990000000031</v>
      </c>
      <c r="P18" s="3">
        <f t="shared" si="9"/>
        <v>1.5011470000000031</v>
      </c>
      <c r="Q18">
        <f t="shared" si="10"/>
        <v>1</v>
      </c>
      <c r="R18" s="3">
        <f t="shared" si="11"/>
        <v>1.8899990000000031</v>
      </c>
      <c r="S18" s="3">
        <f t="shared" si="12"/>
        <v>1.5011470000000031</v>
      </c>
      <c r="T18">
        <f t="shared" si="13"/>
        <v>1</v>
      </c>
      <c r="U18" s="3">
        <f t="shared" si="14"/>
        <v>1.8899990000000031</v>
      </c>
      <c r="V18" s="3">
        <f t="shared" si="15"/>
        <v>1.5011470000000031</v>
      </c>
      <c r="W18">
        <f t="shared" si="16"/>
        <v>1</v>
      </c>
      <c r="X18" s="3">
        <f t="shared" si="17"/>
        <v>1.8899990000000031</v>
      </c>
      <c r="Y18" s="3">
        <f t="shared" si="18"/>
        <v>1.5011470000000031</v>
      </c>
      <c r="Z18">
        <f t="shared" si="19"/>
        <v>1</v>
      </c>
      <c r="AA18" s="3">
        <f t="shared" si="20"/>
        <v>1.8899990000000031</v>
      </c>
      <c r="AB18" s="3">
        <f t="shared" si="21"/>
        <v>1.5011470000000031</v>
      </c>
      <c r="AC18">
        <f t="shared" si="22"/>
        <v>1</v>
      </c>
      <c r="AD18" s="3">
        <f t="shared" si="23"/>
        <v>0</v>
      </c>
      <c r="AE18" s="3">
        <f t="shared" si="24"/>
        <v>0</v>
      </c>
      <c r="AF18">
        <f t="shared" si="25"/>
        <v>0</v>
      </c>
      <c r="AG18" s="3">
        <f t="shared" si="26"/>
        <v>0</v>
      </c>
      <c r="AH18" s="3">
        <f t="shared" si="27"/>
        <v>0</v>
      </c>
      <c r="AI18">
        <f t="shared" si="28"/>
        <v>0</v>
      </c>
      <c r="AJ18" s="3">
        <f t="shared" si="29"/>
        <v>0</v>
      </c>
      <c r="AK18" s="3">
        <f t="shared" si="30"/>
        <v>0</v>
      </c>
      <c r="AL18">
        <f t="shared" si="31"/>
        <v>0</v>
      </c>
      <c r="AM18" s="3">
        <f t="shared" si="32"/>
        <v>0</v>
      </c>
      <c r="AN18" s="3">
        <f t="shared" si="33"/>
        <v>0</v>
      </c>
      <c r="AO18">
        <f t="shared" si="34"/>
        <v>0</v>
      </c>
      <c r="AP18" s="3">
        <f t="shared" si="35"/>
        <v>0</v>
      </c>
      <c r="AQ18" s="3">
        <f t="shared" si="36"/>
        <v>0</v>
      </c>
      <c r="AR18">
        <f t="shared" si="37"/>
        <v>0</v>
      </c>
    </row>
    <row r="19" spans="1:44" x14ac:dyDescent="0.25">
      <c r="A19" s="9">
        <f t="array" ref="A19:B20">MINVERSE(A16:B17)</f>
        <v>2.1275226342362776</v>
      </c>
      <c r="B19" s="9">
        <v>-1.297736942456502</v>
      </c>
      <c r="D19" s="1">
        <v>42716</v>
      </c>
      <c r="E19" s="2">
        <v>113.300003</v>
      </c>
      <c r="F19" s="3">
        <v>224.92427599999999</v>
      </c>
      <c r="G19" s="2">
        <f t="shared" si="2"/>
        <v>-0.64999399999999241</v>
      </c>
      <c r="H19" s="2">
        <f t="shared" si="3"/>
        <v>-0.25847100000001433</v>
      </c>
      <c r="I19" s="4">
        <f t="shared" si="0"/>
        <v>-0.71237326963548542</v>
      </c>
      <c r="J19" s="4">
        <f t="shared" si="1"/>
        <v>-0.35969193898069751</v>
      </c>
      <c r="K19" s="4">
        <f t="shared" si="4"/>
        <v>0.65993532184085801</v>
      </c>
      <c r="L19" s="4">
        <f t="shared" si="5"/>
        <v>0.81236403283309999</v>
      </c>
      <c r="M19" s="4">
        <f t="shared" si="6"/>
        <v>1</v>
      </c>
      <c r="N19" s="4">
        <f t="shared" si="7"/>
        <v>1</v>
      </c>
      <c r="O19" s="3">
        <f t="shared" si="8"/>
        <v>-0.64999399999999241</v>
      </c>
      <c r="P19" s="3">
        <f t="shared" si="9"/>
        <v>-0.25847100000001433</v>
      </c>
      <c r="Q19">
        <f t="shared" si="10"/>
        <v>1</v>
      </c>
      <c r="R19" s="3">
        <f t="shared" si="11"/>
        <v>0</v>
      </c>
      <c r="S19" s="3">
        <f t="shared" si="12"/>
        <v>0</v>
      </c>
      <c r="T19">
        <f t="shared" si="13"/>
        <v>0</v>
      </c>
      <c r="U19" s="3">
        <f t="shared" si="14"/>
        <v>0</v>
      </c>
      <c r="V19" s="3">
        <f t="shared" si="15"/>
        <v>0</v>
      </c>
      <c r="W19">
        <f t="shared" si="16"/>
        <v>0</v>
      </c>
      <c r="X19" s="3">
        <f t="shared" si="17"/>
        <v>0</v>
      </c>
      <c r="Y19" s="3">
        <f t="shared" si="18"/>
        <v>0</v>
      </c>
      <c r="Z19">
        <f t="shared" si="19"/>
        <v>0</v>
      </c>
      <c r="AA19" s="3">
        <f t="shared" si="20"/>
        <v>0</v>
      </c>
      <c r="AB19" s="3">
        <f t="shared" si="21"/>
        <v>0</v>
      </c>
      <c r="AC19">
        <f t="shared" si="22"/>
        <v>0</v>
      </c>
      <c r="AD19" s="3">
        <f t="shared" si="23"/>
        <v>0</v>
      </c>
      <c r="AE19" s="3">
        <f t="shared" si="24"/>
        <v>0</v>
      </c>
      <c r="AF19">
        <f t="shared" si="25"/>
        <v>0</v>
      </c>
      <c r="AG19" s="3">
        <f t="shared" si="26"/>
        <v>0</v>
      </c>
      <c r="AH19" s="3">
        <f t="shared" si="27"/>
        <v>0</v>
      </c>
      <c r="AI19">
        <f t="shared" si="28"/>
        <v>0</v>
      </c>
      <c r="AJ19" s="3">
        <f t="shared" si="29"/>
        <v>0</v>
      </c>
      <c r="AK19" s="3">
        <f t="shared" si="30"/>
        <v>0</v>
      </c>
      <c r="AL19">
        <f t="shared" si="31"/>
        <v>0</v>
      </c>
      <c r="AM19" s="3">
        <f t="shared" si="32"/>
        <v>0</v>
      </c>
      <c r="AN19" s="3">
        <f t="shared" si="33"/>
        <v>0</v>
      </c>
      <c r="AO19">
        <f t="shared" si="34"/>
        <v>0</v>
      </c>
      <c r="AP19" s="3">
        <f t="shared" si="35"/>
        <v>0</v>
      </c>
      <c r="AQ19" s="3">
        <f t="shared" si="36"/>
        <v>0</v>
      </c>
      <c r="AR19">
        <f t="shared" si="37"/>
        <v>0</v>
      </c>
    </row>
    <row r="20" spans="1:44" x14ac:dyDescent="0.25">
      <c r="A20" s="9">
        <v>-1.297736942456502</v>
      </c>
      <c r="B20" s="9">
        <v>1.8961479904927987</v>
      </c>
      <c r="D20" s="1">
        <v>42713</v>
      </c>
      <c r="E20" s="2">
        <v>113.949997</v>
      </c>
      <c r="F20" s="3">
        <v>225.18274700000001</v>
      </c>
      <c r="G20" s="2">
        <f t="shared" si="2"/>
        <v>1.8299939999999992</v>
      </c>
      <c r="H20" s="2">
        <f t="shared" si="3"/>
        <v>1.3520320000000083</v>
      </c>
      <c r="I20" s="4">
        <f t="shared" si="0"/>
        <v>1.7676147303645062</v>
      </c>
      <c r="J20" s="4">
        <f t="shared" si="1"/>
        <v>1.250811061019325</v>
      </c>
      <c r="K20" s="4">
        <f t="shared" si="4"/>
        <v>3.8754721624685313</v>
      </c>
      <c r="L20" s="4">
        <f t="shared" si="5"/>
        <v>1.9686218942368114</v>
      </c>
      <c r="M20" s="4">
        <f t="shared" si="6"/>
        <v>1</v>
      </c>
      <c r="N20" s="4">
        <f t="shared" si="7"/>
        <v>0.30963969026051386</v>
      </c>
      <c r="O20" s="3">
        <f t="shared" si="8"/>
        <v>1.8299939999999992</v>
      </c>
      <c r="P20" s="3">
        <f t="shared" si="9"/>
        <v>1.3520320000000083</v>
      </c>
      <c r="Q20">
        <f t="shared" si="10"/>
        <v>1</v>
      </c>
      <c r="R20" s="3">
        <f t="shared" si="11"/>
        <v>1.8299939999999992</v>
      </c>
      <c r="S20" s="3">
        <f t="shared" si="12"/>
        <v>1.3520320000000083</v>
      </c>
      <c r="T20">
        <f t="shared" si="13"/>
        <v>1</v>
      </c>
      <c r="U20" s="3">
        <f t="shared" si="14"/>
        <v>1.8299939999999992</v>
      </c>
      <c r="V20" s="3">
        <f t="shared" si="15"/>
        <v>1.3520320000000083</v>
      </c>
      <c r="W20">
        <f t="shared" si="16"/>
        <v>1</v>
      </c>
      <c r="X20" s="3">
        <f t="shared" si="17"/>
        <v>1.8299939999999992</v>
      </c>
      <c r="Y20" s="3">
        <f t="shared" si="18"/>
        <v>1.3520320000000083</v>
      </c>
      <c r="Z20">
        <f t="shared" si="19"/>
        <v>1</v>
      </c>
      <c r="AA20" s="3">
        <f t="shared" si="20"/>
        <v>0</v>
      </c>
      <c r="AB20" s="3">
        <f t="shared" si="21"/>
        <v>0</v>
      </c>
      <c r="AC20">
        <f t="shared" si="22"/>
        <v>0</v>
      </c>
      <c r="AD20" s="3">
        <f t="shared" si="23"/>
        <v>0</v>
      </c>
      <c r="AE20" s="3">
        <f t="shared" si="24"/>
        <v>0</v>
      </c>
      <c r="AF20">
        <f t="shared" si="25"/>
        <v>0</v>
      </c>
      <c r="AG20" s="3">
        <f t="shared" si="26"/>
        <v>0</v>
      </c>
      <c r="AH20" s="3">
        <f t="shared" si="27"/>
        <v>0</v>
      </c>
      <c r="AI20">
        <f t="shared" si="28"/>
        <v>0</v>
      </c>
      <c r="AJ20" s="3">
        <f t="shared" si="29"/>
        <v>0</v>
      </c>
      <c r="AK20" s="3">
        <f t="shared" si="30"/>
        <v>0</v>
      </c>
      <c r="AL20">
        <f t="shared" si="31"/>
        <v>0</v>
      </c>
      <c r="AM20" s="3">
        <f t="shared" si="32"/>
        <v>0</v>
      </c>
      <c r="AN20" s="3">
        <f t="shared" si="33"/>
        <v>0</v>
      </c>
      <c r="AO20">
        <f t="shared" si="34"/>
        <v>0</v>
      </c>
      <c r="AP20" s="3">
        <f t="shared" si="35"/>
        <v>0</v>
      </c>
      <c r="AQ20" s="3">
        <f t="shared" si="36"/>
        <v>0</v>
      </c>
      <c r="AR20">
        <f t="shared" si="37"/>
        <v>0</v>
      </c>
    </row>
    <row r="21" spans="1:44" ht="18.75" x14ac:dyDescent="0.3">
      <c r="A21" s="8" t="s">
        <v>26</v>
      </c>
      <c r="B21" s="18">
        <v>1.2</v>
      </c>
      <c r="D21" s="1">
        <v>42712</v>
      </c>
      <c r="E21" s="2">
        <v>112.120003</v>
      </c>
      <c r="F21" s="3">
        <v>223.830715</v>
      </c>
      <c r="G21" s="2">
        <f t="shared" si="2"/>
        <v>1.0900039999999933</v>
      </c>
      <c r="H21" s="2">
        <f t="shared" si="3"/>
        <v>0.54676499999999351</v>
      </c>
      <c r="I21" s="4">
        <f t="shared" si="0"/>
        <v>1.0276247303645003</v>
      </c>
      <c r="J21" s="4">
        <f t="shared" si="1"/>
        <v>0.44554406101931032</v>
      </c>
      <c r="K21" s="4">
        <f t="shared" si="4"/>
        <v>1.43475093158641</v>
      </c>
      <c r="L21" s="4">
        <f t="shared" si="5"/>
        <v>1.197810891412501</v>
      </c>
      <c r="M21" s="4">
        <f t="shared" si="6"/>
        <v>1</v>
      </c>
      <c r="N21" s="4">
        <f t="shared" si="7"/>
        <v>1</v>
      </c>
      <c r="O21" s="3">
        <f t="shared" si="8"/>
        <v>1.0900039999999933</v>
      </c>
      <c r="P21" s="3">
        <f t="shared" si="9"/>
        <v>0.54676499999999351</v>
      </c>
      <c r="Q21">
        <f t="shared" si="10"/>
        <v>1</v>
      </c>
      <c r="R21" s="3">
        <f t="shared" si="11"/>
        <v>1.0900039999999933</v>
      </c>
      <c r="S21" s="3">
        <f t="shared" si="12"/>
        <v>0.54676499999999351</v>
      </c>
      <c r="T21">
        <f t="shared" si="13"/>
        <v>1</v>
      </c>
      <c r="U21" s="3">
        <f t="shared" si="14"/>
        <v>0</v>
      </c>
      <c r="V21" s="3">
        <f t="shared" si="15"/>
        <v>0</v>
      </c>
      <c r="W21">
        <f t="shared" si="16"/>
        <v>0</v>
      </c>
      <c r="X21" s="3">
        <f t="shared" si="17"/>
        <v>0</v>
      </c>
      <c r="Y21" s="3">
        <f t="shared" si="18"/>
        <v>0</v>
      </c>
      <c r="Z21">
        <f t="shared" si="19"/>
        <v>0</v>
      </c>
      <c r="AA21" s="3">
        <f t="shared" si="20"/>
        <v>0</v>
      </c>
      <c r="AB21" s="3">
        <f t="shared" si="21"/>
        <v>0</v>
      </c>
      <c r="AC21">
        <f t="shared" si="22"/>
        <v>0</v>
      </c>
      <c r="AD21" s="3">
        <f t="shared" si="23"/>
        <v>0</v>
      </c>
      <c r="AE21" s="3">
        <f t="shared" si="24"/>
        <v>0</v>
      </c>
      <c r="AF21">
        <f t="shared" si="25"/>
        <v>0</v>
      </c>
      <c r="AG21" s="3">
        <f t="shared" si="26"/>
        <v>0</v>
      </c>
      <c r="AH21" s="3">
        <f t="shared" si="27"/>
        <v>0</v>
      </c>
      <c r="AI21">
        <f t="shared" si="28"/>
        <v>0</v>
      </c>
      <c r="AJ21" s="3">
        <f t="shared" si="29"/>
        <v>0</v>
      </c>
      <c r="AK21" s="3">
        <f t="shared" si="30"/>
        <v>0</v>
      </c>
      <c r="AL21">
        <f t="shared" si="31"/>
        <v>0</v>
      </c>
      <c r="AM21" s="3">
        <f t="shared" si="32"/>
        <v>0</v>
      </c>
      <c r="AN21" s="3">
        <f t="shared" si="33"/>
        <v>0</v>
      </c>
      <c r="AO21">
        <f t="shared" si="34"/>
        <v>0</v>
      </c>
      <c r="AP21" s="3">
        <f t="shared" si="35"/>
        <v>0</v>
      </c>
      <c r="AQ21" s="3">
        <f t="shared" si="36"/>
        <v>0</v>
      </c>
      <c r="AR21">
        <f t="shared" si="37"/>
        <v>0</v>
      </c>
    </row>
    <row r="22" spans="1:44" x14ac:dyDescent="0.25">
      <c r="A22" s="8" t="s">
        <v>8</v>
      </c>
      <c r="D22" s="1">
        <v>42711</v>
      </c>
      <c r="E22" s="2">
        <v>111.029999</v>
      </c>
      <c r="F22" s="3">
        <v>223.28395</v>
      </c>
      <c r="G22" s="2">
        <f t="shared" si="2"/>
        <v>1.0800020000000075</v>
      </c>
      <c r="H22" s="2">
        <f t="shared" si="3"/>
        <v>2.8830159999999978</v>
      </c>
      <c r="I22" s="4">
        <f t="shared" si="0"/>
        <v>1.0176227303645144</v>
      </c>
      <c r="J22" s="4">
        <f t="shared" si="1"/>
        <v>2.7817950610193147</v>
      </c>
      <c r="K22" s="4">
        <f t="shared" si="4"/>
        <v>9.5289757992393191</v>
      </c>
      <c r="L22" s="4">
        <f t="shared" si="5"/>
        <v>3.0869039180446349</v>
      </c>
      <c r="M22" s="4">
        <f t="shared" si="6"/>
        <v>0.64789836454219085</v>
      </c>
      <c r="N22" s="4">
        <f t="shared" si="7"/>
        <v>0.12593168723293366</v>
      </c>
      <c r="O22" s="3">
        <f t="shared" si="8"/>
        <v>1.0800020000000075</v>
      </c>
      <c r="P22" s="3">
        <f t="shared" si="9"/>
        <v>2.8830159999999978</v>
      </c>
      <c r="Q22">
        <f t="shared" si="10"/>
        <v>1</v>
      </c>
      <c r="R22" s="3">
        <f t="shared" si="11"/>
        <v>1.0800020000000075</v>
      </c>
      <c r="S22" s="3">
        <f t="shared" si="12"/>
        <v>2.8830159999999978</v>
      </c>
      <c r="T22">
        <f t="shared" si="13"/>
        <v>1</v>
      </c>
      <c r="U22" s="3">
        <f t="shared" si="14"/>
        <v>1.0800020000000075</v>
      </c>
      <c r="V22" s="3">
        <f t="shared" si="15"/>
        <v>2.8830159999999978</v>
      </c>
      <c r="W22">
        <f t="shared" si="16"/>
        <v>1</v>
      </c>
      <c r="X22" s="3">
        <f t="shared" si="17"/>
        <v>1.0800020000000075</v>
      </c>
      <c r="Y22" s="3">
        <f t="shared" si="18"/>
        <v>2.8830159999999978</v>
      </c>
      <c r="Z22">
        <f t="shared" si="19"/>
        <v>1</v>
      </c>
      <c r="AA22" s="3">
        <f t="shared" si="20"/>
        <v>1.0800020000000075</v>
      </c>
      <c r="AB22" s="3">
        <f t="shared" si="21"/>
        <v>2.8830159999999978</v>
      </c>
      <c r="AC22">
        <f t="shared" si="22"/>
        <v>1</v>
      </c>
      <c r="AD22" s="3">
        <f t="shared" si="23"/>
        <v>1.0800020000000075</v>
      </c>
      <c r="AE22" s="3">
        <f t="shared" si="24"/>
        <v>2.8830159999999978</v>
      </c>
      <c r="AF22">
        <f t="shared" si="25"/>
        <v>1</v>
      </c>
      <c r="AG22" s="3">
        <f t="shared" si="26"/>
        <v>1.0800020000000075</v>
      </c>
      <c r="AH22" s="3">
        <f t="shared" si="27"/>
        <v>2.8830159999999978</v>
      </c>
      <c r="AI22">
        <f t="shared" si="28"/>
        <v>1</v>
      </c>
      <c r="AJ22" s="3">
        <f t="shared" si="29"/>
        <v>1.0800020000000075</v>
      </c>
      <c r="AK22" s="3">
        <f t="shared" si="30"/>
        <v>2.8830159999999978</v>
      </c>
      <c r="AL22">
        <f t="shared" si="31"/>
        <v>1</v>
      </c>
      <c r="AM22" s="3">
        <f t="shared" si="32"/>
        <v>1.0800020000000075</v>
      </c>
      <c r="AN22" s="3">
        <f t="shared" si="33"/>
        <v>2.8830159999999978</v>
      </c>
      <c r="AO22">
        <f t="shared" si="34"/>
        <v>1</v>
      </c>
      <c r="AP22" s="3">
        <f t="shared" si="35"/>
        <v>1.0800020000000075</v>
      </c>
      <c r="AQ22" s="3">
        <f t="shared" si="36"/>
        <v>2.8830159999999978</v>
      </c>
      <c r="AR22">
        <f t="shared" si="37"/>
        <v>1</v>
      </c>
    </row>
    <row r="23" spans="1:44" x14ac:dyDescent="0.25">
      <c r="A23" s="9">
        <f>SUMPRODUCT(M2:M505,G2:G505)/SUM(M2:M505)</f>
        <v>6.2379269880063516E-2</v>
      </c>
      <c r="B23" s="9">
        <f>SUMPRODUCT(M2:M505,H2:H505)/SUM(M2:M505)</f>
        <v>0.10122093945513397</v>
      </c>
      <c r="D23" s="1">
        <v>42710</v>
      </c>
      <c r="E23" s="2">
        <v>109.949997</v>
      </c>
      <c r="F23" s="3">
        <v>220.40093400000001</v>
      </c>
      <c r="G23" s="2">
        <f t="shared" si="2"/>
        <v>0.8399959999999993</v>
      </c>
      <c r="H23" s="2">
        <f t="shared" si="3"/>
        <v>0.69589500000000726</v>
      </c>
      <c r="I23" s="4">
        <f t="shared" si="0"/>
        <v>0.77761673036450629</v>
      </c>
      <c r="J23" s="4">
        <f t="shared" si="1"/>
        <v>0.59467406101932407</v>
      </c>
      <c r="K23" s="4">
        <f t="shared" si="4"/>
        <v>0.75681438430870174</v>
      </c>
      <c r="L23" s="4">
        <f t="shared" si="5"/>
        <v>0.86995079418821253</v>
      </c>
      <c r="M23" s="4">
        <f t="shared" si="6"/>
        <v>1</v>
      </c>
      <c r="N23" s="4">
        <f t="shared" si="7"/>
        <v>1</v>
      </c>
      <c r="O23" s="3">
        <f t="shared" si="8"/>
        <v>0.8399959999999993</v>
      </c>
      <c r="P23" s="3">
        <f t="shared" si="9"/>
        <v>0.69589500000000726</v>
      </c>
      <c r="Q23">
        <f t="shared" si="10"/>
        <v>1</v>
      </c>
      <c r="R23" s="3">
        <f t="shared" si="11"/>
        <v>0</v>
      </c>
      <c r="S23" s="3">
        <f t="shared" si="12"/>
        <v>0</v>
      </c>
      <c r="T23">
        <f t="shared" si="13"/>
        <v>0</v>
      </c>
      <c r="U23" s="3">
        <f t="shared" si="14"/>
        <v>0</v>
      </c>
      <c r="V23" s="3">
        <f t="shared" si="15"/>
        <v>0</v>
      </c>
      <c r="W23">
        <f t="shared" si="16"/>
        <v>0</v>
      </c>
      <c r="X23" s="3">
        <f t="shared" si="17"/>
        <v>0</v>
      </c>
      <c r="Y23" s="3">
        <f t="shared" si="18"/>
        <v>0</v>
      </c>
      <c r="Z23">
        <f t="shared" si="19"/>
        <v>0</v>
      </c>
      <c r="AA23" s="3">
        <f t="shared" si="20"/>
        <v>0</v>
      </c>
      <c r="AB23" s="3">
        <f t="shared" si="21"/>
        <v>0</v>
      </c>
      <c r="AC23">
        <f t="shared" si="22"/>
        <v>0</v>
      </c>
      <c r="AD23" s="3">
        <f t="shared" si="23"/>
        <v>0</v>
      </c>
      <c r="AE23" s="3">
        <f t="shared" si="24"/>
        <v>0</v>
      </c>
      <c r="AF23">
        <f t="shared" si="25"/>
        <v>0</v>
      </c>
      <c r="AG23" s="3">
        <f t="shared" si="26"/>
        <v>0</v>
      </c>
      <c r="AH23" s="3">
        <f t="shared" si="27"/>
        <v>0</v>
      </c>
      <c r="AI23">
        <f t="shared" si="28"/>
        <v>0</v>
      </c>
      <c r="AJ23" s="3">
        <f t="shared" si="29"/>
        <v>0</v>
      </c>
      <c r="AK23" s="3">
        <f t="shared" si="30"/>
        <v>0</v>
      </c>
      <c r="AL23">
        <f t="shared" si="31"/>
        <v>0</v>
      </c>
      <c r="AM23" s="3">
        <f t="shared" si="32"/>
        <v>0</v>
      </c>
      <c r="AN23" s="3">
        <f t="shared" si="33"/>
        <v>0</v>
      </c>
      <c r="AO23">
        <f t="shared" si="34"/>
        <v>0</v>
      </c>
      <c r="AP23" s="3">
        <f t="shared" si="35"/>
        <v>0</v>
      </c>
      <c r="AQ23" s="3">
        <f t="shared" si="36"/>
        <v>0</v>
      </c>
      <c r="AR23">
        <f t="shared" si="37"/>
        <v>0</v>
      </c>
    </row>
    <row r="24" spans="1:44" x14ac:dyDescent="0.25">
      <c r="A24" s="8" t="s">
        <v>9</v>
      </c>
      <c r="D24" s="1">
        <v>42709</v>
      </c>
      <c r="E24" s="2">
        <v>109.110001</v>
      </c>
      <c r="F24" s="3">
        <v>219.705039</v>
      </c>
      <c r="G24" s="2">
        <f t="shared" si="2"/>
        <v>-0.79000100000000373</v>
      </c>
      <c r="H24" s="2">
        <f t="shared" si="3"/>
        <v>1.3122730000000047</v>
      </c>
      <c r="I24" s="4">
        <f t="shared" si="0"/>
        <v>-0.85238026963549673</v>
      </c>
      <c r="J24" s="4">
        <f t="shared" si="1"/>
        <v>1.2110520610193214</v>
      </c>
      <c r="K24" s="4">
        <f t="shared" si="4"/>
        <v>7.0059837199411206</v>
      </c>
      <c r="L24" s="4">
        <f t="shared" si="5"/>
        <v>2.646881886284524</v>
      </c>
      <c r="M24" s="4">
        <f t="shared" si="6"/>
        <v>0.75560606250074736</v>
      </c>
      <c r="N24" s="4">
        <f t="shared" si="7"/>
        <v>0.17128215650636497</v>
      </c>
      <c r="O24" s="3">
        <f t="shared" si="8"/>
        <v>-0.79000100000000373</v>
      </c>
      <c r="P24" s="3">
        <f t="shared" si="9"/>
        <v>1.3122730000000047</v>
      </c>
      <c r="Q24">
        <f t="shared" si="10"/>
        <v>1</v>
      </c>
      <c r="R24" s="3">
        <f t="shared" si="11"/>
        <v>-0.79000100000000373</v>
      </c>
      <c r="S24" s="3">
        <f t="shared" si="12"/>
        <v>1.3122730000000047</v>
      </c>
      <c r="T24">
        <f t="shared" si="13"/>
        <v>1</v>
      </c>
      <c r="U24" s="3">
        <f t="shared" si="14"/>
        <v>-0.79000100000000373</v>
      </c>
      <c r="V24" s="3">
        <f t="shared" si="15"/>
        <v>1.3122730000000047</v>
      </c>
      <c r="W24">
        <f t="shared" si="16"/>
        <v>1</v>
      </c>
      <c r="X24" s="3">
        <f t="shared" si="17"/>
        <v>-0.79000100000000373</v>
      </c>
      <c r="Y24" s="3">
        <f t="shared" si="18"/>
        <v>1.3122730000000047</v>
      </c>
      <c r="Z24">
        <f t="shared" si="19"/>
        <v>1</v>
      </c>
      <c r="AA24" s="3">
        <f t="shared" si="20"/>
        <v>-0.79000100000000373</v>
      </c>
      <c r="AB24" s="3">
        <f t="shared" si="21"/>
        <v>1.3122730000000047</v>
      </c>
      <c r="AC24">
        <f t="shared" si="22"/>
        <v>1</v>
      </c>
      <c r="AD24" s="3">
        <f t="shared" si="23"/>
        <v>-0.79000100000000373</v>
      </c>
      <c r="AE24" s="3">
        <f t="shared" si="24"/>
        <v>1.3122730000000047</v>
      </c>
      <c r="AF24">
        <f t="shared" si="25"/>
        <v>1</v>
      </c>
      <c r="AG24" s="3">
        <f t="shared" si="26"/>
        <v>-0.79000100000000373</v>
      </c>
      <c r="AH24" s="3">
        <f t="shared" si="27"/>
        <v>1.3122730000000047</v>
      </c>
      <c r="AI24">
        <f t="shared" si="28"/>
        <v>1</v>
      </c>
      <c r="AJ24" s="3">
        <f t="shared" si="29"/>
        <v>-0.79000100000000373</v>
      </c>
      <c r="AK24" s="3">
        <f t="shared" si="30"/>
        <v>1.3122730000000047</v>
      </c>
      <c r="AL24">
        <f t="shared" si="31"/>
        <v>1</v>
      </c>
      <c r="AM24" s="3">
        <f t="shared" si="32"/>
        <v>0</v>
      </c>
      <c r="AN24" s="3">
        <f t="shared" si="33"/>
        <v>0</v>
      </c>
      <c r="AO24">
        <f t="shared" si="34"/>
        <v>0</v>
      </c>
      <c r="AP24" s="3">
        <f t="shared" si="35"/>
        <v>0</v>
      </c>
      <c r="AQ24" s="3">
        <f t="shared" si="36"/>
        <v>0</v>
      </c>
      <c r="AR24">
        <f t="shared" si="37"/>
        <v>0</v>
      </c>
    </row>
    <row r="25" spans="1:44" x14ac:dyDescent="0.25">
      <c r="A25" s="9">
        <f>SUMPRODUCT(N2:N505,I2:I505,I2:I505)/SUM(N2:N505)</f>
        <v>0.80687953461450257</v>
      </c>
      <c r="B25" s="9">
        <f>SUMPRODUCT(N2:N505,I2:I505,J2:J505)/SUM(N2:N505)</f>
        <v>0.55223399581730204</v>
      </c>
      <c r="D25" s="1">
        <v>42706</v>
      </c>
      <c r="E25" s="2">
        <v>109.900002</v>
      </c>
      <c r="F25" s="3">
        <v>218.39276599999999</v>
      </c>
      <c r="G25" s="2">
        <f t="shared" si="2"/>
        <v>0.4100040000000007</v>
      </c>
      <c r="H25" s="2">
        <f t="shared" si="3"/>
        <v>0.10934100000000058</v>
      </c>
      <c r="I25" s="4">
        <f t="shared" si="0"/>
        <v>0.34762473036450769</v>
      </c>
      <c r="J25" s="4">
        <f t="shared" si="1"/>
        <v>8.120061019317365E-3</v>
      </c>
      <c r="K25" s="4">
        <f t="shared" si="4"/>
        <v>0.24989480885788914</v>
      </c>
      <c r="L25" s="4">
        <f t="shared" si="5"/>
        <v>0.49989479779038426</v>
      </c>
      <c r="M25" s="4">
        <f t="shared" si="6"/>
        <v>1</v>
      </c>
      <c r="N25" s="4">
        <f t="shared" si="7"/>
        <v>1</v>
      </c>
      <c r="O25" s="3">
        <f t="shared" si="8"/>
        <v>0.4100040000000007</v>
      </c>
      <c r="P25" s="3">
        <f t="shared" si="9"/>
        <v>0.10934100000000058</v>
      </c>
      <c r="Q25">
        <f t="shared" si="10"/>
        <v>1</v>
      </c>
      <c r="R25" s="3">
        <f t="shared" si="11"/>
        <v>0</v>
      </c>
      <c r="S25" s="3">
        <f t="shared" si="12"/>
        <v>0</v>
      </c>
      <c r="T25">
        <f t="shared" si="13"/>
        <v>0</v>
      </c>
      <c r="U25" s="3">
        <f t="shared" si="14"/>
        <v>0</v>
      </c>
      <c r="V25" s="3">
        <f t="shared" si="15"/>
        <v>0</v>
      </c>
      <c r="W25">
        <f t="shared" si="16"/>
        <v>0</v>
      </c>
      <c r="X25" s="3">
        <f t="shared" si="17"/>
        <v>0</v>
      </c>
      <c r="Y25" s="3">
        <f t="shared" si="18"/>
        <v>0</v>
      </c>
      <c r="Z25">
        <f t="shared" si="19"/>
        <v>0</v>
      </c>
      <c r="AA25" s="3">
        <f t="shared" si="20"/>
        <v>0</v>
      </c>
      <c r="AB25" s="3">
        <f t="shared" si="21"/>
        <v>0</v>
      </c>
      <c r="AC25">
        <f t="shared" si="22"/>
        <v>0</v>
      </c>
      <c r="AD25" s="3">
        <f t="shared" si="23"/>
        <v>0</v>
      </c>
      <c r="AE25" s="3">
        <f t="shared" si="24"/>
        <v>0</v>
      </c>
      <c r="AF25">
        <f t="shared" si="25"/>
        <v>0</v>
      </c>
      <c r="AG25" s="3">
        <f t="shared" si="26"/>
        <v>0</v>
      </c>
      <c r="AH25" s="3">
        <f t="shared" si="27"/>
        <v>0</v>
      </c>
      <c r="AI25">
        <f t="shared" si="28"/>
        <v>0</v>
      </c>
      <c r="AJ25" s="3">
        <f t="shared" si="29"/>
        <v>0</v>
      </c>
      <c r="AK25" s="3">
        <f t="shared" si="30"/>
        <v>0</v>
      </c>
      <c r="AL25">
        <f t="shared" si="31"/>
        <v>0</v>
      </c>
      <c r="AM25" s="3">
        <f t="shared" si="32"/>
        <v>0</v>
      </c>
      <c r="AN25" s="3">
        <f t="shared" si="33"/>
        <v>0</v>
      </c>
      <c r="AO25">
        <f t="shared" si="34"/>
        <v>0</v>
      </c>
      <c r="AP25" s="3">
        <f t="shared" si="35"/>
        <v>0</v>
      </c>
      <c r="AQ25" s="3">
        <f t="shared" si="36"/>
        <v>0</v>
      </c>
      <c r="AR25">
        <f t="shared" si="37"/>
        <v>0</v>
      </c>
    </row>
    <row r="26" spans="1:44" x14ac:dyDescent="0.25">
      <c r="A26" s="9">
        <f>B25</f>
        <v>0.55223399581730204</v>
      </c>
      <c r="B26" s="9">
        <f>SUMPRODUCT(N2:N505,J2:J505,J2:J505)/SUM(N2:N505)</f>
        <v>0.90533781887536147</v>
      </c>
      <c r="D26" s="1">
        <v>42705</v>
      </c>
      <c r="E26" s="2">
        <v>109.489998</v>
      </c>
      <c r="F26" s="3">
        <v>218.28342499999999</v>
      </c>
      <c r="G26" s="2">
        <f t="shared" si="2"/>
        <v>-1.0299990000000037</v>
      </c>
      <c r="H26" s="2">
        <f t="shared" si="3"/>
        <v>-0.80525099999999838</v>
      </c>
      <c r="I26" s="4">
        <f t="shared" si="0"/>
        <v>-1.0923782696354967</v>
      </c>
      <c r="J26" s="4">
        <f t="shared" si="1"/>
        <v>-0.90647193898068157</v>
      </c>
      <c r="K26" s="4">
        <f t="shared" si="4"/>
        <v>1.5267357003579911</v>
      </c>
      <c r="L26" s="4">
        <f t="shared" si="5"/>
        <v>1.235611468204302</v>
      </c>
      <c r="M26" s="4">
        <f t="shared" si="6"/>
        <v>1</v>
      </c>
      <c r="N26" s="4">
        <f t="shared" si="7"/>
        <v>1</v>
      </c>
      <c r="O26" s="3">
        <f t="shared" si="8"/>
        <v>-1.0299990000000037</v>
      </c>
      <c r="P26" s="3">
        <f t="shared" si="9"/>
        <v>-0.80525099999999838</v>
      </c>
      <c r="Q26">
        <f t="shared" si="10"/>
        <v>1</v>
      </c>
      <c r="R26" s="3">
        <f t="shared" si="11"/>
        <v>-1.0299990000000037</v>
      </c>
      <c r="S26" s="3">
        <f t="shared" si="12"/>
        <v>-0.80525099999999838</v>
      </c>
      <c r="T26">
        <f t="shared" si="13"/>
        <v>1</v>
      </c>
      <c r="U26" s="3">
        <f t="shared" si="14"/>
        <v>0</v>
      </c>
      <c r="V26" s="3">
        <f t="shared" si="15"/>
        <v>0</v>
      </c>
      <c r="W26">
        <f t="shared" si="16"/>
        <v>0</v>
      </c>
      <c r="X26" s="3">
        <f t="shared" si="17"/>
        <v>0</v>
      </c>
      <c r="Y26" s="3">
        <f t="shared" si="18"/>
        <v>0</v>
      </c>
      <c r="Z26">
        <f t="shared" si="19"/>
        <v>0</v>
      </c>
      <c r="AA26" s="3">
        <f t="shared" si="20"/>
        <v>0</v>
      </c>
      <c r="AB26" s="3">
        <f t="shared" si="21"/>
        <v>0</v>
      </c>
      <c r="AC26">
        <f t="shared" si="22"/>
        <v>0</v>
      </c>
      <c r="AD26" s="3">
        <f t="shared" si="23"/>
        <v>0</v>
      </c>
      <c r="AE26" s="3">
        <f t="shared" si="24"/>
        <v>0</v>
      </c>
      <c r="AF26">
        <f t="shared" si="25"/>
        <v>0</v>
      </c>
      <c r="AG26" s="3">
        <f t="shared" si="26"/>
        <v>0</v>
      </c>
      <c r="AH26" s="3">
        <f t="shared" si="27"/>
        <v>0</v>
      </c>
      <c r="AI26">
        <f t="shared" si="28"/>
        <v>0</v>
      </c>
      <c r="AJ26" s="3">
        <f t="shared" si="29"/>
        <v>0</v>
      </c>
      <c r="AK26" s="3">
        <f t="shared" si="30"/>
        <v>0</v>
      </c>
      <c r="AL26">
        <f t="shared" si="31"/>
        <v>0</v>
      </c>
      <c r="AM26" s="3">
        <f t="shared" si="32"/>
        <v>0</v>
      </c>
      <c r="AN26" s="3">
        <f t="shared" si="33"/>
        <v>0</v>
      </c>
      <c r="AO26">
        <f t="shared" si="34"/>
        <v>0</v>
      </c>
      <c r="AP26" s="3">
        <f t="shared" si="35"/>
        <v>0</v>
      </c>
      <c r="AQ26" s="3">
        <f t="shared" si="36"/>
        <v>0</v>
      </c>
      <c r="AR26">
        <f t="shared" si="37"/>
        <v>0</v>
      </c>
    </row>
    <row r="27" spans="1:44" x14ac:dyDescent="0.25">
      <c r="A27" s="8" t="s">
        <v>14</v>
      </c>
      <c r="B27" s="10">
        <v>504</v>
      </c>
      <c r="C27" s="10"/>
      <c r="D27" s="1">
        <v>42704</v>
      </c>
      <c r="E27" s="2">
        <v>110.519997</v>
      </c>
      <c r="F27" s="3">
        <v>219.08867599999999</v>
      </c>
      <c r="G27" s="2">
        <f t="shared" si="2"/>
        <v>-0.94000199999999268</v>
      </c>
      <c r="H27" s="2">
        <f t="shared" si="3"/>
        <v>-0.52689399999999864</v>
      </c>
      <c r="I27" s="4">
        <f t="shared" si="0"/>
        <v>-1.0023812696354857</v>
      </c>
      <c r="J27" s="4">
        <f t="shared" si="1"/>
        <v>-0.62811493898068183</v>
      </c>
      <c r="K27" s="4">
        <f t="shared" si="4"/>
        <v>1.2516132969884146</v>
      </c>
      <c r="L27" s="4">
        <f t="shared" si="5"/>
        <v>1.1187552444518034</v>
      </c>
      <c r="M27" s="4">
        <f t="shared" si="6"/>
        <v>1</v>
      </c>
      <c r="N27" s="4">
        <f t="shared" si="7"/>
        <v>1</v>
      </c>
      <c r="O27" s="3">
        <f t="shared" si="8"/>
        <v>-0.94000199999999268</v>
      </c>
      <c r="P27" s="3">
        <f t="shared" si="9"/>
        <v>-0.52689399999999864</v>
      </c>
      <c r="Q27">
        <f t="shared" si="10"/>
        <v>1</v>
      </c>
      <c r="R27" s="3">
        <f t="shared" si="11"/>
        <v>-0.94000199999999268</v>
      </c>
      <c r="S27" s="3">
        <f t="shared" si="12"/>
        <v>-0.52689399999999864</v>
      </c>
      <c r="T27">
        <f t="shared" si="13"/>
        <v>1</v>
      </c>
      <c r="U27" s="3">
        <f t="shared" si="14"/>
        <v>0</v>
      </c>
      <c r="V27" s="3">
        <f t="shared" si="15"/>
        <v>0</v>
      </c>
      <c r="W27">
        <f t="shared" si="16"/>
        <v>0</v>
      </c>
      <c r="X27" s="3">
        <f t="shared" si="17"/>
        <v>0</v>
      </c>
      <c r="Y27" s="3">
        <f t="shared" si="18"/>
        <v>0</v>
      </c>
      <c r="Z27">
        <f t="shared" si="19"/>
        <v>0</v>
      </c>
      <c r="AA27" s="3">
        <f t="shared" si="20"/>
        <v>0</v>
      </c>
      <c r="AB27" s="3">
        <f t="shared" si="21"/>
        <v>0</v>
      </c>
      <c r="AC27">
        <f t="shared" si="22"/>
        <v>0</v>
      </c>
      <c r="AD27" s="3">
        <f t="shared" si="23"/>
        <v>0</v>
      </c>
      <c r="AE27" s="3">
        <f t="shared" si="24"/>
        <v>0</v>
      </c>
      <c r="AF27">
        <f t="shared" si="25"/>
        <v>0</v>
      </c>
      <c r="AG27" s="3">
        <f t="shared" si="26"/>
        <v>0</v>
      </c>
      <c r="AH27" s="3">
        <f t="shared" si="27"/>
        <v>0</v>
      </c>
      <c r="AI27">
        <f t="shared" si="28"/>
        <v>0</v>
      </c>
      <c r="AJ27" s="3">
        <f t="shared" si="29"/>
        <v>0</v>
      </c>
      <c r="AK27" s="3">
        <f t="shared" si="30"/>
        <v>0</v>
      </c>
      <c r="AL27">
        <f t="shared" si="31"/>
        <v>0</v>
      </c>
      <c r="AM27" s="3">
        <f t="shared" si="32"/>
        <v>0</v>
      </c>
      <c r="AN27" s="3">
        <f t="shared" si="33"/>
        <v>0</v>
      </c>
      <c r="AO27">
        <f t="shared" si="34"/>
        <v>0</v>
      </c>
      <c r="AP27" s="3">
        <f t="shared" si="35"/>
        <v>0</v>
      </c>
      <c r="AQ27" s="3">
        <f t="shared" si="36"/>
        <v>0</v>
      </c>
      <c r="AR27">
        <f t="shared" si="37"/>
        <v>0</v>
      </c>
    </row>
    <row r="28" spans="1:44" x14ac:dyDescent="0.25">
      <c r="A28" s="8" t="s">
        <v>27</v>
      </c>
      <c r="B28" s="9">
        <f>A23-A14</f>
        <v>2.4457050273873904E-10</v>
      </c>
      <c r="C28" s="9">
        <f>B23-B14</f>
        <v>4.7445075646024293E-10</v>
      </c>
      <c r="D28" s="1">
        <v>42703</v>
      </c>
      <c r="E28" s="2">
        <v>111.459999</v>
      </c>
      <c r="F28" s="3">
        <v>219.61556999999999</v>
      </c>
      <c r="G28" s="2">
        <f t="shared" si="2"/>
        <v>-0.11000099999999691</v>
      </c>
      <c r="H28" s="2">
        <f t="shared" si="3"/>
        <v>0.42748899999998002</v>
      </c>
      <c r="I28" s="4">
        <f t="shared" si="0"/>
        <v>-0.17238026963548991</v>
      </c>
      <c r="J28" s="4">
        <f t="shared" si="1"/>
        <v>0.32626806101929684</v>
      </c>
      <c r="K28" s="4">
        <f t="shared" si="4"/>
        <v>0.41104090509947511</v>
      </c>
      <c r="L28" s="4">
        <f t="shared" si="5"/>
        <v>0.64112471883360966</v>
      </c>
      <c r="M28" s="4">
        <f t="shared" si="6"/>
        <v>1</v>
      </c>
      <c r="N28" s="4">
        <f t="shared" si="7"/>
        <v>1</v>
      </c>
      <c r="O28" s="3">
        <f t="shared" si="8"/>
        <v>-0.11000099999999691</v>
      </c>
      <c r="P28" s="3">
        <f t="shared" si="9"/>
        <v>0.42748899999998002</v>
      </c>
      <c r="Q28">
        <f t="shared" si="10"/>
        <v>1</v>
      </c>
      <c r="R28" s="3">
        <f t="shared" si="11"/>
        <v>0</v>
      </c>
      <c r="S28" s="3">
        <f t="shared" si="12"/>
        <v>0</v>
      </c>
      <c r="T28">
        <f t="shared" si="13"/>
        <v>0</v>
      </c>
      <c r="U28" s="3">
        <f t="shared" si="14"/>
        <v>0</v>
      </c>
      <c r="V28" s="3">
        <f t="shared" si="15"/>
        <v>0</v>
      </c>
      <c r="W28">
        <f t="shared" si="16"/>
        <v>0</v>
      </c>
      <c r="X28" s="3">
        <f t="shared" si="17"/>
        <v>0</v>
      </c>
      <c r="Y28" s="3">
        <f t="shared" si="18"/>
        <v>0</v>
      </c>
      <c r="Z28">
        <f t="shared" si="19"/>
        <v>0</v>
      </c>
      <c r="AA28" s="3">
        <f t="shared" si="20"/>
        <v>0</v>
      </c>
      <c r="AB28" s="3">
        <f t="shared" si="21"/>
        <v>0</v>
      </c>
      <c r="AC28">
        <f t="shared" si="22"/>
        <v>0</v>
      </c>
      <c r="AD28" s="3">
        <f t="shared" si="23"/>
        <v>0</v>
      </c>
      <c r="AE28" s="3">
        <f t="shared" si="24"/>
        <v>0</v>
      </c>
      <c r="AF28">
        <f t="shared" si="25"/>
        <v>0</v>
      </c>
      <c r="AG28" s="3">
        <f t="shared" si="26"/>
        <v>0</v>
      </c>
      <c r="AH28" s="3">
        <f t="shared" si="27"/>
        <v>0</v>
      </c>
      <c r="AI28">
        <f t="shared" si="28"/>
        <v>0</v>
      </c>
      <c r="AJ28" s="3">
        <f t="shared" si="29"/>
        <v>0</v>
      </c>
      <c r="AK28" s="3">
        <f t="shared" si="30"/>
        <v>0</v>
      </c>
      <c r="AL28">
        <f t="shared" si="31"/>
        <v>0</v>
      </c>
      <c r="AM28" s="3">
        <f t="shared" si="32"/>
        <v>0</v>
      </c>
      <c r="AN28" s="3">
        <f t="shared" si="33"/>
        <v>0</v>
      </c>
      <c r="AO28">
        <f t="shared" si="34"/>
        <v>0</v>
      </c>
      <c r="AP28" s="3">
        <f t="shared" si="35"/>
        <v>0</v>
      </c>
      <c r="AQ28" s="3">
        <f t="shared" si="36"/>
        <v>0</v>
      </c>
      <c r="AR28">
        <f t="shared" si="37"/>
        <v>0</v>
      </c>
    </row>
    <row r="29" spans="1:44" x14ac:dyDescent="0.25">
      <c r="A29" s="8" t="s">
        <v>28</v>
      </c>
      <c r="B29" s="9">
        <f>A25-A16</f>
        <v>1.3402847165444598E-8</v>
      </c>
      <c r="C29" s="9">
        <f>B25-B16</f>
        <v>9.8424838279598248E-9</v>
      </c>
      <c r="D29" s="1">
        <v>42702</v>
      </c>
      <c r="E29" s="2">
        <v>111.57</v>
      </c>
      <c r="F29" s="3">
        <v>219.18808100000001</v>
      </c>
      <c r="G29" s="2">
        <f t="shared" si="2"/>
        <v>-0.22000100000001055</v>
      </c>
      <c r="H29" s="2">
        <f t="shared" si="3"/>
        <v>-1.033914999999979</v>
      </c>
      <c r="I29" s="4">
        <f t="shared" si="0"/>
        <v>-0.28238026963550356</v>
      </c>
      <c r="J29" s="4">
        <f t="shared" si="1"/>
        <v>-1.1351359389806623</v>
      </c>
      <c r="K29" s="4">
        <f t="shared" si="4"/>
        <v>1.780942928403344</v>
      </c>
      <c r="L29" s="4">
        <f t="shared" si="5"/>
        <v>1.3345197369853112</v>
      </c>
      <c r="M29" s="4">
        <f t="shared" si="6"/>
        <v>1</v>
      </c>
      <c r="N29" s="4">
        <f t="shared" si="7"/>
        <v>1</v>
      </c>
      <c r="O29" s="3">
        <f t="shared" si="8"/>
        <v>-0.22000100000001055</v>
      </c>
      <c r="P29" s="3">
        <f t="shared" si="9"/>
        <v>-1.033914999999979</v>
      </c>
      <c r="Q29">
        <f t="shared" si="10"/>
        <v>1</v>
      </c>
      <c r="R29" s="3">
        <f t="shared" si="11"/>
        <v>-0.22000100000001055</v>
      </c>
      <c r="S29" s="3">
        <f t="shared" si="12"/>
        <v>-1.033914999999979</v>
      </c>
      <c r="T29">
        <f t="shared" si="13"/>
        <v>1</v>
      </c>
      <c r="U29" s="3">
        <f t="shared" si="14"/>
        <v>0</v>
      </c>
      <c r="V29" s="3">
        <f t="shared" si="15"/>
        <v>0</v>
      </c>
      <c r="W29">
        <f t="shared" si="16"/>
        <v>0</v>
      </c>
      <c r="X29" s="3">
        <f t="shared" si="17"/>
        <v>0</v>
      </c>
      <c r="Y29" s="3">
        <f t="shared" si="18"/>
        <v>0</v>
      </c>
      <c r="Z29">
        <f t="shared" si="19"/>
        <v>0</v>
      </c>
      <c r="AA29" s="3">
        <f t="shared" si="20"/>
        <v>0</v>
      </c>
      <c r="AB29" s="3">
        <f t="shared" si="21"/>
        <v>0</v>
      </c>
      <c r="AC29">
        <f t="shared" si="22"/>
        <v>0</v>
      </c>
      <c r="AD29" s="3">
        <f t="shared" si="23"/>
        <v>0</v>
      </c>
      <c r="AE29" s="3">
        <f t="shared" si="24"/>
        <v>0</v>
      </c>
      <c r="AF29">
        <f t="shared" si="25"/>
        <v>0</v>
      </c>
      <c r="AG29" s="3">
        <f t="shared" si="26"/>
        <v>0</v>
      </c>
      <c r="AH29" s="3">
        <f t="shared" si="27"/>
        <v>0</v>
      </c>
      <c r="AI29">
        <f t="shared" si="28"/>
        <v>0</v>
      </c>
      <c r="AJ29" s="3">
        <f t="shared" si="29"/>
        <v>0</v>
      </c>
      <c r="AK29" s="3">
        <f t="shared" si="30"/>
        <v>0</v>
      </c>
      <c r="AL29">
        <f t="shared" si="31"/>
        <v>0</v>
      </c>
      <c r="AM29" s="3">
        <f t="shared" si="32"/>
        <v>0</v>
      </c>
      <c r="AN29" s="3">
        <f t="shared" si="33"/>
        <v>0</v>
      </c>
      <c r="AO29">
        <f t="shared" si="34"/>
        <v>0</v>
      </c>
      <c r="AP29" s="3">
        <f t="shared" si="35"/>
        <v>0</v>
      </c>
      <c r="AQ29" s="3">
        <f t="shared" si="36"/>
        <v>0</v>
      </c>
      <c r="AR29">
        <f t="shared" si="37"/>
        <v>0</v>
      </c>
    </row>
    <row r="30" spans="1:44" x14ac:dyDescent="0.25">
      <c r="A30" s="8"/>
      <c r="B30" s="9">
        <f>A26-A17</f>
        <v>9.8424838279598248E-9</v>
      </c>
      <c r="C30" s="9">
        <f>B26-B17</f>
        <v>2.1885487200279385E-8</v>
      </c>
      <c r="D30" s="1">
        <v>42699</v>
      </c>
      <c r="E30" s="2">
        <v>111.790001</v>
      </c>
      <c r="F30" s="3">
        <v>220.22199599999999</v>
      </c>
      <c r="G30" s="2">
        <f t="shared" si="2"/>
        <v>0.55999800000000732</v>
      </c>
      <c r="H30" s="2">
        <f t="shared" si="3"/>
        <v>0.81520299999999679</v>
      </c>
      <c r="I30" s="4">
        <f t="shared" si="0"/>
        <v>0.49761873036451432</v>
      </c>
      <c r="J30" s="4">
        <f t="shared" si="1"/>
        <v>0.71398206101931361</v>
      </c>
      <c r="K30" s="4">
        <f t="shared" si="4"/>
        <v>0.57127849153920118</v>
      </c>
      <c r="L30" s="4">
        <f t="shared" si="5"/>
        <v>0.75582967098361598</v>
      </c>
      <c r="M30" s="4">
        <f t="shared" si="6"/>
        <v>1</v>
      </c>
      <c r="N30" s="4">
        <f t="shared" si="7"/>
        <v>1</v>
      </c>
      <c r="O30" s="3">
        <f t="shared" si="8"/>
        <v>0.55999800000000732</v>
      </c>
      <c r="P30" s="3">
        <f t="shared" si="9"/>
        <v>0.81520299999999679</v>
      </c>
      <c r="Q30">
        <f t="shared" si="10"/>
        <v>1</v>
      </c>
      <c r="R30" s="3">
        <f t="shared" si="11"/>
        <v>0</v>
      </c>
      <c r="S30" s="3">
        <f t="shared" si="12"/>
        <v>0</v>
      </c>
      <c r="T30">
        <f t="shared" si="13"/>
        <v>0</v>
      </c>
      <c r="U30" s="3">
        <f t="shared" si="14"/>
        <v>0</v>
      </c>
      <c r="V30" s="3">
        <f t="shared" si="15"/>
        <v>0</v>
      </c>
      <c r="W30">
        <f t="shared" si="16"/>
        <v>0</v>
      </c>
      <c r="X30" s="3">
        <f t="shared" si="17"/>
        <v>0</v>
      </c>
      <c r="Y30" s="3">
        <f t="shared" si="18"/>
        <v>0</v>
      </c>
      <c r="Z30">
        <f t="shared" si="19"/>
        <v>0</v>
      </c>
      <c r="AA30" s="3">
        <f t="shared" si="20"/>
        <v>0</v>
      </c>
      <c r="AB30" s="3">
        <f t="shared" si="21"/>
        <v>0</v>
      </c>
      <c r="AC30">
        <f t="shared" si="22"/>
        <v>0</v>
      </c>
      <c r="AD30" s="3">
        <f t="shared" si="23"/>
        <v>0</v>
      </c>
      <c r="AE30" s="3">
        <f t="shared" si="24"/>
        <v>0</v>
      </c>
      <c r="AF30">
        <f t="shared" si="25"/>
        <v>0</v>
      </c>
      <c r="AG30" s="3">
        <f t="shared" si="26"/>
        <v>0</v>
      </c>
      <c r="AH30" s="3">
        <f t="shared" si="27"/>
        <v>0</v>
      </c>
      <c r="AI30">
        <f t="shared" si="28"/>
        <v>0</v>
      </c>
      <c r="AJ30" s="3">
        <f t="shared" si="29"/>
        <v>0</v>
      </c>
      <c r="AK30" s="3">
        <f t="shared" si="30"/>
        <v>0</v>
      </c>
      <c r="AL30">
        <f t="shared" si="31"/>
        <v>0</v>
      </c>
      <c r="AM30" s="3">
        <f t="shared" si="32"/>
        <v>0</v>
      </c>
      <c r="AN30" s="3">
        <f t="shared" si="33"/>
        <v>0</v>
      </c>
      <c r="AO30">
        <f t="shared" si="34"/>
        <v>0</v>
      </c>
      <c r="AP30" s="3">
        <f t="shared" si="35"/>
        <v>0</v>
      </c>
      <c r="AQ30" s="3">
        <f t="shared" si="36"/>
        <v>0</v>
      </c>
      <c r="AR30">
        <f t="shared" si="37"/>
        <v>0</v>
      </c>
    </row>
    <row r="31" spans="1:44" x14ac:dyDescent="0.25">
      <c r="A31" s="8" t="s">
        <v>29</v>
      </c>
      <c r="B31">
        <v>1</v>
      </c>
      <c r="D31" s="1">
        <v>42697</v>
      </c>
      <c r="E31" s="2">
        <v>111.230003</v>
      </c>
      <c r="F31" s="3">
        <v>219.40679299999999</v>
      </c>
      <c r="G31" s="2">
        <f t="shared" si="2"/>
        <v>-0.57000000000000739</v>
      </c>
      <c r="H31" s="2">
        <f t="shared" si="3"/>
        <v>0.11929200000000151</v>
      </c>
      <c r="I31" s="4">
        <f t="shared" si="0"/>
        <v>-0.6323792696355004</v>
      </c>
      <c r="J31" s="4">
        <f t="shared" si="1"/>
        <v>1.8071061019318296E-2</v>
      </c>
      <c r="K31" s="4">
        <f t="shared" si="4"/>
        <v>0.88108351050131051</v>
      </c>
      <c r="L31" s="4">
        <f t="shared" si="5"/>
        <v>0.93866048734423169</v>
      </c>
      <c r="M31" s="4">
        <f t="shared" si="6"/>
        <v>1</v>
      </c>
      <c r="N31" s="4">
        <f t="shared" si="7"/>
        <v>1</v>
      </c>
      <c r="O31" s="3">
        <f t="shared" si="8"/>
        <v>-0.57000000000000739</v>
      </c>
      <c r="P31" s="3">
        <f t="shared" si="9"/>
        <v>0.11929200000000151</v>
      </c>
      <c r="Q31">
        <f t="shared" si="10"/>
        <v>1</v>
      </c>
      <c r="R31" s="3">
        <f t="shared" si="11"/>
        <v>0</v>
      </c>
      <c r="S31" s="3">
        <f t="shared" si="12"/>
        <v>0</v>
      </c>
      <c r="T31">
        <f t="shared" si="13"/>
        <v>0</v>
      </c>
      <c r="U31" s="3">
        <f t="shared" si="14"/>
        <v>0</v>
      </c>
      <c r="V31" s="3">
        <f t="shared" si="15"/>
        <v>0</v>
      </c>
      <c r="W31">
        <f t="shared" si="16"/>
        <v>0</v>
      </c>
      <c r="X31" s="3">
        <f t="shared" si="17"/>
        <v>0</v>
      </c>
      <c r="Y31" s="3">
        <f t="shared" si="18"/>
        <v>0</v>
      </c>
      <c r="Z31">
        <f t="shared" si="19"/>
        <v>0</v>
      </c>
      <c r="AA31" s="3">
        <f t="shared" si="20"/>
        <v>0</v>
      </c>
      <c r="AB31" s="3">
        <f t="shared" si="21"/>
        <v>0</v>
      </c>
      <c r="AC31">
        <f t="shared" si="22"/>
        <v>0</v>
      </c>
      <c r="AD31" s="3">
        <f t="shared" si="23"/>
        <v>0</v>
      </c>
      <c r="AE31" s="3">
        <f t="shared" si="24"/>
        <v>0</v>
      </c>
      <c r="AF31">
        <f t="shared" si="25"/>
        <v>0</v>
      </c>
      <c r="AG31" s="3">
        <f t="shared" si="26"/>
        <v>0</v>
      </c>
      <c r="AH31" s="3">
        <f t="shared" si="27"/>
        <v>0</v>
      </c>
      <c r="AI31">
        <f t="shared" si="28"/>
        <v>0</v>
      </c>
      <c r="AJ31" s="3">
        <f t="shared" si="29"/>
        <v>0</v>
      </c>
      <c r="AK31" s="3">
        <f t="shared" si="30"/>
        <v>0</v>
      </c>
      <c r="AL31">
        <f t="shared" si="31"/>
        <v>0</v>
      </c>
      <c r="AM31" s="3">
        <f t="shared" si="32"/>
        <v>0</v>
      </c>
      <c r="AN31" s="3">
        <f t="shared" si="33"/>
        <v>0</v>
      </c>
      <c r="AO31">
        <f t="shared" si="34"/>
        <v>0</v>
      </c>
      <c r="AP31" s="3">
        <f t="shared" si="35"/>
        <v>0</v>
      </c>
      <c r="AQ31" s="3">
        <f t="shared" si="36"/>
        <v>0</v>
      </c>
      <c r="AR31">
        <f t="shared" si="37"/>
        <v>0</v>
      </c>
    </row>
    <row r="32" spans="1:44" x14ac:dyDescent="0.25">
      <c r="A32" s="8" t="s">
        <v>10</v>
      </c>
      <c r="B32" s="12" t="s">
        <v>13</v>
      </c>
      <c r="C32" s="8" t="s">
        <v>15</v>
      </c>
      <c r="D32" s="1">
        <v>42696</v>
      </c>
      <c r="E32" s="2">
        <v>111.800003</v>
      </c>
      <c r="F32" s="3">
        <v>219.28750099999999</v>
      </c>
      <c r="G32" s="2">
        <f t="shared" si="2"/>
        <v>7.000000000000739E-2</v>
      </c>
      <c r="H32" s="2">
        <f t="shared" si="3"/>
        <v>0.42748799999998255</v>
      </c>
      <c r="I32" s="4">
        <f t="shared" si="0"/>
        <v>7.6207303645143762E-3</v>
      </c>
      <c r="J32" s="4">
        <f t="shared" si="1"/>
        <v>0.32626706101929936</v>
      </c>
      <c r="K32" s="4">
        <f t="shared" si="4"/>
        <v>0.1955155116706552</v>
      </c>
      <c r="L32" s="4">
        <f t="shared" si="5"/>
        <v>0.44217136007509034</v>
      </c>
      <c r="M32" s="4">
        <f t="shared" si="6"/>
        <v>1</v>
      </c>
      <c r="N32" s="4">
        <f t="shared" si="7"/>
        <v>1</v>
      </c>
      <c r="O32" s="3">
        <f t="shared" si="8"/>
        <v>7.000000000000739E-2</v>
      </c>
      <c r="P32" s="3">
        <f t="shared" si="9"/>
        <v>0.42748799999998255</v>
      </c>
      <c r="Q32">
        <f t="shared" si="10"/>
        <v>1</v>
      </c>
      <c r="R32" s="3">
        <f t="shared" si="11"/>
        <v>0</v>
      </c>
      <c r="S32" s="3">
        <f t="shared" si="12"/>
        <v>0</v>
      </c>
      <c r="T32">
        <f t="shared" si="13"/>
        <v>0</v>
      </c>
      <c r="U32" s="3">
        <f t="shared" si="14"/>
        <v>0</v>
      </c>
      <c r="V32" s="3">
        <f t="shared" si="15"/>
        <v>0</v>
      </c>
      <c r="W32">
        <f t="shared" si="16"/>
        <v>0</v>
      </c>
      <c r="X32" s="3">
        <f t="shared" si="17"/>
        <v>0</v>
      </c>
      <c r="Y32" s="3">
        <f t="shared" si="18"/>
        <v>0</v>
      </c>
      <c r="Z32">
        <f t="shared" si="19"/>
        <v>0</v>
      </c>
      <c r="AA32" s="3">
        <f t="shared" si="20"/>
        <v>0</v>
      </c>
      <c r="AB32" s="3">
        <f t="shared" si="21"/>
        <v>0</v>
      </c>
      <c r="AC32">
        <f t="shared" si="22"/>
        <v>0</v>
      </c>
      <c r="AD32" s="3">
        <f t="shared" si="23"/>
        <v>0</v>
      </c>
      <c r="AE32" s="3">
        <f t="shared" si="24"/>
        <v>0</v>
      </c>
      <c r="AF32">
        <f t="shared" si="25"/>
        <v>0</v>
      </c>
      <c r="AG32" s="3">
        <f t="shared" si="26"/>
        <v>0</v>
      </c>
      <c r="AH32" s="3">
        <f t="shared" si="27"/>
        <v>0</v>
      </c>
      <c r="AI32">
        <f t="shared" si="28"/>
        <v>0</v>
      </c>
      <c r="AJ32" s="3">
        <f t="shared" si="29"/>
        <v>0</v>
      </c>
      <c r="AK32" s="3">
        <f t="shared" si="30"/>
        <v>0</v>
      </c>
      <c r="AL32">
        <f t="shared" si="31"/>
        <v>0</v>
      </c>
      <c r="AM32" s="3">
        <f t="shared" si="32"/>
        <v>0</v>
      </c>
      <c r="AN32" s="3">
        <f t="shared" si="33"/>
        <v>0</v>
      </c>
      <c r="AO32">
        <f t="shared" si="34"/>
        <v>0</v>
      </c>
      <c r="AP32" s="3">
        <f t="shared" si="35"/>
        <v>0</v>
      </c>
      <c r="AQ32" s="3">
        <f t="shared" si="36"/>
        <v>0</v>
      </c>
      <c r="AR32">
        <f t="shared" si="37"/>
        <v>0</v>
      </c>
    </row>
    <row r="33" spans="1:44" x14ac:dyDescent="0.25">
      <c r="A33" s="10">
        <v>0</v>
      </c>
      <c r="B33" s="13">
        <f>SUM(Q2:Q505)</f>
        <v>504</v>
      </c>
      <c r="C33" s="14">
        <f>CORREL(O2:O505,P2:P505)</f>
        <v>0.6108342846401833</v>
      </c>
      <c r="D33" s="1">
        <v>42695</v>
      </c>
      <c r="E33" s="2">
        <v>111.730003</v>
      </c>
      <c r="F33" s="3">
        <v>218.86001300000001</v>
      </c>
      <c r="G33" s="2">
        <f t="shared" si="2"/>
        <v>1.6700050000000033</v>
      </c>
      <c r="H33" s="2">
        <f t="shared" si="3"/>
        <v>1.6403260000000159</v>
      </c>
      <c r="I33" s="4">
        <f t="shared" si="0"/>
        <v>1.6076257303645103</v>
      </c>
      <c r="J33" s="4">
        <f t="shared" si="1"/>
        <v>1.5391050610193326</v>
      </c>
      <c r="K33" s="4">
        <f t="shared" si="4"/>
        <v>3.5681839695788513</v>
      </c>
      <c r="L33" s="4">
        <f t="shared" si="5"/>
        <v>1.8889637290268046</v>
      </c>
      <c r="M33" s="4">
        <f t="shared" si="6"/>
        <v>1</v>
      </c>
      <c r="N33" s="4">
        <f t="shared" si="7"/>
        <v>0.33630552971225713</v>
      </c>
      <c r="O33" s="3">
        <f t="shared" si="8"/>
        <v>1.6700050000000033</v>
      </c>
      <c r="P33" s="3">
        <f t="shared" si="9"/>
        <v>1.6403260000000159</v>
      </c>
      <c r="Q33">
        <f t="shared" si="10"/>
        <v>1</v>
      </c>
      <c r="R33" s="3">
        <f t="shared" si="11"/>
        <v>1.6700050000000033</v>
      </c>
      <c r="S33" s="3">
        <f t="shared" si="12"/>
        <v>1.6403260000000159</v>
      </c>
      <c r="T33">
        <f t="shared" si="13"/>
        <v>1</v>
      </c>
      <c r="U33" s="3">
        <f t="shared" si="14"/>
        <v>1.6700050000000033</v>
      </c>
      <c r="V33" s="3">
        <f t="shared" si="15"/>
        <v>1.6403260000000159</v>
      </c>
      <c r="W33">
        <f t="shared" si="16"/>
        <v>1</v>
      </c>
      <c r="X33" s="3">
        <f t="shared" si="17"/>
        <v>1.6700050000000033</v>
      </c>
      <c r="Y33" s="3">
        <f t="shared" si="18"/>
        <v>1.6403260000000159</v>
      </c>
      <c r="Z33">
        <f t="shared" si="19"/>
        <v>1</v>
      </c>
      <c r="AA33" s="3">
        <f t="shared" si="20"/>
        <v>0</v>
      </c>
      <c r="AB33" s="3">
        <f t="shared" si="21"/>
        <v>0</v>
      </c>
      <c r="AC33">
        <f t="shared" si="22"/>
        <v>0</v>
      </c>
      <c r="AD33" s="3">
        <f t="shared" si="23"/>
        <v>0</v>
      </c>
      <c r="AE33" s="3">
        <f t="shared" si="24"/>
        <v>0</v>
      </c>
      <c r="AF33">
        <f t="shared" si="25"/>
        <v>0</v>
      </c>
      <c r="AG33" s="3">
        <f t="shared" si="26"/>
        <v>0</v>
      </c>
      <c r="AH33" s="3">
        <f t="shared" si="27"/>
        <v>0</v>
      </c>
      <c r="AI33">
        <f t="shared" si="28"/>
        <v>0</v>
      </c>
      <c r="AJ33" s="3">
        <f t="shared" si="29"/>
        <v>0</v>
      </c>
      <c r="AK33" s="3">
        <f t="shared" si="30"/>
        <v>0</v>
      </c>
      <c r="AL33">
        <f t="shared" si="31"/>
        <v>0</v>
      </c>
      <c r="AM33" s="3">
        <f t="shared" si="32"/>
        <v>0</v>
      </c>
      <c r="AN33" s="3">
        <f t="shared" si="33"/>
        <v>0</v>
      </c>
      <c r="AO33">
        <f t="shared" si="34"/>
        <v>0</v>
      </c>
      <c r="AP33" s="3">
        <f t="shared" si="35"/>
        <v>0</v>
      </c>
      <c r="AQ33" s="3">
        <f t="shared" si="36"/>
        <v>0</v>
      </c>
      <c r="AR33">
        <f t="shared" si="37"/>
        <v>0</v>
      </c>
    </row>
    <row r="34" spans="1:44" x14ac:dyDescent="0.25">
      <c r="A34" s="10">
        <f>A33+$B$31</f>
        <v>1</v>
      </c>
      <c r="B34" s="13">
        <f>SUM(T2:T505)</f>
        <v>375</v>
      </c>
      <c r="C34" s="15">
        <f>CORREL(R2:R505,S2:S505)</f>
        <v>0.60923639082504033</v>
      </c>
      <c r="D34" s="1">
        <v>42692</v>
      </c>
      <c r="E34" s="2">
        <v>110.05999799999999</v>
      </c>
      <c r="F34" s="3">
        <v>217.21968699999999</v>
      </c>
      <c r="G34" s="2">
        <f t="shared" si="2"/>
        <v>0.11000099999999691</v>
      </c>
      <c r="H34" s="2">
        <f t="shared" si="3"/>
        <v>-0.48713499999999499</v>
      </c>
      <c r="I34" s="4">
        <f t="shared" si="0"/>
        <v>4.7621730364503893E-2</v>
      </c>
      <c r="J34" s="4">
        <f t="shared" si="1"/>
        <v>-0.58835593898067817</v>
      </c>
      <c r="K34" s="4">
        <f t="shared" si="4"/>
        <v>0.73392194409841049</v>
      </c>
      <c r="L34" s="4">
        <f t="shared" si="5"/>
        <v>0.85669244428698588</v>
      </c>
      <c r="M34" s="4">
        <f t="shared" si="6"/>
        <v>1</v>
      </c>
      <c r="N34" s="4">
        <f t="shared" si="7"/>
        <v>1</v>
      </c>
      <c r="O34" s="3">
        <f t="shared" si="8"/>
        <v>0.11000099999999691</v>
      </c>
      <c r="P34" s="3">
        <f t="shared" si="9"/>
        <v>-0.48713499999999499</v>
      </c>
      <c r="Q34">
        <f t="shared" si="10"/>
        <v>1</v>
      </c>
      <c r="R34" s="3">
        <f t="shared" si="11"/>
        <v>0</v>
      </c>
      <c r="S34" s="3">
        <f t="shared" si="12"/>
        <v>0</v>
      </c>
      <c r="T34">
        <f t="shared" si="13"/>
        <v>0</v>
      </c>
      <c r="U34" s="3">
        <f t="shared" si="14"/>
        <v>0</v>
      </c>
      <c r="V34" s="3">
        <f t="shared" si="15"/>
        <v>0</v>
      </c>
      <c r="W34">
        <f t="shared" si="16"/>
        <v>0</v>
      </c>
      <c r="X34" s="3">
        <f t="shared" si="17"/>
        <v>0</v>
      </c>
      <c r="Y34" s="3">
        <f t="shared" si="18"/>
        <v>0</v>
      </c>
      <c r="Z34">
        <f t="shared" si="19"/>
        <v>0</v>
      </c>
      <c r="AA34" s="3">
        <f t="shared" si="20"/>
        <v>0</v>
      </c>
      <c r="AB34" s="3">
        <f t="shared" si="21"/>
        <v>0</v>
      </c>
      <c r="AC34">
        <f t="shared" si="22"/>
        <v>0</v>
      </c>
      <c r="AD34" s="3">
        <f t="shared" si="23"/>
        <v>0</v>
      </c>
      <c r="AE34" s="3">
        <f t="shared" si="24"/>
        <v>0</v>
      </c>
      <c r="AF34">
        <f t="shared" si="25"/>
        <v>0</v>
      </c>
      <c r="AG34" s="3">
        <f t="shared" si="26"/>
        <v>0</v>
      </c>
      <c r="AH34" s="3">
        <f t="shared" si="27"/>
        <v>0</v>
      </c>
      <c r="AI34">
        <f t="shared" si="28"/>
        <v>0</v>
      </c>
      <c r="AJ34" s="3">
        <f t="shared" si="29"/>
        <v>0</v>
      </c>
      <c r="AK34" s="3">
        <f t="shared" si="30"/>
        <v>0</v>
      </c>
      <c r="AL34">
        <f t="shared" si="31"/>
        <v>0</v>
      </c>
      <c r="AM34" s="3">
        <f t="shared" si="32"/>
        <v>0</v>
      </c>
      <c r="AN34" s="3">
        <f t="shared" si="33"/>
        <v>0</v>
      </c>
      <c r="AO34">
        <f t="shared" si="34"/>
        <v>0</v>
      </c>
      <c r="AP34" s="3">
        <f t="shared" si="35"/>
        <v>0</v>
      </c>
      <c r="AQ34" s="3">
        <f t="shared" si="36"/>
        <v>0</v>
      </c>
      <c r="AR34">
        <f t="shared" si="37"/>
        <v>0</v>
      </c>
    </row>
    <row r="35" spans="1:44" x14ac:dyDescent="0.25">
      <c r="A35" s="10">
        <f t="shared" ref="A35:A42" si="38">A34+$B$31</f>
        <v>2</v>
      </c>
      <c r="B35" s="13">
        <f>SUM(W2:W505)</f>
        <v>303</v>
      </c>
      <c r="C35" s="15">
        <f>CORREL(U2:U505,V2:V505)</f>
        <v>0.60778172109924211</v>
      </c>
      <c r="D35" s="1">
        <v>42691</v>
      </c>
      <c r="E35" s="2">
        <v>109.949997</v>
      </c>
      <c r="F35" s="3">
        <v>217.70682199999999</v>
      </c>
      <c r="G35" s="2">
        <f t="shared" si="2"/>
        <v>-4.0001000000003728E-2</v>
      </c>
      <c r="H35" s="2">
        <f t="shared" si="3"/>
        <v>1.1134479999999769</v>
      </c>
      <c r="I35" s="4">
        <f t="shared" si="0"/>
        <v>-0.10238026963549673</v>
      </c>
      <c r="J35" s="4">
        <f t="shared" si="1"/>
        <v>1.0122270610192936</v>
      </c>
      <c r="K35" s="4">
        <f t="shared" si="4"/>
        <v>2.2340745524582037</v>
      </c>
      <c r="L35" s="4">
        <f t="shared" si="5"/>
        <v>1.4946820907665295</v>
      </c>
      <c r="M35" s="4">
        <f t="shared" si="6"/>
        <v>1</v>
      </c>
      <c r="N35" s="4">
        <f t="shared" si="7"/>
        <v>0.53713516349739188</v>
      </c>
      <c r="O35" s="3">
        <f t="shared" si="8"/>
        <v>-4.0001000000003728E-2</v>
      </c>
      <c r="P35" s="3">
        <f t="shared" si="9"/>
        <v>1.1134479999999769</v>
      </c>
      <c r="Q35">
        <f t="shared" si="10"/>
        <v>1</v>
      </c>
      <c r="R35" s="3">
        <f t="shared" si="11"/>
        <v>-4.0001000000003728E-2</v>
      </c>
      <c r="S35" s="3">
        <f t="shared" si="12"/>
        <v>1.1134479999999769</v>
      </c>
      <c r="T35">
        <f t="shared" si="13"/>
        <v>1</v>
      </c>
      <c r="U35" s="3">
        <f t="shared" si="14"/>
        <v>-4.0001000000003728E-2</v>
      </c>
      <c r="V35" s="3">
        <f t="shared" si="15"/>
        <v>1.1134479999999769</v>
      </c>
      <c r="W35">
        <f t="shared" si="16"/>
        <v>1</v>
      </c>
      <c r="X35" s="3">
        <f t="shared" si="17"/>
        <v>0</v>
      </c>
      <c r="Y35" s="3">
        <f t="shared" si="18"/>
        <v>0</v>
      </c>
      <c r="Z35">
        <f t="shared" si="19"/>
        <v>0</v>
      </c>
      <c r="AA35" s="3">
        <f t="shared" si="20"/>
        <v>0</v>
      </c>
      <c r="AB35" s="3">
        <f t="shared" si="21"/>
        <v>0</v>
      </c>
      <c r="AC35">
        <f t="shared" si="22"/>
        <v>0</v>
      </c>
      <c r="AD35" s="3">
        <f t="shared" si="23"/>
        <v>0</v>
      </c>
      <c r="AE35" s="3">
        <f t="shared" si="24"/>
        <v>0</v>
      </c>
      <c r="AF35">
        <f t="shared" si="25"/>
        <v>0</v>
      </c>
      <c r="AG35" s="3">
        <f t="shared" si="26"/>
        <v>0</v>
      </c>
      <c r="AH35" s="3">
        <f t="shared" si="27"/>
        <v>0</v>
      </c>
      <c r="AI35">
        <f t="shared" si="28"/>
        <v>0</v>
      </c>
      <c r="AJ35" s="3">
        <f t="shared" si="29"/>
        <v>0</v>
      </c>
      <c r="AK35" s="3">
        <f t="shared" si="30"/>
        <v>0</v>
      </c>
      <c r="AL35">
        <f t="shared" si="31"/>
        <v>0</v>
      </c>
      <c r="AM35" s="3">
        <f t="shared" si="32"/>
        <v>0</v>
      </c>
      <c r="AN35" s="3">
        <f t="shared" si="33"/>
        <v>0</v>
      </c>
      <c r="AO35">
        <f t="shared" si="34"/>
        <v>0</v>
      </c>
      <c r="AP35" s="3">
        <f t="shared" si="35"/>
        <v>0</v>
      </c>
      <c r="AQ35" s="3">
        <f t="shared" si="36"/>
        <v>0</v>
      </c>
      <c r="AR35">
        <f t="shared" si="37"/>
        <v>0</v>
      </c>
    </row>
    <row r="36" spans="1:44" x14ac:dyDescent="0.25">
      <c r="A36" s="10">
        <f t="shared" si="38"/>
        <v>3</v>
      </c>
      <c r="B36" s="13">
        <f>SUM(Z2:Z505)</f>
        <v>263</v>
      </c>
      <c r="C36" s="15">
        <f>CORREL(X2:X505,Y2:Y505)</f>
        <v>0.60745649270815749</v>
      </c>
      <c r="D36" s="1">
        <v>42690</v>
      </c>
      <c r="E36" s="2">
        <v>109.989998</v>
      </c>
      <c r="F36" s="3">
        <v>216.59337400000001</v>
      </c>
      <c r="G36" s="2">
        <f t="shared" si="2"/>
        <v>2.879997000000003</v>
      </c>
      <c r="H36" s="2">
        <f t="shared" si="3"/>
        <v>-0.40760099999999966</v>
      </c>
      <c r="I36" s="4">
        <f t="shared" si="0"/>
        <v>2.81761773036451</v>
      </c>
      <c r="J36" s="4">
        <f t="shared" si="1"/>
        <v>-0.50882193898068284</v>
      </c>
      <c r="K36" s="4">
        <f t="shared" si="4"/>
        <v>21.102291873029657</v>
      </c>
      <c r="L36" s="4">
        <f t="shared" si="5"/>
        <v>4.5937230949448464</v>
      </c>
      <c r="M36" s="4">
        <f t="shared" si="6"/>
        <v>0.43537669961014763</v>
      </c>
      <c r="N36" s="4">
        <f t="shared" si="7"/>
        <v>5.6865861169027414E-2</v>
      </c>
      <c r="O36" s="3">
        <f t="shared" si="8"/>
        <v>2.879997000000003</v>
      </c>
      <c r="P36" s="3">
        <f t="shared" si="9"/>
        <v>-0.40760099999999966</v>
      </c>
      <c r="Q36">
        <f t="shared" si="10"/>
        <v>1</v>
      </c>
      <c r="R36" s="3">
        <f t="shared" si="11"/>
        <v>2.879997000000003</v>
      </c>
      <c r="S36" s="3">
        <f t="shared" si="12"/>
        <v>-0.40760099999999966</v>
      </c>
      <c r="T36">
        <f t="shared" si="13"/>
        <v>1</v>
      </c>
      <c r="U36" s="3">
        <f t="shared" si="14"/>
        <v>2.879997000000003</v>
      </c>
      <c r="V36" s="3">
        <f t="shared" si="15"/>
        <v>-0.40760099999999966</v>
      </c>
      <c r="W36">
        <f t="shared" si="16"/>
        <v>1</v>
      </c>
      <c r="X36" s="3">
        <f t="shared" si="17"/>
        <v>2.879997000000003</v>
      </c>
      <c r="Y36" s="3">
        <f t="shared" si="18"/>
        <v>-0.40760099999999966</v>
      </c>
      <c r="Z36">
        <f t="shared" si="19"/>
        <v>1</v>
      </c>
      <c r="AA36" s="3">
        <f t="shared" si="20"/>
        <v>2.879997000000003</v>
      </c>
      <c r="AB36" s="3">
        <f t="shared" si="21"/>
        <v>-0.40760099999999966</v>
      </c>
      <c r="AC36">
        <f t="shared" si="22"/>
        <v>1</v>
      </c>
      <c r="AD36" s="3">
        <f t="shared" si="23"/>
        <v>2.879997000000003</v>
      </c>
      <c r="AE36" s="3">
        <f t="shared" si="24"/>
        <v>-0.40760099999999966</v>
      </c>
      <c r="AF36">
        <f t="shared" si="25"/>
        <v>1</v>
      </c>
      <c r="AG36" s="3">
        <f t="shared" si="26"/>
        <v>2.879997000000003</v>
      </c>
      <c r="AH36" s="3">
        <f t="shared" si="27"/>
        <v>-0.40760099999999966</v>
      </c>
      <c r="AI36">
        <f t="shared" si="28"/>
        <v>1</v>
      </c>
      <c r="AJ36" s="3">
        <f t="shared" si="29"/>
        <v>2.879997000000003</v>
      </c>
      <c r="AK36" s="3">
        <f t="shared" si="30"/>
        <v>-0.40760099999999966</v>
      </c>
      <c r="AL36">
        <f t="shared" si="31"/>
        <v>1</v>
      </c>
      <c r="AM36" s="3">
        <f t="shared" si="32"/>
        <v>2.879997000000003</v>
      </c>
      <c r="AN36" s="3">
        <f t="shared" si="33"/>
        <v>-0.40760099999999966</v>
      </c>
      <c r="AO36">
        <f t="shared" si="34"/>
        <v>1</v>
      </c>
      <c r="AP36" s="3">
        <f t="shared" si="35"/>
        <v>2.879997000000003</v>
      </c>
      <c r="AQ36" s="3">
        <f t="shared" si="36"/>
        <v>-0.40760099999999966</v>
      </c>
      <c r="AR36">
        <f t="shared" si="37"/>
        <v>1</v>
      </c>
    </row>
    <row r="37" spans="1:44" x14ac:dyDescent="0.25">
      <c r="A37" s="10">
        <f t="shared" si="38"/>
        <v>4</v>
      </c>
      <c r="B37" s="13">
        <f>SUM(AC2:AC505)</f>
        <v>217</v>
      </c>
      <c r="C37" s="15">
        <f>CORREL(AA2:AA505,AB2:AB505)</f>
        <v>0.60676068943297556</v>
      </c>
      <c r="D37" s="1">
        <v>42689</v>
      </c>
      <c r="E37" s="2">
        <v>107.110001</v>
      </c>
      <c r="F37" s="3">
        <v>217.00097500000001</v>
      </c>
      <c r="G37" s="2">
        <f t="shared" si="2"/>
        <v>1.4000020000000006</v>
      </c>
      <c r="H37" s="2">
        <f t="shared" si="3"/>
        <v>1.6800990000000127</v>
      </c>
      <c r="I37" s="4">
        <f t="shared" si="0"/>
        <v>1.3376227303645076</v>
      </c>
      <c r="J37" s="4">
        <f t="shared" si="1"/>
        <v>1.5788780610193294</v>
      </c>
      <c r="K37" s="4">
        <f t="shared" si="4"/>
        <v>3.0519674306654512</v>
      </c>
      <c r="L37" s="4">
        <f t="shared" si="5"/>
        <v>1.7469881026113061</v>
      </c>
      <c r="M37" s="4">
        <f t="shared" si="6"/>
        <v>1</v>
      </c>
      <c r="N37" s="4">
        <f t="shared" si="7"/>
        <v>0.39318899276010683</v>
      </c>
      <c r="O37" s="3">
        <f t="shared" si="8"/>
        <v>1.4000020000000006</v>
      </c>
      <c r="P37" s="3">
        <f t="shared" si="9"/>
        <v>1.6800990000000127</v>
      </c>
      <c r="Q37">
        <f t="shared" si="10"/>
        <v>1</v>
      </c>
      <c r="R37" s="3">
        <f t="shared" si="11"/>
        <v>1.4000020000000006</v>
      </c>
      <c r="S37" s="3">
        <f t="shared" si="12"/>
        <v>1.6800990000000127</v>
      </c>
      <c r="T37">
        <f t="shared" si="13"/>
        <v>1</v>
      </c>
      <c r="U37" s="3">
        <f t="shared" si="14"/>
        <v>1.4000020000000006</v>
      </c>
      <c r="V37" s="3">
        <f t="shared" si="15"/>
        <v>1.6800990000000127</v>
      </c>
      <c r="W37">
        <f t="shared" si="16"/>
        <v>1</v>
      </c>
      <c r="X37" s="3">
        <f t="shared" si="17"/>
        <v>1.4000020000000006</v>
      </c>
      <c r="Y37" s="3">
        <f t="shared" si="18"/>
        <v>1.6800990000000127</v>
      </c>
      <c r="Z37">
        <f t="shared" si="19"/>
        <v>1</v>
      </c>
      <c r="AA37" s="3">
        <f t="shared" si="20"/>
        <v>0</v>
      </c>
      <c r="AB37" s="3">
        <f t="shared" si="21"/>
        <v>0</v>
      </c>
      <c r="AC37">
        <f t="shared" si="22"/>
        <v>0</v>
      </c>
      <c r="AD37" s="3">
        <f t="shared" si="23"/>
        <v>0</v>
      </c>
      <c r="AE37" s="3">
        <f t="shared" si="24"/>
        <v>0</v>
      </c>
      <c r="AF37">
        <f t="shared" si="25"/>
        <v>0</v>
      </c>
      <c r="AG37" s="3">
        <f t="shared" si="26"/>
        <v>0</v>
      </c>
      <c r="AH37" s="3">
        <f t="shared" si="27"/>
        <v>0</v>
      </c>
      <c r="AI37">
        <f t="shared" si="28"/>
        <v>0</v>
      </c>
      <c r="AJ37" s="3">
        <f t="shared" si="29"/>
        <v>0</v>
      </c>
      <c r="AK37" s="3">
        <f t="shared" si="30"/>
        <v>0</v>
      </c>
      <c r="AL37">
        <f t="shared" si="31"/>
        <v>0</v>
      </c>
      <c r="AM37" s="3">
        <f t="shared" si="32"/>
        <v>0</v>
      </c>
      <c r="AN37" s="3">
        <f t="shared" si="33"/>
        <v>0</v>
      </c>
      <c r="AO37">
        <f t="shared" si="34"/>
        <v>0</v>
      </c>
      <c r="AP37" s="3">
        <f t="shared" si="35"/>
        <v>0</v>
      </c>
      <c r="AQ37" s="3">
        <f t="shared" si="36"/>
        <v>0</v>
      </c>
      <c r="AR37">
        <f t="shared" si="37"/>
        <v>0</v>
      </c>
    </row>
    <row r="38" spans="1:44" x14ac:dyDescent="0.25">
      <c r="A38" s="10">
        <f t="shared" si="38"/>
        <v>5</v>
      </c>
      <c r="B38" s="13">
        <f>SUM(AF2:AF505)</f>
        <v>193</v>
      </c>
      <c r="C38" s="15">
        <f>CORREL(AD2:AD505,AE2:AE505)</f>
        <v>0.60955647499638455</v>
      </c>
      <c r="D38" s="1">
        <v>42688</v>
      </c>
      <c r="E38" s="2">
        <v>105.709999</v>
      </c>
      <c r="F38" s="3">
        <v>215.320876</v>
      </c>
      <c r="G38" s="2">
        <f t="shared" si="2"/>
        <v>-2.7200010000000105</v>
      </c>
      <c r="H38" s="2">
        <f t="shared" si="3"/>
        <v>0.16900200000000609</v>
      </c>
      <c r="I38" s="4">
        <f t="shared" si="0"/>
        <v>-2.7823802696355036</v>
      </c>
      <c r="J38" s="4">
        <f t="shared" si="1"/>
        <v>6.778106101932288E-2</v>
      </c>
      <c r="K38" s="4">
        <f t="shared" si="4"/>
        <v>16.968713064969617</v>
      </c>
      <c r="L38" s="4">
        <f t="shared" si="5"/>
        <v>4.1193097801658007</v>
      </c>
      <c r="M38" s="4">
        <f t="shared" si="6"/>
        <v>0.48551823162945046</v>
      </c>
      <c r="N38" s="4">
        <f t="shared" si="7"/>
        <v>7.0718385973376624E-2</v>
      </c>
      <c r="O38" s="3">
        <f t="shared" si="8"/>
        <v>-2.7200010000000105</v>
      </c>
      <c r="P38" s="3">
        <f t="shared" si="9"/>
        <v>0.16900200000000609</v>
      </c>
      <c r="Q38">
        <f t="shared" si="10"/>
        <v>1</v>
      </c>
      <c r="R38" s="3">
        <f t="shared" si="11"/>
        <v>-2.7200010000000105</v>
      </c>
      <c r="S38" s="3">
        <f t="shared" si="12"/>
        <v>0.16900200000000609</v>
      </c>
      <c r="T38">
        <f t="shared" si="13"/>
        <v>1</v>
      </c>
      <c r="U38" s="3">
        <f t="shared" si="14"/>
        <v>-2.7200010000000105</v>
      </c>
      <c r="V38" s="3">
        <f t="shared" si="15"/>
        <v>0.16900200000000609</v>
      </c>
      <c r="W38">
        <f t="shared" si="16"/>
        <v>1</v>
      </c>
      <c r="X38" s="3">
        <f t="shared" si="17"/>
        <v>-2.7200010000000105</v>
      </c>
      <c r="Y38" s="3">
        <f t="shared" si="18"/>
        <v>0.16900200000000609</v>
      </c>
      <c r="Z38">
        <f t="shared" si="19"/>
        <v>1</v>
      </c>
      <c r="AA38" s="3">
        <f t="shared" si="20"/>
        <v>-2.7200010000000105</v>
      </c>
      <c r="AB38" s="3">
        <f t="shared" si="21"/>
        <v>0.16900200000000609</v>
      </c>
      <c r="AC38">
        <f t="shared" si="22"/>
        <v>1</v>
      </c>
      <c r="AD38" s="3">
        <f t="shared" si="23"/>
        <v>-2.7200010000000105</v>
      </c>
      <c r="AE38" s="3">
        <f t="shared" si="24"/>
        <v>0.16900200000000609</v>
      </c>
      <c r="AF38">
        <f t="shared" si="25"/>
        <v>1</v>
      </c>
      <c r="AG38" s="3">
        <f t="shared" si="26"/>
        <v>-2.7200010000000105</v>
      </c>
      <c r="AH38" s="3">
        <f t="shared" si="27"/>
        <v>0.16900200000000609</v>
      </c>
      <c r="AI38">
        <f t="shared" si="28"/>
        <v>1</v>
      </c>
      <c r="AJ38" s="3">
        <f t="shared" si="29"/>
        <v>-2.7200010000000105</v>
      </c>
      <c r="AK38" s="3">
        <f t="shared" si="30"/>
        <v>0.16900200000000609</v>
      </c>
      <c r="AL38">
        <f t="shared" si="31"/>
        <v>1</v>
      </c>
      <c r="AM38" s="3">
        <f t="shared" si="32"/>
        <v>-2.7200010000000105</v>
      </c>
      <c r="AN38" s="3">
        <f t="shared" si="33"/>
        <v>0.16900200000000609</v>
      </c>
      <c r="AO38">
        <f t="shared" si="34"/>
        <v>1</v>
      </c>
      <c r="AP38" s="3">
        <f t="shared" si="35"/>
        <v>-2.7200010000000105</v>
      </c>
      <c r="AQ38" s="3">
        <f t="shared" si="36"/>
        <v>0.16900200000000609</v>
      </c>
      <c r="AR38">
        <f t="shared" si="37"/>
        <v>1</v>
      </c>
    </row>
    <row r="39" spans="1:44" x14ac:dyDescent="0.25">
      <c r="A39" s="10">
        <f t="shared" si="38"/>
        <v>6</v>
      </c>
      <c r="B39" s="13">
        <f>SUM(AI2:AI505)</f>
        <v>168</v>
      </c>
      <c r="C39" s="15">
        <f>CORREL(AG2:AG505,AH2:AH505)</f>
        <v>0.60861324060955257</v>
      </c>
      <c r="D39" s="1">
        <v>42685</v>
      </c>
      <c r="E39" s="2">
        <v>108.43</v>
      </c>
      <c r="F39" s="3">
        <v>215.15187399999999</v>
      </c>
      <c r="G39" s="2">
        <f t="shared" si="2"/>
        <v>0.63999900000000309</v>
      </c>
      <c r="H39" s="2">
        <f t="shared" si="3"/>
        <v>-0.49707000000000789</v>
      </c>
      <c r="I39" s="4">
        <f t="shared" si="0"/>
        <v>0.57761973036451009</v>
      </c>
      <c r="J39" s="4">
        <f t="shared" si="1"/>
        <v>-0.59829093898069108</v>
      </c>
      <c r="K39" s="4">
        <f t="shared" si="4"/>
        <v>2.285522330290549</v>
      </c>
      <c r="L39" s="4">
        <f t="shared" si="5"/>
        <v>1.5117944074147611</v>
      </c>
      <c r="M39" s="4">
        <f t="shared" si="6"/>
        <v>1</v>
      </c>
      <c r="N39" s="4">
        <f t="shared" si="7"/>
        <v>0.52504409346438063</v>
      </c>
      <c r="O39" s="3">
        <f t="shared" si="8"/>
        <v>0.63999900000000309</v>
      </c>
      <c r="P39" s="3">
        <f t="shared" si="9"/>
        <v>-0.49707000000000789</v>
      </c>
      <c r="Q39">
        <f t="shared" si="10"/>
        <v>1</v>
      </c>
      <c r="R39" s="3">
        <f t="shared" si="11"/>
        <v>0.63999900000000309</v>
      </c>
      <c r="S39" s="3">
        <f t="shared" si="12"/>
        <v>-0.49707000000000789</v>
      </c>
      <c r="T39">
        <f t="shared" si="13"/>
        <v>1</v>
      </c>
      <c r="U39" s="3">
        <f t="shared" si="14"/>
        <v>0.63999900000000309</v>
      </c>
      <c r="V39" s="3">
        <f t="shared" si="15"/>
        <v>-0.49707000000000789</v>
      </c>
      <c r="W39">
        <f t="shared" si="16"/>
        <v>1</v>
      </c>
      <c r="X39" s="3">
        <f t="shared" si="17"/>
        <v>0</v>
      </c>
      <c r="Y39" s="3">
        <f t="shared" si="18"/>
        <v>0</v>
      </c>
      <c r="Z39">
        <f t="shared" si="19"/>
        <v>0</v>
      </c>
      <c r="AA39" s="3">
        <f t="shared" si="20"/>
        <v>0</v>
      </c>
      <c r="AB39" s="3">
        <f t="shared" si="21"/>
        <v>0</v>
      </c>
      <c r="AC39">
        <f t="shared" si="22"/>
        <v>0</v>
      </c>
      <c r="AD39" s="3">
        <f t="shared" si="23"/>
        <v>0</v>
      </c>
      <c r="AE39" s="3">
        <f t="shared" si="24"/>
        <v>0</v>
      </c>
      <c r="AF39">
        <f t="shared" si="25"/>
        <v>0</v>
      </c>
      <c r="AG39" s="3">
        <f t="shared" si="26"/>
        <v>0</v>
      </c>
      <c r="AH39" s="3">
        <f t="shared" si="27"/>
        <v>0</v>
      </c>
      <c r="AI39">
        <f t="shared" si="28"/>
        <v>0</v>
      </c>
      <c r="AJ39" s="3">
        <f t="shared" si="29"/>
        <v>0</v>
      </c>
      <c r="AK39" s="3">
        <f t="shared" si="30"/>
        <v>0</v>
      </c>
      <c r="AL39">
        <f t="shared" si="31"/>
        <v>0</v>
      </c>
      <c r="AM39" s="3">
        <f t="shared" si="32"/>
        <v>0</v>
      </c>
      <c r="AN39" s="3">
        <f t="shared" si="33"/>
        <v>0</v>
      </c>
      <c r="AO39">
        <f t="shared" si="34"/>
        <v>0</v>
      </c>
      <c r="AP39" s="3">
        <f t="shared" si="35"/>
        <v>0</v>
      </c>
      <c r="AQ39" s="3">
        <f t="shared" si="36"/>
        <v>0</v>
      </c>
      <c r="AR39">
        <f t="shared" si="37"/>
        <v>0</v>
      </c>
    </row>
    <row r="40" spans="1:44" x14ac:dyDescent="0.25">
      <c r="A40" s="10">
        <f t="shared" si="38"/>
        <v>7</v>
      </c>
      <c r="B40" s="13">
        <f>SUM(AL2:AL505)</f>
        <v>154</v>
      </c>
      <c r="C40" s="15">
        <f>CORREL(AJ2:AJ505,AK2:AK505)</f>
        <v>0.6048887029463893</v>
      </c>
      <c r="D40" s="1">
        <v>42684</v>
      </c>
      <c r="E40" s="2">
        <v>107.790001</v>
      </c>
      <c r="F40" s="3">
        <v>215.648944</v>
      </c>
      <c r="G40" s="2">
        <f t="shared" si="2"/>
        <v>-3.0899959999999993</v>
      </c>
      <c r="H40" s="2">
        <f t="shared" si="3"/>
        <v>0.53682900000001155</v>
      </c>
      <c r="I40" s="4">
        <f t="shared" si="0"/>
        <v>-3.1523752696354923</v>
      </c>
      <c r="J40" s="4">
        <f t="shared" si="1"/>
        <v>0.43560806101932836</v>
      </c>
      <c r="K40" s="4">
        <f t="shared" si="4"/>
        <v>25.06609934793277</v>
      </c>
      <c r="L40" s="4">
        <f t="shared" si="5"/>
        <v>5.0066055714358777</v>
      </c>
      <c r="M40" s="4">
        <f t="shared" si="6"/>
        <v>0.39947225150121157</v>
      </c>
      <c r="N40" s="4">
        <f t="shared" si="7"/>
        <v>4.7873423915834171E-2</v>
      </c>
      <c r="O40" s="3">
        <f t="shared" si="8"/>
        <v>-3.0899959999999993</v>
      </c>
      <c r="P40" s="3">
        <f t="shared" si="9"/>
        <v>0.53682900000001155</v>
      </c>
      <c r="Q40">
        <f t="shared" si="10"/>
        <v>1</v>
      </c>
      <c r="R40" s="3">
        <f t="shared" si="11"/>
        <v>-3.0899959999999993</v>
      </c>
      <c r="S40" s="3">
        <f t="shared" si="12"/>
        <v>0.53682900000001155</v>
      </c>
      <c r="T40">
        <f t="shared" si="13"/>
        <v>1</v>
      </c>
      <c r="U40" s="3">
        <f t="shared" si="14"/>
        <v>-3.0899959999999993</v>
      </c>
      <c r="V40" s="3">
        <f t="shared" si="15"/>
        <v>0.53682900000001155</v>
      </c>
      <c r="W40">
        <f t="shared" si="16"/>
        <v>1</v>
      </c>
      <c r="X40" s="3">
        <f t="shared" si="17"/>
        <v>-3.0899959999999993</v>
      </c>
      <c r="Y40" s="3">
        <f t="shared" si="18"/>
        <v>0.53682900000001155</v>
      </c>
      <c r="Z40">
        <f t="shared" si="19"/>
        <v>1</v>
      </c>
      <c r="AA40" s="3">
        <f t="shared" si="20"/>
        <v>-3.0899959999999993</v>
      </c>
      <c r="AB40" s="3">
        <f t="shared" si="21"/>
        <v>0.53682900000001155</v>
      </c>
      <c r="AC40">
        <f t="shared" si="22"/>
        <v>1</v>
      </c>
      <c r="AD40" s="3">
        <f t="shared" si="23"/>
        <v>-3.0899959999999993</v>
      </c>
      <c r="AE40" s="3">
        <f t="shared" si="24"/>
        <v>0.53682900000001155</v>
      </c>
      <c r="AF40">
        <f t="shared" si="25"/>
        <v>1</v>
      </c>
      <c r="AG40" s="3">
        <f t="shared" si="26"/>
        <v>-3.0899959999999993</v>
      </c>
      <c r="AH40" s="3">
        <f t="shared" si="27"/>
        <v>0.53682900000001155</v>
      </c>
      <c r="AI40">
        <f t="shared" si="28"/>
        <v>1</v>
      </c>
      <c r="AJ40" s="3">
        <f t="shared" si="29"/>
        <v>-3.0899959999999993</v>
      </c>
      <c r="AK40" s="3">
        <f t="shared" si="30"/>
        <v>0.53682900000001155</v>
      </c>
      <c r="AL40">
        <f t="shared" si="31"/>
        <v>1</v>
      </c>
      <c r="AM40" s="3">
        <f t="shared" si="32"/>
        <v>-3.0899959999999993</v>
      </c>
      <c r="AN40" s="3">
        <f t="shared" si="33"/>
        <v>0.53682900000001155</v>
      </c>
      <c r="AO40">
        <f t="shared" si="34"/>
        <v>1</v>
      </c>
      <c r="AP40" s="3">
        <f t="shared" si="35"/>
        <v>-3.0899959999999993</v>
      </c>
      <c r="AQ40" s="3">
        <f t="shared" si="36"/>
        <v>0.53682900000001155</v>
      </c>
      <c r="AR40">
        <f t="shared" si="37"/>
        <v>1</v>
      </c>
    </row>
    <row r="41" spans="1:44" x14ac:dyDescent="0.25">
      <c r="A41" s="10">
        <f t="shared" si="38"/>
        <v>8</v>
      </c>
      <c r="B41" s="13">
        <f>SUM(AO2:AO505)</f>
        <v>139</v>
      </c>
      <c r="C41" s="15">
        <f>CORREL(AM2:AM505,AN2:AN505)</f>
        <v>0.59869051659920314</v>
      </c>
      <c r="D41" s="1">
        <v>42683</v>
      </c>
      <c r="E41" s="2">
        <v>110.879997</v>
      </c>
      <c r="F41" s="3">
        <v>215.11211499999999</v>
      </c>
      <c r="G41" s="2">
        <f t="shared" si="2"/>
        <v>-0.18000099999999009</v>
      </c>
      <c r="H41" s="2">
        <f t="shared" si="3"/>
        <v>2.2567029999999875</v>
      </c>
      <c r="I41" s="4">
        <f t="shared" si="0"/>
        <v>-0.24238026963548309</v>
      </c>
      <c r="J41" s="4">
        <f t="shared" si="1"/>
        <v>2.1554820610193044</v>
      </c>
      <c r="K41" s="4">
        <f t="shared" si="4"/>
        <v>10.290682609416868</v>
      </c>
      <c r="L41" s="4">
        <f t="shared" si="5"/>
        <v>3.2079093829808953</v>
      </c>
      <c r="M41" s="4">
        <f t="shared" si="6"/>
        <v>0.6234590074802967</v>
      </c>
      <c r="N41" s="4">
        <f t="shared" si="7"/>
        <v>0.116610340202495</v>
      </c>
      <c r="O41" s="3">
        <f t="shared" si="8"/>
        <v>-0.18000099999999009</v>
      </c>
      <c r="P41" s="3">
        <f t="shared" si="9"/>
        <v>2.2567029999999875</v>
      </c>
      <c r="Q41">
        <f t="shared" si="10"/>
        <v>1</v>
      </c>
      <c r="R41" s="3">
        <f t="shared" si="11"/>
        <v>-0.18000099999999009</v>
      </c>
      <c r="S41" s="3">
        <f t="shared" si="12"/>
        <v>2.2567029999999875</v>
      </c>
      <c r="T41">
        <f t="shared" si="13"/>
        <v>1</v>
      </c>
      <c r="U41" s="3">
        <f t="shared" si="14"/>
        <v>-0.18000099999999009</v>
      </c>
      <c r="V41" s="3">
        <f t="shared" si="15"/>
        <v>2.2567029999999875</v>
      </c>
      <c r="W41">
        <f t="shared" si="16"/>
        <v>1</v>
      </c>
      <c r="X41" s="3">
        <f t="shared" si="17"/>
        <v>-0.18000099999999009</v>
      </c>
      <c r="Y41" s="3">
        <f t="shared" si="18"/>
        <v>2.2567029999999875</v>
      </c>
      <c r="Z41">
        <f t="shared" si="19"/>
        <v>1</v>
      </c>
      <c r="AA41" s="3">
        <f t="shared" si="20"/>
        <v>-0.18000099999999009</v>
      </c>
      <c r="AB41" s="3">
        <f t="shared" si="21"/>
        <v>2.2567029999999875</v>
      </c>
      <c r="AC41">
        <f t="shared" si="22"/>
        <v>1</v>
      </c>
      <c r="AD41" s="3">
        <f t="shared" si="23"/>
        <v>-0.18000099999999009</v>
      </c>
      <c r="AE41" s="3">
        <f t="shared" si="24"/>
        <v>2.2567029999999875</v>
      </c>
      <c r="AF41">
        <f t="shared" si="25"/>
        <v>1</v>
      </c>
      <c r="AG41" s="3">
        <f t="shared" si="26"/>
        <v>-0.18000099999999009</v>
      </c>
      <c r="AH41" s="3">
        <f t="shared" si="27"/>
        <v>2.2567029999999875</v>
      </c>
      <c r="AI41">
        <f t="shared" si="28"/>
        <v>1</v>
      </c>
      <c r="AJ41" s="3">
        <f t="shared" si="29"/>
        <v>-0.18000099999999009</v>
      </c>
      <c r="AK41" s="3">
        <f t="shared" si="30"/>
        <v>2.2567029999999875</v>
      </c>
      <c r="AL41">
        <f t="shared" si="31"/>
        <v>1</v>
      </c>
      <c r="AM41" s="3">
        <f t="shared" si="32"/>
        <v>-0.18000099999999009</v>
      </c>
      <c r="AN41" s="3">
        <f t="shared" si="33"/>
        <v>2.2567029999999875</v>
      </c>
      <c r="AO41">
        <f t="shared" si="34"/>
        <v>1</v>
      </c>
      <c r="AP41" s="3">
        <f t="shared" si="35"/>
        <v>-0.18000099999999009</v>
      </c>
      <c r="AQ41" s="3">
        <f t="shared" si="36"/>
        <v>2.2567029999999875</v>
      </c>
      <c r="AR41">
        <f t="shared" si="37"/>
        <v>1</v>
      </c>
    </row>
    <row r="42" spans="1:44" x14ac:dyDescent="0.25">
      <c r="A42" s="10">
        <f t="shared" si="38"/>
        <v>9</v>
      </c>
      <c r="B42" s="16">
        <f>SUM(AR2:AR505)</f>
        <v>127</v>
      </c>
      <c r="C42" s="14">
        <f>CORREL(AP2:AP505,AQ2:AQ505)</f>
        <v>0.59323337424403888</v>
      </c>
      <c r="D42" s="1">
        <v>42682</v>
      </c>
      <c r="E42" s="2">
        <v>111.05999799999999</v>
      </c>
      <c r="F42" s="3">
        <v>212.855412</v>
      </c>
      <c r="G42" s="2">
        <f t="shared" si="2"/>
        <v>0.64999399999999241</v>
      </c>
      <c r="H42" s="2">
        <f t="shared" si="3"/>
        <v>0.95438200000000961</v>
      </c>
      <c r="I42" s="4">
        <f t="shared" si="0"/>
        <v>0.5876147303644994</v>
      </c>
      <c r="J42" s="4">
        <f t="shared" si="1"/>
        <v>0.85316106101932643</v>
      </c>
      <c r="K42" s="4">
        <f t="shared" si="4"/>
        <v>0.81360102640493159</v>
      </c>
      <c r="L42" s="4">
        <f t="shared" si="5"/>
        <v>0.90199835166419873</v>
      </c>
      <c r="M42" s="4">
        <f t="shared" si="6"/>
        <v>1</v>
      </c>
      <c r="N42" s="4">
        <f t="shared" si="7"/>
        <v>1</v>
      </c>
      <c r="O42" s="3">
        <f t="shared" si="8"/>
        <v>0.64999399999999241</v>
      </c>
      <c r="P42" s="3">
        <f t="shared" si="9"/>
        <v>0.95438200000000961</v>
      </c>
      <c r="Q42">
        <f t="shared" si="10"/>
        <v>1</v>
      </c>
      <c r="R42" s="3">
        <f t="shared" si="11"/>
        <v>0</v>
      </c>
      <c r="S42" s="3">
        <f t="shared" si="12"/>
        <v>0</v>
      </c>
      <c r="T42">
        <f t="shared" si="13"/>
        <v>0</v>
      </c>
      <c r="U42" s="3">
        <f t="shared" si="14"/>
        <v>0</v>
      </c>
      <c r="V42" s="3">
        <f t="shared" si="15"/>
        <v>0</v>
      </c>
      <c r="W42">
        <f t="shared" si="16"/>
        <v>0</v>
      </c>
      <c r="X42" s="3">
        <f t="shared" si="17"/>
        <v>0</v>
      </c>
      <c r="Y42" s="3">
        <f t="shared" si="18"/>
        <v>0</v>
      </c>
      <c r="Z42">
        <f t="shared" si="19"/>
        <v>0</v>
      </c>
      <c r="AA42" s="3">
        <f t="shared" si="20"/>
        <v>0</v>
      </c>
      <c r="AB42" s="3">
        <f t="shared" si="21"/>
        <v>0</v>
      </c>
      <c r="AC42">
        <f t="shared" si="22"/>
        <v>0</v>
      </c>
      <c r="AD42" s="3">
        <f t="shared" si="23"/>
        <v>0</v>
      </c>
      <c r="AE42" s="3">
        <f t="shared" si="24"/>
        <v>0</v>
      </c>
      <c r="AF42">
        <f t="shared" si="25"/>
        <v>0</v>
      </c>
      <c r="AG42" s="3">
        <f t="shared" si="26"/>
        <v>0</v>
      </c>
      <c r="AH42" s="3">
        <f t="shared" si="27"/>
        <v>0</v>
      </c>
      <c r="AI42">
        <f t="shared" si="28"/>
        <v>0</v>
      </c>
      <c r="AJ42" s="3">
        <f t="shared" si="29"/>
        <v>0</v>
      </c>
      <c r="AK42" s="3">
        <f t="shared" si="30"/>
        <v>0</v>
      </c>
      <c r="AL42">
        <f t="shared" si="31"/>
        <v>0</v>
      </c>
      <c r="AM42" s="3">
        <f t="shared" si="32"/>
        <v>0</v>
      </c>
      <c r="AN42" s="3">
        <f t="shared" si="33"/>
        <v>0</v>
      </c>
      <c r="AO42">
        <f t="shared" si="34"/>
        <v>0</v>
      </c>
      <c r="AP42" s="3">
        <f t="shared" si="35"/>
        <v>0</v>
      </c>
      <c r="AQ42" s="3">
        <f t="shared" si="36"/>
        <v>0</v>
      </c>
      <c r="AR42">
        <f t="shared" si="37"/>
        <v>0</v>
      </c>
    </row>
    <row r="43" spans="1:44" x14ac:dyDescent="0.25">
      <c r="B43" s="6"/>
      <c r="D43" s="1">
        <v>42681</v>
      </c>
      <c r="E43" s="2">
        <v>110.410004</v>
      </c>
      <c r="F43" s="3">
        <v>211.90102999999999</v>
      </c>
      <c r="G43" s="2">
        <f t="shared" si="2"/>
        <v>1.5700080000000014</v>
      </c>
      <c r="H43" s="2">
        <f t="shared" si="3"/>
        <v>4.5730369999999994</v>
      </c>
      <c r="I43" s="4">
        <f t="shared" si="0"/>
        <v>1.5076287303645084</v>
      </c>
      <c r="J43" s="4">
        <f t="shared" si="1"/>
        <v>4.4718160610193163</v>
      </c>
      <c r="K43" s="4">
        <f t="shared" si="4"/>
        <v>25.255009915943198</v>
      </c>
      <c r="L43" s="4">
        <f t="shared" si="5"/>
        <v>5.0254362911038077</v>
      </c>
      <c r="M43" s="4">
        <f t="shared" si="6"/>
        <v>0.39797539639303869</v>
      </c>
      <c r="N43" s="4">
        <f t="shared" si="7"/>
        <v>4.7515324840258874E-2</v>
      </c>
      <c r="O43" s="3">
        <f t="shared" si="8"/>
        <v>1.5700080000000014</v>
      </c>
      <c r="P43" s="3">
        <f t="shared" si="9"/>
        <v>4.5730369999999994</v>
      </c>
      <c r="Q43">
        <f t="shared" si="10"/>
        <v>1</v>
      </c>
      <c r="R43" s="3">
        <f t="shared" si="11"/>
        <v>1.5700080000000014</v>
      </c>
      <c r="S43" s="3">
        <f t="shared" si="12"/>
        <v>4.5730369999999994</v>
      </c>
      <c r="T43">
        <f t="shared" si="13"/>
        <v>1</v>
      </c>
      <c r="U43" s="3">
        <f t="shared" si="14"/>
        <v>1.5700080000000014</v>
      </c>
      <c r="V43" s="3">
        <f t="shared" si="15"/>
        <v>4.5730369999999994</v>
      </c>
      <c r="W43">
        <f t="shared" si="16"/>
        <v>1</v>
      </c>
      <c r="X43" s="3">
        <f t="shared" si="17"/>
        <v>1.5700080000000014</v>
      </c>
      <c r="Y43" s="3">
        <f t="shared" si="18"/>
        <v>4.5730369999999994</v>
      </c>
      <c r="Z43">
        <f t="shared" si="19"/>
        <v>1</v>
      </c>
      <c r="AA43" s="3">
        <f t="shared" si="20"/>
        <v>1.5700080000000014</v>
      </c>
      <c r="AB43" s="3">
        <f t="shared" si="21"/>
        <v>4.5730369999999994</v>
      </c>
      <c r="AC43">
        <f t="shared" si="22"/>
        <v>1</v>
      </c>
      <c r="AD43" s="3">
        <f t="shared" si="23"/>
        <v>1.5700080000000014</v>
      </c>
      <c r="AE43" s="3">
        <f t="shared" si="24"/>
        <v>4.5730369999999994</v>
      </c>
      <c r="AF43">
        <f t="shared" si="25"/>
        <v>1</v>
      </c>
      <c r="AG43" s="3">
        <f t="shared" si="26"/>
        <v>1.5700080000000014</v>
      </c>
      <c r="AH43" s="3">
        <f t="shared" si="27"/>
        <v>4.5730369999999994</v>
      </c>
      <c r="AI43">
        <f t="shared" si="28"/>
        <v>1</v>
      </c>
      <c r="AJ43" s="3">
        <f t="shared" si="29"/>
        <v>1.5700080000000014</v>
      </c>
      <c r="AK43" s="3">
        <f t="shared" si="30"/>
        <v>4.5730369999999994</v>
      </c>
      <c r="AL43">
        <f t="shared" si="31"/>
        <v>1</v>
      </c>
      <c r="AM43" s="3">
        <f t="shared" si="32"/>
        <v>1.5700080000000014</v>
      </c>
      <c r="AN43" s="3">
        <f t="shared" si="33"/>
        <v>4.5730369999999994</v>
      </c>
      <c r="AO43">
        <f t="shared" si="34"/>
        <v>1</v>
      </c>
      <c r="AP43" s="3">
        <f t="shared" si="35"/>
        <v>1.5700080000000014</v>
      </c>
      <c r="AQ43" s="3">
        <f t="shared" si="36"/>
        <v>4.5730369999999994</v>
      </c>
      <c r="AR43">
        <f t="shared" si="37"/>
        <v>1</v>
      </c>
    </row>
    <row r="44" spans="1:44" x14ac:dyDescent="0.25">
      <c r="B44" s="6"/>
      <c r="D44" s="1">
        <v>42678</v>
      </c>
      <c r="E44" s="2">
        <v>108.839996</v>
      </c>
      <c r="F44" s="3">
        <v>207.32799299999999</v>
      </c>
      <c r="G44" s="2">
        <f t="shared" si="2"/>
        <v>-0.99000599999999395</v>
      </c>
      <c r="H44" s="2">
        <f t="shared" si="3"/>
        <v>-0.22864800000002106</v>
      </c>
      <c r="I44" s="4">
        <f t="shared" si="0"/>
        <v>-1.052385269635487</v>
      </c>
      <c r="J44" s="4">
        <f t="shared" si="1"/>
        <v>-0.32986893898070424</v>
      </c>
      <c r="K44" s="4">
        <f t="shared" si="4"/>
        <v>1.6615725273401096</v>
      </c>
      <c r="L44" s="4">
        <f t="shared" si="5"/>
        <v>1.289019987176347</v>
      </c>
      <c r="M44" s="4">
        <f t="shared" si="6"/>
        <v>1</v>
      </c>
      <c r="N44" s="4">
        <f t="shared" si="7"/>
        <v>1</v>
      </c>
      <c r="O44" s="3">
        <f t="shared" si="8"/>
        <v>-0.99000599999999395</v>
      </c>
      <c r="P44" s="3">
        <f t="shared" si="9"/>
        <v>-0.22864800000002106</v>
      </c>
      <c r="Q44">
        <f t="shared" si="10"/>
        <v>1</v>
      </c>
      <c r="R44" s="3">
        <f t="shared" si="11"/>
        <v>-0.99000599999999395</v>
      </c>
      <c r="S44" s="3">
        <f t="shared" si="12"/>
        <v>-0.22864800000002106</v>
      </c>
      <c r="T44">
        <f t="shared" si="13"/>
        <v>1</v>
      </c>
      <c r="U44" s="3">
        <f t="shared" si="14"/>
        <v>0</v>
      </c>
      <c r="V44" s="3">
        <f t="shared" si="15"/>
        <v>0</v>
      </c>
      <c r="W44">
        <f t="shared" si="16"/>
        <v>0</v>
      </c>
      <c r="X44" s="3">
        <f t="shared" si="17"/>
        <v>0</v>
      </c>
      <c r="Y44" s="3">
        <f t="shared" si="18"/>
        <v>0</v>
      </c>
      <c r="Z44">
        <f t="shared" si="19"/>
        <v>0</v>
      </c>
      <c r="AA44" s="3">
        <f t="shared" si="20"/>
        <v>0</v>
      </c>
      <c r="AB44" s="3">
        <f t="shared" si="21"/>
        <v>0</v>
      </c>
      <c r="AC44">
        <f t="shared" si="22"/>
        <v>0</v>
      </c>
      <c r="AD44" s="3">
        <f t="shared" si="23"/>
        <v>0</v>
      </c>
      <c r="AE44" s="3">
        <f t="shared" si="24"/>
        <v>0</v>
      </c>
      <c r="AF44">
        <f t="shared" si="25"/>
        <v>0</v>
      </c>
      <c r="AG44" s="3">
        <f t="shared" si="26"/>
        <v>0</v>
      </c>
      <c r="AH44" s="3">
        <f t="shared" si="27"/>
        <v>0</v>
      </c>
      <c r="AI44">
        <f t="shared" si="28"/>
        <v>0</v>
      </c>
      <c r="AJ44" s="3">
        <f t="shared" si="29"/>
        <v>0</v>
      </c>
      <c r="AK44" s="3">
        <f t="shared" si="30"/>
        <v>0</v>
      </c>
      <c r="AL44">
        <f t="shared" si="31"/>
        <v>0</v>
      </c>
      <c r="AM44" s="3">
        <f t="shared" si="32"/>
        <v>0</v>
      </c>
      <c r="AN44" s="3">
        <f t="shared" si="33"/>
        <v>0</v>
      </c>
      <c r="AO44">
        <f t="shared" si="34"/>
        <v>0</v>
      </c>
      <c r="AP44" s="3">
        <f t="shared" si="35"/>
        <v>0</v>
      </c>
      <c r="AQ44" s="3">
        <f t="shared" si="36"/>
        <v>0</v>
      </c>
      <c r="AR44">
        <f t="shared" si="37"/>
        <v>0</v>
      </c>
    </row>
    <row r="45" spans="1:44" x14ac:dyDescent="0.25">
      <c r="B45" s="6"/>
      <c r="D45" s="1">
        <v>42677</v>
      </c>
      <c r="E45" s="2">
        <v>109.83000199999999</v>
      </c>
      <c r="F45" s="3">
        <v>207.55664100000001</v>
      </c>
      <c r="G45" s="2">
        <f t="shared" si="2"/>
        <v>-1.1899930000000012</v>
      </c>
      <c r="H45" s="2">
        <f t="shared" si="3"/>
        <v>-0.95438199999998119</v>
      </c>
      <c r="I45" s="4">
        <f t="shared" si="0"/>
        <v>-1.2523722696354942</v>
      </c>
      <c r="J45" s="4">
        <f t="shared" si="1"/>
        <v>-1.0556029389806645</v>
      </c>
      <c r="K45" s="4">
        <f t="shared" si="4"/>
        <v>2.018519974115546</v>
      </c>
      <c r="L45" s="4">
        <f t="shared" si="5"/>
        <v>1.4207462736588634</v>
      </c>
      <c r="M45" s="4">
        <f t="shared" si="6"/>
        <v>1</v>
      </c>
      <c r="N45" s="4">
        <f t="shared" si="7"/>
        <v>0.59449498414094393</v>
      </c>
      <c r="O45" s="3">
        <f t="shared" si="8"/>
        <v>-1.1899930000000012</v>
      </c>
      <c r="P45" s="3">
        <f t="shared" si="9"/>
        <v>-0.95438199999998119</v>
      </c>
      <c r="Q45">
        <f t="shared" si="10"/>
        <v>1</v>
      </c>
      <c r="R45" s="3">
        <f t="shared" si="11"/>
        <v>-1.1899930000000012</v>
      </c>
      <c r="S45" s="3">
        <f t="shared" si="12"/>
        <v>-0.95438199999998119</v>
      </c>
      <c r="T45">
        <f t="shared" si="13"/>
        <v>1</v>
      </c>
      <c r="U45" s="3">
        <f t="shared" si="14"/>
        <v>-1.1899930000000012</v>
      </c>
      <c r="V45" s="3">
        <f t="shared" si="15"/>
        <v>-0.95438199999998119</v>
      </c>
      <c r="W45">
        <f t="shared" si="16"/>
        <v>1</v>
      </c>
      <c r="X45" s="3">
        <f t="shared" si="17"/>
        <v>0</v>
      </c>
      <c r="Y45" s="3">
        <f t="shared" si="18"/>
        <v>0</v>
      </c>
      <c r="Z45">
        <f t="shared" si="19"/>
        <v>0</v>
      </c>
      <c r="AA45" s="3">
        <f t="shared" si="20"/>
        <v>0</v>
      </c>
      <c r="AB45" s="3">
        <f t="shared" si="21"/>
        <v>0</v>
      </c>
      <c r="AC45">
        <f t="shared" si="22"/>
        <v>0</v>
      </c>
      <c r="AD45" s="3">
        <f t="shared" si="23"/>
        <v>0</v>
      </c>
      <c r="AE45" s="3">
        <f t="shared" si="24"/>
        <v>0</v>
      </c>
      <c r="AF45">
        <f t="shared" si="25"/>
        <v>0</v>
      </c>
      <c r="AG45" s="3">
        <f t="shared" si="26"/>
        <v>0</v>
      </c>
      <c r="AH45" s="3">
        <f t="shared" si="27"/>
        <v>0</v>
      </c>
      <c r="AI45">
        <f t="shared" si="28"/>
        <v>0</v>
      </c>
      <c r="AJ45" s="3">
        <f t="shared" si="29"/>
        <v>0</v>
      </c>
      <c r="AK45" s="3">
        <f t="shared" si="30"/>
        <v>0</v>
      </c>
      <c r="AL45">
        <f t="shared" si="31"/>
        <v>0</v>
      </c>
      <c r="AM45" s="3">
        <f t="shared" si="32"/>
        <v>0</v>
      </c>
      <c r="AN45" s="3">
        <f t="shared" si="33"/>
        <v>0</v>
      </c>
      <c r="AO45">
        <f t="shared" si="34"/>
        <v>0</v>
      </c>
      <c r="AP45" s="3">
        <f t="shared" si="35"/>
        <v>0</v>
      </c>
      <c r="AQ45" s="3">
        <f t="shared" si="36"/>
        <v>0</v>
      </c>
      <c r="AR45">
        <f t="shared" si="37"/>
        <v>0</v>
      </c>
    </row>
    <row r="46" spans="1:44" x14ac:dyDescent="0.25">
      <c r="B46" s="6"/>
      <c r="D46" s="1">
        <v>42676</v>
      </c>
      <c r="E46" s="2">
        <v>111.01999499999999</v>
      </c>
      <c r="F46" s="3">
        <v>208.51102299999999</v>
      </c>
      <c r="G46" s="2">
        <f t="shared" si="2"/>
        <v>9.9487999999993804E-2</v>
      </c>
      <c r="H46" s="2">
        <f t="shared" si="3"/>
        <v>-1.2625470000000121</v>
      </c>
      <c r="I46" s="4">
        <f t="shared" si="0"/>
        <v>3.710873036450079E-2</v>
      </c>
      <c r="J46" s="4">
        <f t="shared" si="1"/>
        <v>-1.3637679389806954</v>
      </c>
      <c r="K46" s="4">
        <f t="shared" si="4"/>
        <v>3.6608561507362514</v>
      </c>
      <c r="L46" s="4">
        <f t="shared" si="5"/>
        <v>1.9133363924663773</v>
      </c>
      <c r="M46" s="4">
        <f t="shared" si="6"/>
        <v>1</v>
      </c>
      <c r="N46" s="4">
        <f t="shared" si="7"/>
        <v>0.32779217499673197</v>
      </c>
      <c r="O46" s="3">
        <f t="shared" si="8"/>
        <v>9.9487999999993804E-2</v>
      </c>
      <c r="P46" s="3">
        <f t="shared" si="9"/>
        <v>-1.2625470000000121</v>
      </c>
      <c r="Q46">
        <f t="shared" si="10"/>
        <v>1</v>
      </c>
      <c r="R46" s="3">
        <f t="shared" si="11"/>
        <v>9.9487999999993804E-2</v>
      </c>
      <c r="S46" s="3">
        <f t="shared" si="12"/>
        <v>-1.2625470000000121</v>
      </c>
      <c r="T46">
        <f t="shared" si="13"/>
        <v>1</v>
      </c>
      <c r="U46" s="3">
        <f t="shared" si="14"/>
        <v>9.9487999999993804E-2</v>
      </c>
      <c r="V46" s="3">
        <f t="shared" si="15"/>
        <v>-1.2625470000000121</v>
      </c>
      <c r="W46">
        <f t="shared" si="16"/>
        <v>1</v>
      </c>
      <c r="X46" s="3">
        <f t="shared" si="17"/>
        <v>9.9487999999993804E-2</v>
      </c>
      <c r="Y46" s="3">
        <f t="shared" si="18"/>
        <v>-1.2625470000000121</v>
      </c>
      <c r="Z46">
        <f t="shared" si="19"/>
        <v>1</v>
      </c>
      <c r="AA46" s="3">
        <f t="shared" si="20"/>
        <v>0</v>
      </c>
      <c r="AB46" s="3">
        <f t="shared" si="21"/>
        <v>0</v>
      </c>
      <c r="AC46">
        <f t="shared" si="22"/>
        <v>0</v>
      </c>
      <c r="AD46" s="3">
        <f t="shared" si="23"/>
        <v>0</v>
      </c>
      <c r="AE46" s="3">
        <f t="shared" si="24"/>
        <v>0</v>
      </c>
      <c r="AF46">
        <f t="shared" si="25"/>
        <v>0</v>
      </c>
      <c r="AG46" s="3">
        <f t="shared" si="26"/>
        <v>0</v>
      </c>
      <c r="AH46" s="3">
        <f t="shared" si="27"/>
        <v>0</v>
      </c>
      <c r="AI46">
        <f t="shared" si="28"/>
        <v>0</v>
      </c>
      <c r="AJ46" s="3">
        <f t="shared" si="29"/>
        <v>0</v>
      </c>
      <c r="AK46" s="3">
        <f t="shared" si="30"/>
        <v>0</v>
      </c>
      <c r="AL46">
        <f t="shared" si="31"/>
        <v>0</v>
      </c>
      <c r="AM46" s="3">
        <f t="shared" si="32"/>
        <v>0</v>
      </c>
      <c r="AN46" s="3">
        <f t="shared" si="33"/>
        <v>0</v>
      </c>
      <c r="AO46">
        <f t="shared" si="34"/>
        <v>0</v>
      </c>
      <c r="AP46" s="3">
        <f t="shared" si="35"/>
        <v>0</v>
      </c>
      <c r="AQ46" s="3">
        <f t="shared" si="36"/>
        <v>0</v>
      </c>
      <c r="AR46">
        <f t="shared" si="37"/>
        <v>0</v>
      </c>
    </row>
    <row r="47" spans="1:44" x14ac:dyDescent="0.25">
      <c r="B47" s="6"/>
      <c r="D47" s="1">
        <v>42675</v>
      </c>
      <c r="E47" s="2">
        <v>110.920507</v>
      </c>
      <c r="F47" s="3">
        <v>209.77357000000001</v>
      </c>
      <c r="G47" s="2">
        <f t="shared" si="2"/>
        <v>-2.0395319999999941</v>
      </c>
      <c r="H47" s="2">
        <f t="shared" si="3"/>
        <v>-1.5309849999999869</v>
      </c>
      <c r="I47" s="4">
        <f t="shared" si="0"/>
        <v>-2.1019112696354871</v>
      </c>
      <c r="J47" s="4">
        <f t="shared" si="1"/>
        <v>-1.6322059389806702</v>
      </c>
      <c r="K47" s="4">
        <f t="shared" si="4"/>
        <v>5.5465542571300794</v>
      </c>
      <c r="L47" s="4">
        <f t="shared" si="5"/>
        <v>2.3551123661367157</v>
      </c>
      <c r="M47" s="4">
        <f t="shared" si="6"/>
        <v>0.84921638082210249</v>
      </c>
      <c r="N47" s="4">
        <f t="shared" si="7"/>
        <v>0.21635053843697705</v>
      </c>
      <c r="O47" s="3">
        <f t="shared" si="8"/>
        <v>-2.0395319999999941</v>
      </c>
      <c r="P47" s="3">
        <f t="shared" si="9"/>
        <v>-1.5309849999999869</v>
      </c>
      <c r="Q47">
        <f t="shared" si="10"/>
        <v>1</v>
      </c>
      <c r="R47" s="3">
        <f t="shared" si="11"/>
        <v>-2.0395319999999941</v>
      </c>
      <c r="S47" s="3">
        <f t="shared" si="12"/>
        <v>-1.5309849999999869</v>
      </c>
      <c r="T47">
        <f t="shared" si="13"/>
        <v>1</v>
      </c>
      <c r="U47" s="3">
        <f t="shared" si="14"/>
        <v>-2.0395319999999941</v>
      </c>
      <c r="V47" s="3">
        <f t="shared" si="15"/>
        <v>-1.5309849999999869</v>
      </c>
      <c r="W47">
        <f t="shared" si="16"/>
        <v>1</v>
      </c>
      <c r="X47" s="3">
        <f t="shared" si="17"/>
        <v>-2.0395319999999941</v>
      </c>
      <c r="Y47" s="3">
        <f t="shared" si="18"/>
        <v>-1.5309849999999869</v>
      </c>
      <c r="Z47">
        <f t="shared" si="19"/>
        <v>1</v>
      </c>
      <c r="AA47" s="3">
        <f t="shared" si="20"/>
        <v>-2.0395319999999941</v>
      </c>
      <c r="AB47" s="3">
        <f t="shared" si="21"/>
        <v>-1.5309849999999869</v>
      </c>
      <c r="AC47">
        <f t="shared" si="22"/>
        <v>1</v>
      </c>
      <c r="AD47" s="3">
        <f t="shared" si="23"/>
        <v>-2.0395319999999941</v>
      </c>
      <c r="AE47" s="3">
        <f t="shared" si="24"/>
        <v>-1.5309849999999869</v>
      </c>
      <c r="AF47">
        <f t="shared" si="25"/>
        <v>1</v>
      </c>
      <c r="AG47" s="3">
        <f t="shared" si="26"/>
        <v>0</v>
      </c>
      <c r="AH47" s="3">
        <f t="shared" si="27"/>
        <v>0</v>
      </c>
      <c r="AI47">
        <f t="shared" si="28"/>
        <v>0</v>
      </c>
      <c r="AJ47" s="3">
        <f t="shared" si="29"/>
        <v>0</v>
      </c>
      <c r="AK47" s="3">
        <f t="shared" si="30"/>
        <v>0</v>
      </c>
      <c r="AL47">
        <f t="shared" si="31"/>
        <v>0</v>
      </c>
      <c r="AM47" s="3">
        <f t="shared" si="32"/>
        <v>0</v>
      </c>
      <c r="AN47" s="3">
        <f t="shared" si="33"/>
        <v>0</v>
      </c>
      <c r="AO47">
        <f t="shared" si="34"/>
        <v>0</v>
      </c>
      <c r="AP47" s="3">
        <f t="shared" si="35"/>
        <v>0</v>
      </c>
      <c r="AQ47" s="3">
        <f t="shared" si="36"/>
        <v>0</v>
      </c>
      <c r="AR47">
        <f t="shared" si="37"/>
        <v>0</v>
      </c>
    </row>
    <row r="48" spans="1:44" x14ac:dyDescent="0.25">
      <c r="B48" s="6"/>
      <c r="D48" s="1">
        <v>42674</v>
      </c>
      <c r="E48" s="2">
        <v>112.96003899999999</v>
      </c>
      <c r="F48" s="3">
        <v>211.30455499999999</v>
      </c>
      <c r="G48" s="2">
        <f t="shared" si="2"/>
        <v>-0.1790810000000107</v>
      </c>
      <c r="H48" s="2">
        <f t="shared" si="3"/>
        <v>9.9510000000009313E-3</v>
      </c>
      <c r="I48" s="4">
        <f t="shared" si="0"/>
        <v>-0.24146026963550371</v>
      </c>
      <c r="J48" s="4">
        <f t="shared" si="1"/>
        <v>-9.126993898068228E-2</v>
      </c>
      <c r="K48" s="4">
        <f t="shared" si="4"/>
        <v>8.2637159198787447E-2</v>
      </c>
      <c r="L48" s="4">
        <f t="shared" si="5"/>
        <v>0.28746679668926539</v>
      </c>
      <c r="M48" s="4">
        <f t="shared" si="6"/>
        <v>1</v>
      </c>
      <c r="N48" s="4">
        <f t="shared" si="7"/>
        <v>1</v>
      </c>
      <c r="O48" s="3">
        <f t="shared" si="8"/>
        <v>-0.1790810000000107</v>
      </c>
      <c r="P48" s="3">
        <f t="shared" si="9"/>
        <v>9.9510000000009313E-3</v>
      </c>
      <c r="Q48">
        <f t="shared" si="10"/>
        <v>1</v>
      </c>
      <c r="R48" s="3">
        <f t="shared" si="11"/>
        <v>0</v>
      </c>
      <c r="S48" s="3">
        <f t="shared" si="12"/>
        <v>0</v>
      </c>
      <c r="T48">
        <f t="shared" si="13"/>
        <v>0</v>
      </c>
      <c r="U48" s="3">
        <f t="shared" si="14"/>
        <v>0</v>
      </c>
      <c r="V48" s="3">
        <f t="shared" si="15"/>
        <v>0</v>
      </c>
      <c r="W48">
        <f t="shared" si="16"/>
        <v>0</v>
      </c>
      <c r="X48" s="3">
        <f t="shared" si="17"/>
        <v>0</v>
      </c>
      <c r="Y48" s="3">
        <f t="shared" si="18"/>
        <v>0</v>
      </c>
      <c r="Z48">
        <f t="shared" si="19"/>
        <v>0</v>
      </c>
      <c r="AA48" s="3">
        <f t="shared" si="20"/>
        <v>0</v>
      </c>
      <c r="AB48" s="3">
        <f t="shared" si="21"/>
        <v>0</v>
      </c>
      <c r="AC48">
        <f t="shared" si="22"/>
        <v>0</v>
      </c>
      <c r="AD48" s="3">
        <f t="shared" si="23"/>
        <v>0</v>
      </c>
      <c r="AE48" s="3">
        <f t="shared" si="24"/>
        <v>0</v>
      </c>
      <c r="AF48">
        <f t="shared" si="25"/>
        <v>0</v>
      </c>
      <c r="AG48" s="3">
        <f t="shared" si="26"/>
        <v>0</v>
      </c>
      <c r="AH48" s="3">
        <f t="shared" si="27"/>
        <v>0</v>
      </c>
      <c r="AI48">
        <f t="shared" si="28"/>
        <v>0</v>
      </c>
      <c r="AJ48" s="3">
        <f t="shared" si="29"/>
        <v>0</v>
      </c>
      <c r="AK48" s="3">
        <f t="shared" si="30"/>
        <v>0</v>
      </c>
      <c r="AL48">
        <f t="shared" si="31"/>
        <v>0</v>
      </c>
      <c r="AM48" s="3">
        <f t="shared" si="32"/>
        <v>0</v>
      </c>
      <c r="AN48" s="3">
        <f t="shared" si="33"/>
        <v>0</v>
      </c>
      <c r="AO48">
        <f t="shared" si="34"/>
        <v>0</v>
      </c>
      <c r="AP48" s="3">
        <f t="shared" si="35"/>
        <v>0</v>
      </c>
      <c r="AQ48" s="3">
        <f t="shared" si="36"/>
        <v>0</v>
      </c>
      <c r="AR48">
        <f t="shared" si="37"/>
        <v>0</v>
      </c>
    </row>
    <row r="49" spans="1:44" x14ac:dyDescent="0.25">
      <c r="B49" s="6"/>
      <c r="D49" s="1">
        <v>42671</v>
      </c>
      <c r="E49" s="2">
        <v>113.13912000000001</v>
      </c>
      <c r="F49" s="3">
        <v>211.29460399999999</v>
      </c>
      <c r="G49" s="2">
        <f t="shared" si="2"/>
        <v>-0.75611999999999568</v>
      </c>
      <c r="H49" s="2">
        <f t="shared" si="3"/>
        <v>-0.62631300000001033</v>
      </c>
      <c r="I49" s="4">
        <f t="shared" si="0"/>
        <v>-0.81849926963548869</v>
      </c>
      <c r="J49" s="4">
        <f t="shared" si="1"/>
        <v>-0.72753393898069352</v>
      </c>
      <c r="K49" s="4">
        <f t="shared" si="4"/>
        <v>0.88338821216188856</v>
      </c>
      <c r="L49" s="4">
        <f t="shared" si="5"/>
        <v>0.93988734014342834</v>
      </c>
      <c r="M49" s="4">
        <f t="shared" si="6"/>
        <v>1</v>
      </c>
      <c r="N49" s="4">
        <f t="shared" si="7"/>
        <v>1</v>
      </c>
      <c r="O49" s="3">
        <f t="shared" si="8"/>
        <v>-0.75611999999999568</v>
      </c>
      <c r="P49" s="3">
        <f t="shared" si="9"/>
        <v>-0.62631300000001033</v>
      </c>
      <c r="Q49">
        <f t="shared" si="10"/>
        <v>1</v>
      </c>
      <c r="R49" s="3">
        <f t="shared" si="11"/>
        <v>0</v>
      </c>
      <c r="S49" s="3">
        <f t="shared" si="12"/>
        <v>0</v>
      </c>
      <c r="T49">
        <f t="shared" si="13"/>
        <v>0</v>
      </c>
      <c r="U49" s="3">
        <f t="shared" si="14"/>
        <v>0</v>
      </c>
      <c r="V49" s="3">
        <f t="shared" si="15"/>
        <v>0</v>
      </c>
      <c r="W49">
        <f t="shared" si="16"/>
        <v>0</v>
      </c>
      <c r="X49" s="3">
        <f t="shared" si="17"/>
        <v>0</v>
      </c>
      <c r="Y49" s="3">
        <f t="shared" si="18"/>
        <v>0</v>
      </c>
      <c r="Z49">
        <f t="shared" si="19"/>
        <v>0</v>
      </c>
      <c r="AA49" s="3">
        <f t="shared" si="20"/>
        <v>0</v>
      </c>
      <c r="AB49" s="3">
        <f t="shared" si="21"/>
        <v>0</v>
      </c>
      <c r="AC49">
        <f t="shared" si="22"/>
        <v>0</v>
      </c>
      <c r="AD49" s="3">
        <f t="shared" si="23"/>
        <v>0</v>
      </c>
      <c r="AE49" s="3">
        <f t="shared" si="24"/>
        <v>0</v>
      </c>
      <c r="AF49">
        <f t="shared" si="25"/>
        <v>0</v>
      </c>
      <c r="AG49" s="3">
        <f t="shared" si="26"/>
        <v>0</v>
      </c>
      <c r="AH49" s="3">
        <f t="shared" si="27"/>
        <v>0</v>
      </c>
      <c r="AI49">
        <f t="shared" si="28"/>
        <v>0</v>
      </c>
      <c r="AJ49" s="3">
        <f t="shared" si="29"/>
        <v>0</v>
      </c>
      <c r="AK49" s="3">
        <f t="shared" si="30"/>
        <v>0</v>
      </c>
      <c r="AL49">
        <f t="shared" si="31"/>
        <v>0</v>
      </c>
      <c r="AM49" s="3">
        <f t="shared" si="32"/>
        <v>0</v>
      </c>
      <c r="AN49" s="3">
        <f t="shared" si="33"/>
        <v>0</v>
      </c>
      <c r="AO49">
        <f t="shared" si="34"/>
        <v>0</v>
      </c>
      <c r="AP49" s="3">
        <f t="shared" si="35"/>
        <v>0</v>
      </c>
      <c r="AQ49" s="3">
        <f t="shared" si="36"/>
        <v>0</v>
      </c>
      <c r="AR49">
        <f t="shared" si="37"/>
        <v>0</v>
      </c>
    </row>
    <row r="50" spans="1:44" x14ac:dyDescent="0.25">
      <c r="B50" s="6"/>
      <c r="D50" s="1">
        <v>42670</v>
      </c>
      <c r="E50" s="2">
        <v>113.89524</v>
      </c>
      <c r="F50" s="3">
        <v>211.920917</v>
      </c>
      <c r="G50" s="2">
        <f t="shared" si="2"/>
        <v>-1.1043229999999937</v>
      </c>
      <c r="H50" s="2">
        <f t="shared" si="3"/>
        <v>-0.56666699999999537</v>
      </c>
      <c r="I50" s="4">
        <f t="shared" si="0"/>
        <v>-1.1667022696354867</v>
      </c>
      <c r="J50" s="4">
        <f t="shared" si="1"/>
        <v>-0.66788793898067855</v>
      </c>
      <c r="K50" s="4">
        <f t="shared" si="4"/>
        <v>1.7193326211192173</v>
      </c>
      <c r="L50" s="4">
        <f t="shared" si="5"/>
        <v>1.3112332443616648</v>
      </c>
      <c r="M50" s="4">
        <f t="shared" si="6"/>
        <v>1</v>
      </c>
      <c r="N50" s="4">
        <f t="shared" si="7"/>
        <v>1</v>
      </c>
      <c r="O50" s="3">
        <f t="shared" si="8"/>
        <v>-1.1043229999999937</v>
      </c>
      <c r="P50" s="3">
        <f t="shared" si="9"/>
        <v>-0.56666699999999537</v>
      </c>
      <c r="Q50">
        <f t="shared" si="10"/>
        <v>1</v>
      </c>
      <c r="R50" s="3">
        <f t="shared" si="11"/>
        <v>-1.1043229999999937</v>
      </c>
      <c r="S50" s="3">
        <f t="shared" si="12"/>
        <v>-0.56666699999999537</v>
      </c>
      <c r="T50">
        <f t="shared" si="13"/>
        <v>1</v>
      </c>
      <c r="U50" s="3">
        <f t="shared" si="14"/>
        <v>0</v>
      </c>
      <c r="V50" s="3">
        <f t="shared" si="15"/>
        <v>0</v>
      </c>
      <c r="W50">
        <f t="shared" si="16"/>
        <v>0</v>
      </c>
      <c r="X50" s="3">
        <f t="shared" si="17"/>
        <v>0</v>
      </c>
      <c r="Y50" s="3">
        <f t="shared" si="18"/>
        <v>0</v>
      </c>
      <c r="Z50">
        <f t="shared" si="19"/>
        <v>0</v>
      </c>
      <c r="AA50" s="3">
        <f t="shared" si="20"/>
        <v>0</v>
      </c>
      <c r="AB50" s="3">
        <f t="shared" si="21"/>
        <v>0</v>
      </c>
      <c r="AC50">
        <f t="shared" si="22"/>
        <v>0</v>
      </c>
      <c r="AD50" s="3">
        <f t="shared" si="23"/>
        <v>0</v>
      </c>
      <c r="AE50" s="3">
        <f t="shared" si="24"/>
        <v>0</v>
      </c>
      <c r="AF50">
        <f t="shared" si="25"/>
        <v>0</v>
      </c>
      <c r="AG50" s="3">
        <f t="shared" si="26"/>
        <v>0</v>
      </c>
      <c r="AH50" s="3">
        <f t="shared" si="27"/>
        <v>0</v>
      </c>
      <c r="AI50">
        <f t="shared" si="28"/>
        <v>0</v>
      </c>
      <c r="AJ50" s="3">
        <f t="shared" si="29"/>
        <v>0</v>
      </c>
      <c r="AK50" s="3">
        <f t="shared" si="30"/>
        <v>0</v>
      </c>
      <c r="AL50">
        <f t="shared" si="31"/>
        <v>0</v>
      </c>
      <c r="AM50" s="3">
        <f t="shared" si="32"/>
        <v>0</v>
      </c>
      <c r="AN50" s="3">
        <f t="shared" si="33"/>
        <v>0</v>
      </c>
      <c r="AO50">
        <f t="shared" si="34"/>
        <v>0</v>
      </c>
      <c r="AP50" s="3">
        <f t="shared" si="35"/>
        <v>0</v>
      </c>
      <c r="AQ50" s="3">
        <f t="shared" si="36"/>
        <v>0</v>
      </c>
      <c r="AR50">
        <f t="shared" si="37"/>
        <v>0</v>
      </c>
    </row>
    <row r="51" spans="1:44" x14ac:dyDescent="0.25">
      <c r="D51" s="1">
        <v>42669</v>
      </c>
      <c r="E51" s="2">
        <v>114.99956299999999</v>
      </c>
      <c r="F51" s="3">
        <v>212.487584</v>
      </c>
      <c r="G51" s="2">
        <f t="shared" si="2"/>
        <v>-2.6464160000000021</v>
      </c>
      <c r="H51" s="2">
        <f t="shared" si="3"/>
        <v>-0.42747399999998947</v>
      </c>
      <c r="I51" s="4">
        <f t="shared" si="0"/>
        <v>-2.7087952696354951</v>
      </c>
      <c r="J51" s="4">
        <f t="shared" si="1"/>
        <v>-0.52869493898067266</v>
      </c>
      <c r="K51" s="4">
        <f t="shared" si="4"/>
        <v>12.423811707146646</v>
      </c>
      <c r="L51" s="4">
        <f t="shared" si="5"/>
        <v>3.5247427859556852</v>
      </c>
      <c r="M51" s="4">
        <f t="shared" si="6"/>
        <v>0.56741729012652697</v>
      </c>
      <c r="N51" s="4">
        <f t="shared" si="7"/>
        <v>9.6588714340359372E-2</v>
      </c>
      <c r="O51" s="3">
        <f t="shared" si="8"/>
        <v>-2.6464160000000021</v>
      </c>
      <c r="P51" s="3">
        <f t="shared" si="9"/>
        <v>-0.42747399999998947</v>
      </c>
      <c r="Q51">
        <f t="shared" si="10"/>
        <v>1</v>
      </c>
      <c r="R51" s="3">
        <f t="shared" si="11"/>
        <v>-2.6464160000000021</v>
      </c>
      <c r="S51" s="3">
        <f t="shared" si="12"/>
        <v>-0.42747399999998947</v>
      </c>
      <c r="T51">
        <f t="shared" si="13"/>
        <v>1</v>
      </c>
      <c r="U51" s="3">
        <f t="shared" si="14"/>
        <v>-2.6464160000000021</v>
      </c>
      <c r="V51" s="3">
        <f t="shared" si="15"/>
        <v>-0.42747399999998947</v>
      </c>
      <c r="W51">
        <f t="shared" si="16"/>
        <v>1</v>
      </c>
      <c r="X51" s="3">
        <f t="shared" si="17"/>
        <v>-2.6464160000000021</v>
      </c>
      <c r="Y51" s="3">
        <f t="shared" si="18"/>
        <v>-0.42747399999998947</v>
      </c>
      <c r="Z51">
        <f t="shared" si="19"/>
        <v>1</v>
      </c>
      <c r="AA51" s="3">
        <f t="shared" si="20"/>
        <v>-2.6464160000000021</v>
      </c>
      <c r="AB51" s="3">
        <f t="shared" si="21"/>
        <v>-0.42747399999998947</v>
      </c>
      <c r="AC51">
        <f t="shared" si="22"/>
        <v>1</v>
      </c>
      <c r="AD51" s="3">
        <f t="shared" si="23"/>
        <v>-2.6464160000000021</v>
      </c>
      <c r="AE51" s="3">
        <f t="shared" si="24"/>
        <v>-0.42747399999998947</v>
      </c>
      <c r="AF51">
        <f t="shared" si="25"/>
        <v>1</v>
      </c>
      <c r="AG51" s="3">
        <f t="shared" si="26"/>
        <v>-2.6464160000000021</v>
      </c>
      <c r="AH51" s="3">
        <f t="shared" si="27"/>
        <v>-0.42747399999998947</v>
      </c>
      <c r="AI51">
        <f t="shared" si="28"/>
        <v>1</v>
      </c>
      <c r="AJ51" s="3">
        <f t="shared" si="29"/>
        <v>-2.6464160000000021</v>
      </c>
      <c r="AK51" s="3">
        <f t="shared" si="30"/>
        <v>-0.42747399999998947</v>
      </c>
      <c r="AL51">
        <f t="shared" si="31"/>
        <v>1</v>
      </c>
      <c r="AM51" s="3">
        <f t="shared" si="32"/>
        <v>-2.6464160000000021</v>
      </c>
      <c r="AN51" s="3">
        <f t="shared" si="33"/>
        <v>-0.42747399999998947</v>
      </c>
      <c r="AO51">
        <f t="shared" si="34"/>
        <v>1</v>
      </c>
      <c r="AP51" s="3">
        <f t="shared" si="35"/>
        <v>-2.6464160000000021</v>
      </c>
      <c r="AQ51" s="3">
        <f t="shared" si="36"/>
        <v>-0.42747399999998947</v>
      </c>
      <c r="AR51">
        <f t="shared" si="37"/>
        <v>1</v>
      </c>
    </row>
    <row r="52" spans="1:44" x14ac:dyDescent="0.25">
      <c r="D52" s="1">
        <v>42668</v>
      </c>
      <c r="E52" s="2">
        <v>117.645979</v>
      </c>
      <c r="F52" s="3">
        <v>212.91505799999999</v>
      </c>
      <c r="G52" s="2">
        <f t="shared" si="2"/>
        <v>0.59693399999999031</v>
      </c>
      <c r="H52" s="2">
        <f t="shared" si="3"/>
        <v>-0.71578200000001857</v>
      </c>
      <c r="I52" s="4">
        <f t="shared" si="0"/>
        <v>0.5345547303644973</v>
      </c>
      <c r="J52" s="4">
        <f t="shared" si="1"/>
        <v>-0.81700293898070175</v>
      </c>
      <c r="K52" s="4">
        <f t="shared" si="4"/>
        <v>3.0071325260966382</v>
      </c>
      <c r="L52" s="4">
        <f t="shared" si="5"/>
        <v>1.7341085681400223</v>
      </c>
      <c r="M52" s="4">
        <f t="shared" si="6"/>
        <v>1</v>
      </c>
      <c r="N52" s="4">
        <f t="shared" si="7"/>
        <v>0.39905125217665127</v>
      </c>
      <c r="O52" s="3">
        <f t="shared" si="8"/>
        <v>0.59693399999999031</v>
      </c>
      <c r="P52" s="3">
        <f t="shared" si="9"/>
        <v>-0.71578200000001857</v>
      </c>
      <c r="Q52">
        <f t="shared" si="10"/>
        <v>1</v>
      </c>
      <c r="R52" s="3">
        <f t="shared" si="11"/>
        <v>0.59693399999999031</v>
      </c>
      <c r="S52" s="3">
        <f t="shared" si="12"/>
        <v>-0.71578200000001857</v>
      </c>
      <c r="T52">
        <f t="shared" si="13"/>
        <v>1</v>
      </c>
      <c r="U52" s="3">
        <f t="shared" si="14"/>
        <v>0.59693399999999031</v>
      </c>
      <c r="V52" s="3">
        <f t="shared" si="15"/>
        <v>-0.71578200000001857</v>
      </c>
      <c r="W52">
        <f t="shared" si="16"/>
        <v>1</v>
      </c>
      <c r="X52" s="3">
        <f t="shared" si="17"/>
        <v>0.59693399999999031</v>
      </c>
      <c r="Y52" s="3">
        <f t="shared" si="18"/>
        <v>-0.71578200000001857</v>
      </c>
      <c r="Z52">
        <f t="shared" si="19"/>
        <v>1</v>
      </c>
      <c r="AA52" s="3">
        <f t="shared" si="20"/>
        <v>0</v>
      </c>
      <c r="AB52" s="3">
        <f t="shared" si="21"/>
        <v>0</v>
      </c>
      <c r="AC52">
        <f t="shared" si="22"/>
        <v>0</v>
      </c>
      <c r="AD52" s="3">
        <f t="shared" si="23"/>
        <v>0</v>
      </c>
      <c r="AE52" s="3">
        <f t="shared" si="24"/>
        <v>0</v>
      </c>
      <c r="AF52">
        <f t="shared" si="25"/>
        <v>0</v>
      </c>
      <c r="AG52" s="3">
        <f t="shared" si="26"/>
        <v>0</v>
      </c>
      <c r="AH52" s="3">
        <f t="shared" si="27"/>
        <v>0</v>
      </c>
      <c r="AI52">
        <f t="shared" si="28"/>
        <v>0</v>
      </c>
      <c r="AJ52" s="3">
        <f t="shared" si="29"/>
        <v>0</v>
      </c>
      <c r="AK52" s="3">
        <f t="shared" si="30"/>
        <v>0</v>
      </c>
      <c r="AL52">
        <f t="shared" si="31"/>
        <v>0</v>
      </c>
      <c r="AM52" s="3">
        <f t="shared" si="32"/>
        <v>0</v>
      </c>
      <c r="AN52" s="3">
        <f t="shared" si="33"/>
        <v>0</v>
      </c>
      <c r="AO52">
        <f t="shared" si="34"/>
        <v>0</v>
      </c>
      <c r="AP52" s="3">
        <f t="shared" si="35"/>
        <v>0</v>
      </c>
      <c r="AQ52" s="3">
        <f t="shared" si="36"/>
        <v>0</v>
      </c>
      <c r="AR52">
        <f t="shared" si="37"/>
        <v>0</v>
      </c>
    </row>
    <row r="53" spans="1:44" x14ac:dyDescent="0.25">
      <c r="B53" s="5"/>
      <c r="D53" s="1">
        <v>42667</v>
      </c>
      <c r="E53" s="2">
        <v>117.04904500000001</v>
      </c>
      <c r="F53" s="3">
        <v>213.63084000000001</v>
      </c>
      <c r="G53" s="2">
        <f t="shared" si="2"/>
        <v>1.0446390000000036</v>
      </c>
      <c r="H53" s="2">
        <f t="shared" si="3"/>
        <v>0.90467200000000503</v>
      </c>
      <c r="I53" s="4">
        <f t="shared" si="0"/>
        <v>0.98225973036451064</v>
      </c>
      <c r="J53" s="4">
        <f t="shared" si="1"/>
        <v>0.80345106101932184</v>
      </c>
      <c r="K53" s="4">
        <f t="shared" si="4"/>
        <v>1.228391984941188</v>
      </c>
      <c r="L53" s="4">
        <f t="shared" si="5"/>
        <v>1.1083284643738009</v>
      </c>
      <c r="M53" s="4">
        <f t="shared" si="6"/>
        <v>1</v>
      </c>
      <c r="N53" s="4">
        <f t="shared" si="7"/>
        <v>1</v>
      </c>
      <c r="O53" s="3">
        <f t="shared" si="8"/>
        <v>1.0446390000000036</v>
      </c>
      <c r="P53" s="3">
        <f t="shared" si="9"/>
        <v>0.90467200000000503</v>
      </c>
      <c r="Q53">
        <f t="shared" si="10"/>
        <v>1</v>
      </c>
      <c r="R53" s="3">
        <f t="shared" si="11"/>
        <v>1.0446390000000036</v>
      </c>
      <c r="S53" s="3">
        <f t="shared" si="12"/>
        <v>0.90467200000000503</v>
      </c>
      <c r="T53">
        <f t="shared" si="13"/>
        <v>1</v>
      </c>
      <c r="U53" s="3">
        <f t="shared" si="14"/>
        <v>0</v>
      </c>
      <c r="V53" s="3">
        <f t="shared" si="15"/>
        <v>0</v>
      </c>
      <c r="W53">
        <f t="shared" si="16"/>
        <v>0</v>
      </c>
      <c r="X53" s="3">
        <f t="shared" si="17"/>
        <v>0</v>
      </c>
      <c r="Y53" s="3">
        <f t="shared" si="18"/>
        <v>0</v>
      </c>
      <c r="Z53">
        <f t="shared" si="19"/>
        <v>0</v>
      </c>
      <c r="AA53" s="3">
        <f t="shared" si="20"/>
        <v>0</v>
      </c>
      <c r="AB53" s="3">
        <f t="shared" si="21"/>
        <v>0</v>
      </c>
      <c r="AC53">
        <f t="shared" si="22"/>
        <v>0</v>
      </c>
      <c r="AD53" s="3">
        <f t="shared" si="23"/>
        <v>0</v>
      </c>
      <c r="AE53" s="3">
        <f t="shared" si="24"/>
        <v>0</v>
      </c>
      <c r="AF53">
        <f t="shared" si="25"/>
        <v>0</v>
      </c>
      <c r="AG53" s="3">
        <f t="shared" si="26"/>
        <v>0</v>
      </c>
      <c r="AH53" s="3">
        <f t="shared" si="27"/>
        <v>0</v>
      </c>
      <c r="AI53">
        <f t="shared" si="28"/>
        <v>0</v>
      </c>
      <c r="AJ53" s="3">
        <f t="shared" si="29"/>
        <v>0</v>
      </c>
      <c r="AK53" s="3">
        <f t="shared" si="30"/>
        <v>0</v>
      </c>
      <c r="AL53">
        <f t="shared" si="31"/>
        <v>0</v>
      </c>
      <c r="AM53" s="3">
        <f t="shared" si="32"/>
        <v>0</v>
      </c>
      <c r="AN53" s="3">
        <f t="shared" si="33"/>
        <v>0</v>
      </c>
      <c r="AO53">
        <f t="shared" si="34"/>
        <v>0</v>
      </c>
      <c r="AP53" s="3">
        <f t="shared" si="35"/>
        <v>0</v>
      </c>
      <c r="AQ53" s="3">
        <f t="shared" si="36"/>
        <v>0</v>
      </c>
      <c r="AR53">
        <f t="shared" si="37"/>
        <v>0</v>
      </c>
    </row>
    <row r="54" spans="1:44" x14ac:dyDescent="0.25">
      <c r="B54" s="6"/>
      <c r="D54" s="1">
        <v>42664</v>
      </c>
      <c r="E54" s="2">
        <v>116.004406</v>
      </c>
      <c r="F54" s="3">
        <v>212.726168</v>
      </c>
      <c r="G54" s="2">
        <f t="shared" si="2"/>
        <v>-0.45764900000000353</v>
      </c>
      <c r="H54" s="2">
        <f t="shared" si="3"/>
        <v>9.9404999999990196E-2</v>
      </c>
      <c r="I54" s="4">
        <f t="shared" si="0"/>
        <v>-0.52002826963549653</v>
      </c>
      <c r="J54" s="4">
        <f t="shared" si="1"/>
        <v>-1.815938980693016E-3</v>
      </c>
      <c r="K54" s="4">
        <f t="shared" si="4"/>
        <v>0.57289991607592283</v>
      </c>
      <c r="L54" s="4">
        <f t="shared" si="5"/>
        <v>0.75690152336742123</v>
      </c>
      <c r="M54" s="4">
        <f t="shared" si="6"/>
        <v>1</v>
      </c>
      <c r="N54" s="4">
        <f t="shared" si="7"/>
        <v>1</v>
      </c>
      <c r="O54" s="3">
        <f t="shared" si="8"/>
        <v>-0.45764900000000353</v>
      </c>
      <c r="P54" s="3">
        <f t="shared" si="9"/>
        <v>9.9404999999990196E-2</v>
      </c>
      <c r="Q54">
        <f t="shared" si="10"/>
        <v>1</v>
      </c>
      <c r="R54" s="3">
        <f t="shared" si="11"/>
        <v>0</v>
      </c>
      <c r="S54" s="3">
        <f t="shared" si="12"/>
        <v>0</v>
      </c>
      <c r="T54">
        <f t="shared" si="13"/>
        <v>0</v>
      </c>
      <c r="U54" s="3">
        <f t="shared" si="14"/>
        <v>0</v>
      </c>
      <c r="V54" s="3">
        <f t="shared" si="15"/>
        <v>0</v>
      </c>
      <c r="W54">
        <f t="shared" si="16"/>
        <v>0</v>
      </c>
      <c r="X54" s="3">
        <f t="shared" si="17"/>
        <v>0</v>
      </c>
      <c r="Y54" s="3">
        <f t="shared" si="18"/>
        <v>0</v>
      </c>
      <c r="Z54">
        <f t="shared" si="19"/>
        <v>0</v>
      </c>
      <c r="AA54" s="3">
        <f t="shared" si="20"/>
        <v>0</v>
      </c>
      <c r="AB54" s="3">
        <f t="shared" si="21"/>
        <v>0</v>
      </c>
      <c r="AC54">
        <f t="shared" si="22"/>
        <v>0</v>
      </c>
      <c r="AD54" s="3">
        <f t="shared" si="23"/>
        <v>0</v>
      </c>
      <c r="AE54" s="3">
        <f t="shared" si="24"/>
        <v>0</v>
      </c>
      <c r="AF54">
        <f t="shared" si="25"/>
        <v>0</v>
      </c>
      <c r="AG54" s="3">
        <f t="shared" si="26"/>
        <v>0</v>
      </c>
      <c r="AH54" s="3">
        <f t="shared" si="27"/>
        <v>0</v>
      </c>
      <c r="AI54">
        <f t="shared" si="28"/>
        <v>0</v>
      </c>
      <c r="AJ54" s="3">
        <f t="shared" si="29"/>
        <v>0</v>
      </c>
      <c r="AK54" s="3">
        <f t="shared" si="30"/>
        <v>0</v>
      </c>
      <c r="AL54">
        <f t="shared" si="31"/>
        <v>0</v>
      </c>
      <c r="AM54" s="3">
        <f t="shared" si="32"/>
        <v>0</v>
      </c>
      <c r="AN54" s="3">
        <f t="shared" si="33"/>
        <v>0</v>
      </c>
      <c r="AO54">
        <f t="shared" si="34"/>
        <v>0</v>
      </c>
      <c r="AP54" s="3">
        <f t="shared" si="35"/>
        <v>0</v>
      </c>
      <c r="AQ54" s="3">
        <f t="shared" si="36"/>
        <v>0</v>
      </c>
      <c r="AR54">
        <f t="shared" si="37"/>
        <v>0</v>
      </c>
    </row>
    <row r="55" spans="1:44" x14ac:dyDescent="0.25">
      <c r="B55" s="6"/>
      <c r="D55" s="1">
        <v>42663</v>
      </c>
      <c r="E55" s="2">
        <v>116.46205500000001</v>
      </c>
      <c r="F55" s="3">
        <v>212.62676300000001</v>
      </c>
      <c r="G55" s="2">
        <f t="shared" si="2"/>
        <v>-5.969899999999484E-2</v>
      </c>
      <c r="H55" s="2">
        <f t="shared" si="3"/>
        <v>-0.3976509999999962</v>
      </c>
      <c r="I55" s="4">
        <f t="shared" si="0"/>
        <v>-0.12207826963548785</v>
      </c>
      <c r="J55" s="4">
        <f t="shared" si="1"/>
        <v>-0.49887193898067939</v>
      </c>
      <c r="K55" s="4">
        <f t="shared" si="4"/>
        <v>0.34553907762248653</v>
      </c>
      <c r="L55" s="4">
        <f t="shared" si="5"/>
        <v>0.5878257204499362</v>
      </c>
      <c r="M55" s="4">
        <f t="shared" si="6"/>
        <v>1</v>
      </c>
      <c r="N55" s="4">
        <f t="shared" si="7"/>
        <v>1</v>
      </c>
      <c r="O55" s="3">
        <f t="shared" si="8"/>
        <v>-5.969899999999484E-2</v>
      </c>
      <c r="P55" s="3">
        <f t="shared" si="9"/>
        <v>-0.3976509999999962</v>
      </c>
      <c r="Q55">
        <f t="shared" si="10"/>
        <v>1</v>
      </c>
      <c r="R55" s="3">
        <f t="shared" si="11"/>
        <v>0</v>
      </c>
      <c r="S55" s="3">
        <f t="shared" si="12"/>
        <v>0</v>
      </c>
      <c r="T55">
        <f t="shared" si="13"/>
        <v>0</v>
      </c>
      <c r="U55" s="3">
        <f t="shared" si="14"/>
        <v>0</v>
      </c>
      <c r="V55" s="3">
        <f t="shared" si="15"/>
        <v>0</v>
      </c>
      <c r="W55">
        <f t="shared" si="16"/>
        <v>0</v>
      </c>
      <c r="X55" s="3">
        <f t="shared" si="17"/>
        <v>0</v>
      </c>
      <c r="Y55" s="3">
        <f t="shared" si="18"/>
        <v>0</v>
      </c>
      <c r="Z55">
        <f t="shared" si="19"/>
        <v>0</v>
      </c>
      <c r="AA55" s="3">
        <f t="shared" si="20"/>
        <v>0</v>
      </c>
      <c r="AB55" s="3">
        <f t="shared" si="21"/>
        <v>0</v>
      </c>
      <c r="AC55">
        <f t="shared" si="22"/>
        <v>0</v>
      </c>
      <c r="AD55" s="3">
        <f t="shared" si="23"/>
        <v>0</v>
      </c>
      <c r="AE55" s="3">
        <f t="shared" si="24"/>
        <v>0</v>
      </c>
      <c r="AF55">
        <f t="shared" si="25"/>
        <v>0</v>
      </c>
      <c r="AG55" s="3">
        <f t="shared" si="26"/>
        <v>0</v>
      </c>
      <c r="AH55" s="3">
        <f t="shared" si="27"/>
        <v>0</v>
      </c>
      <c r="AI55">
        <f t="shared" si="28"/>
        <v>0</v>
      </c>
      <c r="AJ55" s="3">
        <f t="shared" si="29"/>
        <v>0</v>
      </c>
      <c r="AK55" s="3">
        <f t="shared" si="30"/>
        <v>0</v>
      </c>
      <c r="AL55">
        <f t="shared" si="31"/>
        <v>0</v>
      </c>
      <c r="AM55" s="3">
        <f t="shared" si="32"/>
        <v>0</v>
      </c>
      <c r="AN55" s="3">
        <f t="shared" si="33"/>
        <v>0</v>
      </c>
      <c r="AO55">
        <f t="shared" si="34"/>
        <v>0</v>
      </c>
      <c r="AP55" s="3">
        <f t="shared" si="35"/>
        <v>0</v>
      </c>
      <c r="AQ55" s="3">
        <f t="shared" si="36"/>
        <v>0</v>
      </c>
      <c r="AR55">
        <f t="shared" si="37"/>
        <v>0</v>
      </c>
    </row>
    <row r="56" spans="1:44" x14ac:dyDescent="0.25">
      <c r="B56" s="6"/>
      <c r="D56" s="1">
        <v>42662</v>
      </c>
      <c r="E56" s="2">
        <v>116.521754</v>
      </c>
      <c r="F56" s="3">
        <v>213.02441400000001</v>
      </c>
      <c r="G56" s="2">
        <f t="shared" si="2"/>
        <v>-0.34821099999999205</v>
      </c>
      <c r="H56" s="2">
        <f t="shared" si="3"/>
        <v>0.56665300000000229</v>
      </c>
      <c r="I56" s="4">
        <f t="shared" si="0"/>
        <v>-0.41059026963548506</v>
      </c>
      <c r="J56" s="4">
        <f t="shared" si="1"/>
        <v>0.46543206101931911</v>
      </c>
      <c r="K56" s="4">
        <f t="shared" si="4"/>
        <v>1.2654238461999092</v>
      </c>
      <c r="L56" s="4">
        <f t="shared" si="5"/>
        <v>1.1249105947584943</v>
      </c>
      <c r="M56" s="4">
        <f t="shared" si="6"/>
        <v>1</v>
      </c>
      <c r="N56" s="4">
        <f t="shared" si="7"/>
        <v>1</v>
      </c>
      <c r="O56" s="3">
        <f t="shared" si="8"/>
        <v>-0.34821099999999205</v>
      </c>
      <c r="P56" s="3">
        <f t="shared" si="9"/>
        <v>0.56665300000000229</v>
      </c>
      <c r="Q56">
        <f t="shared" si="10"/>
        <v>1</v>
      </c>
      <c r="R56" s="3">
        <f t="shared" si="11"/>
        <v>-0.34821099999999205</v>
      </c>
      <c r="S56" s="3">
        <f t="shared" si="12"/>
        <v>0.56665300000000229</v>
      </c>
      <c r="T56">
        <f t="shared" si="13"/>
        <v>1</v>
      </c>
      <c r="U56" s="3">
        <f t="shared" si="14"/>
        <v>0</v>
      </c>
      <c r="V56" s="3">
        <f t="shared" si="15"/>
        <v>0</v>
      </c>
      <c r="W56">
        <f t="shared" si="16"/>
        <v>0</v>
      </c>
      <c r="X56" s="3">
        <f t="shared" si="17"/>
        <v>0</v>
      </c>
      <c r="Y56" s="3">
        <f t="shared" si="18"/>
        <v>0</v>
      </c>
      <c r="Z56">
        <f t="shared" si="19"/>
        <v>0</v>
      </c>
      <c r="AA56" s="3">
        <f t="shared" si="20"/>
        <v>0</v>
      </c>
      <c r="AB56" s="3">
        <f t="shared" si="21"/>
        <v>0</v>
      </c>
      <c r="AC56">
        <f t="shared" si="22"/>
        <v>0</v>
      </c>
      <c r="AD56" s="3">
        <f t="shared" si="23"/>
        <v>0</v>
      </c>
      <c r="AE56" s="3">
        <f t="shared" si="24"/>
        <v>0</v>
      </c>
      <c r="AF56">
        <f t="shared" si="25"/>
        <v>0</v>
      </c>
      <c r="AG56" s="3">
        <f t="shared" si="26"/>
        <v>0</v>
      </c>
      <c r="AH56" s="3">
        <f t="shared" si="27"/>
        <v>0</v>
      </c>
      <c r="AI56">
        <f t="shared" si="28"/>
        <v>0</v>
      </c>
      <c r="AJ56" s="3">
        <f t="shared" si="29"/>
        <v>0</v>
      </c>
      <c r="AK56" s="3">
        <f t="shared" si="30"/>
        <v>0</v>
      </c>
      <c r="AL56">
        <f t="shared" si="31"/>
        <v>0</v>
      </c>
      <c r="AM56" s="3">
        <f t="shared" si="32"/>
        <v>0</v>
      </c>
      <c r="AN56" s="3">
        <f t="shared" si="33"/>
        <v>0</v>
      </c>
      <c r="AO56">
        <f t="shared" si="34"/>
        <v>0</v>
      </c>
      <c r="AP56" s="3">
        <f t="shared" si="35"/>
        <v>0</v>
      </c>
      <c r="AQ56" s="3">
        <f t="shared" si="36"/>
        <v>0</v>
      </c>
      <c r="AR56">
        <f t="shared" si="37"/>
        <v>0</v>
      </c>
    </row>
    <row r="57" spans="1:44" x14ac:dyDescent="0.25">
      <c r="B57" s="6"/>
      <c r="D57" s="1">
        <v>42661</v>
      </c>
      <c r="E57" s="2">
        <v>116.86996499999999</v>
      </c>
      <c r="F57" s="3">
        <v>212.457761</v>
      </c>
      <c r="G57" s="2">
        <f t="shared" si="2"/>
        <v>-7.9593000000002689E-2</v>
      </c>
      <c r="H57" s="2">
        <f t="shared" si="3"/>
        <v>1.3222080000000176</v>
      </c>
      <c r="I57" s="4">
        <f t="shared" si="0"/>
        <v>-0.1419722696354957</v>
      </c>
      <c r="J57" s="4">
        <f t="shared" si="1"/>
        <v>1.2209870610193343</v>
      </c>
      <c r="K57" s="4">
        <f t="shared" si="4"/>
        <v>3.31959367265523</v>
      </c>
      <c r="L57" s="4">
        <f t="shared" si="5"/>
        <v>1.8219752118662949</v>
      </c>
      <c r="M57" s="4">
        <f t="shared" si="6"/>
        <v>1</v>
      </c>
      <c r="N57" s="4">
        <f t="shared" si="7"/>
        <v>0.36149002508495592</v>
      </c>
      <c r="O57" s="3">
        <f t="shared" si="8"/>
        <v>-7.9593000000002689E-2</v>
      </c>
      <c r="P57" s="3">
        <f t="shared" si="9"/>
        <v>1.3222080000000176</v>
      </c>
      <c r="Q57">
        <f t="shared" si="10"/>
        <v>1</v>
      </c>
      <c r="R57" s="3">
        <f t="shared" si="11"/>
        <v>-7.9593000000002689E-2</v>
      </c>
      <c r="S57" s="3">
        <f t="shared" si="12"/>
        <v>1.3222080000000176</v>
      </c>
      <c r="T57">
        <f t="shared" si="13"/>
        <v>1</v>
      </c>
      <c r="U57" s="3">
        <f t="shared" si="14"/>
        <v>-7.9593000000002689E-2</v>
      </c>
      <c r="V57" s="3">
        <f t="shared" si="15"/>
        <v>1.3222080000000176</v>
      </c>
      <c r="W57">
        <f t="shared" si="16"/>
        <v>1</v>
      </c>
      <c r="X57" s="3">
        <f t="shared" si="17"/>
        <v>-7.9593000000002689E-2</v>
      </c>
      <c r="Y57" s="3">
        <f t="shared" si="18"/>
        <v>1.3222080000000176</v>
      </c>
      <c r="Z57">
        <f t="shared" si="19"/>
        <v>1</v>
      </c>
      <c r="AA57" s="3">
        <f t="shared" si="20"/>
        <v>0</v>
      </c>
      <c r="AB57" s="3">
        <f t="shared" si="21"/>
        <v>0</v>
      </c>
      <c r="AC57">
        <f t="shared" si="22"/>
        <v>0</v>
      </c>
      <c r="AD57" s="3">
        <f t="shared" si="23"/>
        <v>0</v>
      </c>
      <c r="AE57" s="3">
        <f t="shared" si="24"/>
        <v>0</v>
      </c>
      <c r="AF57">
        <f t="shared" si="25"/>
        <v>0</v>
      </c>
      <c r="AG57" s="3">
        <f t="shared" si="26"/>
        <v>0</v>
      </c>
      <c r="AH57" s="3">
        <f t="shared" si="27"/>
        <v>0</v>
      </c>
      <c r="AI57">
        <f t="shared" si="28"/>
        <v>0</v>
      </c>
      <c r="AJ57" s="3">
        <f t="shared" si="29"/>
        <v>0</v>
      </c>
      <c r="AK57" s="3">
        <f t="shared" si="30"/>
        <v>0</v>
      </c>
      <c r="AL57">
        <f t="shared" si="31"/>
        <v>0</v>
      </c>
      <c r="AM57" s="3">
        <f t="shared" si="32"/>
        <v>0</v>
      </c>
      <c r="AN57" s="3">
        <f t="shared" si="33"/>
        <v>0</v>
      </c>
      <c r="AO57">
        <f t="shared" si="34"/>
        <v>0</v>
      </c>
      <c r="AP57" s="3">
        <f t="shared" si="35"/>
        <v>0</v>
      </c>
      <c r="AQ57" s="3">
        <f t="shared" si="36"/>
        <v>0</v>
      </c>
      <c r="AR57">
        <f t="shared" si="37"/>
        <v>0</v>
      </c>
    </row>
    <row r="58" spans="1:44" x14ac:dyDescent="0.25">
      <c r="B58" s="6"/>
      <c r="D58" s="1">
        <v>42660</v>
      </c>
      <c r="E58" s="2">
        <v>116.949558</v>
      </c>
      <c r="F58" s="3">
        <v>211.13555299999999</v>
      </c>
      <c r="G58" s="2">
        <f t="shared" si="2"/>
        <v>-7.9585000000008677E-2</v>
      </c>
      <c r="H58" s="2">
        <f t="shared" si="3"/>
        <v>-0.73565400000001091</v>
      </c>
      <c r="I58" s="4">
        <f t="shared" si="0"/>
        <v>-0.14196426963550168</v>
      </c>
      <c r="J58" s="4">
        <f t="shared" si="1"/>
        <v>-0.83687493898069409</v>
      </c>
      <c r="K58" s="4">
        <f t="shared" si="4"/>
        <v>1.0625045972909986</v>
      </c>
      <c r="L58" s="4">
        <f t="shared" si="5"/>
        <v>1.0307786364156946</v>
      </c>
      <c r="M58" s="4">
        <f t="shared" si="6"/>
        <v>1</v>
      </c>
      <c r="N58" s="4">
        <f t="shared" si="7"/>
        <v>1</v>
      </c>
      <c r="O58" s="3">
        <f t="shared" si="8"/>
        <v>-7.9585000000008677E-2</v>
      </c>
      <c r="P58" s="3">
        <f t="shared" si="9"/>
        <v>-0.73565400000001091</v>
      </c>
      <c r="Q58">
        <f t="shared" si="10"/>
        <v>1</v>
      </c>
      <c r="R58" s="3">
        <f t="shared" si="11"/>
        <v>-7.9585000000008677E-2</v>
      </c>
      <c r="S58" s="3">
        <f t="shared" si="12"/>
        <v>-0.73565400000001091</v>
      </c>
      <c r="T58">
        <f t="shared" si="13"/>
        <v>1</v>
      </c>
      <c r="U58" s="3">
        <f t="shared" si="14"/>
        <v>0</v>
      </c>
      <c r="V58" s="3">
        <f t="shared" si="15"/>
        <v>0</v>
      </c>
      <c r="W58">
        <f t="shared" si="16"/>
        <v>0</v>
      </c>
      <c r="X58" s="3">
        <f t="shared" si="17"/>
        <v>0</v>
      </c>
      <c r="Y58" s="3">
        <f t="shared" si="18"/>
        <v>0</v>
      </c>
      <c r="Z58">
        <f t="shared" si="19"/>
        <v>0</v>
      </c>
      <c r="AA58" s="3">
        <f t="shared" si="20"/>
        <v>0</v>
      </c>
      <c r="AB58" s="3">
        <f t="shared" si="21"/>
        <v>0</v>
      </c>
      <c r="AC58">
        <f t="shared" si="22"/>
        <v>0</v>
      </c>
      <c r="AD58" s="3">
        <f t="shared" si="23"/>
        <v>0</v>
      </c>
      <c r="AE58" s="3">
        <f t="shared" si="24"/>
        <v>0</v>
      </c>
      <c r="AF58">
        <f t="shared" si="25"/>
        <v>0</v>
      </c>
      <c r="AG58" s="3">
        <f t="shared" si="26"/>
        <v>0</v>
      </c>
      <c r="AH58" s="3">
        <f t="shared" si="27"/>
        <v>0</v>
      </c>
      <c r="AI58">
        <f t="shared" si="28"/>
        <v>0</v>
      </c>
      <c r="AJ58" s="3">
        <f t="shared" si="29"/>
        <v>0</v>
      </c>
      <c r="AK58" s="3">
        <f t="shared" si="30"/>
        <v>0</v>
      </c>
      <c r="AL58">
        <f t="shared" si="31"/>
        <v>0</v>
      </c>
      <c r="AM58" s="3">
        <f t="shared" si="32"/>
        <v>0</v>
      </c>
      <c r="AN58" s="3">
        <f t="shared" si="33"/>
        <v>0</v>
      </c>
      <c r="AO58">
        <f t="shared" si="34"/>
        <v>0</v>
      </c>
      <c r="AP58" s="3">
        <f t="shared" si="35"/>
        <v>0</v>
      </c>
      <c r="AQ58" s="3">
        <f t="shared" si="36"/>
        <v>0</v>
      </c>
      <c r="AR58">
        <f t="shared" si="37"/>
        <v>0</v>
      </c>
    </row>
    <row r="59" spans="1:44" x14ac:dyDescent="0.25">
      <c r="B59" s="6"/>
      <c r="D59" s="1">
        <v>42657</v>
      </c>
      <c r="E59" s="2">
        <v>117.029143</v>
      </c>
      <c r="F59" s="3">
        <v>211.871207</v>
      </c>
      <c r="G59" s="2">
        <f t="shared" si="2"/>
        <v>0.64667300000000694</v>
      </c>
      <c r="H59" s="2">
        <f t="shared" si="3"/>
        <v>0.10935599999999113</v>
      </c>
      <c r="I59" s="4">
        <f t="shared" si="0"/>
        <v>0.58429373036451393</v>
      </c>
      <c r="J59" s="4">
        <f t="shared" si="1"/>
        <v>8.1350610193079154E-3</v>
      </c>
      <c r="K59" s="4">
        <f t="shared" si="4"/>
        <v>0.71412295734882492</v>
      </c>
      <c r="L59" s="4">
        <f t="shared" si="5"/>
        <v>0.84505796094044638</v>
      </c>
      <c r="M59" s="4">
        <f t="shared" si="6"/>
        <v>1</v>
      </c>
      <c r="N59" s="4">
        <f t="shared" si="7"/>
        <v>1</v>
      </c>
      <c r="O59" s="3">
        <f t="shared" si="8"/>
        <v>0.64667300000000694</v>
      </c>
      <c r="P59" s="3">
        <f t="shared" si="9"/>
        <v>0.10935599999999113</v>
      </c>
      <c r="Q59">
        <f t="shared" si="10"/>
        <v>1</v>
      </c>
      <c r="R59" s="3">
        <f t="shared" si="11"/>
        <v>0</v>
      </c>
      <c r="S59" s="3">
        <f t="shared" si="12"/>
        <v>0</v>
      </c>
      <c r="T59">
        <f t="shared" si="13"/>
        <v>0</v>
      </c>
      <c r="U59" s="3">
        <f t="shared" si="14"/>
        <v>0</v>
      </c>
      <c r="V59" s="3">
        <f t="shared" si="15"/>
        <v>0</v>
      </c>
      <c r="W59">
        <f t="shared" si="16"/>
        <v>0</v>
      </c>
      <c r="X59" s="3">
        <f t="shared" si="17"/>
        <v>0</v>
      </c>
      <c r="Y59" s="3">
        <f t="shared" si="18"/>
        <v>0</v>
      </c>
      <c r="Z59">
        <f t="shared" si="19"/>
        <v>0</v>
      </c>
      <c r="AA59" s="3">
        <f t="shared" si="20"/>
        <v>0</v>
      </c>
      <c r="AB59" s="3">
        <f t="shared" si="21"/>
        <v>0</v>
      </c>
      <c r="AC59">
        <f t="shared" si="22"/>
        <v>0</v>
      </c>
      <c r="AD59" s="3">
        <f t="shared" si="23"/>
        <v>0</v>
      </c>
      <c r="AE59" s="3">
        <f t="shared" si="24"/>
        <v>0</v>
      </c>
      <c r="AF59">
        <f t="shared" si="25"/>
        <v>0</v>
      </c>
      <c r="AG59" s="3">
        <f t="shared" si="26"/>
        <v>0</v>
      </c>
      <c r="AH59" s="3">
        <f t="shared" si="27"/>
        <v>0</v>
      </c>
      <c r="AI59">
        <f t="shared" si="28"/>
        <v>0</v>
      </c>
      <c r="AJ59" s="3">
        <f t="shared" si="29"/>
        <v>0</v>
      </c>
      <c r="AK59" s="3">
        <f t="shared" si="30"/>
        <v>0</v>
      </c>
      <c r="AL59">
        <f t="shared" si="31"/>
        <v>0</v>
      </c>
      <c r="AM59" s="3">
        <f t="shared" si="32"/>
        <v>0</v>
      </c>
      <c r="AN59" s="3">
        <f t="shared" si="33"/>
        <v>0</v>
      </c>
      <c r="AO59">
        <f t="shared" si="34"/>
        <v>0</v>
      </c>
      <c r="AP59" s="3">
        <f t="shared" si="35"/>
        <v>0</v>
      </c>
      <c r="AQ59" s="3">
        <f t="shared" si="36"/>
        <v>0</v>
      </c>
      <c r="AR59">
        <f t="shared" si="37"/>
        <v>0</v>
      </c>
    </row>
    <row r="60" spans="1:44" x14ac:dyDescent="0.25">
      <c r="B60" s="6"/>
      <c r="D60" s="1">
        <v>42656</v>
      </c>
      <c r="E60" s="2">
        <v>116.38247</v>
      </c>
      <c r="F60" s="3">
        <v>211.76185100000001</v>
      </c>
      <c r="G60" s="2">
        <f t="shared" si="2"/>
        <v>-0.35815399999999897</v>
      </c>
      <c r="H60" s="2">
        <f t="shared" si="3"/>
        <v>-0.69590999999999781</v>
      </c>
      <c r="I60" s="4">
        <f t="shared" si="0"/>
        <v>-0.42053326963549198</v>
      </c>
      <c r="J60" s="4">
        <f t="shared" si="1"/>
        <v>-0.79713093898068099</v>
      </c>
      <c r="K60" s="4">
        <f t="shared" si="4"/>
        <v>0.71103970963110141</v>
      </c>
      <c r="L60" s="4">
        <f t="shared" si="5"/>
        <v>0.84323170577908269</v>
      </c>
      <c r="M60" s="4">
        <f t="shared" si="6"/>
        <v>1</v>
      </c>
      <c r="N60" s="4">
        <f t="shared" si="7"/>
        <v>1</v>
      </c>
      <c r="O60" s="3">
        <f t="shared" si="8"/>
        <v>-0.35815399999999897</v>
      </c>
      <c r="P60" s="3">
        <f t="shared" si="9"/>
        <v>-0.69590999999999781</v>
      </c>
      <c r="Q60">
        <f t="shared" si="10"/>
        <v>1</v>
      </c>
      <c r="R60" s="3">
        <f t="shared" si="11"/>
        <v>0</v>
      </c>
      <c r="S60" s="3">
        <f t="shared" si="12"/>
        <v>0</v>
      </c>
      <c r="T60">
        <f t="shared" si="13"/>
        <v>0</v>
      </c>
      <c r="U60" s="3">
        <f t="shared" si="14"/>
        <v>0</v>
      </c>
      <c r="V60" s="3">
        <f t="shared" si="15"/>
        <v>0</v>
      </c>
      <c r="W60">
        <f t="shared" si="16"/>
        <v>0</v>
      </c>
      <c r="X60" s="3">
        <f t="shared" si="17"/>
        <v>0</v>
      </c>
      <c r="Y60" s="3">
        <f t="shared" si="18"/>
        <v>0</v>
      </c>
      <c r="Z60">
        <f t="shared" si="19"/>
        <v>0</v>
      </c>
      <c r="AA60" s="3">
        <f t="shared" si="20"/>
        <v>0</v>
      </c>
      <c r="AB60" s="3">
        <f t="shared" si="21"/>
        <v>0</v>
      </c>
      <c r="AC60">
        <f t="shared" si="22"/>
        <v>0</v>
      </c>
      <c r="AD60" s="3">
        <f t="shared" si="23"/>
        <v>0</v>
      </c>
      <c r="AE60" s="3">
        <f t="shared" si="24"/>
        <v>0</v>
      </c>
      <c r="AF60">
        <f t="shared" si="25"/>
        <v>0</v>
      </c>
      <c r="AG60" s="3">
        <f t="shared" si="26"/>
        <v>0</v>
      </c>
      <c r="AH60" s="3">
        <f t="shared" si="27"/>
        <v>0</v>
      </c>
      <c r="AI60">
        <f t="shared" si="28"/>
        <v>0</v>
      </c>
      <c r="AJ60" s="3">
        <f t="shared" si="29"/>
        <v>0</v>
      </c>
      <c r="AK60" s="3">
        <f t="shared" si="30"/>
        <v>0</v>
      </c>
      <c r="AL60">
        <f t="shared" si="31"/>
        <v>0</v>
      </c>
      <c r="AM60" s="3">
        <f t="shared" si="32"/>
        <v>0</v>
      </c>
      <c r="AN60" s="3">
        <f t="shared" si="33"/>
        <v>0</v>
      </c>
      <c r="AO60">
        <f t="shared" si="34"/>
        <v>0</v>
      </c>
      <c r="AP60" s="3">
        <f t="shared" si="35"/>
        <v>0</v>
      </c>
      <c r="AQ60" s="3">
        <f t="shared" si="36"/>
        <v>0</v>
      </c>
      <c r="AR60">
        <f t="shared" si="37"/>
        <v>0</v>
      </c>
    </row>
    <row r="61" spans="1:44" x14ac:dyDescent="0.25">
      <c r="B61" s="6"/>
      <c r="D61" s="1">
        <v>42655</v>
      </c>
      <c r="E61" s="2">
        <v>116.740624</v>
      </c>
      <c r="F61" s="3">
        <v>212.457761</v>
      </c>
      <c r="G61" s="2">
        <f t="shared" si="2"/>
        <v>1.034680999999992</v>
      </c>
      <c r="H61" s="2">
        <f t="shared" si="3"/>
        <v>0.27837300000001619</v>
      </c>
      <c r="I61" s="4">
        <f t="shared" si="0"/>
        <v>0.97230173036449896</v>
      </c>
      <c r="J61" s="4">
        <f t="shared" si="1"/>
        <v>0.17715206101933298</v>
      </c>
      <c r="K61" s="4">
        <f t="shared" si="4"/>
        <v>1.6237459367415921</v>
      </c>
      <c r="L61" s="4">
        <f t="shared" si="5"/>
        <v>1.274262899382067</v>
      </c>
      <c r="M61" s="4">
        <f t="shared" si="6"/>
        <v>1</v>
      </c>
      <c r="N61" s="4">
        <f t="shared" si="7"/>
        <v>1</v>
      </c>
      <c r="O61" s="3">
        <f t="shared" si="8"/>
        <v>1.034680999999992</v>
      </c>
      <c r="P61" s="3">
        <f t="shared" si="9"/>
        <v>0.27837300000001619</v>
      </c>
      <c r="Q61">
        <f t="shared" si="10"/>
        <v>1</v>
      </c>
      <c r="R61" s="3">
        <f t="shared" si="11"/>
        <v>1.034680999999992</v>
      </c>
      <c r="S61" s="3">
        <f t="shared" si="12"/>
        <v>0.27837300000001619</v>
      </c>
      <c r="T61">
        <f t="shared" si="13"/>
        <v>1</v>
      </c>
      <c r="U61" s="3">
        <f t="shared" si="14"/>
        <v>0</v>
      </c>
      <c r="V61" s="3">
        <f t="shared" si="15"/>
        <v>0</v>
      </c>
      <c r="W61">
        <f t="shared" si="16"/>
        <v>0</v>
      </c>
      <c r="X61" s="3">
        <f t="shared" si="17"/>
        <v>0</v>
      </c>
      <c r="Y61" s="3">
        <f t="shared" si="18"/>
        <v>0</v>
      </c>
      <c r="Z61">
        <f t="shared" si="19"/>
        <v>0</v>
      </c>
      <c r="AA61" s="3">
        <f t="shared" si="20"/>
        <v>0</v>
      </c>
      <c r="AB61" s="3">
        <f t="shared" si="21"/>
        <v>0</v>
      </c>
      <c r="AC61">
        <f t="shared" si="22"/>
        <v>0</v>
      </c>
      <c r="AD61" s="3">
        <f t="shared" si="23"/>
        <v>0</v>
      </c>
      <c r="AE61" s="3">
        <f t="shared" si="24"/>
        <v>0</v>
      </c>
      <c r="AF61">
        <f t="shared" si="25"/>
        <v>0</v>
      </c>
      <c r="AG61" s="3">
        <f t="shared" si="26"/>
        <v>0</v>
      </c>
      <c r="AH61" s="3">
        <f t="shared" si="27"/>
        <v>0</v>
      </c>
      <c r="AI61">
        <f t="shared" si="28"/>
        <v>0</v>
      </c>
      <c r="AJ61" s="3">
        <f t="shared" si="29"/>
        <v>0</v>
      </c>
      <c r="AK61" s="3">
        <f t="shared" si="30"/>
        <v>0</v>
      </c>
      <c r="AL61">
        <f t="shared" si="31"/>
        <v>0</v>
      </c>
      <c r="AM61" s="3">
        <f t="shared" si="32"/>
        <v>0</v>
      </c>
      <c r="AN61" s="3">
        <f t="shared" si="33"/>
        <v>0</v>
      </c>
      <c r="AO61">
        <f t="shared" si="34"/>
        <v>0</v>
      </c>
      <c r="AP61" s="3">
        <f t="shared" si="35"/>
        <v>0</v>
      </c>
      <c r="AQ61" s="3">
        <f t="shared" si="36"/>
        <v>0</v>
      </c>
      <c r="AR61">
        <f t="shared" si="37"/>
        <v>0</v>
      </c>
    </row>
    <row r="62" spans="1:44" x14ac:dyDescent="0.25">
      <c r="B62" s="5"/>
      <c r="D62" s="1">
        <v>42654</v>
      </c>
      <c r="E62" s="2">
        <v>115.705943</v>
      </c>
      <c r="F62" s="3">
        <v>212.17938799999999</v>
      </c>
      <c r="G62" s="2">
        <f t="shared" si="2"/>
        <v>0.24872299999999825</v>
      </c>
      <c r="H62" s="2">
        <f t="shared" si="3"/>
        <v>-2.7140140000000201</v>
      </c>
      <c r="I62" s="4">
        <f t="shared" si="0"/>
        <v>0.18634373036450524</v>
      </c>
      <c r="J62" s="4">
        <f t="shared" si="1"/>
        <v>-2.8152349389807032</v>
      </c>
      <c r="K62" s="4">
        <f t="shared" si="4"/>
        <v>16.463476710431713</v>
      </c>
      <c r="L62" s="4">
        <f t="shared" si="5"/>
        <v>4.0575210055441131</v>
      </c>
      <c r="M62" s="4">
        <f t="shared" si="6"/>
        <v>0.49291180434241527</v>
      </c>
      <c r="N62" s="4">
        <f t="shared" si="7"/>
        <v>7.2888614058028628E-2</v>
      </c>
      <c r="O62" s="3">
        <f t="shared" si="8"/>
        <v>0.24872299999999825</v>
      </c>
      <c r="P62" s="3">
        <f t="shared" si="9"/>
        <v>-2.7140140000000201</v>
      </c>
      <c r="Q62">
        <f t="shared" si="10"/>
        <v>1</v>
      </c>
      <c r="R62" s="3">
        <f t="shared" si="11"/>
        <v>0.24872299999999825</v>
      </c>
      <c r="S62" s="3">
        <f t="shared" si="12"/>
        <v>-2.7140140000000201</v>
      </c>
      <c r="T62">
        <f t="shared" si="13"/>
        <v>1</v>
      </c>
      <c r="U62" s="3">
        <f t="shared" si="14"/>
        <v>0.24872299999999825</v>
      </c>
      <c r="V62" s="3">
        <f t="shared" si="15"/>
        <v>-2.7140140000000201</v>
      </c>
      <c r="W62">
        <f t="shared" si="16"/>
        <v>1</v>
      </c>
      <c r="X62" s="3">
        <f t="shared" si="17"/>
        <v>0.24872299999999825</v>
      </c>
      <c r="Y62" s="3">
        <f t="shared" si="18"/>
        <v>-2.7140140000000201</v>
      </c>
      <c r="Z62">
        <f t="shared" si="19"/>
        <v>1</v>
      </c>
      <c r="AA62" s="3">
        <f t="shared" si="20"/>
        <v>0.24872299999999825</v>
      </c>
      <c r="AB62" s="3">
        <f t="shared" si="21"/>
        <v>-2.7140140000000201</v>
      </c>
      <c r="AC62">
        <f t="shared" si="22"/>
        <v>1</v>
      </c>
      <c r="AD62" s="3">
        <f t="shared" si="23"/>
        <v>0.24872299999999825</v>
      </c>
      <c r="AE62" s="3">
        <f t="shared" si="24"/>
        <v>-2.7140140000000201</v>
      </c>
      <c r="AF62">
        <f t="shared" si="25"/>
        <v>1</v>
      </c>
      <c r="AG62" s="3">
        <f t="shared" si="26"/>
        <v>0.24872299999999825</v>
      </c>
      <c r="AH62" s="3">
        <f t="shared" si="27"/>
        <v>-2.7140140000000201</v>
      </c>
      <c r="AI62">
        <f t="shared" si="28"/>
        <v>1</v>
      </c>
      <c r="AJ62" s="3">
        <f t="shared" si="29"/>
        <v>0.24872299999999825</v>
      </c>
      <c r="AK62" s="3">
        <f t="shared" si="30"/>
        <v>-2.7140140000000201</v>
      </c>
      <c r="AL62">
        <f t="shared" si="31"/>
        <v>1</v>
      </c>
      <c r="AM62" s="3">
        <f t="shared" si="32"/>
        <v>0.24872299999999825</v>
      </c>
      <c r="AN62" s="3">
        <f t="shared" si="33"/>
        <v>-2.7140140000000201</v>
      </c>
      <c r="AO62">
        <f t="shared" si="34"/>
        <v>1</v>
      </c>
      <c r="AP62" s="3">
        <f t="shared" si="35"/>
        <v>0.24872299999999825</v>
      </c>
      <c r="AQ62" s="3">
        <f t="shared" si="36"/>
        <v>-2.7140140000000201</v>
      </c>
      <c r="AR62">
        <f t="shared" si="37"/>
        <v>1</v>
      </c>
    </row>
    <row r="63" spans="1:44" x14ac:dyDescent="0.25">
      <c r="D63" s="1">
        <v>42653</v>
      </c>
      <c r="E63" s="2">
        <v>115.45722000000001</v>
      </c>
      <c r="F63" s="3">
        <v>214.89340200000001</v>
      </c>
      <c r="G63" s="2">
        <f t="shared" si="2"/>
        <v>1.9798410000000075</v>
      </c>
      <c r="H63" s="2">
        <f t="shared" si="3"/>
        <v>1.1134470000000078</v>
      </c>
      <c r="I63" s="4">
        <f t="shared" si="0"/>
        <v>1.9174617303645145</v>
      </c>
      <c r="J63" s="4">
        <f t="shared" si="1"/>
        <v>1.0122260610193246</v>
      </c>
      <c r="K63" s="4">
        <f t="shared" si="4"/>
        <v>4.7274049886509131</v>
      </c>
      <c r="L63" s="4">
        <f t="shared" si="5"/>
        <v>2.1742596414988973</v>
      </c>
      <c r="M63" s="4">
        <f t="shared" si="6"/>
        <v>0.91985334309992262</v>
      </c>
      <c r="N63" s="4">
        <f t="shared" si="7"/>
        <v>0.2538390518436312</v>
      </c>
      <c r="O63" s="3">
        <f t="shared" si="8"/>
        <v>1.9798410000000075</v>
      </c>
      <c r="P63" s="3">
        <f t="shared" si="9"/>
        <v>1.1134470000000078</v>
      </c>
      <c r="Q63">
        <f t="shared" si="10"/>
        <v>1</v>
      </c>
      <c r="R63" s="3">
        <f t="shared" si="11"/>
        <v>1.9798410000000075</v>
      </c>
      <c r="S63" s="3">
        <f t="shared" si="12"/>
        <v>1.1134470000000078</v>
      </c>
      <c r="T63">
        <f t="shared" si="13"/>
        <v>1</v>
      </c>
      <c r="U63" s="3">
        <f t="shared" si="14"/>
        <v>1.9798410000000075</v>
      </c>
      <c r="V63" s="3">
        <f t="shared" si="15"/>
        <v>1.1134470000000078</v>
      </c>
      <c r="W63">
        <f t="shared" si="16"/>
        <v>1</v>
      </c>
      <c r="X63" s="3">
        <f t="shared" si="17"/>
        <v>1.9798410000000075</v>
      </c>
      <c r="Y63" s="3">
        <f t="shared" si="18"/>
        <v>1.1134470000000078</v>
      </c>
      <c r="Z63">
        <f t="shared" si="19"/>
        <v>1</v>
      </c>
      <c r="AA63" s="3">
        <f t="shared" si="20"/>
        <v>1.9798410000000075</v>
      </c>
      <c r="AB63" s="3">
        <f t="shared" si="21"/>
        <v>1.1134470000000078</v>
      </c>
      <c r="AC63">
        <f t="shared" si="22"/>
        <v>1</v>
      </c>
      <c r="AD63" s="3">
        <f t="shared" si="23"/>
        <v>0</v>
      </c>
      <c r="AE63" s="3">
        <f t="shared" si="24"/>
        <v>0</v>
      </c>
      <c r="AF63">
        <f t="shared" si="25"/>
        <v>0</v>
      </c>
      <c r="AG63" s="3">
        <f t="shared" si="26"/>
        <v>0</v>
      </c>
      <c r="AH63" s="3">
        <f t="shared" si="27"/>
        <v>0</v>
      </c>
      <c r="AI63">
        <f t="shared" si="28"/>
        <v>0</v>
      </c>
      <c r="AJ63" s="3">
        <f t="shared" si="29"/>
        <v>0</v>
      </c>
      <c r="AK63" s="3">
        <f t="shared" si="30"/>
        <v>0</v>
      </c>
      <c r="AL63">
        <f t="shared" si="31"/>
        <v>0</v>
      </c>
      <c r="AM63" s="3">
        <f t="shared" si="32"/>
        <v>0</v>
      </c>
      <c r="AN63" s="3">
        <f t="shared" si="33"/>
        <v>0</v>
      </c>
      <c r="AO63">
        <f t="shared" si="34"/>
        <v>0</v>
      </c>
      <c r="AP63" s="3">
        <f t="shared" si="35"/>
        <v>0</v>
      </c>
      <c r="AQ63" s="3">
        <f t="shared" si="36"/>
        <v>0</v>
      </c>
      <c r="AR63">
        <f t="shared" si="37"/>
        <v>0</v>
      </c>
    </row>
    <row r="64" spans="1:44" x14ac:dyDescent="0.25">
      <c r="A64" s="4"/>
      <c r="B64" s="4"/>
      <c r="D64" s="1">
        <v>42650</v>
      </c>
      <c r="E64" s="2">
        <v>113.477379</v>
      </c>
      <c r="F64" s="3">
        <v>213.779955</v>
      </c>
      <c r="G64" s="2">
        <f t="shared" si="2"/>
        <v>0.16912999999999556</v>
      </c>
      <c r="H64" s="2">
        <f t="shared" si="3"/>
        <v>-0.73566900000000146</v>
      </c>
      <c r="I64" s="4">
        <f t="shared" si="0"/>
        <v>0.10675073036450256</v>
      </c>
      <c r="J64" s="4">
        <f t="shared" si="1"/>
        <v>-0.83688993898068464</v>
      </c>
      <c r="K64" s="4">
        <f t="shared" si="4"/>
        <v>1.5841538579789072</v>
      </c>
      <c r="L64" s="4">
        <f t="shared" si="5"/>
        <v>1.2586317404145293</v>
      </c>
      <c r="M64" s="4">
        <f t="shared" si="6"/>
        <v>1</v>
      </c>
      <c r="N64" s="4">
        <f t="shared" si="7"/>
        <v>1</v>
      </c>
      <c r="O64" s="3">
        <f t="shared" si="8"/>
        <v>0.16912999999999556</v>
      </c>
      <c r="P64" s="3">
        <f t="shared" si="9"/>
        <v>-0.73566900000000146</v>
      </c>
      <c r="Q64">
        <f t="shared" si="10"/>
        <v>1</v>
      </c>
      <c r="R64" s="3">
        <f t="shared" si="11"/>
        <v>0.16912999999999556</v>
      </c>
      <c r="S64" s="3">
        <f t="shared" si="12"/>
        <v>-0.73566900000000146</v>
      </c>
      <c r="T64">
        <f t="shared" si="13"/>
        <v>1</v>
      </c>
      <c r="U64" s="3">
        <f t="shared" si="14"/>
        <v>0</v>
      </c>
      <c r="V64" s="3">
        <f t="shared" si="15"/>
        <v>0</v>
      </c>
      <c r="W64">
        <f t="shared" si="16"/>
        <v>0</v>
      </c>
      <c r="X64" s="3">
        <f t="shared" si="17"/>
        <v>0</v>
      </c>
      <c r="Y64" s="3">
        <f t="shared" si="18"/>
        <v>0</v>
      </c>
      <c r="Z64">
        <f t="shared" si="19"/>
        <v>0</v>
      </c>
      <c r="AA64" s="3">
        <f t="shared" si="20"/>
        <v>0</v>
      </c>
      <c r="AB64" s="3">
        <f t="shared" si="21"/>
        <v>0</v>
      </c>
      <c r="AC64">
        <f t="shared" si="22"/>
        <v>0</v>
      </c>
      <c r="AD64" s="3">
        <f t="shared" si="23"/>
        <v>0</v>
      </c>
      <c r="AE64" s="3">
        <f t="shared" si="24"/>
        <v>0</v>
      </c>
      <c r="AF64">
        <f t="shared" si="25"/>
        <v>0</v>
      </c>
      <c r="AG64" s="3">
        <f t="shared" si="26"/>
        <v>0</v>
      </c>
      <c r="AH64" s="3">
        <f t="shared" si="27"/>
        <v>0</v>
      </c>
      <c r="AI64">
        <f t="shared" si="28"/>
        <v>0</v>
      </c>
      <c r="AJ64" s="3">
        <f t="shared" si="29"/>
        <v>0</v>
      </c>
      <c r="AK64" s="3">
        <f t="shared" si="30"/>
        <v>0</v>
      </c>
      <c r="AL64">
        <f t="shared" si="31"/>
        <v>0</v>
      </c>
      <c r="AM64" s="3">
        <f t="shared" si="32"/>
        <v>0</v>
      </c>
      <c r="AN64" s="3">
        <f t="shared" si="33"/>
        <v>0</v>
      </c>
      <c r="AO64">
        <f t="shared" si="34"/>
        <v>0</v>
      </c>
      <c r="AP64" s="3">
        <f t="shared" si="35"/>
        <v>0</v>
      </c>
      <c r="AQ64" s="3">
        <f t="shared" si="36"/>
        <v>0</v>
      </c>
      <c r="AR64">
        <f t="shared" si="37"/>
        <v>0</v>
      </c>
    </row>
    <row r="65" spans="1:44" x14ac:dyDescent="0.25">
      <c r="A65" s="4"/>
      <c r="B65" s="4"/>
      <c r="D65" s="1">
        <v>42649</v>
      </c>
      <c r="E65" s="2">
        <v>113.308249</v>
      </c>
      <c r="F65" s="3">
        <v>214.515624</v>
      </c>
      <c r="G65" s="2">
        <f t="shared" si="2"/>
        <v>0.83570500000000436</v>
      </c>
      <c r="H65" s="2">
        <f t="shared" si="3"/>
        <v>0.14911499999999478</v>
      </c>
      <c r="I65" s="4">
        <f t="shared" si="0"/>
        <v>0.77332573036451135</v>
      </c>
      <c r="J65" s="4">
        <f t="shared" si="1"/>
        <v>4.7894061019311568E-2</v>
      </c>
      <c r="K65" s="4">
        <f t="shared" si="4"/>
        <v>1.1805471276956434</v>
      </c>
      <c r="L65" s="4">
        <f t="shared" si="5"/>
        <v>1.0865298558694296</v>
      </c>
      <c r="M65" s="4">
        <f t="shared" si="6"/>
        <v>1</v>
      </c>
      <c r="N65" s="4">
        <f t="shared" si="7"/>
        <v>1</v>
      </c>
      <c r="O65" s="3">
        <f t="shared" si="8"/>
        <v>0.83570500000000436</v>
      </c>
      <c r="P65" s="3">
        <f t="shared" si="9"/>
        <v>0.14911499999999478</v>
      </c>
      <c r="Q65">
        <f t="shared" si="10"/>
        <v>1</v>
      </c>
      <c r="R65" s="3">
        <f t="shared" si="11"/>
        <v>0.83570500000000436</v>
      </c>
      <c r="S65" s="3">
        <f t="shared" si="12"/>
        <v>0.14911499999999478</v>
      </c>
      <c r="T65">
        <f t="shared" si="13"/>
        <v>1</v>
      </c>
      <c r="U65" s="3">
        <f t="shared" si="14"/>
        <v>0</v>
      </c>
      <c r="V65" s="3">
        <f t="shared" si="15"/>
        <v>0</v>
      </c>
      <c r="W65">
        <f t="shared" si="16"/>
        <v>0</v>
      </c>
      <c r="X65" s="3">
        <f t="shared" si="17"/>
        <v>0</v>
      </c>
      <c r="Y65" s="3">
        <f t="shared" si="18"/>
        <v>0</v>
      </c>
      <c r="Z65">
        <f t="shared" si="19"/>
        <v>0</v>
      </c>
      <c r="AA65" s="3">
        <f t="shared" si="20"/>
        <v>0</v>
      </c>
      <c r="AB65" s="3">
        <f t="shared" si="21"/>
        <v>0</v>
      </c>
      <c r="AC65">
        <f t="shared" si="22"/>
        <v>0</v>
      </c>
      <c r="AD65" s="3">
        <f t="shared" si="23"/>
        <v>0</v>
      </c>
      <c r="AE65" s="3">
        <f t="shared" si="24"/>
        <v>0</v>
      </c>
      <c r="AF65">
        <f t="shared" si="25"/>
        <v>0</v>
      </c>
      <c r="AG65" s="3">
        <f t="shared" si="26"/>
        <v>0</v>
      </c>
      <c r="AH65" s="3">
        <f t="shared" si="27"/>
        <v>0</v>
      </c>
      <c r="AI65">
        <f t="shared" si="28"/>
        <v>0</v>
      </c>
      <c r="AJ65" s="3">
        <f t="shared" si="29"/>
        <v>0</v>
      </c>
      <c r="AK65" s="3">
        <f t="shared" si="30"/>
        <v>0</v>
      </c>
      <c r="AL65">
        <f t="shared" si="31"/>
        <v>0</v>
      </c>
      <c r="AM65" s="3">
        <f t="shared" si="32"/>
        <v>0</v>
      </c>
      <c r="AN65" s="3">
        <f t="shared" si="33"/>
        <v>0</v>
      </c>
      <c r="AO65">
        <f t="shared" si="34"/>
        <v>0</v>
      </c>
      <c r="AP65" s="3">
        <f t="shared" si="35"/>
        <v>0</v>
      </c>
      <c r="AQ65" s="3">
        <f t="shared" si="36"/>
        <v>0</v>
      </c>
      <c r="AR65">
        <f t="shared" si="37"/>
        <v>0</v>
      </c>
    </row>
    <row r="66" spans="1:44" x14ac:dyDescent="0.25">
      <c r="D66" s="1">
        <v>42648</v>
      </c>
      <c r="E66" s="2">
        <v>112.472544</v>
      </c>
      <c r="F66" s="3">
        <v>214.36650900000001</v>
      </c>
      <c r="G66" s="2">
        <f t="shared" si="2"/>
        <v>4.9747999999993908E-2</v>
      </c>
      <c r="H66" s="2">
        <f t="shared" si="3"/>
        <v>0.94444500000000176</v>
      </c>
      <c r="I66" s="4">
        <f t="shared" ref="I66:I129" si="39">G66-$A$14</f>
        <v>-1.2631269635499105E-2</v>
      </c>
      <c r="J66" s="4">
        <f t="shared" ref="J66:J129" si="40">H66-$B$14</f>
        <v>0.84322406101931857</v>
      </c>
      <c r="K66" s="4">
        <f t="shared" si="4"/>
        <v>1.3761958820806259</v>
      </c>
      <c r="L66" s="4">
        <f t="shared" si="5"/>
        <v>1.173113754961822</v>
      </c>
      <c r="M66" s="4">
        <f t="shared" si="6"/>
        <v>1</v>
      </c>
      <c r="N66" s="4">
        <f t="shared" si="7"/>
        <v>1</v>
      </c>
      <c r="O66" s="3">
        <f t="shared" si="8"/>
        <v>4.9747999999993908E-2</v>
      </c>
      <c r="P66" s="3">
        <f t="shared" si="9"/>
        <v>0.94444500000000176</v>
      </c>
      <c r="Q66">
        <f t="shared" si="10"/>
        <v>1</v>
      </c>
      <c r="R66" s="3">
        <f t="shared" si="11"/>
        <v>4.9747999999993908E-2</v>
      </c>
      <c r="S66" s="3">
        <f t="shared" si="12"/>
        <v>0.94444500000000176</v>
      </c>
      <c r="T66">
        <f t="shared" si="13"/>
        <v>1</v>
      </c>
      <c r="U66" s="3">
        <f t="shared" si="14"/>
        <v>0</v>
      </c>
      <c r="V66" s="3">
        <f t="shared" si="15"/>
        <v>0</v>
      </c>
      <c r="W66">
        <f t="shared" si="16"/>
        <v>0</v>
      </c>
      <c r="X66" s="3">
        <f t="shared" si="17"/>
        <v>0</v>
      </c>
      <c r="Y66" s="3">
        <f t="shared" si="18"/>
        <v>0</v>
      </c>
      <c r="Z66">
        <f t="shared" si="19"/>
        <v>0</v>
      </c>
      <c r="AA66" s="3">
        <f t="shared" si="20"/>
        <v>0</v>
      </c>
      <c r="AB66" s="3">
        <f t="shared" si="21"/>
        <v>0</v>
      </c>
      <c r="AC66">
        <f t="shared" si="22"/>
        <v>0</v>
      </c>
      <c r="AD66" s="3">
        <f t="shared" si="23"/>
        <v>0</v>
      </c>
      <c r="AE66" s="3">
        <f t="shared" si="24"/>
        <v>0</v>
      </c>
      <c r="AF66">
        <f t="shared" si="25"/>
        <v>0</v>
      </c>
      <c r="AG66" s="3">
        <f t="shared" si="26"/>
        <v>0</v>
      </c>
      <c r="AH66" s="3">
        <f t="shared" si="27"/>
        <v>0</v>
      </c>
      <c r="AI66">
        <f t="shared" si="28"/>
        <v>0</v>
      </c>
      <c r="AJ66" s="3">
        <f t="shared" si="29"/>
        <v>0</v>
      </c>
      <c r="AK66" s="3">
        <f t="shared" si="30"/>
        <v>0</v>
      </c>
      <c r="AL66">
        <f t="shared" si="31"/>
        <v>0</v>
      </c>
      <c r="AM66" s="3">
        <f t="shared" si="32"/>
        <v>0</v>
      </c>
      <c r="AN66" s="3">
        <f t="shared" si="33"/>
        <v>0</v>
      </c>
      <c r="AO66">
        <f t="shared" si="34"/>
        <v>0</v>
      </c>
      <c r="AP66" s="3">
        <f t="shared" si="35"/>
        <v>0</v>
      </c>
      <c r="AQ66" s="3">
        <f t="shared" si="36"/>
        <v>0</v>
      </c>
      <c r="AR66">
        <f t="shared" si="37"/>
        <v>0</v>
      </c>
    </row>
    <row r="67" spans="1:44" x14ac:dyDescent="0.25">
      <c r="D67" s="1">
        <v>42647</v>
      </c>
      <c r="E67" s="2">
        <v>112.42279600000001</v>
      </c>
      <c r="F67" s="3">
        <v>213.42206400000001</v>
      </c>
      <c r="G67" s="2">
        <f t="shared" ref="G67:G130" si="41">E67-E68</f>
        <v>0.47755100000000539</v>
      </c>
      <c r="H67" s="2">
        <f t="shared" ref="H67:H130" si="42">F67-F68</f>
        <v>-1.0935599999999965</v>
      </c>
      <c r="I67" s="4">
        <f t="shared" si="39"/>
        <v>0.41517173036451238</v>
      </c>
      <c r="J67" s="4">
        <f t="shared" si="40"/>
        <v>-1.1947809389806798</v>
      </c>
      <c r="K67" s="4">
        <f t="shared" ref="K67:K130" si="43">SUMPRODUCT(MMULT(I67:J67,$A$19:$B$20),I67:J67)</f>
        <v>4.3609269539597442</v>
      </c>
      <c r="L67" s="4">
        <f t="shared" ref="L67:L130" si="44">SQRT(K67)</f>
        <v>2.0882832552026422</v>
      </c>
      <c r="M67" s="4">
        <f t="shared" ref="M67:M130" si="45">IF(L67&lt;$B$12,1,$B$12/L67)</f>
        <v>0.95772448254675324</v>
      </c>
      <c r="N67" s="4">
        <f t="shared" ref="N67:N130" si="46">IF(K67&lt;$B$12,1,$B$21/K67)</f>
        <v>0.27517085534083385</v>
      </c>
      <c r="O67" s="3">
        <f t="shared" ref="O67:O130" si="47">IF($K67&gt;P$1,$G67,0)</f>
        <v>0.47755100000000539</v>
      </c>
      <c r="P67" s="3">
        <f t="shared" ref="P67:P130" si="48">IF($K67&gt;P$1,$H67,0)</f>
        <v>-1.0935599999999965</v>
      </c>
      <c r="Q67">
        <f t="shared" ref="Q67:Q130" si="49">IF($K67&gt;P$1,1,0)</f>
        <v>1</v>
      </c>
      <c r="R67" s="3">
        <f t="shared" ref="R67:R130" si="50">IF($K67&gt;S$1,$G67,0)</f>
        <v>0.47755100000000539</v>
      </c>
      <c r="S67" s="3">
        <f t="shared" ref="S67:S130" si="51">IF($K67&gt;S$1,$H67,0)</f>
        <v>-1.0935599999999965</v>
      </c>
      <c r="T67">
        <f t="shared" ref="T67:T130" si="52">IF($K67&gt;S$1,1,0)</f>
        <v>1</v>
      </c>
      <c r="U67" s="3">
        <f t="shared" ref="U67:U130" si="53">IF($K67&gt;V$1,$G67,0)</f>
        <v>0.47755100000000539</v>
      </c>
      <c r="V67" s="3">
        <f t="shared" ref="V67:V130" si="54">IF($K67&gt;V$1,$H67,0)</f>
        <v>-1.0935599999999965</v>
      </c>
      <c r="W67">
        <f t="shared" ref="W67:W130" si="55">IF($K67&gt;V$1,1,0)</f>
        <v>1</v>
      </c>
      <c r="X67" s="3">
        <f t="shared" ref="X67:X130" si="56">IF($K67&gt;Y$1,$G67,0)</f>
        <v>0.47755100000000539</v>
      </c>
      <c r="Y67" s="3">
        <f t="shared" ref="Y67:Y130" si="57">IF($K67&gt;Y$1,$H67,0)</f>
        <v>-1.0935599999999965</v>
      </c>
      <c r="Z67">
        <f t="shared" ref="Z67:Z130" si="58">IF($K67&gt;Y$1,1,0)</f>
        <v>1</v>
      </c>
      <c r="AA67" s="3">
        <f t="shared" ref="AA67:AA130" si="59">IF($K67&gt;AB$1,$G67,0)</f>
        <v>0.47755100000000539</v>
      </c>
      <c r="AB67" s="3">
        <f t="shared" ref="AB67:AB130" si="60">IF($K67&gt;AB$1,$H67,0)</f>
        <v>-1.0935599999999965</v>
      </c>
      <c r="AC67">
        <f t="shared" ref="AC67:AC130" si="61">IF($K67&gt;AB$1,1,0)</f>
        <v>1</v>
      </c>
      <c r="AD67" s="3">
        <f t="shared" ref="AD67:AD130" si="62">IF($K67&gt;AE$1,$G67,0)</f>
        <v>0</v>
      </c>
      <c r="AE67" s="3">
        <f t="shared" ref="AE67:AE130" si="63">IF($K67&gt;AE$1,$H67,0)</f>
        <v>0</v>
      </c>
      <c r="AF67">
        <f t="shared" ref="AF67:AF130" si="64">IF($K67&gt;AE$1,1,0)</f>
        <v>0</v>
      </c>
      <c r="AG67" s="3">
        <f t="shared" ref="AG67:AG130" si="65">IF($K67&gt;AH$1,$G67,0)</f>
        <v>0</v>
      </c>
      <c r="AH67" s="3">
        <f t="shared" ref="AH67:AH130" si="66">IF($K67&gt;AH$1,$H67,0)</f>
        <v>0</v>
      </c>
      <c r="AI67">
        <f t="shared" ref="AI67:AI130" si="67">IF($K67&gt;AH$1,1,0)</f>
        <v>0</v>
      </c>
      <c r="AJ67" s="3">
        <f t="shared" ref="AJ67:AJ130" si="68">IF($K67&gt;AK$1,$G67,0)</f>
        <v>0</v>
      </c>
      <c r="AK67" s="3">
        <f t="shared" ref="AK67:AK130" si="69">IF($K67&gt;AK$1,$H67,0)</f>
        <v>0</v>
      </c>
      <c r="AL67">
        <f t="shared" ref="AL67:AL130" si="70">IF($K67&gt;AK$1,1,0)</f>
        <v>0</v>
      </c>
      <c r="AM67" s="3">
        <f t="shared" ref="AM67:AM130" si="71">IF($K67&gt;AN$1,$G67,0)</f>
        <v>0</v>
      </c>
      <c r="AN67" s="3">
        <f t="shared" ref="AN67:AN130" si="72">IF($K67&gt;AN$1,$H67,0)</f>
        <v>0</v>
      </c>
      <c r="AO67">
        <f t="shared" ref="AO67:AO130" si="73">IF($K67&gt;AN$1,1,0)</f>
        <v>0</v>
      </c>
      <c r="AP67" s="3">
        <f t="shared" ref="AP67:AP130" si="74">IF($K67&gt;AQ$1,$G67,0)</f>
        <v>0</v>
      </c>
      <c r="AQ67" s="3">
        <f t="shared" ref="AQ67:AQ130" si="75">IF($K67&gt;AQ$1,$H67,0)</f>
        <v>0</v>
      </c>
      <c r="AR67">
        <f t="shared" ref="AR67:AR130" si="76">IF($K67&gt;AQ$1,1,0)</f>
        <v>0</v>
      </c>
    </row>
    <row r="68" spans="1:44" x14ac:dyDescent="0.25">
      <c r="D68" s="1">
        <v>42646</v>
      </c>
      <c r="E68" s="2">
        <v>111.945245</v>
      </c>
      <c r="F68" s="3">
        <v>214.515624</v>
      </c>
      <c r="G68" s="2">
        <f t="shared" si="41"/>
        <v>-0.5272989999999993</v>
      </c>
      <c r="H68" s="2">
        <f t="shared" si="42"/>
        <v>-0.51695799999998826</v>
      </c>
      <c r="I68" s="4">
        <f t="shared" si="39"/>
        <v>-0.5896782696354923</v>
      </c>
      <c r="J68" s="4">
        <f t="shared" si="40"/>
        <v>-0.61817893898067144</v>
      </c>
      <c r="K68" s="4">
        <f t="shared" si="43"/>
        <v>0.51826751017825456</v>
      </c>
      <c r="L68" s="4">
        <f t="shared" si="44"/>
        <v>0.71990798729994276</v>
      </c>
      <c r="M68" s="4">
        <f t="shared" si="45"/>
        <v>1</v>
      </c>
      <c r="N68" s="4">
        <f t="shared" si="46"/>
        <v>1</v>
      </c>
      <c r="O68" s="3">
        <f t="shared" si="47"/>
        <v>-0.5272989999999993</v>
      </c>
      <c r="P68" s="3">
        <f t="shared" si="48"/>
        <v>-0.51695799999998826</v>
      </c>
      <c r="Q68">
        <f t="shared" si="49"/>
        <v>1</v>
      </c>
      <c r="R68" s="3">
        <f t="shared" si="50"/>
        <v>0</v>
      </c>
      <c r="S68" s="3">
        <f t="shared" si="51"/>
        <v>0</v>
      </c>
      <c r="T68">
        <f t="shared" si="52"/>
        <v>0</v>
      </c>
      <c r="U68" s="3">
        <f t="shared" si="53"/>
        <v>0</v>
      </c>
      <c r="V68" s="3">
        <f t="shared" si="54"/>
        <v>0</v>
      </c>
      <c r="W68">
        <f t="shared" si="55"/>
        <v>0</v>
      </c>
      <c r="X68" s="3">
        <f t="shared" si="56"/>
        <v>0</v>
      </c>
      <c r="Y68" s="3">
        <f t="shared" si="57"/>
        <v>0</v>
      </c>
      <c r="Z68">
        <f t="shared" si="58"/>
        <v>0</v>
      </c>
      <c r="AA68" s="3">
        <f t="shared" si="59"/>
        <v>0</v>
      </c>
      <c r="AB68" s="3">
        <f t="shared" si="60"/>
        <v>0</v>
      </c>
      <c r="AC68">
        <f t="shared" si="61"/>
        <v>0</v>
      </c>
      <c r="AD68" s="3">
        <f t="shared" si="62"/>
        <v>0</v>
      </c>
      <c r="AE68" s="3">
        <f t="shared" si="63"/>
        <v>0</v>
      </c>
      <c r="AF68">
        <f t="shared" si="64"/>
        <v>0</v>
      </c>
      <c r="AG68" s="3">
        <f t="shared" si="65"/>
        <v>0</v>
      </c>
      <c r="AH68" s="3">
        <f t="shared" si="66"/>
        <v>0</v>
      </c>
      <c r="AI68">
        <f t="shared" si="67"/>
        <v>0</v>
      </c>
      <c r="AJ68" s="3">
        <f t="shared" si="68"/>
        <v>0</v>
      </c>
      <c r="AK68" s="3">
        <f t="shared" si="69"/>
        <v>0</v>
      </c>
      <c r="AL68">
        <f t="shared" si="70"/>
        <v>0</v>
      </c>
      <c r="AM68" s="3">
        <f t="shared" si="71"/>
        <v>0</v>
      </c>
      <c r="AN68" s="3">
        <f t="shared" si="72"/>
        <v>0</v>
      </c>
      <c r="AO68">
        <f t="shared" si="73"/>
        <v>0</v>
      </c>
      <c r="AP68" s="3">
        <f t="shared" si="74"/>
        <v>0</v>
      </c>
      <c r="AQ68" s="3">
        <f t="shared" si="75"/>
        <v>0</v>
      </c>
      <c r="AR68">
        <f t="shared" si="76"/>
        <v>0</v>
      </c>
    </row>
    <row r="69" spans="1:44" x14ac:dyDescent="0.25">
      <c r="B69" s="6"/>
      <c r="D69" s="1">
        <v>42643</v>
      </c>
      <c r="E69" s="2">
        <v>112.472544</v>
      </c>
      <c r="F69" s="3">
        <v>215.03258199999999</v>
      </c>
      <c r="G69" s="2">
        <f t="shared" si="41"/>
        <v>0.86555900000000463</v>
      </c>
      <c r="H69" s="2">
        <f t="shared" si="42"/>
        <v>1.6105179999999848</v>
      </c>
      <c r="I69" s="4">
        <f t="shared" si="39"/>
        <v>0.80317973036451162</v>
      </c>
      <c r="J69" s="4">
        <f t="shared" si="40"/>
        <v>1.5092970610193015</v>
      </c>
      <c r="K69" s="4">
        <f t="shared" si="43"/>
        <v>2.5455136238308436</v>
      </c>
      <c r="L69" s="4">
        <f t="shared" si="44"/>
        <v>1.595466584993507</v>
      </c>
      <c r="M69" s="4">
        <f t="shared" si="45"/>
        <v>1</v>
      </c>
      <c r="N69" s="4">
        <f t="shared" si="46"/>
        <v>0.4714176301260854</v>
      </c>
      <c r="O69" s="3">
        <f t="shared" si="47"/>
        <v>0.86555900000000463</v>
      </c>
      <c r="P69" s="3">
        <f t="shared" si="48"/>
        <v>1.6105179999999848</v>
      </c>
      <c r="Q69">
        <f t="shared" si="49"/>
        <v>1</v>
      </c>
      <c r="R69" s="3">
        <f t="shared" si="50"/>
        <v>0.86555900000000463</v>
      </c>
      <c r="S69" s="3">
        <f t="shared" si="51"/>
        <v>1.6105179999999848</v>
      </c>
      <c r="T69">
        <f t="shared" si="52"/>
        <v>1</v>
      </c>
      <c r="U69" s="3">
        <f t="shared" si="53"/>
        <v>0.86555900000000463</v>
      </c>
      <c r="V69" s="3">
        <f t="shared" si="54"/>
        <v>1.6105179999999848</v>
      </c>
      <c r="W69">
        <f t="shared" si="55"/>
        <v>1</v>
      </c>
      <c r="X69" s="3">
        <f t="shared" si="56"/>
        <v>0</v>
      </c>
      <c r="Y69" s="3">
        <f t="shared" si="57"/>
        <v>0</v>
      </c>
      <c r="Z69">
        <f t="shared" si="58"/>
        <v>0</v>
      </c>
      <c r="AA69" s="3">
        <f t="shared" si="59"/>
        <v>0</v>
      </c>
      <c r="AB69" s="3">
        <f t="shared" si="60"/>
        <v>0</v>
      </c>
      <c r="AC69">
        <f t="shared" si="61"/>
        <v>0</v>
      </c>
      <c r="AD69" s="3">
        <f t="shared" si="62"/>
        <v>0</v>
      </c>
      <c r="AE69" s="3">
        <f t="shared" si="63"/>
        <v>0</v>
      </c>
      <c r="AF69">
        <f t="shared" si="64"/>
        <v>0</v>
      </c>
      <c r="AG69" s="3">
        <f t="shared" si="65"/>
        <v>0</v>
      </c>
      <c r="AH69" s="3">
        <f t="shared" si="66"/>
        <v>0</v>
      </c>
      <c r="AI69">
        <f t="shared" si="67"/>
        <v>0</v>
      </c>
      <c r="AJ69" s="3">
        <f t="shared" si="68"/>
        <v>0</v>
      </c>
      <c r="AK69" s="3">
        <f t="shared" si="69"/>
        <v>0</v>
      </c>
      <c r="AL69">
        <f t="shared" si="70"/>
        <v>0</v>
      </c>
      <c r="AM69" s="3">
        <f t="shared" si="71"/>
        <v>0</v>
      </c>
      <c r="AN69" s="3">
        <f t="shared" si="72"/>
        <v>0</v>
      </c>
      <c r="AO69">
        <f t="shared" si="73"/>
        <v>0</v>
      </c>
      <c r="AP69" s="3">
        <f t="shared" si="74"/>
        <v>0</v>
      </c>
      <c r="AQ69" s="3">
        <f t="shared" si="75"/>
        <v>0</v>
      </c>
      <c r="AR69">
        <f t="shared" si="76"/>
        <v>0</v>
      </c>
    </row>
    <row r="70" spans="1:44" x14ac:dyDescent="0.25">
      <c r="B70" s="6"/>
      <c r="D70" s="1">
        <v>42642</v>
      </c>
      <c r="E70" s="2">
        <v>111.60698499999999</v>
      </c>
      <c r="F70" s="3">
        <v>213.42206400000001</v>
      </c>
      <c r="G70" s="2">
        <f t="shared" si="41"/>
        <v>-1.7609550000000098</v>
      </c>
      <c r="H70" s="2">
        <f t="shared" si="42"/>
        <v>-1.948521999999997</v>
      </c>
      <c r="I70" s="4">
        <f t="shared" si="39"/>
        <v>-1.8233342696355028</v>
      </c>
      <c r="J70" s="4">
        <f t="shared" si="40"/>
        <v>-2.0497429389806801</v>
      </c>
      <c r="K70" s="4">
        <f t="shared" si="43"/>
        <v>5.3393771632636753</v>
      </c>
      <c r="L70" s="4">
        <f t="shared" si="44"/>
        <v>2.3107092338205764</v>
      </c>
      <c r="M70" s="4">
        <f t="shared" si="45"/>
        <v>0.86553512260526044</v>
      </c>
      <c r="N70" s="4">
        <f t="shared" si="46"/>
        <v>0.22474531453899096</v>
      </c>
      <c r="O70" s="3">
        <f t="shared" si="47"/>
        <v>-1.7609550000000098</v>
      </c>
      <c r="P70" s="3">
        <f t="shared" si="48"/>
        <v>-1.948521999999997</v>
      </c>
      <c r="Q70">
        <f t="shared" si="49"/>
        <v>1</v>
      </c>
      <c r="R70" s="3">
        <f t="shared" si="50"/>
        <v>-1.7609550000000098</v>
      </c>
      <c r="S70" s="3">
        <f t="shared" si="51"/>
        <v>-1.948521999999997</v>
      </c>
      <c r="T70">
        <f t="shared" si="52"/>
        <v>1</v>
      </c>
      <c r="U70" s="3">
        <f t="shared" si="53"/>
        <v>-1.7609550000000098</v>
      </c>
      <c r="V70" s="3">
        <f t="shared" si="54"/>
        <v>-1.948521999999997</v>
      </c>
      <c r="W70">
        <f t="shared" si="55"/>
        <v>1</v>
      </c>
      <c r="X70" s="3">
        <f t="shared" si="56"/>
        <v>-1.7609550000000098</v>
      </c>
      <c r="Y70" s="3">
        <f t="shared" si="57"/>
        <v>-1.948521999999997</v>
      </c>
      <c r="Z70">
        <f t="shared" si="58"/>
        <v>1</v>
      </c>
      <c r="AA70" s="3">
        <f t="shared" si="59"/>
        <v>-1.7609550000000098</v>
      </c>
      <c r="AB70" s="3">
        <f t="shared" si="60"/>
        <v>-1.948521999999997</v>
      </c>
      <c r="AC70">
        <f t="shared" si="61"/>
        <v>1</v>
      </c>
      <c r="AD70" s="3">
        <f t="shared" si="62"/>
        <v>-1.7609550000000098</v>
      </c>
      <c r="AE70" s="3">
        <f t="shared" si="63"/>
        <v>-1.948521999999997</v>
      </c>
      <c r="AF70">
        <f t="shared" si="64"/>
        <v>1</v>
      </c>
      <c r="AG70" s="3">
        <f t="shared" si="65"/>
        <v>0</v>
      </c>
      <c r="AH70" s="3">
        <f t="shared" si="66"/>
        <v>0</v>
      </c>
      <c r="AI70">
        <f t="shared" si="67"/>
        <v>0</v>
      </c>
      <c r="AJ70" s="3">
        <f t="shared" si="68"/>
        <v>0</v>
      </c>
      <c r="AK70" s="3">
        <f t="shared" si="69"/>
        <v>0</v>
      </c>
      <c r="AL70">
        <f t="shared" si="70"/>
        <v>0</v>
      </c>
      <c r="AM70" s="3">
        <f t="shared" si="71"/>
        <v>0</v>
      </c>
      <c r="AN70" s="3">
        <f t="shared" si="72"/>
        <v>0</v>
      </c>
      <c r="AO70">
        <f t="shared" si="73"/>
        <v>0</v>
      </c>
      <c r="AP70" s="3">
        <f t="shared" si="74"/>
        <v>0</v>
      </c>
      <c r="AQ70" s="3">
        <f t="shared" si="75"/>
        <v>0</v>
      </c>
      <c r="AR70">
        <f t="shared" si="76"/>
        <v>0</v>
      </c>
    </row>
    <row r="71" spans="1:44" x14ac:dyDescent="0.25">
      <c r="B71" s="6"/>
      <c r="D71" s="1">
        <v>42641</v>
      </c>
      <c r="E71" s="2">
        <v>113.36794</v>
      </c>
      <c r="F71" s="3">
        <v>215.370586</v>
      </c>
      <c r="G71" s="2">
        <f t="shared" si="41"/>
        <v>0.85560700000000622</v>
      </c>
      <c r="H71" s="2">
        <f t="shared" si="42"/>
        <v>1.0637230000000102</v>
      </c>
      <c r="I71" s="4">
        <f t="shared" si="39"/>
        <v>0.79322773036451322</v>
      </c>
      <c r="J71" s="4">
        <f t="shared" si="40"/>
        <v>0.962502061019327</v>
      </c>
      <c r="K71" s="4">
        <f t="shared" si="43"/>
        <v>1.1136688504907926</v>
      </c>
      <c r="L71" s="4">
        <f t="shared" si="44"/>
        <v>1.0553050982965981</v>
      </c>
      <c r="M71" s="4">
        <f t="shared" si="45"/>
        <v>1</v>
      </c>
      <c r="N71" s="4">
        <f t="shared" si="46"/>
        <v>1</v>
      </c>
      <c r="O71" s="3">
        <f t="shared" si="47"/>
        <v>0.85560700000000622</v>
      </c>
      <c r="P71" s="3">
        <f t="shared" si="48"/>
        <v>1.0637230000000102</v>
      </c>
      <c r="Q71">
        <f t="shared" si="49"/>
        <v>1</v>
      </c>
      <c r="R71" s="3">
        <f t="shared" si="50"/>
        <v>0.85560700000000622</v>
      </c>
      <c r="S71" s="3">
        <f t="shared" si="51"/>
        <v>1.0637230000000102</v>
      </c>
      <c r="T71">
        <f t="shared" si="52"/>
        <v>1</v>
      </c>
      <c r="U71" s="3">
        <f t="shared" si="53"/>
        <v>0</v>
      </c>
      <c r="V71" s="3">
        <f t="shared" si="54"/>
        <v>0</v>
      </c>
      <c r="W71">
        <f t="shared" si="55"/>
        <v>0</v>
      </c>
      <c r="X71" s="3">
        <f t="shared" si="56"/>
        <v>0</v>
      </c>
      <c r="Y71" s="3">
        <f t="shared" si="57"/>
        <v>0</v>
      </c>
      <c r="Z71">
        <f t="shared" si="58"/>
        <v>0</v>
      </c>
      <c r="AA71" s="3">
        <f t="shared" si="59"/>
        <v>0</v>
      </c>
      <c r="AB71" s="3">
        <f t="shared" si="60"/>
        <v>0</v>
      </c>
      <c r="AC71">
        <f t="shared" si="61"/>
        <v>0</v>
      </c>
      <c r="AD71" s="3">
        <f t="shared" si="62"/>
        <v>0</v>
      </c>
      <c r="AE71" s="3">
        <f t="shared" si="63"/>
        <v>0</v>
      </c>
      <c r="AF71">
        <f t="shared" si="64"/>
        <v>0</v>
      </c>
      <c r="AG71" s="3">
        <f t="shared" si="65"/>
        <v>0</v>
      </c>
      <c r="AH71" s="3">
        <f t="shared" si="66"/>
        <v>0</v>
      </c>
      <c r="AI71">
        <f t="shared" si="67"/>
        <v>0</v>
      </c>
      <c r="AJ71" s="3">
        <f t="shared" si="68"/>
        <v>0</v>
      </c>
      <c r="AK71" s="3">
        <f t="shared" si="69"/>
        <v>0</v>
      </c>
      <c r="AL71">
        <f t="shared" si="70"/>
        <v>0</v>
      </c>
      <c r="AM71" s="3">
        <f t="shared" si="71"/>
        <v>0</v>
      </c>
      <c r="AN71" s="3">
        <f t="shared" si="72"/>
        <v>0</v>
      </c>
      <c r="AO71">
        <f t="shared" si="73"/>
        <v>0</v>
      </c>
      <c r="AP71" s="3">
        <f t="shared" si="74"/>
        <v>0</v>
      </c>
      <c r="AQ71" s="3">
        <f t="shared" si="75"/>
        <v>0</v>
      </c>
      <c r="AR71">
        <f t="shared" si="76"/>
        <v>0</v>
      </c>
    </row>
    <row r="72" spans="1:44" x14ac:dyDescent="0.25">
      <c r="B72" s="6"/>
      <c r="D72" s="1">
        <v>42640</v>
      </c>
      <c r="E72" s="2">
        <v>112.512333</v>
      </c>
      <c r="F72" s="3">
        <v>214.30686299999999</v>
      </c>
      <c r="G72" s="2">
        <f t="shared" si="41"/>
        <v>0.20892700000000275</v>
      </c>
      <c r="H72" s="2">
        <f t="shared" si="42"/>
        <v>1.3222079999999892</v>
      </c>
      <c r="I72" s="4">
        <f t="shared" si="39"/>
        <v>0.14654773036450974</v>
      </c>
      <c r="J72" s="4">
        <f t="shared" si="40"/>
        <v>1.2209870610193059</v>
      </c>
      <c r="K72" s="4">
        <f t="shared" si="43"/>
        <v>2.4080708110095439</v>
      </c>
      <c r="L72" s="4">
        <f t="shared" si="44"/>
        <v>1.5517959952936933</v>
      </c>
      <c r="M72" s="4">
        <f t="shared" si="45"/>
        <v>1</v>
      </c>
      <c r="N72" s="4">
        <f t="shared" si="46"/>
        <v>0.49832421642822033</v>
      </c>
      <c r="O72" s="3">
        <f t="shared" si="47"/>
        <v>0.20892700000000275</v>
      </c>
      <c r="P72" s="3">
        <f t="shared" si="48"/>
        <v>1.3222079999999892</v>
      </c>
      <c r="Q72">
        <f t="shared" si="49"/>
        <v>1</v>
      </c>
      <c r="R72" s="3">
        <f t="shared" si="50"/>
        <v>0.20892700000000275</v>
      </c>
      <c r="S72" s="3">
        <f t="shared" si="51"/>
        <v>1.3222079999999892</v>
      </c>
      <c r="T72">
        <f t="shared" si="52"/>
        <v>1</v>
      </c>
      <c r="U72" s="3">
        <f t="shared" si="53"/>
        <v>0.20892700000000275</v>
      </c>
      <c r="V72" s="3">
        <f t="shared" si="54"/>
        <v>1.3222079999999892</v>
      </c>
      <c r="W72">
        <f t="shared" si="55"/>
        <v>1</v>
      </c>
      <c r="X72" s="3">
        <f t="shared" si="56"/>
        <v>0</v>
      </c>
      <c r="Y72" s="3">
        <f t="shared" si="57"/>
        <v>0</v>
      </c>
      <c r="Z72">
        <f t="shared" si="58"/>
        <v>0</v>
      </c>
      <c r="AA72" s="3">
        <f t="shared" si="59"/>
        <v>0</v>
      </c>
      <c r="AB72" s="3">
        <f t="shared" si="60"/>
        <v>0</v>
      </c>
      <c r="AC72">
        <f t="shared" si="61"/>
        <v>0</v>
      </c>
      <c r="AD72" s="3">
        <f t="shared" si="62"/>
        <v>0</v>
      </c>
      <c r="AE72" s="3">
        <f t="shared" si="63"/>
        <v>0</v>
      </c>
      <c r="AF72">
        <f t="shared" si="64"/>
        <v>0</v>
      </c>
      <c r="AG72" s="3">
        <f t="shared" si="65"/>
        <v>0</v>
      </c>
      <c r="AH72" s="3">
        <f t="shared" si="66"/>
        <v>0</v>
      </c>
      <c r="AI72">
        <f t="shared" si="67"/>
        <v>0</v>
      </c>
      <c r="AJ72" s="3">
        <f t="shared" si="68"/>
        <v>0</v>
      </c>
      <c r="AK72" s="3">
        <f t="shared" si="69"/>
        <v>0</v>
      </c>
      <c r="AL72">
        <f t="shared" si="70"/>
        <v>0</v>
      </c>
      <c r="AM72" s="3">
        <f t="shared" si="71"/>
        <v>0</v>
      </c>
      <c r="AN72" s="3">
        <f t="shared" si="72"/>
        <v>0</v>
      </c>
      <c r="AO72">
        <f t="shared" si="73"/>
        <v>0</v>
      </c>
      <c r="AP72" s="3">
        <f t="shared" si="74"/>
        <v>0</v>
      </c>
      <c r="AQ72" s="3">
        <f t="shared" si="75"/>
        <v>0</v>
      </c>
      <c r="AR72">
        <f t="shared" si="76"/>
        <v>0</v>
      </c>
    </row>
    <row r="73" spans="1:44" x14ac:dyDescent="0.25">
      <c r="B73" s="6"/>
      <c r="D73" s="1">
        <v>42639</v>
      </c>
      <c r="E73" s="2">
        <v>112.303406</v>
      </c>
      <c r="F73" s="3">
        <v>212.984655</v>
      </c>
      <c r="G73" s="2">
        <f t="shared" si="41"/>
        <v>0.16912899999999809</v>
      </c>
      <c r="H73" s="2">
        <f t="shared" si="42"/>
        <v>-1.7397449999999992</v>
      </c>
      <c r="I73" s="4">
        <f t="shared" si="39"/>
        <v>0.10674973036450508</v>
      </c>
      <c r="J73" s="4">
        <f t="shared" si="40"/>
        <v>-1.8409659389806825</v>
      </c>
      <c r="K73" s="4">
        <f t="shared" si="43"/>
        <v>6.9606540750166657</v>
      </c>
      <c r="L73" s="4">
        <f t="shared" si="44"/>
        <v>2.638305151989941</v>
      </c>
      <c r="M73" s="4">
        <f t="shared" si="45"/>
        <v>0.75806242446651806</v>
      </c>
      <c r="N73" s="4">
        <f t="shared" si="46"/>
        <v>0.17239759181641659</v>
      </c>
      <c r="O73" s="3">
        <f t="shared" si="47"/>
        <v>0.16912899999999809</v>
      </c>
      <c r="P73" s="3">
        <f t="shared" si="48"/>
        <v>-1.7397449999999992</v>
      </c>
      <c r="Q73">
        <f t="shared" si="49"/>
        <v>1</v>
      </c>
      <c r="R73" s="3">
        <f t="shared" si="50"/>
        <v>0.16912899999999809</v>
      </c>
      <c r="S73" s="3">
        <f t="shared" si="51"/>
        <v>-1.7397449999999992</v>
      </c>
      <c r="T73">
        <f t="shared" si="52"/>
        <v>1</v>
      </c>
      <c r="U73" s="3">
        <f t="shared" si="53"/>
        <v>0.16912899999999809</v>
      </c>
      <c r="V73" s="3">
        <f t="shared" si="54"/>
        <v>-1.7397449999999992</v>
      </c>
      <c r="W73">
        <f t="shared" si="55"/>
        <v>1</v>
      </c>
      <c r="X73" s="3">
        <f t="shared" si="56"/>
        <v>0.16912899999999809</v>
      </c>
      <c r="Y73" s="3">
        <f t="shared" si="57"/>
        <v>-1.7397449999999992</v>
      </c>
      <c r="Z73">
        <f t="shared" si="58"/>
        <v>1</v>
      </c>
      <c r="AA73" s="3">
        <f t="shared" si="59"/>
        <v>0.16912899999999809</v>
      </c>
      <c r="AB73" s="3">
        <f t="shared" si="60"/>
        <v>-1.7397449999999992</v>
      </c>
      <c r="AC73">
        <f t="shared" si="61"/>
        <v>1</v>
      </c>
      <c r="AD73" s="3">
        <f t="shared" si="62"/>
        <v>0.16912899999999809</v>
      </c>
      <c r="AE73" s="3">
        <f t="shared" si="63"/>
        <v>-1.7397449999999992</v>
      </c>
      <c r="AF73">
        <f t="shared" si="64"/>
        <v>1</v>
      </c>
      <c r="AG73" s="3">
        <f t="shared" si="65"/>
        <v>0.16912899999999809</v>
      </c>
      <c r="AH73" s="3">
        <f t="shared" si="66"/>
        <v>-1.7397449999999992</v>
      </c>
      <c r="AI73">
        <f t="shared" si="67"/>
        <v>1</v>
      </c>
      <c r="AJ73" s="3">
        <f t="shared" si="68"/>
        <v>0</v>
      </c>
      <c r="AK73" s="3">
        <f t="shared" si="69"/>
        <v>0</v>
      </c>
      <c r="AL73">
        <f t="shared" si="70"/>
        <v>0</v>
      </c>
      <c r="AM73" s="3">
        <f t="shared" si="71"/>
        <v>0</v>
      </c>
      <c r="AN73" s="3">
        <f t="shared" si="72"/>
        <v>0</v>
      </c>
      <c r="AO73">
        <f t="shared" si="73"/>
        <v>0</v>
      </c>
      <c r="AP73" s="3">
        <f t="shared" si="74"/>
        <v>0</v>
      </c>
      <c r="AQ73" s="3">
        <f t="shared" si="75"/>
        <v>0</v>
      </c>
      <c r="AR73">
        <f t="shared" si="76"/>
        <v>0</v>
      </c>
    </row>
    <row r="74" spans="1:44" x14ac:dyDescent="0.25">
      <c r="B74" s="6"/>
      <c r="D74" s="1">
        <v>42636</v>
      </c>
      <c r="E74" s="2">
        <v>112.134277</v>
      </c>
      <c r="F74" s="3">
        <v>214.7244</v>
      </c>
      <c r="G74" s="2">
        <f t="shared" si="41"/>
        <v>-1.9002470000000073</v>
      </c>
      <c r="H74" s="2">
        <f t="shared" si="42"/>
        <v>-1.1830149999999833</v>
      </c>
      <c r="I74" s="4">
        <f t="shared" si="39"/>
        <v>-1.9626262696355004</v>
      </c>
      <c r="J74" s="4">
        <f t="shared" si="40"/>
        <v>-1.2842359389806666</v>
      </c>
      <c r="K74" s="4">
        <f t="shared" si="43"/>
        <v>4.7804256150209836</v>
      </c>
      <c r="L74" s="4">
        <f t="shared" si="44"/>
        <v>2.186418444630621</v>
      </c>
      <c r="M74" s="4">
        <f t="shared" si="45"/>
        <v>0.91473798389854188</v>
      </c>
      <c r="N74" s="4">
        <f t="shared" si="46"/>
        <v>0.25102367375603074</v>
      </c>
      <c r="O74" s="3">
        <f t="shared" si="47"/>
        <v>-1.9002470000000073</v>
      </c>
      <c r="P74" s="3">
        <f t="shared" si="48"/>
        <v>-1.1830149999999833</v>
      </c>
      <c r="Q74">
        <f t="shared" si="49"/>
        <v>1</v>
      </c>
      <c r="R74" s="3">
        <f t="shared" si="50"/>
        <v>-1.9002470000000073</v>
      </c>
      <c r="S74" s="3">
        <f t="shared" si="51"/>
        <v>-1.1830149999999833</v>
      </c>
      <c r="T74">
        <f t="shared" si="52"/>
        <v>1</v>
      </c>
      <c r="U74" s="3">
        <f t="shared" si="53"/>
        <v>-1.9002470000000073</v>
      </c>
      <c r="V74" s="3">
        <f t="shared" si="54"/>
        <v>-1.1830149999999833</v>
      </c>
      <c r="W74">
        <f t="shared" si="55"/>
        <v>1</v>
      </c>
      <c r="X74" s="3">
        <f t="shared" si="56"/>
        <v>-1.9002470000000073</v>
      </c>
      <c r="Y74" s="3">
        <f t="shared" si="57"/>
        <v>-1.1830149999999833</v>
      </c>
      <c r="Z74">
        <f t="shared" si="58"/>
        <v>1</v>
      </c>
      <c r="AA74" s="3">
        <f t="shared" si="59"/>
        <v>-1.9002470000000073</v>
      </c>
      <c r="AB74" s="3">
        <f t="shared" si="60"/>
        <v>-1.1830149999999833</v>
      </c>
      <c r="AC74">
        <f t="shared" si="61"/>
        <v>1</v>
      </c>
      <c r="AD74" s="3">
        <f t="shared" si="62"/>
        <v>0</v>
      </c>
      <c r="AE74" s="3">
        <f t="shared" si="63"/>
        <v>0</v>
      </c>
      <c r="AF74">
        <f t="shared" si="64"/>
        <v>0</v>
      </c>
      <c r="AG74" s="3">
        <f t="shared" si="65"/>
        <v>0</v>
      </c>
      <c r="AH74" s="3">
        <f t="shared" si="66"/>
        <v>0</v>
      </c>
      <c r="AI74">
        <f t="shared" si="67"/>
        <v>0</v>
      </c>
      <c r="AJ74" s="3">
        <f t="shared" si="68"/>
        <v>0</v>
      </c>
      <c r="AK74" s="3">
        <f t="shared" si="69"/>
        <v>0</v>
      </c>
      <c r="AL74">
        <f t="shared" si="70"/>
        <v>0</v>
      </c>
      <c r="AM74" s="3">
        <f t="shared" si="71"/>
        <v>0</v>
      </c>
      <c r="AN74" s="3">
        <f t="shared" si="72"/>
        <v>0</v>
      </c>
      <c r="AO74">
        <f t="shared" si="73"/>
        <v>0</v>
      </c>
      <c r="AP74" s="3">
        <f t="shared" si="74"/>
        <v>0</v>
      </c>
      <c r="AQ74" s="3">
        <f t="shared" si="75"/>
        <v>0</v>
      </c>
      <c r="AR74">
        <f t="shared" si="76"/>
        <v>0</v>
      </c>
    </row>
    <row r="75" spans="1:44" x14ac:dyDescent="0.25">
      <c r="B75" s="6"/>
      <c r="D75" s="1">
        <v>42635</v>
      </c>
      <c r="E75" s="2">
        <v>114.034524</v>
      </c>
      <c r="F75" s="3">
        <v>215.90741499999999</v>
      </c>
      <c r="G75" s="2">
        <f t="shared" si="41"/>
        <v>1.064534000000009</v>
      </c>
      <c r="H75" s="2">
        <f t="shared" si="42"/>
        <v>1.3520169999999894</v>
      </c>
      <c r="I75" s="4">
        <f t="shared" si="39"/>
        <v>1.002154730364516</v>
      </c>
      <c r="J75" s="4">
        <f t="shared" si="40"/>
        <v>1.2507960610193061</v>
      </c>
      <c r="K75" s="4">
        <f t="shared" si="43"/>
        <v>1.8498034010652167</v>
      </c>
      <c r="L75" s="4">
        <f t="shared" si="44"/>
        <v>1.3600747777476121</v>
      </c>
      <c r="M75" s="4">
        <f t="shared" si="45"/>
        <v>1</v>
      </c>
      <c r="N75" s="4">
        <f t="shared" si="46"/>
        <v>1</v>
      </c>
      <c r="O75" s="3">
        <f t="shared" si="47"/>
        <v>1.064534000000009</v>
      </c>
      <c r="P75" s="3">
        <f t="shared" si="48"/>
        <v>1.3520169999999894</v>
      </c>
      <c r="Q75">
        <f t="shared" si="49"/>
        <v>1</v>
      </c>
      <c r="R75" s="3">
        <f t="shared" si="50"/>
        <v>1.064534000000009</v>
      </c>
      <c r="S75" s="3">
        <f t="shared" si="51"/>
        <v>1.3520169999999894</v>
      </c>
      <c r="T75">
        <f t="shared" si="52"/>
        <v>1</v>
      </c>
      <c r="U75" s="3">
        <f t="shared" si="53"/>
        <v>0</v>
      </c>
      <c r="V75" s="3">
        <f t="shared" si="54"/>
        <v>0</v>
      </c>
      <c r="W75">
        <f t="shared" si="55"/>
        <v>0</v>
      </c>
      <c r="X75" s="3">
        <f t="shared" si="56"/>
        <v>0</v>
      </c>
      <c r="Y75" s="3">
        <f t="shared" si="57"/>
        <v>0</v>
      </c>
      <c r="Z75">
        <f t="shared" si="58"/>
        <v>0</v>
      </c>
      <c r="AA75" s="3">
        <f t="shared" si="59"/>
        <v>0</v>
      </c>
      <c r="AB75" s="3">
        <f t="shared" si="60"/>
        <v>0</v>
      </c>
      <c r="AC75">
        <f t="shared" si="61"/>
        <v>0</v>
      </c>
      <c r="AD75" s="3">
        <f t="shared" si="62"/>
        <v>0</v>
      </c>
      <c r="AE75" s="3">
        <f t="shared" si="63"/>
        <v>0</v>
      </c>
      <c r="AF75">
        <f t="shared" si="64"/>
        <v>0</v>
      </c>
      <c r="AG75" s="3">
        <f t="shared" si="65"/>
        <v>0</v>
      </c>
      <c r="AH75" s="3">
        <f t="shared" si="66"/>
        <v>0</v>
      </c>
      <c r="AI75">
        <f t="shared" si="67"/>
        <v>0</v>
      </c>
      <c r="AJ75" s="3">
        <f t="shared" si="68"/>
        <v>0</v>
      </c>
      <c r="AK75" s="3">
        <f t="shared" si="69"/>
        <v>0</v>
      </c>
      <c r="AL75">
        <f t="shared" si="70"/>
        <v>0</v>
      </c>
      <c r="AM75" s="3">
        <f t="shared" si="71"/>
        <v>0</v>
      </c>
      <c r="AN75" s="3">
        <f t="shared" si="72"/>
        <v>0</v>
      </c>
      <c r="AO75">
        <f t="shared" si="73"/>
        <v>0</v>
      </c>
      <c r="AP75" s="3">
        <f t="shared" si="74"/>
        <v>0</v>
      </c>
      <c r="AQ75" s="3">
        <f t="shared" si="75"/>
        <v>0</v>
      </c>
      <c r="AR75">
        <f t="shared" si="76"/>
        <v>0</v>
      </c>
    </row>
    <row r="76" spans="1:44" x14ac:dyDescent="0.25">
      <c r="B76" s="6"/>
      <c r="D76" s="1">
        <v>42634</v>
      </c>
      <c r="E76" s="2">
        <v>112.96999</v>
      </c>
      <c r="F76" s="3">
        <v>214.555398</v>
      </c>
      <c r="G76" s="2">
        <f t="shared" si="41"/>
        <v>-1.989400000000785E-2</v>
      </c>
      <c r="H76" s="2">
        <f t="shared" si="42"/>
        <v>2.3859459999999899</v>
      </c>
      <c r="I76" s="4">
        <f t="shared" si="39"/>
        <v>-8.2273269635500856E-2</v>
      </c>
      <c r="J76" s="4">
        <f t="shared" si="40"/>
        <v>2.2847250610193068</v>
      </c>
      <c r="K76" s="4">
        <f t="shared" si="43"/>
        <v>10.400109848918774</v>
      </c>
      <c r="L76" s="4">
        <f t="shared" si="44"/>
        <v>3.2249201306263036</v>
      </c>
      <c r="M76" s="4">
        <f t="shared" si="45"/>
        <v>0.62017039771201565</v>
      </c>
      <c r="N76" s="4">
        <f t="shared" si="46"/>
        <v>0.11538339665948388</v>
      </c>
      <c r="O76" s="3">
        <f t="shared" si="47"/>
        <v>-1.989400000000785E-2</v>
      </c>
      <c r="P76" s="3">
        <f t="shared" si="48"/>
        <v>2.3859459999999899</v>
      </c>
      <c r="Q76">
        <f t="shared" si="49"/>
        <v>1</v>
      </c>
      <c r="R76" s="3">
        <f t="shared" si="50"/>
        <v>-1.989400000000785E-2</v>
      </c>
      <c r="S76" s="3">
        <f t="shared" si="51"/>
        <v>2.3859459999999899</v>
      </c>
      <c r="T76">
        <f t="shared" si="52"/>
        <v>1</v>
      </c>
      <c r="U76" s="3">
        <f t="shared" si="53"/>
        <v>-1.989400000000785E-2</v>
      </c>
      <c r="V76" s="3">
        <f t="shared" si="54"/>
        <v>2.3859459999999899</v>
      </c>
      <c r="W76">
        <f t="shared" si="55"/>
        <v>1</v>
      </c>
      <c r="X76" s="3">
        <f t="shared" si="56"/>
        <v>-1.989400000000785E-2</v>
      </c>
      <c r="Y76" s="3">
        <f t="shared" si="57"/>
        <v>2.3859459999999899</v>
      </c>
      <c r="Z76">
        <f t="shared" si="58"/>
        <v>1</v>
      </c>
      <c r="AA76" s="3">
        <f t="shared" si="59"/>
        <v>-1.989400000000785E-2</v>
      </c>
      <c r="AB76" s="3">
        <f t="shared" si="60"/>
        <v>2.3859459999999899</v>
      </c>
      <c r="AC76">
        <f t="shared" si="61"/>
        <v>1</v>
      </c>
      <c r="AD76" s="3">
        <f t="shared" si="62"/>
        <v>-1.989400000000785E-2</v>
      </c>
      <c r="AE76" s="3">
        <f t="shared" si="63"/>
        <v>2.3859459999999899</v>
      </c>
      <c r="AF76">
        <f t="shared" si="64"/>
        <v>1</v>
      </c>
      <c r="AG76" s="3">
        <f t="shared" si="65"/>
        <v>-1.989400000000785E-2</v>
      </c>
      <c r="AH76" s="3">
        <f t="shared" si="66"/>
        <v>2.3859459999999899</v>
      </c>
      <c r="AI76">
        <f t="shared" si="67"/>
        <v>1</v>
      </c>
      <c r="AJ76" s="3">
        <f t="shared" si="68"/>
        <v>-1.989400000000785E-2</v>
      </c>
      <c r="AK76" s="3">
        <f t="shared" si="69"/>
        <v>2.3859459999999899</v>
      </c>
      <c r="AL76">
        <f t="shared" si="70"/>
        <v>1</v>
      </c>
      <c r="AM76" s="3">
        <f t="shared" si="71"/>
        <v>-1.989400000000785E-2</v>
      </c>
      <c r="AN76" s="3">
        <f t="shared" si="72"/>
        <v>2.3859459999999899</v>
      </c>
      <c r="AO76">
        <f t="shared" si="73"/>
        <v>1</v>
      </c>
      <c r="AP76" s="3">
        <f t="shared" si="74"/>
        <v>-1.989400000000785E-2</v>
      </c>
      <c r="AQ76" s="3">
        <f t="shared" si="75"/>
        <v>2.3859459999999899</v>
      </c>
      <c r="AR76">
        <f t="shared" si="76"/>
        <v>1</v>
      </c>
    </row>
    <row r="77" spans="1:44" x14ac:dyDescent="0.25">
      <c r="B77" s="6"/>
      <c r="D77" s="1">
        <v>42633</v>
      </c>
      <c r="E77" s="2">
        <v>112.989884</v>
      </c>
      <c r="F77" s="3">
        <v>212.16945200000001</v>
      </c>
      <c r="G77" s="2">
        <f t="shared" si="41"/>
        <v>-9.9510000000009313E-3</v>
      </c>
      <c r="H77" s="2">
        <f t="shared" si="42"/>
        <v>9.936000000010381E-3</v>
      </c>
      <c r="I77" s="4">
        <f t="shared" si="39"/>
        <v>-7.2330269635493938E-2</v>
      </c>
      <c r="J77" s="4">
        <f t="shared" si="40"/>
        <v>-9.1284938980672831E-2</v>
      </c>
      <c r="K77" s="4">
        <f t="shared" si="43"/>
        <v>9.7939368482958932E-3</v>
      </c>
      <c r="L77" s="4">
        <f t="shared" si="44"/>
        <v>9.8964321087429752E-2</v>
      </c>
      <c r="M77" s="4">
        <f t="shared" si="45"/>
        <v>1</v>
      </c>
      <c r="N77" s="4">
        <f t="shared" si="46"/>
        <v>1</v>
      </c>
      <c r="O77" s="3">
        <f t="shared" si="47"/>
        <v>-9.9510000000009313E-3</v>
      </c>
      <c r="P77" s="3">
        <f t="shared" si="48"/>
        <v>9.936000000010381E-3</v>
      </c>
      <c r="Q77">
        <f t="shared" si="49"/>
        <v>1</v>
      </c>
      <c r="R77" s="3">
        <f t="shared" si="50"/>
        <v>0</v>
      </c>
      <c r="S77" s="3">
        <f t="shared" si="51"/>
        <v>0</v>
      </c>
      <c r="T77">
        <f t="shared" si="52"/>
        <v>0</v>
      </c>
      <c r="U77" s="3">
        <f t="shared" si="53"/>
        <v>0</v>
      </c>
      <c r="V77" s="3">
        <f t="shared" si="54"/>
        <v>0</v>
      </c>
      <c r="W77">
        <f t="shared" si="55"/>
        <v>0</v>
      </c>
      <c r="X77" s="3">
        <f t="shared" si="56"/>
        <v>0</v>
      </c>
      <c r="Y77" s="3">
        <f t="shared" si="57"/>
        <v>0</v>
      </c>
      <c r="Z77">
        <f t="shared" si="58"/>
        <v>0</v>
      </c>
      <c r="AA77" s="3">
        <f t="shared" si="59"/>
        <v>0</v>
      </c>
      <c r="AB77" s="3">
        <f t="shared" si="60"/>
        <v>0</v>
      </c>
      <c r="AC77">
        <f t="shared" si="61"/>
        <v>0</v>
      </c>
      <c r="AD77" s="3">
        <f t="shared" si="62"/>
        <v>0</v>
      </c>
      <c r="AE77" s="3">
        <f t="shared" si="63"/>
        <v>0</v>
      </c>
      <c r="AF77">
        <f t="shared" si="64"/>
        <v>0</v>
      </c>
      <c r="AG77" s="3">
        <f t="shared" si="65"/>
        <v>0</v>
      </c>
      <c r="AH77" s="3">
        <f t="shared" si="66"/>
        <v>0</v>
      </c>
      <c r="AI77">
        <f t="shared" si="67"/>
        <v>0</v>
      </c>
      <c r="AJ77" s="3">
        <f t="shared" si="68"/>
        <v>0</v>
      </c>
      <c r="AK77" s="3">
        <f t="shared" si="69"/>
        <v>0</v>
      </c>
      <c r="AL77">
        <f t="shared" si="70"/>
        <v>0</v>
      </c>
      <c r="AM77" s="3">
        <f t="shared" si="71"/>
        <v>0</v>
      </c>
      <c r="AN77" s="3">
        <f t="shared" si="72"/>
        <v>0</v>
      </c>
      <c r="AO77">
        <f t="shared" si="73"/>
        <v>0</v>
      </c>
      <c r="AP77" s="3">
        <f t="shared" si="74"/>
        <v>0</v>
      </c>
      <c r="AQ77" s="3">
        <f t="shared" si="75"/>
        <v>0</v>
      </c>
      <c r="AR77">
        <f t="shared" si="76"/>
        <v>0</v>
      </c>
    </row>
    <row r="78" spans="1:44" x14ac:dyDescent="0.25">
      <c r="B78" s="6"/>
      <c r="D78" s="1">
        <v>42632</v>
      </c>
      <c r="E78" s="2">
        <v>112.999835</v>
      </c>
      <c r="F78" s="3">
        <v>212.159516</v>
      </c>
      <c r="G78" s="2">
        <f t="shared" si="41"/>
        <v>-1.3331519999999983</v>
      </c>
      <c r="H78" s="2">
        <f t="shared" si="42"/>
        <v>3.9773999999994203E-2</v>
      </c>
      <c r="I78" s="4">
        <f t="shared" si="39"/>
        <v>-1.3955312696354913</v>
      </c>
      <c r="J78" s="4">
        <f t="shared" si="40"/>
        <v>-6.1446938980689009E-2</v>
      </c>
      <c r="K78" s="4">
        <f t="shared" si="43"/>
        <v>3.927960869694648</v>
      </c>
      <c r="L78" s="4">
        <f t="shared" si="44"/>
        <v>1.9819083908431914</v>
      </c>
      <c r="M78" s="4">
        <f t="shared" si="45"/>
        <v>1</v>
      </c>
      <c r="N78" s="4">
        <f t="shared" si="46"/>
        <v>0.30550202504774077</v>
      </c>
      <c r="O78" s="3">
        <f t="shared" si="47"/>
        <v>-1.3331519999999983</v>
      </c>
      <c r="P78" s="3">
        <f t="shared" si="48"/>
        <v>3.9773999999994203E-2</v>
      </c>
      <c r="Q78">
        <f t="shared" si="49"/>
        <v>1</v>
      </c>
      <c r="R78" s="3">
        <f t="shared" si="50"/>
        <v>-1.3331519999999983</v>
      </c>
      <c r="S78" s="3">
        <f t="shared" si="51"/>
        <v>3.9773999999994203E-2</v>
      </c>
      <c r="T78">
        <f t="shared" si="52"/>
        <v>1</v>
      </c>
      <c r="U78" s="3">
        <f t="shared" si="53"/>
        <v>-1.3331519999999983</v>
      </c>
      <c r="V78" s="3">
        <f t="shared" si="54"/>
        <v>3.9773999999994203E-2</v>
      </c>
      <c r="W78">
        <f t="shared" si="55"/>
        <v>1</v>
      </c>
      <c r="X78" s="3">
        <f t="shared" si="56"/>
        <v>-1.3331519999999983</v>
      </c>
      <c r="Y78" s="3">
        <f t="shared" si="57"/>
        <v>3.9773999999994203E-2</v>
      </c>
      <c r="Z78">
        <f t="shared" si="58"/>
        <v>1</v>
      </c>
      <c r="AA78" s="3">
        <f t="shared" si="59"/>
        <v>0</v>
      </c>
      <c r="AB78" s="3">
        <f t="shared" si="60"/>
        <v>0</v>
      </c>
      <c r="AC78">
        <f t="shared" si="61"/>
        <v>0</v>
      </c>
      <c r="AD78" s="3">
        <f t="shared" si="62"/>
        <v>0</v>
      </c>
      <c r="AE78" s="3">
        <f t="shared" si="63"/>
        <v>0</v>
      </c>
      <c r="AF78">
        <f t="shared" si="64"/>
        <v>0</v>
      </c>
      <c r="AG78" s="3">
        <f t="shared" si="65"/>
        <v>0</v>
      </c>
      <c r="AH78" s="3">
        <f t="shared" si="66"/>
        <v>0</v>
      </c>
      <c r="AI78">
        <f t="shared" si="67"/>
        <v>0</v>
      </c>
      <c r="AJ78" s="3">
        <f t="shared" si="68"/>
        <v>0</v>
      </c>
      <c r="AK78" s="3">
        <f t="shared" si="69"/>
        <v>0</v>
      </c>
      <c r="AL78">
        <f t="shared" si="70"/>
        <v>0</v>
      </c>
      <c r="AM78" s="3">
        <f t="shared" si="71"/>
        <v>0</v>
      </c>
      <c r="AN78" s="3">
        <f t="shared" si="72"/>
        <v>0</v>
      </c>
      <c r="AO78">
        <f t="shared" si="73"/>
        <v>0</v>
      </c>
      <c r="AP78" s="3">
        <f t="shared" si="74"/>
        <v>0</v>
      </c>
      <c r="AQ78" s="3">
        <f t="shared" si="75"/>
        <v>0</v>
      </c>
      <c r="AR78">
        <f t="shared" si="76"/>
        <v>0</v>
      </c>
    </row>
    <row r="79" spans="1:44" x14ac:dyDescent="0.25">
      <c r="D79" s="1">
        <v>42629</v>
      </c>
      <c r="E79" s="2">
        <v>114.332987</v>
      </c>
      <c r="F79" s="3">
        <v>212.119742</v>
      </c>
      <c r="G79" s="2">
        <f t="shared" si="41"/>
        <v>-0.64668100000000095</v>
      </c>
      <c r="H79" s="2">
        <f t="shared" si="42"/>
        <v>-0.82315700000000902</v>
      </c>
      <c r="I79" s="4">
        <f t="shared" si="39"/>
        <v>-0.70906026963549396</v>
      </c>
      <c r="J79" s="4">
        <f t="shared" si="40"/>
        <v>-0.9243779389806922</v>
      </c>
      <c r="K79" s="4">
        <f t="shared" si="43"/>
        <v>0.98868073432518555</v>
      </c>
      <c r="L79" s="4">
        <f t="shared" si="44"/>
        <v>0.99432426015117703</v>
      </c>
      <c r="M79" s="4">
        <f t="shared" si="45"/>
        <v>1</v>
      </c>
      <c r="N79" s="4">
        <f t="shared" si="46"/>
        <v>1</v>
      </c>
      <c r="O79" s="3">
        <f t="shared" si="47"/>
        <v>-0.64668100000000095</v>
      </c>
      <c r="P79" s="3">
        <f t="shared" si="48"/>
        <v>-0.82315700000000902</v>
      </c>
      <c r="Q79">
        <f t="shared" si="49"/>
        <v>1</v>
      </c>
      <c r="R79" s="3">
        <f t="shared" si="50"/>
        <v>0</v>
      </c>
      <c r="S79" s="3">
        <f t="shared" si="51"/>
        <v>0</v>
      </c>
      <c r="T79">
        <f t="shared" si="52"/>
        <v>0</v>
      </c>
      <c r="U79" s="3">
        <f t="shared" si="53"/>
        <v>0</v>
      </c>
      <c r="V79" s="3">
        <f t="shared" si="54"/>
        <v>0</v>
      </c>
      <c r="W79">
        <f t="shared" si="55"/>
        <v>0</v>
      </c>
      <c r="X79" s="3">
        <f t="shared" si="56"/>
        <v>0</v>
      </c>
      <c r="Y79" s="3">
        <f t="shared" si="57"/>
        <v>0</v>
      </c>
      <c r="Z79">
        <f t="shared" si="58"/>
        <v>0</v>
      </c>
      <c r="AA79" s="3">
        <f t="shared" si="59"/>
        <v>0</v>
      </c>
      <c r="AB79" s="3">
        <f t="shared" si="60"/>
        <v>0</v>
      </c>
      <c r="AC79">
        <f t="shared" si="61"/>
        <v>0</v>
      </c>
      <c r="AD79" s="3">
        <f t="shared" si="62"/>
        <v>0</v>
      </c>
      <c r="AE79" s="3">
        <f t="shared" si="63"/>
        <v>0</v>
      </c>
      <c r="AF79">
        <f t="shared" si="64"/>
        <v>0</v>
      </c>
      <c r="AG79" s="3">
        <f t="shared" si="65"/>
        <v>0</v>
      </c>
      <c r="AH79" s="3">
        <f t="shared" si="66"/>
        <v>0</v>
      </c>
      <c r="AI79">
        <f t="shared" si="67"/>
        <v>0</v>
      </c>
      <c r="AJ79" s="3">
        <f t="shared" si="68"/>
        <v>0</v>
      </c>
      <c r="AK79" s="3">
        <f t="shared" si="69"/>
        <v>0</v>
      </c>
      <c r="AL79">
        <f t="shared" si="70"/>
        <v>0</v>
      </c>
      <c r="AM79" s="3">
        <f t="shared" si="71"/>
        <v>0</v>
      </c>
      <c r="AN79" s="3">
        <f t="shared" si="72"/>
        <v>0</v>
      </c>
      <c r="AO79">
        <f t="shared" si="73"/>
        <v>0</v>
      </c>
      <c r="AP79" s="3">
        <f t="shared" si="74"/>
        <v>0</v>
      </c>
      <c r="AQ79" s="3">
        <f t="shared" si="75"/>
        <v>0</v>
      </c>
      <c r="AR79">
        <f t="shared" si="76"/>
        <v>0</v>
      </c>
    </row>
    <row r="80" spans="1:44" x14ac:dyDescent="0.25">
      <c r="D80" s="1">
        <v>42628</v>
      </c>
      <c r="E80" s="2">
        <v>114.979668</v>
      </c>
      <c r="F80" s="3">
        <v>212.94289900000001</v>
      </c>
      <c r="G80" s="2">
        <f t="shared" si="41"/>
        <v>3.7805919999999986</v>
      </c>
      <c r="H80" s="2">
        <f t="shared" si="42"/>
        <v>2.1068810000000155</v>
      </c>
      <c r="I80" s="4">
        <f t="shared" si="39"/>
        <v>3.7182127303645056</v>
      </c>
      <c r="J80" s="4">
        <f t="shared" si="40"/>
        <v>2.0056600610193325</v>
      </c>
      <c r="K80" s="4">
        <f t="shared" si="43"/>
        <v>17.685137065974793</v>
      </c>
      <c r="L80" s="4">
        <f t="shared" si="44"/>
        <v>4.2053700272359853</v>
      </c>
      <c r="M80" s="4">
        <f t="shared" si="45"/>
        <v>0.47558240702888083</v>
      </c>
      <c r="N80" s="4">
        <f t="shared" si="46"/>
        <v>6.7853587762615214E-2</v>
      </c>
      <c r="O80" s="3">
        <f t="shared" si="47"/>
        <v>3.7805919999999986</v>
      </c>
      <c r="P80" s="3">
        <f t="shared" si="48"/>
        <v>2.1068810000000155</v>
      </c>
      <c r="Q80">
        <f t="shared" si="49"/>
        <v>1</v>
      </c>
      <c r="R80" s="3">
        <f t="shared" si="50"/>
        <v>3.7805919999999986</v>
      </c>
      <c r="S80" s="3">
        <f t="shared" si="51"/>
        <v>2.1068810000000155</v>
      </c>
      <c r="T80">
        <f t="shared" si="52"/>
        <v>1</v>
      </c>
      <c r="U80" s="3">
        <f t="shared" si="53"/>
        <v>3.7805919999999986</v>
      </c>
      <c r="V80" s="3">
        <f t="shared" si="54"/>
        <v>2.1068810000000155</v>
      </c>
      <c r="W80">
        <f t="shared" si="55"/>
        <v>1</v>
      </c>
      <c r="X80" s="3">
        <f t="shared" si="56"/>
        <v>3.7805919999999986</v>
      </c>
      <c r="Y80" s="3">
        <f t="shared" si="57"/>
        <v>2.1068810000000155</v>
      </c>
      <c r="Z80">
        <f t="shared" si="58"/>
        <v>1</v>
      </c>
      <c r="AA80" s="3">
        <f t="shared" si="59"/>
        <v>3.7805919999999986</v>
      </c>
      <c r="AB80" s="3">
        <f t="shared" si="60"/>
        <v>2.1068810000000155</v>
      </c>
      <c r="AC80">
        <f t="shared" si="61"/>
        <v>1</v>
      </c>
      <c r="AD80" s="3">
        <f t="shared" si="62"/>
        <v>3.7805919999999986</v>
      </c>
      <c r="AE80" s="3">
        <f t="shared" si="63"/>
        <v>2.1068810000000155</v>
      </c>
      <c r="AF80">
        <f t="shared" si="64"/>
        <v>1</v>
      </c>
      <c r="AG80" s="3">
        <f t="shared" si="65"/>
        <v>3.7805919999999986</v>
      </c>
      <c r="AH80" s="3">
        <f t="shared" si="66"/>
        <v>2.1068810000000155</v>
      </c>
      <c r="AI80">
        <f t="shared" si="67"/>
        <v>1</v>
      </c>
      <c r="AJ80" s="3">
        <f t="shared" si="68"/>
        <v>3.7805919999999986</v>
      </c>
      <c r="AK80" s="3">
        <f t="shared" si="69"/>
        <v>2.1068810000000155</v>
      </c>
      <c r="AL80">
        <f t="shared" si="70"/>
        <v>1</v>
      </c>
      <c r="AM80" s="3">
        <f t="shared" si="71"/>
        <v>3.7805919999999986</v>
      </c>
      <c r="AN80" s="3">
        <f t="shared" si="72"/>
        <v>2.1068810000000155</v>
      </c>
      <c r="AO80">
        <f t="shared" si="73"/>
        <v>1</v>
      </c>
      <c r="AP80" s="3">
        <f t="shared" si="74"/>
        <v>3.7805919999999986</v>
      </c>
      <c r="AQ80" s="3">
        <f t="shared" si="75"/>
        <v>2.1068810000000155</v>
      </c>
      <c r="AR80">
        <f t="shared" si="76"/>
        <v>1</v>
      </c>
    </row>
    <row r="81" spans="2:44" x14ac:dyDescent="0.25">
      <c r="B81" s="6"/>
      <c r="D81" s="1">
        <v>42627</v>
      </c>
      <c r="E81" s="2">
        <v>111.19907600000001</v>
      </c>
      <c r="F81" s="3">
        <v>210.836018</v>
      </c>
      <c r="G81" s="2">
        <f t="shared" si="41"/>
        <v>3.8004880000000014</v>
      </c>
      <c r="H81" s="2">
        <f t="shared" si="42"/>
        <v>-7.9133000000012998E-2</v>
      </c>
      <c r="I81" s="4">
        <f t="shared" si="39"/>
        <v>3.7381087303645084</v>
      </c>
      <c r="J81" s="4">
        <f t="shared" si="40"/>
        <v>-0.18035393898069621</v>
      </c>
      <c r="K81" s="4">
        <f t="shared" si="43"/>
        <v>31.540346246501759</v>
      </c>
      <c r="L81" s="4">
        <f t="shared" si="44"/>
        <v>5.6160792592788216</v>
      </c>
      <c r="M81" s="4">
        <f t="shared" si="45"/>
        <v>0.35612033015659866</v>
      </c>
      <c r="N81" s="4">
        <f t="shared" si="46"/>
        <v>3.8046506865253446E-2</v>
      </c>
      <c r="O81" s="3">
        <f t="shared" si="47"/>
        <v>3.8004880000000014</v>
      </c>
      <c r="P81" s="3">
        <f t="shared" si="48"/>
        <v>-7.9133000000012998E-2</v>
      </c>
      <c r="Q81">
        <f t="shared" si="49"/>
        <v>1</v>
      </c>
      <c r="R81" s="3">
        <f t="shared" si="50"/>
        <v>3.8004880000000014</v>
      </c>
      <c r="S81" s="3">
        <f t="shared" si="51"/>
        <v>-7.9133000000012998E-2</v>
      </c>
      <c r="T81">
        <f t="shared" si="52"/>
        <v>1</v>
      </c>
      <c r="U81" s="3">
        <f t="shared" si="53"/>
        <v>3.8004880000000014</v>
      </c>
      <c r="V81" s="3">
        <f t="shared" si="54"/>
        <v>-7.9133000000012998E-2</v>
      </c>
      <c r="W81">
        <f t="shared" si="55"/>
        <v>1</v>
      </c>
      <c r="X81" s="3">
        <f t="shared" si="56"/>
        <v>3.8004880000000014</v>
      </c>
      <c r="Y81" s="3">
        <f t="shared" si="57"/>
        <v>-7.9133000000012998E-2</v>
      </c>
      <c r="Z81">
        <f t="shared" si="58"/>
        <v>1</v>
      </c>
      <c r="AA81" s="3">
        <f t="shared" si="59"/>
        <v>3.8004880000000014</v>
      </c>
      <c r="AB81" s="3">
        <f t="shared" si="60"/>
        <v>-7.9133000000012998E-2</v>
      </c>
      <c r="AC81">
        <f t="shared" si="61"/>
        <v>1</v>
      </c>
      <c r="AD81" s="3">
        <f t="shared" si="62"/>
        <v>3.8004880000000014</v>
      </c>
      <c r="AE81" s="3">
        <f t="shared" si="63"/>
        <v>-7.9133000000012998E-2</v>
      </c>
      <c r="AF81">
        <f t="shared" si="64"/>
        <v>1</v>
      </c>
      <c r="AG81" s="3">
        <f t="shared" si="65"/>
        <v>3.8004880000000014</v>
      </c>
      <c r="AH81" s="3">
        <f t="shared" si="66"/>
        <v>-7.9133000000012998E-2</v>
      </c>
      <c r="AI81">
        <f t="shared" si="67"/>
        <v>1</v>
      </c>
      <c r="AJ81" s="3">
        <f t="shared" si="68"/>
        <v>3.8004880000000014</v>
      </c>
      <c r="AK81" s="3">
        <f t="shared" si="69"/>
        <v>-7.9133000000012998E-2</v>
      </c>
      <c r="AL81">
        <f t="shared" si="70"/>
        <v>1</v>
      </c>
      <c r="AM81" s="3">
        <f t="shared" si="71"/>
        <v>3.8004880000000014</v>
      </c>
      <c r="AN81" s="3">
        <f t="shared" si="72"/>
        <v>-7.9133000000012998E-2</v>
      </c>
      <c r="AO81">
        <f t="shared" si="73"/>
        <v>1</v>
      </c>
      <c r="AP81" s="3">
        <f t="shared" si="74"/>
        <v>3.8004880000000014</v>
      </c>
      <c r="AQ81" s="3">
        <f t="shared" si="75"/>
        <v>-7.9133000000012998E-2</v>
      </c>
      <c r="AR81">
        <f t="shared" si="76"/>
        <v>1</v>
      </c>
    </row>
    <row r="82" spans="2:44" x14ac:dyDescent="0.25">
      <c r="B82" s="6"/>
      <c r="D82" s="1">
        <v>42626</v>
      </c>
      <c r="E82" s="2">
        <v>107.398588</v>
      </c>
      <c r="F82" s="3">
        <v>210.91515100000001</v>
      </c>
      <c r="G82" s="2">
        <f t="shared" si="41"/>
        <v>2.4971730000000036</v>
      </c>
      <c r="H82" s="2">
        <f t="shared" si="42"/>
        <v>-3.0762379999999894</v>
      </c>
      <c r="I82" s="4">
        <f t="shared" si="39"/>
        <v>2.4347937303645106</v>
      </c>
      <c r="J82" s="4">
        <f t="shared" si="40"/>
        <v>-3.1774589389806724</v>
      </c>
      <c r="K82" s="4">
        <f t="shared" si="43"/>
        <v>51.836170941448088</v>
      </c>
      <c r="L82" s="4">
        <f t="shared" si="44"/>
        <v>7.1997340882457657</v>
      </c>
      <c r="M82" s="4">
        <f t="shared" si="45"/>
        <v>0.27778803709781252</v>
      </c>
      <c r="N82" s="4">
        <f t="shared" si="46"/>
        <v>2.3149858066396693E-2</v>
      </c>
      <c r="O82" s="3">
        <f t="shared" si="47"/>
        <v>2.4971730000000036</v>
      </c>
      <c r="P82" s="3">
        <f t="shared" si="48"/>
        <v>-3.0762379999999894</v>
      </c>
      <c r="Q82">
        <f t="shared" si="49"/>
        <v>1</v>
      </c>
      <c r="R82" s="3">
        <f t="shared" si="50"/>
        <v>2.4971730000000036</v>
      </c>
      <c r="S82" s="3">
        <f t="shared" si="51"/>
        <v>-3.0762379999999894</v>
      </c>
      <c r="T82">
        <f t="shared" si="52"/>
        <v>1</v>
      </c>
      <c r="U82" s="3">
        <f t="shared" si="53"/>
        <v>2.4971730000000036</v>
      </c>
      <c r="V82" s="3">
        <f t="shared" si="54"/>
        <v>-3.0762379999999894</v>
      </c>
      <c r="W82">
        <f t="shared" si="55"/>
        <v>1</v>
      </c>
      <c r="X82" s="3">
        <f t="shared" si="56"/>
        <v>2.4971730000000036</v>
      </c>
      <c r="Y82" s="3">
        <f t="shared" si="57"/>
        <v>-3.0762379999999894</v>
      </c>
      <c r="Z82">
        <f t="shared" si="58"/>
        <v>1</v>
      </c>
      <c r="AA82" s="3">
        <f t="shared" si="59"/>
        <v>2.4971730000000036</v>
      </c>
      <c r="AB82" s="3">
        <f t="shared" si="60"/>
        <v>-3.0762379999999894</v>
      </c>
      <c r="AC82">
        <f t="shared" si="61"/>
        <v>1</v>
      </c>
      <c r="AD82" s="3">
        <f t="shared" si="62"/>
        <v>2.4971730000000036</v>
      </c>
      <c r="AE82" s="3">
        <f t="shared" si="63"/>
        <v>-3.0762379999999894</v>
      </c>
      <c r="AF82">
        <f t="shared" si="64"/>
        <v>1</v>
      </c>
      <c r="AG82" s="3">
        <f t="shared" si="65"/>
        <v>2.4971730000000036</v>
      </c>
      <c r="AH82" s="3">
        <f t="shared" si="66"/>
        <v>-3.0762379999999894</v>
      </c>
      <c r="AI82">
        <f t="shared" si="67"/>
        <v>1</v>
      </c>
      <c r="AJ82" s="3">
        <f t="shared" si="68"/>
        <v>2.4971730000000036</v>
      </c>
      <c r="AK82" s="3">
        <f t="shared" si="69"/>
        <v>-3.0762379999999894</v>
      </c>
      <c r="AL82">
        <f t="shared" si="70"/>
        <v>1</v>
      </c>
      <c r="AM82" s="3">
        <f t="shared" si="71"/>
        <v>2.4971730000000036</v>
      </c>
      <c r="AN82" s="3">
        <f t="shared" si="72"/>
        <v>-3.0762379999999894</v>
      </c>
      <c r="AO82">
        <f t="shared" si="73"/>
        <v>1</v>
      </c>
      <c r="AP82" s="3">
        <f t="shared" si="74"/>
        <v>2.4971730000000036</v>
      </c>
      <c r="AQ82" s="3">
        <f t="shared" si="75"/>
        <v>-3.0762379999999894</v>
      </c>
      <c r="AR82">
        <f t="shared" si="76"/>
        <v>1</v>
      </c>
    </row>
    <row r="83" spans="2:44" x14ac:dyDescent="0.25">
      <c r="B83" s="6"/>
      <c r="D83" s="1">
        <v>42625</v>
      </c>
      <c r="E83" s="2">
        <v>104.901415</v>
      </c>
      <c r="F83" s="3">
        <v>213.991389</v>
      </c>
      <c r="G83" s="2">
        <f t="shared" si="41"/>
        <v>2.2982059999999933</v>
      </c>
      <c r="H83" s="2">
        <f t="shared" si="42"/>
        <v>3.0267780000000073</v>
      </c>
      <c r="I83" s="4">
        <f t="shared" si="39"/>
        <v>2.2358267303645003</v>
      </c>
      <c r="J83" s="4">
        <f t="shared" si="40"/>
        <v>2.9255570610193242</v>
      </c>
      <c r="K83" s="4">
        <f t="shared" si="43"/>
        <v>9.8871337824147982</v>
      </c>
      <c r="L83" s="4">
        <f t="shared" si="44"/>
        <v>3.1443813035977044</v>
      </c>
      <c r="M83" s="4">
        <f t="shared" si="45"/>
        <v>0.63605517489614305</v>
      </c>
      <c r="N83" s="4">
        <f t="shared" si="46"/>
        <v>0.12136985565364893</v>
      </c>
      <c r="O83" s="3">
        <f t="shared" si="47"/>
        <v>2.2982059999999933</v>
      </c>
      <c r="P83" s="3">
        <f t="shared" si="48"/>
        <v>3.0267780000000073</v>
      </c>
      <c r="Q83">
        <f t="shared" si="49"/>
        <v>1</v>
      </c>
      <c r="R83" s="3">
        <f t="shared" si="50"/>
        <v>2.2982059999999933</v>
      </c>
      <c r="S83" s="3">
        <f t="shared" si="51"/>
        <v>3.0267780000000073</v>
      </c>
      <c r="T83">
        <f t="shared" si="52"/>
        <v>1</v>
      </c>
      <c r="U83" s="3">
        <f t="shared" si="53"/>
        <v>2.2982059999999933</v>
      </c>
      <c r="V83" s="3">
        <f t="shared" si="54"/>
        <v>3.0267780000000073</v>
      </c>
      <c r="W83">
        <f t="shared" si="55"/>
        <v>1</v>
      </c>
      <c r="X83" s="3">
        <f t="shared" si="56"/>
        <v>2.2982059999999933</v>
      </c>
      <c r="Y83" s="3">
        <f t="shared" si="57"/>
        <v>3.0267780000000073</v>
      </c>
      <c r="Z83">
        <f t="shared" si="58"/>
        <v>1</v>
      </c>
      <c r="AA83" s="3">
        <f t="shared" si="59"/>
        <v>2.2982059999999933</v>
      </c>
      <c r="AB83" s="3">
        <f t="shared" si="60"/>
        <v>3.0267780000000073</v>
      </c>
      <c r="AC83">
        <f t="shared" si="61"/>
        <v>1</v>
      </c>
      <c r="AD83" s="3">
        <f t="shared" si="62"/>
        <v>2.2982059999999933</v>
      </c>
      <c r="AE83" s="3">
        <f t="shared" si="63"/>
        <v>3.0267780000000073</v>
      </c>
      <c r="AF83">
        <f t="shared" si="64"/>
        <v>1</v>
      </c>
      <c r="AG83" s="3">
        <f t="shared" si="65"/>
        <v>2.2982059999999933</v>
      </c>
      <c r="AH83" s="3">
        <f t="shared" si="66"/>
        <v>3.0267780000000073</v>
      </c>
      <c r="AI83">
        <f t="shared" si="67"/>
        <v>1</v>
      </c>
      <c r="AJ83" s="3">
        <f t="shared" si="68"/>
        <v>2.2982059999999933</v>
      </c>
      <c r="AK83" s="3">
        <f t="shared" si="69"/>
        <v>3.0267780000000073</v>
      </c>
      <c r="AL83">
        <f t="shared" si="70"/>
        <v>1</v>
      </c>
      <c r="AM83" s="3">
        <f t="shared" si="71"/>
        <v>2.2982059999999933</v>
      </c>
      <c r="AN83" s="3">
        <f t="shared" si="72"/>
        <v>3.0267780000000073</v>
      </c>
      <c r="AO83">
        <f t="shared" si="73"/>
        <v>1</v>
      </c>
      <c r="AP83" s="3">
        <f t="shared" si="74"/>
        <v>2.2982059999999933</v>
      </c>
      <c r="AQ83" s="3">
        <f t="shared" si="75"/>
        <v>3.0267780000000073</v>
      </c>
      <c r="AR83">
        <f t="shared" si="76"/>
        <v>1</v>
      </c>
    </row>
    <row r="84" spans="2:44" x14ac:dyDescent="0.25">
      <c r="B84" s="6"/>
      <c r="D84" s="1">
        <v>42622</v>
      </c>
      <c r="E84" s="2">
        <v>102.60320900000001</v>
      </c>
      <c r="F84" s="3">
        <v>210.96461099999999</v>
      </c>
      <c r="G84" s="2">
        <f t="shared" si="41"/>
        <v>-2.3777919999999995</v>
      </c>
      <c r="H84" s="2">
        <f t="shared" si="42"/>
        <v>-5.1732190000000173</v>
      </c>
      <c r="I84" s="4">
        <f t="shared" si="39"/>
        <v>-2.4401712696354925</v>
      </c>
      <c r="J84" s="4">
        <f t="shared" si="40"/>
        <v>-5.2744399389807004</v>
      </c>
      <c r="K84" s="4">
        <f t="shared" si="43"/>
        <v>32.013354696112422</v>
      </c>
      <c r="L84" s="4">
        <f t="shared" si="44"/>
        <v>5.6580345258855056</v>
      </c>
      <c r="M84" s="4">
        <f t="shared" si="45"/>
        <v>0.35347963870669236</v>
      </c>
      <c r="N84" s="4">
        <f t="shared" si="46"/>
        <v>3.7484356494064126E-2</v>
      </c>
      <c r="O84" s="3">
        <f t="shared" si="47"/>
        <v>-2.3777919999999995</v>
      </c>
      <c r="P84" s="3">
        <f t="shared" si="48"/>
        <v>-5.1732190000000173</v>
      </c>
      <c r="Q84">
        <f t="shared" si="49"/>
        <v>1</v>
      </c>
      <c r="R84" s="3">
        <f t="shared" si="50"/>
        <v>-2.3777919999999995</v>
      </c>
      <c r="S84" s="3">
        <f t="shared" si="51"/>
        <v>-5.1732190000000173</v>
      </c>
      <c r="T84">
        <f t="shared" si="52"/>
        <v>1</v>
      </c>
      <c r="U84" s="3">
        <f t="shared" si="53"/>
        <v>-2.3777919999999995</v>
      </c>
      <c r="V84" s="3">
        <f t="shared" si="54"/>
        <v>-5.1732190000000173</v>
      </c>
      <c r="W84">
        <f t="shared" si="55"/>
        <v>1</v>
      </c>
      <c r="X84" s="3">
        <f t="shared" si="56"/>
        <v>-2.3777919999999995</v>
      </c>
      <c r="Y84" s="3">
        <f t="shared" si="57"/>
        <v>-5.1732190000000173</v>
      </c>
      <c r="Z84">
        <f t="shared" si="58"/>
        <v>1</v>
      </c>
      <c r="AA84" s="3">
        <f t="shared" si="59"/>
        <v>-2.3777919999999995</v>
      </c>
      <c r="AB84" s="3">
        <f t="shared" si="60"/>
        <v>-5.1732190000000173</v>
      </c>
      <c r="AC84">
        <f t="shared" si="61"/>
        <v>1</v>
      </c>
      <c r="AD84" s="3">
        <f t="shared" si="62"/>
        <v>-2.3777919999999995</v>
      </c>
      <c r="AE84" s="3">
        <f t="shared" si="63"/>
        <v>-5.1732190000000173</v>
      </c>
      <c r="AF84">
        <f t="shared" si="64"/>
        <v>1</v>
      </c>
      <c r="AG84" s="3">
        <f t="shared" si="65"/>
        <v>-2.3777919999999995</v>
      </c>
      <c r="AH84" s="3">
        <f t="shared" si="66"/>
        <v>-5.1732190000000173</v>
      </c>
      <c r="AI84">
        <f t="shared" si="67"/>
        <v>1</v>
      </c>
      <c r="AJ84" s="3">
        <f t="shared" si="68"/>
        <v>-2.3777919999999995</v>
      </c>
      <c r="AK84" s="3">
        <f t="shared" si="69"/>
        <v>-5.1732190000000173</v>
      </c>
      <c r="AL84">
        <f t="shared" si="70"/>
        <v>1</v>
      </c>
      <c r="AM84" s="3">
        <f t="shared" si="71"/>
        <v>-2.3777919999999995</v>
      </c>
      <c r="AN84" s="3">
        <f t="shared" si="72"/>
        <v>-5.1732190000000173</v>
      </c>
      <c r="AO84">
        <f t="shared" si="73"/>
        <v>1</v>
      </c>
      <c r="AP84" s="3">
        <f t="shared" si="74"/>
        <v>-2.3777919999999995</v>
      </c>
      <c r="AQ84" s="3">
        <f t="shared" si="75"/>
        <v>-5.1732190000000173</v>
      </c>
      <c r="AR84">
        <f t="shared" si="76"/>
        <v>1</v>
      </c>
    </row>
    <row r="85" spans="2:44" x14ac:dyDescent="0.25">
      <c r="B85" s="6"/>
      <c r="D85" s="1">
        <v>42621</v>
      </c>
      <c r="E85" s="2">
        <v>104.98100100000001</v>
      </c>
      <c r="F85" s="3">
        <v>216.13783000000001</v>
      </c>
      <c r="G85" s="2">
        <f t="shared" si="41"/>
        <v>-2.8254969999999986</v>
      </c>
      <c r="H85" s="2">
        <f t="shared" si="42"/>
        <v>-0.49457200000000512</v>
      </c>
      <c r="I85" s="4">
        <f t="shared" si="39"/>
        <v>-2.8878762696354916</v>
      </c>
      <c r="J85" s="4">
        <f t="shared" si="40"/>
        <v>-0.5957929389806883</v>
      </c>
      <c r="K85" s="4">
        <f t="shared" si="43"/>
        <v>13.950539061956878</v>
      </c>
      <c r="L85" s="4">
        <f t="shared" si="44"/>
        <v>3.7350420428633568</v>
      </c>
      <c r="M85" s="4">
        <f t="shared" si="45"/>
        <v>0.53546920678482124</v>
      </c>
      <c r="N85" s="4">
        <f t="shared" si="46"/>
        <v>8.6018181424429699E-2</v>
      </c>
      <c r="O85" s="3">
        <f t="shared" si="47"/>
        <v>-2.8254969999999986</v>
      </c>
      <c r="P85" s="3">
        <f t="shared" si="48"/>
        <v>-0.49457200000000512</v>
      </c>
      <c r="Q85">
        <f t="shared" si="49"/>
        <v>1</v>
      </c>
      <c r="R85" s="3">
        <f t="shared" si="50"/>
        <v>-2.8254969999999986</v>
      </c>
      <c r="S85" s="3">
        <f t="shared" si="51"/>
        <v>-0.49457200000000512</v>
      </c>
      <c r="T85">
        <f t="shared" si="52"/>
        <v>1</v>
      </c>
      <c r="U85" s="3">
        <f t="shared" si="53"/>
        <v>-2.8254969999999986</v>
      </c>
      <c r="V85" s="3">
        <f t="shared" si="54"/>
        <v>-0.49457200000000512</v>
      </c>
      <c r="W85">
        <f t="shared" si="55"/>
        <v>1</v>
      </c>
      <c r="X85" s="3">
        <f t="shared" si="56"/>
        <v>-2.8254969999999986</v>
      </c>
      <c r="Y85" s="3">
        <f t="shared" si="57"/>
        <v>-0.49457200000000512</v>
      </c>
      <c r="Z85">
        <f t="shared" si="58"/>
        <v>1</v>
      </c>
      <c r="AA85" s="3">
        <f t="shared" si="59"/>
        <v>-2.8254969999999986</v>
      </c>
      <c r="AB85" s="3">
        <f t="shared" si="60"/>
        <v>-0.49457200000000512</v>
      </c>
      <c r="AC85">
        <f t="shared" si="61"/>
        <v>1</v>
      </c>
      <c r="AD85" s="3">
        <f t="shared" si="62"/>
        <v>-2.8254969999999986</v>
      </c>
      <c r="AE85" s="3">
        <f t="shared" si="63"/>
        <v>-0.49457200000000512</v>
      </c>
      <c r="AF85">
        <f t="shared" si="64"/>
        <v>1</v>
      </c>
      <c r="AG85" s="3">
        <f t="shared" si="65"/>
        <v>-2.8254969999999986</v>
      </c>
      <c r="AH85" s="3">
        <f t="shared" si="66"/>
        <v>-0.49457200000000512</v>
      </c>
      <c r="AI85">
        <f t="shared" si="67"/>
        <v>1</v>
      </c>
      <c r="AJ85" s="3">
        <f t="shared" si="68"/>
        <v>-2.8254969999999986</v>
      </c>
      <c r="AK85" s="3">
        <f t="shared" si="69"/>
        <v>-0.49457200000000512</v>
      </c>
      <c r="AL85">
        <f t="shared" si="70"/>
        <v>1</v>
      </c>
      <c r="AM85" s="3">
        <f t="shared" si="71"/>
        <v>-2.8254969999999986</v>
      </c>
      <c r="AN85" s="3">
        <f t="shared" si="72"/>
        <v>-0.49457200000000512</v>
      </c>
      <c r="AO85">
        <f t="shared" si="73"/>
        <v>1</v>
      </c>
      <c r="AP85" s="3">
        <f t="shared" si="74"/>
        <v>-2.8254969999999986</v>
      </c>
      <c r="AQ85" s="3">
        <f t="shared" si="75"/>
        <v>-0.49457200000000512</v>
      </c>
      <c r="AR85">
        <f t="shared" si="76"/>
        <v>1</v>
      </c>
    </row>
    <row r="86" spans="2:44" x14ac:dyDescent="0.25">
      <c r="B86" s="6"/>
      <c r="D86" s="1">
        <v>42620</v>
      </c>
      <c r="E86" s="2">
        <v>107.806498</v>
      </c>
      <c r="F86" s="3">
        <v>216.63240200000001</v>
      </c>
      <c r="G86" s="2">
        <f t="shared" si="41"/>
        <v>0.65663299999999936</v>
      </c>
      <c r="H86" s="2">
        <f t="shared" si="42"/>
        <v>-1.9786999999979571E-2</v>
      </c>
      <c r="I86" s="4">
        <f t="shared" si="39"/>
        <v>0.59425373036450635</v>
      </c>
      <c r="J86" s="4">
        <f t="shared" si="40"/>
        <v>-0.12100793898066278</v>
      </c>
      <c r="K86" s="4">
        <f t="shared" si="43"/>
        <v>0.96571218110431423</v>
      </c>
      <c r="L86" s="4">
        <f t="shared" si="44"/>
        <v>0.98270655900137061</v>
      </c>
      <c r="M86" s="4">
        <f t="shared" si="45"/>
        <v>1</v>
      </c>
      <c r="N86" s="4">
        <f t="shared" si="46"/>
        <v>1</v>
      </c>
      <c r="O86" s="3">
        <f t="shared" si="47"/>
        <v>0.65663299999999936</v>
      </c>
      <c r="P86" s="3">
        <f t="shared" si="48"/>
        <v>-1.9786999999979571E-2</v>
      </c>
      <c r="Q86">
        <f t="shared" si="49"/>
        <v>1</v>
      </c>
      <c r="R86" s="3">
        <f t="shared" si="50"/>
        <v>0</v>
      </c>
      <c r="S86" s="3">
        <f t="shared" si="51"/>
        <v>0</v>
      </c>
      <c r="T86">
        <f t="shared" si="52"/>
        <v>0</v>
      </c>
      <c r="U86" s="3">
        <f t="shared" si="53"/>
        <v>0</v>
      </c>
      <c r="V86" s="3">
        <f t="shared" si="54"/>
        <v>0</v>
      </c>
      <c r="W86">
        <f t="shared" si="55"/>
        <v>0</v>
      </c>
      <c r="X86" s="3">
        <f t="shared" si="56"/>
        <v>0</v>
      </c>
      <c r="Y86" s="3">
        <f t="shared" si="57"/>
        <v>0</v>
      </c>
      <c r="Z86">
        <f t="shared" si="58"/>
        <v>0</v>
      </c>
      <c r="AA86" s="3">
        <f t="shared" si="59"/>
        <v>0</v>
      </c>
      <c r="AB86" s="3">
        <f t="shared" si="60"/>
        <v>0</v>
      </c>
      <c r="AC86">
        <f t="shared" si="61"/>
        <v>0</v>
      </c>
      <c r="AD86" s="3">
        <f t="shared" si="62"/>
        <v>0</v>
      </c>
      <c r="AE86" s="3">
        <f t="shared" si="63"/>
        <v>0</v>
      </c>
      <c r="AF86">
        <f t="shared" si="64"/>
        <v>0</v>
      </c>
      <c r="AG86" s="3">
        <f t="shared" si="65"/>
        <v>0</v>
      </c>
      <c r="AH86" s="3">
        <f t="shared" si="66"/>
        <v>0</v>
      </c>
      <c r="AI86">
        <f t="shared" si="67"/>
        <v>0</v>
      </c>
      <c r="AJ86" s="3">
        <f t="shared" si="68"/>
        <v>0</v>
      </c>
      <c r="AK86" s="3">
        <f t="shared" si="69"/>
        <v>0</v>
      </c>
      <c r="AL86">
        <f t="shared" si="70"/>
        <v>0</v>
      </c>
      <c r="AM86" s="3">
        <f t="shared" si="71"/>
        <v>0</v>
      </c>
      <c r="AN86" s="3">
        <f t="shared" si="72"/>
        <v>0</v>
      </c>
      <c r="AO86">
        <f t="shared" si="73"/>
        <v>0</v>
      </c>
      <c r="AP86" s="3">
        <f t="shared" si="74"/>
        <v>0</v>
      </c>
      <c r="AQ86" s="3">
        <f t="shared" si="75"/>
        <v>0</v>
      </c>
      <c r="AR86">
        <f t="shared" si="76"/>
        <v>0</v>
      </c>
    </row>
    <row r="87" spans="2:44" x14ac:dyDescent="0.25">
      <c r="B87" s="6"/>
      <c r="D87" s="1">
        <v>42619</v>
      </c>
      <c r="E87" s="2">
        <v>107.14986500000001</v>
      </c>
      <c r="F87" s="3">
        <v>216.65218899999999</v>
      </c>
      <c r="G87" s="2">
        <f t="shared" si="41"/>
        <v>-2.9854000000000269E-2</v>
      </c>
      <c r="H87" s="2">
        <f t="shared" si="42"/>
        <v>0.65283900000000017</v>
      </c>
      <c r="I87" s="4">
        <f t="shared" si="39"/>
        <v>-9.2233269635493276E-2</v>
      </c>
      <c r="J87" s="4">
        <f t="shared" si="40"/>
        <v>0.55161806101931699</v>
      </c>
      <c r="K87" s="4">
        <f t="shared" si="43"/>
        <v>0.72711472652372189</v>
      </c>
      <c r="L87" s="4">
        <f t="shared" si="44"/>
        <v>0.85271022424017051</v>
      </c>
      <c r="M87" s="4">
        <f t="shared" si="45"/>
        <v>1</v>
      </c>
      <c r="N87" s="4">
        <f t="shared" si="46"/>
        <v>1</v>
      </c>
      <c r="O87" s="3">
        <f t="shared" si="47"/>
        <v>-2.9854000000000269E-2</v>
      </c>
      <c r="P87" s="3">
        <f t="shared" si="48"/>
        <v>0.65283900000000017</v>
      </c>
      <c r="Q87">
        <f t="shared" si="49"/>
        <v>1</v>
      </c>
      <c r="R87" s="3">
        <f t="shared" si="50"/>
        <v>0</v>
      </c>
      <c r="S87" s="3">
        <f t="shared" si="51"/>
        <v>0</v>
      </c>
      <c r="T87">
        <f t="shared" si="52"/>
        <v>0</v>
      </c>
      <c r="U87" s="3">
        <f t="shared" si="53"/>
        <v>0</v>
      </c>
      <c r="V87" s="3">
        <f t="shared" si="54"/>
        <v>0</v>
      </c>
      <c r="W87">
        <f t="shared" si="55"/>
        <v>0</v>
      </c>
      <c r="X87" s="3">
        <f t="shared" si="56"/>
        <v>0</v>
      </c>
      <c r="Y87" s="3">
        <f t="shared" si="57"/>
        <v>0</v>
      </c>
      <c r="Z87">
        <f t="shared" si="58"/>
        <v>0</v>
      </c>
      <c r="AA87" s="3">
        <f t="shared" si="59"/>
        <v>0</v>
      </c>
      <c r="AB87" s="3">
        <f t="shared" si="60"/>
        <v>0</v>
      </c>
      <c r="AC87">
        <f t="shared" si="61"/>
        <v>0</v>
      </c>
      <c r="AD87" s="3">
        <f t="shared" si="62"/>
        <v>0</v>
      </c>
      <c r="AE87" s="3">
        <f t="shared" si="63"/>
        <v>0</v>
      </c>
      <c r="AF87">
        <f t="shared" si="64"/>
        <v>0</v>
      </c>
      <c r="AG87" s="3">
        <f t="shared" si="65"/>
        <v>0</v>
      </c>
      <c r="AH87" s="3">
        <f t="shared" si="66"/>
        <v>0</v>
      </c>
      <c r="AI87">
        <f t="shared" si="67"/>
        <v>0</v>
      </c>
      <c r="AJ87" s="3">
        <f t="shared" si="68"/>
        <v>0</v>
      </c>
      <c r="AK87" s="3">
        <f t="shared" si="69"/>
        <v>0</v>
      </c>
      <c r="AL87">
        <f t="shared" si="70"/>
        <v>0</v>
      </c>
      <c r="AM87" s="3">
        <f t="shared" si="71"/>
        <v>0</v>
      </c>
      <c r="AN87" s="3">
        <f t="shared" si="72"/>
        <v>0</v>
      </c>
      <c r="AO87">
        <f t="shared" si="73"/>
        <v>0</v>
      </c>
      <c r="AP87" s="3">
        <f t="shared" si="74"/>
        <v>0</v>
      </c>
      <c r="AQ87" s="3">
        <f t="shared" si="75"/>
        <v>0</v>
      </c>
      <c r="AR87">
        <f t="shared" si="76"/>
        <v>0</v>
      </c>
    </row>
    <row r="88" spans="2:44" x14ac:dyDescent="0.25">
      <c r="B88" s="6"/>
      <c r="D88" s="1">
        <v>42615</v>
      </c>
      <c r="E88" s="2">
        <v>107.17971900000001</v>
      </c>
      <c r="F88" s="3">
        <v>215.99934999999999</v>
      </c>
      <c r="G88" s="2">
        <f t="shared" si="41"/>
        <v>0.99489200000000722</v>
      </c>
      <c r="H88" s="2">
        <f t="shared" si="42"/>
        <v>0.96935600000000477</v>
      </c>
      <c r="I88" s="4">
        <f t="shared" si="39"/>
        <v>0.93251273036451421</v>
      </c>
      <c r="J88" s="4">
        <f t="shared" si="40"/>
        <v>0.86813506101932159</v>
      </c>
      <c r="K88" s="4">
        <f t="shared" si="43"/>
        <v>1.1779410492329305</v>
      </c>
      <c r="L88" s="4">
        <f t="shared" si="44"/>
        <v>1.0853299264430749</v>
      </c>
      <c r="M88" s="4">
        <f t="shared" si="45"/>
        <v>1</v>
      </c>
      <c r="N88" s="4">
        <f t="shared" si="46"/>
        <v>1</v>
      </c>
      <c r="O88" s="3">
        <f t="shared" si="47"/>
        <v>0.99489200000000722</v>
      </c>
      <c r="P88" s="3">
        <f t="shared" si="48"/>
        <v>0.96935600000000477</v>
      </c>
      <c r="Q88">
        <f t="shared" si="49"/>
        <v>1</v>
      </c>
      <c r="R88" s="3">
        <f t="shared" si="50"/>
        <v>0.99489200000000722</v>
      </c>
      <c r="S88" s="3">
        <f t="shared" si="51"/>
        <v>0.96935600000000477</v>
      </c>
      <c r="T88">
        <f t="shared" si="52"/>
        <v>1</v>
      </c>
      <c r="U88" s="3">
        <f t="shared" si="53"/>
        <v>0</v>
      </c>
      <c r="V88" s="3">
        <f t="shared" si="54"/>
        <v>0</v>
      </c>
      <c r="W88">
        <f t="shared" si="55"/>
        <v>0</v>
      </c>
      <c r="X88" s="3">
        <f t="shared" si="56"/>
        <v>0</v>
      </c>
      <c r="Y88" s="3">
        <f t="shared" si="57"/>
        <v>0</v>
      </c>
      <c r="Z88">
        <f t="shared" si="58"/>
        <v>0</v>
      </c>
      <c r="AA88" s="3">
        <f t="shared" si="59"/>
        <v>0</v>
      </c>
      <c r="AB88" s="3">
        <f t="shared" si="60"/>
        <v>0</v>
      </c>
      <c r="AC88">
        <f t="shared" si="61"/>
        <v>0</v>
      </c>
      <c r="AD88" s="3">
        <f t="shared" si="62"/>
        <v>0</v>
      </c>
      <c r="AE88" s="3">
        <f t="shared" si="63"/>
        <v>0</v>
      </c>
      <c r="AF88">
        <f t="shared" si="64"/>
        <v>0</v>
      </c>
      <c r="AG88" s="3">
        <f t="shared" si="65"/>
        <v>0</v>
      </c>
      <c r="AH88" s="3">
        <f t="shared" si="66"/>
        <v>0</v>
      </c>
      <c r="AI88">
        <f t="shared" si="67"/>
        <v>0</v>
      </c>
      <c r="AJ88" s="3">
        <f t="shared" si="68"/>
        <v>0</v>
      </c>
      <c r="AK88" s="3">
        <f t="shared" si="69"/>
        <v>0</v>
      </c>
      <c r="AL88">
        <f t="shared" si="70"/>
        <v>0</v>
      </c>
      <c r="AM88" s="3">
        <f t="shared" si="71"/>
        <v>0</v>
      </c>
      <c r="AN88" s="3">
        <f t="shared" si="72"/>
        <v>0</v>
      </c>
      <c r="AO88">
        <f t="shared" si="73"/>
        <v>0</v>
      </c>
      <c r="AP88" s="3">
        <f t="shared" si="74"/>
        <v>0</v>
      </c>
      <c r="AQ88" s="3">
        <f t="shared" si="75"/>
        <v>0</v>
      </c>
      <c r="AR88">
        <f t="shared" si="76"/>
        <v>0</v>
      </c>
    </row>
    <row r="89" spans="2:44" x14ac:dyDescent="0.25">
      <c r="B89" s="6"/>
      <c r="D89" s="1">
        <v>42614</v>
      </c>
      <c r="E89" s="2">
        <v>106.184827</v>
      </c>
      <c r="F89" s="3">
        <v>215.02999399999999</v>
      </c>
      <c r="G89" s="2">
        <f t="shared" si="41"/>
        <v>0.6267869999999931</v>
      </c>
      <c r="H89" s="2">
        <f t="shared" si="42"/>
        <v>9.8859999999945103E-3</v>
      </c>
      <c r="I89" s="4">
        <f t="shared" si="39"/>
        <v>0.56440773036450009</v>
      </c>
      <c r="J89" s="4">
        <f t="shared" si="40"/>
        <v>-9.1334938980688701E-2</v>
      </c>
      <c r="K89" s="4">
        <f t="shared" si="43"/>
        <v>0.82735014145570618</v>
      </c>
      <c r="L89" s="4">
        <f t="shared" si="44"/>
        <v>0.9095878964980274</v>
      </c>
      <c r="M89" s="4">
        <f t="shared" si="45"/>
        <v>1</v>
      </c>
      <c r="N89" s="4">
        <f t="shared" si="46"/>
        <v>1</v>
      </c>
      <c r="O89" s="3">
        <f t="shared" si="47"/>
        <v>0.6267869999999931</v>
      </c>
      <c r="P89" s="3">
        <f t="shared" si="48"/>
        <v>9.8859999999945103E-3</v>
      </c>
      <c r="Q89">
        <f t="shared" si="49"/>
        <v>1</v>
      </c>
      <c r="R89" s="3">
        <f t="shared" si="50"/>
        <v>0</v>
      </c>
      <c r="S89" s="3">
        <f t="shared" si="51"/>
        <v>0</v>
      </c>
      <c r="T89">
        <f t="shared" si="52"/>
        <v>0</v>
      </c>
      <c r="U89" s="3">
        <f t="shared" si="53"/>
        <v>0</v>
      </c>
      <c r="V89" s="3">
        <f t="shared" si="54"/>
        <v>0</v>
      </c>
      <c r="W89">
        <f t="shared" si="55"/>
        <v>0</v>
      </c>
      <c r="X89" s="3">
        <f t="shared" si="56"/>
        <v>0</v>
      </c>
      <c r="Y89" s="3">
        <f t="shared" si="57"/>
        <v>0</v>
      </c>
      <c r="Z89">
        <f t="shared" si="58"/>
        <v>0</v>
      </c>
      <c r="AA89" s="3">
        <f t="shared" si="59"/>
        <v>0</v>
      </c>
      <c r="AB89" s="3">
        <f t="shared" si="60"/>
        <v>0</v>
      </c>
      <c r="AC89">
        <f t="shared" si="61"/>
        <v>0</v>
      </c>
      <c r="AD89" s="3">
        <f t="shared" si="62"/>
        <v>0</v>
      </c>
      <c r="AE89" s="3">
        <f t="shared" si="63"/>
        <v>0</v>
      </c>
      <c r="AF89">
        <f t="shared" si="64"/>
        <v>0</v>
      </c>
      <c r="AG89" s="3">
        <f t="shared" si="65"/>
        <v>0</v>
      </c>
      <c r="AH89" s="3">
        <f t="shared" si="66"/>
        <v>0</v>
      </c>
      <c r="AI89">
        <f t="shared" si="67"/>
        <v>0</v>
      </c>
      <c r="AJ89" s="3">
        <f t="shared" si="68"/>
        <v>0</v>
      </c>
      <c r="AK89" s="3">
        <f t="shared" si="69"/>
        <v>0</v>
      </c>
      <c r="AL89">
        <f t="shared" si="70"/>
        <v>0</v>
      </c>
      <c r="AM89" s="3">
        <f t="shared" si="71"/>
        <v>0</v>
      </c>
      <c r="AN89" s="3">
        <f t="shared" si="72"/>
        <v>0</v>
      </c>
      <c r="AO89">
        <f t="shared" si="73"/>
        <v>0</v>
      </c>
      <c r="AP89" s="3">
        <f t="shared" si="74"/>
        <v>0</v>
      </c>
      <c r="AQ89" s="3">
        <f t="shared" si="75"/>
        <v>0</v>
      </c>
      <c r="AR89">
        <f t="shared" si="76"/>
        <v>0</v>
      </c>
    </row>
    <row r="90" spans="2:44" x14ac:dyDescent="0.25">
      <c r="B90" s="6"/>
      <c r="D90" s="1">
        <v>42613</v>
      </c>
      <c r="E90" s="2">
        <v>105.55804000000001</v>
      </c>
      <c r="F90" s="3">
        <v>215.02010799999999</v>
      </c>
      <c r="G90" s="2">
        <f t="shared" si="41"/>
        <v>9.9488000000008014E-2</v>
      </c>
      <c r="H90" s="2">
        <f t="shared" si="42"/>
        <v>-0.61326400000001513</v>
      </c>
      <c r="I90" s="4">
        <f t="shared" si="39"/>
        <v>3.7108730364515001E-2</v>
      </c>
      <c r="J90" s="4">
        <f t="shared" si="40"/>
        <v>-0.71448493898069831</v>
      </c>
      <c r="K90" s="4">
        <f t="shared" si="43"/>
        <v>1.0397073291436709</v>
      </c>
      <c r="L90" s="4">
        <f t="shared" si="44"/>
        <v>1.0196603989288153</v>
      </c>
      <c r="M90" s="4">
        <f t="shared" si="45"/>
        <v>1</v>
      </c>
      <c r="N90" s="4">
        <f t="shared" si="46"/>
        <v>1</v>
      </c>
      <c r="O90" s="3">
        <f t="shared" si="47"/>
        <v>9.9488000000008014E-2</v>
      </c>
      <c r="P90" s="3">
        <f t="shared" si="48"/>
        <v>-0.61326400000001513</v>
      </c>
      <c r="Q90">
        <f t="shared" si="49"/>
        <v>1</v>
      </c>
      <c r="R90" s="3">
        <f t="shared" si="50"/>
        <v>9.9488000000008014E-2</v>
      </c>
      <c r="S90" s="3">
        <f t="shared" si="51"/>
        <v>-0.61326400000001513</v>
      </c>
      <c r="T90">
        <f t="shared" si="52"/>
        <v>1</v>
      </c>
      <c r="U90" s="3">
        <f t="shared" si="53"/>
        <v>0</v>
      </c>
      <c r="V90" s="3">
        <f t="shared" si="54"/>
        <v>0</v>
      </c>
      <c r="W90">
        <f t="shared" si="55"/>
        <v>0</v>
      </c>
      <c r="X90" s="3">
        <f t="shared" si="56"/>
        <v>0</v>
      </c>
      <c r="Y90" s="3">
        <f t="shared" si="57"/>
        <v>0</v>
      </c>
      <c r="Z90">
        <f t="shared" si="58"/>
        <v>0</v>
      </c>
      <c r="AA90" s="3">
        <f t="shared" si="59"/>
        <v>0</v>
      </c>
      <c r="AB90" s="3">
        <f t="shared" si="60"/>
        <v>0</v>
      </c>
      <c r="AC90">
        <f t="shared" si="61"/>
        <v>0</v>
      </c>
      <c r="AD90" s="3">
        <f t="shared" si="62"/>
        <v>0</v>
      </c>
      <c r="AE90" s="3">
        <f t="shared" si="63"/>
        <v>0</v>
      </c>
      <c r="AF90">
        <f t="shared" si="64"/>
        <v>0</v>
      </c>
      <c r="AG90" s="3">
        <f t="shared" si="65"/>
        <v>0</v>
      </c>
      <c r="AH90" s="3">
        <f t="shared" si="66"/>
        <v>0</v>
      </c>
      <c r="AI90">
        <f t="shared" si="67"/>
        <v>0</v>
      </c>
      <c r="AJ90" s="3">
        <f t="shared" si="68"/>
        <v>0</v>
      </c>
      <c r="AK90" s="3">
        <f t="shared" si="69"/>
        <v>0</v>
      </c>
      <c r="AL90">
        <f t="shared" si="70"/>
        <v>0</v>
      </c>
      <c r="AM90" s="3">
        <f t="shared" si="71"/>
        <v>0</v>
      </c>
      <c r="AN90" s="3">
        <f t="shared" si="72"/>
        <v>0</v>
      </c>
      <c r="AO90">
        <f t="shared" si="73"/>
        <v>0</v>
      </c>
      <c r="AP90" s="3">
        <f t="shared" si="74"/>
        <v>0</v>
      </c>
      <c r="AQ90" s="3">
        <f t="shared" si="75"/>
        <v>0</v>
      </c>
      <c r="AR90">
        <f t="shared" si="76"/>
        <v>0</v>
      </c>
    </row>
    <row r="91" spans="2:44" x14ac:dyDescent="0.25">
      <c r="D91" s="1">
        <v>42612</v>
      </c>
      <c r="E91" s="2">
        <v>105.458552</v>
      </c>
      <c r="F91" s="3">
        <v>215.63337200000001</v>
      </c>
      <c r="G91" s="2">
        <f t="shared" si="41"/>
        <v>-0.81581099999999651</v>
      </c>
      <c r="H91" s="2">
        <f t="shared" si="42"/>
        <v>-0.35609199999998964</v>
      </c>
      <c r="I91" s="4">
        <f t="shared" si="39"/>
        <v>-0.87819026963548952</v>
      </c>
      <c r="J91" s="4">
        <f t="shared" si="40"/>
        <v>-0.45731293898067282</v>
      </c>
      <c r="K91" s="4">
        <f t="shared" si="43"/>
        <v>0.99497272750314258</v>
      </c>
      <c r="L91" s="4">
        <f t="shared" si="44"/>
        <v>0.99748319660189899</v>
      </c>
      <c r="M91" s="4">
        <f t="shared" si="45"/>
        <v>1</v>
      </c>
      <c r="N91" s="4">
        <f t="shared" si="46"/>
        <v>1</v>
      </c>
      <c r="O91" s="3">
        <f t="shared" si="47"/>
        <v>-0.81581099999999651</v>
      </c>
      <c r="P91" s="3">
        <f t="shared" si="48"/>
        <v>-0.35609199999998964</v>
      </c>
      <c r="Q91">
        <f t="shared" si="49"/>
        <v>1</v>
      </c>
      <c r="R91" s="3">
        <f t="shared" si="50"/>
        <v>0</v>
      </c>
      <c r="S91" s="3">
        <f t="shared" si="51"/>
        <v>0</v>
      </c>
      <c r="T91">
        <f t="shared" si="52"/>
        <v>0</v>
      </c>
      <c r="U91" s="3">
        <f t="shared" si="53"/>
        <v>0</v>
      </c>
      <c r="V91" s="3">
        <f t="shared" si="54"/>
        <v>0</v>
      </c>
      <c r="W91">
        <f t="shared" si="55"/>
        <v>0</v>
      </c>
      <c r="X91" s="3">
        <f t="shared" si="56"/>
        <v>0</v>
      </c>
      <c r="Y91" s="3">
        <f t="shared" si="57"/>
        <v>0</v>
      </c>
      <c r="Z91">
        <f t="shared" si="58"/>
        <v>0</v>
      </c>
      <c r="AA91" s="3">
        <f t="shared" si="59"/>
        <v>0</v>
      </c>
      <c r="AB91" s="3">
        <f t="shared" si="60"/>
        <v>0</v>
      </c>
      <c r="AC91">
        <f t="shared" si="61"/>
        <v>0</v>
      </c>
      <c r="AD91" s="3">
        <f t="shared" si="62"/>
        <v>0</v>
      </c>
      <c r="AE91" s="3">
        <f t="shared" si="63"/>
        <v>0</v>
      </c>
      <c r="AF91">
        <f t="shared" si="64"/>
        <v>0</v>
      </c>
      <c r="AG91" s="3">
        <f t="shared" si="65"/>
        <v>0</v>
      </c>
      <c r="AH91" s="3">
        <f t="shared" si="66"/>
        <v>0</v>
      </c>
      <c r="AI91">
        <f t="shared" si="67"/>
        <v>0</v>
      </c>
      <c r="AJ91" s="3">
        <f t="shared" si="68"/>
        <v>0</v>
      </c>
      <c r="AK91" s="3">
        <f t="shared" si="69"/>
        <v>0</v>
      </c>
      <c r="AL91">
        <f t="shared" si="70"/>
        <v>0</v>
      </c>
      <c r="AM91" s="3">
        <f t="shared" si="71"/>
        <v>0</v>
      </c>
      <c r="AN91" s="3">
        <f t="shared" si="72"/>
        <v>0</v>
      </c>
      <c r="AO91">
        <f t="shared" si="73"/>
        <v>0</v>
      </c>
      <c r="AP91" s="3">
        <f t="shared" si="74"/>
        <v>0</v>
      </c>
      <c r="AQ91" s="3">
        <f t="shared" si="75"/>
        <v>0</v>
      </c>
      <c r="AR91">
        <f t="shared" si="76"/>
        <v>0</v>
      </c>
    </row>
    <row r="92" spans="2:44" x14ac:dyDescent="0.25">
      <c r="D92" s="1">
        <v>42611</v>
      </c>
      <c r="E92" s="2">
        <v>106.27436299999999</v>
      </c>
      <c r="F92" s="3">
        <v>215.989464</v>
      </c>
      <c r="G92" s="2">
        <f t="shared" si="41"/>
        <v>-0.11939000000000988</v>
      </c>
      <c r="H92" s="2">
        <f t="shared" si="42"/>
        <v>1.0583910000000003</v>
      </c>
      <c r="I92" s="4">
        <f t="shared" si="39"/>
        <v>-0.18176926963550288</v>
      </c>
      <c r="J92" s="4">
        <f t="shared" si="40"/>
        <v>0.95717006101931712</v>
      </c>
      <c r="K92" s="4">
        <f t="shared" si="43"/>
        <v>2.2590671725536557</v>
      </c>
      <c r="L92" s="4">
        <f t="shared" si="44"/>
        <v>1.5030193520223403</v>
      </c>
      <c r="M92" s="4">
        <f t="shared" si="45"/>
        <v>1</v>
      </c>
      <c r="N92" s="4">
        <f t="shared" si="46"/>
        <v>0.53119270404142815</v>
      </c>
      <c r="O92" s="3">
        <f t="shared" si="47"/>
        <v>-0.11939000000000988</v>
      </c>
      <c r="P92" s="3">
        <f t="shared" si="48"/>
        <v>1.0583910000000003</v>
      </c>
      <c r="Q92">
        <f t="shared" si="49"/>
        <v>1</v>
      </c>
      <c r="R92" s="3">
        <f t="shared" si="50"/>
        <v>-0.11939000000000988</v>
      </c>
      <c r="S92" s="3">
        <f t="shared" si="51"/>
        <v>1.0583910000000003</v>
      </c>
      <c r="T92">
        <f t="shared" si="52"/>
        <v>1</v>
      </c>
      <c r="U92" s="3">
        <f t="shared" si="53"/>
        <v>-0.11939000000000988</v>
      </c>
      <c r="V92" s="3">
        <f t="shared" si="54"/>
        <v>1.0583910000000003</v>
      </c>
      <c r="W92">
        <f t="shared" si="55"/>
        <v>1</v>
      </c>
      <c r="X92" s="3">
        <f t="shared" si="56"/>
        <v>0</v>
      </c>
      <c r="Y92" s="3">
        <f t="shared" si="57"/>
        <v>0</v>
      </c>
      <c r="Z92">
        <f t="shared" si="58"/>
        <v>0</v>
      </c>
      <c r="AA92" s="3">
        <f t="shared" si="59"/>
        <v>0</v>
      </c>
      <c r="AB92" s="3">
        <f t="shared" si="60"/>
        <v>0</v>
      </c>
      <c r="AC92">
        <f t="shared" si="61"/>
        <v>0</v>
      </c>
      <c r="AD92" s="3">
        <f t="shared" si="62"/>
        <v>0</v>
      </c>
      <c r="AE92" s="3">
        <f t="shared" si="63"/>
        <v>0</v>
      </c>
      <c r="AF92">
        <f t="shared" si="64"/>
        <v>0</v>
      </c>
      <c r="AG92" s="3">
        <f t="shared" si="65"/>
        <v>0</v>
      </c>
      <c r="AH92" s="3">
        <f t="shared" si="66"/>
        <v>0</v>
      </c>
      <c r="AI92">
        <f t="shared" si="67"/>
        <v>0</v>
      </c>
      <c r="AJ92" s="3">
        <f t="shared" si="68"/>
        <v>0</v>
      </c>
      <c r="AK92" s="3">
        <f t="shared" si="69"/>
        <v>0</v>
      </c>
      <c r="AL92">
        <f t="shared" si="70"/>
        <v>0</v>
      </c>
      <c r="AM92" s="3">
        <f t="shared" si="71"/>
        <v>0</v>
      </c>
      <c r="AN92" s="3">
        <f t="shared" si="72"/>
        <v>0</v>
      </c>
      <c r="AO92">
        <f t="shared" si="73"/>
        <v>0</v>
      </c>
      <c r="AP92" s="3">
        <f t="shared" si="74"/>
        <v>0</v>
      </c>
      <c r="AQ92" s="3">
        <f t="shared" si="75"/>
        <v>0</v>
      </c>
      <c r="AR92">
        <f t="shared" si="76"/>
        <v>0</v>
      </c>
    </row>
    <row r="93" spans="2:44" x14ac:dyDescent="0.25">
      <c r="D93" s="1">
        <v>42608</v>
      </c>
      <c r="E93" s="2">
        <v>106.393753</v>
      </c>
      <c r="F93" s="3">
        <v>214.931073</v>
      </c>
      <c r="G93" s="2">
        <f t="shared" si="41"/>
        <v>-0.62677899999999909</v>
      </c>
      <c r="H93" s="2">
        <f t="shared" si="42"/>
        <v>-0.40555299999999761</v>
      </c>
      <c r="I93" s="4">
        <f t="shared" si="39"/>
        <v>-0.68915826963549209</v>
      </c>
      <c r="J93" s="4">
        <f t="shared" si="40"/>
        <v>-0.50677393898068079</v>
      </c>
      <c r="K93" s="4">
        <f t="shared" si="43"/>
        <v>0.59094948636159395</v>
      </c>
      <c r="L93" s="4">
        <f t="shared" si="44"/>
        <v>0.7687323893017608</v>
      </c>
      <c r="M93" s="4">
        <f t="shared" si="45"/>
        <v>1</v>
      </c>
      <c r="N93" s="4">
        <f t="shared" si="46"/>
        <v>1</v>
      </c>
      <c r="O93" s="3">
        <f t="shared" si="47"/>
        <v>-0.62677899999999909</v>
      </c>
      <c r="P93" s="3">
        <f t="shared" si="48"/>
        <v>-0.40555299999999761</v>
      </c>
      <c r="Q93">
        <f t="shared" si="49"/>
        <v>1</v>
      </c>
      <c r="R93" s="3">
        <f t="shared" si="50"/>
        <v>0</v>
      </c>
      <c r="S93" s="3">
        <f t="shared" si="51"/>
        <v>0</v>
      </c>
      <c r="T93">
        <f t="shared" si="52"/>
        <v>0</v>
      </c>
      <c r="U93" s="3">
        <f t="shared" si="53"/>
        <v>0</v>
      </c>
      <c r="V93" s="3">
        <f t="shared" si="54"/>
        <v>0</v>
      </c>
      <c r="W93">
        <f t="shared" si="55"/>
        <v>0</v>
      </c>
      <c r="X93" s="3">
        <f t="shared" si="56"/>
        <v>0</v>
      </c>
      <c r="Y93" s="3">
        <f t="shared" si="57"/>
        <v>0</v>
      </c>
      <c r="Z93">
        <f t="shared" si="58"/>
        <v>0</v>
      </c>
      <c r="AA93" s="3">
        <f t="shared" si="59"/>
        <v>0</v>
      </c>
      <c r="AB93" s="3">
        <f t="shared" si="60"/>
        <v>0</v>
      </c>
      <c r="AC93">
        <f t="shared" si="61"/>
        <v>0</v>
      </c>
      <c r="AD93" s="3">
        <f t="shared" si="62"/>
        <v>0</v>
      </c>
      <c r="AE93" s="3">
        <f t="shared" si="63"/>
        <v>0</v>
      </c>
      <c r="AF93">
        <f t="shared" si="64"/>
        <v>0</v>
      </c>
      <c r="AG93" s="3">
        <f t="shared" si="65"/>
        <v>0</v>
      </c>
      <c r="AH93" s="3">
        <f t="shared" si="66"/>
        <v>0</v>
      </c>
      <c r="AI93">
        <f t="shared" si="67"/>
        <v>0</v>
      </c>
      <c r="AJ93" s="3">
        <f t="shared" si="68"/>
        <v>0</v>
      </c>
      <c r="AK93" s="3">
        <f t="shared" si="69"/>
        <v>0</v>
      </c>
      <c r="AL93">
        <f t="shared" si="70"/>
        <v>0</v>
      </c>
      <c r="AM93" s="3">
        <f t="shared" si="71"/>
        <v>0</v>
      </c>
      <c r="AN93" s="3">
        <f t="shared" si="72"/>
        <v>0</v>
      </c>
      <c r="AO93">
        <f t="shared" si="73"/>
        <v>0</v>
      </c>
      <c r="AP93" s="3">
        <f t="shared" si="74"/>
        <v>0</v>
      </c>
      <c r="AQ93" s="3">
        <f t="shared" si="75"/>
        <v>0</v>
      </c>
      <c r="AR93">
        <f t="shared" si="76"/>
        <v>0</v>
      </c>
    </row>
    <row r="94" spans="2:44" x14ac:dyDescent="0.25">
      <c r="D94" s="1">
        <v>42607</v>
      </c>
      <c r="E94" s="2">
        <v>107.020532</v>
      </c>
      <c r="F94" s="3">
        <v>215.336626</v>
      </c>
      <c r="G94" s="2">
        <f t="shared" si="41"/>
        <v>-0.457650000000001</v>
      </c>
      <c r="H94" s="2">
        <f t="shared" si="42"/>
        <v>-0.14838000000000306</v>
      </c>
      <c r="I94" s="4">
        <f t="shared" si="39"/>
        <v>-0.52002926963549401</v>
      </c>
      <c r="J94" s="4">
        <f t="shared" si="40"/>
        <v>-0.24960093898068628</v>
      </c>
      <c r="K94" s="4">
        <f t="shared" si="43"/>
        <v>0.35658612120642763</v>
      </c>
      <c r="L94" s="4">
        <f t="shared" si="44"/>
        <v>0.59714832429341003</v>
      </c>
      <c r="M94" s="4">
        <f t="shared" si="45"/>
        <v>1</v>
      </c>
      <c r="N94" s="4">
        <f t="shared" si="46"/>
        <v>1</v>
      </c>
      <c r="O94" s="3">
        <f t="shared" si="47"/>
        <v>-0.457650000000001</v>
      </c>
      <c r="P94" s="3">
        <f t="shared" si="48"/>
        <v>-0.14838000000000306</v>
      </c>
      <c r="Q94">
        <f t="shared" si="49"/>
        <v>1</v>
      </c>
      <c r="R94" s="3">
        <f t="shared" si="50"/>
        <v>0</v>
      </c>
      <c r="S94" s="3">
        <f t="shared" si="51"/>
        <v>0</v>
      </c>
      <c r="T94">
        <f t="shared" si="52"/>
        <v>0</v>
      </c>
      <c r="U94" s="3">
        <f t="shared" si="53"/>
        <v>0</v>
      </c>
      <c r="V94" s="3">
        <f t="shared" si="54"/>
        <v>0</v>
      </c>
      <c r="W94">
        <f t="shared" si="55"/>
        <v>0</v>
      </c>
      <c r="X94" s="3">
        <f t="shared" si="56"/>
        <v>0</v>
      </c>
      <c r="Y94" s="3">
        <f t="shared" si="57"/>
        <v>0</v>
      </c>
      <c r="Z94">
        <f t="shared" si="58"/>
        <v>0</v>
      </c>
      <c r="AA94" s="3">
        <f t="shared" si="59"/>
        <v>0</v>
      </c>
      <c r="AB94" s="3">
        <f t="shared" si="60"/>
        <v>0</v>
      </c>
      <c r="AC94">
        <f t="shared" si="61"/>
        <v>0</v>
      </c>
      <c r="AD94" s="3">
        <f t="shared" si="62"/>
        <v>0</v>
      </c>
      <c r="AE94" s="3">
        <f t="shared" si="63"/>
        <v>0</v>
      </c>
      <c r="AF94">
        <f t="shared" si="64"/>
        <v>0</v>
      </c>
      <c r="AG94" s="3">
        <f t="shared" si="65"/>
        <v>0</v>
      </c>
      <c r="AH94" s="3">
        <f t="shared" si="66"/>
        <v>0</v>
      </c>
      <c r="AI94">
        <f t="shared" si="67"/>
        <v>0</v>
      </c>
      <c r="AJ94" s="3">
        <f t="shared" si="68"/>
        <v>0</v>
      </c>
      <c r="AK94" s="3">
        <f t="shared" si="69"/>
        <v>0</v>
      </c>
      <c r="AL94">
        <f t="shared" si="70"/>
        <v>0</v>
      </c>
      <c r="AM94" s="3">
        <f t="shared" si="71"/>
        <v>0</v>
      </c>
      <c r="AN94" s="3">
        <f t="shared" si="72"/>
        <v>0</v>
      </c>
      <c r="AO94">
        <f t="shared" si="73"/>
        <v>0</v>
      </c>
      <c r="AP94" s="3">
        <f t="shared" si="74"/>
        <v>0</v>
      </c>
      <c r="AQ94" s="3">
        <f t="shared" si="75"/>
        <v>0</v>
      </c>
      <c r="AR94">
        <f t="shared" si="76"/>
        <v>0</v>
      </c>
    </row>
    <row r="95" spans="2:44" x14ac:dyDescent="0.25">
      <c r="D95" s="1">
        <v>42606</v>
      </c>
      <c r="E95" s="2">
        <v>107.478182</v>
      </c>
      <c r="F95" s="3">
        <v>215.485006</v>
      </c>
      <c r="G95" s="2">
        <f t="shared" si="41"/>
        <v>-0.81581099999999651</v>
      </c>
      <c r="H95" s="2">
        <f t="shared" si="42"/>
        <v>-1.1078369999999893</v>
      </c>
      <c r="I95" s="4">
        <f t="shared" si="39"/>
        <v>-0.87819026963548952</v>
      </c>
      <c r="J95" s="4">
        <f t="shared" si="40"/>
        <v>-1.2090579389806726</v>
      </c>
      <c r="K95" s="4">
        <f t="shared" si="43"/>
        <v>1.6567833765940831</v>
      </c>
      <c r="L95" s="4">
        <f t="shared" si="44"/>
        <v>1.2871609754005453</v>
      </c>
      <c r="M95" s="4">
        <f t="shared" si="45"/>
        <v>1</v>
      </c>
      <c r="N95" s="4">
        <f t="shared" si="46"/>
        <v>1</v>
      </c>
      <c r="O95" s="3">
        <f t="shared" si="47"/>
        <v>-0.81581099999999651</v>
      </c>
      <c r="P95" s="3">
        <f t="shared" si="48"/>
        <v>-1.1078369999999893</v>
      </c>
      <c r="Q95">
        <f t="shared" si="49"/>
        <v>1</v>
      </c>
      <c r="R95" s="3">
        <f t="shared" si="50"/>
        <v>-0.81581099999999651</v>
      </c>
      <c r="S95" s="3">
        <f t="shared" si="51"/>
        <v>-1.1078369999999893</v>
      </c>
      <c r="T95">
        <f t="shared" si="52"/>
        <v>1</v>
      </c>
      <c r="U95" s="3">
        <f t="shared" si="53"/>
        <v>0</v>
      </c>
      <c r="V95" s="3">
        <f t="shared" si="54"/>
        <v>0</v>
      </c>
      <c r="W95">
        <f t="shared" si="55"/>
        <v>0</v>
      </c>
      <c r="X95" s="3">
        <f t="shared" si="56"/>
        <v>0</v>
      </c>
      <c r="Y95" s="3">
        <f t="shared" si="57"/>
        <v>0</v>
      </c>
      <c r="Z95">
        <f t="shared" si="58"/>
        <v>0</v>
      </c>
      <c r="AA95" s="3">
        <f t="shared" si="59"/>
        <v>0</v>
      </c>
      <c r="AB95" s="3">
        <f t="shared" si="60"/>
        <v>0</v>
      </c>
      <c r="AC95">
        <f t="shared" si="61"/>
        <v>0</v>
      </c>
      <c r="AD95" s="3">
        <f t="shared" si="62"/>
        <v>0</v>
      </c>
      <c r="AE95" s="3">
        <f t="shared" si="63"/>
        <v>0</v>
      </c>
      <c r="AF95">
        <f t="shared" si="64"/>
        <v>0</v>
      </c>
      <c r="AG95" s="3">
        <f t="shared" si="65"/>
        <v>0</v>
      </c>
      <c r="AH95" s="3">
        <f t="shared" si="66"/>
        <v>0</v>
      </c>
      <c r="AI95">
        <f t="shared" si="67"/>
        <v>0</v>
      </c>
      <c r="AJ95" s="3">
        <f t="shared" si="68"/>
        <v>0</v>
      </c>
      <c r="AK95" s="3">
        <f t="shared" si="69"/>
        <v>0</v>
      </c>
      <c r="AL95">
        <f t="shared" si="70"/>
        <v>0</v>
      </c>
      <c r="AM95" s="3">
        <f t="shared" si="71"/>
        <v>0</v>
      </c>
      <c r="AN95" s="3">
        <f t="shared" si="72"/>
        <v>0</v>
      </c>
      <c r="AO95">
        <f t="shared" si="73"/>
        <v>0</v>
      </c>
      <c r="AP95" s="3">
        <f t="shared" si="74"/>
        <v>0</v>
      </c>
      <c r="AQ95" s="3">
        <f t="shared" si="75"/>
        <v>0</v>
      </c>
      <c r="AR95">
        <f t="shared" si="76"/>
        <v>0</v>
      </c>
    </row>
    <row r="96" spans="2:44" x14ac:dyDescent="0.25">
      <c r="D96" s="1">
        <v>42605</v>
      </c>
      <c r="E96" s="2">
        <v>108.293993</v>
      </c>
      <c r="F96" s="3">
        <v>216.59284299999999</v>
      </c>
      <c r="G96" s="2">
        <f t="shared" si="41"/>
        <v>0.33826000000000533</v>
      </c>
      <c r="H96" s="2">
        <f t="shared" si="42"/>
        <v>0.43522600000000011</v>
      </c>
      <c r="I96" s="4">
        <f t="shared" si="39"/>
        <v>0.27588073036451233</v>
      </c>
      <c r="J96" s="4">
        <f t="shared" si="40"/>
        <v>0.33400506101931693</v>
      </c>
      <c r="K96" s="4">
        <f t="shared" si="43"/>
        <v>0.13429782572795218</v>
      </c>
      <c r="L96" s="4">
        <f t="shared" si="44"/>
        <v>0.36646667751373002</v>
      </c>
      <c r="M96" s="4">
        <f t="shared" si="45"/>
        <v>1</v>
      </c>
      <c r="N96" s="4">
        <f t="shared" si="46"/>
        <v>1</v>
      </c>
      <c r="O96" s="3">
        <f t="shared" si="47"/>
        <v>0.33826000000000533</v>
      </c>
      <c r="P96" s="3">
        <f t="shared" si="48"/>
        <v>0.43522600000000011</v>
      </c>
      <c r="Q96">
        <f t="shared" si="49"/>
        <v>1</v>
      </c>
      <c r="R96" s="3">
        <f t="shared" si="50"/>
        <v>0</v>
      </c>
      <c r="S96" s="3">
        <f t="shared" si="51"/>
        <v>0</v>
      </c>
      <c r="T96">
        <f t="shared" si="52"/>
        <v>0</v>
      </c>
      <c r="U96" s="3">
        <f t="shared" si="53"/>
        <v>0</v>
      </c>
      <c r="V96" s="3">
        <f t="shared" si="54"/>
        <v>0</v>
      </c>
      <c r="W96">
        <f t="shared" si="55"/>
        <v>0</v>
      </c>
      <c r="X96" s="3">
        <f t="shared" si="56"/>
        <v>0</v>
      </c>
      <c r="Y96" s="3">
        <f t="shared" si="57"/>
        <v>0</v>
      </c>
      <c r="Z96">
        <f t="shared" si="58"/>
        <v>0</v>
      </c>
      <c r="AA96" s="3">
        <f t="shared" si="59"/>
        <v>0</v>
      </c>
      <c r="AB96" s="3">
        <f t="shared" si="60"/>
        <v>0</v>
      </c>
      <c r="AC96">
        <f t="shared" si="61"/>
        <v>0</v>
      </c>
      <c r="AD96" s="3">
        <f t="shared" si="62"/>
        <v>0</v>
      </c>
      <c r="AE96" s="3">
        <f t="shared" si="63"/>
        <v>0</v>
      </c>
      <c r="AF96">
        <f t="shared" si="64"/>
        <v>0</v>
      </c>
      <c r="AG96" s="3">
        <f t="shared" si="65"/>
        <v>0</v>
      </c>
      <c r="AH96" s="3">
        <f t="shared" si="66"/>
        <v>0</v>
      </c>
      <c r="AI96">
        <f t="shared" si="67"/>
        <v>0</v>
      </c>
      <c r="AJ96" s="3">
        <f t="shared" si="68"/>
        <v>0</v>
      </c>
      <c r="AK96" s="3">
        <f t="shared" si="69"/>
        <v>0</v>
      </c>
      <c r="AL96">
        <f t="shared" si="70"/>
        <v>0</v>
      </c>
      <c r="AM96" s="3">
        <f t="shared" si="71"/>
        <v>0</v>
      </c>
      <c r="AN96" s="3">
        <f t="shared" si="72"/>
        <v>0</v>
      </c>
      <c r="AO96">
        <f t="shared" si="73"/>
        <v>0</v>
      </c>
      <c r="AP96" s="3">
        <f t="shared" si="74"/>
        <v>0</v>
      </c>
      <c r="AQ96" s="3">
        <f t="shared" si="75"/>
        <v>0</v>
      </c>
      <c r="AR96">
        <f t="shared" si="76"/>
        <v>0</v>
      </c>
    </row>
    <row r="97" spans="4:44" x14ac:dyDescent="0.25">
      <c r="D97" s="1">
        <v>42604</v>
      </c>
      <c r="E97" s="2">
        <v>107.955733</v>
      </c>
      <c r="F97" s="3">
        <v>216.15761699999999</v>
      </c>
      <c r="G97" s="2">
        <f t="shared" si="41"/>
        <v>-0.84565700000000277</v>
      </c>
      <c r="H97" s="2">
        <f t="shared" si="42"/>
        <v>-9.886000000022932E-3</v>
      </c>
      <c r="I97" s="4">
        <f t="shared" si="39"/>
        <v>-0.90803626963549577</v>
      </c>
      <c r="J97" s="4">
        <f t="shared" si="40"/>
        <v>-0.11110693898070614</v>
      </c>
      <c r="K97" s="4">
        <f t="shared" si="43"/>
        <v>1.5157583278470792</v>
      </c>
      <c r="L97" s="4">
        <f t="shared" si="44"/>
        <v>1.2311613736009912</v>
      </c>
      <c r="M97" s="4">
        <f t="shared" si="45"/>
        <v>1</v>
      </c>
      <c r="N97" s="4">
        <f t="shared" si="46"/>
        <v>1</v>
      </c>
      <c r="O97" s="3">
        <f t="shared" si="47"/>
        <v>-0.84565700000000277</v>
      </c>
      <c r="P97" s="3">
        <f t="shared" si="48"/>
        <v>-9.886000000022932E-3</v>
      </c>
      <c r="Q97">
        <f t="shared" si="49"/>
        <v>1</v>
      </c>
      <c r="R97" s="3">
        <f t="shared" si="50"/>
        <v>-0.84565700000000277</v>
      </c>
      <c r="S97" s="3">
        <f t="shared" si="51"/>
        <v>-9.886000000022932E-3</v>
      </c>
      <c r="T97">
        <f t="shared" si="52"/>
        <v>1</v>
      </c>
      <c r="U97" s="3">
        <f t="shared" si="53"/>
        <v>0</v>
      </c>
      <c r="V97" s="3">
        <f t="shared" si="54"/>
        <v>0</v>
      </c>
      <c r="W97">
        <f t="shared" si="55"/>
        <v>0</v>
      </c>
      <c r="X97" s="3">
        <f t="shared" si="56"/>
        <v>0</v>
      </c>
      <c r="Y97" s="3">
        <f t="shared" si="57"/>
        <v>0</v>
      </c>
      <c r="Z97">
        <f t="shared" si="58"/>
        <v>0</v>
      </c>
      <c r="AA97" s="3">
        <f t="shared" si="59"/>
        <v>0</v>
      </c>
      <c r="AB97" s="3">
        <f t="shared" si="60"/>
        <v>0</v>
      </c>
      <c r="AC97">
        <f t="shared" si="61"/>
        <v>0</v>
      </c>
      <c r="AD97" s="3">
        <f t="shared" si="62"/>
        <v>0</v>
      </c>
      <c r="AE97" s="3">
        <f t="shared" si="63"/>
        <v>0</v>
      </c>
      <c r="AF97">
        <f t="shared" si="64"/>
        <v>0</v>
      </c>
      <c r="AG97" s="3">
        <f t="shared" si="65"/>
        <v>0</v>
      </c>
      <c r="AH97" s="3">
        <f t="shared" si="66"/>
        <v>0</v>
      </c>
      <c r="AI97">
        <f t="shared" si="67"/>
        <v>0</v>
      </c>
      <c r="AJ97" s="3">
        <f t="shared" si="68"/>
        <v>0</v>
      </c>
      <c r="AK97" s="3">
        <f t="shared" si="69"/>
        <v>0</v>
      </c>
      <c r="AL97">
        <f t="shared" si="70"/>
        <v>0</v>
      </c>
      <c r="AM97" s="3">
        <f t="shared" si="71"/>
        <v>0</v>
      </c>
      <c r="AN97" s="3">
        <f t="shared" si="72"/>
        <v>0</v>
      </c>
      <c r="AO97">
        <f t="shared" si="73"/>
        <v>0</v>
      </c>
      <c r="AP97" s="3">
        <f t="shared" si="74"/>
        <v>0</v>
      </c>
      <c r="AQ97" s="3">
        <f t="shared" si="75"/>
        <v>0</v>
      </c>
      <c r="AR97">
        <f t="shared" si="76"/>
        <v>0</v>
      </c>
    </row>
    <row r="98" spans="4:44" x14ac:dyDescent="0.25">
      <c r="D98" s="1">
        <v>42601</v>
      </c>
      <c r="E98" s="2">
        <v>108.80139</v>
      </c>
      <c r="F98" s="3">
        <v>216.16750300000001</v>
      </c>
      <c r="G98" s="2">
        <f t="shared" si="41"/>
        <v>0.27856900000000451</v>
      </c>
      <c r="H98" s="2">
        <f t="shared" si="42"/>
        <v>-0.31653299999999263</v>
      </c>
      <c r="I98" s="4">
        <f t="shared" si="39"/>
        <v>0.2161897303645115</v>
      </c>
      <c r="J98" s="4">
        <f t="shared" si="40"/>
        <v>-0.41775393898067581</v>
      </c>
      <c r="K98" s="4">
        <f t="shared" si="43"/>
        <v>0.66475669485237565</v>
      </c>
      <c r="L98" s="4">
        <f t="shared" si="44"/>
        <v>0.81532612790979275</v>
      </c>
      <c r="M98" s="4">
        <f t="shared" si="45"/>
        <v>1</v>
      </c>
      <c r="N98" s="4">
        <f t="shared" si="46"/>
        <v>1</v>
      </c>
      <c r="O98" s="3">
        <f t="shared" si="47"/>
        <v>0.27856900000000451</v>
      </c>
      <c r="P98" s="3">
        <f t="shared" si="48"/>
        <v>-0.31653299999999263</v>
      </c>
      <c r="Q98">
        <f t="shared" si="49"/>
        <v>1</v>
      </c>
      <c r="R98" s="3">
        <f t="shared" si="50"/>
        <v>0</v>
      </c>
      <c r="S98" s="3">
        <f t="shared" si="51"/>
        <v>0</v>
      </c>
      <c r="T98">
        <f t="shared" si="52"/>
        <v>0</v>
      </c>
      <c r="U98" s="3">
        <f t="shared" si="53"/>
        <v>0</v>
      </c>
      <c r="V98" s="3">
        <f t="shared" si="54"/>
        <v>0</v>
      </c>
      <c r="W98">
        <f t="shared" si="55"/>
        <v>0</v>
      </c>
      <c r="X98" s="3">
        <f t="shared" si="56"/>
        <v>0</v>
      </c>
      <c r="Y98" s="3">
        <f t="shared" si="57"/>
        <v>0</v>
      </c>
      <c r="Z98">
        <f t="shared" si="58"/>
        <v>0</v>
      </c>
      <c r="AA98" s="3">
        <f t="shared" si="59"/>
        <v>0</v>
      </c>
      <c r="AB98" s="3">
        <f t="shared" si="60"/>
        <v>0</v>
      </c>
      <c r="AC98">
        <f t="shared" si="61"/>
        <v>0</v>
      </c>
      <c r="AD98" s="3">
        <f t="shared" si="62"/>
        <v>0</v>
      </c>
      <c r="AE98" s="3">
        <f t="shared" si="63"/>
        <v>0</v>
      </c>
      <c r="AF98">
        <f t="shared" si="64"/>
        <v>0</v>
      </c>
      <c r="AG98" s="3">
        <f t="shared" si="65"/>
        <v>0</v>
      </c>
      <c r="AH98" s="3">
        <f t="shared" si="66"/>
        <v>0</v>
      </c>
      <c r="AI98">
        <f t="shared" si="67"/>
        <v>0</v>
      </c>
      <c r="AJ98" s="3">
        <f t="shared" si="68"/>
        <v>0</v>
      </c>
      <c r="AK98" s="3">
        <f t="shared" si="69"/>
        <v>0</v>
      </c>
      <c r="AL98">
        <f t="shared" si="70"/>
        <v>0</v>
      </c>
      <c r="AM98" s="3">
        <f t="shared" si="71"/>
        <v>0</v>
      </c>
      <c r="AN98" s="3">
        <f t="shared" si="72"/>
        <v>0</v>
      </c>
      <c r="AO98">
        <f t="shared" si="73"/>
        <v>0</v>
      </c>
      <c r="AP98" s="3">
        <f t="shared" si="74"/>
        <v>0</v>
      </c>
      <c r="AQ98" s="3">
        <f t="shared" si="75"/>
        <v>0</v>
      </c>
      <c r="AR98">
        <f t="shared" si="76"/>
        <v>0</v>
      </c>
    </row>
    <row r="99" spans="4:44" x14ac:dyDescent="0.25">
      <c r="D99" s="1">
        <v>42600</v>
      </c>
      <c r="E99" s="2">
        <v>108.52282099999999</v>
      </c>
      <c r="F99" s="3">
        <v>216.484036</v>
      </c>
      <c r="G99" s="2">
        <f t="shared" si="41"/>
        <v>-0.13928500000000099</v>
      </c>
      <c r="H99" s="2">
        <f t="shared" si="42"/>
        <v>0.48468600000001061</v>
      </c>
      <c r="I99" s="4">
        <f t="shared" si="39"/>
        <v>-0.201664269635494</v>
      </c>
      <c r="J99" s="4">
        <f t="shared" si="40"/>
        <v>0.38346506101932742</v>
      </c>
      <c r="K99" s="4">
        <f t="shared" si="43"/>
        <v>0.56605416083653382</v>
      </c>
      <c r="L99" s="4">
        <f t="shared" si="44"/>
        <v>0.75236570950338622</v>
      </c>
      <c r="M99" s="4">
        <f t="shared" si="45"/>
        <v>1</v>
      </c>
      <c r="N99" s="4">
        <f t="shared" si="46"/>
        <v>1</v>
      </c>
      <c r="O99" s="3">
        <f t="shared" si="47"/>
        <v>-0.13928500000000099</v>
      </c>
      <c r="P99" s="3">
        <f t="shared" si="48"/>
        <v>0.48468600000001061</v>
      </c>
      <c r="Q99">
        <f t="shared" si="49"/>
        <v>1</v>
      </c>
      <c r="R99" s="3">
        <f t="shared" si="50"/>
        <v>0</v>
      </c>
      <c r="S99" s="3">
        <f t="shared" si="51"/>
        <v>0</v>
      </c>
      <c r="T99">
        <f t="shared" si="52"/>
        <v>0</v>
      </c>
      <c r="U99" s="3">
        <f t="shared" si="53"/>
        <v>0</v>
      </c>
      <c r="V99" s="3">
        <f t="shared" si="54"/>
        <v>0</v>
      </c>
      <c r="W99">
        <f t="shared" si="55"/>
        <v>0</v>
      </c>
      <c r="X99" s="3">
        <f t="shared" si="56"/>
        <v>0</v>
      </c>
      <c r="Y99" s="3">
        <f t="shared" si="57"/>
        <v>0</v>
      </c>
      <c r="Z99">
        <f t="shared" si="58"/>
        <v>0</v>
      </c>
      <c r="AA99" s="3">
        <f t="shared" si="59"/>
        <v>0</v>
      </c>
      <c r="AB99" s="3">
        <f t="shared" si="60"/>
        <v>0</v>
      </c>
      <c r="AC99">
        <f t="shared" si="61"/>
        <v>0</v>
      </c>
      <c r="AD99" s="3">
        <f t="shared" si="62"/>
        <v>0</v>
      </c>
      <c r="AE99" s="3">
        <f t="shared" si="63"/>
        <v>0</v>
      </c>
      <c r="AF99">
        <f t="shared" si="64"/>
        <v>0</v>
      </c>
      <c r="AG99" s="3">
        <f t="shared" si="65"/>
        <v>0</v>
      </c>
      <c r="AH99" s="3">
        <f t="shared" si="66"/>
        <v>0</v>
      </c>
      <c r="AI99">
        <f t="shared" si="67"/>
        <v>0</v>
      </c>
      <c r="AJ99" s="3">
        <f t="shared" si="68"/>
        <v>0</v>
      </c>
      <c r="AK99" s="3">
        <f t="shared" si="69"/>
        <v>0</v>
      </c>
      <c r="AL99">
        <f t="shared" si="70"/>
        <v>0</v>
      </c>
      <c r="AM99" s="3">
        <f t="shared" si="71"/>
        <v>0</v>
      </c>
      <c r="AN99" s="3">
        <f t="shared" si="72"/>
        <v>0</v>
      </c>
      <c r="AO99">
        <f t="shared" si="73"/>
        <v>0</v>
      </c>
      <c r="AP99" s="3">
        <f t="shared" si="74"/>
        <v>0</v>
      </c>
      <c r="AQ99" s="3">
        <f t="shared" si="75"/>
        <v>0</v>
      </c>
      <c r="AR99">
        <f t="shared" si="76"/>
        <v>0</v>
      </c>
    </row>
    <row r="100" spans="4:44" x14ac:dyDescent="0.25">
      <c r="D100" s="1">
        <v>42599</v>
      </c>
      <c r="E100" s="2">
        <v>108.66210599999999</v>
      </c>
      <c r="F100" s="3">
        <v>215.99934999999999</v>
      </c>
      <c r="G100" s="2">
        <f t="shared" si="41"/>
        <v>-0.15917800000001137</v>
      </c>
      <c r="H100" s="2">
        <f t="shared" si="42"/>
        <v>0.40553699999998116</v>
      </c>
      <c r="I100" s="4">
        <f t="shared" si="39"/>
        <v>-0.22155726963550437</v>
      </c>
      <c r="J100" s="4">
        <f t="shared" si="40"/>
        <v>0.30431606101929798</v>
      </c>
      <c r="K100" s="4">
        <f t="shared" si="43"/>
        <v>0.45502977240859821</v>
      </c>
      <c r="L100" s="4">
        <f t="shared" si="44"/>
        <v>0.67455894657813131</v>
      </c>
      <c r="M100" s="4">
        <f t="shared" si="45"/>
        <v>1</v>
      </c>
      <c r="N100" s="4">
        <f t="shared" si="46"/>
        <v>1</v>
      </c>
      <c r="O100" s="3">
        <f t="shared" si="47"/>
        <v>-0.15917800000001137</v>
      </c>
      <c r="P100" s="3">
        <f t="shared" si="48"/>
        <v>0.40553699999998116</v>
      </c>
      <c r="Q100">
        <f t="shared" si="49"/>
        <v>1</v>
      </c>
      <c r="R100" s="3">
        <f t="shared" si="50"/>
        <v>0</v>
      </c>
      <c r="S100" s="3">
        <f t="shared" si="51"/>
        <v>0</v>
      </c>
      <c r="T100">
        <f t="shared" si="52"/>
        <v>0</v>
      </c>
      <c r="U100" s="3">
        <f t="shared" si="53"/>
        <v>0</v>
      </c>
      <c r="V100" s="3">
        <f t="shared" si="54"/>
        <v>0</v>
      </c>
      <c r="W100">
        <f t="shared" si="55"/>
        <v>0</v>
      </c>
      <c r="X100" s="3">
        <f t="shared" si="56"/>
        <v>0</v>
      </c>
      <c r="Y100" s="3">
        <f t="shared" si="57"/>
        <v>0</v>
      </c>
      <c r="Z100">
        <f t="shared" si="58"/>
        <v>0</v>
      </c>
      <c r="AA100" s="3">
        <f t="shared" si="59"/>
        <v>0</v>
      </c>
      <c r="AB100" s="3">
        <f t="shared" si="60"/>
        <v>0</v>
      </c>
      <c r="AC100">
        <f t="shared" si="61"/>
        <v>0</v>
      </c>
      <c r="AD100" s="3">
        <f t="shared" si="62"/>
        <v>0</v>
      </c>
      <c r="AE100" s="3">
        <f t="shared" si="63"/>
        <v>0</v>
      </c>
      <c r="AF100">
        <f t="shared" si="64"/>
        <v>0</v>
      </c>
      <c r="AG100" s="3">
        <f t="shared" si="65"/>
        <v>0</v>
      </c>
      <c r="AH100" s="3">
        <f t="shared" si="66"/>
        <v>0</v>
      </c>
      <c r="AI100">
        <f t="shared" si="67"/>
        <v>0</v>
      </c>
      <c r="AJ100" s="3">
        <f t="shared" si="68"/>
        <v>0</v>
      </c>
      <c r="AK100" s="3">
        <f t="shared" si="69"/>
        <v>0</v>
      </c>
      <c r="AL100">
        <f t="shared" si="70"/>
        <v>0</v>
      </c>
      <c r="AM100" s="3">
        <f t="shared" si="71"/>
        <v>0</v>
      </c>
      <c r="AN100" s="3">
        <f t="shared" si="72"/>
        <v>0</v>
      </c>
      <c r="AO100">
        <f t="shared" si="73"/>
        <v>0</v>
      </c>
      <c r="AP100" s="3">
        <f t="shared" si="74"/>
        <v>0</v>
      </c>
      <c r="AQ100" s="3">
        <f t="shared" si="75"/>
        <v>0</v>
      </c>
      <c r="AR100">
        <f t="shared" si="76"/>
        <v>0</v>
      </c>
    </row>
    <row r="101" spans="4:44" x14ac:dyDescent="0.25">
      <c r="D101" s="1">
        <v>42598</v>
      </c>
      <c r="E101" s="2">
        <v>108.82128400000001</v>
      </c>
      <c r="F101" s="3">
        <v>215.59381300000001</v>
      </c>
      <c r="G101" s="2">
        <f t="shared" si="41"/>
        <v>-9.9495999999987816E-2</v>
      </c>
      <c r="H101" s="2">
        <f t="shared" si="42"/>
        <v>-1.1177219999999863</v>
      </c>
      <c r="I101" s="4">
        <f t="shared" si="39"/>
        <v>-0.16187526963548082</v>
      </c>
      <c r="J101" s="4">
        <f t="shared" si="40"/>
        <v>-1.2189429389806696</v>
      </c>
      <c r="K101" s="4">
        <f t="shared" si="43"/>
        <v>2.3609565605851892</v>
      </c>
      <c r="L101" s="4">
        <f t="shared" si="44"/>
        <v>1.5365404519846488</v>
      </c>
      <c r="M101" s="4">
        <f t="shared" si="45"/>
        <v>1</v>
      </c>
      <c r="N101" s="4">
        <f t="shared" si="46"/>
        <v>0.50826856369715112</v>
      </c>
      <c r="O101" s="3">
        <f t="shared" si="47"/>
        <v>-9.9495999999987816E-2</v>
      </c>
      <c r="P101" s="3">
        <f t="shared" si="48"/>
        <v>-1.1177219999999863</v>
      </c>
      <c r="Q101">
        <f t="shared" si="49"/>
        <v>1</v>
      </c>
      <c r="R101" s="3">
        <f t="shared" si="50"/>
        <v>-9.9495999999987816E-2</v>
      </c>
      <c r="S101" s="3">
        <f t="shared" si="51"/>
        <v>-1.1177219999999863</v>
      </c>
      <c r="T101">
        <f t="shared" si="52"/>
        <v>1</v>
      </c>
      <c r="U101" s="3">
        <f t="shared" si="53"/>
        <v>-9.9495999999987816E-2</v>
      </c>
      <c r="V101" s="3">
        <f t="shared" si="54"/>
        <v>-1.1177219999999863</v>
      </c>
      <c r="W101">
        <f t="shared" si="55"/>
        <v>1</v>
      </c>
      <c r="X101" s="3">
        <f t="shared" si="56"/>
        <v>0</v>
      </c>
      <c r="Y101" s="3">
        <f t="shared" si="57"/>
        <v>0</v>
      </c>
      <c r="Z101">
        <f t="shared" si="58"/>
        <v>0</v>
      </c>
      <c r="AA101" s="3">
        <f t="shared" si="59"/>
        <v>0</v>
      </c>
      <c r="AB101" s="3">
        <f t="shared" si="60"/>
        <v>0</v>
      </c>
      <c r="AC101">
        <f t="shared" si="61"/>
        <v>0</v>
      </c>
      <c r="AD101" s="3">
        <f t="shared" si="62"/>
        <v>0</v>
      </c>
      <c r="AE101" s="3">
        <f t="shared" si="63"/>
        <v>0</v>
      </c>
      <c r="AF101">
        <f t="shared" si="64"/>
        <v>0</v>
      </c>
      <c r="AG101" s="3">
        <f t="shared" si="65"/>
        <v>0</v>
      </c>
      <c r="AH101" s="3">
        <f t="shared" si="66"/>
        <v>0</v>
      </c>
      <c r="AI101">
        <f t="shared" si="67"/>
        <v>0</v>
      </c>
      <c r="AJ101" s="3">
        <f t="shared" si="68"/>
        <v>0</v>
      </c>
      <c r="AK101" s="3">
        <f t="shared" si="69"/>
        <v>0</v>
      </c>
      <c r="AL101">
        <f t="shared" si="70"/>
        <v>0</v>
      </c>
      <c r="AM101" s="3">
        <f t="shared" si="71"/>
        <v>0</v>
      </c>
      <c r="AN101" s="3">
        <f t="shared" si="72"/>
        <v>0</v>
      </c>
      <c r="AO101">
        <f t="shared" si="73"/>
        <v>0</v>
      </c>
      <c r="AP101" s="3">
        <f t="shared" si="74"/>
        <v>0</v>
      </c>
      <c r="AQ101" s="3">
        <f t="shared" si="75"/>
        <v>0</v>
      </c>
      <c r="AR101">
        <f t="shared" si="76"/>
        <v>0</v>
      </c>
    </row>
    <row r="102" spans="4:44" x14ac:dyDescent="0.25">
      <c r="D102" s="1">
        <v>42597</v>
      </c>
      <c r="E102" s="2">
        <v>108.92077999999999</v>
      </c>
      <c r="F102" s="3">
        <v>216.711535</v>
      </c>
      <c r="G102" s="2">
        <f t="shared" si="41"/>
        <v>1.2933629999999994</v>
      </c>
      <c r="H102" s="2">
        <f t="shared" si="42"/>
        <v>0.62315000000000964</v>
      </c>
      <c r="I102" s="4">
        <f t="shared" si="39"/>
        <v>1.2309837303645064</v>
      </c>
      <c r="J102" s="4">
        <f t="shared" si="40"/>
        <v>0.52192906101932646</v>
      </c>
      <c r="K102" s="4">
        <f t="shared" si="43"/>
        <v>2.0728530685466713</v>
      </c>
      <c r="L102" s="4">
        <f t="shared" si="44"/>
        <v>1.4397406254414964</v>
      </c>
      <c r="M102" s="4">
        <f t="shared" si="45"/>
        <v>1</v>
      </c>
      <c r="N102" s="4">
        <f t="shared" si="46"/>
        <v>0.5789122336786513</v>
      </c>
      <c r="O102" s="3">
        <f t="shared" si="47"/>
        <v>1.2933629999999994</v>
      </c>
      <c r="P102" s="3">
        <f t="shared" si="48"/>
        <v>0.62315000000000964</v>
      </c>
      <c r="Q102">
        <f t="shared" si="49"/>
        <v>1</v>
      </c>
      <c r="R102" s="3">
        <f t="shared" si="50"/>
        <v>1.2933629999999994</v>
      </c>
      <c r="S102" s="3">
        <f t="shared" si="51"/>
        <v>0.62315000000000964</v>
      </c>
      <c r="T102">
        <f t="shared" si="52"/>
        <v>1</v>
      </c>
      <c r="U102" s="3">
        <f t="shared" si="53"/>
        <v>1.2933629999999994</v>
      </c>
      <c r="V102" s="3">
        <f t="shared" si="54"/>
        <v>0.62315000000000964</v>
      </c>
      <c r="W102">
        <f t="shared" si="55"/>
        <v>1</v>
      </c>
      <c r="X102" s="3">
        <f t="shared" si="56"/>
        <v>0</v>
      </c>
      <c r="Y102" s="3">
        <f t="shared" si="57"/>
        <v>0</v>
      </c>
      <c r="Z102">
        <f t="shared" si="58"/>
        <v>0</v>
      </c>
      <c r="AA102" s="3">
        <f t="shared" si="59"/>
        <v>0</v>
      </c>
      <c r="AB102" s="3">
        <f t="shared" si="60"/>
        <v>0</v>
      </c>
      <c r="AC102">
        <f t="shared" si="61"/>
        <v>0</v>
      </c>
      <c r="AD102" s="3">
        <f t="shared" si="62"/>
        <v>0</v>
      </c>
      <c r="AE102" s="3">
        <f t="shared" si="63"/>
        <v>0</v>
      </c>
      <c r="AF102">
        <f t="shared" si="64"/>
        <v>0</v>
      </c>
      <c r="AG102" s="3">
        <f t="shared" si="65"/>
        <v>0</v>
      </c>
      <c r="AH102" s="3">
        <f t="shared" si="66"/>
        <v>0</v>
      </c>
      <c r="AI102">
        <f t="shared" si="67"/>
        <v>0</v>
      </c>
      <c r="AJ102" s="3">
        <f t="shared" si="68"/>
        <v>0</v>
      </c>
      <c r="AK102" s="3">
        <f t="shared" si="69"/>
        <v>0</v>
      </c>
      <c r="AL102">
        <f t="shared" si="70"/>
        <v>0</v>
      </c>
      <c r="AM102" s="3">
        <f t="shared" si="71"/>
        <v>0</v>
      </c>
      <c r="AN102" s="3">
        <f t="shared" si="72"/>
        <v>0</v>
      </c>
      <c r="AO102">
        <f t="shared" si="73"/>
        <v>0</v>
      </c>
      <c r="AP102" s="3">
        <f t="shared" si="74"/>
        <v>0</v>
      </c>
      <c r="AQ102" s="3">
        <f t="shared" si="75"/>
        <v>0</v>
      </c>
      <c r="AR102">
        <f t="shared" si="76"/>
        <v>0</v>
      </c>
    </row>
    <row r="103" spans="4:44" x14ac:dyDescent="0.25">
      <c r="D103" s="1">
        <v>42594</v>
      </c>
      <c r="E103" s="2">
        <v>107.62741699999999</v>
      </c>
      <c r="F103" s="3">
        <v>216.08838499999999</v>
      </c>
      <c r="G103" s="2">
        <f t="shared" si="41"/>
        <v>0.24872299999999825</v>
      </c>
      <c r="H103" s="2">
        <f t="shared" si="42"/>
        <v>-0.18792400000000953</v>
      </c>
      <c r="I103" s="4">
        <f t="shared" si="39"/>
        <v>0.18634373036450524</v>
      </c>
      <c r="J103" s="4">
        <f t="shared" si="40"/>
        <v>-0.28914493898069271</v>
      </c>
      <c r="K103" s="4">
        <f t="shared" si="43"/>
        <v>0.37224816364242935</v>
      </c>
      <c r="L103" s="4">
        <f t="shared" si="44"/>
        <v>0.61012143352158132</v>
      </c>
      <c r="M103" s="4">
        <f t="shared" si="45"/>
        <v>1</v>
      </c>
      <c r="N103" s="4">
        <f t="shared" si="46"/>
        <v>1</v>
      </c>
      <c r="O103" s="3">
        <f t="shared" si="47"/>
        <v>0.24872299999999825</v>
      </c>
      <c r="P103" s="3">
        <f t="shared" si="48"/>
        <v>-0.18792400000000953</v>
      </c>
      <c r="Q103">
        <f t="shared" si="49"/>
        <v>1</v>
      </c>
      <c r="R103" s="3">
        <f t="shared" si="50"/>
        <v>0</v>
      </c>
      <c r="S103" s="3">
        <f t="shared" si="51"/>
        <v>0</v>
      </c>
      <c r="T103">
        <f t="shared" si="52"/>
        <v>0</v>
      </c>
      <c r="U103" s="3">
        <f t="shared" si="53"/>
        <v>0</v>
      </c>
      <c r="V103" s="3">
        <f t="shared" si="54"/>
        <v>0</v>
      </c>
      <c r="W103">
        <f t="shared" si="55"/>
        <v>0</v>
      </c>
      <c r="X103" s="3">
        <f t="shared" si="56"/>
        <v>0</v>
      </c>
      <c r="Y103" s="3">
        <f t="shared" si="57"/>
        <v>0</v>
      </c>
      <c r="Z103">
        <f t="shared" si="58"/>
        <v>0</v>
      </c>
      <c r="AA103" s="3">
        <f t="shared" si="59"/>
        <v>0</v>
      </c>
      <c r="AB103" s="3">
        <f t="shared" si="60"/>
        <v>0</v>
      </c>
      <c r="AC103">
        <f t="shared" si="61"/>
        <v>0</v>
      </c>
      <c r="AD103" s="3">
        <f t="shared" si="62"/>
        <v>0</v>
      </c>
      <c r="AE103" s="3">
        <f t="shared" si="63"/>
        <v>0</v>
      </c>
      <c r="AF103">
        <f t="shared" si="64"/>
        <v>0</v>
      </c>
      <c r="AG103" s="3">
        <f t="shared" si="65"/>
        <v>0</v>
      </c>
      <c r="AH103" s="3">
        <f t="shared" si="66"/>
        <v>0</v>
      </c>
      <c r="AI103">
        <f t="shared" si="67"/>
        <v>0</v>
      </c>
      <c r="AJ103" s="3">
        <f t="shared" si="68"/>
        <v>0</v>
      </c>
      <c r="AK103" s="3">
        <f t="shared" si="69"/>
        <v>0</v>
      </c>
      <c r="AL103">
        <f t="shared" si="70"/>
        <v>0</v>
      </c>
      <c r="AM103" s="3">
        <f t="shared" si="71"/>
        <v>0</v>
      </c>
      <c r="AN103" s="3">
        <f t="shared" si="72"/>
        <v>0</v>
      </c>
      <c r="AO103">
        <f t="shared" si="73"/>
        <v>0</v>
      </c>
      <c r="AP103" s="3">
        <f t="shared" si="74"/>
        <v>0</v>
      </c>
      <c r="AQ103" s="3">
        <f t="shared" si="75"/>
        <v>0</v>
      </c>
      <c r="AR103">
        <f t="shared" si="76"/>
        <v>0</v>
      </c>
    </row>
    <row r="104" spans="4:44" x14ac:dyDescent="0.25">
      <c r="D104" s="1">
        <v>42593</v>
      </c>
      <c r="E104" s="2">
        <v>107.378694</v>
      </c>
      <c r="F104" s="3">
        <v>216.276309</v>
      </c>
      <c r="G104" s="2">
        <f t="shared" si="41"/>
        <v>-6.9642000000001758E-2</v>
      </c>
      <c r="H104" s="2">
        <f t="shared" si="42"/>
        <v>0.99902900000000727</v>
      </c>
      <c r="I104" s="4">
        <f t="shared" si="39"/>
        <v>-0.13202126963549476</v>
      </c>
      <c r="J104" s="4">
        <f t="shared" si="40"/>
        <v>0.89780806101932409</v>
      </c>
      <c r="K104" s="4">
        <f t="shared" si="43"/>
        <v>1.8731305479857467</v>
      </c>
      <c r="L104" s="4">
        <f t="shared" si="44"/>
        <v>1.3686235961672393</v>
      </c>
      <c r="M104" s="4">
        <f t="shared" si="45"/>
        <v>1</v>
      </c>
      <c r="N104" s="4">
        <f t="shared" si="46"/>
        <v>1</v>
      </c>
      <c r="O104" s="3">
        <f t="shared" si="47"/>
        <v>-6.9642000000001758E-2</v>
      </c>
      <c r="P104" s="3">
        <f t="shared" si="48"/>
        <v>0.99902900000000727</v>
      </c>
      <c r="Q104">
        <f t="shared" si="49"/>
        <v>1</v>
      </c>
      <c r="R104" s="3">
        <f t="shared" si="50"/>
        <v>-6.9642000000001758E-2</v>
      </c>
      <c r="S104" s="3">
        <f t="shared" si="51"/>
        <v>0.99902900000000727</v>
      </c>
      <c r="T104">
        <f t="shared" si="52"/>
        <v>1</v>
      </c>
      <c r="U104" s="3">
        <f t="shared" si="53"/>
        <v>0</v>
      </c>
      <c r="V104" s="3">
        <f t="shared" si="54"/>
        <v>0</v>
      </c>
      <c r="W104">
        <f t="shared" si="55"/>
        <v>0</v>
      </c>
      <c r="X104" s="3">
        <f t="shared" si="56"/>
        <v>0</v>
      </c>
      <c r="Y104" s="3">
        <f t="shared" si="57"/>
        <v>0</v>
      </c>
      <c r="Z104">
        <f t="shared" si="58"/>
        <v>0</v>
      </c>
      <c r="AA104" s="3">
        <f t="shared" si="59"/>
        <v>0</v>
      </c>
      <c r="AB104" s="3">
        <f t="shared" si="60"/>
        <v>0</v>
      </c>
      <c r="AC104">
        <f t="shared" si="61"/>
        <v>0</v>
      </c>
      <c r="AD104" s="3">
        <f t="shared" si="62"/>
        <v>0</v>
      </c>
      <c r="AE104" s="3">
        <f t="shared" si="63"/>
        <v>0</v>
      </c>
      <c r="AF104">
        <f t="shared" si="64"/>
        <v>0</v>
      </c>
      <c r="AG104" s="3">
        <f t="shared" si="65"/>
        <v>0</v>
      </c>
      <c r="AH104" s="3">
        <f t="shared" si="66"/>
        <v>0</v>
      </c>
      <c r="AI104">
        <f t="shared" si="67"/>
        <v>0</v>
      </c>
      <c r="AJ104" s="3">
        <f t="shared" si="68"/>
        <v>0</v>
      </c>
      <c r="AK104" s="3">
        <f t="shared" si="69"/>
        <v>0</v>
      </c>
      <c r="AL104">
        <f t="shared" si="70"/>
        <v>0</v>
      </c>
      <c r="AM104" s="3">
        <f t="shared" si="71"/>
        <v>0</v>
      </c>
      <c r="AN104" s="3">
        <f t="shared" si="72"/>
        <v>0</v>
      </c>
      <c r="AO104">
        <f t="shared" si="73"/>
        <v>0</v>
      </c>
      <c r="AP104" s="3">
        <f t="shared" si="74"/>
        <v>0</v>
      </c>
      <c r="AQ104" s="3">
        <f t="shared" si="75"/>
        <v>0</v>
      </c>
      <c r="AR104">
        <f t="shared" si="76"/>
        <v>0</v>
      </c>
    </row>
    <row r="105" spans="4:44" x14ac:dyDescent="0.25">
      <c r="D105" s="1">
        <v>42592</v>
      </c>
      <c r="E105" s="2">
        <v>107.448336</v>
      </c>
      <c r="F105" s="3">
        <v>215.27727999999999</v>
      </c>
      <c r="G105" s="2">
        <f t="shared" si="41"/>
        <v>-0.80585999999999558</v>
      </c>
      <c r="H105" s="2">
        <f t="shared" si="42"/>
        <v>-0.53413100000000213</v>
      </c>
      <c r="I105" s="4">
        <f t="shared" si="39"/>
        <v>-0.86823926963548859</v>
      </c>
      <c r="J105" s="4">
        <f t="shared" si="40"/>
        <v>-0.63535193898068532</v>
      </c>
      <c r="K105" s="4">
        <f t="shared" si="43"/>
        <v>0.93747172970204684</v>
      </c>
      <c r="L105" s="4">
        <f t="shared" si="44"/>
        <v>0.96823123772270792</v>
      </c>
      <c r="M105" s="4">
        <f t="shared" si="45"/>
        <v>1</v>
      </c>
      <c r="N105" s="4">
        <f t="shared" si="46"/>
        <v>1</v>
      </c>
      <c r="O105" s="3">
        <f t="shared" si="47"/>
        <v>-0.80585999999999558</v>
      </c>
      <c r="P105" s="3">
        <f t="shared" si="48"/>
        <v>-0.53413100000000213</v>
      </c>
      <c r="Q105">
        <f t="shared" si="49"/>
        <v>1</v>
      </c>
      <c r="R105" s="3">
        <f t="shared" si="50"/>
        <v>0</v>
      </c>
      <c r="S105" s="3">
        <f t="shared" si="51"/>
        <v>0</v>
      </c>
      <c r="T105">
        <f t="shared" si="52"/>
        <v>0</v>
      </c>
      <c r="U105" s="3">
        <f t="shared" si="53"/>
        <v>0</v>
      </c>
      <c r="V105" s="3">
        <f t="shared" si="54"/>
        <v>0</v>
      </c>
      <c r="W105">
        <f t="shared" si="55"/>
        <v>0</v>
      </c>
      <c r="X105" s="3">
        <f t="shared" si="56"/>
        <v>0</v>
      </c>
      <c r="Y105" s="3">
        <f t="shared" si="57"/>
        <v>0</v>
      </c>
      <c r="Z105">
        <f t="shared" si="58"/>
        <v>0</v>
      </c>
      <c r="AA105" s="3">
        <f t="shared" si="59"/>
        <v>0</v>
      </c>
      <c r="AB105" s="3">
        <f t="shared" si="60"/>
        <v>0</v>
      </c>
      <c r="AC105">
        <f t="shared" si="61"/>
        <v>0</v>
      </c>
      <c r="AD105" s="3">
        <f t="shared" si="62"/>
        <v>0</v>
      </c>
      <c r="AE105" s="3">
        <f t="shared" si="63"/>
        <v>0</v>
      </c>
      <c r="AF105">
        <f t="shared" si="64"/>
        <v>0</v>
      </c>
      <c r="AG105" s="3">
        <f t="shared" si="65"/>
        <v>0</v>
      </c>
      <c r="AH105" s="3">
        <f t="shared" si="66"/>
        <v>0</v>
      </c>
      <c r="AI105">
        <f t="shared" si="67"/>
        <v>0</v>
      </c>
      <c r="AJ105" s="3">
        <f t="shared" si="68"/>
        <v>0</v>
      </c>
      <c r="AK105" s="3">
        <f t="shared" si="69"/>
        <v>0</v>
      </c>
      <c r="AL105">
        <f t="shared" si="70"/>
        <v>0</v>
      </c>
      <c r="AM105" s="3">
        <f t="shared" si="71"/>
        <v>0</v>
      </c>
      <c r="AN105" s="3">
        <f t="shared" si="72"/>
        <v>0</v>
      </c>
      <c r="AO105">
        <f t="shared" si="73"/>
        <v>0</v>
      </c>
      <c r="AP105" s="3">
        <f t="shared" si="74"/>
        <v>0</v>
      </c>
      <c r="AQ105" s="3">
        <f t="shared" si="75"/>
        <v>0</v>
      </c>
      <c r="AR105">
        <f t="shared" si="76"/>
        <v>0</v>
      </c>
    </row>
    <row r="106" spans="4:44" x14ac:dyDescent="0.25">
      <c r="D106" s="1">
        <v>42591</v>
      </c>
      <c r="E106" s="2">
        <v>108.25419599999999</v>
      </c>
      <c r="F106" s="3">
        <v>215.81141099999999</v>
      </c>
      <c r="G106" s="2">
        <f t="shared" si="41"/>
        <v>0.43774699999998745</v>
      </c>
      <c r="H106" s="2">
        <f t="shared" si="42"/>
        <v>0.128579000000002</v>
      </c>
      <c r="I106" s="4">
        <f t="shared" si="39"/>
        <v>0.37536773036449445</v>
      </c>
      <c r="J106" s="4">
        <f t="shared" si="40"/>
        <v>2.7358061019318786E-2</v>
      </c>
      <c r="K106" s="4">
        <f t="shared" si="43"/>
        <v>0.27453533538410446</v>
      </c>
      <c r="L106" s="4">
        <f t="shared" si="44"/>
        <v>0.52396119644884431</v>
      </c>
      <c r="M106" s="4">
        <f t="shared" si="45"/>
        <v>1</v>
      </c>
      <c r="N106" s="4">
        <f t="shared" si="46"/>
        <v>1</v>
      </c>
      <c r="O106" s="3">
        <f t="shared" si="47"/>
        <v>0.43774699999998745</v>
      </c>
      <c r="P106" s="3">
        <f t="shared" si="48"/>
        <v>0.128579000000002</v>
      </c>
      <c r="Q106">
        <f t="shared" si="49"/>
        <v>1</v>
      </c>
      <c r="R106" s="3">
        <f t="shared" si="50"/>
        <v>0</v>
      </c>
      <c r="S106" s="3">
        <f t="shared" si="51"/>
        <v>0</v>
      </c>
      <c r="T106">
        <f t="shared" si="52"/>
        <v>0</v>
      </c>
      <c r="U106" s="3">
        <f t="shared" si="53"/>
        <v>0</v>
      </c>
      <c r="V106" s="3">
        <f t="shared" si="54"/>
        <v>0</v>
      </c>
      <c r="W106">
        <f t="shared" si="55"/>
        <v>0</v>
      </c>
      <c r="X106" s="3">
        <f t="shared" si="56"/>
        <v>0</v>
      </c>
      <c r="Y106" s="3">
        <f t="shared" si="57"/>
        <v>0</v>
      </c>
      <c r="Z106">
        <f t="shared" si="58"/>
        <v>0</v>
      </c>
      <c r="AA106" s="3">
        <f t="shared" si="59"/>
        <v>0</v>
      </c>
      <c r="AB106" s="3">
        <f t="shared" si="60"/>
        <v>0</v>
      </c>
      <c r="AC106">
        <f t="shared" si="61"/>
        <v>0</v>
      </c>
      <c r="AD106" s="3">
        <f t="shared" si="62"/>
        <v>0</v>
      </c>
      <c r="AE106" s="3">
        <f t="shared" si="63"/>
        <v>0</v>
      </c>
      <c r="AF106">
        <f t="shared" si="64"/>
        <v>0</v>
      </c>
      <c r="AG106" s="3">
        <f t="shared" si="65"/>
        <v>0</v>
      </c>
      <c r="AH106" s="3">
        <f t="shared" si="66"/>
        <v>0</v>
      </c>
      <c r="AI106">
        <f t="shared" si="67"/>
        <v>0</v>
      </c>
      <c r="AJ106" s="3">
        <f t="shared" si="68"/>
        <v>0</v>
      </c>
      <c r="AK106" s="3">
        <f t="shared" si="69"/>
        <v>0</v>
      </c>
      <c r="AL106">
        <f t="shared" si="70"/>
        <v>0</v>
      </c>
      <c r="AM106" s="3">
        <f t="shared" si="71"/>
        <v>0</v>
      </c>
      <c r="AN106" s="3">
        <f t="shared" si="72"/>
        <v>0</v>
      </c>
      <c r="AO106">
        <f t="shared" si="73"/>
        <v>0</v>
      </c>
      <c r="AP106" s="3">
        <f t="shared" si="74"/>
        <v>0</v>
      </c>
      <c r="AQ106" s="3">
        <f t="shared" si="75"/>
        <v>0</v>
      </c>
      <c r="AR106">
        <f t="shared" si="76"/>
        <v>0</v>
      </c>
    </row>
    <row r="107" spans="4:44" x14ac:dyDescent="0.25">
      <c r="D107" s="1">
        <v>42590</v>
      </c>
      <c r="E107" s="2">
        <v>107.81644900000001</v>
      </c>
      <c r="F107" s="3">
        <v>215.68283199999999</v>
      </c>
      <c r="G107" s="2">
        <f t="shared" si="41"/>
        <v>0.88545300000001248</v>
      </c>
      <c r="H107" s="2">
        <f t="shared" si="42"/>
        <v>-0.128579000000002</v>
      </c>
      <c r="I107" s="4">
        <f t="shared" si="39"/>
        <v>0.82307373036451947</v>
      </c>
      <c r="J107" s="4">
        <f t="shared" si="40"/>
        <v>-0.22979993898068521</v>
      </c>
      <c r="K107" s="4">
        <f t="shared" si="43"/>
        <v>2.0323366742227904</v>
      </c>
      <c r="L107" s="4">
        <f t="shared" si="44"/>
        <v>1.4256004609366506</v>
      </c>
      <c r="M107" s="4">
        <f t="shared" si="45"/>
        <v>1</v>
      </c>
      <c r="N107" s="4">
        <f t="shared" si="46"/>
        <v>0.59045335116973474</v>
      </c>
      <c r="O107" s="3">
        <f t="shared" si="47"/>
        <v>0.88545300000001248</v>
      </c>
      <c r="P107" s="3">
        <f t="shared" si="48"/>
        <v>-0.128579000000002</v>
      </c>
      <c r="Q107">
        <f t="shared" si="49"/>
        <v>1</v>
      </c>
      <c r="R107" s="3">
        <f t="shared" si="50"/>
        <v>0.88545300000001248</v>
      </c>
      <c r="S107" s="3">
        <f t="shared" si="51"/>
        <v>-0.128579000000002</v>
      </c>
      <c r="T107">
        <f t="shared" si="52"/>
        <v>1</v>
      </c>
      <c r="U107" s="3">
        <f t="shared" si="53"/>
        <v>0.88545300000001248</v>
      </c>
      <c r="V107" s="3">
        <f t="shared" si="54"/>
        <v>-0.128579000000002</v>
      </c>
      <c r="W107">
        <f t="shared" si="55"/>
        <v>1</v>
      </c>
      <c r="X107" s="3">
        <f t="shared" si="56"/>
        <v>0</v>
      </c>
      <c r="Y107" s="3">
        <f t="shared" si="57"/>
        <v>0</v>
      </c>
      <c r="Z107">
        <f t="shared" si="58"/>
        <v>0</v>
      </c>
      <c r="AA107" s="3">
        <f t="shared" si="59"/>
        <v>0</v>
      </c>
      <c r="AB107" s="3">
        <f t="shared" si="60"/>
        <v>0</v>
      </c>
      <c r="AC107">
        <f t="shared" si="61"/>
        <v>0</v>
      </c>
      <c r="AD107" s="3">
        <f t="shared" si="62"/>
        <v>0</v>
      </c>
      <c r="AE107" s="3">
        <f t="shared" si="63"/>
        <v>0</v>
      </c>
      <c r="AF107">
        <f t="shared" si="64"/>
        <v>0</v>
      </c>
      <c r="AG107" s="3">
        <f t="shared" si="65"/>
        <v>0</v>
      </c>
      <c r="AH107" s="3">
        <f t="shared" si="66"/>
        <v>0</v>
      </c>
      <c r="AI107">
        <f t="shared" si="67"/>
        <v>0</v>
      </c>
      <c r="AJ107" s="3">
        <f t="shared" si="68"/>
        <v>0</v>
      </c>
      <c r="AK107" s="3">
        <f t="shared" si="69"/>
        <v>0</v>
      </c>
      <c r="AL107">
        <f t="shared" si="70"/>
        <v>0</v>
      </c>
      <c r="AM107" s="3">
        <f t="shared" si="71"/>
        <v>0</v>
      </c>
      <c r="AN107" s="3">
        <f t="shared" si="72"/>
        <v>0</v>
      </c>
      <c r="AO107">
        <f t="shared" si="73"/>
        <v>0</v>
      </c>
      <c r="AP107" s="3">
        <f t="shared" si="74"/>
        <v>0</v>
      </c>
      <c r="AQ107" s="3">
        <f t="shared" si="75"/>
        <v>0</v>
      </c>
      <c r="AR107">
        <f t="shared" si="76"/>
        <v>0</v>
      </c>
    </row>
    <row r="108" spans="4:44" x14ac:dyDescent="0.25">
      <c r="D108" s="1">
        <v>42587</v>
      </c>
      <c r="E108" s="2">
        <v>106.93099599999999</v>
      </c>
      <c r="F108" s="3">
        <v>215.81141099999999</v>
      </c>
      <c r="G108" s="2">
        <f t="shared" si="41"/>
        <v>1.6017769999999985</v>
      </c>
      <c r="H108" s="2">
        <f t="shared" si="42"/>
        <v>1.7507739999999785</v>
      </c>
      <c r="I108" s="4">
        <f t="shared" si="39"/>
        <v>1.5393977303645054</v>
      </c>
      <c r="J108" s="4">
        <f t="shared" si="40"/>
        <v>1.6495530610192952</v>
      </c>
      <c r="K108" s="4">
        <f t="shared" si="43"/>
        <v>3.6104194007783219</v>
      </c>
      <c r="L108" s="4">
        <f t="shared" si="44"/>
        <v>1.9001103654204725</v>
      </c>
      <c r="M108" s="4">
        <f t="shared" si="45"/>
        <v>1</v>
      </c>
      <c r="N108" s="4">
        <f t="shared" si="46"/>
        <v>0.33237135822539288</v>
      </c>
      <c r="O108" s="3">
        <f t="shared" si="47"/>
        <v>1.6017769999999985</v>
      </c>
      <c r="P108" s="3">
        <f t="shared" si="48"/>
        <v>1.7507739999999785</v>
      </c>
      <c r="Q108">
        <f t="shared" si="49"/>
        <v>1</v>
      </c>
      <c r="R108" s="3">
        <f t="shared" si="50"/>
        <v>1.6017769999999985</v>
      </c>
      <c r="S108" s="3">
        <f t="shared" si="51"/>
        <v>1.7507739999999785</v>
      </c>
      <c r="T108">
        <f t="shared" si="52"/>
        <v>1</v>
      </c>
      <c r="U108" s="3">
        <f t="shared" si="53"/>
        <v>1.6017769999999985</v>
      </c>
      <c r="V108" s="3">
        <f t="shared" si="54"/>
        <v>1.7507739999999785</v>
      </c>
      <c r="W108">
        <f t="shared" si="55"/>
        <v>1</v>
      </c>
      <c r="X108" s="3">
        <f t="shared" si="56"/>
        <v>1.6017769999999985</v>
      </c>
      <c r="Y108" s="3">
        <f t="shared" si="57"/>
        <v>1.7507739999999785</v>
      </c>
      <c r="Z108">
        <f t="shared" si="58"/>
        <v>1</v>
      </c>
      <c r="AA108" s="3">
        <f t="shared" si="59"/>
        <v>0</v>
      </c>
      <c r="AB108" s="3">
        <f t="shared" si="60"/>
        <v>0</v>
      </c>
      <c r="AC108">
        <f t="shared" si="61"/>
        <v>0</v>
      </c>
      <c r="AD108" s="3">
        <f t="shared" si="62"/>
        <v>0</v>
      </c>
      <c r="AE108" s="3">
        <f t="shared" si="63"/>
        <v>0</v>
      </c>
      <c r="AF108">
        <f t="shared" si="64"/>
        <v>0</v>
      </c>
      <c r="AG108" s="3">
        <f t="shared" si="65"/>
        <v>0</v>
      </c>
      <c r="AH108" s="3">
        <f t="shared" si="66"/>
        <v>0</v>
      </c>
      <c r="AI108">
        <f t="shared" si="67"/>
        <v>0</v>
      </c>
      <c r="AJ108" s="3">
        <f t="shared" si="68"/>
        <v>0</v>
      </c>
      <c r="AK108" s="3">
        <f t="shared" si="69"/>
        <v>0</v>
      </c>
      <c r="AL108">
        <f t="shared" si="70"/>
        <v>0</v>
      </c>
      <c r="AM108" s="3">
        <f t="shared" si="71"/>
        <v>0</v>
      </c>
      <c r="AN108" s="3">
        <f t="shared" si="72"/>
        <v>0</v>
      </c>
      <c r="AO108">
        <f t="shared" si="73"/>
        <v>0</v>
      </c>
      <c r="AP108" s="3">
        <f t="shared" si="74"/>
        <v>0</v>
      </c>
      <c r="AQ108" s="3">
        <f t="shared" si="75"/>
        <v>0</v>
      </c>
      <c r="AR108">
        <f t="shared" si="76"/>
        <v>0</v>
      </c>
    </row>
    <row r="109" spans="4:44" x14ac:dyDescent="0.25">
      <c r="D109" s="1">
        <v>42586</v>
      </c>
      <c r="E109" s="2">
        <v>105.32921899999999</v>
      </c>
      <c r="F109" s="3">
        <v>214.06063700000001</v>
      </c>
      <c r="G109" s="2">
        <f t="shared" si="41"/>
        <v>0.64667899999999179</v>
      </c>
      <c r="H109" s="2">
        <f t="shared" si="42"/>
        <v>0.22751400000001354</v>
      </c>
      <c r="I109" s="4">
        <f t="shared" si="39"/>
        <v>0.58429973036449878</v>
      </c>
      <c r="J109" s="4">
        <f t="shared" si="40"/>
        <v>0.12629306101933033</v>
      </c>
      <c r="K109" s="4">
        <f t="shared" si="43"/>
        <v>0.56506499777957619</v>
      </c>
      <c r="L109" s="4">
        <f t="shared" si="44"/>
        <v>0.75170805355508608</v>
      </c>
      <c r="M109" s="4">
        <f t="shared" si="45"/>
        <v>1</v>
      </c>
      <c r="N109" s="4">
        <f t="shared" si="46"/>
        <v>1</v>
      </c>
      <c r="O109" s="3">
        <f t="shared" si="47"/>
        <v>0.64667899999999179</v>
      </c>
      <c r="P109" s="3">
        <f t="shared" si="48"/>
        <v>0.22751400000001354</v>
      </c>
      <c r="Q109">
        <f t="shared" si="49"/>
        <v>1</v>
      </c>
      <c r="R109" s="3">
        <f t="shared" si="50"/>
        <v>0</v>
      </c>
      <c r="S109" s="3">
        <f t="shared" si="51"/>
        <v>0</v>
      </c>
      <c r="T109">
        <f t="shared" si="52"/>
        <v>0</v>
      </c>
      <c r="U109" s="3">
        <f t="shared" si="53"/>
        <v>0</v>
      </c>
      <c r="V109" s="3">
        <f t="shared" si="54"/>
        <v>0</v>
      </c>
      <c r="W109">
        <f t="shared" si="55"/>
        <v>0</v>
      </c>
      <c r="X109" s="3">
        <f t="shared" si="56"/>
        <v>0</v>
      </c>
      <c r="Y109" s="3">
        <f t="shared" si="57"/>
        <v>0</v>
      </c>
      <c r="Z109">
        <f t="shared" si="58"/>
        <v>0</v>
      </c>
      <c r="AA109" s="3">
        <f t="shared" si="59"/>
        <v>0</v>
      </c>
      <c r="AB109" s="3">
        <f t="shared" si="60"/>
        <v>0</v>
      </c>
      <c r="AC109">
        <f t="shared" si="61"/>
        <v>0</v>
      </c>
      <c r="AD109" s="3">
        <f t="shared" si="62"/>
        <v>0</v>
      </c>
      <c r="AE109" s="3">
        <f t="shared" si="63"/>
        <v>0</v>
      </c>
      <c r="AF109">
        <f t="shared" si="64"/>
        <v>0</v>
      </c>
      <c r="AG109" s="3">
        <f t="shared" si="65"/>
        <v>0</v>
      </c>
      <c r="AH109" s="3">
        <f t="shared" si="66"/>
        <v>0</v>
      </c>
      <c r="AI109">
        <f t="shared" si="67"/>
        <v>0</v>
      </c>
      <c r="AJ109" s="3">
        <f t="shared" si="68"/>
        <v>0</v>
      </c>
      <c r="AK109" s="3">
        <f t="shared" si="69"/>
        <v>0</v>
      </c>
      <c r="AL109">
        <f t="shared" si="70"/>
        <v>0</v>
      </c>
      <c r="AM109" s="3">
        <f t="shared" si="71"/>
        <v>0</v>
      </c>
      <c r="AN109" s="3">
        <f t="shared" si="72"/>
        <v>0</v>
      </c>
      <c r="AO109">
        <f t="shared" si="73"/>
        <v>0</v>
      </c>
      <c r="AP109" s="3">
        <f t="shared" si="74"/>
        <v>0</v>
      </c>
      <c r="AQ109" s="3">
        <f t="shared" si="75"/>
        <v>0</v>
      </c>
      <c r="AR109">
        <f t="shared" si="76"/>
        <v>0</v>
      </c>
    </row>
    <row r="110" spans="4:44" x14ac:dyDescent="0.25">
      <c r="D110" s="1">
        <v>42585</v>
      </c>
      <c r="E110" s="2">
        <v>104.68254</v>
      </c>
      <c r="F110" s="3">
        <v>213.833123</v>
      </c>
      <c r="G110" s="2">
        <f t="shared" si="41"/>
        <v>1.296284</v>
      </c>
      <c r="H110" s="2">
        <f t="shared" si="42"/>
        <v>0.62315100000000712</v>
      </c>
      <c r="I110" s="4">
        <f t="shared" si="39"/>
        <v>1.233904730364507</v>
      </c>
      <c r="J110" s="4">
        <f t="shared" si="40"/>
        <v>0.52193006101932393</v>
      </c>
      <c r="K110" s="4">
        <f t="shared" si="43"/>
        <v>2.0842129367540676</v>
      </c>
      <c r="L110" s="4">
        <f t="shared" si="44"/>
        <v>1.4436803443817012</v>
      </c>
      <c r="M110" s="4">
        <f t="shared" si="45"/>
        <v>1</v>
      </c>
      <c r="N110" s="4">
        <f t="shared" si="46"/>
        <v>0.57575690988122741</v>
      </c>
      <c r="O110" s="3">
        <f t="shared" si="47"/>
        <v>1.296284</v>
      </c>
      <c r="P110" s="3">
        <f t="shared" si="48"/>
        <v>0.62315100000000712</v>
      </c>
      <c r="Q110">
        <f t="shared" si="49"/>
        <v>1</v>
      </c>
      <c r="R110" s="3">
        <f t="shared" si="50"/>
        <v>1.296284</v>
      </c>
      <c r="S110" s="3">
        <f t="shared" si="51"/>
        <v>0.62315100000000712</v>
      </c>
      <c r="T110">
        <f t="shared" si="52"/>
        <v>1</v>
      </c>
      <c r="U110" s="3">
        <f t="shared" si="53"/>
        <v>1.296284</v>
      </c>
      <c r="V110" s="3">
        <f t="shared" si="54"/>
        <v>0.62315100000000712</v>
      </c>
      <c r="W110">
        <f t="shared" si="55"/>
        <v>1</v>
      </c>
      <c r="X110" s="3">
        <f t="shared" si="56"/>
        <v>0</v>
      </c>
      <c r="Y110" s="3">
        <f t="shared" si="57"/>
        <v>0</v>
      </c>
      <c r="Z110">
        <f t="shared" si="58"/>
        <v>0</v>
      </c>
      <c r="AA110" s="3">
        <f t="shared" si="59"/>
        <v>0</v>
      </c>
      <c r="AB110" s="3">
        <f t="shared" si="60"/>
        <v>0</v>
      </c>
      <c r="AC110">
        <f t="shared" si="61"/>
        <v>0</v>
      </c>
      <c r="AD110" s="3">
        <f t="shared" si="62"/>
        <v>0</v>
      </c>
      <c r="AE110" s="3">
        <f t="shared" si="63"/>
        <v>0</v>
      </c>
      <c r="AF110">
        <f t="shared" si="64"/>
        <v>0</v>
      </c>
      <c r="AG110" s="3">
        <f t="shared" si="65"/>
        <v>0</v>
      </c>
      <c r="AH110" s="3">
        <f t="shared" si="66"/>
        <v>0</v>
      </c>
      <c r="AI110">
        <f t="shared" si="67"/>
        <v>0</v>
      </c>
      <c r="AJ110" s="3">
        <f t="shared" si="68"/>
        <v>0</v>
      </c>
      <c r="AK110" s="3">
        <f t="shared" si="69"/>
        <v>0</v>
      </c>
      <c r="AL110">
        <f t="shared" si="70"/>
        <v>0</v>
      </c>
      <c r="AM110" s="3">
        <f t="shared" si="71"/>
        <v>0</v>
      </c>
      <c r="AN110" s="3">
        <f t="shared" si="72"/>
        <v>0</v>
      </c>
      <c r="AO110">
        <f t="shared" si="73"/>
        <v>0</v>
      </c>
      <c r="AP110" s="3">
        <f t="shared" si="74"/>
        <v>0</v>
      </c>
      <c r="AQ110" s="3">
        <f t="shared" si="75"/>
        <v>0</v>
      </c>
      <c r="AR110">
        <f t="shared" si="76"/>
        <v>0</v>
      </c>
    </row>
    <row r="111" spans="4:44" x14ac:dyDescent="0.25">
      <c r="D111" s="1">
        <v>42584</v>
      </c>
      <c r="E111" s="2">
        <v>103.386256</v>
      </c>
      <c r="F111" s="3">
        <v>213.20997199999999</v>
      </c>
      <c r="G111" s="2">
        <f t="shared" si="41"/>
        <v>-1.5535639999999944</v>
      </c>
      <c r="H111" s="2">
        <f t="shared" si="42"/>
        <v>-1.3749099999999999</v>
      </c>
      <c r="I111" s="4">
        <f t="shared" si="39"/>
        <v>-1.6159432696354874</v>
      </c>
      <c r="J111" s="4">
        <f t="shared" si="40"/>
        <v>-1.4761309389806831</v>
      </c>
      <c r="K111" s="4">
        <f t="shared" si="43"/>
        <v>3.4960794425131416</v>
      </c>
      <c r="L111" s="4">
        <f t="shared" si="44"/>
        <v>1.8697805867302029</v>
      </c>
      <c r="M111" s="4">
        <f t="shared" si="45"/>
        <v>1</v>
      </c>
      <c r="N111" s="4">
        <f t="shared" si="46"/>
        <v>0.34324162815287318</v>
      </c>
      <c r="O111" s="3">
        <f t="shared" si="47"/>
        <v>-1.5535639999999944</v>
      </c>
      <c r="P111" s="3">
        <f t="shared" si="48"/>
        <v>-1.3749099999999999</v>
      </c>
      <c r="Q111">
        <f t="shared" si="49"/>
        <v>1</v>
      </c>
      <c r="R111" s="3">
        <f t="shared" si="50"/>
        <v>-1.5535639999999944</v>
      </c>
      <c r="S111" s="3">
        <f t="shared" si="51"/>
        <v>-1.3749099999999999</v>
      </c>
      <c r="T111">
        <f t="shared" si="52"/>
        <v>1</v>
      </c>
      <c r="U111" s="3">
        <f t="shared" si="53"/>
        <v>-1.5535639999999944</v>
      </c>
      <c r="V111" s="3">
        <f t="shared" si="54"/>
        <v>-1.3749099999999999</v>
      </c>
      <c r="W111">
        <f t="shared" si="55"/>
        <v>1</v>
      </c>
      <c r="X111" s="3">
        <f t="shared" si="56"/>
        <v>-1.5535639999999944</v>
      </c>
      <c r="Y111" s="3">
        <f t="shared" si="57"/>
        <v>-1.3749099999999999</v>
      </c>
      <c r="Z111">
        <f t="shared" si="58"/>
        <v>1</v>
      </c>
      <c r="AA111" s="3">
        <f t="shared" si="59"/>
        <v>0</v>
      </c>
      <c r="AB111" s="3">
        <f t="shared" si="60"/>
        <v>0</v>
      </c>
      <c r="AC111">
        <f t="shared" si="61"/>
        <v>0</v>
      </c>
      <c r="AD111" s="3">
        <f t="shared" si="62"/>
        <v>0</v>
      </c>
      <c r="AE111" s="3">
        <f t="shared" si="63"/>
        <v>0</v>
      </c>
      <c r="AF111">
        <f t="shared" si="64"/>
        <v>0</v>
      </c>
      <c r="AG111" s="3">
        <f t="shared" si="65"/>
        <v>0</v>
      </c>
      <c r="AH111" s="3">
        <f t="shared" si="66"/>
        <v>0</v>
      </c>
      <c r="AI111">
        <f t="shared" si="67"/>
        <v>0</v>
      </c>
      <c r="AJ111" s="3">
        <f t="shared" si="68"/>
        <v>0</v>
      </c>
      <c r="AK111" s="3">
        <f t="shared" si="69"/>
        <v>0</v>
      </c>
      <c r="AL111">
        <f t="shared" si="70"/>
        <v>0</v>
      </c>
      <c r="AM111" s="3">
        <f t="shared" si="71"/>
        <v>0</v>
      </c>
      <c r="AN111" s="3">
        <f t="shared" si="72"/>
        <v>0</v>
      </c>
      <c r="AO111">
        <f t="shared" si="73"/>
        <v>0</v>
      </c>
      <c r="AP111" s="3">
        <f t="shared" si="74"/>
        <v>0</v>
      </c>
      <c r="AQ111" s="3">
        <f t="shared" si="75"/>
        <v>0</v>
      </c>
      <c r="AR111">
        <f t="shared" si="76"/>
        <v>0</v>
      </c>
    </row>
    <row r="112" spans="4:44" x14ac:dyDescent="0.25">
      <c r="D112" s="1">
        <v>42583</v>
      </c>
      <c r="E112" s="2">
        <v>104.93982</v>
      </c>
      <c r="F112" s="3">
        <v>214.58488199999999</v>
      </c>
      <c r="G112" s="2">
        <f t="shared" si="41"/>
        <v>1.8207419999999956</v>
      </c>
      <c r="H112" s="2">
        <f t="shared" si="42"/>
        <v>-0.17803800000001502</v>
      </c>
      <c r="I112" s="4">
        <f t="shared" si="39"/>
        <v>1.7583627303645026</v>
      </c>
      <c r="J112" s="4">
        <f t="shared" si="40"/>
        <v>-0.2792589389806982</v>
      </c>
      <c r="K112" s="4">
        <f t="shared" si="43"/>
        <v>8.0003082833621395</v>
      </c>
      <c r="L112" s="4">
        <f t="shared" si="44"/>
        <v>2.8284816215351549</v>
      </c>
      <c r="M112" s="4">
        <f t="shared" si="45"/>
        <v>0.70709315725180577</v>
      </c>
      <c r="N112" s="4">
        <f t="shared" si="46"/>
        <v>0.14999421990969808</v>
      </c>
      <c r="O112" s="3">
        <f t="shared" si="47"/>
        <v>1.8207419999999956</v>
      </c>
      <c r="P112" s="3">
        <f t="shared" si="48"/>
        <v>-0.17803800000001502</v>
      </c>
      <c r="Q112">
        <f t="shared" si="49"/>
        <v>1</v>
      </c>
      <c r="R112" s="3">
        <f t="shared" si="50"/>
        <v>1.8207419999999956</v>
      </c>
      <c r="S112" s="3">
        <f t="shared" si="51"/>
        <v>-0.17803800000001502</v>
      </c>
      <c r="T112">
        <f t="shared" si="52"/>
        <v>1</v>
      </c>
      <c r="U112" s="3">
        <f t="shared" si="53"/>
        <v>1.8207419999999956</v>
      </c>
      <c r="V112" s="3">
        <f t="shared" si="54"/>
        <v>-0.17803800000001502</v>
      </c>
      <c r="W112">
        <f t="shared" si="55"/>
        <v>1</v>
      </c>
      <c r="X112" s="3">
        <f t="shared" si="56"/>
        <v>1.8207419999999956</v>
      </c>
      <c r="Y112" s="3">
        <f t="shared" si="57"/>
        <v>-0.17803800000001502</v>
      </c>
      <c r="Z112">
        <f t="shared" si="58"/>
        <v>1</v>
      </c>
      <c r="AA112" s="3">
        <f t="shared" si="59"/>
        <v>1.8207419999999956</v>
      </c>
      <c r="AB112" s="3">
        <f t="shared" si="60"/>
        <v>-0.17803800000001502</v>
      </c>
      <c r="AC112">
        <f t="shared" si="61"/>
        <v>1</v>
      </c>
      <c r="AD112" s="3">
        <f t="shared" si="62"/>
        <v>1.8207419999999956</v>
      </c>
      <c r="AE112" s="3">
        <f t="shared" si="63"/>
        <v>-0.17803800000001502</v>
      </c>
      <c r="AF112">
        <f t="shared" si="64"/>
        <v>1</v>
      </c>
      <c r="AG112" s="3">
        <f t="shared" si="65"/>
        <v>1.8207419999999956</v>
      </c>
      <c r="AH112" s="3">
        <f t="shared" si="66"/>
        <v>-0.17803800000001502</v>
      </c>
      <c r="AI112">
        <f t="shared" si="67"/>
        <v>1</v>
      </c>
      <c r="AJ112" s="3">
        <f t="shared" si="68"/>
        <v>1.8207419999999956</v>
      </c>
      <c r="AK112" s="3">
        <f t="shared" si="69"/>
        <v>-0.17803800000001502</v>
      </c>
      <c r="AL112">
        <f t="shared" si="70"/>
        <v>1</v>
      </c>
      <c r="AM112" s="3">
        <f t="shared" si="71"/>
        <v>1.8207419999999956</v>
      </c>
      <c r="AN112" s="3">
        <f t="shared" si="72"/>
        <v>-0.17803800000001502</v>
      </c>
      <c r="AO112">
        <f t="shared" si="73"/>
        <v>1</v>
      </c>
      <c r="AP112" s="3">
        <f t="shared" si="74"/>
        <v>0</v>
      </c>
      <c r="AQ112" s="3">
        <f t="shared" si="75"/>
        <v>0</v>
      </c>
      <c r="AR112">
        <f t="shared" si="76"/>
        <v>0</v>
      </c>
    </row>
    <row r="113" spans="4:44" x14ac:dyDescent="0.25">
      <c r="D113" s="1">
        <v>42580</v>
      </c>
      <c r="E113" s="2">
        <v>103.119078</v>
      </c>
      <c r="F113" s="3">
        <v>214.76292000000001</v>
      </c>
      <c r="G113" s="2">
        <f t="shared" si="41"/>
        <v>-0.12863699999999767</v>
      </c>
      <c r="H113" s="2">
        <f t="shared" si="42"/>
        <v>0.34619100000000458</v>
      </c>
      <c r="I113" s="4">
        <f t="shared" si="39"/>
        <v>-0.19101626963549068</v>
      </c>
      <c r="J113" s="4">
        <f t="shared" si="40"/>
        <v>0.24497006101932137</v>
      </c>
      <c r="K113" s="4">
        <f t="shared" si="43"/>
        <v>0.31286654756557802</v>
      </c>
      <c r="L113" s="4">
        <f t="shared" si="44"/>
        <v>0.55934474840260906</v>
      </c>
      <c r="M113" s="4">
        <f t="shared" si="45"/>
        <v>1</v>
      </c>
      <c r="N113" s="4">
        <f t="shared" si="46"/>
        <v>1</v>
      </c>
      <c r="O113" s="3">
        <f t="shared" si="47"/>
        <v>-0.12863699999999767</v>
      </c>
      <c r="P113" s="3">
        <f t="shared" si="48"/>
        <v>0.34619100000000458</v>
      </c>
      <c r="Q113">
        <f t="shared" si="49"/>
        <v>1</v>
      </c>
      <c r="R113" s="3">
        <f t="shared" si="50"/>
        <v>0</v>
      </c>
      <c r="S113" s="3">
        <f t="shared" si="51"/>
        <v>0</v>
      </c>
      <c r="T113">
        <f t="shared" si="52"/>
        <v>0</v>
      </c>
      <c r="U113" s="3">
        <f t="shared" si="53"/>
        <v>0</v>
      </c>
      <c r="V113" s="3">
        <f t="shared" si="54"/>
        <v>0</v>
      </c>
      <c r="W113">
        <f t="shared" si="55"/>
        <v>0</v>
      </c>
      <c r="X113" s="3">
        <f t="shared" si="56"/>
        <v>0</v>
      </c>
      <c r="Y113" s="3">
        <f t="shared" si="57"/>
        <v>0</v>
      </c>
      <c r="Z113">
        <f t="shared" si="58"/>
        <v>0</v>
      </c>
      <c r="AA113" s="3">
        <f t="shared" si="59"/>
        <v>0</v>
      </c>
      <c r="AB113" s="3">
        <f t="shared" si="60"/>
        <v>0</v>
      </c>
      <c r="AC113">
        <f t="shared" si="61"/>
        <v>0</v>
      </c>
      <c r="AD113" s="3">
        <f t="shared" si="62"/>
        <v>0</v>
      </c>
      <c r="AE113" s="3">
        <f t="shared" si="63"/>
        <v>0</v>
      </c>
      <c r="AF113">
        <f t="shared" si="64"/>
        <v>0</v>
      </c>
      <c r="AG113" s="3">
        <f t="shared" si="65"/>
        <v>0</v>
      </c>
      <c r="AH113" s="3">
        <f t="shared" si="66"/>
        <v>0</v>
      </c>
      <c r="AI113">
        <f t="shared" si="67"/>
        <v>0</v>
      </c>
      <c r="AJ113" s="3">
        <f t="shared" si="68"/>
        <v>0</v>
      </c>
      <c r="AK113" s="3">
        <f t="shared" si="69"/>
        <v>0</v>
      </c>
      <c r="AL113">
        <f t="shared" si="70"/>
        <v>0</v>
      </c>
      <c r="AM113" s="3">
        <f t="shared" si="71"/>
        <v>0</v>
      </c>
      <c r="AN113" s="3">
        <f t="shared" si="72"/>
        <v>0</v>
      </c>
      <c r="AO113">
        <f t="shared" si="73"/>
        <v>0</v>
      </c>
      <c r="AP113" s="3">
        <f t="shared" si="74"/>
        <v>0</v>
      </c>
      <c r="AQ113" s="3">
        <f t="shared" si="75"/>
        <v>0</v>
      </c>
      <c r="AR113">
        <f t="shared" si="76"/>
        <v>0</v>
      </c>
    </row>
    <row r="114" spans="4:44" x14ac:dyDescent="0.25">
      <c r="D114" s="1">
        <v>42579</v>
      </c>
      <c r="E114" s="2">
        <v>103.247715</v>
      </c>
      <c r="F114" s="3">
        <v>214.416729</v>
      </c>
      <c r="G114" s="2">
        <f t="shared" si="41"/>
        <v>1.3754480000000058</v>
      </c>
      <c r="H114" s="2">
        <f t="shared" si="42"/>
        <v>0.24728600000000256</v>
      </c>
      <c r="I114" s="4">
        <f t="shared" si="39"/>
        <v>1.3130687303645128</v>
      </c>
      <c r="J114" s="4">
        <f t="shared" si="40"/>
        <v>0.14606506101931935</v>
      </c>
      <c r="K114" s="4">
        <f t="shared" si="43"/>
        <v>3.2108264597652969</v>
      </c>
      <c r="L114" s="4">
        <f t="shared" si="44"/>
        <v>1.7918779143025612</v>
      </c>
      <c r="M114" s="4">
        <f t="shared" si="45"/>
        <v>1</v>
      </c>
      <c r="N114" s="4">
        <f t="shared" si="46"/>
        <v>0.37373555221284582</v>
      </c>
      <c r="O114" s="3">
        <f t="shared" si="47"/>
        <v>1.3754480000000058</v>
      </c>
      <c r="P114" s="3">
        <f t="shared" si="48"/>
        <v>0.24728600000000256</v>
      </c>
      <c r="Q114">
        <f t="shared" si="49"/>
        <v>1</v>
      </c>
      <c r="R114" s="3">
        <f t="shared" si="50"/>
        <v>1.3754480000000058</v>
      </c>
      <c r="S114" s="3">
        <f t="shared" si="51"/>
        <v>0.24728600000000256</v>
      </c>
      <c r="T114">
        <f t="shared" si="52"/>
        <v>1</v>
      </c>
      <c r="U114" s="3">
        <f t="shared" si="53"/>
        <v>1.3754480000000058</v>
      </c>
      <c r="V114" s="3">
        <f t="shared" si="54"/>
        <v>0.24728600000000256</v>
      </c>
      <c r="W114">
        <f t="shared" si="55"/>
        <v>1</v>
      </c>
      <c r="X114" s="3">
        <f t="shared" si="56"/>
        <v>1.3754480000000058</v>
      </c>
      <c r="Y114" s="3">
        <f t="shared" si="57"/>
        <v>0.24728600000000256</v>
      </c>
      <c r="Z114">
        <f t="shared" si="58"/>
        <v>1</v>
      </c>
      <c r="AA114" s="3">
        <f t="shared" si="59"/>
        <v>0</v>
      </c>
      <c r="AB114" s="3">
        <f t="shared" si="60"/>
        <v>0</v>
      </c>
      <c r="AC114">
        <f t="shared" si="61"/>
        <v>0</v>
      </c>
      <c r="AD114" s="3">
        <f t="shared" si="62"/>
        <v>0</v>
      </c>
      <c r="AE114" s="3">
        <f t="shared" si="63"/>
        <v>0</v>
      </c>
      <c r="AF114">
        <f t="shared" si="64"/>
        <v>0</v>
      </c>
      <c r="AG114" s="3">
        <f t="shared" si="65"/>
        <v>0</v>
      </c>
      <c r="AH114" s="3">
        <f t="shared" si="66"/>
        <v>0</v>
      </c>
      <c r="AI114">
        <f t="shared" si="67"/>
        <v>0</v>
      </c>
      <c r="AJ114" s="3">
        <f t="shared" si="68"/>
        <v>0</v>
      </c>
      <c r="AK114" s="3">
        <f t="shared" si="69"/>
        <v>0</v>
      </c>
      <c r="AL114">
        <f t="shared" si="70"/>
        <v>0</v>
      </c>
      <c r="AM114" s="3">
        <f t="shared" si="71"/>
        <v>0</v>
      </c>
      <c r="AN114" s="3">
        <f t="shared" si="72"/>
        <v>0</v>
      </c>
      <c r="AO114">
        <f t="shared" si="73"/>
        <v>0</v>
      </c>
      <c r="AP114" s="3">
        <f t="shared" si="74"/>
        <v>0</v>
      </c>
      <c r="AQ114" s="3">
        <f t="shared" si="75"/>
        <v>0</v>
      </c>
      <c r="AR114">
        <f t="shared" si="76"/>
        <v>0</v>
      </c>
    </row>
    <row r="115" spans="4:44" x14ac:dyDescent="0.25">
      <c r="D115" s="1">
        <v>42578</v>
      </c>
      <c r="E115" s="2">
        <v>101.87226699999999</v>
      </c>
      <c r="F115" s="3">
        <v>214.169443</v>
      </c>
      <c r="G115" s="2">
        <f t="shared" si="41"/>
        <v>6.2142569999999893</v>
      </c>
      <c r="H115" s="2">
        <f t="shared" si="42"/>
        <v>-0.22749899999999457</v>
      </c>
      <c r="I115" s="4">
        <f t="shared" si="39"/>
        <v>6.1518777303644958</v>
      </c>
      <c r="J115" s="4">
        <f t="shared" si="40"/>
        <v>-0.32871993898067775</v>
      </c>
      <c r="K115" s="4">
        <f t="shared" si="43"/>
        <v>85.970945210613678</v>
      </c>
      <c r="L115" s="4">
        <f t="shared" si="44"/>
        <v>9.2720518339046016</v>
      </c>
      <c r="M115" s="4">
        <f t="shared" si="45"/>
        <v>0.21570198655347353</v>
      </c>
      <c r="N115" s="4">
        <f t="shared" si="46"/>
        <v>1.3958204100934464E-2</v>
      </c>
      <c r="O115" s="3">
        <f t="shared" si="47"/>
        <v>6.2142569999999893</v>
      </c>
      <c r="P115" s="3">
        <f t="shared" si="48"/>
        <v>-0.22749899999999457</v>
      </c>
      <c r="Q115">
        <f t="shared" si="49"/>
        <v>1</v>
      </c>
      <c r="R115" s="3">
        <f t="shared" si="50"/>
        <v>6.2142569999999893</v>
      </c>
      <c r="S115" s="3">
        <f t="shared" si="51"/>
        <v>-0.22749899999999457</v>
      </c>
      <c r="T115">
        <f t="shared" si="52"/>
        <v>1</v>
      </c>
      <c r="U115" s="3">
        <f t="shared" si="53"/>
        <v>6.2142569999999893</v>
      </c>
      <c r="V115" s="3">
        <f t="shared" si="54"/>
        <v>-0.22749899999999457</v>
      </c>
      <c r="W115">
        <f t="shared" si="55"/>
        <v>1</v>
      </c>
      <c r="X115" s="3">
        <f t="shared" si="56"/>
        <v>6.2142569999999893</v>
      </c>
      <c r="Y115" s="3">
        <f t="shared" si="57"/>
        <v>-0.22749899999999457</v>
      </c>
      <c r="Z115">
        <f t="shared" si="58"/>
        <v>1</v>
      </c>
      <c r="AA115" s="3">
        <f t="shared" si="59"/>
        <v>6.2142569999999893</v>
      </c>
      <c r="AB115" s="3">
        <f t="shared" si="60"/>
        <v>-0.22749899999999457</v>
      </c>
      <c r="AC115">
        <f t="shared" si="61"/>
        <v>1</v>
      </c>
      <c r="AD115" s="3">
        <f t="shared" si="62"/>
        <v>6.2142569999999893</v>
      </c>
      <c r="AE115" s="3">
        <f t="shared" si="63"/>
        <v>-0.22749899999999457</v>
      </c>
      <c r="AF115">
        <f t="shared" si="64"/>
        <v>1</v>
      </c>
      <c r="AG115" s="3">
        <f t="shared" si="65"/>
        <v>6.2142569999999893</v>
      </c>
      <c r="AH115" s="3">
        <f t="shared" si="66"/>
        <v>-0.22749899999999457</v>
      </c>
      <c r="AI115">
        <f t="shared" si="67"/>
        <v>1</v>
      </c>
      <c r="AJ115" s="3">
        <f t="shared" si="68"/>
        <v>6.2142569999999893</v>
      </c>
      <c r="AK115" s="3">
        <f t="shared" si="69"/>
        <v>-0.22749899999999457</v>
      </c>
      <c r="AL115">
        <f t="shared" si="70"/>
        <v>1</v>
      </c>
      <c r="AM115" s="3">
        <f t="shared" si="71"/>
        <v>6.2142569999999893</v>
      </c>
      <c r="AN115" s="3">
        <f t="shared" si="72"/>
        <v>-0.22749899999999457</v>
      </c>
      <c r="AO115">
        <f t="shared" si="73"/>
        <v>1</v>
      </c>
      <c r="AP115" s="3">
        <f t="shared" si="74"/>
        <v>6.2142569999999893</v>
      </c>
      <c r="AQ115" s="3">
        <f t="shared" si="75"/>
        <v>-0.22749899999999457</v>
      </c>
      <c r="AR115">
        <f t="shared" si="76"/>
        <v>1</v>
      </c>
    </row>
    <row r="116" spans="4:44" x14ac:dyDescent="0.25">
      <c r="D116" s="1">
        <v>42577</v>
      </c>
      <c r="E116" s="2">
        <v>95.658010000000004</v>
      </c>
      <c r="F116" s="3">
        <v>214.396942</v>
      </c>
      <c r="G116" s="2">
        <f t="shared" si="41"/>
        <v>-0.66298399999999447</v>
      </c>
      <c r="H116" s="2">
        <f t="shared" si="42"/>
        <v>9.8919999999992569E-2</v>
      </c>
      <c r="I116" s="4">
        <f t="shared" si="39"/>
        <v>-0.72536326963548747</v>
      </c>
      <c r="J116" s="4">
        <f t="shared" si="40"/>
        <v>-2.3009389806906422E-3</v>
      </c>
      <c r="K116" s="4">
        <f t="shared" si="43"/>
        <v>1.1150781684757747</v>
      </c>
      <c r="L116" s="4">
        <f t="shared" si="44"/>
        <v>1.0559726172944897</v>
      </c>
      <c r="M116" s="4">
        <f t="shared" si="45"/>
        <v>1</v>
      </c>
      <c r="N116" s="4">
        <f t="shared" si="46"/>
        <v>1</v>
      </c>
      <c r="O116" s="3">
        <f t="shared" si="47"/>
        <v>-0.66298399999999447</v>
      </c>
      <c r="P116" s="3">
        <f t="shared" si="48"/>
        <v>9.8919999999992569E-2</v>
      </c>
      <c r="Q116">
        <f t="shared" si="49"/>
        <v>1</v>
      </c>
      <c r="R116" s="3">
        <f t="shared" si="50"/>
        <v>-0.66298399999999447</v>
      </c>
      <c r="S116" s="3">
        <f t="shared" si="51"/>
        <v>9.8919999999992569E-2</v>
      </c>
      <c r="T116">
        <f t="shared" si="52"/>
        <v>1</v>
      </c>
      <c r="U116" s="3">
        <f t="shared" si="53"/>
        <v>0</v>
      </c>
      <c r="V116" s="3">
        <f t="shared" si="54"/>
        <v>0</v>
      </c>
      <c r="W116">
        <f t="shared" si="55"/>
        <v>0</v>
      </c>
      <c r="X116" s="3">
        <f t="shared" si="56"/>
        <v>0</v>
      </c>
      <c r="Y116" s="3">
        <f t="shared" si="57"/>
        <v>0</v>
      </c>
      <c r="Z116">
        <f t="shared" si="58"/>
        <v>0</v>
      </c>
      <c r="AA116" s="3">
        <f t="shared" si="59"/>
        <v>0</v>
      </c>
      <c r="AB116" s="3">
        <f t="shared" si="60"/>
        <v>0</v>
      </c>
      <c r="AC116">
        <f t="shared" si="61"/>
        <v>0</v>
      </c>
      <c r="AD116" s="3">
        <f t="shared" si="62"/>
        <v>0</v>
      </c>
      <c r="AE116" s="3">
        <f t="shared" si="63"/>
        <v>0</v>
      </c>
      <c r="AF116">
        <f t="shared" si="64"/>
        <v>0</v>
      </c>
      <c r="AG116" s="3">
        <f t="shared" si="65"/>
        <v>0</v>
      </c>
      <c r="AH116" s="3">
        <f t="shared" si="66"/>
        <v>0</v>
      </c>
      <c r="AI116">
        <f t="shared" si="67"/>
        <v>0</v>
      </c>
      <c r="AJ116" s="3">
        <f t="shared" si="68"/>
        <v>0</v>
      </c>
      <c r="AK116" s="3">
        <f t="shared" si="69"/>
        <v>0</v>
      </c>
      <c r="AL116">
        <f t="shared" si="70"/>
        <v>0</v>
      </c>
      <c r="AM116" s="3">
        <f t="shared" si="71"/>
        <v>0</v>
      </c>
      <c r="AN116" s="3">
        <f t="shared" si="72"/>
        <v>0</v>
      </c>
      <c r="AO116">
        <f t="shared" si="73"/>
        <v>0</v>
      </c>
      <c r="AP116" s="3">
        <f t="shared" si="74"/>
        <v>0</v>
      </c>
      <c r="AQ116" s="3">
        <f t="shared" si="75"/>
        <v>0</v>
      </c>
      <c r="AR116">
        <f t="shared" si="76"/>
        <v>0</v>
      </c>
    </row>
    <row r="117" spans="4:44" x14ac:dyDescent="0.25">
      <c r="D117" s="1">
        <v>42576</v>
      </c>
      <c r="E117" s="2">
        <v>96.320993999999999</v>
      </c>
      <c r="F117" s="3">
        <v>214.298022</v>
      </c>
      <c r="G117" s="2">
        <f t="shared" si="41"/>
        <v>-1.3061890000000034</v>
      </c>
      <c r="H117" s="2">
        <f t="shared" si="42"/>
        <v>-0.58360600000000318</v>
      </c>
      <c r="I117" s="4">
        <f t="shared" si="39"/>
        <v>-1.3685682696354964</v>
      </c>
      <c r="J117" s="4">
        <f t="shared" si="40"/>
        <v>-0.68482693898068636</v>
      </c>
      <c r="K117" s="4">
        <f t="shared" si="43"/>
        <v>2.4415137128951336</v>
      </c>
      <c r="L117" s="4">
        <f t="shared" si="44"/>
        <v>1.5625343877480373</v>
      </c>
      <c r="M117" s="4">
        <f t="shared" si="45"/>
        <v>1</v>
      </c>
      <c r="N117" s="4">
        <f t="shared" si="46"/>
        <v>0.49149836581382395</v>
      </c>
      <c r="O117" s="3">
        <f t="shared" si="47"/>
        <v>-1.3061890000000034</v>
      </c>
      <c r="P117" s="3">
        <f t="shared" si="48"/>
        <v>-0.58360600000000318</v>
      </c>
      <c r="Q117">
        <f t="shared" si="49"/>
        <v>1</v>
      </c>
      <c r="R117" s="3">
        <f t="shared" si="50"/>
        <v>-1.3061890000000034</v>
      </c>
      <c r="S117" s="3">
        <f t="shared" si="51"/>
        <v>-0.58360600000000318</v>
      </c>
      <c r="T117">
        <f t="shared" si="52"/>
        <v>1</v>
      </c>
      <c r="U117" s="3">
        <f t="shared" si="53"/>
        <v>-1.3061890000000034</v>
      </c>
      <c r="V117" s="3">
        <f t="shared" si="54"/>
        <v>-0.58360600000000318</v>
      </c>
      <c r="W117">
        <f t="shared" si="55"/>
        <v>1</v>
      </c>
      <c r="X117" s="3">
        <f t="shared" si="56"/>
        <v>0</v>
      </c>
      <c r="Y117" s="3">
        <f t="shared" si="57"/>
        <v>0</v>
      </c>
      <c r="Z117">
        <f t="shared" si="58"/>
        <v>0</v>
      </c>
      <c r="AA117" s="3">
        <f t="shared" si="59"/>
        <v>0</v>
      </c>
      <c r="AB117" s="3">
        <f t="shared" si="60"/>
        <v>0</v>
      </c>
      <c r="AC117">
        <f t="shared" si="61"/>
        <v>0</v>
      </c>
      <c r="AD117" s="3">
        <f t="shared" si="62"/>
        <v>0</v>
      </c>
      <c r="AE117" s="3">
        <f t="shared" si="63"/>
        <v>0</v>
      </c>
      <c r="AF117">
        <f t="shared" si="64"/>
        <v>0</v>
      </c>
      <c r="AG117" s="3">
        <f t="shared" si="65"/>
        <v>0</v>
      </c>
      <c r="AH117" s="3">
        <f t="shared" si="66"/>
        <v>0</v>
      </c>
      <c r="AI117">
        <f t="shared" si="67"/>
        <v>0</v>
      </c>
      <c r="AJ117" s="3">
        <f t="shared" si="68"/>
        <v>0</v>
      </c>
      <c r="AK117" s="3">
        <f t="shared" si="69"/>
        <v>0</v>
      </c>
      <c r="AL117">
        <f t="shared" si="70"/>
        <v>0</v>
      </c>
      <c r="AM117" s="3">
        <f t="shared" si="71"/>
        <v>0</v>
      </c>
      <c r="AN117" s="3">
        <f t="shared" si="72"/>
        <v>0</v>
      </c>
      <c r="AO117">
        <f t="shared" si="73"/>
        <v>0</v>
      </c>
      <c r="AP117" s="3">
        <f t="shared" si="74"/>
        <v>0</v>
      </c>
      <c r="AQ117" s="3">
        <f t="shared" si="75"/>
        <v>0</v>
      </c>
      <c r="AR117">
        <f t="shared" si="76"/>
        <v>0</v>
      </c>
    </row>
    <row r="118" spans="4:44" x14ac:dyDescent="0.25">
      <c r="D118" s="1">
        <v>42573</v>
      </c>
      <c r="E118" s="2">
        <v>97.627183000000002</v>
      </c>
      <c r="F118" s="3">
        <v>214.88162800000001</v>
      </c>
      <c r="G118" s="2">
        <f t="shared" si="41"/>
        <v>-0.76193599999999151</v>
      </c>
      <c r="H118" s="2">
        <f t="shared" si="42"/>
        <v>0.95947100000000773</v>
      </c>
      <c r="I118" s="4">
        <f t="shared" si="39"/>
        <v>-0.82431526963548452</v>
      </c>
      <c r="J118" s="4">
        <f t="shared" si="40"/>
        <v>0.85825006101932455</v>
      </c>
      <c r="K118" s="4">
        <f t="shared" si="43"/>
        <v>4.6785484131387456</v>
      </c>
      <c r="L118" s="4">
        <f t="shared" si="44"/>
        <v>2.1629952411271609</v>
      </c>
      <c r="M118" s="4">
        <f t="shared" si="45"/>
        <v>0.92464373567358282</v>
      </c>
      <c r="N118" s="4">
        <f t="shared" si="46"/>
        <v>0.25648981137611948</v>
      </c>
      <c r="O118" s="3">
        <f t="shared" si="47"/>
        <v>-0.76193599999999151</v>
      </c>
      <c r="P118" s="3">
        <f t="shared" si="48"/>
        <v>0.95947100000000773</v>
      </c>
      <c r="Q118">
        <f t="shared" si="49"/>
        <v>1</v>
      </c>
      <c r="R118" s="3">
        <f t="shared" si="50"/>
        <v>-0.76193599999999151</v>
      </c>
      <c r="S118" s="3">
        <f t="shared" si="51"/>
        <v>0.95947100000000773</v>
      </c>
      <c r="T118">
        <f t="shared" si="52"/>
        <v>1</v>
      </c>
      <c r="U118" s="3">
        <f t="shared" si="53"/>
        <v>-0.76193599999999151</v>
      </c>
      <c r="V118" s="3">
        <f t="shared" si="54"/>
        <v>0.95947100000000773</v>
      </c>
      <c r="W118">
        <f t="shared" si="55"/>
        <v>1</v>
      </c>
      <c r="X118" s="3">
        <f t="shared" si="56"/>
        <v>-0.76193599999999151</v>
      </c>
      <c r="Y118" s="3">
        <f t="shared" si="57"/>
        <v>0.95947100000000773</v>
      </c>
      <c r="Z118">
        <f t="shared" si="58"/>
        <v>1</v>
      </c>
      <c r="AA118" s="3">
        <f t="shared" si="59"/>
        <v>-0.76193599999999151</v>
      </c>
      <c r="AB118" s="3">
        <f t="shared" si="60"/>
        <v>0.95947100000000773</v>
      </c>
      <c r="AC118">
        <f t="shared" si="61"/>
        <v>1</v>
      </c>
      <c r="AD118" s="3">
        <f t="shared" si="62"/>
        <v>0</v>
      </c>
      <c r="AE118" s="3">
        <f t="shared" si="63"/>
        <v>0</v>
      </c>
      <c r="AF118">
        <f t="shared" si="64"/>
        <v>0</v>
      </c>
      <c r="AG118" s="3">
        <f t="shared" si="65"/>
        <v>0</v>
      </c>
      <c r="AH118" s="3">
        <f t="shared" si="66"/>
        <v>0</v>
      </c>
      <c r="AI118">
        <f t="shared" si="67"/>
        <v>0</v>
      </c>
      <c r="AJ118" s="3">
        <f t="shared" si="68"/>
        <v>0</v>
      </c>
      <c r="AK118" s="3">
        <f t="shared" si="69"/>
        <v>0</v>
      </c>
      <c r="AL118">
        <f t="shared" si="70"/>
        <v>0</v>
      </c>
      <c r="AM118" s="3">
        <f t="shared" si="71"/>
        <v>0</v>
      </c>
      <c r="AN118" s="3">
        <f t="shared" si="72"/>
        <v>0</v>
      </c>
      <c r="AO118">
        <f t="shared" si="73"/>
        <v>0</v>
      </c>
      <c r="AP118" s="3">
        <f t="shared" si="74"/>
        <v>0</v>
      </c>
      <c r="AQ118" s="3">
        <f t="shared" si="75"/>
        <v>0</v>
      </c>
      <c r="AR118">
        <f t="shared" si="76"/>
        <v>0</v>
      </c>
    </row>
    <row r="119" spans="4:44" x14ac:dyDescent="0.25">
      <c r="D119" s="1">
        <v>42572</v>
      </c>
      <c r="E119" s="2">
        <v>98.389118999999994</v>
      </c>
      <c r="F119" s="3">
        <v>213.922157</v>
      </c>
      <c r="G119" s="2">
        <f t="shared" si="41"/>
        <v>-0.52445100000001332</v>
      </c>
      <c r="H119" s="2">
        <f t="shared" si="42"/>
        <v>-0.81109000000000719</v>
      </c>
      <c r="I119" s="4">
        <f t="shared" si="39"/>
        <v>-0.58683026963550633</v>
      </c>
      <c r="J119" s="4">
        <f t="shared" si="40"/>
        <v>-0.91231093898069038</v>
      </c>
      <c r="K119" s="4">
        <f t="shared" si="43"/>
        <v>0.92129657393202069</v>
      </c>
      <c r="L119" s="4">
        <f t="shared" si="44"/>
        <v>0.95984195257970506</v>
      </c>
      <c r="M119" s="4">
        <f t="shared" si="45"/>
        <v>1</v>
      </c>
      <c r="N119" s="4">
        <f t="shared" si="46"/>
        <v>1</v>
      </c>
      <c r="O119" s="3">
        <f t="shared" si="47"/>
        <v>-0.52445100000001332</v>
      </c>
      <c r="P119" s="3">
        <f t="shared" si="48"/>
        <v>-0.81109000000000719</v>
      </c>
      <c r="Q119">
        <f t="shared" si="49"/>
        <v>1</v>
      </c>
      <c r="R119" s="3">
        <f t="shared" si="50"/>
        <v>0</v>
      </c>
      <c r="S119" s="3">
        <f t="shared" si="51"/>
        <v>0</v>
      </c>
      <c r="T119">
        <f t="shared" si="52"/>
        <v>0</v>
      </c>
      <c r="U119" s="3">
        <f t="shared" si="53"/>
        <v>0</v>
      </c>
      <c r="V119" s="3">
        <f t="shared" si="54"/>
        <v>0</v>
      </c>
      <c r="W119">
        <f t="shared" si="55"/>
        <v>0</v>
      </c>
      <c r="X119" s="3">
        <f t="shared" si="56"/>
        <v>0</v>
      </c>
      <c r="Y119" s="3">
        <f t="shared" si="57"/>
        <v>0</v>
      </c>
      <c r="Z119">
        <f t="shared" si="58"/>
        <v>0</v>
      </c>
      <c r="AA119" s="3">
        <f t="shared" si="59"/>
        <v>0</v>
      </c>
      <c r="AB119" s="3">
        <f t="shared" si="60"/>
        <v>0</v>
      </c>
      <c r="AC119">
        <f t="shared" si="61"/>
        <v>0</v>
      </c>
      <c r="AD119" s="3">
        <f t="shared" si="62"/>
        <v>0</v>
      </c>
      <c r="AE119" s="3">
        <f t="shared" si="63"/>
        <v>0</v>
      </c>
      <c r="AF119">
        <f t="shared" si="64"/>
        <v>0</v>
      </c>
      <c r="AG119" s="3">
        <f t="shared" si="65"/>
        <v>0</v>
      </c>
      <c r="AH119" s="3">
        <f t="shared" si="66"/>
        <v>0</v>
      </c>
      <c r="AI119">
        <f t="shared" si="67"/>
        <v>0</v>
      </c>
      <c r="AJ119" s="3">
        <f t="shared" si="68"/>
        <v>0</v>
      </c>
      <c r="AK119" s="3">
        <f t="shared" si="69"/>
        <v>0</v>
      </c>
      <c r="AL119">
        <f t="shared" si="70"/>
        <v>0</v>
      </c>
      <c r="AM119" s="3">
        <f t="shared" si="71"/>
        <v>0</v>
      </c>
      <c r="AN119" s="3">
        <f t="shared" si="72"/>
        <v>0</v>
      </c>
      <c r="AO119">
        <f t="shared" si="73"/>
        <v>0</v>
      </c>
      <c r="AP119" s="3">
        <f t="shared" si="74"/>
        <v>0</v>
      </c>
      <c r="AQ119" s="3">
        <f t="shared" si="75"/>
        <v>0</v>
      </c>
      <c r="AR119">
        <f t="shared" si="76"/>
        <v>0</v>
      </c>
    </row>
    <row r="120" spans="4:44" x14ac:dyDescent="0.25">
      <c r="D120" s="1">
        <v>42571</v>
      </c>
      <c r="E120" s="2">
        <v>98.913570000000007</v>
      </c>
      <c r="F120" s="3">
        <v>214.73324700000001</v>
      </c>
      <c r="G120" s="2">
        <f t="shared" si="41"/>
        <v>8.9055000000001883E-2</v>
      </c>
      <c r="H120" s="2">
        <f t="shared" si="42"/>
        <v>0.89022299999999177</v>
      </c>
      <c r="I120" s="4">
        <f t="shared" si="39"/>
        <v>2.6675730364508869E-2</v>
      </c>
      <c r="J120" s="4">
        <f t="shared" si="40"/>
        <v>0.78900206101930859</v>
      </c>
      <c r="K120" s="4">
        <f t="shared" si="43"/>
        <v>1.1272845694775393</v>
      </c>
      <c r="L120" s="4">
        <f t="shared" si="44"/>
        <v>1.0617365819625597</v>
      </c>
      <c r="M120" s="4">
        <f t="shared" si="45"/>
        <v>1</v>
      </c>
      <c r="N120" s="4">
        <f t="shared" si="46"/>
        <v>1</v>
      </c>
      <c r="O120" s="3">
        <f t="shared" si="47"/>
        <v>8.9055000000001883E-2</v>
      </c>
      <c r="P120" s="3">
        <f t="shared" si="48"/>
        <v>0.89022299999999177</v>
      </c>
      <c r="Q120">
        <f t="shared" si="49"/>
        <v>1</v>
      </c>
      <c r="R120" s="3">
        <f t="shared" si="50"/>
        <v>8.9055000000001883E-2</v>
      </c>
      <c r="S120" s="3">
        <f t="shared" si="51"/>
        <v>0.89022299999999177</v>
      </c>
      <c r="T120">
        <f t="shared" si="52"/>
        <v>1</v>
      </c>
      <c r="U120" s="3">
        <f t="shared" si="53"/>
        <v>0</v>
      </c>
      <c r="V120" s="3">
        <f t="shared" si="54"/>
        <v>0</v>
      </c>
      <c r="W120">
        <f t="shared" si="55"/>
        <v>0</v>
      </c>
      <c r="X120" s="3">
        <f t="shared" si="56"/>
        <v>0</v>
      </c>
      <c r="Y120" s="3">
        <f t="shared" si="57"/>
        <v>0</v>
      </c>
      <c r="Z120">
        <f t="shared" si="58"/>
        <v>0</v>
      </c>
      <c r="AA120" s="3">
        <f t="shared" si="59"/>
        <v>0</v>
      </c>
      <c r="AB120" s="3">
        <f t="shared" si="60"/>
        <v>0</v>
      </c>
      <c r="AC120">
        <f t="shared" si="61"/>
        <v>0</v>
      </c>
      <c r="AD120" s="3">
        <f t="shared" si="62"/>
        <v>0</v>
      </c>
      <c r="AE120" s="3">
        <f t="shared" si="63"/>
        <v>0</v>
      </c>
      <c r="AF120">
        <f t="shared" si="64"/>
        <v>0</v>
      </c>
      <c r="AG120" s="3">
        <f t="shared" si="65"/>
        <v>0</v>
      </c>
      <c r="AH120" s="3">
        <f t="shared" si="66"/>
        <v>0</v>
      </c>
      <c r="AI120">
        <f t="shared" si="67"/>
        <v>0</v>
      </c>
      <c r="AJ120" s="3">
        <f t="shared" si="68"/>
        <v>0</v>
      </c>
      <c r="AK120" s="3">
        <f t="shared" si="69"/>
        <v>0</v>
      </c>
      <c r="AL120">
        <f t="shared" si="70"/>
        <v>0</v>
      </c>
      <c r="AM120" s="3">
        <f t="shared" si="71"/>
        <v>0</v>
      </c>
      <c r="AN120" s="3">
        <f t="shared" si="72"/>
        <v>0</v>
      </c>
      <c r="AO120">
        <f t="shared" si="73"/>
        <v>0</v>
      </c>
      <c r="AP120" s="3">
        <f t="shared" si="74"/>
        <v>0</v>
      </c>
      <c r="AQ120" s="3">
        <f t="shared" si="75"/>
        <v>0</v>
      </c>
      <c r="AR120">
        <f t="shared" si="76"/>
        <v>0</v>
      </c>
    </row>
    <row r="121" spans="4:44" x14ac:dyDescent="0.25">
      <c r="D121" s="1">
        <v>42570</v>
      </c>
      <c r="E121" s="2">
        <v>98.824515000000005</v>
      </c>
      <c r="F121" s="3">
        <v>213.84302400000001</v>
      </c>
      <c r="G121" s="2">
        <f t="shared" si="41"/>
        <v>3.9582000000009998E-2</v>
      </c>
      <c r="H121" s="2">
        <f t="shared" si="42"/>
        <v>-0.21761300000000006</v>
      </c>
      <c r="I121" s="4">
        <f t="shared" si="39"/>
        <v>-2.2797269635483015E-2</v>
      </c>
      <c r="J121" s="4">
        <f t="shared" si="40"/>
        <v>-0.31883393898068324</v>
      </c>
      <c r="K121" s="4">
        <f t="shared" si="43"/>
        <v>0.17499346913189781</v>
      </c>
      <c r="L121" s="4">
        <f t="shared" si="44"/>
        <v>0.41832220731380948</v>
      </c>
      <c r="M121" s="4">
        <f t="shared" si="45"/>
        <v>1</v>
      </c>
      <c r="N121" s="4">
        <f t="shared" si="46"/>
        <v>1</v>
      </c>
      <c r="O121" s="3">
        <f t="shared" si="47"/>
        <v>3.9582000000009998E-2</v>
      </c>
      <c r="P121" s="3">
        <f t="shared" si="48"/>
        <v>-0.21761300000000006</v>
      </c>
      <c r="Q121">
        <f t="shared" si="49"/>
        <v>1</v>
      </c>
      <c r="R121" s="3">
        <f t="shared" si="50"/>
        <v>0</v>
      </c>
      <c r="S121" s="3">
        <f t="shared" si="51"/>
        <v>0</v>
      </c>
      <c r="T121">
        <f t="shared" si="52"/>
        <v>0</v>
      </c>
      <c r="U121" s="3">
        <f t="shared" si="53"/>
        <v>0</v>
      </c>
      <c r="V121" s="3">
        <f t="shared" si="54"/>
        <v>0</v>
      </c>
      <c r="W121">
        <f t="shared" si="55"/>
        <v>0</v>
      </c>
      <c r="X121" s="3">
        <f t="shared" si="56"/>
        <v>0</v>
      </c>
      <c r="Y121" s="3">
        <f t="shared" si="57"/>
        <v>0</v>
      </c>
      <c r="Z121">
        <f t="shared" si="58"/>
        <v>0</v>
      </c>
      <c r="AA121" s="3">
        <f t="shared" si="59"/>
        <v>0</v>
      </c>
      <c r="AB121" s="3">
        <f t="shared" si="60"/>
        <v>0</v>
      </c>
      <c r="AC121">
        <f t="shared" si="61"/>
        <v>0</v>
      </c>
      <c r="AD121" s="3">
        <f t="shared" si="62"/>
        <v>0</v>
      </c>
      <c r="AE121" s="3">
        <f t="shared" si="63"/>
        <v>0</v>
      </c>
      <c r="AF121">
        <f t="shared" si="64"/>
        <v>0</v>
      </c>
      <c r="AG121" s="3">
        <f t="shared" si="65"/>
        <v>0</v>
      </c>
      <c r="AH121" s="3">
        <f t="shared" si="66"/>
        <v>0</v>
      </c>
      <c r="AI121">
        <f t="shared" si="67"/>
        <v>0</v>
      </c>
      <c r="AJ121" s="3">
        <f t="shared" si="68"/>
        <v>0</v>
      </c>
      <c r="AK121" s="3">
        <f t="shared" si="69"/>
        <v>0</v>
      </c>
      <c r="AL121">
        <f t="shared" si="70"/>
        <v>0</v>
      </c>
      <c r="AM121" s="3">
        <f t="shared" si="71"/>
        <v>0</v>
      </c>
      <c r="AN121" s="3">
        <f t="shared" si="72"/>
        <v>0</v>
      </c>
      <c r="AO121">
        <f t="shared" si="73"/>
        <v>0</v>
      </c>
      <c r="AP121" s="3">
        <f t="shared" si="74"/>
        <v>0</v>
      </c>
      <c r="AQ121" s="3">
        <f t="shared" si="75"/>
        <v>0</v>
      </c>
      <c r="AR121">
        <f t="shared" si="76"/>
        <v>0</v>
      </c>
    </row>
    <row r="122" spans="4:44" x14ac:dyDescent="0.25">
      <c r="D122" s="1">
        <v>42569</v>
      </c>
      <c r="E122" s="2">
        <v>98.784932999999995</v>
      </c>
      <c r="F122" s="3">
        <v>214.06063700000001</v>
      </c>
      <c r="G122" s="2">
        <f t="shared" si="41"/>
        <v>1.0390110000000021</v>
      </c>
      <c r="H122" s="2">
        <f t="shared" si="42"/>
        <v>0.57370600000001559</v>
      </c>
      <c r="I122" s="4">
        <f t="shared" si="39"/>
        <v>0.97663173036450912</v>
      </c>
      <c r="J122" s="4">
        <f t="shared" si="40"/>
        <v>0.47248506101933241</v>
      </c>
      <c r="K122" s="4">
        <f t="shared" si="43"/>
        <v>1.2548859010138389</v>
      </c>
      <c r="L122" s="4">
        <f t="shared" si="44"/>
        <v>1.1202168990931349</v>
      </c>
      <c r="M122" s="4">
        <f t="shared" si="45"/>
        <v>1</v>
      </c>
      <c r="N122" s="4">
        <f t="shared" si="46"/>
        <v>1</v>
      </c>
      <c r="O122" s="3">
        <f t="shared" si="47"/>
        <v>1.0390110000000021</v>
      </c>
      <c r="P122" s="3">
        <f t="shared" si="48"/>
        <v>0.57370600000001559</v>
      </c>
      <c r="Q122">
        <f t="shared" si="49"/>
        <v>1</v>
      </c>
      <c r="R122" s="3">
        <f t="shared" si="50"/>
        <v>1.0390110000000021</v>
      </c>
      <c r="S122" s="3">
        <f t="shared" si="51"/>
        <v>0.57370600000001559</v>
      </c>
      <c r="T122">
        <f t="shared" si="52"/>
        <v>1</v>
      </c>
      <c r="U122" s="3">
        <f t="shared" si="53"/>
        <v>0</v>
      </c>
      <c r="V122" s="3">
        <f t="shared" si="54"/>
        <v>0</v>
      </c>
      <c r="W122">
        <f t="shared" si="55"/>
        <v>0</v>
      </c>
      <c r="X122" s="3">
        <f t="shared" si="56"/>
        <v>0</v>
      </c>
      <c r="Y122" s="3">
        <f t="shared" si="57"/>
        <v>0</v>
      </c>
      <c r="Z122">
        <f t="shared" si="58"/>
        <v>0</v>
      </c>
      <c r="AA122" s="3">
        <f t="shared" si="59"/>
        <v>0</v>
      </c>
      <c r="AB122" s="3">
        <f t="shared" si="60"/>
        <v>0</v>
      </c>
      <c r="AC122">
        <f t="shared" si="61"/>
        <v>0</v>
      </c>
      <c r="AD122" s="3">
        <f t="shared" si="62"/>
        <v>0</v>
      </c>
      <c r="AE122" s="3">
        <f t="shared" si="63"/>
        <v>0</v>
      </c>
      <c r="AF122">
        <f t="shared" si="64"/>
        <v>0</v>
      </c>
      <c r="AG122" s="3">
        <f t="shared" si="65"/>
        <v>0</v>
      </c>
      <c r="AH122" s="3">
        <f t="shared" si="66"/>
        <v>0</v>
      </c>
      <c r="AI122">
        <f t="shared" si="67"/>
        <v>0</v>
      </c>
      <c r="AJ122" s="3">
        <f t="shared" si="68"/>
        <v>0</v>
      </c>
      <c r="AK122" s="3">
        <f t="shared" si="69"/>
        <v>0</v>
      </c>
      <c r="AL122">
        <f t="shared" si="70"/>
        <v>0</v>
      </c>
      <c r="AM122" s="3">
        <f t="shared" si="71"/>
        <v>0</v>
      </c>
      <c r="AN122" s="3">
        <f t="shared" si="72"/>
        <v>0</v>
      </c>
      <c r="AO122">
        <f t="shared" si="73"/>
        <v>0</v>
      </c>
      <c r="AP122" s="3">
        <f t="shared" si="74"/>
        <v>0</v>
      </c>
      <c r="AQ122" s="3">
        <f t="shared" si="75"/>
        <v>0</v>
      </c>
      <c r="AR122">
        <f t="shared" si="76"/>
        <v>0</v>
      </c>
    </row>
    <row r="123" spans="4:44" x14ac:dyDescent="0.25">
      <c r="D123" s="1">
        <v>42566</v>
      </c>
      <c r="E123" s="2">
        <v>97.745921999999993</v>
      </c>
      <c r="F123" s="3">
        <v>213.486931</v>
      </c>
      <c r="G123" s="2">
        <f t="shared" si="41"/>
        <v>-9.8970000000093705E-3</v>
      </c>
      <c r="H123" s="2">
        <f t="shared" si="42"/>
        <v>-0.28684599999999705</v>
      </c>
      <c r="I123" s="4">
        <f t="shared" si="39"/>
        <v>-7.2276269635502377E-2</v>
      </c>
      <c r="J123" s="4">
        <f t="shared" si="40"/>
        <v>-0.38806693898068023</v>
      </c>
      <c r="K123" s="4">
        <f t="shared" si="43"/>
        <v>0.22386815365091306</v>
      </c>
      <c r="L123" s="4">
        <f t="shared" si="44"/>
        <v>0.47314707401706824</v>
      </c>
      <c r="M123" s="4">
        <f t="shared" si="45"/>
        <v>1</v>
      </c>
      <c r="N123" s="4">
        <f t="shared" si="46"/>
        <v>1</v>
      </c>
      <c r="O123" s="3">
        <f t="shared" si="47"/>
        <v>-9.8970000000093705E-3</v>
      </c>
      <c r="P123" s="3">
        <f t="shared" si="48"/>
        <v>-0.28684599999999705</v>
      </c>
      <c r="Q123">
        <f t="shared" si="49"/>
        <v>1</v>
      </c>
      <c r="R123" s="3">
        <f t="shared" si="50"/>
        <v>0</v>
      </c>
      <c r="S123" s="3">
        <f t="shared" si="51"/>
        <v>0</v>
      </c>
      <c r="T123">
        <f t="shared" si="52"/>
        <v>0</v>
      </c>
      <c r="U123" s="3">
        <f t="shared" si="53"/>
        <v>0</v>
      </c>
      <c r="V123" s="3">
        <f t="shared" si="54"/>
        <v>0</v>
      </c>
      <c r="W123">
        <f t="shared" si="55"/>
        <v>0</v>
      </c>
      <c r="X123" s="3">
        <f t="shared" si="56"/>
        <v>0</v>
      </c>
      <c r="Y123" s="3">
        <f t="shared" si="57"/>
        <v>0</v>
      </c>
      <c r="Z123">
        <f t="shared" si="58"/>
        <v>0</v>
      </c>
      <c r="AA123" s="3">
        <f t="shared" si="59"/>
        <v>0</v>
      </c>
      <c r="AB123" s="3">
        <f t="shared" si="60"/>
        <v>0</v>
      </c>
      <c r="AC123">
        <f t="shared" si="61"/>
        <v>0</v>
      </c>
      <c r="AD123" s="3">
        <f t="shared" si="62"/>
        <v>0</v>
      </c>
      <c r="AE123" s="3">
        <f t="shared" si="63"/>
        <v>0</v>
      </c>
      <c r="AF123">
        <f t="shared" si="64"/>
        <v>0</v>
      </c>
      <c r="AG123" s="3">
        <f t="shared" si="65"/>
        <v>0</v>
      </c>
      <c r="AH123" s="3">
        <f t="shared" si="66"/>
        <v>0</v>
      </c>
      <c r="AI123">
        <f t="shared" si="67"/>
        <v>0</v>
      </c>
      <c r="AJ123" s="3">
        <f t="shared" si="68"/>
        <v>0</v>
      </c>
      <c r="AK123" s="3">
        <f t="shared" si="69"/>
        <v>0</v>
      </c>
      <c r="AL123">
        <f t="shared" si="70"/>
        <v>0</v>
      </c>
      <c r="AM123" s="3">
        <f t="shared" si="71"/>
        <v>0</v>
      </c>
      <c r="AN123" s="3">
        <f t="shared" si="72"/>
        <v>0</v>
      </c>
      <c r="AO123">
        <f t="shared" si="73"/>
        <v>0</v>
      </c>
      <c r="AP123" s="3">
        <f t="shared" si="74"/>
        <v>0</v>
      </c>
      <c r="AQ123" s="3">
        <f t="shared" si="75"/>
        <v>0</v>
      </c>
      <c r="AR123">
        <f t="shared" si="76"/>
        <v>0</v>
      </c>
    </row>
    <row r="124" spans="4:44" x14ac:dyDescent="0.25">
      <c r="D124" s="1">
        <v>42565</v>
      </c>
      <c r="E124" s="2">
        <v>97.755819000000002</v>
      </c>
      <c r="F124" s="3">
        <v>213.773777</v>
      </c>
      <c r="G124" s="2">
        <f t="shared" si="41"/>
        <v>1.8998980000000074</v>
      </c>
      <c r="H124" s="2">
        <f t="shared" si="42"/>
        <v>1.1869700000000023</v>
      </c>
      <c r="I124" s="4">
        <f t="shared" si="39"/>
        <v>1.8375187303645144</v>
      </c>
      <c r="J124" s="4">
        <f t="shared" si="40"/>
        <v>1.085749061019319</v>
      </c>
      <c r="K124" s="4">
        <f t="shared" si="43"/>
        <v>4.2406141323942137</v>
      </c>
      <c r="L124" s="4">
        <f t="shared" si="44"/>
        <v>2.0592751473259261</v>
      </c>
      <c r="M124" s="4">
        <f t="shared" si="45"/>
        <v>0.97121552823919721</v>
      </c>
      <c r="N124" s="4">
        <f t="shared" si="46"/>
        <v>0.28297788068788293</v>
      </c>
      <c r="O124" s="3">
        <f t="shared" si="47"/>
        <v>1.8998980000000074</v>
      </c>
      <c r="P124" s="3">
        <f t="shared" si="48"/>
        <v>1.1869700000000023</v>
      </c>
      <c r="Q124">
        <f t="shared" si="49"/>
        <v>1</v>
      </c>
      <c r="R124" s="3">
        <f t="shared" si="50"/>
        <v>1.8998980000000074</v>
      </c>
      <c r="S124" s="3">
        <f t="shared" si="51"/>
        <v>1.1869700000000023</v>
      </c>
      <c r="T124">
        <f t="shared" si="52"/>
        <v>1</v>
      </c>
      <c r="U124" s="3">
        <f t="shared" si="53"/>
        <v>1.8998980000000074</v>
      </c>
      <c r="V124" s="3">
        <f t="shared" si="54"/>
        <v>1.1869700000000023</v>
      </c>
      <c r="W124">
        <f t="shared" si="55"/>
        <v>1</v>
      </c>
      <c r="X124" s="3">
        <f t="shared" si="56"/>
        <v>1.8998980000000074</v>
      </c>
      <c r="Y124" s="3">
        <f t="shared" si="57"/>
        <v>1.1869700000000023</v>
      </c>
      <c r="Z124">
        <f t="shared" si="58"/>
        <v>1</v>
      </c>
      <c r="AA124" s="3">
        <f t="shared" si="59"/>
        <v>1.8998980000000074</v>
      </c>
      <c r="AB124" s="3">
        <f t="shared" si="60"/>
        <v>1.1869700000000023</v>
      </c>
      <c r="AC124">
        <f t="shared" si="61"/>
        <v>1</v>
      </c>
      <c r="AD124" s="3">
        <f t="shared" si="62"/>
        <v>0</v>
      </c>
      <c r="AE124" s="3">
        <f t="shared" si="63"/>
        <v>0</v>
      </c>
      <c r="AF124">
        <f t="shared" si="64"/>
        <v>0</v>
      </c>
      <c r="AG124" s="3">
        <f t="shared" si="65"/>
        <v>0</v>
      </c>
      <c r="AH124" s="3">
        <f t="shared" si="66"/>
        <v>0</v>
      </c>
      <c r="AI124">
        <f t="shared" si="67"/>
        <v>0</v>
      </c>
      <c r="AJ124" s="3">
        <f t="shared" si="68"/>
        <v>0</v>
      </c>
      <c r="AK124" s="3">
        <f t="shared" si="69"/>
        <v>0</v>
      </c>
      <c r="AL124">
        <f t="shared" si="70"/>
        <v>0</v>
      </c>
      <c r="AM124" s="3">
        <f t="shared" si="71"/>
        <v>0</v>
      </c>
      <c r="AN124" s="3">
        <f t="shared" si="72"/>
        <v>0</v>
      </c>
      <c r="AO124">
        <f t="shared" si="73"/>
        <v>0</v>
      </c>
      <c r="AP124" s="3">
        <f t="shared" si="74"/>
        <v>0</v>
      </c>
      <c r="AQ124" s="3">
        <f t="shared" si="75"/>
        <v>0</v>
      </c>
      <c r="AR124">
        <f t="shared" si="76"/>
        <v>0</v>
      </c>
    </row>
    <row r="125" spans="4:44" x14ac:dyDescent="0.25">
      <c r="D125" s="1">
        <v>42564</v>
      </c>
      <c r="E125" s="2">
        <v>95.855920999999995</v>
      </c>
      <c r="F125" s="3">
        <v>212.58680699999999</v>
      </c>
      <c r="G125" s="2">
        <f t="shared" si="41"/>
        <v>-0.5442380000000071</v>
      </c>
      <c r="H125" s="2">
        <f t="shared" si="42"/>
        <v>-2.9673000000002503E-2</v>
      </c>
      <c r="I125" s="4">
        <f t="shared" si="39"/>
        <v>-0.60661726963550011</v>
      </c>
      <c r="J125" s="4">
        <f t="shared" si="40"/>
        <v>-0.13089393898068571</v>
      </c>
      <c r="K125" s="4">
        <f t="shared" si="43"/>
        <v>0.60929532768705996</v>
      </c>
      <c r="L125" s="4">
        <f t="shared" si="44"/>
        <v>0.78057371701016165</v>
      </c>
      <c r="M125" s="4">
        <f t="shared" si="45"/>
        <v>1</v>
      </c>
      <c r="N125" s="4">
        <f t="shared" si="46"/>
        <v>1</v>
      </c>
      <c r="O125" s="3">
        <f t="shared" si="47"/>
        <v>-0.5442380000000071</v>
      </c>
      <c r="P125" s="3">
        <f t="shared" si="48"/>
        <v>-2.9673000000002503E-2</v>
      </c>
      <c r="Q125">
        <f t="shared" si="49"/>
        <v>1</v>
      </c>
      <c r="R125" s="3">
        <f t="shared" si="50"/>
        <v>0</v>
      </c>
      <c r="S125" s="3">
        <f t="shared" si="51"/>
        <v>0</v>
      </c>
      <c r="T125">
        <f t="shared" si="52"/>
        <v>0</v>
      </c>
      <c r="U125" s="3">
        <f t="shared" si="53"/>
        <v>0</v>
      </c>
      <c r="V125" s="3">
        <f t="shared" si="54"/>
        <v>0</v>
      </c>
      <c r="W125">
        <f t="shared" si="55"/>
        <v>0</v>
      </c>
      <c r="X125" s="3">
        <f t="shared" si="56"/>
        <v>0</v>
      </c>
      <c r="Y125" s="3">
        <f t="shared" si="57"/>
        <v>0</v>
      </c>
      <c r="Z125">
        <f t="shared" si="58"/>
        <v>0</v>
      </c>
      <c r="AA125" s="3">
        <f t="shared" si="59"/>
        <v>0</v>
      </c>
      <c r="AB125" s="3">
        <f t="shared" si="60"/>
        <v>0</v>
      </c>
      <c r="AC125">
        <f t="shared" si="61"/>
        <v>0</v>
      </c>
      <c r="AD125" s="3">
        <f t="shared" si="62"/>
        <v>0</v>
      </c>
      <c r="AE125" s="3">
        <f t="shared" si="63"/>
        <v>0</v>
      </c>
      <c r="AF125">
        <f t="shared" si="64"/>
        <v>0</v>
      </c>
      <c r="AG125" s="3">
        <f t="shared" si="65"/>
        <v>0</v>
      </c>
      <c r="AH125" s="3">
        <f t="shared" si="66"/>
        <v>0</v>
      </c>
      <c r="AI125">
        <f t="shared" si="67"/>
        <v>0</v>
      </c>
      <c r="AJ125" s="3">
        <f t="shared" si="68"/>
        <v>0</v>
      </c>
      <c r="AK125" s="3">
        <f t="shared" si="69"/>
        <v>0</v>
      </c>
      <c r="AL125">
        <f t="shared" si="70"/>
        <v>0</v>
      </c>
      <c r="AM125" s="3">
        <f t="shared" si="71"/>
        <v>0</v>
      </c>
      <c r="AN125" s="3">
        <f t="shared" si="72"/>
        <v>0</v>
      </c>
      <c r="AO125">
        <f t="shared" si="73"/>
        <v>0</v>
      </c>
      <c r="AP125" s="3">
        <f t="shared" si="74"/>
        <v>0</v>
      </c>
      <c r="AQ125" s="3">
        <f t="shared" si="75"/>
        <v>0</v>
      </c>
      <c r="AR125">
        <f t="shared" si="76"/>
        <v>0</v>
      </c>
    </row>
    <row r="126" spans="4:44" x14ac:dyDescent="0.25">
      <c r="D126" s="1">
        <v>42563</v>
      </c>
      <c r="E126" s="2">
        <v>96.400159000000002</v>
      </c>
      <c r="F126" s="3">
        <v>212.61648</v>
      </c>
      <c r="G126" s="2">
        <f t="shared" si="41"/>
        <v>0.43538900000000069</v>
      </c>
      <c r="H126" s="2">
        <f t="shared" si="42"/>
        <v>1.5331759999999974</v>
      </c>
      <c r="I126" s="4">
        <f t="shared" si="39"/>
        <v>0.37300973036450769</v>
      </c>
      <c r="J126" s="4">
        <f t="shared" si="40"/>
        <v>1.4319550610193141</v>
      </c>
      <c r="K126" s="4">
        <f t="shared" si="43"/>
        <v>2.7977293797258644</v>
      </c>
      <c r="L126" s="4">
        <f t="shared" si="44"/>
        <v>1.6726414378837637</v>
      </c>
      <c r="M126" s="4">
        <f t="shared" si="45"/>
        <v>1</v>
      </c>
      <c r="N126" s="4">
        <f t="shared" si="46"/>
        <v>0.42891925455548596</v>
      </c>
      <c r="O126" s="3">
        <f t="shared" si="47"/>
        <v>0.43538900000000069</v>
      </c>
      <c r="P126" s="3">
        <f t="shared" si="48"/>
        <v>1.5331759999999974</v>
      </c>
      <c r="Q126">
        <f t="shared" si="49"/>
        <v>1</v>
      </c>
      <c r="R126" s="3">
        <f t="shared" si="50"/>
        <v>0.43538900000000069</v>
      </c>
      <c r="S126" s="3">
        <f t="shared" si="51"/>
        <v>1.5331759999999974</v>
      </c>
      <c r="T126">
        <f t="shared" si="52"/>
        <v>1</v>
      </c>
      <c r="U126" s="3">
        <f t="shared" si="53"/>
        <v>0.43538900000000069</v>
      </c>
      <c r="V126" s="3">
        <f t="shared" si="54"/>
        <v>1.5331759999999974</v>
      </c>
      <c r="W126">
        <f t="shared" si="55"/>
        <v>1</v>
      </c>
      <c r="X126" s="3">
        <f t="shared" si="56"/>
        <v>0</v>
      </c>
      <c r="Y126" s="3">
        <f t="shared" si="57"/>
        <v>0</v>
      </c>
      <c r="Z126">
        <f t="shared" si="58"/>
        <v>0</v>
      </c>
      <c r="AA126" s="3">
        <f t="shared" si="59"/>
        <v>0</v>
      </c>
      <c r="AB126" s="3">
        <f t="shared" si="60"/>
        <v>0</v>
      </c>
      <c r="AC126">
        <f t="shared" si="61"/>
        <v>0</v>
      </c>
      <c r="AD126" s="3">
        <f t="shared" si="62"/>
        <v>0</v>
      </c>
      <c r="AE126" s="3">
        <f t="shared" si="63"/>
        <v>0</v>
      </c>
      <c r="AF126">
        <f t="shared" si="64"/>
        <v>0</v>
      </c>
      <c r="AG126" s="3">
        <f t="shared" si="65"/>
        <v>0</v>
      </c>
      <c r="AH126" s="3">
        <f t="shared" si="66"/>
        <v>0</v>
      </c>
      <c r="AI126">
        <f t="shared" si="67"/>
        <v>0</v>
      </c>
      <c r="AJ126" s="3">
        <f t="shared" si="68"/>
        <v>0</v>
      </c>
      <c r="AK126" s="3">
        <f t="shared" si="69"/>
        <v>0</v>
      </c>
      <c r="AL126">
        <f t="shared" si="70"/>
        <v>0</v>
      </c>
      <c r="AM126" s="3">
        <f t="shared" si="71"/>
        <v>0</v>
      </c>
      <c r="AN126" s="3">
        <f t="shared" si="72"/>
        <v>0</v>
      </c>
      <c r="AO126">
        <f t="shared" si="73"/>
        <v>0</v>
      </c>
      <c r="AP126" s="3">
        <f t="shared" si="74"/>
        <v>0</v>
      </c>
      <c r="AQ126" s="3">
        <f t="shared" si="75"/>
        <v>0</v>
      </c>
      <c r="AR126">
        <f t="shared" si="76"/>
        <v>0</v>
      </c>
    </row>
    <row r="127" spans="4:44" x14ac:dyDescent="0.25">
      <c r="D127" s="1">
        <v>42562</v>
      </c>
      <c r="E127" s="2">
        <v>95.964770000000001</v>
      </c>
      <c r="F127" s="3">
        <v>211.083304</v>
      </c>
      <c r="G127" s="2">
        <f t="shared" si="41"/>
        <v>0.29686300000000188</v>
      </c>
      <c r="H127" s="2">
        <f t="shared" si="42"/>
        <v>0.74185800000000768</v>
      </c>
      <c r="I127" s="4">
        <f t="shared" si="39"/>
        <v>0.23448373036450887</v>
      </c>
      <c r="J127" s="4">
        <f t="shared" si="40"/>
        <v>0.64063706101932449</v>
      </c>
      <c r="K127" s="4">
        <f t="shared" si="43"/>
        <v>0.5052965377563311</v>
      </c>
      <c r="L127" s="4">
        <f t="shared" si="44"/>
        <v>0.71084213279484998</v>
      </c>
      <c r="M127" s="4">
        <f t="shared" si="45"/>
        <v>1</v>
      </c>
      <c r="N127" s="4">
        <f t="shared" si="46"/>
        <v>1</v>
      </c>
      <c r="O127" s="3">
        <f t="shared" si="47"/>
        <v>0.29686300000000188</v>
      </c>
      <c r="P127" s="3">
        <f t="shared" si="48"/>
        <v>0.74185800000000768</v>
      </c>
      <c r="Q127">
        <f t="shared" si="49"/>
        <v>1</v>
      </c>
      <c r="R127" s="3">
        <f t="shared" si="50"/>
        <v>0</v>
      </c>
      <c r="S127" s="3">
        <f t="shared" si="51"/>
        <v>0</v>
      </c>
      <c r="T127">
        <f t="shared" si="52"/>
        <v>0</v>
      </c>
      <c r="U127" s="3">
        <f t="shared" si="53"/>
        <v>0</v>
      </c>
      <c r="V127" s="3">
        <f t="shared" si="54"/>
        <v>0</v>
      </c>
      <c r="W127">
        <f t="shared" si="55"/>
        <v>0</v>
      </c>
      <c r="X127" s="3">
        <f t="shared" si="56"/>
        <v>0</v>
      </c>
      <c r="Y127" s="3">
        <f t="shared" si="57"/>
        <v>0</v>
      </c>
      <c r="Z127">
        <f t="shared" si="58"/>
        <v>0</v>
      </c>
      <c r="AA127" s="3">
        <f t="shared" si="59"/>
        <v>0</v>
      </c>
      <c r="AB127" s="3">
        <f t="shared" si="60"/>
        <v>0</v>
      </c>
      <c r="AC127">
        <f t="shared" si="61"/>
        <v>0</v>
      </c>
      <c r="AD127" s="3">
        <f t="shared" si="62"/>
        <v>0</v>
      </c>
      <c r="AE127" s="3">
        <f t="shared" si="63"/>
        <v>0</v>
      </c>
      <c r="AF127">
        <f t="shared" si="64"/>
        <v>0</v>
      </c>
      <c r="AG127" s="3">
        <f t="shared" si="65"/>
        <v>0</v>
      </c>
      <c r="AH127" s="3">
        <f t="shared" si="66"/>
        <v>0</v>
      </c>
      <c r="AI127">
        <f t="shared" si="67"/>
        <v>0</v>
      </c>
      <c r="AJ127" s="3">
        <f t="shared" si="68"/>
        <v>0</v>
      </c>
      <c r="AK127" s="3">
        <f t="shared" si="69"/>
        <v>0</v>
      </c>
      <c r="AL127">
        <f t="shared" si="70"/>
        <v>0</v>
      </c>
      <c r="AM127" s="3">
        <f t="shared" si="71"/>
        <v>0</v>
      </c>
      <c r="AN127" s="3">
        <f t="shared" si="72"/>
        <v>0</v>
      </c>
      <c r="AO127">
        <f t="shared" si="73"/>
        <v>0</v>
      </c>
      <c r="AP127" s="3">
        <f t="shared" si="74"/>
        <v>0</v>
      </c>
      <c r="AQ127" s="3">
        <f t="shared" si="75"/>
        <v>0</v>
      </c>
      <c r="AR127">
        <f t="shared" si="76"/>
        <v>0</v>
      </c>
    </row>
    <row r="128" spans="4:44" x14ac:dyDescent="0.25">
      <c r="D128" s="1">
        <v>42559</v>
      </c>
      <c r="E128" s="2">
        <v>95.667907</v>
      </c>
      <c r="F128" s="3">
        <v>210.34144599999999</v>
      </c>
      <c r="G128" s="2">
        <f t="shared" si="41"/>
        <v>0.73225100000000509</v>
      </c>
      <c r="H128" s="2">
        <f t="shared" si="42"/>
        <v>3.0861239999999839</v>
      </c>
      <c r="I128" s="4">
        <f t="shared" si="39"/>
        <v>0.66987173036451209</v>
      </c>
      <c r="J128" s="4">
        <f t="shared" si="40"/>
        <v>2.9849030610193008</v>
      </c>
      <c r="K128" s="4">
        <f t="shared" si="43"/>
        <v>12.65903147393081</v>
      </c>
      <c r="L128" s="4">
        <f t="shared" si="44"/>
        <v>3.5579532703410832</v>
      </c>
      <c r="M128" s="4">
        <f t="shared" si="45"/>
        <v>0.56212092965691762</v>
      </c>
      <c r="N128" s="4">
        <f t="shared" si="46"/>
        <v>9.479398186750719E-2</v>
      </c>
      <c r="O128" s="3">
        <f t="shared" si="47"/>
        <v>0.73225100000000509</v>
      </c>
      <c r="P128" s="3">
        <f t="shared" si="48"/>
        <v>3.0861239999999839</v>
      </c>
      <c r="Q128">
        <f t="shared" si="49"/>
        <v>1</v>
      </c>
      <c r="R128" s="3">
        <f t="shared" si="50"/>
        <v>0.73225100000000509</v>
      </c>
      <c r="S128" s="3">
        <f t="shared" si="51"/>
        <v>3.0861239999999839</v>
      </c>
      <c r="T128">
        <f t="shared" si="52"/>
        <v>1</v>
      </c>
      <c r="U128" s="3">
        <f t="shared" si="53"/>
        <v>0.73225100000000509</v>
      </c>
      <c r="V128" s="3">
        <f t="shared" si="54"/>
        <v>3.0861239999999839</v>
      </c>
      <c r="W128">
        <f t="shared" si="55"/>
        <v>1</v>
      </c>
      <c r="X128" s="3">
        <f t="shared" si="56"/>
        <v>0.73225100000000509</v>
      </c>
      <c r="Y128" s="3">
        <f t="shared" si="57"/>
        <v>3.0861239999999839</v>
      </c>
      <c r="Z128">
        <f t="shared" si="58"/>
        <v>1</v>
      </c>
      <c r="AA128" s="3">
        <f t="shared" si="59"/>
        <v>0.73225100000000509</v>
      </c>
      <c r="AB128" s="3">
        <f t="shared" si="60"/>
        <v>3.0861239999999839</v>
      </c>
      <c r="AC128">
        <f t="shared" si="61"/>
        <v>1</v>
      </c>
      <c r="AD128" s="3">
        <f t="shared" si="62"/>
        <v>0.73225100000000509</v>
      </c>
      <c r="AE128" s="3">
        <f t="shared" si="63"/>
        <v>3.0861239999999839</v>
      </c>
      <c r="AF128">
        <f t="shared" si="64"/>
        <v>1</v>
      </c>
      <c r="AG128" s="3">
        <f t="shared" si="65"/>
        <v>0.73225100000000509</v>
      </c>
      <c r="AH128" s="3">
        <f t="shared" si="66"/>
        <v>3.0861239999999839</v>
      </c>
      <c r="AI128">
        <f t="shared" si="67"/>
        <v>1</v>
      </c>
      <c r="AJ128" s="3">
        <f t="shared" si="68"/>
        <v>0.73225100000000509</v>
      </c>
      <c r="AK128" s="3">
        <f t="shared" si="69"/>
        <v>3.0861239999999839</v>
      </c>
      <c r="AL128">
        <f t="shared" si="70"/>
        <v>1</v>
      </c>
      <c r="AM128" s="3">
        <f t="shared" si="71"/>
        <v>0.73225100000000509</v>
      </c>
      <c r="AN128" s="3">
        <f t="shared" si="72"/>
        <v>3.0861239999999839</v>
      </c>
      <c r="AO128">
        <f t="shared" si="73"/>
        <v>1</v>
      </c>
      <c r="AP128" s="3">
        <f t="shared" si="74"/>
        <v>0.73225100000000509</v>
      </c>
      <c r="AQ128" s="3">
        <f t="shared" si="75"/>
        <v>3.0861239999999839</v>
      </c>
      <c r="AR128">
        <f t="shared" si="76"/>
        <v>1</v>
      </c>
    </row>
    <row r="129" spans="4:44" x14ac:dyDescent="0.25">
      <c r="D129" s="1">
        <v>42558</v>
      </c>
      <c r="E129" s="2">
        <v>94.935655999999994</v>
      </c>
      <c r="F129" s="3">
        <v>207.25532200000001</v>
      </c>
      <c r="G129" s="2">
        <f t="shared" si="41"/>
        <v>0.4057109999999966</v>
      </c>
      <c r="H129" s="2">
        <f t="shared" si="42"/>
        <v>-0.12859299999999507</v>
      </c>
      <c r="I129" s="4">
        <f t="shared" si="39"/>
        <v>0.3433317303645036</v>
      </c>
      <c r="J129" s="4">
        <f t="shared" si="40"/>
        <v>-0.22981393898067828</v>
      </c>
      <c r="K129" s="4">
        <f t="shared" si="43"/>
        <v>0.55571846886224441</v>
      </c>
      <c r="L129" s="4">
        <f t="shared" si="44"/>
        <v>0.74546527005773011</v>
      </c>
      <c r="M129" s="4">
        <f t="shared" si="45"/>
        <v>1</v>
      </c>
      <c r="N129" s="4">
        <f t="shared" si="46"/>
        <v>1</v>
      </c>
      <c r="O129" s="3">
        <f t="shared" si="47"/>
        <v>0.4057109999999966</v>
      </c>
      <c r="P129" s="3">
        <f t="shared" si="48"/>
        <v>-0.12859299999999507</v>
      </c>
      <c r="Q129">
        <f t="shared" si="49"/>
        <v>1</v>
      </c>
      <c r="R129" s="3">
        <f t="shared" si="50"/>
        <v>0</v>
      </c>
      <c r="S129" s="3">
        <f t="shared" si="51"/>
        <v>0</v>
      </c>
      <c r="T129">
        <f t="shared" si="52"/>
        <v>0</v>
      </c>
      <c r="U129" s="3">
        <f t="shared" si="53"/>
        <v>0</v>
      </c>
      <c r="V129" s="3">
        <f t="shared" si="54"/>
        <v>0</v>
      </c>
      <c r="W129">
        <f t="shared" si="55"/>
        <v>0</v>
      </c>
      <c r="X129" s="3">
        <f t="shared" si="56"/>
        <v>0</v>
      </c>
      <c r="Y129" s="3">
        <f t="shared" si="57"/>
        <v>0</v>
      </c>
      <c r="Z129">
        <f t="shared" si="58"/>
        <v>0</v>
      </c>
      <c r="AA129" s="3">
        <f t="shared" si="59"/>
        <v>0</v>
      </c>
      <c r="AB129" s="3">
        <f t="shared" si="60"/>
        <v>0</v>
      </c>
      <c r="AC129">
        <f t="shared" si="61"/>
        <v>0</v>
      </c>
      <c r="AD129" s="3">
        <f t="shared" si="62"/>
        <v>0</v>
      </c>
      <c r="AE129" s="3">
        <f t="shared" si="63"/>
        <v>0</v>
      </c>
      <c r="AF129">
        <f t="shared" si="64"/>
        <v>0</v>
      </c>
      <c r="AG129" s="3">
        <f t="shared" si="65"/>
        <v>0</v>
      </c>
      <c r="AH129" s="3">
        <f t="shared" si="66"/>
        <v>0</v>
      </c>
      <c r="AI129">
        <f t="shared" si="67"/>
        <v>0</v>
      </c>
      <c r="AJ129" s="3">
        <f t="shared" si="68"/>
        <v>0</v>
      </c>
      <c r="AK129" s="3">
        <f t="shared" si="69"/>
        <v>0</v>
      </c>
      <c r="AL129">
        <f t="shared" si="70"/>
        <v>0</v>
      </c>
      <c r="AM129" s="3">
        <f t="shared" si="71"/>
        <v>0</v>
      </c>
      <c r="AN129" s="3">
        <f t="shared" si="72"/>
        <v>0</v>
      </c>
      <c r="AO129">
        <f t="shared" si="73"/>
        <v>0</v>
      </c>
      <c r="AP129" s="3">
        <f t="shared" si="74"/>
        <v>0</v>
      </c>
      <c r="AQ129" s="3">
        <f t="shared" si="75"/>
        <v>0</v>
      </c>
      <c r="AR129">
        <f t="shared" si="76"/>
        <v>0</v>
      </c>
    </row>
    <row r="130" spans="4:44" x14ac:dyDescent="0.25">
      <c r="D130" s="1">
        <v>42557</v>
      </c>
      <c r="E130" s="2">
        <v>94.529944999999998</v>
      </c>
      <c r="F130" s="3">
        <v>207.383915</v>
      </c>
      <c r="G130" s="2">
        <f t="shared" si="41"/>
        <v>0.53434799999999427</v>
      </c>
      <c r="H130" s="2">
        <f t="shared" si="42"/>
        <v>1.2364300000000128</v>
      </c>
      <c r="I130" s="4">
        <f t="shared" ref="I130:I193" si="77">G130-$A$14</f>
        <v>0.47196873036450127</v>
      </c>
      <c r="J130" s="4">
        <f t="shared" ref="J130:J193" si="78">H130-$B$14</f>
        <v>1.1352090610193295</v>
      </c>
      <c r="K130" s="4">
        <f t="shared" si="43"/>
        <v>1.5268691336724001</v>
      </c>
      <c r="L130" s="4">
        <f t="shared" si="44"/>
        <v>1.2356654618756648</v>
      </c>
      <c r="M130" s="4">
        <f t="shared" si="45"/>
        <v>1</v>
      </c>
      <c r="N130" s="4">
        <f t="shared" si="46"/>
        <v>1</v>
      </c>
      <c r="O130" s="3">
        <f t="shared" si="47"/>
        <v>0.53434799999999427</v>
      </c>
      <c r="P130" s="3">
        <f t="shared" si="48"/>
        <v>1.2364300000000128</v>
      </c>
      <c r="Q130">
        <f t="shared" si="49"/>
        <v>1</v>
      </c>
      <c r="R130" s="3">
        <f t="shared" si="50"/>
        <v>0.53434799999999427</v>
      </c>
      <c r="S130" s="3">
        <f t="shared" si="51"/>
        <v>1.2364300000000128</v>
      </c>
      <c r="T130">
        <f t="shared" si="52"/>
        <v>1</v>
      </c>
      <c r="U130" s="3">
        <f t="shared" si="53"/>
        <v>0</v>
      </c>
      <c r="V130" s="3">
        <f t="shared" si="54"/>
        <v>0</v>
      </c>
      <c r="W130">
        <f t="shared" si="55"/>
        <v>0</v>
      </c>
      <c r="X130" s="3">
        <f t="shared" si="56"/>
        <v>0</v>
      </c>
      <c r="Y130" s="3">
        <f t="shared" si="57"/>
        <v>0</v>
      </c>
      <c r="Z130">
        <f t="shared" si="58"/>
        <v>0</v>
      </c>
      <c r="AA130" s="3">
        <f t="shared" si="59"/>
        <v>0</v>
      </c>
      <c r="AB130" s="3">
        <f t="shared" si="60"/>
        <v>0</v>
      </c>
      <c r="AC130">
        <f t="shared" si="61"/>
        <v>0</v>
      </c>
      <c r="AD130" s="3">
        <f t="shared" si="62"/>
        <v>0</v>
      </c>
      <c r="AE130" s="3">
        <f t="shared" si="63"/>
        <v>0</v>
      </c>
      <c r="AF130">
        <f t="shared" si="64"/>
        <v>0</v>
      </c>
      <c r="AG130" s="3">
        <f t="shared" si="65"/>
        <v>0</v>
      </c>
      <c r="AH130" s="3">
        <f t="shared" si="66"/>
        <v>0</v>
      </c>
      <c r="AI130">
        <f t="shared" si="67"/>
        <v>0</v>
      </c>
      <c r="AJ130" s="3">
        <f t="shared" si="68"/>
        <v>0</v>
      </c>
      <c r="AK130" s="3">
        <f t="shared" si="69"/>
        <v>0</v>
      </c>
      <c r="AL130">
        <f t="shared" si="70"/>
        <v>0</v>
      </c>
      <c r="AM130" s="3">
        <f t="shared" si="71"/>
        <v>0</v>
      </c>
      <c r="AN130" s="3">
        <f t="shared" si="72"/>
        <v>0</v>
      </c>
      <c r="AO130">
        <f t="shared" si="73"/>
        <v>0</v>
      </c>
      <c r="AP130" s="3">
        <f t="shared" si="74"/>
        <v>0</v>
      </c>
      <c r="AQ130" s="3">
        <f t="shared" si="75"/>
        <v>0</v>
      </c>
      <c r="AR130">
        <f t="shared" si="76"/>
        <v>0</v>
      </c>
    </row>
    <row r="131" spans="4:44" x14ac:dyDescent="0.25">
      <c r="D131" s="1">
        <v>42556</v>
      </c>
      <c r="E131" s="2">
        <v>93.995597000000004</v>
      </c>
      <c r="F131" s="3">
        <v>206.14748499999999</v>
      </c>
      <c r="G131" s="2">
        <f t="shared" ref="G131:G194" si="79">E131-E132</f>
        <v>-0.89057999999999993</v>
      </c>
      <c r="H131" s="2">
        <f t="shared" ref="H131:H194" si="80">F131-F132</f>
        <v>-1.4936020000000099</v>
      </c>
      <c r="I131" s="4">
        <f t="shared" si="77"/>
        <v>-0.95295926963549293</v>
      </c>
      <c r="J131" s="4">
        <f t="shared" si="78"/>
        <v>-1.5948229389806932</v>
      </c>
      <c r="K131" s="4">
        <f t="shared" ref="K131:K194" si="81">SUMPRODUCT(MMULT(I131:J131,$A$19:$B$20),I131:J131)</f>
        <v>2.8102424109531405</v>
      </c>
      <c r="L131" s="4">
        <f t="shared" ref="L131:L194" si="82">SQRT(K131)</f>
        <v>1.6763777649900813</v>
      </c>
      <c r="M131" s="4">
        <f t="shared" ref="M131:M194" si="83">IF(L131&lt;$B$12,1,$B$12/L131)</f>
        <v>1</v>
      </c>
      <c r="N131" s="4">
        <f t="shared" ref="N131:N194" si="84">IF(K131&lt;$B$12,1,$B$21/K131)</f>
        <v>0.42700942641919631</v>
      </c>
      <c r="O131" s="3">
        <f t="shared" ref="O131:O194" si="85">IF($K131&gt;P$1,$G131,0)</f>
        <v>-0.89057999999999993</v>
      </c>
      <c r="P131" s="3">
        <f t="shared" ref="P131:P194" si="86">IF($K131&gt;P$1,$H131,0)</f>
        <v>-1.4936020000000099</v>
      </c>
      <c r="Q131">
        <f t="shared" ref="Q131:Q194" si="87">IF($K131&gt;P$1,1,0)</f>
        <v>1</v>
      </c>
      <c r="R131" s="3">
        <f t="shared" ref="R131:R194" si="88">IF($K131&gt;S$1,$G131,0)</f>
        <v>-0.89057999999999993</v>
      </c>
      <c r="S131" s="3">
        <f t="shared" ref="S131:S194" si="89">IF($K131&gt;S$1,$H131,0)</f>
        <v>-1.4936020000000099</v>
      </c>
      <c r="T131">
        <f t="shared" ref="T131:T194" si="90">IF($K131&gt;S$1,1,0)</f>
        <v>1</v>
      </c>
      <c r="U131" s="3">
        <f t="shared" ref="U131:U194" si="91">IF($K131&gt;V$1,$G131,0)</f>
        <v>-0.89057999999999993</v>
      </c>
      <c r="V131" s="3">
        <f t="shared" ref="V131:V194" si="92">IF($K131&gt;V$1,$H131,0)</f>
        <v>-1.4936020000000099</v>
      </c>
      <c r="W131">
        <f t="shared" ref="W131:W194" si="93">IF($K131&gt;V$1,1,0)</f>
        <v>1</v>
      </c>
      <c r="X131" s="3">
        <f t="shared" ref="X131:X194" si="94">IF($K131&gt;Y$1,$G131,0)</f>
        <v>0</v>
      </c>
      <c r="Y131" s="3">
        <f t="shared" ref="Y131:Y194" si="95">IF($K131&gt;Y$1,$H131,0)</f>
        <v>0</v>
      </c>
      <c r="Z131">
        <f t="shared" ref="Z131:Z194" si="96">IF($K131&gt;Y$1,1,0)</f>
        <v>0</v>
      </c>
      <c r="AA131" s="3">
        <f t="shared" ref="AA131:AA194" si="97">IF($K131&gt;AB$1,$G131,0)</f>
        <v>0</v>
      </c>
      <c r="AB131" s="3">
        <f t="shared" ref="AB131:AB194" si="98">IF($K131&gt;AB$1,$H131,0)</f>
        <v>0</v>
      </c>
      <c r="AC131">
        <f t="shared" ref="AC131:AC194" si="99">IF($K131&gt;AB$1,1,0)</f>
        <v>0</v>
      </c>
      <c r="AD131" s="3">
        <f t="shared" ref="AD131:AD194" si="100">IF($K131&gt;AE$1,$G131,0)</f>
        <v>0</v>
      </c>
      <c r="AE131" s="3">
        <f t="shared" ref="AE131:AE194" si="101">IF($K131&gt;AE$1,$H131,0)</f>
        <v>0</v>
      </c>
      <c r="AF131">
        <f t="shared" ref="AF131:AF194" si="102">IF($K131&gt;AE$1,1,0)</f>
        <v>0</v>
      </c>
      <c r="AG131" s="3">
        <f t="shared" ref="AG131:AG194" si="103">IF($K131&gt;AH$1,$G131,0)</f>
        <v>0</v>
      </c>
      <c r="AH131" s="3">
        <f t="shared" ref="AH131:AH194" si="104">IF($K131&gt;AH$1,$H131,0)</f>
        <v>0</v>
      </c>
      <c r="AI131">
        <f t="shared" ref="AI131:AI194" si="105">IF($K131&gt;AH$1,1,0)</f>
        <v>0</v>
      </c>
      <c r="AJ131" s="3">
        <f t="shared" ref="AJ131:AJ194" si="106">IF($K131&gt;AK$1,$G131,0)</f>
        <v>0</v>
      </c>
      <c r="AK131" s="3">
        <f t="shared" ref="AK131:AK194" si="107">IF($K131&gt;AK$1,$H131,0)</f>
        <v>0</v>
      </c>
      <c r="AL131">
        <f t="shared" ref="AL131:AL194" si="108">IF($K131&gt;AK$1,1,0)</f>
        <v>0</v>
      </c>
      <c r="AM131" s="3">
        <f t="shared" ref="AM131:AM194" si="109">IF($K131&gt;AN$1,$G131,0)</f>
        <v>0</v>
      </c>
      <c r="AN131" s="3">
        <f t="shared" ref="AN131:AN194" si="110">IF($K131&gt;AN$1,$H131,0)</f>
        <v>0</v>
      </c>
      <c r="AO131">
        <f t="shared" ref="AO131:AO194" si="111">IF($K131&gt;AN$1,1,0)</f>
        <v>0</v>
      </c>
      <c r="AP131" s="3">
        <f t="shared" ref="AP131:AP194" si="112">IF($K131&gt;AQ$1,$G131,0)</f>
        <v>0</v>
      </c>
      <c r="AQ131" s="3">
        <f t="shared" ref="AQ131:AQ194" si="113">IF($K131&gt;AQ$1,$H131,0)</f>
        <v>0</v>
      </c>
      <c r="AR131">
        <f t="shared" ref="AR131:AR194" si="114">IF($K131&gt;AQ$1,1,0)</f>
        <v>0</v>
      </c>
    </row>
    <row r="132" spans="4:44" x14ac:dyDescent="0.25">
      <c r="D132" s="1">
        <v>42552</v>
      </c>
      <c r="E132" s="2">
        <v>94.886177000000004</v>
      </c>
      <c r="F132" s="3">
        <v>207.641087</v>
      </c>
      <c r="G132" s="2">
        <f t="shared" si="79"/>
        <v>0.28696500000000924</v>
      </c>
      <c r="H132" s="2">
        <f t="shared" si="80"/>
        <v>0.43522500000000264</v>
      </c>
      <c r="I132" s="4">
        <f t="shared" si="77"/>
        <v>0.22458573036451623</v>
      </c>
      <c r="J132" s="4">
        <f t="shared" si="78"/>
        <v>0.33400406101931945</v>
      </c>
      <c r="K132" s="4">
        <f t="shared" si="81"/>
        <v>0.12414830777066581</v>
      </c>
      <c r="L132" s="4">
        <f t="shared" si="82"/>
        <v>0.35234685718857461</v>
      </c>
      <c r="M132" s="4">
        <f t="shared" si="83"/>
        <v>1</v>
      </c>
      <c r="N132" s="4">
        <f t="shared" si="84"/>
        <v>1</v>
      </c>
      <c r="O132" s="3">
        <f t="shared" si="85"/>
        <v>0.28696500000000924</v>
      </c>
      <c r="P132" s="3">
        <f t="shared" si="86"/>
        <v>0.43522500000000264</v>
      </c>
      <c r="Q132">
        <f t="shared" si="87"/>
        <v>1</v>
      </c>
      <c r="R132" s="3">
        <f t="shared" si="88"/>
        <v>0</v>
      </c>
      <c r="S132" s="3">
        <f t="shared" si="89"/>
        <v>0</v>
      </c>
      <c r="T132">
        <f t="shared" si="90"/>
        <v>0</v>
      </c>
      <c r="U132" s="3">
        <f t="shared" si="91"/>
        <v>0</v>
      </c>
      <c r="V132" s="3">
        <f t="shared" si="92"/>
        <v>0</v>
      </c>
      <c r="W132">
        <f t="shared" si="93"/>
        <v>0</v>
      </c>
      <c r="X132" s="3">
        <f t="shared" si="94"/>
        <v>0</v>
      </c>
      <c r="Y132" s="3">
        <f t="shared" si="95"/>
        <v>0</v>
      </c>
      <c r="Z132">
        <f t="shared" si="96"/>
        <v>0</v>
      </c>
      <c r="AA132" s="3">
        <f t="shared" si="97"/>
        <v>0</v>
      </c>
      <c r="AB132" s="3">
        <f t="shared" si="98"/>
        <v>0</v>
      </c>
      <c r="AC132">
        <f t="shared" si="99"/>
        <v>0</v>
      </c>
      <c r="AD132" s="3">
        <f t="shared" si="100"/>
        <v>0</v>
      </c>
      <c r="AE132" s="3">
        <f t="shared" si="101"/>
        <v>0</v>
      </c>
      <c r="AF132">
        <f t="shared" si="102"/>
        <v>0</v>
      </c>
      <c r="AG132" s="3">
        <f t="shared" si="103"/>
        <v>0</v>
      </c>
      <c r="AH132" s="3">
        <f t="shared" si="104"/>
        <v>0</v>
      </c>
      <c r="AI132">
        <f t="shared" si="105"/>
        <v>0</v>
      </c>
      <c r="AJ132" s="3">
        <f t="shared" si="106"/>
        <v>0</v>
      </c>
      <c r="AK132" s="3">
        <f t="shared" si="107"/>
        <v>0</v>
      </c>
      <c r="AL132">
        <f t="shared" si="108"/>
        <v>0</v>
      </c>
      <c r="AM132" s="3">
        <f t="shared" si="109"/>
        <v>0</v>
      </c>
      <c r="AN132" s="3">
        <f t="shared" si="110"/>
        <v>0</v>
      </c>
      <c r="AO132">
        <f t="shared" si="111"/>
        <v>0</v>
      </c>
      <c r="AP132" s="3">
        <f t="shared" si="112"/>
        <v>0</v>
      </c>
      <c r="AQ132" s="3">
        <f t="shared" si="113"/>
        <v>0</v>
      </c>
      <c r="AR132">
        <f t="shared" si="114"/>
        <v>0</v>
      </c>
    </row>
    <row r="133" spans="4:44" x14ac:dyDescent="0.25">
      <c r="D133" s="1">
        <v>42551</v>
      </c>
      <c r="E133" s="2">
        <v>94.599211999999994</v>
      </c>
      <c r="F133" s="3">
        <v>207.205862</v>
      </c>
      <c r="G133" s="2">
        <f t="shared" si="79"/>
        <v>1.1874349999999936</v>
      </c>
      <c r="H133" s="2">
        <f t="shared" si="80"/>
        <v>2.7893779999999992</v>
      </c>
      <c r="I133" s="4">
        <f t="shared" si="77"/>
        <v>1.1250557303645006</v>
      </c>
      <c r="J133" s="4">
        <f t="shared" si="78"/>
        <v>2.6881570610193162</v>
      </c>
      <c r="K133" s="4">
        <f t="shared" si="81"/>
        <v>8.5452747374905336</v>
      </c>
      <c r="L133" s="4">
        <f t="shared" si="82"/>
        <v>2.9232301889332173</v>
      </c>
      <c r="M133" s="4">
        <f t="shared" si="83"/>
        <v>0.68417465294782887</v>
      </c>
      <c r="N133" s="4">
        <f t="shared" si="84"/>
        <v>0.14042848672088459</v>
      </c>
      <c r="O133" s="3">
        <f t="shared" si="85"/>
        <v>1.1874349999999936</v>
      </c>
      <c r="P133" s="3">
        <f t="shared" si="86"/>
        <v>2.7893779999999992</v>
      </c>
      <c r="Q133">
        <f t="shared" si="87"/>
        <v>1</v>
      </c>
      <c r="R133" s="3">
        <f t="shared" si="88"/>
        <v>1.1874349999999936</v>
      </c>
      <c r="S133" s="3">
        <f t="shared" si="89"/>
        <v>2.7893779999999992</v>
      </c>
      <c r="T133">
        <f t="shared" si="90"/>
        <v>1</v>
      </c>
      <c r="U133" s="3">
        <f t="shared" si="91"/>
        <v>1.1874349999999936</v>
      </c>
      <c r="V133" s="3">
        <f t="shared" si="92"/>
        <v>2.7893779999999992</v>
      </c>
      <c r="W133">
        <f t="shared" si="93"/>
        <v>1</v>
      </c>
      <c r="X133" s="3">
        <f t="shared" si="94"/>
        <v>1.1874349999999936</v>
      </c>
      <c r="Y133" s="3">
        <f t="shared" si="95"/>
        <v>2.7893779999999992</v>
      </c>
      <c r="Z133">
        <f t="shared" si="96"/>
        <v>1</v>
      </c>
      <c r="AA133" s="3">
        <f t="shared" si="97"/>
        <v>1.1874349999999936</v>
      </c>
      <c r="AB133" s="3">
        <f t="shared" si="98"/>
        <v>2.7893779999999992</v>
      </c>
      <c r="AC133">
        <f t="shared" si="99"/>
        <v>1</v>
      </c>
      <c r="AD133" s="3">
        <f t="shared" si="100"/>
        <v>1.1874349999999936</v>
      </c>
      <c r="AE133" s="3">
        <f t="shared" si="101"/>
        <v>2.7893779999999992</v>
      </c>
      <c r="AF133">
        <f t="shared" si="102"/>
        <v>1</v>
      </c>
      <c r="AG133" s="3">
        <f t="shared" si="103"/>
        <v>1.1874349999999936</v>
      </c>
      <c r="AH133" s="3">
        <f t="shared" si="104"/>
        <v>2.7893779999999992</v>
      </c>
      <c r="AI133">
        <f t="shared" si="105"/>
        <v>1</v>
      </c>
      <c r="AJ133" s="3">
        <f t="shared" si="106"/>
        <v>1.1874349999999936</v>
      </c>
      <c r="AK133" s="3">
        <f t="shared" si="107"/>
        <v>2.7893779999999992</v>
      </c>
      <c r="AL133">
        <f t="shared" si="108"/>
        <v>1</v>
      </c>
      <c r="AM133" s="3">
        <f t="shared" si="109"/>
        <v>1.1874349999999936</v>
      </c>
      <c r="AN133" s="3">
        <f t="shared" si="110"/>
        <v>2.7893779999999992</v>
      </c>
      <c r="AO133">
        <f t="shared" si="111"/>
        <v>1</v>
      </c>
      <c r="AP133" s="3">
        <f t="shared" si="112"/>
        <v>0</v>
      </c>
      <c r="AQ133" s="3">
        <f t="shared" si="113"/>
        <v>0</v>
      </c>
      <c r="AR133">
        <f t="shared" si="114"/>
        <v>0</v>
      </c>
    </row>
    <row r="134" spans="4:44" x14ac:dyDescent="0.25">
      <c r="D134" s="1">
        <v>42550</v>
      </c>
      <c r="E134" s="2">
        <v>93.411777000000001</v>
      </c>
      <c r="F134" s="3">
        <v>204.416484</v>
      </c>
      <c r="G134" s="2">
        <f t="shared" si="79"/>
        <v>0.80152599999999552</v>
      </c>
      <c r="H134" s="2">
        <f t="shared" si="80"/>
        <v>3.4224450000000104</v>
      </c>
      <c r="I134" s="4">
        <f t="shared" si="77"/>
        <v>0.73914673036450251</v>
      </c>
      <c r="J134" s="4">
        <f t="shared" si="78"/>
        <v>3.3212240610193273</v>
      </c>
      <c r="K134" s="4">
        <f t="shared" si="81"/>
        <v>15.706306200293398</v>
      </c>
      <c r="L134" s="4">
        <f t="shared" si="82"/>
        <v>3.9631182420277846</v>
      </c>
      <c r="M134" s="4">
        <f t="shared" si="83"/>
        <v>0.50465312359105197</v>
      </c>
      <c r="N134" s="4">
        <f t="shared" si="84"/>
        <v>7.6402432545061655E-2</v>
      </c>
      <c r="O134" s="3">
        <f t="shared" si="85"/>
        <v>0.80152599999999552</v>
      </c>
      <c r="P134" s="3">
        <f t="shared" si="86"/>
        <v>3.4224450000000104</v>
      </c>
      <c r="Q134">
        <f t="shared" si="87"/>
        <v>1</v>
      </c>
      <c r="R134" s="3">
        <f t="shared" si="88"/>
        <v>0.80152599999999552</v>
      </c>
      <c r="S134" s="3">
        <f t="shared" si="89"/>
        <v>3.4224450000000104</v>
      </c>
      <c r="T134">
        <f t="shared" si="90"/>
        <v>1</v>
      </c>
      <c r="U134" s="3">
        <f t="shared" si="91"/>
        <v>0.80152599999999552</v>
      </c>
      <c r="V134" s="3">
        <f t="shared" si="92"/>
        <v>3.4224450000000104</v>
      </c>
      <c r="W134">
        <f t="shared" si="93"/>
        <v>1</v>
      </c>
      <c r="X134" s="3">
        <f t="shared" si="94"/>
        <v>0.80152599999999552</v>
      </c>
      <c r="Y134" s="3">
        <f t="shared" si="95"/>
        <v>3.4224450000000104</v>
      </c>
      <c r="Z134">
        <f t="shared" si="96"/>
        <v>1</v>
      </c>
      <c r="AA134" s="3">
        <f t="shared" si="97"/>
        <v>0.80152599999999552</v>
      </c>
      <c r="AB134" s="3">
        <f t="shared" si="98"/>
        <v>3.4224450000000104</v>
      </c>
      <c r="AC134">
        <f t="shared" si="99"/>
        <v>1</v>
      </c>
      <c r="AD134" s="3">
        <f t="shared" si="100"/>
        <v>0.80152599999999552</v>
      </c>
      <c r="AE134" s="3">
        <f t="shared" si="101"/>
        <v>3.4224450000000104</v>
      </c>
      <c r="AF134">
        <f t="shared" si="102"/>
        <v>1</v>
      </c>
      <c r="AG134" s="3">
        <f t="shared" si="103"/>
        <v>0.80152599999999552</v>
      </c>
      <c r="AH134" s="3">
        <f t="shared" si="104"/>
        <v>3.4224450000000104</v>
      </c>
      <c r="AI134">
        <f t="shared" si="105"/>
        <v>1</v>
      </c>
      <c r="AJ134" s="3">
        <f t="shared" si="106"/>
        <v>0.80152599999999552</v>
      </c>
      <c r="AK134" s="3">
        <f t="shared" si="107"/>
        <v>3.4224450000000104</v>
      </c>
      <c r="AL134">
        <f t="shared" si="108"/>
        <v>1</v>
      </c>
      <c r="AM134" s="3">
        <f t="shared" si="109"/>
        <v>0.80152599999999552</v>
      </c>
      <c r="AN134" s="3">
        <f t="shared" si="110"/>
        <v>3.4224450000000104</v>
      </c>
      <c r="AO134">
        <f t="shared" si="111"/>
        <v>1</v>
      </c>
      <c r="AP134" s="3">
        <f t="shared" si="112"/>
        <v>0.80152599999999552</v>
      </c>
      <c r="AQ134" s="3">
        <f t="shared" si="113"/>
        <v>3.4224450000000104</v>
      </c>
      <c r="AR134">
        <f t="shared" si="114"/>
        <v>1</v>
      </c>
    </row>
    <row r="135" spans="4:44" x14ac:dyDescent="0.25">
      <c r="D135" s="1">
        <v>42549</v>
      </c>
      <c r="E135" s="2">
        <v>92.610251000000005</v>
      </c>
      <c r="F135" s="3">
        <v>200.99403899999999</v>
      </c>
      <c r="G135" s="2">
        <f t="shared" si="79"/>
        <v>1.5337690000000066</v>
      </c>
      <c r="H135" s="2">
        <f t="shared" si="80"/>
        <v>3.560908999999981</v>
      </c>
      <c r="I135" s="4">
        <f t="shared" si="77"/>
        <v>1.4713897303645136</v>
      </c>
      <c r="J135" s="4">
        <f t="shared" si="78"/>
        <v>3.4596880610192979</v>
      </c>
      <c r="K135" s="4">
        <f t="shared" si="81"/>
        <v>14.089504581921592</v>
      </c>
      <c r="L135" s="4">
        <f t="shared" si="82"/>
        <v>3.7535988839940786</v>
      </c>
      <c r="M135" s="4">
        <f t="shared" si="83"/>
        <v>0.53282198279851023</v>
      </c>
      <c r="N135" s="4">
        <f t="shared" si="84"/>
        <v>8.5169779606000764E-2</v>
      </c>
      <c r="O135" s="3">
        <f t="shared" si="85"/>
        <v>1.5337690000000066</v>
      </c>
      <c r="P135" s="3">
        <f t="shared" si="86"/>
        <v>3.560908999999981</v>
      </c>
      <c r="Q135">
        <f t="shared" si="87"/>
        <v>1</v>
      </c>
      <c r="R135" s="3">
        <f t="shared" si="88"/>
        <v>1.5337690000000066</v>
      </c>
      <c r="S135" s="3">
        <f t="shared" si="89"/>
        <v>3.560908999999981</v>
      </c>
      <c r="T135">
        <f t="shared" si="90"/>
        <v>1</v>
      </c>
      <c r="U135" s="3">
        <f t="shared" si="91"/>
        <v>1.5337690000000066</v>
      </c>
      <c r="V135" s="3">
        <f t="shared" si="92"/>
        <v>3.560908999999981</v>
      </c>
      <c r="W135">
        <f t="shared" si="93"/>
        <v>1</v>
      </c>
      <c r="X135" s="3">
        <f t="shared" si="94"/>
        <v>1.5337690000000066</v>
      </c>
      <c r="Y135" s="3">
        <f t="shared" si="95"/>
        <v>3.560908999999981</v>
      </c>
      <c r="Z135">
        <f t="shared" si="96"/>
        <v>1</v>
      </c>
      <c r="AA135" s="3">
        <f t="shared" si="97"/>
        <v>1.5337690000000066</v>
      </c>
      <c r="AB135" s="3">
        <f t="shared" si="98"/>
        <v>3.560908999999981</v>
      </c>
      <c r="AC135">
        <f t="shared" si="99"/>
        <v>1</v>
      </c>
      <c r="AD135" s="3">
        <f t="shared" si="100"/>
        <v>1.5337690000000066</v>
      </c>
      <c r="AE135" s="3">
        <f t="shared" si="101"/>
        <v>3.560908999999981</v>
      </c>
      <c r="AF135">
        <f t="shared" si="102"/>
        <v>1</v>
      </c>
      <c r="AG135" s="3">
        <f t="shared" si="103"/>
        <v>1.5337690000000066</v>
      </c>
      <c r="AH135" s="3">
        <f t="shared" si="104"/>
        <v>3.560908999999981</v>
      </c>
      <c r="AI135">
        <f t="shared" si="105"/>
        <v>1</v>
      </c>
      <c r="AJ135" s="3">
        <f t="shared" si="106"/>
        <v>1.5337690000000066</v>
      </c>
      <c r="AK135" s="3">
        <f t="shared" si="107"/>
        <v>3.560908999999981</v>
      </c>
      <c r="AL135">
        <f t="shared" si="108"/>
        <v>1</v>
      </c>
      <c r="AM135" s="3">
        <f t="shared" si="109"/>
        <v>1.5337690000000066</v>
      </c>
      <c r="AN135" s="3">
        <f t="shared" si="110"/>
        <v>3.560908999999981</v>
      </c>
      <c r="AO135">
        <f t="shared" si="111"/>
        <v>1</v>
      </c>
      <c r="AP135" s="3">
        <f t="shared" si="112"/>
        <v>1.5337690000000066</v>
      </c>
      <c r="AQ135" s="3">
        <f t="shared" si="113"/>
        <v>3.560908999999981</v>
      </c>
      <c r="AR135">
        <f t="shared" si="114"/>
        <v>1</v>
      </c>
    </row>
    <row r="136" spans="4:44" x14ac:dyDescent="0.25">
      <c r="D136" s="1">
        <v>42548</v>
      </c>
      <c r="E136" s="2">
        <v>91.076481999999999</v>
      </c>
      <c r="F136" s="3">
        <v>197.43313000000001</v>
      </c>
      <c r="G136" s="2">
        <f t="shared" si="79"/>
        <v>-1.3457630000000051</v>
      </c>
      <c r="H136" s="2">
        <f t="shared" si="80"/>
        <v>-3.600482999999997</v>
      </c>
      <c r="I136" s="4">
        <f t="shared" si="77"/>
        <v>-1.4081422696354982</v>
      </c>
      <c r="J136" s="4">
        <f t="shared" si="78"/>
        <v>-3.7017039389806801</v>
      </c>
      <c r="K136" s="4">
        <f t="shared" si="81"/>
        <v>16.671795181011731</v>
      </c>
      <c r="L136" s="4">
        <f t="shared" si="82"/>
        <v>4.0831109684910265</v>
      </c>
      <c r="M136" s="4">
        <f t="shared" si="83"/>
        <v>0.48982259248739679</v>
      </c>
      <c r="N136" s="4">
        <f t="shared" si="84"/>
        <v>7.1977851633322293E-2</v>
      </c>
      <c r="O136" s="3">
        <f t="shared" si="85"/>
        <v>-1.3457630000000051</v>
      </c>
      <c r="P136" s="3">
        <f t="shared" si="86"/>
        <v>-3.600482999999997</v>
      </c>
      <c r="Q136">
        <f t="shared" si="87"/>
        <v>1</v>
      </c>
      <c r="R136" s="3">
        <f t="shared" si="88"/>
        <v>-1.3457630000000051</v>
      </c>
      <c r="S136" s="3">
        <f t="shared" si="89"/>
        <v>-3.600482999999997</v>
      </c>
      <c r="T136">
        <f t="shared" si="90"/>
        <v>1</v>
      </c>
      <c r="U136" s="3">
        <f t="shared" si="91"/>
        <v>-1.3457630000000051</v>
      </c>
      <c r="V136" s="3">
        <f t="shared" si="92"/>
        <v>-3.600482999999997</v>
      </c>
      <c r="W136">
        <f t="shared" si="93"/>
        <v>1</v>
      </c>
      <c r="X136" s="3">
        <f t="shared" si="94"/>
        <v>-1.3457630000000051</v>
      </c>
      <c r="Y136" s="3">
        <f t="shared" si="95"/>
        <v>-3.600482999999997</v>
      </c>
      <c r="Z136">
        <f t="shared" si="96"/>
        <v>1</v>
      </c>
      <c r="AA136" s="3">
        <f t="shared" si="97"/>
        <v>-1.3457630000000051</v>
      </c>
      <c r="AB136" s="3">
        <f t="shared" si="98"/>
        <v>-3.600482999999997</v>
      </c>
      <c r="AC136">
        <f t="shared" si="99"/>
        <v>1</v>
      </c>
      <c r="AD136" s="3">
        <f t="shared" si="100"/>
        <v>-1.3457630000000051</v>
      </c>
      <c r="AE136" s="3">
        <f t="shared" si="101"/>
        <v>-3.600482999999997</v>
      </c>
      <c r="AF136">
        <f t="shared" si="102"/>
        <v>1</v>
      </c>
      <c r="AG136" s="3">
        <f t="shared" si="103"/>
        <v>-1.3457630000000051</v>
      </c>
      <c r="AH136" s="3">
        <f t="shared" si="104"/>
        <v>-3.600482999999997</v>
      </c>
      <c r="AI136">
        <f t="shared" si="105"/>
        <v>1</v>
      </c>
      <c r="AJ136" s="3">
        <f t="shared" si="106"/>
        <v>-1.3457630000000051</v>
      </c>
      <c r="AK136" s="3">
        <f t="shared" si="107"/>
        <v>-3.600482999999997</v>
      </c>
      <c r="AL136">
        <f t="shared" si="108"/>
        <v>1</v>
      </c>
      <c r="AM136" s="3">
        <f t="shared" si="109"/>
        <v>-1.3457630000000051</v>
      </c>
      <c r="AN136" s="3">
        <f t="shared" si="110"/>
        <v>-3.600482999999997</v>
      </c>
      <c r="AO136">
        <f t="shared" si="111"/>
        <v>1</v>
      </c>
      <c r="AP136" s="3">
        <f t="shared" si="112"/>
        <v>-1.3457630000000051</v>
      </c>
      <c r="AQ136" s="3">
        <f t="shared" si="113"/>
        <v>-3.600482999999997</v>
      </c>
      <c r="AR136">
        <f t="shared" si="114"/>
        <v>1</v>
      </c>
    </row>
    <row r="137" spans="4:44" x14ac:dyDescent="0.25">
      <c r="D137" s="1">
        <v>42545</v>
      </c>
      <c r="E137" s="2">
        <v>92.422245000000004</v>
      </c>
      <c r="F137" s="3">
        <v>201.033613</v>
      </c>
      <c r="G137" s="2">
        <f t="shared" si="79"/>
        <v>-2.6717319999999916</v>
      </c>
      <c r="H137" s="2">
        <f t="shared" si="80"/>
        <v>-7.487811999999991</v>
      </c>
      <c r="I137" s="4">
        <f t="shared" si="77"/>
        <v>-2.7341112696354846</v>
      </c>
      <c r="J137" s="4">
        <f t="shared" si="78"/>
        <v>-7.5890329389806741</v>
      </c>
      <c r="K137" s="4">
        <f t="shared" si="81"/>
        <v>71.255492714273132</v>
      </c>
      <c r="L137" s="4">
        <f t="shared" si="82"/>
        <v>8.4412968621102955</v>
      </c>
      <c r="M137" s="4">
        <f t="shared" si="83"/>
        <v>0.23693041871056847</v>
      </c>
      <c r="N137" s="4">
        <f t="shared" si="84"/>
        <v>1.6840806993109584E-2</v>
      </c>
      <c r="O137" s="3">
        <f t="shared" si="85"/>
        <v>-2.6717319999999916</v>
      </c>
      <c r="P137" s="3">
        <f t="shared" si="86"/>
        <v>-7.487811999999991</v>
      </c>
      <c r="Q137">
        <f t="shared" si="87"/>
        <v>1</v>
      </c>
      <c r="R137" s="3">
        <f t="shared" si="88"/>
        <v>-2.6717319999999916</v>
      </c>
      <c r="S137" s="3">
        <f t="shared" si="89"/>
        <v>-7.487811999999991</v>
      </c>
      <c r="T137">
        <f t="shared" si="90"/>
        <v>1</v>
      </c>
      <c r="U137" s="3">
        <f t="shared" si="91"/>
        <v>-2.6717319999999916</v>
      </c>
      <c r="V137" s="3">
        <f t="shared" si="92"/>
        <v>-7.487811999999991</v>
      </c>
      <c r="W137">
        <f t="shared" si="93"/>
        <v>1</v>
      </c>
      <c r="X137" s="3">
        <f t="shared" si="94"/>
        <v>-2.6717319999999916</v>
      </c>
      <c r="Y137" s="3">
        <f t="shared" si="95"/>
        <v>-7.487811999999991</v>
      </c>
      <c r="Z137">
        <f t="shared" si="96"/>
        <v>1</v>
      </c>
      <c r="AA137" s="3">
        <f t="shared" si="97"/>
        <v>-2.6717319999999916</v>
      </c>
      <c r="AB137" s="3">
        <f t="shared" si="98"/>
        <v>-7.487811999999991</v>
      </c>
      <c r="AC137">
        <f t="shared" si="99"/>
        <v>1</v>
      </c>
      <c r="AD137" s="3">
        <f t="shared" si="100"/>
        <v>-2.6717319999999916</v>
      </c>
      <c r="AE137" s="3">
        <f t="shared" si="101"/>
        <v>-7.487811999999991</v>
      </c>
      <c r="AF137">
        <f t="shared" si="102"/>
        <v>1</v>
      </c>
      <c r="AG137" s="3">
        <f t="shared" si="103"/>
        <v>-2.6717319999999916</v>
      </c>
      <c r="AH137" s="3">
        <f t="shared" si="104"/>
        <v>-7.487811999999991</v>
      </c>
      <c r="AI137">
        <f t="shared" si="105"/>
        <v>1</v>
      </c>
      <c r="AJ137" s="3">
        <f t="shared" si="106"/>
        <v>-2.6717319999999916</v>
      </c>
      <c r="AK137" s="3">
        <f t="shared" si="107"/>
        <v>-7.487811999999991</v>
      </c>
      <c r="AL137">
        <f t="shared" si="108"/>
        <v>1</v>
      </c>
      <c r="AM137" s="3">
        <f t="shared" si="109"/>
        <v>-2.6717319999999916</v>
      </c>
      <c r="AN137" s="3">
        <f t="shared" si="110"/>
        <v>-7.487811999999991</v>
      </c>
      <c r="AO137">
        <f t="shared" si="111"/>
        <v>1</v>
      </c>
      <c r="AP137" s="3">
        <f t="shared" si="112"/>
        <v>-2.6717319999999916</v>
      </c>
      <c r="AQ137" s="3">
        <f t="shared" si="113"/>
        <v>-7.487811999999991</v>
      </c>
      <c r="AR137">
        <f t="shared" si="114"/>
        <v>1</v>
      </c>
    </row>
    <row r="138" spans="4:44" x14ac:dyDescent="0.25">
      <c r="D138" s="1">
        <v>42544</v>
      </c>
      <c r="E138" s="2">
        <v>95.093976999999995</v>
      </c>
      <c r="F138" s="3">
        <v>208.52142499999999</v>
      </c>
      <c r="G138" s="2">
        <f t="shared" si="79"/>
        <v>0.54423799999999289</v>
      </c>
      <c r="H138" s="2">
        <f t="shared" si="80"/>
        <v>2.6805719999999837</v>
      </c>
      <c r="I138" s="4">
        <f t="shared" si="77"/>
        <v>0.48185873036449989</v>
      </c>
      <c r="J138" s="4">
        <f t="shared" si="78"/>
        <v>2.5793510610193007</v>
      </c>
      <c r="K138" s="4">
        <f t="shared" si="81"/>
        <v>9.8832859391605332</v>
      </c>
      <c r="L138" s="4">
        <f t="shared" si="82"/>
        <v>3.1437693839021548</v>
      </c>
      <c r="M138" s="4">
        <f t="shared" si="83"/>
        <v>0.63617897999805928</v>
      </c>
      <c r="N138" s="4">
        <f t="shared" si="84"/>
        <v>0.12141710837741133</v>
      </c>
      <c r="O138" s="3">
        <f t="shared" si="85"/>
        <v>0.54423799999999289</v>
      </c>
      <c r="P138" s="3">
        <f t="shared" si="86"/>
        <v>2.6805719999999837</v>
      </c>
      <c r="Q138">
        <f t="shared" si="87"/>
        <v>1</v>
      </c>
      <c r="R138" s="3">
        <f t="shared" si="88"/>
        <v>0.54423799999999289</v>
      </c>
      <c r="S138" s="3">
        <f t="shared" si="89"/>
        <v>2.6805719999999837</v>
      </c>
      <c r="T138">
        <f t="shared" si="90"/>
        <v>1</v>
      </c>
      <c r="U138" s="3">
        <f t="shared" si="91"/>
        <v>0.54423799999999289</v>
      </c>
      <c r="V138" s="3">
        <f t="shared" si="92"/>
        <v>2.6805719999999837</v>
      </c>
      <c r="W138">
        <f t="shared" si="93"/>
        <v>1</v>
      </c>
      <c r="X138" s="3">
        <f t="shared" si="94"/>
        <v>0.54423799999999289</v>
      </c>
      <c r="Y138" s="3">
        <f t="shared" si="95"/>
        <v>2.6805719999999837</v>
      </c>
      <c r="Z138">
        <f t="shared" si="96"/>
        <v>1</v>
      </c>
      <c r="AA138" s="3">
        <f t="shared" si="97"/>
        <v>0.54423799999999289</v>
      </c>
      <c r="AB138" s="3">
        <f t="shared" si="98"/>
        <v>2.6805719999999837</v>
      </c>
      <c r="AC138">
        <f t="shared" si="99"/>
        <v>1</v>
      </c>
      <c r="AD138" s="3">
        <f t="shared" si="100"/>
        <v>0.54423799999999289</v>
      </c>
      <c r="AE138" s="3">
        <f t="shared" si="101"/>
        <v>2.6805719999999837</v>
      </c>
      <c r="AF138">
        <f t="shared" si="102"/>
        <v>1</v>
      </c>
      <c r="AG138" s="3">
        <f t="shared" si="103"/>
        <v>0.54423799999999289</v>
      </c>
      <c r="AH138" s="3">
        <f t="shared" si="104"/>
        <v>2.6805719999999837</v>
      </c>
      <c r="AI138">
        <f t="shared" si="105"/>
        <v>1</v>
      </c>
      <c r="AJ138" s="3">
        <f t="shared" si="106"/>
        <v>0.54423799999999289</v>
      </c>
      <c r="AK138" s="3">
        <f t="shared" si="107"/>
        <v>2.6805719999999837</v>
      </c>
      <c r="AL138">
        <f t="shared" si="108"/>
        <v>1</v>
      </c>
      <c r="AM138" s="3">
        <f t="shared" si="109"/>
        <v>0.54423799999999289</v>
      </c>
      <c r="AN138" s="3">
        <f t="shared" si="110"/>
        <v>2.6805719999999837</v>
      </c>
      <c r="AO138">
        <f t="shared" si="111"/>
        <v>1</v>
      </c>
      <c r="AP138" s="3">
        <f t="shared" si="112"/>
        <v>0.54423799999999289</v>
      </c>
      <c r="AQ138" s="3">
        <f t="shared" si="113"/>
        <v>2.6805719999999837</v>
      </c>
      <c r="AR138">
        <f t="shared" si="114"/>
        <v>1</v>
      </c>
    </row>
    <row r="139" spans="4:44" x14ac:dyDescent="0.25">
      <c r="D139" s="1">
        <v>42543</v>
      </c>
      <c r="E139" s="2">
        <v>94.549739000000002</v>
      </c>
      <c r="F139" s="3">
        <v>205.84085300000001</v>
      </c>
      <c r="G139" s="2">
        <f t="shared" si="79"/>
        <v>-0.35623199999999144</v>
      </c>
      <c r="H139" s="2">
        <f t="shared" si="80"/>
        <v>-0.33630599999997912</v>
      </c>
      <c r="I139" s="4">
        <f t="shared" si="77"/>
        <v>-0.41861126963548445</v>
      </c>
      <c r="J139" s="4">
        <f t="shared" si="78"/>
        <v>-0.43752693898066231</v>
      </c>
      <c r="K139" s="4">
        <f t="shared" si="81"/>
        <v>0.26042587771022463</v>
      </c>
      <c r="L139" s="4">
        <f t="shared" si="82"/>
        <v>0.51031938794271248</v>
      </c>
      <c r="M139" s="4">
        <f t="shared" si="83"/>
        <v>1</v>
      </c>
      <c r="N139" s="4">
        <f t="shared" si="84"/>
        <v>1</v>
      </c>
      <c r="O139" s="3">
        <f t="shared" si="85"/>
        <v>-0.35623199999999144</v>
      </c>
      <c r="P139" s="3">
        <f t="shared" si="86"/>
        <v>-0.33630599999997912</v>
      </c>
      <c r="Q139">
        <f t="shared" si="87"/>
        <v>1</v>
      </c>
      <c r="R139" s="3">
        <f t="shared" si="88"/>
        <v>0</v>
      </c>
      <c r="S139" s="3">
        <f t="shared" si="89"/>
        <v>0</v>
      </c>
      <c r="T139">
        <f t="shared" si="90"/>
        <v>0</v>
      </c>
      <c r="U139" s="3">
        <f t="shared" si="91"/>
        <v>0</v>
      </c>
      <c r="V139" s="3">
        <f t="shared" si="92"/>
        <v>0</v>
      </c>
      <c r="W139">
        <f t="shared" si="93"/>
        <v>0</v>
      </c>
      <c r="X139" s="3">
        <f t="shared" si="94"/>
        <v>0</v>
      </c>
      <c r="Y139" s="3">
        <f t="shared" si="95"/>
        <v>0</v>
      </c>
      <c r="Z139">
        <f t="shared" si="96"/>
        <v>0</v>
      </c>
      <c r="AA139" s="3">
        <f t="shared" si="97"/>
        <v>0</v>
      </c>
      <c r="AB139" s="3">
        <f t="shared" si="98"/>
        <v>0</v>
      </c>
      <c r="AC139">
        <f t="shared" si="99"/>
        <v>0</v>
      </c>
      <c r="AD139" s="3">
        <f t="shared" si="100"/>
        <v>0</v>
      </c>
      <c r="AE139" s="3">
        <f t="shared" si="101"/>
        <v>0</v>
      </c>
      <c r="AF139">
        <f t="shared" si="102"/>
        <v>0</v>
      </c>
      <c r="AG139" s="3">
        <f t="shared" si="103"/>
        <v>0</v>
      </c>
      <c r="AH139" s="3">
        <f t="shared" si="104"/>
        <v>0</v>
      </c>
      <c r="AI139">
        <f t="shared" si="105"/>
        <v>0</v>
      </c>
      <c r="AJ139" s="3">
        <f t="shared" si="106"/>
        <v>0</v>
      </c>
      <c r="AK139" s="3">
        <f t="shared" si="107"/>
        <v>0</v>
      </c>
      <c r="AL139">
        <f t="shared" si="108"/>
        <v>0</v>
      </c>
      <c r="AM139" s="3">
        <f t="shared" si="109"/>
        <v>0</v>
      </c>
      <c r="AN139" s="3">
        <f t="shared" si="110"/>
        <v>0</v>
      </c>
      <c r="AO139">
        <f t="shared" si="111"/>
        <v>0</v>
      </c>
      <c r="AP139" s="3">
        <f t="shared" si="112"/>
        <v>0</v>
      </c>
      <c r="AQ139" s="3">
        <f t="shared" si="113"/>
        <v>0</v>
      </c>
      <c r="AR139">
        <f t="shared" si="114"/>
        <v>0</v>
      </c>
    </row>
    <row r="140" spans="4:44" x14ac:dyDescent="0.25">
      <c r="D140" s="1">
        <v>42542</v>
      </c>
      <c r="E140" s="2">
        <v>94.905970999999994</v>
      </c>
      <c r="F140" s="3">
        <v>206.17715899999999</v>
      </c>
      <c r="G140" s="2">
        <f t="shared" si="79"/>
        <v>0.80152499999999804</v>
      </c>
      <c r="H140" s="2">
        <f t="shared" si="80"/>
        <v>0.58359199999998168</v>
      </c>
      <c r="I140" s="4">
        <f t="shared" si="77"/>
        <v>0.73914573036450504</v>
      </c>
      <c r="J140" s="4">
        <f t="shared" si="78"/>
        <v>0.4823710610192985</v>
      </c>
      <c r="K140" s="4">
        <f t="shared" si="81"/>
        <v>0.67814550991562972</v>
      </c>
      <c r="L140" s="4">
        <f t="shared" si="82"/>
        <v>0.82349590764959468</v>
      </c>
      <c r="M140" s="4">
        <f t="shared" si="83"/>
        <v>1</v>
      </c>
      <c r="N140" s="4">
        <f t="shared" si="84"/>
        <v>1</v>
      </c>
      <c r="O140" s="3">
        <f t="shared" si="85"/>
        <v>0.80152499999999804</v>
      </c>
      <c r="P140" s="3">
        <f t="shared" si="86"/>
        <v>0.58359199999998168</v>
      </c>
      <c r="Q140">
        <f t="shared" si="87"/>
        <v>1</v>
      </c>
      <c r="R140" s="3">
        <f t="shared" si="88"/>
        <v>0</v>
      </c>
      <c r="S140" s="3">
        <f t="shared" si="89"/>
        <v>0</v>
      </c>
      <c r="T140">
        <f t="shared" si="90"/>
        <v>0</v>
      </c>
      <c r="U140" s="3">
        <f t="shared" si="91"/>
        <v>0</v>
      </c>
      <c r="V140" s="3">
        <f t="shared" si="92"/>
        <v>0</v>
      </c>
      <c r="W140">
        <f t="shared" si="93"/>
        <v>0</v>
      </c>
      <c r="X140" s="3">
        <f t="shared" si="94"/>
        <v>0</v>
      </c>
      <c r="Y140" s="3">
        <f t="shared" si="95"/>
        <v>0</v>
      </c>
      <c r="Z140">
        <f t="shared" si="96"/>
        <v>0</v>
      </c>
      <c r="AA140" s="3">
        <f t="shared" si="97"/>
        <v>0</v>
      </c>
      <c r="AB140" s="3">
        <f t="shared" si="98"/>
        <v>0</v>
      </c>
      <c r="AC140">
        <f t="shared" si="99"/>
        <v>0</v>
      </c>
      <c r="AD140" s="3">
        <f t="shared" si="100"/>
        <v>0</v>
      </c>
      <c r="AE140" s="3">
        <f t="shared" si="101"/>
        <v>0</v>
      </c>
      <c r="AF140">
        <f t="shared" si="102"/>
        <v>0</v>
      </c>
      <c r="AG140" s="3">
        <f t="shared" si="103"/>
        <v>0</v>
      </c>
      <c r="AH140" s="3">
        <f t="shared" si="104"/>
        <v>0</v>
      </c>
      <c r="AI140">
        <f t="shared" si="105"/>
        <v>0</v>
      </c>
      <c r="AJ140" s="3">
        <f t="shared" si="106"/>
        <v>0</v>
      </c>
      <c r="AK140" s="3">
        <f t="shared" si="107"/>
        <v>0</v>
      </c>
      <c r="AL140">
        <f t="shared" si="108"/>
        <v>0</v>
      </c>
      <c r="AM140" s="3">
        <f t="shared" si="109"/>
        <v>0</v>
      </c>
      <c r="AN140" s="3">
        <f t="shared" si="110"/>
        <v>0</v>
      </c>
      <c r="AO140">
        <f t="shared" si="111"/>
        <v>0</v>
      </c>
      <c r="AP140" s="3">
        <f t="shared" si="112"/>
        <v>0</v>
      </c>
      <c r="AQ140" s="3">
        <f t="shared" si="113"/>
        <v>0</v>
      </c>
      <c r="AR140">
        <f t="shared" si="114"/>
        <v>0</v>
      </c>
    </row>
    <row r="141" spans="4:44" x14ac:dyDescent="0.25">
      <c r="D141" s="1">
        <v>42541</v>
      </c>
      <c r="E141" s="2">
        <v>94.104445999999996</v>
      </c>
      <c r="F141" s="3">
        <v>205.59356700000001</v>
      </c>
      <c r="G141" s="2">
        <f t="shared" si="79"/>
        <v>-0.22759500000000799</v>
      </c>
      <c r="H141" s="2">
        <f t="shared" si="80"/>
        <v>1.3155629999999974</v>
      </c>
      <c r="I141" s="4">
        <f t="shared" si="77"/>
        <v>-0.28997426963550099</v>
      </c>
      <c r="J141" s="4">
        <f t="shared" si="78"/>
        <v>1.2143420610193141</v>
      </c>
      <c r="K141" s="4">
        <f t="shared" si="81"/>
        <v>3.888942151156014</v>
      </c>
      <c r="L141" s="4">
        <f t="shared" si="82"/>
        <v>1.972040098769803</v>
      </c>
      <c r="M141" s="4">
        <f t="shared" si="83"/>
        <v>1</v>
      </c>
      <c r="N141" s="4">
        <f t="shared" si="84"/>
        <v>0.30856720243146118</v>
      </c>
      <c r="O141" s="3">
        <f t="shared" si="85"/>
        <v>-0.22759500000000799</v>
      </c>
      <c r="P141" s="3">
        <f t="shared" si="86"/>
        <v>1.3155629999999974</v>
      </c>
      <c r="Q141">
        <f t="shared" si="87"/>
        <v>1</v>
      </c>
      <c r="R141" s="3">
        <f t="shared" si="88"/>
        <v>-0.22759500000000799</v>
      </c>
      <c r="S141" s="3">
        <f t="shared" si="89"/>
        <v>1.3155629999999974</v>
      </c>
      <c r="T141">
        <f t="shared" si="90"/>
        <v>1</v>
      </c>
      <c r="U141" s="3">
        <f t="shared" si="91"/>
        <v>-0.22759500000000799</v>
      </c>
      <c r="V141" s="3">
        <f t="shared" si="92"/>
        <v>1.3155629999999974</v>
      </c>
      <c r="W141">
        <f t="shared" si="93"/>
        <v>1</v>
      </c>
      <c r="X141" s="3">
        <f t="shared" si="94"/>
        <v>-0.22759500000000799</v>
      </c>
      <c r="Y141" s="3">
        <f t="shared" si="95"/>
        <v>1.3155629999999974</v>
      </c>
      <c r="Z141">
        <f t="shared" si="96"/>
        <v>1</v>
      </c>
      <c r="AA141" s="3">
        <f t="shared" si="97"/>
        <v>0</v>
      </c>
      <c r="AB141" s="3">
        <f t="shared" si="98"/>
        <v>0</v>
      </c>
      <c r="AC141">
        <f t="shared" si="99"/>
        <v>0</v>
      </c>
      <c r="AD141" s="3">
        <f t="shared" si="100"/>
        <v>0</v>
      </c>
      <c r="AE141" s="3">
        <f t="shared" si="101"/>
        <v>0</v>
      </c>
      <c r="AF141">
        <f t="shared" si="102"/>
        <v>0</v>
      </c>
      <c r="AG141" s="3">
        <f t="shared" si="103"/>
        <v>0</v>
      </c>
      <c r="AH141" s="3">
        <f t="shared" si="104"/>
        <v>0</v>
      </c>
      <c r="AI141">
        <f t="shared" si="105"/>
        <v>0</v>
      </c>
      <c r="AJ141" s="3">
        <f t="shared" si="106"/>
        <v>0</v>
      </c>
      <c r="AK141" s="3">
        <f t="shared" si="107"/>
        <v>0</v>
      </c>
      <c r="AL141">
        <f t="shared" si="108"/>
        <v>0</v>
      </c>
      <c r="AM141" s="3">
        <f t="shared" si="109"/>
        <v>0</v>
      </c>
      <c r="AN141" s="3">
        <f t="shared" si="110"/>
        <v>0</v>
      </c>
      <c r="AO141">
        <f t="shared" si="111"/>
        <v>0</v>
      </c>
      <c r="AP141" s="3">
        <f t="shared" si="112"/>
        <v>0</v>
      </c>
      <c r="AQ141" s="3">
        <f t="shared" si="113"/>
        <v>0</v>
      </c>
      <c r="AR141">
        <f t="shared" si="114"/>
        <v>0</v>
      </c>
    </row>
    <row r="142" spans="4:44" x14ac:dyDescent="0.25">
      <c r="D142" s="1">
        <v>42538</v>
      </c>
      <c r="E142" s="2">
        <v>94.332041000000004</v>
      </c>
      <c r="F142" s="3">
        <v>204.27800400000001</v>
      </c>
      <c r="G142" s="2">
        <f t="shared" si="79"/>
        <v>-2.1967619999999926</v>
      </c>
      <c r="H142" s="2">
        <f t="shared" si="80"/>
        <v>-0.76361599999998475</v>
      </c>
      <c r="I142" s="4">
        <f t="shared" si="77"/>
        <v>-2.2591412696354856</v>
      </c>
      <c r="J142" s="4">
        <f t="shared" si="78"/>
        <v>-0.86483693898066794</v>
      </c>
      <c r="K142" s="4">
        <f t="shared" si="81"/>
        <v>7.2054809046372084</v>
      </c>
      <c r="L142" s="4">
        <f t="shared" si="82"/>
        <v>2.6843026849886376</v>
      </c>
      <c r="M142" s="4">
        <f t="shared" si="83"/>
        <v>0.7450724581786371</v>
      </c>
      <c r="N142" s="4">
        <f t="shared" si="84"/>
        <v>0.16653989038090708</v>
      </c>
      <c r="O142" s="3">
        <f t="shared" si="85"/>
        <v>-2.1967619999999926</v>
      </c>
      <c r="P142" s="3">
        <f t="shared" si="86"/>
        <v>-0.76361599999998475</v>
      </c>
      <c r="Q142">
        <f t="shared" si="87"/>
        <v>1</v>
      </c>
      <c r="R142" s="3">
        <f t="shared" si="88"/>
        <v>-2.1967619999999926</v>
      </c>
      <c r="S142" s="3">
        <f t="shared" si="89"/>
        <v>-0.76361599999998475</v>
      </c>
      <c r="T142">
        <f t="shared" si="90"/>
        <v>1</v>
      </c>
      <c r="U142" s="3">
        <f t="shared" si="91"/>
        <v>-2.1967619999999926</v>
      </c>
      <c r="V142" s="3">
        <f t="shared" si="92"/>
        <v>-0.76361599999998475</v>
      </c>
      <c r="W142">
        <f t="shared" si="93"/>
        <v>1</v>
      </c>
      <c r="X142" s="3">
        <f t="shared" si="94"/>
        <v>-2.1967619999999926</v>
      </c>
      <c r="Y142" s="3">
        <f t="shared" si="95"/>
        <v>-0.76361599999998475</v>
      </c>
      <c r="Z142">
        <f t="shared" si="96"/>
        <v>1</v>
      </c>
      <c r="AA142" s="3">
        <f t="shared" si="97"/>
        <v>-2.1967619999999926</v>
      </c>
      <c r="AB142" s="3">
        <f t="shared" si="98"/>
        <v>-0.76361599999998475</v>
      </c>
      <c r="AC142">
        <f t="shared" si="99"/>
        <v>1</v>
      </c>
      <c r="AD142" s="3">
        <f t="shared" si="100"/>
        <v>-2.1967619999999926</v>
      </c>
      <c r="AE142" s="3">
        <f t="shared" si="101"/>
        <v>-0.76361599999998475</v>
      </c>
      <c r="AF142">
        <f t="shared" si="102"/>
        <v>1</v>
      </c>
      <c r="AG142" s="3">
        <f t="shared" si="103"/>
        <v>-2.1967619999999926</v>
      </c>
      <c r="AH142" s="3">
        <f t="shared" si="104"/>
        <v>-0.76361599999998475</v>
      </c>
      <c r="AI142">
        <f t="shared" si="105"/>
        <v>1</v>
      </c>
      <c r="AJ142" s="3">
        <f t="shared" si="106"/>
        <v>-2.1967619999999926</v>
      </c>
      <c r="AK142" s="3">
        <f t="shared" si="107"/>
        <v>-0.76361599999998475</v>
      </c>
      <c r="AL142">
        <f t="shared" si="108"/>
        <v>1</v>
      </c>
      <c r="AM142" s="3">
        <f t="shared" si="109"/>
        <v>0</v>
      </c>
      <c r="AN142" s="3">
        <f t="shared" si="110"/>
        <v>0</v>
      </c>
      <c r="AO142">
        <f t="shared" si="111"/>
        <v>0</v>
      </c>
      <c r="AP142" s="3">
        <f t="shared" si="112"/>
        <v>0</v>
      </c>
      <c r="AQ142" s="3">
        <f t="shared" si="113"/>
        <v>0</v>
      </c>
      <c r="AR142">
        <f t="shared" si="114"/>
        <v>0</v>
      </c>
    </row>
    <row r="143" spans="4:44" x14ac:dyDescent="0.25">
      <c r="D143" s="1">
        <v>42537</v>
      </c>
      <c r="E143" s="2">
        <v>96.528802999999996</v>
      </c>
      <c r="F143" s="3">
        <v>205.04161999999999</v>
      </c>
      <c r="G143" s="2">
        <f t="shared" si="79"/>
        <v>0.40571199999999408</v>
      </c>
      <c r="H143" s="2">
        <f t="shared" si="80"/>
        <v>0.61009200000000874</v>
      </c>
      <c r="I143" s="4">
        <f t="shared" si="77"/>
        <v>0.34333273036450107</v>
      </c>
      <c r="J143" s="4">
        <f t="shared" si="78"/>
        <v>0.50887106101932555</v>
      </c>
      <c r="K143" s="4">
        <f t="shared" si="81"/>
        <v>0.28833315130023041</v>
      </c>
      <c r="L143" s="4">
        <f t="shared" si="82"/>
        <v>0.53696662028493947</v>
      </c>
      <c r="M143" s="4">
        <f t="shared" si="83"/>
        <v>1</v>
      </c>
      <c r="N143" s="4">
        <f t="shared" si="84"/>
        <v>1</v>
      </c>
      <c r="O143" s="3">
        <f t="shared" si="85"/>
        <v>0.40571199999999408</v>
      </c>
      <c r="P143" s="3">
        <f t="shared" si="86"/>
        <v>0.61009200000000874</v>
      </c>
      <c r="Q143">
        <f t="shared" si="87"/>
        <v>1</v>
      </c>
      <c r="R143" s="3">
        <f t="shared" si="88"/>
        <v>0</v>
      </c>
      <c r="S143" s="3">
        <f t="shared" si="89"/>
        <v>0</v>
      </c>
      <c r="T143">
        <f t="shared" si="90"/>
        <v>0</v>
      </c>
      <c r="U143" s="3">
        <f t="shared" si="91"/>
        <v>0</v>
      </c>
      <c r="V143" s="3">
        <f t="shared" si="92"/>
        <v>0</v>
      </c>
      <c r="W143">
        <f t="shared" si="93"/>
        <v>0</v>
      </c>
      <c r="X143" s="3">
        <f t="shared" si="94"/>
        <v>0</v>
      </c>
      <c r="Y143" s="3">
        <f t="shared" si="95"/>
        <v>0</v>
      </c>
      <c r="Z143">
        <f t="shared" si="96"/>
        <v>0</v>
      </c>
      <c r="AA143" s="3">
        <f t="shared" si="97"/>
        <v>0</v>
      </c>
      <c r="AB143" s="3">
        <f t="shared" si="98"/>
        <v>0</v>
      </c>
      <c r="AC143">
        <f t="shared" si="99"/>
        <v>0</v>
      </c>
      <c r="AD143" s="3">
        <f t="shared" si="100"/>
        <v>0</v>
      </c>
      <c r="AE143" s="3">
        <f t="shared" si="101"/>
        <v>0</v>
      </c>
      <c r="AF143">
        <f t="shared" si="102"/>
        <v>0</v>
      </c>
      <c r="AG143" s="3">
        <f t="shared" si="103"/>
        <v>0</v>
      </c>
      <c r="AH143" s="3">
        <f t="shared" si="104"/>
        <v>0</v>
      </c>
      <c r="AI143">
        <f t="shared" si="105"/>
        <v>0</v>
      </c>
      <c r="AJ143" s="3">
        <f t="shared" si="106"/>
        <v>0</v>
      </c>
      <c r="AK143" s="3">
        <f t="shared" si="107"/>
        <v>0</v>
      </c>
      <c r="AL143">
        <f t="shared" si="108"/>
        <v>0</v>
      </c>
      <c r="AM143" s="3">
        <f t="shared" si="109"/>
        <v>0</v>
      </c>
      <c r="AN143" s="3">
        <f t="shared" si="110"/>
        <v>0</v>
      </c>
      <c r="AO143">
        <f t="shared" si="111"/>
        <v>0</v>
      </c>
      <c r="AP143" s="3">
        <f t="shared" si="112"/>
        <v>0</v>
      </c>
      <c r="AQ143" s="3">
        <f t="shared" si="113"/>
        <v>0</v>
      </c>
      <c r="AR143">
        <f t="shared" si="114"/>
        <v>0</v>
      </c>
    </row>
    <row r="144" spans="4:44" x14ac:dyDescent="0.25">
      <c r="D144" s="1">
        <v>42536</v>
      </c>
      <c r="E144" s="2">
        <v>96.123091000000002</v>
      </c>
      <c r="F144" s="3">
        <v>204.43152799999999</v>
      </c>
      <c r="G144" s="2">
        <f t="shared" si="79"/>
        <v>-0.31664999999999566</v>
      </c>
      <c r="H144" s="2">
        <f t="shared" si="80"/>
        <v>-0.28536200000002054</v>
      </c>
      <c r="I144" s="4">
        <f t="shared" si="77"/>
        <v>-0.37902926963548866</v>
      </c>
      <c r="J144" s="4">
        <f t="shared" si="78"/>
        <v>-0.38658293898070373</v>
      </c>
      <c r="K144" s="4">
        <f t="shared" si="81"/>
        <v>0.2087140615045085</v>
      </c>
      <c r="L144" s="4">
        <f t="shared" si="82"/>
        <v>0.45685234102990924</v>
      </c>
      <c r="M144" s="4">
        <f t="shared" si="83"/>
        <v>1</v>
      </c>
      <c r="N144" s="4">
        <f t="shared" si="84"/>
        <v>1</v>
      </c>
      <c r="O144" s="3">
        <f t="shared" si="85"/>
        <v>-0.31664999999999566</v>
      </c>
      <c r="P144" s="3">
        <f t="shared" si="86"/>
        <v>-0.28536200000002054</v>
      </c>
      <c r="Q144">
        <f t="shared" si="87"/>
        <v>1</v>
      </c>
      <c r="R144" s="3">
        <f t="shared" si="88"/>
        <v>0</v>
      </c>
      <c r="S144" s="3">
        <f t="shared" si="89"/>
        <v>0</v>
      </c>
      <c r="T144">
        <f t="shared" si="90"/>
        <v>0</v>
      </c>
      <c r="U144" s="3">
        <f t="shared" si="91"/>
        <v>0</v>
      </c>
      <c r="V144" s="3">
        <f t="shared" si="92"/>
        <v>0</v>
      </c>
      <c r="W144">
        <f t="shared" si="93"/>
        <v>0</v>
      </c>
      <c r="X144" s="3">
        <f t="shared" si="94"/>
        <v>0</v>
      </c>
      <c r="Y144" s="3">
        <f t="shared" si="95"/>
        <v>0</v>
      </c>
      <c r="Z144">
        <f t="shared" si="96"/>
        <v>0</v>
      </c>
      <c r="AA144" s="3">
        <f t="shared" si="97"/>
        <v>0</v>
      </c>
      <c r="AB144" s="3">
        <f t="shared" si="98"/>
        <v>0</v>
      </c>
      <c r="AC144">
        <f t="shared" si="99"/>
        <v>0</v>
      </c>
      <c r="AD144" s="3">
        <f t="shared" si="100"/>
        <v>0</v>
      </c>
      <c r="AE144" s="3">
        <f t="shared" si="101"/>
        <v>0</v>
      </c>
      <c r="AF144">
        <f t="shared" si="102"/>
        <v>0</v>
      </c>
      <c r="AG144" s="3">
        <f t="shared" si="103"/>
        <v>0</v>
      </c>
      <c r="AH144" s="3">
        <f t="shared" si="104"/>
        <v>0</v>
      </c>
      <c r="AI144">
        <f t="shared" si="105"/>
        <v>0</v>
      </c>
      <c r="AJ144" s="3">
        <f t="shared" si="106"/>
        <v>0</v>
      </c>
      <c r="AK144" s="3">
        <f t="shared" si="107"/>
        <v>0</v>
      </c>
      <c r="AL144">
        <f t="shared" si="108"/>
        <v>0</v>
      </c>
      <c r="AM144" s="3">
        <f t="shared" si="109"/>
        <v>0</v>
      </c>
      <c r="AN144" s="3">
        <f t="shared" si="110"/>
        <v>0</v>
      </c>
      <c r="AO144">
        <f t="shared" si="111"/>
        <v>0</v>
      </c>
      <c r="AP144" s="3">
        <f t="shared" si="112"/>
        <v>0</v>
      </c>
      <c r="AQ144" s="3">
        <f t="shared" si="113"/>
        <v>0</v>
      </c>
      <c r="AR144">
        <f t="shared" si="114"/>
        <v>0</v>
      </c>
    </row>
    <row r="145" spans="4:44" x14ac:dyDescent="0.25">
      <c r="D145" s="1">
        <v>42535</v>
      </c>
      <c r="E145" s="2">
        <v>96.439740999999998</v>
      </c>
      <c r="F145" s="3">
        <v>204.71689000000001</v>
      </c>
      <c r="G145" s="2">
        <f t="shared" si="79"/>
        <v>0.11874699999999905</v>
      </c>
      <c r="H145" s="2">
        <f t="shared" si="80"/>
        <v>-0.40345399999998222</v>
      </c>
      <c r="I145" s="4">
        <f t="shared" si="77"/>
        <v>5.6367730364506034E-2</v>
      </c>
      <c r="J145" s="4">
        <f t="shared" si="78"/>
        <v>-0.5046749389806654</v>
      </c>
      <c r="K145" s="4">
        <f t="shared" si="81"/>
        <v>0.56353707076857018</v>
      </c>
      <c r="L145" s="4">
        <f t="shared" si="82"/>
        <v>0.75069106213446435</v>
      </c>
      <c r="M145" s="4">
        <f t="shared" si="83"/>
        <v>1</v>
      </c>
      <c r="N145" s="4">
        <f t="shared" si="84"/>
        <v>1</v>
      </c>
      <c r="O145" s="3">
        <f t="shared" si="85"/>
        <v>0.11874699999999905</v>
      </c>
      <c r="P145" s="3">
        <f t="shared" si="86"/>
        <v>-0.40345399999998222</v>
      </c>
      <c r="Q145">
        <f t="shared" si="87"/>
        <v>1</v>
      </c>
      <c r="R145" s="3">
        <f t="shared" si="88"/>
        <v>0</v>
      </c>
      <c r="S145" s="3">
        <f t="shared" si="89"/>
        <v>0</v>
      </c>
      <c r="T145">
        <f t="shared" si="90"/>
        <v>0</v>
      </c>
      <c r="U145" s="3">
        <f t="shared" si="91"/>
        <v>0</v>
      </c>
      <c r="V145" s="3">
        <f t="shared" si="92"/>
        <v>0</v>
      </c>
      <c r="W145">
        <f t="shared" si="93"/>
        <v>0</v>
      </c>
      <c r="X145" s="3">
        <f t="shared" si="94"/>
        <v>0</v>
      </c>
      <c r="Y145" s="3">
        <f t="shared" si="95"/>
        <v>0</v>
      </c>
      <c r="Z145">
        <f t="shared" si="96"/>
        <v>0</v>
      </c>
      <c r="AA145" s="3">
        <f t="shared" si="97"/>
        <v>0</v>
      </c>
      <c r="AB145" s="3">
        <f t="shared" si="98"/>
        <v>0</v>
      </c>
      <c r="AC145">
        <f t="shared" si="99"/>
        <v>0</v>
      </c>
      <c r="AD145" s="3">
        <f t="shared" si="100"/>
        <v>0</v>
      </c>
      <c r="AE145" s="3">
        <f t="shared" si="101"/>
        <v>0</v>
      </c>
      <c r="AF145">
        <f t="shared" si="102"/>
        <v>0</v>
      </c>
      <c r="AG145" s="3">
        <f t="shared" si="103"/>
        <v>0</v>
      </c>
      <c r="AH145" s="3">
        <f t="shared" si="104"/>
        <v>0</v>
      </c>
      <c r="AI145">
        <f t="shared" si="105"/>
        <v>0</v>
      </c>
      <c r="AJ145" s="3">
        <f t="shared" si="106"/>
        <v>0</v>
      </c>
      <c r="AK145" s="3">
        <f t="shared" si="107"/>
        <v>0</v>
      </c>
      <c r="AL145">
        <f t="shared" si="108"/>
        <v>0</v>
      </c>
      <c r="AM145" s="3">
        <f t="shared" si="109"/>
        <v>0</v>
      </c>
      <c r="AN145" s="3">
        <f t="shared" si="110"/>
        <v>0</v>
      </c>
      <c r="AO145">
        <f t="shared" si="111"/>
        <v>0</v>
      </c>
      <c r="AP145" s="3">
        <f t="shared" si="112"/>
        <v>0</v>
      </c>
      <c r="AQ145" s="3">
        <f t="shared" si="113"/>
        <v>0</v>
      </c>
      <c r="AR145">
        <f t="shared" si="114"/>
        <v>0</v>
      </c>
    </row>
    <row r="146" spans="4:44" x14ac:dyDescent="0.25">
      <c r="D146" s="1">
        <v>42534</v>
      </c>
      <c r="E146" s="2">
        <v>96.320993999999999</v>
      </c>
      <c r="F146" s="3">
        <v>205.12034399999999</v>
      </c>
      <c r="G146" s="2">
        <f t="shared" si="79"/>
        <v>-1.4744079999999968</v>
      </c>
      <c r="H146" s="2">
        <f t="shared" si="80"/>
        <v>-1.5941329999999994</v>
      </c>
      <c r="I146" s="4">
        <f t="shared" si="77"/>
        <v>-1.5367872696354898</v>
      </c>
      <c r="J146" s="4">
        <f t="shared" si="78"/>
        <v>-1.6953539389806827</v>
      </c>
      <c r="K146" s="4">
        <f t="shared" si="81"/>
        <v>3.7123148939989226</v>
      </c>
      <c r="L146" s="4">
        <f t="shared" si="82"/>
        <v>1.9267368512588643</v>
      </c>
      <c r="M146" s="4">
        <f t="shared" si="83"/>
        <v>1</v>
      </c>
      <c r="N146" s="4">
        <f t="shared" si="84"/>
        <v>0.32324844046496132</v>
      </c>
      <c r="O146" s="3">
        <f t="shared" si="85"/>
        <v>-1.4744079999999968</v>
      </c>
      <c r="P146" s="3">
        <f t="shared" si="86"/>
        <v>-1.5941329999999994</v>
      </c>
      <c r="Q146">
        <f t="shared" si="87"/>
        <v>1</v>
      </c>
      <c r="R146" s="3">
        <f t="shared" si="88"/>
        <v>-1.4744079999999968</v>
      </c>
      <c r="S146" s="3">
        <f t="shared" si="89"/>
        <v>-1.5941329999999994</v>
      </c>
      <c r="T146">
        <f t="shared" si="90"/>
        <v>1</v>
      </c>
      <c r="U146" s="3">
        <f t="shared" si="91"/>
        <v>-1.4744079999999968</v>
      </c>
      <c r="V146" s="3">
        <f t="shared" si="92"/>
        <v>-1.5941329999999994</v>
      </c>
      <c r="W146">
        <f t="shared" si="93"/>
        <v>1</v>
      </c>
      <c r="X146" s="3">
        <f t="shared" si="94"/>
        <v>-1.4744079999999968</v>
      </c>
      <c r="Y146" s="3">
        <f t="shared" si="95"/>
        <v>-1.5941329999999994</v>
      </c>
      <c r="Z146">
        <f t="shared" si="96"/>
        <v>1</v>
      </c>
      <c r="AA146" s="3">
        <f t="shared" si="97"/>
        <v>0</v>
      </c>
      <c r="AB146" s="3">
        <f t="shared" si="98"/>
        <v>0</v>
      </c>
      <c r="AC146">
        <f t="shared" si="99"/>
        <v>0</v>
      </c>
      <c r="AD146" s="3">
        <f t="shared" si="100"/>
        <v>0</v>
      </c>
      <c r="AE146" s="3">
        <f t="shared" si="101"/>
        <v>0</v>
      </c>
      <c r="AF146">
        <f t="shared" si="102"/>
        <v>0</v>
      </c>
      <c r="AG146" s="3">
        <f t="shared" si="103"/>
        <v>0</v>
      </c>
      <c r="AH146" s="3">
        <f t="shared" si="104"/>
        <v>0</v>
      </c>
      <c r="AI146">
        <f t="shared" si="105"/>
        <v>0</v>
      </c>
      <c r="AJ146" s="3">
        <f t="shared" si="106"/>
        <v>0</v>
      </c>
      <c r="AK146" s="3">
        <f t="shared" si="107"/>
        <v>0</v>
      </c>
      <c r="AL146">
        <f t="shared" si="108"/>
        <v>0</v>
      </c>
      <c r="AM146" s="3">
        <f t="shared" si="109"/>
        <v>0</v>
      </c>
      <c r="AN146" s="3">
        <f t="shared" si="110"/>
        <v>0</v>
      </c>
      <c r="AO146">
        <f t="shared" si="111"/>
        <v>0</v>
      </c>
      <c r="AP146" s="3">
        <f t="shared" si="112"/>
        <v>0</v>
      </c>
      <c r="AQ146" s="3">
        <f t="shared" si="113"/>
        <v>0</v>
      </c>
      <c r="AR146">
        <f t="shared" si="114"/>
        <v>0</v>
      </c>
    </row>
    <row r="147" spans="4:44" x14ac:dyDescent="0.25">
      <c r="D147" s="1">
        <v>42531</v>
      </c>
      <c r="E147" s="2">
        <v>97.795401999999996</v>
      </c>
      <c r="F147" s="3">
        <v>206.71447699999999</v>
      </c>
      <c r="G147" s="2">
        <f t="shared" si="79"/>
        <v>-0.81141500000001088</v>
      </c>
      <c r="H147" s="2">
        <f t="shared" si="80"/>
        <v>-1.9778880000000072</v>
      </c>
      <c r="I147" s="4">
        <f t="shared" si="77"/>
        <v>-0.87379426963550388</v>
      </c>
      <c r="J147" s="4">
        <f t="shared" si="78"/>
        <v>-2.0791089389806903</v>
      </c>
      <c r="K147" s="4">
        <f t="shared" si="81"/>
        <v>5.1056335956726917</v>
      </c>
      <c r="L147" s="4">
        <f t="shared" si="82"/>
        <v>2.2595649129141413</v>
      </c>
      <c r="M147" s="4">
        <f t="shared" si="83"/>
        <v>0.88512615352157209</v>
      </c>
      <c r="N147" s="4">
        <f t="shared" si="84"/>
        <v>0.23503449229436807</v>
      </c>
      <c r="O147" s="3">
        <f t="shared" si="85"/>
        <v>-0.81141500000001088</v>
      </c>
      <c r="P147" s="3">
        <f t="shared" si="86"/>
        <v>-1.9778880000000072</v>
      </c>
      <c r="Q147">
        <f t="shared" si="87"/>
        <v>1</v>
      </c>
      <c r="R147" s="3">
        <f t="shared" si="88"/>
        <v>-0.81141500000001088</v>
      </c>
      <c r="S147" s="3">
        <f t="shared" si="89"/>
        <v>-1.9778880000000072</v>
      </c>
      <c r="T147">
        <f t="shared" si="90"/>
        <v>1</v>
      </c>
      <c r="U147" s="3">
        <f t="shared" si="91"/>
        <v>-0.81141500000001088</v>
      </c>
      <c r="V147" s="3">
        <f t="shared" si="92"/>
        <v>-1.9778880000000072</v>
      </c>
      <c r="W147">
        <f t="shared" si="93"/>
        <v>1</v>
      </c>
      <c r="X147" s="3">
        <f t="shared" si="94"/>
        <v>-0.81141500000001088</v>
      </c>
      <c r="Y147" s="3">
        <f t="shared" si="95"/>
        <v>-1.9778880000000072</v>
      </c>
      <c r="Z147">
        <f t="shared" si="96"/>
        <v>1</v>
      </c>
      <c r="AA147" s="3">
        <f t="shared" si="97"/>
        <v>-0.81141500000001088</v>
      </c>
      <c r="AB147" s="3">
        <f t="shared" si="98"/>
        <v>-1.9778880000000072</v>
      </c>
      <c r="AC147">
        <f t="shared" si="99"/>
        <v>1</v>
      </c>
      <c r="AD147" s="3">
        <f t="shared" si="100"/>
        <v>-0.81141500000001088</v>
      </c>
      <c r="AE147" s="3">
        <f t="shared" si="101"/>
        <v>-1.9778880000000072</v>
      </c>
      <c r="AF147">
        <f t="shared" si="102"/>
        <v>1</v>
      </c>
      <c r="AG147" s="3">
        <f t="shared" si="103"/>
        <v>0</v>
      </c>
      <c r="AH147" s="3">
        <f t="shared" si="104"/>
        <v>0</v>
      </c>
      <c r="AI147">
        <f t="shared" si="105"/>
        <v>0</v>
      </c>
      <c r="AJ147" s="3">
        <f t="shared" si="106"/>
        <v>0</v>
      </c>
      <c r="AK147" s="3">
        <f t="shared" si="107"/>
        <v>0</v>
      </c>
      <c r="AL147">
        <f t="shared" si="108"/>
        <v>0</v>
      </c>
      <c r="AM147" s="3">
        <f t="shared" si="109"/>
        <v>0</v>
      </c>
      <c r="AN147" s="3">
        <f t="shared" si="110"/>
        <v>0</v>
      </c>
      <c r="AO147">
        <f t="shared" si="111"/>
        <v>0</v>
      </c>
      <c r="AP147" s="3">
        <f t="shared" si="112"/>
        <v>0</v>
      </c>
      <c r="AQ147" s="3">
        <f t="shared" si="113"/>
        <v>0</v>
      </c>
      <c r="AR147">
        <f t="shared" si="114"/>
        <v>0</v>
      </c>
    </row>
    <row r="148" spans="4:44" x14ac:dyDescent="0.25">
      <c r="D148" s="1">
        <v>42530</v>
      </c>
      <c r="E148" s="2">
        <v>98.606817000000007</v>
      </c>
      <c r="F148" s="3">
        <v>208.692365</v>
      </c>
      <c r="G148" s="2">
        <f t="shared" si="79"/>
        <v>0.70256600000000446</v>
      </c>
      <c r="H148" s="2">
        <f t="shared" si="80"/>
        <v>-0.28536199999999212</v>
      </c>
      <c r="I148" s="4">
        <f t="shared" si="77"/>
        <v>0.64018673036451146</v>
      </c>
      <c r="J148" s="4">
        <f t="shared" si="78"/>
        <v>-0.38658293898067531</v>
      </c>
      <c r="K148" s="4">
        <f t="shared" si="81"/>
        <v>1.7976558356922594</v>
      </c>
      <c r="L148" s="4">
        <f t="shared" si="82"/>
        <v>1.3407668834261455</v>
      </c>
      <c r="M148" s="4">
        <f t="shared" si="83"/>
        <v>1</v>
      </c>
      <c r="N148" s="4">
        <f t="shared" si="84"/>
        <v>1</v>
      </c>
      <c r="O148" s="3">
        <f t="shared" si="85"/>
        <v>0.70256600000000446</v>
      </c>
      <c r="P148" s="3">
        <f t="shared" si="86"/>
        <v>-0.28536199999999212</v>
      </c>
      <c r="Q148">
        <f t="shared" si="87"/>
        <v>1</v>
      </c>
      <c r="R148" s="3">
        <f t="shared" si="88"/>
        <v>0.70256600000000446</v>
      </c>
      <c r="S148" s="3">
        <f t="shared" si="89"/>
        <v>-0.28536199999999212</v>
      </c>
      <c r="T148">
        <f t="shared" si="90"/>
        <v>1</v>
      </c>
      <c r="U148" s="3">
        <f t="shared" si="91"/>
        <v>0</v>
      </c>
      <c r="V148" s="3">
        <f t="shared" si="92"/>
        <v>0</v>
      </c>
      <c r="W148">
        <f t="shared" si="93"/>
        <v>0</v>
      </c>
      <c r="X148" s="3">
        <f t="shared" si="94"/>
        <v>0</v>
      </c>
      <c r="Y148" s="3">
        <f t="shared" si="95"/>
        <v>0</v>
      </c>
      <c r="Z148">
        <f t="shared" si="96"/>
        <v>0</v>
      </c>
      <c r="AA148" s="3">
        <f t="shared" si="97"/>
        <v>0</v>
      </c>
      <c r="AB148" s="3">
        <f t="shared" si="98"/>
        <v>0</v>
      </c>
      <c r="AC148">
        <f t="shared" si="99"/>
        <v>0</v>
      </c>
      <c r="AD148" s="3">
        <f t="shared" si="100"/>
        <v>0</v>
      </c>
      <c r="AE148" s="3">
        <f t="shared" si="101"/>
        <v>0</v>
      </c>
      <c r="AF148">
        <f t="shared" si="102"/>
        <v>0</v>
      </c>
      <c r="AG148" s="3">
        <f t="shared" si="103"/>
        <v>0</v>
      </c>
      <c r="AH148" s="3">
        <f t="shared" si="104"/>
        <v>0</v>
      </c>
      <c r="AI148">
        <f t="shared" si="105"/>
        <v>0</v>
      </c>
      <c r="AJ148" s="3">
        <f t="shared" si="106"/>
        <v>0</v>
      </c>
      <c r="AK148" s="3">
        <f t="shared" si="107"/>
        <v>0</v>
      </c>
      <c r="AL148">
        <f t="shared" si="108"/>
        <v>0</v>
      </c>
      <c r="AM148" s="3">
        <f t="shared" si="109"/>
        <v>0</v>
      </c>
      <c r="AN148" s="3">
        <f t="shared" si="110"/>
        <v>0</v>
      </c>
      <c r="AO148">
        <f t="shared" si="111"/>
        <v>0</v>
      </c>
      <c r="AP148" s="3">
        <f t="shared" si="112"/>
        <v>0</v>
      </c>
      <c r="AQ148" s="3">
        <f t="shared" si="113"/>
        <v>0</v>
      </c>
      <c r="AR148">
        <f t="shared" si="114"/>
        <v>0</v>
      </c>
    </row>
    <row r="149" spans="4:44" x14ac:dyDescent="0.25">
      <c r="D149" s="1">
        <v>42529</v>
      </c>
      <c r="E149" s="2">
        <v>97.904251000000002</v>
      </c>
      <c r="F149" s="3">
        <v>208.97772699999999</v>
      </c>
      <c r="G149" s="2">
        <f t="shared" si="79"/>
        <v>-8.9054000000004407E-2</v>
      </c>
      <c r="H149" s="2">
        <f t="shared" si="80"/>
        <v>0.67898099999999317</v>
      </c>
      <c r="I149" s="4">
        <f t="shared" si="77"/>
        <v>-0.15143326963549741</v>
      </c>
      <c r="J149" s="4">
        <f t="shared" si="78"/>
        <v>0.57776006101930999</v>
      </c>
      <c r="K149" s="4">
        <f t="shared" si="81"/>
        <v>0.90881875268829138</v>
      </c>
      <c r="L149" s="4">
        <f t="shared" si="82"/>
        <v>0.95331985854082124</v>
      </c>
      <c r="M149" s="4">
        <f t="shared" si="83"/>
        <v>1</v>
      </c>
      <c r="N149" s="4">
        <f t="shared" si="84"/>
        <v>1</v>
      </c>
      <c r="O149" s="3">
        <f t="shared" si="85"/>
        <v>-8.9054000000004407E-2</v>
      </c>
      <c r="P149" s="3">
        <f t="shared" si="86"/>
        <v>0.67898099999999317</v>
      </c>
      <c r="Q149">
        <f t="shared" si="87"/>
        <v>1</v>
      </c>
      <c r="R149" s="3">
        <f t="shared" si="88"/>
        <v>0</v>
      </c>
      <c r="S149" s="3">
        <f t="shared" si="89"/>
        <v>0</v>
      </c>
      <c r="T149">
        <f t="shared" si="90"/>
        <v>0</v>
      </c>
      <c r="U149" s="3">
        <f t="shared" si="91"/>
        <v>0</v>
      </c>
      <c r="V149" s="3">
        <f t="shared" si="92"/>
        <v>0</v>
      </c>
      <c r="W149">
        <f t="shared" si="93"/>
        <v>0</v>
      </c>
      <c r="X149" s="3">
        <f t="shared" si="94"/>
        <v>0</v>
      </c>
      <c r="Y149" s="3">
        <f t="shared" si="95"/>
        <v>0</v>
      </c>
      <c r="Z149">
        <f t="shared" si="96"/>
        <v>0</v>
      </c>
      <c r="AA149" s="3">
        <f t="shared" si="97"/>
        <v>0</v>
      </c>
      <c r="AB149" s="3">
        <f t="shared" si="98"/>
        <v>0</v>
      </c>
      <c r="AC149">
        <f t="shared" si="99"/>
        <v>0</v>
      </c>
      <c r="AD149" s="3">
        <f t="shared" si="100"/>
        <v>0</v>
      </c>
      <c r="AE149" s="3">
        <f t="shared" si="101"/>
        <v>0</v>
      </c>
      <c r="AF149">
        <f t="shared" si="102"/>
        <v>0</v>
      </c>
      <c r="AG149" s="3">
        <f t="shared" si="103"/>
        <v>0</v>
      </c>
      <c r="AH149" s="3">
        <f t="shared" si="104"/>
        <v>0</v>
      </c>
      <c r="AI149">
        <f t="shared" si="105"/>
        <v>0</v>
      </c>
      <c r="AJ149" s="3">
        <f t="shared" si="106"/>
        <v>0</v>
      </c>
      <c r="AK149" s="3">
        <f t="shared" si="107"/>
        <v>0</v>
      </c>
      <c r="AL149">
        <f t="shared" si="108"/>
        <v>0</v>
      </c>
      <c r="AM149" s="3">
        <f t="shared" si="109"/>
        <v>0</v>
      </c>
      <c r="AN149" s="3">
        <f t="shared" si="110"/>
        <v>0</v>
      </c>
      <c r="AO149">
        <f t="shared" si="111"/>
        <v>0</v>
      </c>
      <c r="AP149" s="3">
        <f t="shared" si="112"/>
        <v>0</v>
      </c>
      <c r="AQ149" s="3">
        <f t="shared" si="113"/>
        <v>0</v>
      </c>
      <c r="AR149">
        <f t="shared" si="114"/>
        <v>0</v>
      </c>
    </row>
    <row r="150" spans="4:44" x14ac:dyDescent="0.25">
      <c r="D150" s="1">
        <v>42528</v>
      </c>
      <c r="E150" s="2">
        <v>97.993305000000007</v>
      </c>
      <c r="F150" s="3">
        <v>208.29874599999999</v>
      </c>
      <c r="G150" s="2">
        <f t="shared" si="79"/>
        <v>0.39581400000000144</v>
      </c>
      <c r="H150" s="2">
        <f t="shared" si="80"/>
        <v>0.32471599999999512</v>
      </c>
      <c r="I150" s="4">
        <f t="shared" si="77"/>
        <v>0.33343473036450844</v>
      </c>
      <c r="J150" s="4">
        <f t="shared" si="78"/>
        <v>0.22349506101931191</v>
      </c>
      <c r="K150" s="4">
        <f t="shared" si="81"/>
        <v>0.13783056495865179</v>
      </c>
      <c r="L150" s="4">
        <f t="shared" si="82"/>
        <v>0.37125539047756839</v>
      </c>
      <c r="M150" s="4">
        <f t="shared" si="83"/>
        <v>1</v>
      </c>
      <c r="N150" s="4">
        <f t="shared" si="84"/>
        <v>1</v>
      </c>
      <c r="O150" s="3">
        <f t="shared" si="85"/>
        <v>0.39581400000000144</v>
      </c>
      <c r="P150" s="3">
        <f t="shared" si="86"/>
        <v>0.32471599999999512</v>
      </c>
      <c r="Q150">
        <f t="shared" si="87"/>
        <v>1</v>
      </c>
      <c r="R150" s="3">
        <f t="shared" si="88"/>
        <v>0</v>
      </c>
      <c r="S150" s="3">
        <f t="shared" si="89"/>
        <v>0</v>
      </c>
      <c r="T150">
        <f t="shared" si="90"/>
        <v>0</v>
      </c>
      <c r="U150" s="3">
        <f t="shared" si="91"/>
        <v>0</v>
      </c>
      <c r="V150" s="3">
        <f t="shared" si="92"/>
        <v>0</v>
      </c>
      <c r="W150">
        <f t="shared" si="93"/>
        <v>0</v>
      </c>
      <c r="X150" s="3">
        <f t="shared" si="94"/>
        <v>0</v>
      </c>
      <c r="Y150" s="3">
        <f t="shared" si="95"/>
        <v>0</v>
      </c>
      <c r="Z150">
        <f t="shared" si="96"/>
        <v>0</v>
      </c>
      <c r="AA150" s="3">
        <f t="shared" si="97"/>
        <v>0</v>
      </c>
      <c r="AB150" s="3">
        <f t="shared" si="98"/>
        <v>0</v>
      </c>
      <c r="AC150">
        <f t="shared" si="99"/>
        <v>0</v>
      </c>
      <c r="AD150" s="3">
        <f t="shared" si="100"/>
        <v>0</v>
      </c>
      <c r="AE150" s="3">
        <f t="shared" si="101"/>
        <v>0</v>
      </c>
      <c r="AF150">
        <f t="shared" si="102"/>
        <v>0</v>
      </c>
      <c r="AG150" s="3">
        <f t="shared" si="103"/>
        <v>0</v>
      </c>
      <c r="AH150" s="3">
        <f t="shared" si="104"/>
        <v>0</v>
      </c>
      <c r="AI150">
        <f t="shared" si="105"/>
        <v>0</v>
      </c>
      <c r="AJ150" s="3">
        <f t="shared" si="106"/>
        <v>0</v>
      </c>
      <c r="AK150" s="3">
        <f t="shared" si="107"/>
        <v>0</v>
      </c>
      <c r="AL150">
        <f t="shared" si="108"/>
        <v>0</v>
      </c>
      <c r="AM150" s="3">
        <f t="shared" si="109"/>
        <v>0</v>
      </c>
      <c r="AN150" s="3">
        <f t="shared" si="110"/>
        <v>0</v>
      </c>
      <c r="AO150">
        <f t="shared" si="111"/>
        <v>0</v>
      </c>
      <c r="AP150" s="3">
        <f t="shared" si="112"/>
        <v>0</v>
      </c>
      <c r="AQ150" s="3">
        <f t="shared" si="113"/>
        <v>0</v>
      </c>
      <c r="AR150">
        <f t="shared" si="114"/>
        <v>0</v>
      </c>
    </row>
    <row r="151" spans="4:44" x14ac:dyDescent="0.25">
      <c r="D151" s="1">
        <v>42527</v>
      </c>
      <c r="E151" s="2">
        <v>97.597491000000005</v>
      </c>
      <c r="F151" s="3">
        <v>207.97403</v>
      </c>
      <c r="G151" s="2">
        <f t="shared" si="79"/>
        <v>0.70256700000000194</v>
      </c>
      <c r="H151" s="2">
        <f t="shared" si="80"/>
        <v>1.0529150000000129</v>
      </c>
      <c r="I151" s="4">
        <f t="shared" si="77"/>
        <v>0.64018773036450893</v>
      </c>
      <c r="J151" s="4">
        <f t="shared" si="78"/>
        <v>0.95169406101932974</v>
      </c>
      <c r="K151" s="4">
        <f t="shared" si="81"/>
        <v>1.0080008989728799</v>
      </c>
      <c r="L151" s="4">
        <f t="shared" si="82"/>
        <v>1.0039924795400013</v>
      </c>
      <c r="M151" s="4">
        <f t="shared" si="83"/>
        <v>1</v>
      </c>
      <c r="N151" s="4">
        <f t="shared" si="84"/>
        <v>1</v>
      </c>
      <c r="O151" s="3">
        <f t="shared" si="85"/>
        <v>0.70256700000000194</v>
      </c>
      <c r="P151" s="3">
        <f t="shared" si="86"/>
        <v>1.0529150000000129</v>
      </c>
      <c r="Q151">
        <f t="shared" si="87"/>
        <v>1</v>
      </c>
      <c r="R151" s="3">
        <f t="shared" si="88"/>
        <v>0.70256700000000194</v>
      </c>
      <c r="S151" s="3">
        <f t="shared" si="89"/>
        <v>1.0529150000000129</v>
      </c>
      <c r="T151">
        <f t="shared" si="90"/>
        <v>1</v>
      </c>
      <c r="U151" s="3">
        <f t="shared" si="91"/>
        <v>0</v>
      </c>
      <c r="V151" s="3">
        <f t="shared" si="92"/>
        <v>0</v>
      </c>
      <c r="W151">
        <f t="shared" si="93"/>
        <v>0</v>
      </c>
      <c r="X151" s="3">
        <f t="shared" si="94"/>
        <v>0</v>
      </c>
      <c r="Y151" s="3">
        <f t="shared" si="95"/>
        <v>0</v>
      </c>
      <c r="Z151">
        <f t="shared" si="96"/>
        <v>0</v>
      </c>
      <c r="AA151" s="3">
        <f t="shared" si="97"/>
        <v>0</v>
      </c>
      <c r="AB151" s="3">
        <f t="shared" si="98"/>
        <v>0</v>
      </c>
      <c r="AC151">
        <f t="shared" si="99"/>
        <v>0</v>
      </c>
      <c r="AD151" s="3">
        <f t="shared" si="100"/>
        <v>0</v>
      </c>
      <c r="AE151" s="3">
        <f t="shared" si="101"/>
        <v>0</v>
      </c>
      <c r="AF151">
        <f t="shared" si="102"/>
        <v>0</v>
      </c>
      <c r="AG151" s="3">
        <f t="shared" si="103"/>
        <v>0</v>
      </c>
      <c r="AH151" s="3">
        <f t="shared" si="104"/>
        <v>0</v>
      </c>
      <c r="AI151">
        <f t="shared" si="105"/>
        <v>0</v>
      </c>
      <c r="AJ151" s="3">
        <f t="shared" si="106"/>
        <v>0</v>
      </c>
      <c r="AK151" s="3">
        <f t="shared" si="107"/>
        <v>0</v>
      </c>
      <c r="AL151">
        <f t="shared" si="108"/>
        <v>0</v>
      </c>
      <c r="AM151" s="3">
        <f t="shared" si="109"/>
        <v>0</v>
      </c>
      <c r="AN151" s="3">
        <f t="shared" si="110"/>
        <v>0</v>
      </c>
      <c r="AO151">
        <f t="shared" si="111"/>
        <v>0</v>
      </c>
      <c r="AP151" s="3">
        <f t="shared" si="112"/>
        <v>0</v>
      </c>
      <c r="AQ151" s="3">
        <f t="shared" si="113"/>
        <v>0</v>
      </c>
      <c r="AR151">
        <f t="shared" si="114"/>
        <v>0</v>
      </c>
    </row>
    <row r="152" spans="4:44" x14ac:dyDescent="0.25">
      <c r="D152" s="1">
        <v>42524</v>
      </c>
      <c r="E152" s="2">
        <v>96.894924000000003</v>
      </c>
      <c r="F152" s="3">
        <v>206.92111499999999</v>
      </c>
      <c r="G152" s="2">
        <f t="shared" si="79"/>
        <v>0.19790299999999661</v>
      </c>
      <c r="H152" s="2">
        <f t="shared" si="80"/>
        <v>-0.6199410000000114</v>
      </c>
      <c r="I152" s="4">
        <f t="shared" si="77"/>
        <v>0.1355237303645036</v>
      </c>
      <c r="J152" s="4">
        <f t="shared" si="78"/>
        <v>-0.72116193898069458</v>
      </c>
      <c r="K152" s="4">
        <f t="shared" si="81"/>
        <v>1.2788813169405298</v>
      </c>
      <c r="L152" s="4">
        <f t="shared" si="82"/>
        <v>1.1308763490941571</v>
      </c>
      <c r="M152" s="4">
        <f t="shared" si="83"/>
        <v>1</v>
      </c>
      <c r="N152" s="4">
        <f t="shared" si="84"/>
        <v>1</v>
      </c>
      <c r="O152" s="3">
        <f t="shared" si="85"/>
        <v>0.19790299999999661</v>
      </c>
      <c r="P152" s="3">
        <f t="shared" si="86"/>
        <v>-0.6199410000000114</v>
      </c>
      <c r="Q152">
        <f t="shared" si="87"/>
        <v>1</v>
      </c>
      <c r="R152" s="3">
        <f t="shared" si="88"/>
        <v>0.19790299999999661</v>
      </c>
      <c r="S152" s="3">
        <f t="shared" si="89"/>
        <v>-0.6199410000000114</v>
      </c>
      <c r="T152">
        <f t="shared" si="90"/>
        <v>1</v>
      </c>
      <c r="U152" s="3">
        <f t="shared" si="91"/>
        <v>0</v>
      </c>
      <c r="V152" s="3">
        <f t="shared" si="92"/>
        <v>0</v>
      </c>
      <c r="W152">
        <f t="shared" si="93"/>
        <v>0</v>
      </c>
      <c r="X152" s="3">
        <f t="shared" si="94"/>
        <v>0</v>
      </c>
      <c r="Y152" s="3">
        <f t="shared" si="95"/>
        <v>0</v>
      </c>
      <c r="Z152">
        <f t="shared" si="96"/>
        <v>0</v>
      </c>
      <c r="AA152" s="3">
        <f t="shared" si="97"/>
        <v>0</v>
      </c>
      <c r="AB152" s="3">
        <f t="shared" si="98"/>
        <v>0</v>
      </c>
      <c r="AC152">
        <f t="shared" si="99"/>
        <v>0</v>
      </c>
      <c r="AD152" s="3">
        <f t="shared" si="100"/>
        <v>0</v>
      </c>
      <c r="AE152" s="3">
        <f t="shared" si="101"/>
        <v>0</v>
      </c>
      <c r="AF152">
        <f t="shared" si="102"/>
        <v>0</v>
      </c>
      <c r="AG152" s="3">
        <f t="shared" si="103"/>
        <v>0</v>
      </c>
      <c r="AH152" s="3">
        <f t="shared" si="104"/>
        <v>0</v>
      </c>
      <c r="AI152">
        <f t="shared" si="105"/>
        <v>0</v>
      </c>
      <c r="AJ152" s="3">
        <f t="shared" si="106"/>
        <v>0</v>
      </c>
      <c r="AK152" s="3">
        <f t="shared" si="107"/>
        <v>0</v>
      </c>
      <c r="AL152">
        <f t="shared" si="108"/>
        <v>0</v>
      </c>
      <c r="AM152" s="3">
        <f t="shared" si="109"/>
        <v>0</v>
      </c>
      <c r="AN152" s="3">
        <f t="shared" si="110"/>
        <v>0</v>
      </c>
      <c r="AO152">
        <f t="shared" si="111"/>
        <v>0</v>
      </c>
      <c r="AP152" s="3">
        <f t="shared" si="112"/>
        <v>0</v>
      </c>
      <c r="AQ152" s="3">
        <f t="shared" si="113"/>
        <v>0</v>
      </c>
      <c r="AR152">
        <f t="shared" si="114"/>
        <v>0</v>
      </c>
    </row>
    <row r="153" spans="4:44" x14ac:dyDescent="0.25">
      <c r="D153" s="1">
        <v>42523</v>
      </c>
      <c r="E153" s="2">
        <v>96.697021000000007</v>
      </c>
      <c r="F153" s="3">
        <v>207.541056</v>
      </c>
      <c r="G153" s="2">
        <f t="shared" si="79"/>
        <v>-0.73225099999999088</v>
      </c>
      <c r="H153" s="2">
        <f t="shared" si="80"/>
        <v>0.62977599999999256</v>
      </c>
      <c r="I153" s="4">
        <f t="shared" si="77"/>
        <v>-0.79463026963548389</v>
      </c>
      <c r="J153" s="4">
        <f t="shared" si="78"/>
        <v>0.52855506101930938</v>
      </c>
      <c r="K153" s="4">
        <f t="shared" si="81"/>
        <v>2.9632390133351771</v>
      </c>
      <c r="L153" s="4">
        <f t="shared" si="82"/>
        <v>1.7214061151672424</v>
      </c>
      <c r="M153" s="4">
        <f t="shared" si="83"/>
        <v>1</v>
      </c>
      <c r="N153" s="4">
        <f t="shared" si="84"/>
        <v>0.40496227087985692</v>
      </c>
      <c r="O153" s="3">
        <f t="shared" si="85"/>
        <v>-0.73225099999999088</v>
      </c>
      <c r="P153" s="3">
        <f t="shared" si="86"/>
        <v>0.62977599999999256</v>
      </c>
      <c r="Q153">
        <f t="shared" si="87"/>
        <v>1</v>
      </c>
      <c r="R153" s="3">
        <f t="shared" si="88"/>
        <v>-0.73225099999999088</v>
      </c>
      <c r="S153" s="3">
        <f t="shared" si="89"/>
        <v>0.62977599999999256</v>
      </c>
      <c r="T153">
        <f t="shared" si="90"/>
        <v>1</v>
      </c>
      <c r="U153" s="3">
        <f t="shared" si="91"/>
        <v>-0.73225099999999088</v>
      </c>
      <c r="V153" s="3">
        <f t="shared" si="92"/>
        <v>0.62977599999999256</v>
      </c>
      <c r="W153">
        <f t="shared" si="93"/>
        <v>1</v>
      </c>
      <c r="X153" s="3">
        <f t="shared" si="94"/>
        <v>0</v>
      </c>
      <c r="Y153" s="3">
        <f t="shared" si="95"/>
        <v>0</v>
      </c>
      <c r="Z153">
        <f t="shared" si="96"/>
        <v>0</v>
      </c>
      <c r="AA153" s="3">
        <f t="shared" si="97"/>
        <v>0</v>
      </c>
      <c r="AB153" s="3">
        <f t="shared" si="98"/>
        <v>0</v>
      </c>
      <c r="AC153">
        <f t="shared" si="99"/>
        <v>0</v>
      </c>
      <c r="AD153" s="3">
        <f t="shared" si="100"/>
        <v>0</v>
      </c>
      <c r="AE153" s="3">
        <f t="shared" si="101"/>
        <v>0</v>
      </c>
      <c r="AF153">
        <f t="shared" si="102"/>
        <v>0</v>
      </c>
      <c r="AG153" s="3">
        <f t="shared" si="103"/>
        <v>0</v>
      </c>
      <c r="AH153" s="3">
        <f t="shared" si="104"/>
        <v>0</v>
      </c>
      <c r="AI153">
        <f t="shared" si="105"/>
        <v>0</v>
      </c>
      <c r="AJ153" s="3">
        <f t="shared" si="106"/>
        <v>0</v>
      </c>
      <c r="AK153" s="3">
        <f t="shared" si="107"/>
        <v>0</v>
      </c>
      <c r="AL153">
        <f t="shared" si="108"/>
        <v>0</v>
      </c>
      <c r="AM153" s="3">
        <f t="shared" si="109"/>
        <v>0</v>
      </c>
      <c r="AN153" s="3">
        <f t="shared" si="110"/>
        <v>0</v>
      </c>
      <c r="AO153">
        <f t="shared" si="111"/>
        <v>0</v>
      </c>
      <c r="AP153" s="3">
        <f t="shared" si="112"/>
        <v>0</v>
      </c>
      <c r="AQ153" s="3">
        <f t="shared" si="113"/>
        <v>0</v>
      </c>
      <c r="AR153">
        <f t="shared" si="114"/>
        <v>0</v>
      </c>
    </row>
    <row r="154" spans="4:44" x14ac:dyDescent="0.25">
      <c r="D154" s="1">
        <v>42522</v>
      </c>
      <c r="E154" s="2">
        <v>97.429271999999997</v>
      </c>
      <c r="F154" s="3">
        <v>206.91128</v>
      </c>
      <c r="G154" s="2">
        <f t="shared" si="79"/>
        <v>-1.3853459999999984</v>
      </c>
      <c r="H154" s="2">
        <f t="shared" si="80"/>
        <v>0.42314000000001784</v>
      </c>
      <c r="I154" s="4">
        <f t="shared" si="77"/>
        <v>-1.4477252696354914</v>
      </c>
      <c r="J154" s="4">
        <f t="shared" si="78"/>
        <v>0.32191906101933465</v>
      </c>
      <c r="K154" s="4">
        <f t="shared" si="81"/>
        <v>5.8652156015852892</v>
      </c>
      <c r="L154" s="4">
        <f t="shared" si="82"/>
        <v>2.4218207203641828</v>
      </c>
      <c r="M154" s="4">
        <f t="shared" si="83"/>
        <v>0.82582496019740415</v>
      </c>
      <c r="N154" s="4">
        <f t="shared" si="84"/>
        <v>0.20459605946551326</v>
      </c>
      <c r="O154" s="3">
        <f t="shared" si="85"/>
        <v>-1.3853459999999984</v>
      </c>
      <c r="P154" s="3">
        <f t="shared" si="86"/>
        <v>0.42314000000001784</v>
      </c>
      <c r="Q154">
        <f t="shared" si="87"/>
        <v>1</v>
      </c>
      <c r="R154" s="3">
        <f t="shared" si="88"/>
        <v>-1.3853459999999984</v>
      </c>
      <c r="S154" s="3">
        <f t="shared" si="89"/>
        <v>0.42314000000001784</v>
      </c>
      <c r="T154">
        <f t="shared" si="90"/>
        <v>1</v>
      </c>
      <c r="U154" s="3">
        <f t="shared" si="91"/>
        <v>-1.3853459999999984</v>
      </c>
      <c r="V154" s="3">
        <f t="shared" si="92"/>
        <v>0.42314000000001784</v>
      </c>
      <c r="W154">
        <f t="shared" si="93"/>
        <v>1</v>
      </c>
      <c r="X154" s="3">
        <f t="shared" si="94"/>
        <v>-1.3853459999999984</v>
      </c>
      <c r="Y154" s="3">
        <f t="shared" si="95"/>
        <v>0.42314000000001784</v>
      </c>
      <c r="Z154">
        <f t="shared" si="96"/>
        <v>1</v>
      </c>
      <c r="AA154" s="3">
        <f t="shared" si="97"/>
        <v>-1.3853459999999984</v>
      </c>
      <c r="AB154" s="3">
        <f t="shared" si="98"/>
        <v>0.42314000000001784</v>
      </c>
      <c r="AC154">
        <f t="shared" si="99"/>
        <v>1</v>
      </c>
      <c r="AD154" s="3">
        <f t="shared" si="100"/>
        <v>-1.3853459999999984</v>
      </c>
      <c r="AE154" s="3">
        <f t="shared" si="101"/>
        <v>0.42314000000001784</v>
      </c>
      <c r="AF154">
        <f t="shared" si="102"/>
        <v>1</v>
      </c>
      <c r="AG154" s="3">
        <f t="shared" si="103"/>
        <v>0</v>
      </c>
      <c r="AH154" s="3">
        <f t="shared" si="104"/>
        <v>0</v>
      </c>
      <c r="AI154">
        <f t="shared" si="105"/>
        <v>0</v>
      </c>
      <c r="AJ154" s="3">
        <f t="shared" si="106"/>
        <v>0</v>
      </c>
      <c r="AK154" s="3">
        <f t="shared" si="107"/>
        <v>0</v>
      </c>
      <c r="AL154">
        <f t="shared" si="108"/>
        <v>0</v>
      </c>
      <c r="AM154" s="3">
        <f t="shared" si="109"/>
        <v>0</v>
      </c>
      <c r="AN154" s="3">
        <f t="shared" si="110"/>
        <v>0</v>
      </c>
      <c r="AO154">
        <f t="shared" si="111"/>
        <v>0</v>
      </c>
      <c r="AP154" s="3">
        <f t="shared" si="112"/>
        <v>0</v>
      </c>
      <c r="AQ154" s="3">
        <f t="shared" si="113"/>
        <v>0</v>
      </c>
      <c r="AR154">
        <f t="shared" si="114"/>
        <v>0</v>
      </c>
    </row>
    <row r="155" spans="4:44" x14ac:dyDescent="0.25">
      <c r="D155" s="1">
        <v>42521</v>
      </c>
      <c r="E155" s="2">
        <v>98.814617999999996</v>
      </c>
      <c r="F155" s="3">
        <v>206.48813999999999</v>
      </c>
      <c r="G155" s="2">
        <f t="shared" si="79"/>
        <v>-0.48486800000000585</v>
      </c>
      <c r="H155" s="2">
        <f t="shared" si="80"/>
        <v>-0.39362000000002695</v>
      </c>
      <c r="I155" s="4">
        <f t="shared" si="77"/>
        <v>-0.54724726963549886</v>
      </c>
      <c r="J155" s="4">
        <f t="shared" si="78"/>
        <v>-0.49484093898071013</v>
      </c>
      <c r="K155" s="4">
        <f t="shared" si="81"/>
        <v>0.39859945096668875</v>
      </c>
      <c r="L155" s="4">
        <f t="shared" si="82"/>
        <v>0.63134732989590503</v>
      </c>
      <c r="M155" s="4">
        <f t="shared" si="83"/>
        <v>1</v>
      </c>
      <c r="N155" s="4">
        <f t="shared" si="84"/>
        <v>1</v>
      </c>
      <c r="O155" s="3">
        <f t="shared" si="85"/>
        <v>-0.48486800000000585</v>
      </c>
      <c r="P155" s="3">
        <f t="shared" si="86"/>
        <v>-0.39362000000002695</v>
      </c>
      <c r="Q155">
        <f t="shared" si="87"/>
        <v>1</v>
      </c>
      <c r="R155" s="3">
        <f t="shared" si="88"/>
        <v>0</v>
      </c>
      <c r="S155" s="3">
        <f t="shared" si="89"/>
        <v>0</v>
      </c>
      <c r="T155">
        <f t="shared" si="90"/>
        <v>0</v>
      </c>
      <c r="U155" s="3">
        <f t="shared" si="91"/>
        <v>0</v>
      </c>
      <c r="V155" s="3">
        <f t="shared" si="92"/>
        <v>0</v>
      </c>
      <c r="W155">
        <f t="shared" si="93"/>
        <v>0</v>
      </c>
      <c r="X155" s="3">
        <f t="shared" si="94"/>
        <v>0</v>
      </c>
      <c r="Y155" s="3">
        <f t="shared" si="95"/>
        <v>0</v>
      </c>
      <c r="Z155">
        <f t="shared" si="96"/>
        <v>0</v>
      </c>
      <c r="AA155" s="3">
        <f t="shared" si="97"/>
        <v>0</v>
      </c>
      <c r="AB155" s="3">
        <f t="shared" si="98"/>
        <v>0</v>
      </c>
      <c r="AC155">
        <f t="shared" si="99"/>
        <v>0</v>
      </c>
      <c r="AD155" s="3">
        <f t="shared" si="100"/>
        <v>0</v>
      </c>
      <c r="AE155" s="3">
        <f t="shared" si="101"/>
        <v>0</v>
      </c>
      <c r="AF155">
        <f t="shared" si="102"/>
        <v>0</v>
      </c>
      <c r="AG155" s="3">
        <f t="shared" si="103"/>
        <v>0</v>
      </c>
      <c r="AH155" s="3">
        <f t="shared" si="104"/>
        <v>0</v>
      </c>
      <c r="AI155">
        <f t="shared" si="105"/>
        <v>0</v>
      </c>
      <c r="AJ155" s="3">
        <f t="shared" si="106"/>
        <v>0</v>
      </c>
      <c r="AK155" s="3">
        <f t="shared" si="107"/>
        <v>0</v>
      </c>
      <c r="AL155">
        <f t="shared" si="108"/>
        <v>0</v>
      </c>
      <c r="AM155" s="3">
        <f t="shared" si="109"/>
        <v>0</v>
      </c>
      <c r="AN155" s="3">
        <f t="shared" si="110"/>
        <v>0</v>
      </c>
      <c r="AO155">
        <f t="shared" si="111"/>
        <v>0</v>
      </c>
      <c r="AP155" s="3">
        <f t="shared" si="112"/>
        <v>0</v>
      </c>
      <c r="AQ155" s="3">
        <f t="shared" si="113"/>
        <v>0</v>
      </c>
      <c r="AR155">
        <f t="shared" si="114"/>
        <v>0</v>
      </c>
    </row>
    <row r="156" spans="4:44" x14ac:dyDescent="0.25">
      <c r="D156" s="1">
        <v>42517</v>
      </c>
      <c r="E156" s="2">
        <v>99.299486000000002</v>
      </c>
      <c r="F156" s="3">
        <v>206.88176000000001</v>
      </c>
      <c r="G156" s="2">
        <f t="shared" si="79"/>
        <v>-5.9376999999997793E-2</v>
      </c>
      <c r="H156" s="2">
        <f t="shared" si="80"/>
        <v>0.88563300000001277</v>
      </c>
      <c r="I156" s="4">
        <f t="shared" si="77"/>
        <v>-0.1217562696354908</v>
      </c>
      <c r="J156" s="4">
        <f t="shared" si="78"/>
        <v>0.78441206101932959</v>
      </c>
      <c r="K156" s="4">
        <f t="shared" si="81"/>
        <v>1.4461299822096592</v>
      </c>
      <c r="L156" s="4">
        <f t="shared" si="82"/>
        <v>1.2025514468036946</v>
      </c>
      <c r="M156" s="4">
        <f t="shared" si="83"/>
        <v>1</v>
      </c>
      <c r="N156" s="4">
        <f t="shared" si="84"/>
        <v>1</v>
      </c>
      <c r="O156" s="3">
        <f t="shared" si="85"/>
        <v>-5.9376999999997793E-2</v>
      </c>
      <c r="P156" s="3">
        <f t="shared" si="86"/>
        <v>0.88563300000001277</v>
      </c>
      <c r="Q156">
        <f t="shared" si="87"/>
        <v>1</v>
      </c>
      <c r="R156" s="3">
        <f t="shared" si="88"/>
        <v>-5.9376999999997793E-2</v>
      </c>
      <c r="S156" s="3">
        <f t="shared" si="89"/>
        <v>0.88563300000001277</v>
      </c>
      <c r="T156">
        <f t="shared" si="90"/>
        <v>1</v>
      </c>
      <c r="U156" s="3">
        <f t="shared" si="91"/>
        <v>0</v>
      </c>
      <c r="V156" s="3">
        <f t="shared" si="92"/>
        <v>0</v>
      </c>
      <c r="W156">
        <f t="shared" si="93"/>
        <v>0</v>
      </c>
      <c r="X156" s="3">
        <f t="shared" si="94"/>
        <v>0</v>
      </c>
      <c r="Y156" s="3">
        <f t="shared" si="95"/>
        <v>0</v>
      </c>
      <c r="Z156">
        <f t="shared" si="96"/>
        <v>0</v>
      </c>
      <c r="AA156" s="3">
        <f t="shared" si="97"/>
        <v>0</v>
      </c>
      <c r="AB156" s="3">
        <f t="shared" si="98"/>
        <v>0</v>
      </c>
      <c r="AC156">
        <f t="shared" si="99"/>
        <v>0</v>
      </c>
      <c r="AD156" s="3">
        <f t="shared" si="100"/>
        <v>0</v>
      </c>
      <c r="AE156" s="3">
        <f t="shared" si="101"/>
        <v>0</v>
      </c>
      <c r="AF156">
        <f t="shared" si="102"/>
        <v>0</v>
      </c>
      <c r="AG156" s="3">
        <f t="shared" si="103"/>
        <v>0</v>
      </c>
      <c r="AH156" s="3">
        <f t="shared" si="104"/>
        <v>0</v>
      </c>
      <c r="AI156">
        <f t="shared" si="105"/>
        <v>0</v>
      </c>
      <c r="AJ156" s="3">
        <f t="shared" si="106"/>
        <v>0</v>
      </c>
      <c r="AK156" s="3">
        <f t="shared" si="107"/>
        <v>0</v>
      </c>
      <c r="AL156">
        <f t="shared" si="108"/>
        <v>0</v>
      </c>
      <c r="AM156" s="3">
        <f t="shared" si="109"/>
        <v>0</v>
      </c>
      <c r="AN156" s="3">
        <f t="shared" si="110"/>
        <v>0</v>
      </c>
      <c r="AO156">
        <f t="shared" si="111"/>
        <v>0</v>
      </c>
      <c r="AP156" s="3">
        <f t="shared" si="112"/>
        <v>0</v>
      </c>
      <c r="AQ156" s="3">
        <f t="shared" si="113"/>
        <v>0</v>
      </c>
      <c r="AR156">
        <f t="shared" si="114"/>
        <v>0</v>
      </c>
    </row>
    <row r="157" spans="4:44" x14ac:dyDescent="0.25">
      <c r="D157" s="1">
        <v>42516</v>
      </c>
      <c r="E157" s="2">
        <v>99.358862999999999</v>
      </c>
      <c r="F157" s="3">
        <v>205.996127</v>
      </c>
      <c r="G157" s="2">
        <f t="shared" si="79"/>
        <v>0.78173099999999351</v>
      </c>
      <c r="H157" s="2">
        <f t="shared" si="80"/>
        <v>5.903900000001272E-2</v>
      </c>
      <c r="I157" s="4">
        <f t="shared" si="77"/>
        <v>0.71935173036450051</v>
      </c>
      <c r="J157" s="4">
        <f t="shared" si="78"/>
        <v>-4.2181938980670491E-2</v>
      </c>
      <c r="K157" s="4">
        <f t="shared" si="81"/>
        <v>1.1830525673286778</v>
      </c>
      <c r="L157" s="4">
        <f t="shared" si="82"/>
        <v>1.0876821996009118</v>
      </c>
      <c r="M157" s="4">
        <f t="shared" si="83"/>
        <v>1</v>
      </c>
      <c r="N157" s="4">
        <f t="shared" si="84"/>
        <v>1</v>
      </c>
      <c r="O157" s="3">
        <f t="shared" si="85"/>
        <v>0.78173099999999351</v>
      </c>
      <c r="P157" s="3">
        <f t="shared" si="86"/>
        <v>5.903900000001272E-2</v>
      </c>
      <c r="Q157">
        <f t="shared" si="87"/>
        <v>1</v>
      </c>
      <c r="R157" s="3">
        <f t="shared" si="88"/>
        <v>0.78173099999999351</v>
      </c>
      <c r="S157" s="3">
        <f t="shared" si="89"/>
        <v>5.903900000001272E-2</v>
      </c>
      <c r="T157">
        <f t="shared" si="90"/>
        <v>1</v>
      </c>
      <c r="U157" s="3">
        <f t="shared" si="91"/>
        <v>0</v>
      </c>
      <c r="V157" s="3">
        <f t="shared" si="92"/>
        <v>0</v>
      </c>
      <c r="W157">
        <f t="shared" si="93"/>
        <v>0</v>
      </c>
      <c r="X157" s="3">
        <f t="shared" si="94"/>
        <v>0</v>
      </c>
      <c r="Y157" s="3">
        <f t="shared" si="95"/>
        <v>0</v>
      </c>
      <c r="Z157">
        <f t="shared" si="96"/>
        <v>0</v>
      </c>
      <c r="AA157" s="3">
        <f t="shared" si="97"/>
        <v>0</v>
      </c>
      <c r="AB157" s="3">
        <f t="shared" si="98"/>
        <v>0</v>
      </c>
      <c r="AC157">
        <f t="shared" si="99"/>
        <v>0</v>
      </c>
      <c r="AD157" s="3">
        <f t="shared" si="100"/>
        <v>0</v>
      </c>
      <c r="AE157" s="3">
        <f t="shared" si="101"/>
        <v>0</v>
      </c>
      <c r="AF157">
        <f t="shared" si="102"/>
        <v>0</v>
      </c>
      <c r="AG157" s="3">
        <f t="shared" si="103"/>
        <v>0</v>
      </c>
      <c r="AH157" s="3">
        <f t="shared" si="104"/>
        <v>0</v>
      </c>
      <c r="AI157">
        <f t="shared" si="105"/>
        <v>0</v>
      </c>
      <c r="AJ157" s="3">
        <f t="shared" si="106"/>
        <v>0</v>
      </c>
      <c r="AK157" s="3">
        <f t="shared" si="107"/>
        <v>0</v>
      </c>
      <c r="AL157">
        <f t="shared" si="108"/>
        <v>0</v>
      </c>
      <c r="AM157" s="3">
        <f t="shared" si="109"/>
        <v>0</v>
      </c>
      <c r="AN157" s="3">
        <f t="shared" si="110"/>
        <v>0</v>
      </c>
      <c r="AO157">
        <f t="shared" si="111"/>
        <v>0</v>
      </c>
      <c r="AP157" s="3">
        <f t="shared" si="112"/>
        <v>0</v>
      </c>
      <c r="AQ157" s="3">
        <f t="shared" si="113"/>
        <v>0</v>
      </c>
      <c r="AR157">
        <f t="shared" si="114"/>
        <v>0</v>
      </c>
    </row>
    <row r="158" spans="4:44" x14ac:dyDescent="0.25">
      <c r="D158" s="1">
        <v>42515</v>
      </c>
      <c r="E158" s="2">
        <v>98.577132000000006</v>
      </c>
      <c r="F158" s="3">
        <v>205.93708799999999</v>
      </c>
      <c r="G158" s="2">
        <f t="shared" si="79"/>
        <v>1.7019950000000108</v>
      </c>
      <c r="H158" s="2">
        <f t="shared" si="80"/>
        <v>1.3874809999999798</v>
      </c>
      <c r="I158" s="4">
        <f t="shared" si="77"/>
        <v>1.6396157303645178</v>
      </c>
      <c r="J158" s="4">
        <f t="shared" si="78"/>
        <v>1.2862600610192965</v>
      </c>
      <c r="K158" s="4">
        <f t="shared" si="81"/>
        <v>3.3828316869131827</v>
      </c>
      <c r="L158" s="4">
        <f t="shared" si="82"/>
        <v>1.8392475871706839</v>
      </c>
      <c r="M158" s="4">
        <f t="shared" si="83"/>
        <v>1</v>
      </c>
      <c r="N158" s="4">
        <f t="shared" si="84"/>
        <v>0.35473239908515641</v>
      </c>
      <c r="O158" s="3">
        <f t="shared" si="85"/>
        <v>1.7019950000000108</v>
      </c>
      <c r="P158" s="3">
        <f t="shared" si="86"/>
        <v>1.3874809999999798</v>
      </c>
      <c r="Q158">
        <f t="shared" si="87"/>
        <v>1</v>
      </c>
      <c r="R158" s="3">
        <f t="shared" si="88"/>
        <v>1.7019950000000108</v>
      </c>
      <c r="S158" s="3">
        <f t="shared" si="89"/>
        <v>1.3874809999999798</v>
      </c>
      <c r="T158">
        <f t="shared" si="90"/>
        <v>1</v>
      </c>
      <c r="U158" s="3">
        <f t="shared" si="91"/>
        <v>1.7019950000000108</v>
      </c>
      <c r="V158" s="3">
        <f t="shared" si="92"/>
        <v>1.3874809999999798</v>
      </c>
      <c r="W158">
        <f t="shared" si="93"/>
        <v>1</v>
      </c>
      <c r="X158" s="3">
        <f t="shared" si="94"/>
        <v>1.7019950000000108</v>
      </c>
      <c r="Y158" s="3">
        <f t="shared" si="95"/>
        <v>1.3874809999999798</v>
      </c>
      <c r="Z158">
        <f t="shared" si="96"/>
        <v>1</v>
      </c>
      <c r="AA158" s="3">
        <f t="shared" si="97"/>
        <v>0</v>
      </c>
      <c r="AB158" s="3">
        <f t="shared" si="98"/>
        <v>0</v>
      </c>
      <c r="AC158">
        <f t="shared" si="99"/>
        <v>0</v>
      </c>
      <c r="AD158" s="3">
        <f t="shared" si="100"/>
        <v>0</v>
      </c>
      <c r="AE158" s="3">
        <f t="shared" si="101"/>
        <v>0</v>
      </c>
      <c r="AF158">
        <f t="shared" si="102"/>
        <v>0</v>
      </c>
      <c r="AG158" s="3">
        <f t="shared" si="103"/>
        <v>0</v>
      </c>
      <c r="AH158" s="3">
        <f t="shared" si="104"/>
        <v>0</v>
      </c>
      <c r="AI158">
        <f t="shared" si="105"/>
        <v>0</v>
      </c>
      <c r="AJ158" s="3">
        <f t="shared" si="106"/>
        <v>0</v>
      </c>
      <c r="AK158" s="3">
        <f t="shared" si="107"/>
        <v>0</v>
      </c>
      <c r="AL158">
        <f t="shared" si="108"/>
        <v>0</v>
      </c>
      <c r="AM158" s="3">
        <f t="shared" si="109"/>
        <v>0</v>
      </c>
      <c r="AN158" s="3">
        <f t="shared" si="110"/>
        <v>0</v>
      </c>
      <c r="AO158">
        <f t="shared" si="111"/>
        <v>0</v>
      </c>
      <c r="AP158" s="3">
        <f t="shared" si="112"/>
        <v>0</v>
      </c>
      <c r="AQ158" s="3">
        <f t="shared" si="113"/>
        <v>0</v>
      </c>
      <c r="AR158">
        <f t="shared" si="114"/>
        <v>0</v>
      </c>
    </row>
    <row r="159" spans="4:44" x14ac:dyDescent="0.25">
      <c r="D159" s="1">
        <v>42514</v>
      </c>
      <c r="E159" s="2">
        <v>96.875136999999995</v>
      </c>
      <c r="F159" s="3">
        <v>204.54960700000001</v>
      </c>
      <c r="G159" s="2">
        <f t="shared" si="79"/>
        <v>1.4546129999999948</v>
      </c>
      <c r="H159" s="2">
        <f t="shared" si="80"/>
        <v>2.6175000000000068</v>
      </c>
      <c r="I159" s="4">
        <f t="shared" si="77"/>
        <v>1.3922337303645018</v>
      </c>
      <c r="J159" s="4">
        <f t="shared" si="78"/>
        <v>2.5162790610193237</v>
      </c>
      <c r="K159" s="4">
        <f t="shared" si="81"/>
        <v>7.0369832914232715</v>
      </c>
      <c r="L159" s="4">
        <f t="shared" si="82"/>
        <v>2.6527312889592252</v>
      </c>
      <c r="M159" s="4">
        <f t="shared" si="83"/>
        <v>0.75393991405163452</v>
      </c>
      <c r="N159" s="4">
        <f t="shared" si="84"/>
        <v>0.17052761820005585</v>
      </c>
      <c r="O159" s="3">
        <f t="shared" si="85"/>
        <v>1.4546129999999948</v>
      </c>
      <c r="P159" s="3">
        <f t="shared" si="86"/>
        <v>2.6175000000000068</v>
      </c>
      <c r="Q159">
        <f t="shared" si="87"/>
        <v>1</v>
      </c>
      <c r="R159" s="3">
        <f t="shared" si="88"/>
        <v>1.4546129999999948</v>
      </c>
      <c r="S159" s="3">
        <f t="shared" si="89"/>
        <v>2.6175000000000068</v>
      </c>
      <c r="T159">
        <f t="shared" si="90"/>
        <v>1</v>
      </c>
      <c r="U159" s="3">
        <f t="shared" si="91"/>
        <v>1.4546129999999948</v>
      </c>
      <c r="V159" s="3">
        <f t="shared" si="92"/>
        <v>2.6175000000000068</v>
      </c>
      <c r="W159">
        <f t="shared" si="93"/>
        <v>1</v>
      </c>
      <c r="X159" s="3">
        <f t="shared" si="94"/>
        <v>1.4546129999999948</v>
      </c>
      <c r="Y159" s="3">
        <f t="shared" si="95"/>
        <v>2.6175000000000068</v>
      </c>
      <c r="Z159">
        <f t="shared" si="96"/>
        <v>1</v>
      </c>
      <c r="AA159" s="3">
        <f t="shared" si="97"/>
        <v>1.4546129999999948</v>
      </c>
      <c r="AB159" s="3">
        <f t="shared" si="98"/>
        <v>2.6175000000000068</v>
      </c>
      <c r="AC159">
        <f t="shared" si="99"/>
        <v>1</v>
      </c>
      <c r="AD159" s="3">
        <f t="shared" si="100"/>
        <v>1.4546129999999948</v>
      </c>
      <c r="AE159" s="3">
        <f t="shared" si="101"/>
        <v>2.6175000000000068</v>
      </c>
      <c r="AF159">
        <f t="shared" si="102"/>
        <v>1</v>
      </c>
      <c r="AG159" s="3">
        <f t="shared" si="103"/>
        <v>1.4546129999999948</v>
      </c>
      <c r="AH159" s="3">
        <f t="shared" si="104"/>
        <v>2.6175000000000068</v>
      </c>
      <c r="AI159">
        <f t="shared" si="105"/>
        <v>1</v>
      </c>
      <c r="AJ159" s="3">
        <f t="shared" si="106"/>
        <v>1.4546129999999948</v>
      </c>
      <c r="AK159" s="3">
        <f t="shared" si="107"/>
        <v>2.6175000000000068</v>
      </c>
      <c r="AL159">
        <f t="shared" si="108"/>
        <v>1</v>
      </c>
      <c r="AM159" s="3">
        <f t="shared" si="109"/>
        <v>0</v>
      </c>
      <c r="AN159" s="3">
        <f t="shared" si="110"/>
        <v>0</v>
      </c>
      <c r="AO159">
        <f t="shared" si="111"/>
        <v>0</v>
      </c>
      <c r="AP159" s="3">
        <f t="shared" si="112"/>
        <v>0</v>
      </c>
      <c r="AQ159" s="3">
        <f t="shared" si="113"/>
        <v>0</v>
      </c>
      <c r="AR159">
        <f t="shared" si="114"/>
        <v>0</v>
      </c>
    </row>
    <row r="160" spans="4:44" x14ac:dyDescent="0.25">
      <c r="D160" s="1">
        <v>42513</v>
      </c>
      <c r="E160" s="2">
        <v>95.420524</v>
      </c>
      <c r="F160" s="3">
        <v>201.932107</v>
      </c>
      <c r="G160" s="2">
        <f t="shared" si="79"/>
        <v>1.1973320000000029</v>
      </c>
      <c r="H160" s="2">
        <f t="shared" si="80"/>
        <v>-0.27552700000001096</v>
      </c>
      <c r="I160" s="4">
        <f t="shared" si="77"/>
        <v>1.1349527303645099</v>
      </c>
      <c r="J160" s="4">
        <f t="shared" si="78"/>
        <v>-0.37674793898069414</v>
      </c>
      <c r="K160" s="4">
        <f t="shared" si="81"/>
        <v>4.119438469016405</v>
      </c>
      <c r="L160" s="4">
        <f t="shared" si="82"/>
        <v>2.0296399850752853</v>
      </c>
      <c r="M160" s="4">
        <f t="shared" si="83"/>
        <v>0.98539643222776485</v>
      </c>
      <c r="N160" s="4">
        <f t="shared" si="84"/>
        <v>0.29130183859416231</v>
      </c>
      <c r="O160" s="3">
        <f t="shared" si="85"/>
        <v>1.1973320000000029</v>
      </c>
      <c r="P160" s="3">
        <f t="shared" si="86"/>
        <v>-0.27552700000001096</v>
      </c>
      <c r="Q160">
        <f t="shared" si="87"/>
        <v>1</v>
      </c>
      <c r="R160" s="3">
        <f t="shared" si="88"/>
        <v>1.1973320000000029</v>
      </c>
      <c r="S160" s="3">
        <f t="shared" si="89"/>
        <v>-0.27552700000001096</v>
      </c>
      <c r="T160">
        <f t="shared" si="90"/>
        <v>1</v>
      </c>
      <c r="U160" s="3">
        <f t="shared" si="91"/>
        <v>1.1973320000000029</v>
      </c>
      <c r="V160" s="3">
        <f t="shared" si="92"/>
        <v>-0.27552700000001096</v>
      </c>
      <c r="W160">
        <f t="shared" si="93"/>
        <v>1</v>
      </c>
      <c r="X160" s="3">
        <f t="shared" si="94"/>
        <v>1.1973320000000029</v>
      </c>
      <c r="Y160" s="3">
        <f t="shared" si="95"/>
        <v>-0.27552700000001096</v>
      </c>
      <c r="Z160">
        <f t="shared" si="96"/>
        <v>1</v>
      </c>
      <c r="AA160" s="3">
        <f t="shared" si="97"/>
        <v>1.1973320000000029</v>
      </c>
      <c r="AB160" s="3">
        <f t="shared" si="98"/>
        <v>-0.27552700000001096</v>
      </c>
      <c r="AC160">
        <f t="shared" si="99"/>
        <v>1</v>
      </c>
      <c r="AD160" s="3">
        <f t="shared" si="100"/>
        <v>0</v>
      </c>
      <c r="AE160" s="3">
        <f t="shared" si="101"/>
        <v>0</v>
      </c>
      <c r="AF160">
        <f t="shared" si="102"/>
        <v>0</v>
      </c>
      <c r="AG160" s="3">
        <f t="shared" si="103"/>
        <v>0</v>
      </c>
      <c r="AH160" s="3">
        <f t="shared" si="104"/>
        <v>0</v>
      </c>
      <c r="AI160">
        <f t="shared" si="105"/>
        <v>0</v>
      </c>
      <c r="AJ160" s="3">
        <f t="shared" si="106"/>
        <v>0</v>
      </c>
      <c r="AK160" s="3">
        <f t="shared" si="107"/>
        <v>0</v>
      </c>
      <c r="AL160">
        <f t="shared" si="108"/>
        <v>0</v>
      </c>
      <c r="AM160" s="3">
        <f t="shared" si="109"/>
        <v>0</v>
      </c>
      <c r="AN160" s="3">
        <f t="shared" si="110"/>
        <v>0</v>
      </c>
      <c r="AO160">
        <f t="shared" si="111"/>
        <v>0</v>
      </c>
      <c r="AP160" s="3">
        <f t="shared" si="112"/>
        <v>0</v>
      </c>
      <c r="AQ160" s="3">
        <f t="shared" si="113"/>
        <v>0</v>
      </c>
      <c r="AR160">
        <f t="shared" si="114"/>
        <v>0</v>
      </c>
    </row>
    <row r="161" spans="4:44" x14ac:dyDescent="0.25">
      <c r="D161" s="1">
        <v>42510</v>
      </c>
      <c r="E161" s="2">
        <v>94.223191999999997</v>
      </c>
      <c r="F161" s="3">
        <v>202.20763400000001</v>
      </c>
      <c r="G161" s="2">
        <f t="shared" si="79"/>
        <v>1.0093260000000015</v>
      </c>
      <c r="H161" s="2">
        <f t="shared" si="80"/>
        <v>1.2694030000000112</v>
      </c>
      <c r="I161" s="4">
        <f t="shared" si="77"/>
        <v>0.94694673036450849</v>
      </c>
      <c r="J161" s="4">
        <f t="shared" si="78"/>
        <v>1.1681820610193279</v>
      </c>
      <c r="K161" s="4">
        <f t="shared" si="81"/>
        <v>1.6242146213627335</v>
      </c>
      <c r="L161" s="4">
        <f t="shared" si="82"/>
        <v>1.2744467903222689</v>
      </c>
      <c r="M161" s="4">
        <f t="shared" si="83"/>
        <v>1</v>
      </c>
      <c r="N161" s="4">
        <f t="shared" si="84"/>
        <v>1</v>
      </c>
      <c r="O161" s="3">
        <f t="shared" si="85"/>
        <v>1.0093260000000015</v>
      </c>
      <c r="P161" s="3">
        <f t="shared" si="86"/>
        <v>1.2694030000000112</v>
      </c>
      <c r="Q161">
        <f t="shared" si="87"/>
        <v>1</v>
      </c>
      <c r="R161" s="3">
        <f t="shared" si="88"/>
        <v>1.0093260000000015</v>
      </c>
      <c r="S161" s="3">
        <f t="shared" si="89"/>
        <v>1.2694030000000112</v>
      </c>
      <c r="T161">
        <f t="shared" si="90"/>
        <v>1</v>
      </c>
      <c r="U161" s="3">
        <f t="shared" si="91"/>
        <v>0</v>
      </c>
      <c r="V161" s="3">
        <f t="shared" si="92"/>
        <v>0</v>
      </c>
      <c r="W161">
        <f t="shared" si="93"/>
        <v>0</v>
      </c>
      <c r="X161" s="3">
        <f t="shared" si="94"/>
        <v>0</v>
      </c>
      <c r="Y161" s="3">
        <f t="shared" si="95"/>
        <v>0</v>
      </c>
      <c r="Z161">
        <f t="shared" si="96"/>
        <v>0</v>
      </c>
      <c r="AA161" s="3">
        <f t="shared" si="97"/>
        <v>0</v>
      </c>
      <c r="AB161" s="3">
        <f t="shared" si="98"/>
        <v>0</v>
      </c>
      <c r="AC161">
        <f t="shared" si="99"/>
        <v>0</v>
      </c>
      <c r="AD161" s="3">
        <f t="shared" si="100"/>
        <v>0</v>
      </c>
      <c r="AE161" s="3">
        <f t="shared" si="101"/>
        <v>0</v>
      </c>
      <c r="AF161">
        <f t="shared" si="102"/>
        <v>0</v>
      </c>
      <c r="AG161" s="3">
        <f t="shared" si="103"/>
        <v>0</v>
      </c>
      <c r="AH161" s="3">
        <f t="shared" si="104"/>
        <v>0</v>
      </c>
      <c r="AI161">
        <f t="shared" si="105"/>
        <v>0</v>
      </c>
      <c r="AJ161" s="3">
        <f t="shared" si="106"/>
        <v>0</v>
      </c>
      <c r="AK161" s="3">
        <f t="shared" si="107"/>
        <v>0</v>
      </c>
      <c r="AL161">
        <f t="shared" si="108"/>
        <v>0</v>
      </c>
      <c r="AM161" s="3">
        <f t="shared" si="109"/>
        <v>0</v>
      </c>
      <c r="AN161" s="3">
        <f t="shared" si="110"/>
        <v>0</v>
      </c>
      <c r="AO161">
        <f t="shared" si="111"/>
        <v>0</v>
      </c>
      <c r="AP161" s="3">
        <f t="shared" si="112"/>
        <v>0</v>
      </c>
      <c r="AQ161" s="3">
        <f t="shared" si="113"/>
        <v>0</v>
      </c>
      <c r="AR161">
        <f t="shared" si="114"/>
        <v>0</v>
      </c>
    </row>
    <row r="162" spans="4:44" x14ac:dyDescent="0.25">
      <c r="D162" s="1">
        <v>42509</v>
      </c>
      <c r="E162" s="2">
        <v>93.213865999999996</v>
      </c>
      <c r="F162" s="3">
        <v>200.938231</v>
      </c>
      <c r="G162" s="2">
        <f t="shared" si="79"/>
        <v>-0.35623200000000566</v>
      </c>
      <c r="H162" s="2">
        <f t="shared" si="80"/>
        <v>-0.69866500000000542</v>
      </c>
      <c r="I162" s="4">
        <f t="shared" si="77"/>
        <v>-0.41861126963549866</v>
      </c>
      <c r="J162" s="4">
        <f t="shared" si="78"/>
        <v>-0.7998859389806886</v>
      </c>
      <c r="K162" s="4">
        <f t="shared" si="81"/>
        <v>0.71693419745820552</v>
      </c>
      <c r="L162" s="4">
        <f t="shared" si="82"/>
        <v>0.84671966875596172</v>
      </c>
      <c r="M162" s="4">
        <f t="shared" si="83"/>
        <v>1</v>
      </c>
      <c r="N162" s="4">
        <f t="shared" si="84"/>
        <v>1</v>
      </c>
      <c r="O162" s="3">
        <f t="shared" si="85"/>
        <v>-0.35623200000000566</v>
      </c>
      <c r="P162" s="3">
        <f t="shared" si="86"/>
        <v>-0.69866500000000542</v>
      </c>
      <c r="Q162">
        <f t="shared" si="87"/>
        <v>1</v>
      </c>
      <c r="R162" s="3">
        <f t="shared" si="88"/>
        <v>0</v>
      </c>
      <c r="S162" s="3">
        <f t="shared" si="89"/>
        <v>0</v>
      </c>
      <c r="T162">
        <f t="shared" si="90"/>
        <v>0</v>
      </c>
      <c r="U162" s="3">
        <f t="shared" si="91"/>
        <v>0</v>
      </c>
      <c r="V162" s="3">
        <f t="shared" si="92"/>
        <v>0</v>
      </c>
      <c r="W162">
        <f t="shared" si="93"/>
        <v>0</v>
      </c>
      <c r="X162" s="3">
        <f t="shared" si="94"/>
        <v>0</v>
      </c>
      <c r="Y162" s="3">
        <f t="shared" si="95"/>
        <v>0</v>
      </c>
      <c r="Z162">
        <f t="shared" si="96"/>
        <v>0</v>
      </c>
      <c r="AA162" s="3">
        <f t="shared" si="97"/>
        <v>0</v>
      </c>
      <c r="AB162" s="3">
        <f t="shared" si="98"/>
        <v>0</v>
      </c>
      <c r="AC162">
        <f t="shared" si="99"/>
        <v>0</v>
      </c>
      <c r="AD162" s="3">
        <f t="shared" si="100"/>
        <v>0</v>
      </c>
      <c r="AE162" s="3">
        <f t="shared" si="101"/>
        <v>0</v>
      </c>
      <c r="AF162">
        <f t="shared" si="102"/>
        <v>0</v>
      </c>
      <c r="AG162" s="3">
        <f t="shared" si="103"/>
        <v>0</v>
      </c>
      <c r="AH162" s="3">
        <f t="shared" si="104"/>
        <v>0</v>
      </c>
      <c r="AI162">
        <f t="shared" si="105"/>
        <v>0</v>
      </c>
      <c r="AJ162" s="3">
        <f t="shared" si="106"/>
        <v>0</v>
      </c>
      <c r="AK162" s="3">
        <f t="shared" si="107"/>
        <v>0</v>
      </c>
      <c r="AL162">
        <f t="shared" si="108"/>
        <v>0</v>
      </c>
      <c r="AM162" s="3">
        <f t="shared" si="109"/>
        <v>0</v>
      </c>
      <c r="AN162" s="3">
        <f t="shared" si="110"/>
        <v>0</v>
      </c>
      <c r="AO162">
        <f t="shared" si="111"/>
        <v>0</v>
      </c>
      <c r="AP162" s="3">
        <f t="shared" si="112"/>
        <v>0</v>
      </c>
      <c r="AQ162" s="3">
        <f t="shared" si="113"/>
        <v>0</v>
      </c>
      <c r="AR162">
        <f t="shared" si="114"/>
        <v>0</v>
      </c>
    </row>
    <row r="163" spans="4:44" x14ac:dyDescent="0.25">
      <c r="D163" s="1">
        <v>42508</v>
      </c>
      <c r="E163" s="2">
        <v>93.570098000000002</v>
      </c>
      <c r="F163" s="3">
        <v>201.63689600000001</v>
      </c>
      <c r="G163" s="2">
        <f t="shared" si="79"/>
        <v>1.0587990000000076</v>
      </c>
      <c r="H163" s="2">
        <f t="shared" si="80"/>
        <v>5.903900000001272E-2</v>
      </c>
      <c r="I163" s="4">
        <f t="shared" si="77"/>
        <v>0.99641973036451459</v>
      </c>
      <c r="J163" s="4">
        <f t="shared" si="78"/>
        <v>-4.2181938980670491E-2</v>
      </c>
      <c r="K163" s="4">
        <f t="shared" si="81"/>
        <v>2.2247796880909707</v>
      </c>
      <c r="L163" s="4">
        <f t="shared" si="82"/>
        <v>1.491569538469786</v>
      </c>
      <c r="M163" s="4">
        <f t="shared" si="83"/>
        <v>1</v>
      </c>
      <c r="N163" s="4">
        <f t="shared" si="84"/>
        <v>0.53937925018979782</v>
      </c>
      <c r="O163" s="3">
        <f t="shared" si="85"/>
        <v>1.0587990000000076</v>
      </c>
      <c r="P163" s="3">
        <f t="shared" si="86"/>
        <v>5.903900000001272E-2</v>
      </c>
      <c r="Q163">
        <f t="shared" si="87"/>
        <v>1</v>
      </c>
      <c r="R163" s="3">
        <f t="shared" si="88"/>
        <v>1.0587990000000076</v>
      </c>
      <c r="S163" s="3">
        <f t="shared" si="89"/>
        <v>5.903900000001272E-2</v>
      </c>
      <c r="T163">
        <f t="shared" si="90"/>
        <v>1</v>
      </c>
      <c r="U163" s="3">
        <f t="shared" si="91"/>
        <v>1.0587990000000076</v>
      </c>
      <c r="V163" s="3">
        <f t="shared" si="92"/>
        <v>5.903900000001272E-2</v>
      </c>
      <c r="W163">
        <f t="shared" si="93"/>
        <v>1</v>
      </c>
      <c r="X163" s="3">
        <f t="shared" si="94"/>
        <v>0</v>
      </c>
      <c r="Y163" s="3">
        <f t="shared" si="95"/>
        <v>0</v>
      </c>
      <c r="Z163">
        <f t="shared" si="96"/>
        <v>0</v>
      </c>
      <c r="AA163" s="3">
        <f t="shared" si="97"/>
        <v>0</v>
      </c>
      <c r="AB163" s="3">
        <f t="shared" si="98"/>
        <v>0</v>
      </c>
      <c r="AC163">
        <f t="shared" si="99"/>
        <v>0</v>
      </c>
      <c r="AD163" s="3">
        <f t="shared" si="100"/>
        <v>0</v>
      </c>
      <c r="AE163" s="3">
        <f t="shared" si="101"/>
        <v>0</v>
      </c>
      <c r="AF163">
        <f t="shared" si="102"/>
        <v>0</v>
      </c>
      <c r="AG163" s="3">
        <f t="shared" si="103"/>
        <v>0</v>
      </c>
      <c r="AH163" s="3">
        <f t="shared" si="104"/>
        <v>0</v>
      </c>
      <c r="AI163">
        <f t="shared" si="105"/>
        <v>0</v>
      </c>
      <c r="AJ163" s="3">
        <f t="shared" si="106"/>
        <v>0</v>
      </c>
      <c r="AK163" s="3">
        <f t="shared" si="107"/>
        <v>0</v>
      </c>
      <c r="AL163">
        <f t="shared" si="108"/>
        <v>0</v>
      </c>
      <c r="AM163" s="3">
        <f t="shared" si="109"/>
        <v>0</v>
      </c>
      <c r="AN163" s="3">
        <f t="shared" si="110"/>
        <v>0</v>
      </c>
      <c r="AO163">
        <f t="shared" si="111"/>
        <v>0</v>
      </c>
      <c r="AP163" s="3">
        <f t="shared" si="112"/>
        <v>0</v>
      </c>
      <c r="AQ163" s="3">
        <f t="shared" si="113"/>
        <v>0</v>
      </c>
      <c r="AR163">
        <f t="shared" si="114"/>
        <v>0</v>
      </c>
    </row>
    <row r="164" spans="4:44" x14ac:dyDescent="0.25">
      <c r="D164" s="1">
        <v>42507</v>
      </c>
      <c r="E164" s="2">
        <v>92.511298999999994</v>
      </c>
      <c r="F164" s="3">
        <v>201.57785699999999</v>
      </c>
      <c r="G164" s="2">
        <f t="shared" si="79"/>
        <v>-0.38591700000000628</v>
      </c>
      <c r="H164" s="2">
        <f t="shared" si="80"/>
        <v>-1.8991640000000132</v>
      </c>
      <c r="I164" s="4">
        <f t="shared" si="77"/>
        <v>-0.44829626963549929</v>
      </c>
      <c r="J164" s="4">
        <f t="shared" si="78"/>
        <v>-2.0003849389806962</v>
      </c>
      <c r="K164" s="4">
        <f t="shared" si="81"/>
        <v>5.6875486911298854</v>
      </c>
      <c r="L164" s="4">
        <f t="shared" si="82"/>
        <v>2.3848582119551436</v>
      </c>
      <c r="M164" s="4">
        <f t="shared" si="83"/>
        <v>0.83862427962137387</v>
      </c>
      <c r="N164" s="4">
        <f t="shared" si="84"/>
        <v>0.21098720471114044</v>
      </c>
      <c r="O164" s="3">
        <f t="shared" si="85"/>
        <v>-0.38591700000000628</v>
      </c>
      <c r="P164" s="3">
        <f t="shared" si="86"/>
        <v>-1.8991640000000132</v>
      </c>
      <c r="Q164">
        <f t="shared" si="87"/>
        <v>1</v>
      </c>
      <c r="R164" s="3">
        <f t="shared" si="88"/>
        <v>-0.38591700000000628</v>
      </c>
      <c r="S164" s="3">
        <f t="shared" si="89"/>
        <v>-1.8991640000000132</v>
      </c>
      <c r="T164">
        <f t="shared" si="90"/>
        <v>1</v>
      </c>
      <c r="U164" s="3">
        <f t="shared" si="91"/>
        <v>-0.38591700000000628</v>
      </c>
      <c r="V164" s="3">
        <f t="shared" si="92"/>
        <v>-1.8991640000000132</v>
      </c>
      <c r="W164">
        <f t="shared" si="93"/>
        <v>1</v>
      </c>
      <c r="X164" s="3">
        <f t="shared" si="94"/>
        <v>-0.38591700000000628</v>
      </c>
      <c r="Y164" s="3">
        <f t="shared" si="95"/>
        <v>-1.8991640000000132</v>
      </c>
      <c r="Z164">
        <f t="shared" si="96"/>
        <v>1</v>
      </c>
      <c r="AA164" s="3">
        <f t="shared" si="97"/>
        <v>-0.38591700000000628</v>
      </c>
      <c r="AB164" s="3">
        <f t="shared" si="98"/>
        <v>-1.8991640000000132</v>
      </c>
      <c r="AC164">
        <f t="shared" si="99"/>
        <v>1</v>
      </c>
      <c r="AD164" s="3">
        <f t="shared" si="100"/>
        <v>-0.38591700000000628</v>
      </c>
      <c r="AE164" s="3">
        <f t="shared" si="101"/>
        <v>-1.8991640000000132</v>
      </c>
      <c r="AF164">
        <f t="shared" si="102"/>
        <v>1</v>
      </c>
      <c r="AG164" s="3">
        <f t="shared" si="103"/>
        <v>0</v>
      </c>
      <c r="AH164" s="3">
        <f t="shared" si="104"/>
        <v>0</v>
      </c>
      <c r="AI164">
        <f t="shared" si="105"/>
        <v>0</v>
      </c>
      <c r="AJ164" s="3">
        <f t="shared" si="106"/>
        <v>0</v>
      </c>
      <c r="AK164" s="3">
        <f t="shared" si="107"/>
        <v>0</v>
      </c>
      <c r="AL164">
        <f t="shared" si="108"/>
        <v>0</v>
      </c>
      <c r="AM164" s="3">
        <f t="shared" si="109"/>
        <v>0</v>
      </c>
      <c r="AN164" s="3">
        <f t="shared" si="110"/>
        <v>0</v>
      </c>
      <c r="AO164">
        <f t="shared" si="111"/>
        <v>0</v>
      </c>
      <c r="AP164" s="3">
        <f t="shared" si="112"/>
        <v>0</v>
      </c>
      <c r="AQ164" s="3">
        <f t="shared" si="113"/>
        <v>0</v>
      </c>
      <c r="AR164">
        <f t="shared" si="114"/>
        <v>0</v>
      </c>
    </row>
    <row r="165" spans="4:44" x14ac:dyDescent="0.25">
      <c r="D165" s="1">
        <v>42506</v>
      </c>
      <c r="E165" s="2">
        <v>92.897216</v>
      </c>
      <c r="F165" s="3">
        <v>203.47702100000001</v>
      </c>
      <c r="G165" s="2">
        <f t="shared" si="79"/>
        <v>3.3248260000000016</v>
      </c>
      <c r="H165" s="2">
        <f t="shared" si="80"/>
        <v>1.9877380000000073</v>
      </c>
      <c r="I165" s="4">
        <f t="shared" si="77"/>
        <v>3.2624467303645086</v>
      </c>
      <c r="J165" s="4">
        <f t="shared" si="78"/>
        <v>1.886517061019324</v>
      </c>
      <c r="K165" s="4">
        <f t="shared" si="81"/>
        <v>13.418438481042651</v>
      </c>
      <c r="L165" s="4">
        <f t="shared" si="82"/>
        <v>3.6631186823583333</v>
      </c>
      <c r="M165" s="4">
        <f t="shared" si="83"/>
        <v>0.54598285598335849</v>
      </c>
      <c r="N165" s="4">
        <f t="shared" si="84"/>
        <v>8.9429183708323451E-2</v>
      </c>
      <c r="O165" s="3">
        <f t="shared" si="85"/>
        <v>3.3248260000000016</v>
      </c>
      <c r="P165" s="3">
        <f t="shared" si="86"/>
        <v>1.9877380000000073</v>
      </c>
      <c r="Q165">
        <f t="shared" si="87"/>
        <v>1</v>
      </c>
      <c r="R165" s="3">
        <f t="shared" si="88"/>
        <v>3.3248260000000016</v>
      </c>
      <c r="S165" s="3">
        <f t="shared" si="89"/>
        <v>1.9877380000000073</v>
      </c>
      <c r="T165">
        <f t="shared" si="90"/>
        <v>1</v>
      </c>
      <c r="U165" s="3">
        <f t="shared" si="91"/>
        <v>3.3248260000000016</v>
      </c>
      <c r="V165" s="3">
        <f t="shared" si="92"/>
        <v>1.9877380000000073</v>
      </c>
      <c r="W165">
        <f t="shared" si="93"/>
        <v>1</v>
      </c>
      <c r="X165" s="3">
        <f t="shared" si="94"/>
        <v>3.3248260000000016</v>
      </c>
      <c r="Y165" s="3">
        <f t="shared" si="95"/>
        <v>1.9877380000000073</v>
      </c>
      <c r="Z165">
        <f t="shared" si="96"/>
        <v>1</v>
      </c>
      <c r="AA165" s="3">
        <f t="shared" si="97"/>
        <v>3.3248260000000016</v>
      </c>
      <c r="AB165" s="3">
        <f t="shared" si="98"/>
        <v>1.9877380000000073</v>
      </c>
      <c r="AC165">
        <f t="shared" si="99"/>
        <v>1</v>
      </c>
      <c r="AD165" s="3">
        <f t="shared" si="100"/>
        <v>3.3248260000000016</v>
      </c>
      <c r="AE165" s="3">
        <f t="shared" si="101"/>
        <v>1.9877380000000073</v>
      </c>
      <c r="AF165">
        <f t="shared" si="102"/>
        <v>1</v>
      </c>
      <c r="AG165" s="3">
        <f t="shared" si="103"/>
        <v>3.3248260000000016</v>
      </c>
      <c r="AH165" s="3">
        <f t="shared" si="104"/>
        <v>1.9877380000000073</v>
      </c>
      <c r="AI165">
        <f t="shared" si="105"/>
        <v>1</v>
      </c>
      <c r="AJ165" s="3">
        <f t="shared" si="106"/>
        <v>3.3248260000000016</v>
      </c>
      <c r="AK165" s="3">
        <f t="shared" si="107"/>
        <v>1.9877380000000073</v>
      </c>
      <c r="AL165">
        <f t="shared" si="108"/>
        <v>1</v>
      </c>
      <c r="AM165" s="3">
        <f t="shared" si="109"/>
        <v>3.3248260000000016</v>
      </c>
      <c r="AN165" s="3">
        <f t="shared" si="110"/>
        <v>1.9877380000000073</v>
      </c>
      <c r="AO165">
        <f t="shared" si="111"/>
        <v>1</v>
      </c>
      <c r="AP165" s="3">
        <f t="shared" si="112"/>
        <v>3.3248260000000016</v>
      </c>
      <c r="AQ165" s="3">
        <f t="shared" si="113"/>
        <v>1.9877380000000073</v>
      </c>
      <c r="AR165">
        <f t="shared" si="114"/>
        <v>1</v>
      </c>
    </row>
    <row r="166" spans="4:44" x14ac:dyDescent="0.25">
      <c r="D166" s="1">
        <v>42503</v>
      </c>
      <c r="E166" s="2">
        <v>89.572389999999999</v>
      </c>
      <c r="F166" s="3">
        <v>201.489283</v>
      </c>
      <c r="G166" s="2">
        <f t="shared" si="79"/>
        <v>0.17811600000000283</v>
      </c>
      <c r="H166" s="2">
        <f t="shared" si="80"/>
        <v>-1.7712510000000066</v>
      </c>
      <c r="I166" s="4">
        <f t="shared" si="77"/>
        <v>0.11573673036450982</v>
      </c>
      <c r="J166" s="4">
        <f t="shared" si="78"/>
        <v>-1.8724719389806899</v>
      </c>
      <c r="K166" s="4">
        <f t="shared" si="81"/>
        <v>7.2391545829952388</v>
      </c>
      <c r="L166" s="4">
        <f t="shared" si="82"/>
        <v>2.6905677064506737</v>
      </c>
      <c r="M166" s="4">
        <f t="shared" si="83"/>
        <v>0.74333754739008129</v>
      </c>
      <c r="N166" s="4">
        <f t="shared" si="84"/>
        <v>0.16576521280797041</v>
      </c>
      <c r="O166" s="3">
        <f t="shared" si="85"/>
        <v>0.17811600000000283</v>
      </c>
      <c r="P166" s="3">
        <f t="shared" si="86"/>
        <v>-1.7712510000000066</v>
      </c>
      <c r="Q166">
        <f t="shared" si="87"/>
        <v>1</v>
      </c>
      <c r="R166" s="3">
        <f t="shared" si="88"/>
        <v>0.17811600000000283</v>
      </c>
      <c r="S166" s="3">
        <f t="shared" si="89"/>
        <v>-1.7712510000000066</v>
      </c>
      <c r="T166">
        <f t="shared" si="90"/>
        <v>1</v>
      </c>
      <c r="U166" s="3">
        <f t="shared" si="91"/>
        <v>0.17811600000000283</v>
      </c>
      <c r="V166" s="3">
        <f t="shared" si="92"/>
        <v>-1.7712510000000066</v>
      </c>
      <c r="W166">
        <f t="shared" si="93"/>
        <v>1</v>
      </c>
      <c r="X166" s="3">
        <f t="shared" si="94"/>
        <v>0.17811600000000283</v>
      </c>
      <c r="Y166" s="3">
        <f t="shared" si="95"/>
        <v>-1.7712510000000066</v>
      </c>
      <c r="Z166">
        <f t="shared" si="96"/>
        <v>1</v>
      </c>
      <c r="AA166" s="3">
        <f t="shared" si="97"/>
        <v>0.17811600000000283</v>
      </c>
      <c r="AB166" s="3">
        <f t="shared" si="98"/>
        <v>-1.7712510000000066</v>
      </c>
      <c r="AC166">
        <f t="shared" si="99"/>
        <v>1</v>
      </c>
      <c r="AD166" s="3">
        <f t="shared" si="100"/>
        <v>0.17811600000000283</v>
      </c>
      <c r="AE166" s="3">
        <f t="shared" si="101"/>
        <v>-1.7712510000000066</v>
      </c>
      <c r="AF166">
        <f t="shared" si="102"/>
        <v>1</v>
      </c>
      <c r="AG166" s="3">
        <f t="shared" si="103"/>
        <v>0.17811600000000283</v>
      </c>
      <c r="AH166" s="3">
        <f t="shared" si="104"/>
        <v>-1.7712510000000066</v>
      </c>
      <c r="AI166">
        <f t="shared" si="105"/>
        <v>1</v>
      </c>
      <c r="AJ166" s="3">
        <f t="shared" si="106"/>
        <v>0.17811600000000283</v>
      </c>
      <c r="AK166" s="3">
        <f t="shared" si="107"/>
        <v>-1.7712510000000066</v>
      </c>
      <c r="AL166">
        <f t="shared" si="108"/>
        <v>1</v>
      </c>
      <c r="AM166" s="3">
        <f t="shared" si="109"/>
        <v>0</v>
      </c>
      <c r="AN166" s="3">
        <f t="shared" si="110"/>
        <v>0</v>
      </c>
      <c r="AO166">
        <f t="shared" si="111"/>
        <v>0</v>
      </c>
      <c r="AP166" s="3">
        <f t="shared" si="112"/>
        <v>0</v>
      </c>
      <c r="AQ166" s="3">
        <f t="shared" si="113"/>
        <v>0</v>
      </c>
      <c r="AR166">
        <f t="shared" si="114"/>
        <v>0</v>
      </c>
    </row>
    <row r="167" spans="4:44" x14ac:dyDescent="0.25">
      <c r="D167" s="1">
        <v>42502</v>
      </c>
      <c r="E167" s="2">
        <v>89.394273999999996</v>
      </c>
      <c r="F167" s="3">
        <v>203.26053400000001</v>
      </c>
      <c r="G167" s="2">
        <f t="shared" si="79"/>
        <v>-2.1472890000000007</v>
      </c>
      <c r="H167" s="2">
        <f t="shared" si="80"/>
        <v>5.903900000001272E-2</v>
      </c>
      <c r="I167" s="4">
        <f t="shared" si="77"/>
        <v>-2.2096682696354937</v>
      </c>
      <c r="J167" s="4">
        <f t="shared" si="78"/>
        <v>-4.2181938980670491E-2</v>
      </c>
      <c r="K167" s="4">
        <f t="shared" si="81"/>
        <v>10.149368733199822</v>
      </c>
      <c r="L167" s="4">
        <f t="shared" si="82"/>
        <v>3.1858073911019513</v>
      </c>
      <c r="M167" s="4">
        <f t="shared" si="83"/>
        <v>0.62778434301648478</v>
      </c>
      <c r="N167" s="4">
        <f t="shared" si="84"/>
        <v>0.11823395440099184</v>
      </c>
      <c r="O167" s="3">
        <f t="shared" si="85"/>
        <v>-2.1472890000000007</v>
      </c>
      <c r="P167" s="3">
        <f t="shared" si="86"/>
        <v>5.903900000001272E-2</v>
      </c>
      <c r="Q167">
        <f t="shared" si="87"/>
        <v>1</v>
      </c>
      <c r="R167" s="3">
        <f t="shared" si="88"/>
        <v>-2.1472890000000007</v>
      </c>
      <c r="S167" s="3">
        <f t="shared" si="89"/>
        <v>5.903900000001272E-2</v>
      </c>
      <c r="T167">
        <f t="shared" si="90"/>
        <v>1</v>
      </c>
      <c r="U167" s="3">
        <f t="shared" si="91"/>
        <v>-2.1472890000000007</v>
      </c>
      <c r="V167" s="3">
        <f t="shared" si="92"/>
        <v>5.903900000001272E-2</v>
      </c>
      <c r="W167">
        <f t="shared" si="93"/>
        <v>1</v>
      </c>
      <c r="X167" s="3">
        <f t="shared" si="94"/>
        <v>-2.1472890000000007</v>
      </c>
      <c r="Y167" s="3">
        <f t="shared" si="95"/>
        <v>5.903900000001272E-2</v>
      </c>
      <c r="Z167">
        <f t="shared" si="96"/>
        <v>1</v>
      </c>
      <c r="AA167" s="3">
        <f t="shared" si="97"/>
        <v>-2.1472890000000007</v>
      </c>
      <c r="AB167" s="3">
        <f t="shared" si="98"/>
        <v>5.903900000001272E-2</v>
      </c>
      <c r="AC167">
        <f t="shared" si="99"/>
        <v>1</v>
      </c>
      <c r="AD167" s="3">
        <f t="shared" si="100"/>
        <v>-2.1472890000000007</v>
      </c>
      <c r="AE167" s="3">
        <f t="shared" si="101"/>
        <v>5.903900000001272E-2</v>
      </c>
      <c r="AF167">
        <f t="shared" si="102"/>
        <v>1</v>
      </c>
      <c r="AG167" s="3">
        <f t="shared" si="103"/>
        <v>-2.1472890000000007</v>
      </c>
      <c r="AH167" s="3">
        <f t="shared" si="104"/>
        <v>5.903900000001272E-2</v>
      </c>
      <c r="AI167">
        <f t="shared" si="105"/>
        <v>1</v>
      </c>
      <c r="AJ167" s="3">
        <f t="shared" si="106"/>
        <v>-2.1472890000000007</v>
      </c>
      <c r="AK167" s="3">
        <f t="shared" si="107"/>
        <v>5.903900000001272E-2</v>
      </c>
      <c r="AL167">
        <f t="shared" si="108"/>
        <v>1</v>
      </c>
      <c r="AM167" s="3">
        <f t="shared" si="109"/>
        <v>-2.1472890000000007</v>
      </c>
      <c r="AN167" s="3">
        <f t="shared" si="110"/>
        <v>5.903900000001272E-2</v>
      </c>
      <c r="AO167">
        <f t="shared" si="111"/>
        <v>1</v>
      </c>
      <c r="AP167" s="3">
        <f t="shared" si="112"/>
        <v>-2.1472890000000007</v>
      </c>
      <c r="AQ167" s="3">
        <f t="shared" si="113"/>
        <v>5.903900000001272E-2</v>
      </c>
      <c r="AR167">
        <f t="shared" si="114"/>
        <v>1</v>
      </c>
    </row>
    <row r="168" spans="4:44" x14ac:dyDescent="0.25">
      <c r="D168" s="1">
        <v>42501</v>
      </c>
      <c r="E168" s="2">
        <v>91.541562999999996</v>
      </c>
      <c r="F168" s="3">
        <v>203.20149499999999</v>
      </c>
      <c r="G168" s="2">
        <f t="shared" si="79"/>
        <v>-0.90046999999999855</v>
      </c>
      <c r="H168" s="2">
        <f t="shared" si="80"/>
        <v>-1.9188489999999945</v>
      </c>
      <c r="I168" s="4">
        <f t="shared" si="77"/>
        <v>-0.96284926963549156</v>
      </c>
      <c r="J168" s="4">
        <f t="shared" si="78"/>
        <v>-2.0200699389806775</v>
      </c>
      <c r="K168" s="4">
        <f t="shared" si="81"/>
        <v>4.6617029323864818</v>
      </c>
      <c r="L168" s="4">
        <f t="shared" si="82"/>
        <v>2.1590977125610786</v>
      </c>
      <c r="M168" s="4">
        <f t="shared" si="83"/>
        <v>0.92631287058687117</v>
      </c>
      <c r="N168" s="4">
        <f t="shared" si="84"/>
        <v>0.25741666026446686</v>
      </c>
      <c r="O168" s="3">
        <f t="shared" si="85"/>
        <v>-0.90046999999999855</v>
      </c>
      <c r="P168" s="3">
        <f t="shared" si="86"/>
        <v>-1.9188489999999945</v>
      </c>
      <c r="Q168">
        <f t="shared" si="87"/>
        <v>1</v>
      </c>
      <c r="R168" s="3">
        <f t="shared" si="88"/>
        <v>-0.90046999999999855</v>
      </c>
      <c r="S168" s="3">
        <f t="shared" si="89"/>
        <v>-1.9188489999999945</v>
      </c>
      <c r="T168">
        <f t="shared" si="90"/>
        <v>1</v>
      </c>
      <c r="U168" s="3">
        <f t="shared" si="91"/>
        <v>-0.90046999999999855</v>
      </c>
      <c r="V168" s="3">
        <f t="shared" si="92"/>
        <v>-1.9188489999999945</v>
      </c>
      <c r="W168">
        <f t="shared" si="93"/>
        <v>1</v>
      </c>
      <c r="X168" s="3">
        <f t="shared" si="94"/>
        <v>-0.90046999999999855</v>
      </c>
      <c r="Y168" s="3">
        <f t="shared" si="95"/>
        <v>-1.9188489999999945</v>
      </c>
      <c r="Z168">
        <f t="shared" si="96"/>
        <v>1</v>
      </c>
      <c r="AA168" s="3">
        <f t="shared" si="97"/>
        <v>-0.90046999999999855</v>
      </c>
      <c r="AB168" s="3">
        <f t="shared" si="98"/>
        <v>-1.9188489999999945</v>
      </c>
      <c r="AC168">
        <f t="shared" si="99"/>
        <v>1</v>
      </c>
      <c r="AD168" s="3">
        <f t="shared" si="100"/>
        <v>0</v>
      </c>
      <c r="AE168" s="3">
        <f t="shared" si="101"/>
        <v>0</v>
      </c>
      <c r="AF168">
        <f t="shared" si="102"/>
        <v>0</v>
      </c>
      <c r="AG168" s="3">
        <f t="shared" si="103"/>
        <v>0</v>
      </c>
      <c r="AH168" s="3">
        <f t="shared" si="104"/>
        <v>0</v>
      </c>
      <c r="AI168">
        <f t="shared" si="105"/>
        <v>0</v>
      </c>
      <c r="AJ168" s="3">
        <f t="shared" si="106"/>
        <v>0</v>
      </c>
      <c r="AK168" s="3">
        <f t="shared" si="107"/>
        <v>0</v>
      </c>
      <c r="AL168">
        <f t="shared" si="108"/>
        <v>0</v>
      </c>
      <c r="AM168" s="3">
        <f t="shared" si="109"/>
        <v>0</v>
      </c>
      <c r="AN168" s="3">
        <f t="shared" si="110"/>
        <v>0</v>
      </c>
      <c r="AO168">
        <f t="shared" si="111"/>
        <v>0</v>
      </c>
      <c r="AP168" s="3">
        <f t="shared" si="112"/>
        <v>0</v>
      </c>
      <c r="AQ168" s="3">
        <f t="shared" si="113"/>
        <v>0</v>
      </c>
      <c r="AR168">
        <f t="shared" si="114"/>
        <v>0</v>
      </c>
    </row>
    <row r="169" spans="4:44" x14ac:dyDescent="0.25">
      <c r="D169" s="1">
        <v>42500</v>
      </c>
      <c r="E169" s="2">
        <v>92.442032999999995</v>
      </c>
      <c r="F169" s="3">
        <v>205.12034399999999</v>
      </c>
      <c r="G169" s="2">
        <f t="shared" si="79"/>
        <v>0.62340299999999615</v>
      </c>
      <c r="H169" s="2">
        <f t="shared" si="80"/>
        <v>2.5191059999999936</v>
      </c>
      <c r="I169" s="4">
        <f t="shared" si="77"/>
        <v>0.56102373036450315</v>
      </c>
      <c r="J169" s="4">
        <f t="shared" si="78"/>
        <v>2.4178850610193106</v>
      </c>
      <c r="K169" s="4">
        <f t="shared" si="81"/>
        <v>8.2340960258065454</v>
      </c>
      <c r="L169" s="4">
        <f t="shared" si="82"/>
        <v>2.8695114611735821</v>
      </c>
      <c r="M169" s="4">
        <f t="shared" si="83"/>
        <v>0.69698275370610774</v>
      </c>
      <c r="N169" s="4">
        <f t="shared" si="84"/>
        <v>0.14573548768912464</v>
      </c>
      <c r="O169" s="3">
        <f t="shared" si="85"/>
        <v>0.62340299999999615</v>
      </c>
      <c r="P169" s="3">
        <f t="shared" si="86"/>
        <v>2.5191059999999936</v>
      </c>
      <c r="Q169">
        <f t="shared" si="87"/>
        <v>1</v>
      </c>
      <c r="R169" s="3">
        <f t="shared" si="88"/>
        <v>0.62340299999999615</v>
      </c>
      <c r="S169" s="3">
        <f t="shared" si="89"/>
        <v>2.5191059999999936</v>
      </c>
      <c r="T169">
        <f t="shared" si="90"/>
        <v>1</v>
      </c>
      <c r="U169" s="3">
        <f t="shared" si="91"/>
        <v>0.62340299999999615</v>
      </c>
      <c r="V169" s="3">
        <f t="shared" si="92"/>
        <v>2.5191059999999936</v>
      </c>
      <c r="W169">
        <f t="shared" si="93"/>
        <v>1</v>
      </c>
      <c r="X169" s="3">
        <f t="shared" si="94"/>
        <v>0.62340299999999615</v>
      </c>
      <c r="Y169" s="3">
        <f t="shared" si="95"/>
        <v>2.5191059999999936</v>
      </c>
      <c r="Z169">
        <f t="shared" si="96"/>
        <v>1</v>
      </c>
      <c r="AA169" s="3">
        <f t="shared" si="97"/>
        <v>0.62340299999999615</v>
      </c>
      <c r="AB169" s="3">
        <f t="shared" si="98"/>
        <v>2.5191059999999936</v>
      </c>
      <c r="AC169">
        <f t="shared" si="99"/>
        <v>1</v>
      </c>
      <c r="AD169" s="3">
        <f t="shared" si="100"/>
        <v>0.62340299999999615</v>
      </c>
      <c r="AE169" s="3">
        <f t="shared" si="101"/>
        <v>2.5191059999999936</v>
      </c>
      <c r="AF169">
        <f t="shared" si="102"/>
        <v>1</v>
      </c>
      <c r="AG169" s="3">
        <f t="shared" si="103"/>
        <v>0.62340299999999615</v>
      </c>
      <c r="AH169" s="3">
        <f t="shared" si="104"/>
        <v>2.5191059999999936</v>
      </c>
      <c r="AI169">
        <f t="shared" si="105"/>
        <v>1</v>
      </c>
      <c r="AJ169" s="3">
        <f t="shared" si="106"/>
        <v>0.62340299999999615</v>
      </c>
      <c r="AK169" s="3">
        <f t="shared" si="107"/>
        <v>2.5191059999999936</v>
      </c>
      <c r="AL169">
        <f t="shared" si="108"/>
        <v>1</v>
      </c>
      <c r="AM169" s="3">
        <f t="shared" si="109"/>
        <v>0.62340299999999615</v>
      </c>
      <c r="AN169" s="3">
        <f t="shared" si="110"/>
        <v>2.5191059999999936</v>
      </c>
      <c r="AO169">
        <f t="shared" si="111"/>
        <v>1</v>
      </c>
      <c r="AP169" s="3">
        <f t="shared" si="112"/>
        <v>0</v>
      </c>
      <c r="AQ169" s="3">
        <f t="shared" si="113"/>
        <v>0</v>
      </c>
      <c r="AR169">
        <f t="shared" si="114"/>
        <v>0</v>
      </c>
    </row>
    <row r="170" spans="4:44" x14ac:dyDescent="0.25">
      <c r="D170" s="1">
        <v>42499</v>
      </c>
      <c r="E170" s="2">
        <v>91.818629999999999</v>
      </c>
      <c r="F170" s="3">
        <v>202.601238</v>
      </c>
      <c r="G170" s="2">
        <f t="shared" si="79"/>
        <v>6.9266999999996415E-2</v>
      </c>
      <c r="H170" s="2">
        <f t="shared" si="80"/>
        <v>0.16728200000000015</v>
      </c>
      <c r="I170" s="4">
        <f t="shared" si="77"/>
        <v>6.8877303645034013E-3</v>
      </c>
      <c r="J170" s="4">
        <f t="shared" si="78"/>
        <v>6.6061061019316941E-2</v>
      </c>
      <c r="K170" s="4">
        <f t="shared" si="81"/>
        <v>7.1948736250327088E-3</v>
      </c>
      <c r="L170" s="4">
        <f t="shared" si="82"/>
        <v>8.4822600909384455E-2</v>
      </c>
      <c r="M170" s="4">
        <f t="shared" si="83"/>
        <v>1</v>
      </c>
      <c r="N170" s="4">
        <f t="shared" si="84"/>
        <v>1</v>
      </c>
      <c r="O170" s="3">
        <f t="shared" si="85"/>
        <v>6.9266999999996415E-2</v>
      </c>
      <c r="P170" s="3">
        <f t="shared" si="86"/>
        <v>0.16728200000000015</v>
      </c>
      <c r="Q170">
        <f t="shared" si="87"/>
        <v>1</v>
      </c>
      <c r="R170" s="3">
        <f t="shared" si="88"/>
        <v>0</v>
      </c>
      <c r="S170" s="3">
        <f t="shared" si="89"/>
        <v>0</v>
      </c>
      <c r="T170">
        <f t="shared" si="90"/>
        <v>0</v>
      </c>
      <c r="U170" s="3">
        <f t="shared" si="91"/>
        <v>0</v>
      </c>
      <c r="V170" s="3">
        <f t="shared" si="92"/>
        <v>0</v>
      </c>
      <c r="W170">
        <f t="shared" si="93"/>
        <v>0</v>
      </c>
      <c r="X170" s="3">
        <f t="shared" si="94"/>
        <v>0</v>
      </c>
      <c r="Y170" s="3">
        <f t="shared" si="95"/>
        <v>0</v>
      </c>
      <c r="Z170">
        <f t="shared" si="96"/>
        <v>0</v>
      </c>
      <c r="AA170" s="3">
        <f t="shared" si="97"/>
        <v>0</v>
      </c>
      <c r="AB170" s="3">
        <f t="shared" si="98"/>
        <v>0</v>
      </c>
      <c r="AC170">
        <f t="shared" si="99"/>
        <v>0</v>
      </c>
      <c r="AD170" s="3">
        <f t="shared" si="100"/>
        <v>0</v>
      </c>
      <c r="AE170" s="3">
        <f t="shared" si="101"/>
        <v>0</v>
      </c>
      <c r="AF170">
        <f t="shared" si="102"/>
        <v>0</v>
      </c>
      <c r="AG170" s="3">
        <f t="shared" si="103"/>
        <v>0</v>
      </c>
      <c r="AH170" s="3">
        <f t="shared" si="104"/>
        <v>0</v>
      </c>
      <c r="AI170">
        <f t="shared" si="105"/>
        <v>0</v>
      </c>
      <c r="AJ170" s="3">
        <f t="shared" si="106"/>
        <v>0</v>
      </c>
      <c r="AK170" s="3">
        <f t="shared" si="107"/>
        <v>0</v>
      </c>
      <c r="AL170">
        <f t="shared" si="108"/>
        <v>0</v>
      </c>
      <c r="AM170" s="3">
        <f t="shared" si="109"/>
        <v>0</v>
      </c>
      <c r="AN170" s="3">
        <f t="shared" si="110"/>
        <v>0</v>
      </c>
      <c r="AO170">
        <f t="shared" si="111"/>
        <v>0</v>
      </c>
      <c r="AP170" s="3">
        <f t="shared" si="112"/>
        <v>0</v>
      </c>
      <c r="AQ170" s="3">
        <f t="shared" si="113"/>
        <v>0</v>
      </c>
      <c r="AR170">
        <f t="shared" si="114"/>
        <v>0</v>
      </c>
    </row>
    <row r="171" spans="4:44" x14ac:dyDescent="0.25">
      <c r="D171" s="1">
        <v>42496</v>
      </c>
      <c r="E171" s="2">
        <v>91.749363000000002</v>
      </c>
      <c r="F171" s="3">
        <v>202.43395599999999</v>
      </c>
      <c r="G171" s="2">
        <f t="shared" si="79"/>
        <v>-0.51455400000000395</v>
      </c>
      <c r="H171" s="2">
        <f t="shared" si="80"/>
        <v>0.73802000000000589</v>
      </c>
      <c r="I171" s="4">
        <f t="shared" si="77"/>
        <v>-0.57693326963549696</v>
      </c>
      <c r="J171" s="4">
        <f t="shared" si="78"/>
        <v>0.63679906101932271</v>
      </c>
      <c r="K171" s="4">
        <f t="shared" si="81"/>
        <v>2.4306155178863493</v>
      </c>
      <c r="L171" s="4">
        <f t="shared" si="82"/>
        <v>1.559043141765599</v>
      </c>
      <c r="M171" s="4">
        <f t="shared" si="83"/>
        <v>1</v>
      </c>
      <c r="N171" s="4">
        <f t="shared" si="84"/>
        <v>0.49370210597664321</v>
      </c>
      <c r="O171" s="3">
        <f t="shared" si="85"/>
        <v>-0.51455400000000395</v>
      </c>
      <c r="P171" s="3">
        <f t="shared" si="86"/>
        <v>0.73802000000000589</v>
      </c>
      <c r="Q171">
        <f t="shared" si="87"/>
        <v>1</v>
      </c>
      <c r="R171" s="3">
        <f t="shared" si="88"/>
        <v>-0.51455400000000395</v>
      </c>
      <c r="S171" s="3">
        <f t="shared" si="89"/>
        <v>0.73802000000000589</v>
      </c>
      <c r="T171">
        <f t="shared" si="90"/>
        <v>1</v>
      </c>
      <c r="U171" s="3">
        <f t="shared" si="91"/>
        <v>-0.51455400000000395</v>
      </c>
      <c r="V171" s="3">
        <f t="shared" si="92"/>
        <v>0.73802000000000589</v>
      </c>
      <c r="W171">
        <f t="shared" si="93"/>
        <v>1</v>
      </c>
      <c r="X171" s="3">
        <f t="shared" si="94"/>
        <v>0</v>
      </c>
      <c r="Y171" s="3">
        <f t="shared" si="95"/>
        <v>0</v>
      </c>
      <c r="Z171">
        <f t="shared" si="96"/>
        <v>0</v>
      </c>
      <c r="AA171" s="3">
        <f t="shared" si="97"/>
        <v>0</v>
      </c>
      <c r="AB171" s="3">
        <f t="shared" si="98"/>
        <v>0</v>
      </c>
      <c r="AC171">
        <f t="shared" si="99"/>
        <v>0</v>
      </c>
      <c r="AD171" s="3">
        <f t="shared" si="100"/>
        <v>0</v>
      </c>
      <c r="AE171" s="3">
        <f t="shared" si="101"/>
        <v>0</v>
      </c>
      <c r="AF171">
        <f t="shared" si="102"/>
        <v>0</v>
      </c>
      <c r="AG171" s="3">
        <f t="shared" si="103"/>
        <v>0</v>
      </c>
      <c r="AH171" s="3">
        <f t="shared" si="104"/>
        <v>0</v>
      </c>
      <c r="AI171">
        <f t="shared" si="105"/>
        <v>0</v>
      </c>
      <c r="AJ171" s="3">
        <f t="shared" si="106"/>
        <v>0</v>
      </c>
      <c r="AK171" s="3">
        <f t="shared" si="107"/>
        <v>0</v>
      </c>
      <c r="AL171">
        <f t="shared" si="108"/>
        <v>0</v>
      </c>
      <c r="AM171" s="3">
        <f t="shared" si="109"/>
        <v>0</v>
      </c>
      <c r="AN171" s="3">
        <f t="shared" si="110"/>
        <v>0</v>
      </c>
      <c r="AO171">
        <f t="shared" si="111"/>
        <v>0</v>
      </c>
      <c r="AP171" s="3">
        <f t="shared" si="112"/>
        <v>0</v>
      </c>
      <c r="AQ171" s="3">
        <f t="shared" si="113"/>
        <v>0</v>
      </c>
      <c r="AR171">
        <f t="shared" si="114"/>
        <v>0</v>
      </c>
    </row>
    <row r="172" spans="4:44" x14ac:dyDescent="0.25">
      <c r="D172" s="1">
        <v>42495</v>
      </c>
      <c r="E172" s="2">
        <v>92.263917000000006</v>
      </c>
      <c r="F172" s="3">
        <v>201.69593599999999</v>
      </c>
      <c r="G172" s="2">
        <f t="shared" si="79"/>
        <v>-0.37602699999999345</v>
      </c>
      <c r="H172" s="2">
        <f t="shared" si="80"/>
        <v>-3.9354000000002998E-2</v>
      </c>
      <c r="I172" s="4">
        <f t="shared" si="77"/>
        <v>-0.43840626963548646</v>
      </c>
      <c r="J172" s="4">
        <f t="shared" si="78"/>
        <v>-0.14057493898068621</v>
      </c>
      <c r="K172" s="4">
        <f t="shared" si="81"/>
        <v>0.28642405662109044</v>
      </c>
      <c r="L172" s="4">
        <f t="shared" si="82"/>
        <v>0.53518600189195009</v>
      </c>
      <c r="M172" s="4">
        <f t="shared" si="83"/>
        <v>1</v>
      </c>
      <c r="N172" s="4">
        <f t="shared" si="84"/>
        <v>1</v>
      </c>
      <c r="O172" s="3">
        <f t="shared" si="85"/>
        <v>-0.37602699999999345</v>
      </c>
      <c r="P172" s="3">
        <f t="shared" si="86"/>
        <v>-3.9354000000002998E-2</v>
      </c>
      <c r="Q172">
        <f t="shared" si="87"/>
        <v>1</v>
      </c>
      <c r="R172" s="3">
        <f t="shared" si="88"/>
        <v>0</v>
      </c>
      <c r="S172" s="3">
        <f t="shared" si="89"/>
        <v>0</v>
      </c>
      <c r="T172">
        <f t="shared" si="90"/>
        <v>0</v>
      </c>
      <c r="U172" s="3">
        <f t="shared" si="91"/>
        <v>0</v>
      </c>
      <c r="V172" s="3">
        <f t="shared" si="92"/>
        <v>0</v>
      </c>
      <c r="W172">
        <f t="shared" si="93"/>
        <v>0</v>
      </c>
      <c r="X172" s="3">
        <f t="shared" si="94"/>
        <v>0</v>
      </c>
      <c r="Y172" s="3">
        <f t="shared" si="95"/>
        <v>0</v>
      </c>
      <c r="Z172">
        <f t="shared" si="96"/>
        <v>0</v>
      </c>
      <c r="AA172" s="3">
        <f t="shared" si="97"/>
        <v>0</v>
      </c>
      <c r="AB172" s="3">
        <f t="shared" si="98"/>
        <v>0</v>
      </c>
      <c r="AC172">
        <f t="shared" si="99"/>
        <v>0</v>
      </c>
      <c r="AD172" s="3">
        <f t="shared" si="100"/>
        <v>0</v>
      </c>
      <c r="AE172" s="3">
        <f t="shared" si="101"/>
        <v>0</v>
      </c>
      <c r="AF172">
        <f t="shared" si="102"/>
        <v>0</v>
      </c>
      <c r="AG172" s="3">
        <f t="shared" si="103"/>
        <v>0</v>
      </c>
      <c r="AH172" s="3">
        <f t="shared" si="104"/>
        <v>0</v>
      </c>
      <c r="AI172">
        <f t="shared" si="105"/>
        <v>0</v>
      </c>
      <c r="AJ172" s="3">
        <f t="shared" si="106"/>
        <v>0</v>
      </c>
      <c r="AK172" s="3">
        <f t="shared" si="107"/>
        <v>0</v>
      </c>
      <c r="AL172">
        <f t="shared" si="108"/>
        <v>0</v>
      </c>
      <c r="AM172" s="3">
        <f t="shared" si="109"/>
        <v>0</v>
      </c>
      <c r="AN172" s="3">
        <f t="shared" si="110"/>
        <v>0</v>
      </c>
      <c r="AO172">
        <f t="shared" si="111"/>
        <v>0</v>
      </c>
      <c r="AP172" s="3">
        <f t="shared" si="112"/>
        <v>0</v>
      </c>
      <c r="AQ172" s="3">
        <f t="shared" si="113"/>
        <v>0</v>
      </c>
      <c r="AR172">
        <f t="shared" si="114"/>
        <v>0</v>
      </c>
    </row>
    <row r="173" spans="4:44" x14ac:dyDescent="0.25">
      <c r="D173" s="1">
        <v>42494</v>
      </c>
      <c r="E173" s="2">
        <v>92.639944</v>
      </c>
      <c r="F173" s="3">
        <v>201.73528999999999</v>
      </c>
      <c r="G173" s="2">
        <f t="shared" si="79"/>
        <v>-0.97370499999999538</v>
      </c>
      <c r="H173" s="2">
        <f t="shared" si="80"/>
        <v>-1.1316400000000044</v>
      </c>
      <c r="I173" s="4">
        <f t="shared" si="77"/>
        <v>-1.0360842696354884</v>
      </c>
      <c r="J173" s="4">
        <f t="shared" si="78"/>
        <v>-1.2328609389806877</v>
      </c>
      <c r="K173" s="4">
        <f t="shared" si="81"/>
        <v>1.8505528383488863</v>
      </c>
      <c r="L173" s="4">
        <f t="shared" si="82"/>
        <v>1.3603502631119995</v>
      </c>
      <c r="M173" s="4">
        <f t="shared" si="83"/>
        <v>1</v>
      </c>
      <c r="N173" s="4">
        <f t="shared" si="84"/>
        <v>1</v>
      </c>
      <c r="O173" s="3">
        <f t="shared" si="85"/>
        <v>-0.97370499999999538</v>
      </c>
      <c r="P173" s="3">
        <f t="shared" si="86"/>
        <v>-1.1316400000000044</v>
      </c>
      <c r="Q173">
        <f t="shared" si="87"/>
        <v>1</v>
      </c>
      <c r="R173" s="3">
        <f t="shared" si="88"/>
        <v>-0.97370499999999538</v>
      </c>
      <c r="S173" s="3">
        <f t="shared" si="89"/>
        <v>-1.1316400000000044</v>
      </c>
      <c r="T173">
        <f t="shared" si="90"/>
        <v>1</v>
      </c>
      <c r="U173" s="3">
        <f t="shared" si="91"/>
        <v>0</v>
      </c>
      <c r="V173" s="3">
        <f t="shared" si="92"/>
        <v>0</v>
      </c>
      <c r="W173">
        <f t="shared" si="93"/>
        <v>0</v>
      </c>
      <c r="X173" s="3">
        <f t="shared" si="94"/>
        <v>0</v>
      </c>
      <c r="Y173" s="3">
        <f t="shared" si="95"/>
        <v>0</v>
      </c>
      <c r="Z173">
        <f t="shared" si="96"/>
        <v>0</v>
      </c>
      <c r="AA173" s="3">
        <f t="shared" si="97"/>
        <v>0</v>
      </c>
      <c r="AB173" s="3">
        <f t="shared" si="98"/>
        <v>0</v>
      </c>
      <c r="AC173">
        <f t="shared" si="99"/>
        <v>0</v>
      </c>
      <c r="AD173" s="3">
        <f t="shared" si="100"/>
        <v>0</v>
      </c>
      <c r="AE173" s="3">
        <f t="shared" si="101"/>
        <v>0</v>
      </c>
      <c r="AF173">
        <f t="shared" si="102"/>
        <v>0</v>
      </c>
      <c r="AG173" s="3">
        <f t="shared" si="103"/>
        <v>0</v>
      </c>
      <c r="AH173" s="3">
        <f t="shared" si="104"/>
        <v>0</v>
      </c>
      <c r="AI173">
        <f t="shared" si="105"/>
        <v>0</v>
      </c>
      <c r="AJ173" s="3">
        <f t="shared" si="106"/>
        <v>0</v>
      </c>
      <c r="AK173" s="3">
        <f t="shared" si="107"/>
        <v>0</v>
      </c>
      <c r="AL173">
        <f t="shared" si="108"/>
        <v>0</v>
      </c>
      <c r="AM173" s="3">
        <f t="shared" si="109"/>
        <v>0</v>
      </c>
      <c r="AN173" s="3">
        <f t="shared" si="110"/>
        <v>0</v>
      </c>
      <c r="AO173">
        <f t="shared" si="111"/>
        <v>0</v>
      </c>
      <c r="AP173" s="3">
        <f t="shared" si="112"/>
        <v>0</v>
      </c>
      <c r="AQ173" s="3">
        <f t="shared" si="113"/>
        <v>0</v>
      </c>
      <c r="AR173">
        <f t="shared" si="114"/>
        <v>0</v>
      </c>
    </row>
    <row r="174" spans="4:44" x14ac:dyDescent="0.25">
      <c r="D174" s="1">
        <v>42493</v>
      </c>
      <c r="E174" s="2">
        <v>93.613648999999995</v>
      </c>
      <c r="F174" s="3">
        <v>202.86693</v>
      </c>
      <c r="G174" s="2">
        <f t="shared" si="79"/>
        <v>1.5146569999999997</v>
      </c>
      <c r="H174" s="2">
        <f t="shared" si="80"/>
        <v>-1.7810849999999903</v>
      </c>
      <c r="I174" s="4">
        <f t="shared" si="77"/>
        <v>1.4522777303645067</v>
      </c>
      <c r="J174" s="4">
        <f t="shared" si="78"/>
        <v>-1.8823059389806736</v>
      </c>
      <c r="K174" s="4">
        <f t="shared" si="81"/>
        <v>18.300444186063878</v>
      </c>
      <c r="L174" s="4">
        <f t="shared" si="82"/>
        <v>4.2779018439024377</v>
      </c>
      <c r="M174" s="4">
        <f t="shared" si="83"/>
        <v>0.46751890832902715</v>
      </c>
      <c r="N174" s="4">
        <f t="shared" si="84"/>
        <v>6.5572178893549576E-2</v>
      </c>
      <c r="O174" s="3">
        <f t="shared" si="85"/>
        <v>1.5146569999999997</v>
      </c>
      <c r="P174" s="3">
        <f t="shared" si="86"/>
        <v>-1.7810849999999903</v>
      </c>
      <c r="Q174">
        <f t="shared" si="87"/>
        <v>1</v>
      </c>
      <c r="R174" s="3">
        <f t="shared" si="88"/>
        <v>1.5146569999999997</v>
      </c>
      <c r="S174" s="3">
        <f t="shared" si="89"/>
        <v>-1.7810849999999903</v>
      </c>
      <c r="T174">
        <f t="shared" si="90"/>
        <v>1</v>
      </c>
      <c r="U174" s="3">
        <f t="shared" si="91"/>
        <v>1.5146569999999997</v>
      </c>
      <c r="V174" s="3">
        <f t="shared" si="92"/>
        <v>-1.7810849999999903</v>
      </c>
      <c r="W174">
        <f t="shared" si="93"/>
        <v>1</v>
      </c>
      <c r="X174" s="3">
        <f t="shared" si="94"/>
        <v>1.5146569999999997</v>
      </c>
      <c r="Y174" s="3">
        <f t="shared" si="95"/>
        <v>-1.7810849999999903</v>
      </c>
      <c r="Z174">
        <f t="shared" si="96"/>
        <v>1</v>
      </c>
      <c r="AA174" s="3">
        <f t="shared" si="97"/>
        <v>1.5146569999999997</v>
      </c>
      <c r="AB174" s="3">
        <f t="shared" si="98"/>
        <v>-1.7810849999999903</v>
      </c>
      <c r="AC174">
        <f t="shared" si="99"/>
        <v>1</v>
      </c>
      <c r="AD174" s="3">
        <f t="shared" si="100"/>
        <v>1.5146569999999997</v>
      </c>
      <c r="AE174" s="3">
        <f t="shared" si="101"/>
        <v>-1.7810849999999903</v>
      </c>
      <c r="AF174">
        <f t="shared" si="102"/>
        <v>1</v>
      </c>
      <c r="AG174" s="3">
        <f t="shared" si="103"/>
        <v>1.5146569999999997</v>
      </c>
      <c r="AH174" s="3">
        <f t="shared" si="104"/>
        <v>-1.7810849999999903</v>
      </c>
      <c r="AI174">
        <f t="shared" si="105"/>
        <v>1</v>
      </c>
      <c r="AJ174" s="3">
        <f t="shared" si="106"/>
        <v>1.5146569999999997</v>
      </c>
      <c r="AK174" s="3">
        <f t="shared" si="107"/>
        <v>-1.7810849999999903</v>
      </c>
      <c r="AL174">
        <f t="shared" si="108"/>
        <v>1</v>
      </c>
      <c r="AM174" s="3">
        <f t="shared" si="109"/>
        <v>1.5146569999999997</v>
      </c>
      <c r="AN174" s="3">
        <f t="shared" si="110"/>
        <v>-1.7810849999999903</v>
      </c>
      <c r="AO174">
        <f t="shared" si="111"/>
        <v>1</v>
      </c>
      <c r="AP174" s="3">
        <f t="shared" si="112"/>
        <v>1.5146569999999997</v>
      </c>
      <c r="AQ174" s="3">
        <f t="shared" si="113"/>
        <v>-1.7810849999999903</v>
      </c>
      <c r="AR174">
        <f t="shared" si="114"/>
        <v>1</v>
      </c>
    </row>
    <row r="175" spans="4:44" x14ac:dyDescent="0.25">
      <c r="D175" s="1">
        <v>42492</v>
      </c>
      <c r="E175" s="2">
        <v>92.098991999999996</v>
      </c>
      <c r="F175" s="3">
        <v>204.64801499999999</v>
      </c>
      <c r="G175" s="2">
        <f t="shared" si="79"/>
        <v>-9.8353000000003021E-2</v>
      </c>
      <c r="H175" s="2">
        <f t="shared" si="80"/>
        <v>1.6138029999999901</v>
      </c>
      <c r="I175" s="4">
        <f t="shared" si="77"/>
        <v>-0.16073226963549603</v>
      </c>
      <c r="J175" s="4">
        <f t="shared" si="78"/>
        <v>1.5125820610193068</v>
      </c>
      <c r="K175" s="4">
        <f t="shared" si="81"/>
        <v>5.0241833098543838</v>
      </c>
      <c r="L175" s="4">
        <f t="shared" si="82"/>
        <v>2.241469007114393</v>
      </c>
      <c r="M175" s="4">
        <f t="shared" si="83"/>
        <v>0.89227198486886339</v>
      </c>
      <c r="N175" s="4">
        <f t="shared" si="84"/>
        <v>0.23884478849454632</v>
      </c>
      <c r="O175" s="3">
        <f t="shared" si="85"/>
        <v>-9.8353000000003021E-2</v>
      </c>
      <c r="P175" s="3">
        <f t="shared" si="86"/>
        <v>1.6138029999999901</v>
      </c>
      <c r="Q175">
        <f t="shared" si="87"/>
        <v>1</v>
      </c>
      <c r="R175" s="3">
        <f t="shared" si="88"/>
        <v>-9.8353000000003021E-2</v>
      </c>
      <c r="S175" s="3">
        <f t="shared" si="89"/>
        <v>1.6138029999999901</v>
      </c>
      <c r="T175">
        <f t="shared" si="90"/>
        <v>1</v>
      </c>
      <c r="U175" s="3">
        <f t="shared" si="91"/>
        <v>-9.8353000000003021E-2</v>
      </c>
      <c r="V175" s="3">
        <f t="shared" si="92"/>
        <v>1.6138029999999901</v>
      </c>
      <c r="W175">
        <f t="shared" si="93"/>
        <v>1</v>
      </c>
      <c r="X175" s="3">
        <f t="shared" si="94"/>
        <v>-9.8353000000003021E-2</v>
      </c>
      <c r="Y175" s="3">
        <f t="shared" si="95"/>
        <v>1.6138029999999901</v>
      </c>
      <c r="Z175">
        <f t="shared" si="96"/>
        <v>1</v>
      </c>
      <c r="AA175" s="3">
        <f t="shared" si="97"/>
        <v>-9.8353000000003021E-2</v>
      </c>
      <c r="AB175" s="3">
        <f t="shared" si="98"/>
        <v>1.6138029999999901</v>
      </c>
      <c r="AC175">
        <f t="shared" si="99"/>
        <v>1</v>
      </c>
      <c r="AD175" s="3">
        <f t="shared" si="100"/>
        <v>-9.8353000000003021E-2</v>
      </c>
      <c r="AE175" s="3">
        <f t="shared" si="101"/>
        <v>1.6138029999999901</v>
      </c>
      <c r="AF175">
        <f t="shared" si="102"/>
        <v>1</v>
      </c>
      <c r="AG175" s="3">
        <f t="shared" si="103"/>
        <v>0</v>
      </c>
      <c r="AH175" s="3">
        <f t="shared" si="104"/>
        <v>0</v>
      </c>
      <c r="AI175">
        <f t="shared" si="105"/>
        <v>0</v>
      </c>
      <c r="AJ175" s="3">
        <f t="shared" si="106"/>
        <v>0</v>
      </c>
      <c r="AK175" s="3">
        <f t="shared" si="107"/>
        <v>0</v>
      </c>
      <c r="AL175">
        <f t="shared" si="108"/>
        <v>0</v>
      </c>
      <c r="AM175" s="3">
        <f t="shared" si="109"/>
        <v>0</v>
      </c>
      <c r="AN175" s="3">
        <f t="shared" si="110"/>
        <v>0</v>
      </c>
      <c r="AO175">
        <f t="shared" si="111"/>
        <v>0</v>
      </c>
      <c r="AP175" s="3">
        <f t="shared" si="112"/>
        <v>0</v>
      </c>
      <c r="AQ175" s="3">
        <f t="shared" si="113"/>
        <v>0</v>
      </c>
      <c r="AR175">
        <f t="shared" si="114"/>
        <v>0</v>
      </c>
    </row>
    <row r="176" spans="4:44" x14ac:dyDescent="0.25">
      <c r="D176" s="1">
        <v>42489</v>
      </c>
      <c r="E176" s="2">
        <v>92.197344999999999</v>
      </c>
      <c r="F176" s="3">
        <v>203.034212</v>
      </c>
      <c r="G176" s="2">
        <f t="shared" si="79"/>
        <v>-1.0720660000000066</v>
      </c>
      <c r="H176" s="2">
        <f t="shared" si="80"/>
        <v>-1.1021049999999946</v>
      </c>
      <c r="I176" s="4">
        <f t="shared" si="77"/>
        <v>-1.1344452696354996</v>
      </c>
      <c r="J176" s="4">
        <f t="shared" si="78"/>
        <v>-1.2033259389806779</v>
      </c>
      <c r="K176" s="4">
        <f t="shared" si="81"/>
        <v>1.9405584013672759</v>
      </c>
      <c r="L176" s="4">
        <f t="shared" si="82"/>
        <v>1.3930392677047103</v>
      </c>
      <c r="M176" s="4">
        <f t="shared" si="83"/>
        <v>1</v>
      </c>
      <c r="N176" s="4">
        <f t="shared" si="84"/>
        <v>1</v>
      </c>
      <c r="O176" s="3">
        <f t="shared" si="85"/>
        <v>-1.0720660000000066</v>
      </c>
      <c r="P176" s="3">
        <f t="shared" si="86"/>
        <v>-1.1021049999999946</v>
      </c>
      <c r="Q176">
        <f t="shared" si="87"/>
        <v>1</v>
      </c>
      <c r="R176" s="3">
        <f t="shared" si="88"/>
        <v>-1.0720660000000066</v>
      </c>
      <c r="S176" s="3">
        <f t="shared" si="89"/>
        <v>-1.1021049999999946</v>
      </c>
      <c r="T176">
        <f t="shared" si="90"/>
        <v>1</v>
      </c>
      <c r="U176" s="3">
        <f t="shared" si="91"/>
        <v>0</v>
      </c>
      <c r="V176" s="3">
        <f t="shared" si="92"/>
        <v>0</v>
      </c>
      <c r="W176">
        <f t="shared" si="93"/>
        <v>0</v>
      </c>
      <c r="X176" s="3">
        <f t="shared" si="94"/>
        <v>0</v>
      </c>
      <c r="Y176" s="3">
        <f t="shared" si="95"/>
        <v>0</v>
      </c>
      <c r="Z176">
        <f t="shared" si="96"/>
        <v>0</v>
      </c>
      <c r="AA176" s="3">
        <f t="shared" si="97"/>
        <v>0</v>
      </c>
      <c r="AB176" s="3">
        <f t="shared" si="98"/>
        <v>0</v>
      </c>
      <c r="AC176">
        <f t="shared" si="99"/>
        <v>0</v>
      </c>
      <c r="AD176" s="3">
        <f t="shared" si="100"/>
        <v>0</v>
      </c>
      <c r="AE176" s="3">
        <f t="shared" si="101"/>
        <v>0</v>
      </c>
      <c r="AF176">
        <f t="shared" si="102"/>
        <v>0</v>
      </c>
      <c r="AG176" s="3">
        <f t="shared" si="103"/>
        <v>0</v>
      </c>
      <c r="AH176" s="3">
        <f t="shared" si="104"/>
        <v>0</v>
      </c>
      <c r="AI176">
        <f t="shared" si="105"/>
        <v>0</v>
      </c>
      <c r="AJ176" s="3">
        <f t="shared" si="106"/>
        <v>0</v>
      </c>
      <c r="AK176" s="3">
        <f t="shared" si="107"/>
        <v>0</v>
      </c>
      <c r="AL176">
        <f t="shared" si="108"/>
        <v>0</v>
      </c>
      <c r="AM176" s="3">
        <f t="shared" si="109"/>
        <v>0</v>
      </c>
      <c r="AN176" s="3">
        <f t="shared" si="110"/>
        <v>0</v>
      </c>
      <c r="AO176">
        <f t="shared" si="111"/>
        <v>0</v>
      </c>
      <c r="AP176" s="3">
        <f t="shared" si="112"/>
        <v>0</v>
      </c>
      <c r="AQ176" s="3">
        <f t="shared" si="113"/>
        <v>0</v>
      </c>
      <c r="AR176">
        <f t="shared" si="114"/>
        <v>0</v>
      </c>
    </row>
    <row r="177" spans="4:44" x14ac:dyDescent="0.25">
      <c r="D177" s="1">
        <v>42488</v>
      </c>
      <c r="E177" s="2">
        <v>93.269411000000005</v>
      </c>
      <c r="F177" s="3">
        <v>204.13631699999999</v>
      </c>
      <c r="G177" s="2">
        <f t="shared" si="79"/>
        <v>-2.9407920000000018</v>
      </c>
      <c r="H177" s="2">
        <f t="shared" si="80"/>
        <v>-1.8696600000000103</v>
      </c>
      <c r="I177" s="4">
        <f t="shared" si="77"/>
        <v>-3.0031712696354949</v>
      </c>
      <c r="J177" s="4">
        <f t="shared" si="78"/>
        <v>-1.9708809389806936</v>
      </c>
      <c r="K177" s="4">
        <f t="shared" si="81"/>
        <v>11.191218099406919</v>
      </c>
      <c r="L177" s="4">
        <f t="shared" si="82"/>
        <v>3.3453278014877585</v>
      </c>
      <c r="M177" s="4">
        <f t="shared" si="83"/>
        <v>0.5978487367099109</v>
      </c>
      <c r="N177" s="4">
        <f t="shared" si="84"/>
        <v>0.10722693359569091</v>
      </c>
      <c r="O177" s="3">
        <f t="shared" si="85"/>
        <v>-2.9407920000000018</v>
      </c>
      <c r="P177" s="3">
        <f t="shared" si="86"/>
        <v>-1.8696600000000103</v>
      </c>
      <c r="Q177">
        <f t="shared" si="87"/>
        <v>1</v>
      </c>
      <c r="R177" s="3">
        <f t="shared" si="88"/>
        <v>-2.9407920000000018</v>
      </c>
      <c r="S177" s="3">
        <f t="shared" si="89"/>
        <v>-1.8696600000000103</v>
      </c>
      <c r="T177">
        <f t="shared" si="90"/>
        <v>1</v>
      </c>
      <c r="U177" s="3">
        <f t="shared" si="91"/>
        <v>-2.9407920000000018</v>
      </c>
      <c r="V177" s="3">
        <f t="shared" si="92"/>
        <v>-1.8696600000000103</v>
      </c>
      <c r="W177">
        <f t="shared" si="93"/>
        <v>1</v>
      </c>
      <c r="X177" s="3">
        <f t="shared" si="94"/>
        <v>-2.9407920000000018</v>
      </c>
      <c r="Y177" s="3">
        <f t="shared" si="95"/>
        <v>-1.8696600000000103</v>
      </c>
      <c r="Z177">
        <f t="shared" si="96"/>
        <v>1</v>
      </c>
      <c r="AA177" s="3">
        <f t="shared" si="97"/>
        <v>-2.9407920000000018</v>
      </c>
      <c r="AB177" s="3">
        <f t="shared" si="98"/>
        <v>-1.8696600000000103</v>
      </c>
      <c r="AC177">
        <f t="shared" si="99"/>
        <v>1</v>
      </c>
      <c r="AD177" s="3">
        <f t="shared" si="100"/>
        <v>-2.9407920000000018</v>
      </c>
      <c r="AE177" s="3">
        <f t="shared" si="101"/>
        <v>-1.8696600000000103</v>
      </c>
      <c r="AF177">
        <f t="shared" si="102"/>
        <v>1</v>
      </c>
      <c r="AG177" s="3">
        <f t="shared" si="103"/>
        <v>-2.9407920000000018</v>
      </c>
      <c r="AH177" s="3">
        <f t="shared" si="104"/>
        <v>-1.8696600000000103</v>
      </c>
      <c r="AI177">
        <f t="shared" si="105"/>
        <v>1</v>
      </c>
      <c r="AJ177" s="3">
        <f t="shared" si="106"/>
        <v>-2.9407920000000018</v>
      </c>
      <c r="AK177" s="3">
        <f t="shared" si="107"/>
        <v>-1.8696600000000103</v>
      </c>
      <c r="AL177">
        <f t="shared" si="108"/>
        <v>1</v>
      </c>
      <c r="AM177" s="3">
        <f t="shared" si="109"/>
        <v>-2.9407920000000018</v>
      </c>
      <c r="AN177" s="3">
        <f t="shared" si="110"/>
        <v>-1.8696600000000103</v>
      </c>
      <c r="AO177">
        <f t="shared" si="111"/>
        <v>1</v>
      </c>
      <c r="AP177" s="3">
        <f t="shared" si="112"/>
        <v>-2.9407920000000018</v>
      </c>
      <c r="AQ177" s="3">
        <f t="shared" si="113"/>
        <v>-1.8696600000000103</v>
      </c>
      <c r="AR177">
        <f t="shared" si="114"/>
        <v>1</v>
      </c>
    </row>
    <row r="178" spans="4:44" x14ac:dyDescent="0.25">
      <c r="D178" s="1">
        <v>42487</v>
      </c>
      <c r="E178" s="2">
        <v>96.210203000000007</v>
      </c>
      <c r="F178" s="3">
        <v>206.005977</v>
      </c>
      <c r="G178" s="2">
        <f t="shared" si="79"/>
        <v>-6.4225359999999938</v>
      </c>
      <c r="H178" s="2">
        <f t="shared" si="80"/>
        <v>0.42313899999999194</v>
      </c>
      <c r="I178" s="4">
        <f t="shared" si="77"/>
        <v>-6.4849152696354873</v>
      </c>
      <c r="J178" s="4">
        <f t="shared" si="78"/>
        <v>0.32191806101930875</v>
      </c>
      <c r="K178" s="4">
        <f t="shared" si="81"/>
        <v>95.085945946775965</v>
      </c>
      <c r="L178" s="4">
        <f t="shared" si="82"/>
        <v>9.7512022821176245</v>
      </c>
      <c r="M178" s="4">
        <f t="shared" si="83"/>
        <v>0.20510291368560032</v>
      </c>
      <c r="N178" s="4">
        <f t="shared" si="84"/>
        <v>1.2620161560696844E-2</v>
      </c>
      <c r="O178" s="3">
        <f t="shared" si="85"/>
        <v>-6.4225359999999938</v>
      </c>
      <c r="P178" s="3">
        <f t="shared" si="86"/>
        <v>0.42313899999999194</v>
      </c>
      <c r="Q178">
        <f t="shared" si="87"/>
        <v>1</v>
      </c>
      <c r="R178" s="3">
        <f t="shared" si="88"/>
        <v>-6.4225359999999938</v>
      </c>
      <c r="S178" s="3">
        <f t="shared" si="89"/>
        <v>0.42313899999999194</v>
      </c>
      <c r="T178">
        <f t="shared" si="90"/>
        <v>1</v>
      </c>
      <c r="U178" s="3">
        <f t="shared" si="91"/>
        <v>-6.4225359999999938</v>
      </c>
      <c r="V178" s="3">
        <f t="shared" si="92"/>
        <v>0.42313899999999194</v>
      </c>
      <c r="W178">
        <f t="shared" si="93"/>
        <v>1</v>
      </c>
      <c r="X178" s="3">
        <f t="shared" si="94"/>
        <v>-6.4225359999999938</v>
      </c>
      <c r="Y178" s="3">
        <f t="shared" si="95"/>
        <v>0.42313899999999194</v>
      </c>
      <c r="Z178">
        <f t="shared" si="96"/>
        <v>1</v>
      </c>
      <c r="AA178" s="3">
        <f t="shared" si="97"/>
        <v>-6.4225359999999938</v>
      </c>
      <c r="AB178" s="3">
        <f t="shared" si="98"/>
        <v>0.42313899999999194</v>
      </c>
      <c r="AC178">
        <f t="shared" si="99"/>
        <v>1</v>
      </c>
      <c r="AD178" s="3">
        <f t="shared" si="100"/>
        <v>-6.4225359999999938</v>
      </c>
      <c r="AE178" s="3">
        <f t="shared" si="101"/>
        <v>0.42313899999999194</v>
      </c>
      <c r="AF178">
        <f t="shared" si="102"/>
        <v>1</v>
      </c>
      <c r="AG178" s="3">
        <f t="shared" si="103"/>
        <v>-6.4225359999999938</v>
      </c>
      <c r="AH178" s="3">
        <f t="shared" si="104"/>
        <v>0.42313899999999194</v>
      </c>
      <c r="AI178">
        <f t="shared" si="105"/>
        <v>1</v>
      </c>
      <c r="AJ178" s="3">
        <f t="shared" si="106"/>
        <v>-6.4225359999999938</v>
      </c>
      <c r="AK178" s="3">
        <f t="shared" si="107"/>
        <v>0.42313899999999194</v>
      </c>
      <c r="AL178">
        <f t="shared" si="108"/>
        <v>1</v>
      </c>
      <c r="AM178" s="3">
        <f t="shared" si="109"/>
        <v>-6.4225359999999938</v>
      </c>
      <c r="AN178" s="3">
        <f t="shared" si="110"/>
        <v>0.42313899999999194</v>
      </c>
      <c r="AO178">
        <f t="shared" si="111"/>
        <v>1</v>
      </c>
      <c r="AP178" s="3">
        <f t="shared" si="112"/>
        <v>-6.4225359999999938</v>
      </c>
      <c r="AQ178" s="3">
        <f t="shared" si="113"/>
        <v>0.42313899999999194</v>
      </c>
      <c r="AR178">
        <f t="shared" si="114"/>
        <v>1</v>
      </c>
    </row>
    <row r="179" spans="4:44" x14ac:dyDescent="0.25">
      <c r="D179" s="1">
        <v>42486</v>
      </c>
      <c r="E179" s="2">
        <v>102.632739</v>
      </c>
      <c r="F179" s="3">
        <v>205.58283800000001</v>
      </c>
      <c r="G179" s="2">
        <f t="shared" si="79"/>
        <v>-0.71799000000000035</v>
      </c>
      <c r="H179" s="2">
        <f t="shared" si="80"/>
        <v>0.30504600000000437</v>
      </c>
      <c r="I179" s="4">
        <f t="shared" si="77"/>
        <v>-0.78036926963549336</v>
      </c>
      <c r="J179" s="4">
        <f t="shared" si="78"/>
        <v>0.20382506101932116</v>
      </c>
      <c r="K179" s="4">
        <f t="shared" si="81"/>
        <v>1.7872184557565336</v>
      </c>
      <c r="L179" s="4">
        <f t="shared" si="82"/>
        <v>1.3368688999885268</v>
      </c>
      <c r="M179" s="4">
        <f t="shared" si="83"/>
        <v>1</v>
      </c>
      <c r="N179" s="4">
        <f t="shared" si="84"/>
        <v>1</v>
      </c>
      <c r="O179" s="3">
        <f t="shared" si="85"/>
        <v>-0.71799000000000035</v>
      </c>
      <c r="P179" s="3">
        <f t="shared" si="86"/>
        <v>0.30504600000000437</v>
      </c>
      <c r="Q179">
        <f t="shared" si="87"/>
        <v>1</v>
      </c>
      <c r="R179" s="3">
        <f t="shared" si="88"/>
        <v>-0.71799000000000035</v>
      </c>
      <c r="S179" s="3">
        <f t="shared" si="89"/>
        <v>0.30504600000000437</v>
      </c>
      <c r="T179">
        <f t="shared" si="90"/>
        <v>1</v>
      </c>
      <c r="U179" s="3">
        <f t="shared" si="91"/>
        <v>0</v>
      </c>
      <c r="V179" s="3">
        <f t="shared" si="92"/>
        <v>0</v>
      </c>
      <c r="W179">
        <f t="shared" si="93"/>
        <v>0</v>
      </c>
      <c r="X179" s="3">
        <f t="shared" si="94"/>
        <v>0</v>
      </c>
      <c r="Y179" s="3">
        <f t="shared" si="95"/>
        <v>0</v>
      </c>
      <c r="Z179">
        <f t="shared" si="96"/>
        <v>0</v>
      </c>
      <c r="AA179" s="3">
        <f t="shared" si="97"/>
        <v>0</v>
      </c>
      <c r="AB179" s="3">
        <f t="shared" si="98"/>
        <v>0</v>
      </c>
      <c r="AC179">
        <f t="shared" si="99"/>
        <v>0</v>
      </c>
      <c r="AD179" s="3">
        <f t="shared" si="100"/>
        <v>0</v>
      </c>
      <c r="AE179" s="3">
        <f t="shared" si="101"/>
        <v>0</v>
      </c>
      <c r="AF179">
        <f t="shared" si="102"/>
        <v>0</v>
      </c>
      <c r="AG179" s="3">
        <f t="shared" si="103"/>
        <v>0</v>
      </c>
      <c r="AH179" s="3">
        <f t="shared" si="104"/>
        <v>0</v>
      </c>
      <c r="AI179">
        <f t="shared" si="105"/>
        <v>0</v>
      </c>
      <c r="AJ179" s="3">
        <f t="shared" si="106"/>
        <v>0</v>
      </c>
      <c r="AK179" s="3">
        <f t="shared" si="107"/>
        <v>0</v>
      </c>
      <c r="AL179">
        <f t="shared" si="108"/>
        <v>0</v>
      </c>
      <c r="AM179" s="3">
        <f t="shared" si="109"/>
        <v>0</v>
      </c>
      <c r="AN179" s="3">
        <f t="shared" si="110"/>
        <v>0</v>
      </c>
      <c r="AO179">
        <f t="shared" si="111"/>
        <v>0</v>
      </c>
      <c r="AP179" s="3">
        <f t="shared" si="112"/>
        <v>0</v>
      </c>
      <c r="AQ179" s="3">
        <f t="shared" si="113"/>
        <v>0</v>
      </c>
      <c r="AR179">
        <f t="shared" si="114"/>
        <v>0</v>
      </c>
    </row>
    <row r="180" spans="4:44" x14ac:dyDescent="0.25">
      <c r="D180" s="1">
        <v>42485</v>
      </c>
      <c r="E180" s="2">
        <v>103.350729</v>
      </c>
      <c r="F180" s="3">
        <v>205.27779200000001</v>
      </c>
      <c r="G180" s="2">
        <f t="shared" si="79"/>
        <v>-0.59012500000000045</v>
      </c>
      <c r="H180" s="2">
        <f t="shared" si="80"/>
        <v>-0.3542500000000075</v>
      </c>
      <c r="I180" s="4">
        <f t="shared" si="77"/>
        <v>-0.65250426963549346</v>
      </c>
      <c r="J180" s="4">
        <f t="shared" si="78"/>
        <v>-0.45547093898069069</v>
      </c>
      <c r="K180" s="4">
        <f t="shared" si="81"/>
        <v>0.5278146162647197</v>
      </c>
      <c r="L180" s="4">
        <f t="shared" si="82"/>
        <v>0.72650851079992151</v>
      </c>
      <c r="M180" s="4">
        <f t="shared" si="83"/>
        <v>1</v>
      </c>
      <c r="N180" s="4">
        <f t="shared" si="84"/>
        <v>1</v>
      </c>
      <c r="O180" s="3">
        <f t="shared" si="85"/>
        <v>-0.59012500000000045</v>
      </c>
      <c r="P180" s="3">
        <f t="shared" si="86"/>
        <v>-0.3542500000000075</v>
      </c>
      <c r="Q180">
        <f t="shared" si="87"/>
        <v>1</v>
      </c>
      <c r="R180" s="3">
        <f t="shared" si="88"/>
        <v>0</v>
      </c>
      <c r="S180" s="3">
        <f t="shared" si="89"/>
        <v>0</v>
      </c>
      <c r="T180">
        <f t="shared" si="90"/>
        <v>0</v>
      </c>
      <c r="U180" s="3">
        <f t="shared" si="91"/>
        <v>0</v>
      </c>
      <c r="V180" s="3">
        <f t="shared" si="92"/>
        <v>0</v>
      </c>
      <c r="W180">
        <f t="shared" si="93"/>
        <v>0</v>
      </c>
      <c r="X180" s="3">
        <f t="shared" si="94"/>
        <v>0</v>
      </c>
      <c r="Y180" s="3">
        <f t="shared" si="95"/>
        <v>0</v>
      </c>
      <c r="Z180">
        <f t="shared" si="96"/>
        <v>0</v>
      </c>
      <c r="AA180" s="3">
        <f t="shared" si="97"/>
        <v>0</v>
      </c>
      <c r="AB180" s="3">
        <f t="shared" si="98"/>
        <v>0</v>
      </c>
      <c r="AC180">
        <f t="shared" si="99"/>
        <v>0</v>
      </c>
      <c r="AD180" s="3">
        <f t="shared" si="100"/>
        <v>0</v>
      </c>
      <c r="AE180" s="3">
        <f t="shared" si="101"/>
        <v>0</v>
      </c>
      <c r="AF180">
        <f t="shared" si="102"/>
        <v>0</v>
      </c>
      <c r="AG180" s="3">
        <f t="shared" si="103"/>
        <v>0</v>
      </c>
      <c r="AH180" s="3">
        <f t="shared" si="104"/>
        <v>0</v>
      </c>
      <c r="AI180">
        <f t="shared" si="105"/>
        <v>0</v>
      </c>
      <c r="AJ180" s="3">
        <f t="shared" si="106"/>
        <v>0</v>
      </c>
      <c r="AK180" s="3">
        <f t="shared" si="107"/>
        <v>0</v>
      </c>
      <c r="AL180">
        <f t="shared" si="108"/>
        <v>0</v>
      </c>
      <c r="AM180" s="3">
        <f t="shared" si="109"/>
        <v>0</v>
      </c>
      <c r="AN180" s="3">
        <f t="shared" si="110"/>
        <v>0</v>
      </c>
      <c r="AO180">
        <f t="shared" si="111"/>
        <v>0</v>
      </c>
      <c r="AP180" s="3">
        <f t="shared" si="112"/>
        <v>0</v>
      </c>
      <c r="AQ180" s="3">
        <f t="shared" si="113"/>
        <v>0</v>
      </c>
      <c r="AR180">
        <f t="shared" si="114"/>
        <v>0</v>
      </c>
    </row>
    <row r="181" spans="4:44" x14ac:dyDescent="0.25">
      <c r="D181" s="1">
        <v>42482</v>
      </c>
      <c r="E181" s="2">
        <v>103.940854</v>
      </c>
      <c r="F181" s="3">
        <v>205.63204200000001</v>
      </c>
      <c r="G181" s="2">
        <f t="shared" si="79"/>
        <v>-0.28522800000000359</v>
      </c>
      <c r="H181" s="2">
        <f t="shared" si="80"/>
        <v>0</v>
      </c>
      <c r="I181" s="4">
        <f t="shared" si="77"/>
        <v>-0.3476072696354966</v>
      </c>
      <c r="J181" s="4">
        <f t="shared" si="78"/>
        <v>-0.10122093898068321</v>
      </c>
      <c r="K181" s="4">
        <f t="shared" si="81"/>
        <v>0.18517551714070468</v>
      </c>
      <c r="L181" s="4">
        <f t="shared" si="82"/>
        <v>0.43032024951273751</v>
      </c>
      <c r="M181" s="4">
        <f t="shared" si="83"/>
        <v>1</v>
      </c>
      <c r="N181" s="4">
        <f t="shared" si="84"/>
        <v>1</v>
      </c>
      <c r="O181" s="3">
        <f t="shared" si="85"/>
        <v>-0.28522800000000359</v>
      </c>
      <c r="P181" s="3">
        <f t="shared" si="86"/>
        <v>0</v>
      </c>
      <c r="Q181">
        <f t="shared" si="87"/>
        <v>1</v>
      </c>
      <c r="R181" s="3">
        <f t="shared" si="88"/>
        <v>0</v>
      </c>
      <c r="S181" s="3">
        <f t="shared" si="89"/>
        <v>0</v>
      </c>
      <c r="T181">
        <f t="shared" si="90"/>
        <v>0</v>
      </c>
      <c r="U181" s="3">
        <f t="shared" si="91"/>
        <v>0</v>
      </c>
      <c r="V181" s="3">
        <f t="shared" si="92"/>
        <v>0</v>
      </c>
      <c r="W181">
        <f t="shared" si="93"/>
        <v>0</v>
      </c>
      <c r="X181" s="3">
        <f t="shared" si="94"/>
        <v>0</v>
      </c>
      <c r="Y181" s="3">
        <f t="shared" si="95"/>
        <v>0</v>
      </c>
      <c r="Z181">
        <f t="shared" si="96"/>
        <v>0</v>
      </c>
      <c r="AA181" s="3">
        <f t="shared" si="97"/>
        <v>0</v>
      </c>
      <c r="AB181" s="3">
        <f t="shared" si="98"/>
        <v>0</v>
      </c>
      <c r="AC181">
        <f t="shared" si="99"/>
        <v>0</v>
      </c>
      <c r="AD181" s="3">
        <f t="shared" si="100"/>
        <v>0</v>
      </c>
      <c r="AE181" s="3">
        <f t="shared" si="101"/>
        <v>0</v>
      </c>
      <c r="AF181">
        <f t="shared" si="102"/>
        <v>0</v>
      </c>
      <c r="AG181" s="3">
        <f t="shared" si="103"/>
        <v>0</v>
      </c>
      <c r="AH181" s="3">
        <f t="shared" si="104"/>
        <v>0</v>
      </c>
      <c r="AI181">
        <f t="shared" si="105"/>
        <v>0</v>
      </c>
      <c r="AJ181" s="3">
        <f t="shared" si="106"/>
        <v>0</v>
      </c>
      <c r="AK181" s="3">
        <f t="shared" si="107"/>
        <v>0</v>
      </c>
      <c r="AL181">
        <f t="shared" si="108"/>
        <v>0</v>
      </c>
      <c r="AM181" s="3">
        <f t="shared" si="109"/>
        <v>0</v>
      </c>
      <c r="AN181" s="3">
        <f t="shared" si="110"/>
        <v>0</v>
      </c>
      <c r="AO181">
        <f t="shared" si="111"/>
        <v>0</v>
      </c>
      <c r="AP181" s="3">
        <f t="shared" si="112"/>
        <v>0</v>
      </c>
      <c r="AQ181" s="3">
        <f t="shared" si="113"/>
        <v>0</v>
      </c>
      <c r="AR181">
        <f t="shared" si="114"/>
        <v>0</v>
      </c>
    </row>
    <row r="182" spans="4:44" x14ac:dyDescent="0.25">
      <c r="D182" s="1">
        <v>42481</v>
      </c>
      <c r="E182" s="2">
        <v>104.22608200000001</v>
      </c>
      <c r="F182" s="3">
        <v>205.63204200000001</v>
      </c>
      <c r="G182" s="2">
        <f t="shared" si="79"/>
        <v>-1.1409069999999986</v>
      </c>
      <c r="H182" s="2">
        <f t="shared" si="80"/>
        <v>-1.1119549999999947</v>
      </c>
      <c r="I182" s="4">
        <f t="shared" si="77"/>
        <v>-1.2032862696354916</v>
      </c>
      <c r="J182" s="4">
        <f t="shared" si="78"/>
        <v>-1.213175938980678</v>
      </c>
      <c r="K182" s="4">
        <f t="shared" si="81"/>
        <v>2.0823107446657048</v>
      </c>
      <c r="L182" s="4">
        <f t="shared" si="82"/>
        <v>1.4430213943894612</v>
      </c>
      <c r="M182" s="4">
        <f t="shared" si="83"/>
        <v>1</v>
      </c>
      <c r="N182" s="4">
        <f t="shared" si="84"/>
        <v>0.5762828641565928</v>
      </c>
      <c r="O182" s="3">
        <f t="shared" si="85"/>
        <v>-1.1409069999999986</v>
      </c>
      <c r="P182" s="3">
        <f t="shared" si="86"/>
        <v>-1.1119549999999947</v>
      </c>
      <c r="Q182">
        <f t="shared" si="87"/>
        <v>1</v>
      </c>
      <c r="R182" s="3">
        <f t="shared" si="88"/>
        <v>-1.1409069999999986</v>
      </c>
      <c r="S182" s="3">
        <f t="shared" si="89"/>
        <v>-1.1119549999999947</v>
      </c>
      <c r="T182">
        <f t="shared" si="90"/>
        <v>1</v>
      </c>
      <c r="U182" s="3">
        <f t="shared" si="91"/>
        <v>-1.1409069999999986</v>
      </c>
      <c r="V182" s="3">
        <f t="shared" si="92"/>
        <v>-1.1119549999999947</v>
      </c>
      <c r="W182">
        <f t="shared" si="93"/>
        <v>1</v>
      </c>
      <c r="X182" s="3">
        <f t="shared" si="94"/>
        <v>0</v>
      </c>
      <c r="Y182" s="3">
        <f t="shared" si="95"/>
        <v>0</v>
      </c>
      <c r="Z182">
        <f t="shared" si="96"/>
        <v>0</v>
      </c>
      <c r="AA182" s="3">
        <f t="shared" si="97"/>
        <v>0</v>
      </c>
      <c r="AB182" s="3">
        <f t="shared" si="98"/>
        <v>0</v>
      </c>
      <c r="AC182">
        <f t="shared" si="99"/>
        <v>0</v>
      </c>
      <c r="AD182" s="3">
        <f t="shared" si="100"/>
        <v>0</v>
      </c>
      <c r="AE182" s="3">
        <f t="shared" si="101"/>
        <v>0</v>
      </c>
      <c r="AF182">
        <f t="shared" si="102"/>
        <v>0</v>
      </c>
      <c r="AG182" s="3">
        <f t="shared" si="103"/>
        <v>0</v>
      </c>
      <c r="AH182" s="3">
        <f t="shared" si="104"/>
        <v>0</v>
      </c>
      <c r="AI182">
        <f t="shared" si="105"/>
        <v>0</v>
      </c>
      <c r="AJ182" s="3">
        <f t="shared" si="106"/>
        <v>0</v>
      </c>
      <c r="AK182" s="3">
        <f t="shared" si="107"/>
        <v>0</v>
      </c>
      <c r="AL182">
        <f t="shared" si="108"/>
        <v>0</v>
      </c>
      <c r="AM182" s="3">
        <f t="shared" si="109"/>
        <v>0</v>
      </c>
      <c r="AN182" s="3">
        <f t="shared" si="110"/>
        <v>0</v>
      </c>
      <c r="AO182">
        <f t="shared" si="111"/>
        <v>0</v>
      </c>
      <c r="AP182" s="3">
        <f t="shared" si="112"/>
        <v>0</v>
      </c>
      <c r="AQ182" s="3">
        <f t="shared" si="113"/>
        <v>0</v>
      </c>
      <c r="AR182">
        <f t="shared" si="114"/>
        <v>0</v>
      </c>
    </row>
    <row r="183" spans="4:44" x14ac:dyDescent="0.25">
      <c r="D183" s="1">
        <v>42480</v>
      </c>
      <c r="E183" s="2">
        <v>105.366989</v>
      </c>
      <c r="F183" s="3">
        <v>206.74399700000001</v>
      </c>
      <c r="G183" s="2">
        <f t="shared" si="79"/>
        <v>0.21637400000000184</v>
      </c>
      <c r="H183" s="2">
        <f t="shared" si="80"/>
        <v>0.19681700000001001</v>
      </c>
      <c r="I183" s="4">
        <f t="shared" si="77"/>
        <v>0.15399473036450884</v>
      </c>
      <c r="J183" s="4">
        <f t="shared" si="78"/>
        <v>9.55960610193268E-2</v>
      </c>
      <c r="K183" s="4">
        <f t="shared" si="81"/>
        <v>2.957230204346244E-2</v>
      </c>
      <c r="L183" s="4">
        <f t="shared" si="82"/>
        <v>0.17196599095013654</v>
      </c>
      <c r="M183" s="4">
        <f t="shared" si="83"/>
        <v>1</v>
      </c>
      <c r="N183" s="4">
        <f t="shared" si="84"/>
        <v>1</v>
      </c>
      <c r="O183" s="3">
        <f t="shared" si="85"/>
        <v>0.21637400000000184</v>
      </c>
      <c r="P183" s="3">
        <f t="shared" si="86"/>
        <v>0.19681700000001001</v>
      </c>
      <c r="Q183">
        <f t="shared" si="87"/>
        <v>1</v>
      </c>
      <c r="R183" s="3">
        <f t="shared" si="88"/>
        <v>0</v>
      </c>
      <c r="S183" s="3">
        <f t="shared" si="89"/>
        <v>0</v>
      </c>
      <c r="T183">
        <f t="shared" si="90"/>
        <v>0</v>
      </c>
      <c r="U183" s="3">
        <f t="shared" si="91"/>
        <v>0</v>
      </c>
      <c r="V183" s="3">
        <f t="shared" si="92"/>
        <v>0</v>
      </c>
      <c r="W183">
        <f t="shared" si="93"/>
        <v>0</v>
      </c>
      <c r="X183" s="3">
        <f t="shared" si="94"/>
        <v>0</v>
      </c>
      <c r="Y183" s="3">
        <f t="shared" si="95"/>
        <v>0</v>
      </c>
      <c r="Z183">
        <f t="shared" si="96"/>
        <v>0</v>
      </c>
      <c r="AA183" s="3">
        <f t="shared" si="97"/>
        <v>0</v>
      </c>
      <c r="AB183" s="3">
        <f t="shared" si="98"/>
        <v>0</v>
      </c>
      <c r="AC183">
        <f t="shared" si="99"/>
        <v>0</v>
      </c>
      <c r="AD183" s="3">
        <f t="shared" si="100"/>
        <v>0</v>
      </c>
      <c r="AE183" s="3">
        <f t="shared" si="101"/>
        <v>0</v>
      </c>
      <c r="AF183">
        <f t="shared" si="102"/>
        <v>0</v>
      </c>
      <c r="AG183" s="3">
        <f t="shared" si="103"/>
        <v>0</v>
      </c>
      <c r="AH183" s="3">
        <f t="shared" si="104"/>
        <v>0</v>
      </c>
      <c r="AI183">
        <f t="shared" si="105"/>
        <v>0</v>
      </c>
      <c r="AJ183" s="3">
        <f t="shared" si="106"/>
        <v>0</v>
      </c>
      <c r="AK183" s="3">
        <f t="shared" si="107"/>
        <v>0</v>
      </c>
      <c r="AL183">
        <f t="shared" si="108"/>
        <v>0</v>
      </c>
      <c r="AM183" s="3">
        <f t="shared" si="109"/>
        <v>0</v>
      </c>
      <c r="AN183" s="3">
        <f t="shared" si="110"/>
        <v>0</v>
      </c>
      <c r="AO183">
        <f t="shared" si="111"/>
        <v>0</v>
      </c>
      <c r="AP183" s="3">
        <f t="shared" si="112"/>
        <v>0</v>
      </c>
      <c r="AQ183" s="3">
        <f t="shared" si="113"/>
        <v>0</v>
      </c>
      <c r="AR183">
        <f t="shared" si="114"/>
        <v>0</v>
      </c>
    </row>
    <row r="184" spans="4:44" x14ac:dyDescent="0.25">
      <c r="D184" s="1">
        <v>42479</v>
      </c>
      <c r="E184" s="2">
        <v>105.150615</v>
      </c>
      <c r="F184" s="3">
        <v>206.54718</v>
      </c>
      <c r="G184" s="2">
        <f t="shared" si="79"/>
        <v>-0.56062000000000012</v>
      </c>
      <c r="H184" s="2">
        <f t="shared" si="80"/>
        <v>0.64944700000000921</v>
      </c>
      <c r="I184" s="4">
        <f t="shared" si="77"/>
        <v>-0.62299926963549312</v>
      </c>
      <c r="J184" s="4">
        <f t="shared" si="78"/>
        <v>0.54822606101932603</v>
      </c>
      <c r="K184" s="4">
        <f t="shared" si="81"/>
        <v>2.2821116776684973</v>
      </c>
      <c r="L184" s="4">
        <f t="shared" si="82"/>
        <v>1.5106659715729673</v>
      </c>
      <c r="M184" s="4">
        <f t="shared" si="83"/>
        <v>1</v>
      </c>
      <c r="N184" s="4">
        <f t="shared" si="84"/>
        <v>0.52582878031016045</v>
      </c>
      <c r="O184" s="3">
        <f t="shared" si="85"/>
        <v>-0.56062000000000012</v>
      </c>
      <c r="P184" s="3">
        <f t="shared" si="86"/>
        <v>0.64944700000000921</v>
      </c>
      <c r="Q184">
        <f t="shared" si="87"/>
        <v>1</v>
      </c>
      <c r="R184" s="3">
        <f t="shared" si="88"/>
        <v>-0.56062000000000012</v>
      </c>
      <c r="S184" s="3">
        <f t="shared" si="89"/>
        <v>0.64944700000000921</v>
      </c>
      <c r="T184">
        <f t="shared" si="90"/>
        <v>1</v>
      </c>
      <c r="U184" s="3">
        <f t="shared" si="91"/>
        <v>-0.56062000000000012</v>
      </c>
      <c r="V184" s="3">
        <f t="shared" si="92"/>
        <v>0.64944700000000921</v>
      </c>
      <c r="W184">
        <f t="shared" si="93"/>
        <v>1</v>
      </c>
      <c r="X184" s="3">
        <f t="shared" si="94"/>
        <v>0</v>
      </c>
      <c r="Y184" s="3">
        <f t="shared" si="95"/>
        <v>0</v>
      </c>
      <c r="Z184">
        <f t="shared" si="96"/>
        <v>0</v>
      </c>
      <c r="AA184" s="3">
        <f t="shared" si="97"/>
        <v>0</v>
      </c>
      <c r="AB184" s="3">
        <f t="shared" si="98"/>
        <v>0</v>
      </c>
      <c r="AC184">
        <f t="shared" si="99"/>
        <v>0</v>
      </c>
      <c r="AD184" s="3">
        <f t="shared" si="100"/>
        <v>0</v>
      </c>
      <c r="AE184" s="3">
        <f t="shared" si="101"/>
        <v>0</v>
      </c>
      <c r="AF184">
        <f t="shared" si="102"/>
        <v>0</v>
      </c>
      <c r="AG184" s="3">
        <f t="shared" si="103"/>
        <v>0</v>
      </c>
      <c r="AH184" s="3">
        <f t="shared" si="104"/>
        <v>0</v>
      </c>
      <c r="AI184">
        <f t="shared" si="105"/>
        <v>0</v>
      </c>
      <c r="AJ184" s="3">
        <f t="shared" si="106"/>
        <v>0</v>
      </c>
      <c r="AK184" s="3">
        <f t="shared" si="107"/>
        <v>0</v>
      </c>
      <c r="AL184">
        <f t="shared" si="108"/>
        <v>0</v>
      </c>
      <c r="AM184" s="3">
        <f t="shared" si="109"/>
        <v>0</v>
      </c>
      <c r="AN184" s="3">
        <f t="shared" si="110"/>
        <v>0</v>
      </c>
      <c r="AO184">
        <f t="shared" si="111"/>
        <v>0</v>
      </c>
      <c r="AP184" s="3">
        <f t="shared" si="112"/>
        <v>0</v>
      </c>
      <c r="AQ184" s="3">
        <f t="shared" si="113"/>
        <v>0</v>
      </c>
      <c r="AR184">
        <f t="shared" si="114"/>
        <v>0</v>
      </c>
    </row>
    <row r="185" spans="4:44" x14ac:dyDescent="0.25">
      <c r="D185" s="1">
        <v>42478</v>
      </c>
      <c r="E185" s="2">
        <v>105.711235</v>
      </c>
      <c r="F185" s="3">
        <v>205.89773299999999</v>
      </c>
      <c r="G185" s="2">
        <f t="shared" si="79"/>
        <v>-2.3309919999999948</v>
      </c>
      <c r="H185" s="2">
        <f t="shared" si="80"/>
        <v>1.4366849999999829</v>
      </c>
      <c r="I185" s="4">
        <f t="shared" si="77"/>
        <v>-2.3933712696354879</v>
      </c>
      <c r="J185" s="4">
        <f t="shared" si="78"/>
        <v>1.3354640610192996</v>
      </c>
      <c r="K185" s="4">
        <f t="shared" si="81"/>
        <v>23.864455484624528</v>
      </c>
      <c r="L185" s="4">
        <f t="shared" si="82"/>
        <v>4.8851259435785819</v>
      </c>
      <c r="M185" s="4">
        <f t="shared" si="83"/>
        <v>0.40940602619037231</v>
      </c>
      <c r="N185" s="4">
        <f t="shared" si="84"/>
        <v>5.0283988284297539E-2</v>
      </c>
      <c r="O185" s="3">
        <f t="shared" si="85"/>
        <v>-2.3309919999999948</v>
      </c>
      <c r="P185" s="3">
        <f t="shared" si="86"/>
        <v>1.4366849999999829</v>
      </c>
      <c r="Q185">
        <f t="shared" si="87"/>
        <v>1</v>
      </c>
      <c r="R185" s="3">
        <f t="shared" si="88"/>
        <v>-2.3309919999999948</v>
      </c>
      <c r="S185" s="3">
        <f t="shared" si="89"/>
        <v>1.4366849999999829</v>
      </c>
      <c r="T185">
        <f t="shared" si="90"/>
        <v>1</v>
      </c>
      <c r="U185" s="3">
        <f t="shared" si="91"/>
        <v>-2.3309919999999948</v>
      </c>
      <c r="V185" s="3">
        <f t="shared" si="92"/>
        <v>1.4366849999999829</v>
      </c>
      <c r="W185">
        <f t="shared" si="93"/>
        <v>1</v>
      </c>
      <c r="X185" s="3">
        <f t="shared" si="94"/>
        <v>-2.3309919999999948</v>
      </c>
      <c r="Y185" s="3">
        <f t="shared" si="95"/>
        <v>1.4366849999999829</v>
      </c>
      <c r="Z185">
        <f t="shared" si="96"/>
        <v>1</v>
      </c>
      <c r="AA185" s="3">
        <f t="shared" si="97"/>
        <v>-2.3309919999999948</v>
      </c>
      <c r="AB185" s="3">
        <f t="shared" si="98"/>
        <v>1.4366849999999829</v>
      </c>
      <c r="AC185">
        <f t="shared" si="99"/>
        <v>1</v>
      </c>
      <c r="AD185" s="3">
        <f t="shared" si="100"/>
        <v>-2.3309919999999948</v>
      </c>
      <c r="AE185" s="3">
        <f t="shared" si="101"/>
        <v>1.4366849999999829</v>
      </c>
      <c r="AF185">
        <f t="shared" si="102"/>
        <v>1</v>
      </c>
      <c r="AG185" s="3">
        <f t="shared" si="103"/>
        <v>-2.3309919999999948</v>
      </c>
      <c r="AH185" s="3">
        <f t="shared" si="104"/>
        <v>1.4366849999999829</v>
      </c>
      <c r="AI185">
        <f t="shared" si="105"/>
        <v>1</v>
      </c>
      <c r="AJ185" s="3">
        <f t="shared" si="106"/>
        <v>-2.3309919999999948</v>
      </c>
      <c r="AK185" s="3">
        <f t="shared" si="107"/>
        <v>1.4366849999999829</v>
      </c>
      <c r="AL185">
        <f t="shared" si="108"/>
        <v>1</v>
      </c>
      <c r="AM185" s="3">
        <f t="shared" si="109"/>
        <v>-2.3309919999999948</v>
      </c>
      <c r="AN185" s="3">
        <f t="shared" si="110"/>
        <v>1.4366849999999829</v>
      </c>
      <c r="AO185">
        <f t="shared" si="111"/>
        <v>1</v>
      </c>
      <c r="AP185" s="3">
        <f t="shared" si="112"/>
        <v>-2.3309919999999948</v>
      </c>
      <c r="AQ185" s="3">
        <f t="shared" si="113"/>
        <v>1.4366849999999829</v>
      </c>
      <c r="AR185">
        <f t="shared" si="114"/>
        <v>1</v>
      </c>
    </row>
    <row r="186" spans="4:44" x14ac:dyDescent="0.25">
      <c r="D186" s="1">
        <v>42475</v>
      </c>
      <c r="E186" s="2">
        <v>108.042227</v>
      </c>
      <c r="F186" s="3">
        <v>204.46104800000001</v>
      </c>
      <c r="G186" s="2">
        <f t="shared" si="79"/>
        <v>-2.2129730000000052</v>
      </c>
      <c r="H186" s="2">
        <f t="shared" si="80"/>
        <v>-0.22632199999998193</v>
      </c>
      <c r="I186" s="4">
        <f t="shared" si="77"/>
        <v>-2.2753522696354982</v>
      </c>
      <c r="J186" s="4">
        <f t="shared" si="78"/>
        <v>-0.32754293898066511</v>
      </c>
      <c r="K186" s="4">
        <f t="shared" si="81"/>
        <v>9.2837534258471468</v>
      </c>
      <c r="L186" s="4">
        <f t="shared" si="82"/>
        <v>3.0469252412632555</v>
      </c>
      <c r="M186" s="4">
        <f t="shared" si="83"/>
        <v>0.6563994327510313</v>
      </c>
      <c r="N186" s="4">
        <f t="shared" si="84"/>
        <v>0.12925806459476269</v>
      </c>
      <c r="O186" s="3">
        <f t="shared" si="85"/>
        <v>-2.2129730000000052</v>
      </c>
      <c r="P186" s="3">
        <f t="shared" si="86"/>
        <v>-0.22632199999998193</v>
      </c>
      <c r="Q186">
        <f t="shared" si="87"/>
        <v>1</v>
      </c>
      <c r="R186" s="3">
        <f t="shared" si="88"/>
        <v>-2.2129730000000052</v>
      </c>
      <c r="S186" s="3">
        <f t="shared" si="89"/>
        <v>-0.22632199999998193</v>
      </c>
      <c r="T186">
        <f t="shared" si="90"/>
        <v>1</v>
      </c>
      <c r="U186" s="3">
        <f t="shared" si="91"/>
        <v>-2.2129730000000052</v>
      </c>
      <c r="V186" s="3">
        <f t="shared" si="92"/>
        <v>-0.22632199999998193</v>
      </c>
      <c r="W186">
        <f t="shared" si="93"/>
        <v>1</v>
      </c>
      <c r="X186" s="3">
        <f t="shared" si="94"/>
        <v>-2.2129730000000052</v>
      </c>
      <c r="Y186" s="3">
        <f t="shared" si="95"/>
        <v>-0.22632199999998193</v>
      </c>
      <c r="Z186">
        <f t="shared" si="96"/>
        <v>1</v>
      </c>
      <c r="AA186" s="3">
        <f t="shared" si="97"/>
        <v>-2.2129730000000052</v>
      </c>
      <c r="AB186" s="3">
        <f t="shared" si="98"/>
        <v>-0.22632199999998193</v>
      </c>
      <c r="AC186">
        <f t="shared" si="99"/>
        <v>1</v>
      </c>
      <c r="AD186" s="3">
        <f t="shared" si="100"/>
        <v>-2.2129730000000052</v>
      </c>
      <c r="AE186" s="3">
        <f t="shared" si="101"/>
        <v>-0.22632199999998193</v>
      </c>
      <c r="AF186">
        <f t="shared" si="102"/>
        <v>1</v>
      </c>
      <c r="AG186" s="3">
        <f t="shared" si="103"/>
        <v>-2.2129730000000052</v>
      </c>
      <c r="AH186" s="3">
        <f t="shared" si="104"/>
        <v>-0.22632199999998193</v>
      </c>
      <c r="AI186">
        <f t="shared" si="105"/>
        <v>1</v>
      </c>
      <c r="AJ186" s="3">
        <f t="shared" si="106"/>
        <v>-2.2129730000000052</v>
      </c>
      <c r="AK186" s="3">
        <f t="shared" si="107"/>
        <v>-0.22632199999998193</v>
      </c>
      <c r="AL186">
        <f t="shared" si="108"/>
        <v>1</v>
      </c>
      <c r="AM186" s="3">
        <f t="shared" si="109"/>
        <v>-2.2129730000000052</v>
      </c>
      <c r="AN186" s="3">
        <f t="shared" si="110"/>
        <v>-0.22632199999998193</v>
      </c>
      <c r="AO186">
        <f t="shared" si="111"/>
        <v>1</v>
      </c>
      <c r="AP186" s="3">
        <f t="shared" si="112"/>
        <v>-2.2129730000000052</v>
      </c>
      <c r="AQ186" s="3">
        <f t="shared" si="113"/>
        <v>-0.22632199999998193</v>
      </c>
      <c r="AR186">
        <f t="shared" si="114"/>
        <v>1</v>
      </c>
    </row>
    <row r="187" spans="4:44" x14ac:dyDescent="0.25">
      <c r="D187" s="1">
        <v>42474</v>
      </c>
      <c r="E187" s="2">
        <v>110.2552</v>
      </c>
      <c r="F187" s="3">
        <v>204.68736999999999</v>
      </c>
      <c r="G187" s="2">
        <f t="shared" si="79"/>
        <v>5.9010000000000673E-2</v>
      </c>
      <c r="H187" s="2">
        <f t="shared" si="80"/>
        <v>9.8349999999811644E-3</v>
      </c>
      <c r="I187" s="4">
        <f t="shared" si="77"/>
        <v>-3.3692696354923404E-3</v>
      </c>
      <c r="J187" s="4">
        <f t="shared" si="78"/>
        <v>-9.1385938980702047E-2</v>
      </c>
      <c r="K187" s="4">
        <f t="shared" si="81"/>
        <v>1.5060466207351414E-2</v>
      </c>
      <c r="L187" s="4">
        <f t="shared" si="82"/>
        <v>0.12272109112679619</v>
      </c>
      <c r="M187" s="4">
        <f t="shared" si="83"/>
        <v>1</v>
      </c>
      <c r="N187" s="4">
        <f t="shared" si="84"/>
        <v>1</v>
      </c>
      <c r="O187" s="3">
        <f t="shared" si="85"/>
        <v>5.9010000000000673E-2</v>
      </c>
      <c r="P187" s="3">
        <f t="shared" si="86"/>
        <v>9.8349999999811644E-3</v>
      </c>
      <c r="Q187">
        <f t="shared" si="87"/>
        <v>1</v>
      </c>
      <c r="R187" s="3">
        <f t="shared" si="88"/>
        <v>0</v>
      </c>
      <c r="S187" s="3">
        <f t="shared" si="89"/>
        <v>0</v>
      </c>
      <c r="T187">
        <f t="shared" si="90"/>
        <v>0</v>
      </c>
      <c r="U187" s="3">
        <f t="shared" si="91"/>
        <v>0</v>
      </c>
      <c r="V187" s="3">
        <f t="shared" si="92"/>
        <v>0</v>
      </c>
      <c r="W187">
        <f t="shared" si="93"/>
        <v>0</v>
      </c>
      <c r="X187" s="3">
        <f t="shared" si="94"/>
        <v>0</v>
      </c>
      <c r="Y187" s="3">
        <f t="shared" si="95"/>
        <v>0</v>
      </c>
      <c r="Z187">
        <f t="shared" si="96"/>
        <v>0</v>
      </c>
      <c r="AA187" s="3">
        <f t="shared" si="97"/>
        <v>0</v>
      </c>
      <c r="AB187" s="3">
        <f t="shared" si="98"/>
        <v>0</v>
      </c>
      <c r="AC187">
        <f t="shared" si="99"/>
        <v>0</v>
      </c>
      <c r="AD187" s="3">
        <f t="shared" si="100"/>
        <v>0</v>
      </c>
      <c r="AE187" s="3">
        <f t="shared" si="101"/>
        <v>0</v>
      </c>
      <c r="AF187">
        <f t="shared" si="102"/>
        <v>0</v>
      </c>
      <c r="AG187" s="3">
        <f t="shared" si="103"/>
        <v>0</v>
      </c>
      <c r="AH187" s="3">
        <f t="shared" si="104"/>
        <v>0</v>
      </c>
      <c r="AI187">
        <f t="shared" si="105"/>
        <v>0</v>
      </c>
      <c r="AJ187" s="3">
        <f t="shared" si="106"/>
        <v>0</v>
      </c>
      <c r="AK187" s="3">
        <f t="shared" si="107"/>
        <v>0</v>
      </c>
      <c r="AL187">
        <f t="shared" si="108"/>
        <v>0</v>
      </c>
      <c r="AM187" s="3">
        <f t="shared" si="109"/>
        <v>0</v>
      </c>
      <c r="AN187" s="3">
        <f t="shared" si="110"/>
        <v>0</v>
      </c>
      <c r="AO187">
        <f t="shared" si="111"/>
        <v>0</v>
      </c>
      <c r="AP187" s="3">
        <f t="shared" si="112"/>
        <v>0</v>
      </c>
      <c r="AQ187" s="3">
        <f t="shared" si="113"/>
        <v>0</v>
      </c>
      <c r="AR187">
        <f t="shared" si="114"/>
        <v>0</v>
      </c>
    </row>
    <row r="188" spans="4:44" x14ac:dyDescent="0.25">
      <c r="D188" s="1">
        <v>42473</v>
      </c>
      <c r="E188" s="2">
        <v>110.19619</v>
      </c>
      <c r="F188" s="3">
        <v>204.67753500000001</v>
      </c>
      <c r="G188" s="2">
        <f t="shared" si="79"/>
        <v>1.5736679999999978</v>
      </c>
      <c r="H188" s="2">
        <f t="shared" si="80"/>
        <v>2.0467770000000201</v>
      </c>
      <c r="I188" s="4">
        <f t="shared" si="77"/>
        <v>1.5112887303645048</v>
      </c>
      <c r="J188" s="4">
        <f t="shared" si="78"/>
        <v>1.9455560610193368</v>
      </c>
      <c r="K188" s="4">
        <f t="shared" si="81"/>
        <v>4.4050615438909455</v>
      </c>
      <c r="L188" s="4">
        <f t="shared" si="82"/>
        <v>2.098823847751627</v>
      </c>
      <c r="M188" s="4">
        <f t="shared" si="83"/>
        <v>0.9529146536725831</v>
      </c>
      <c r="N188" s="4">
        <f t="shared" si="84"/>
        <v>0.27241390115518166</v>
      </c>
      <c r="O188" s="3">
        <f t="shared" si="85"/>
        <v>1.5736679999999978</v>
      </c>
      <c r="P188" s="3">
        <f t="shared" si="86"/>
        <v>2.0467770000000201</v>
      </c>
      <c r="Q188">
        <f t="shared" si="87"/>
        <v>1</v>
      </c>
      <c r="R188" s="3">
        <f t="shared" si="88"/>
        <v>1.5736679999999978</v>
      </c>
      <c r="S188" s="3">
        <f t="shared" si="89"/>
        <v>2.0467770000000201</v>
      </c>
      <c r="T188">
        <f t="shared" si="90"/>
        <v>1</v>
      </c>
      <c r="U188" s="3">
        <f t="shared" si="91"/>
        <v>1.5736679999999978</v>
      </c>
      <c r="V188" s="3">
        <f t="shared" si="92"/>
        <v>2.0467770000000201</v>
      </c>
      <c r="W188">
        <f t="shared" si="93"/>
        <v>1</v>
      </c>
      <c r="X188" s="3">
        <f t="shared" si="94"/>
        <v>1.5736679999999978</v>
      </c>
      <c r="Y188" s="3">
        <f t="shared" si="95"/>
        <v>2.0467770000000201</v>
      </c>
      <c r="Z188">
        <f t="shared" si="96"/>
        <v>1</v>
      </c>
      <c r="AA188" s="3">
        <f t="shared" si="97"/>
        <v>1.5736679999999978</v>
      </c>
      <c r="AB188" s="3">
        <f t="shared" si="98"/>
        <v>2.0467770000000201</v>
      </c>
      <c r="AC188">
        <f t="shared" si="99"/>
        <v>1</v>
      </c>
      <c r="AD188" s="3">
        <f t="shared" si="100"/>
        <v>0</v>
      </c>
      <c r="AE188" s="3">
        <f t="shared" si="101"/>
        <v>0</v>
      </c>
      <c r="AF188">
        <f t="shared" si="102"/>
        <v>0</v>
      </c>
      <c r="AG188" s="3">
        <f t="shared" si="103"/>
        <v>0</v>
      </c>
      <c r="AH188" s="3">
        <f t="shared" si="104"/>
        <v>0</v>
      </c>
      <c r="AI188">
        <f t="shared" si="105"/>
        <v>0</v>
      </c>
      <c r="AJ188" s="3">
        <f t="shared" si="106"/>
        <v>0</v>
      </c>
      <c r="AK188" s="3">
        <f t="shared" si="107"/>
        <v>0</v>
      </c>
      <c r="AL188">
        <f t="shared" si="108"/>
        <v>0</v>
      </c>
      <c r="AM188" s="3">
        <f t="shared" si="109"/>
        <v>0</v>
      </c>
      <c r="AN188" s="3">
        <f t="shared" si="110"/>
        <v>0</v>
      </c>
      <c r="AO188">
        <f t="shared" si="111"/>
        <v>0</v>
      </c>
      <c r="AP188" s="3">
        <f t="shared" si="112"/>
        <v>0</v>
      </c>
      <c r="AQ188" s="3">
        <f t="shared" si="113"/>
        <v>0</v>
      </c>
      <c r="AR188">
        <f t="shared" si="114"/>
        <v>0</v>
      </c>
    </row>
    <row r="189" spans="4:44" x14ac:dyDescent="0.25">
      <c r="D189" s="1">
        <v>42472</v>
      </c>
      <c r="E189" s="2">
        <v>108.622522</v>
      </c>
      <c r="F189" s="3">
        <v>202.63075799999999</v>
      </c>
      <c r="G189" s="2">
        <f t="shared" si="79"/>
        <v>1.3966369999999984</v>
      </c>
      <c r="H189" s="2">
        <f t="shared" si="80"/>
        <v>1.8696449999999913</v>
      </c>
      <c r="I189" s="4">
        <f t="shared" si="77"/>
        <v>1.3342577303645053</v>
      </c>
      <c r="J189" s="4">
        <f t="shared" si="78"/>
        <v>1.768424061019308</v>
      </c>
      <c r="K189" s="4">
        <f t="shared" si="81"/>
        <v>3.5932697076075604</v>
      </c>
      <c r="L189" s="4">
        <f t="shared" si="82"/>
        <v>1.8955921786100407</v>
      </c>
      <c r="M189" s="4">
        <f t="shared" si="83"/>
        <v>1</v>
      </c>
      <c r="N189" s="4">
        <f t="shared" si="84"/>
        <v>0.33395767577908131</v>
      </c>
      <c r="O189" s="3">
        <f t="shared" si="85"/>
        <v>1.3966369999999984</v>
      </c>
      <c r="P189" s="3">
        <f t="shared" si="86"/>
        <v>1.8696449999999913</v>
      </c>
      <c r="Q189">
        <f t="shared" si="87"/>
        <v>1</v>
      </c>
      <c r="R189" s="3">
        <f t="shared" si="88"/>
        <v>1.3966369999999984</v>
      </c>
      <c r="S189" s="3">
        <f t="shared" si="89"/>
        <v>1.8696449999999913</v>
      </c>
      <c r="T189">
        <f t="shared" si="90"/>
        <v>1</v>
      </c>
      <c r="U189" s="3">
        <f t="shared" si="91"/>
        <v>1.3966369999999984</v>
      </c>
      <c r="V189" s="3">
        <f t="shared" si="92"/>
        <v>1.8696449999999913</v>
      </c>
      <c r="W189">
        <f t="shared" si="93"/>
        <v>1</v>
      </c>
      <c r="X189" s="3">
        <f t="shared" si="94"/>
        <v>1.3966369999999984</v>
      </c>
      <c r="Y189" s="3">
        <f t="shared" si="95"/>
        <v>1.8696449999999913</v>
      </c>
      <c r="Z189">
        <f t="shared" si="96"/>
        <v>1</v>
      </c>
      <c r="AA189" s="3">
        <f t="shared" si="97"/>
        <v>0</v>
      </c>
      <c r="AB189" s="3">
        <f t="shared" si="98"/>
        <v>0</v>
      </c>
      <c r="AC189">
        <f t="shared" si="99"/>
        <v>0</v>
      </c>
      <c r="AD189" s="3">
        <f t="shared" si="100"/>
        <v>0</v>
      </c>
      <c r="AE189" s="3">
        <f t="shared" si="101"/>
        <v>0</v>
      </c>
      <c r="AF189">
        <f t="shared" si="102"/>
        <v>0</v>
      </c>
      <c r="AG189" s="3">
        <f t="shared" si="103"/>
        <v>0</v>
      </c>
      <c r="AH189" s="3">
        <f t="shared" si="104"/>
        <v>0</v>
      </c>
      <c r="AI189">
        <f t="shared" si="105"/>
        <v>0</v>
      </c>
      <c r="AJ189" s="3">
        <f t="shared" si="106"/>
        <v>0</v>
      </c>
      <c r="AK189" s="3">
        <f t="shared" si="107"/>
        <v>0</v>
      </c>
      <c r="AL189">
        <f t="shared" si="108"/>
        <v>0</v>
      </c>
      <c r="AM189" s="3">
        <f t="shared" si="109"/>
        <v>0</v>
      </c>
      <c r="AN189" s="3">
        <f t="shared" si="110"/>
        <v>0</v>
      </c>
      <c r="AO189">
        <f t="shared" si="111"/>
        <v>0</v>
      </c>
      <c r="AP189" s="3">
        <f t="shared" si="112"/>
        <v>0</v>
      </c>
      <c r="AQ189" s="3">
        <f t="shared" si="113"/>
        <v>0</v>
      </c>
      <c r="AR189">
        <f t="shared" si="114"/>
        <v>0</v>
      </c>
    </row>
    <row r="190" spans="4:44" x14ac:dyDescent="0.25">
      <c r="D190" s="1">
        <v>42471</v>
      </c>
      <c r="E190" s="2">
        <v>107.22588500000001</v>
      </c>
      <c r="F190" s="3">
        <v>200.76111299999999</v>
      </c>
      <c r="G190" s="2">
        <f t="shared" si="79"/>
        <v>0.35406900000000974</v>
      </c>
      <c r="H190" s="2">
        <f t="shared" si="80"/>
        <v>-0.472329000000002</v>
      </c>
      <c r="I190" s="4">
        <f t="shared" si="77"/>
        <v>0.29168973036451673</v>
      </c>
      <c r="J190" s="4">
        <f t="shared" si="78"/>
        <v>-0.57354993898068518</v>
      </c>
      <c r="K190" s="4">
        <f t="shared" si="81"/>
        <v>1.2389909669909331</v>
      </c>
      <c r="L190" s="4">
        <f t="shared" si="82"/>
        <v>1.1130997111629009</v>
      </c>
      <c r="M190" s="4">
        <f t="shared" si="83"/>
        <v>1</v>
      </c>
      <c r="N190" s="4">
        <f t="shared" si="84"/>
        <v>1</v>
      </c>
      <c r="O190" s="3">
        <f t="shared" si="85"/>
        <v>0.35406900000000974</v>
      </c>
      <c r="P190" s="3">
        <f t="shared" si="86"/>
        <v>-0.472329000000002</v>
      </c>
      <c r="Q190">
        <f t="shared" si="87"/>
        <v>1</v>
      </c>
      <c r="R190" s="3">
        <f t="shared" si="88"/>
        <v>0.35406900000000974</v>
      </c>
      <c r="S190" s="3">
        <f t="shared" si="89"/>
        <v>-0.472329000000002</v>
      </c>
      <c r="T190">
        <f t="shared" si="90"/>
        <v>1</v>
      </c>
      <c r="U190" s="3">
        <f t="shared" si="91"/>
        <v>0</v>
      </c>
      <c r="V190" s="3">
        <f t="shared" si="92"/>
        <v>0</v>
      </c>
      <c r="W190">
        <f t="shared" si="93"/>
        <v>0</v>
      </c>
      <c r="X190" s="3">
        <f t="shared" si="94"/>
        <v>0</v>
      </c>
      <c r="Y190" s="3">
        <f t="shared" si="95"/>
        <v>0</v>
      </c>
      <c r="Z190">
        <f t="shared" si="96"/>
        <v>0</v>
      </c>
      <c r="AA190" s="3">
        <f t="shared" si="97"/>
        <v>0</v>
      </c>
      <c r="AB190" s="3">
        <f t="shared" si="98"/>
        <v>0</v>
      </c>
      <c r="AC190">
        <f t="shared" si="99"/>
        <v>0</v>
      </c>
      <c r="AD190" s="3">
        <f t="shared" si="100"/>
        <v>0</v>
      </c>
      <c r="AE190" s="3">
        <f t="shared" si="101"/>
        <v>0</v>
      </c>
      <c r="AF190">
        <f t="shared" si="102"/>
        <v>0</v>
      </c>
      <c r="AG190" s="3">
        <f t="shared" si="103"/>
        <v>0</v>
      </c>
      <c r="AH190" s="3">
        <f t="shared" si="104"/>
        <v>0</v>
      </c>
      <c r="AI190">
        <f t="shared" si="105"/>
        <v>0</v>
      </c>
      <c r="AJ190" s="3">
        <f t="shared" si="106"/>
        <v>0</v>
      </c>
      <c r="AK190" s="3">
        <f t="shared" si="107"/>
        <v>0</v>
      </c>
      <c r="AL190">
        <f t="shared" si="108"/>
        <v>0</v>
      </c>
      <c r="AM190" s="3">
        <f t="shared" si="109"/>
        <v>0</v>
      </c>
      <c r="AN190" s="3">
        <f t="shared" si="110"/>
        <v>0</v>
      </c>
      <c r="AO190">
        <f t="shared" si="111"/>
        <v>0</v>
      </c>
      <c r="AP190" s="3">
        <f t="shared" si="112"/>
        <v>0</v>
      </c>
      <c r="AQ190" s="3">
        <f t="shared" si="113"/>
        <v>0</v>
      </c>
      <c r="AR190">
        <f t="shared" si="114"/>
        <v>0</v>
      </c>
    </row>
    <row r="191" spans="4:44" x14ac:dyDescent="0.25">
      <c r="D191" s="1">
        <v>42468</v>
      </c>
      <c r="E191" s="2">
        <v>106.871816</v>
      </c>
      <c r="F191" s="3">
        <v>201.233442</v>
      </c>
      <c r="G191" s="2">
        <f t="shared" si="79"/>
        <v>0.11802799999999536</v>
      </c>
      <c r="H191" s="2">
        <f t="shared" si="80"/>
        <v>0.54121799999998643</v>
      </c>
      <c r="I191" s="4">
        <f t="shared" si="77"/>
        <v>5.5648730364502345E-2</v>
      </c>
      <c r="J191" s="4">
        <f t="shared" si="78"/>
        <v>0.43999706101930325</v>
      </c>
      <c r="K191" s="4">
        <f t="shared" si="81"/>
        <v>0.31012691991976676</v>
      </c>
      <c r="L191" s="4">
        <f t="shared" si="82"/>
        <v>0.55689040207186802</v>
      </c>
      <c r="M191" s="4">
        <f t="shared" si="83"/>
        <v>1</v>
      </c>
      <c r="N191" s="4">
        <f t="shared" si="84"/>
        <v>1</v>
      </c>
      <c r="O191" s="3">
        <f t="shared" si="85"/>
        <v>0.11802799999999536</v>
      </c>
      <c r="P191" s="3">
        <f t="shared" si="86"/>
        <v>0.54121799999998643</v>
      </c>
      <c r="Q191">
        <f t="shared" si="87"/>
        <v>1</v>
      </c>
      <c r="R191" s="3">
        <f t="shared" si="88"/>
        <v>0</v>
      </c>
      <c r="S191" s="3">
        <f t="shared" si="89"/>
        <v>0</v>
      </c>
      <c r="T191">
        <f t="shared" si="90"/>
        <v>0</v>
      </c>
      <c r="U191" s="3">
        <f t="shared" si="91"/>
        <v>0</v>
      </c>
      <c r="V191" s="3">
        <f t="shared" si="92"/>
        <v>0</v>
      </c>
      <c r="W191">
        <f t="shared" si="93"/>
        <v>0</v>
      </c>
      <c r="X191" s="3">
        <f t="shared" si="94"/>
        <v>0</v>
      </c>
      <c r="Y191" s="3">
        <f t="shared" si="95"/>
        <v>0</v>
      </c>
      <c r="Z191">
        <f t="shared" si="96"/>
        <v>0</v>
      </c>
      <c r="AA191" s="3">
        <f t="shared" si="97"/>
        <v>0</v>
      </c>
      <c r="AB191" s="3">
        <f t="shared" si="98"/>
        <v>0</v>
      </c>
      <c r="AC191">
        <f t="shared" si="99"/>
        <v>0</v>
      </c>
      <c r="AD191" s="3">
        <f t="shared" si="100"/>
        <v>0</v>
      </c>
      <c r="AE191" s="3">
        <f t="shared" si="101"/>
        <v>0</v>
      </c>
      <c r="AF191">
        <f t="shared" si="102"/>
        <v>0</v>
      </c>
      <c r="AG191" s="3">
        <f t="shared" si="103"/>
        <v>0</v>
      </c>
      <c r="AH191" s="3">
        <f t="shared" si="104"/>
        <v>0</v>
      </c>
      <c r="AI191">
        <f t="shared" si="105"/>
        <v>0</v>
      </c>
      <c r="AJ191" s="3">
        <f t="shared" si="106"/>
        <v>0</v>
      </c>
      <c r="AK191" s="3">
        <f t="shared" si="107"/>
        <v>0</v>
      </c>
      <c r="AL191">
        <f t="shared" si="108"/>
        <v>0</v>
      </c>
      <c r="AM191" s="3">
        <f t="shared" si="109"/>
        <v>0</v>
      </c>
      <c r="AN191" s="3">
        <f t="shared" si="110"/>
        <v>0</v>
      </c>
      <c r="AO191">
        <f t="shared" si="111"/>
        <v>0</v>
      </c>
      <c r="AP191" s="3">
        <f t="shared" si="112"/>
        <v>0</v>
      </c>
      <c r="AQ191" s="3">
        <f t="shared" si="113"/>
        <v>0</v>
      </c>
      <c r="AR191">
        <f t="shared" si="114"/>
        <v>0</v>
      </c>
    </row>
    <row r="192" spans="4:44" x14ac:dyDescent="0.25">
      <c r="D192" s="1">
        <v>42467</v>
      </c>
      <c r="E192" s="2">
        <v>106.753788</v>
      </c>
      <c r="F192" s="3">
        <v>200.69222400000001</v>
      </c>
      <c r="G192" s="2">
        <f t="shared" si="79"/>
        <v>-2.3801729999999992</v>
      </c>
      <c r="H192" s="2">
        <f t="shared" si="80"/>
        <v>-2.43054699999999</v>
      </c>
      <c r="I192" s="4">
        <f t="shared" si="77"/>
        <v>-2.4425522696354922</v>
      </c>
      <c r="J192" s="4">
        <f t="shared" si="78"/>
        <v>-2.5317679389806731</v>
      </c>
      <c r="K192" s="4">
        <f t="shared" si="81"/>
        <v>8.796606193388552</v>
      </c>
      <c r="L192" s="4">
        <f t="shared" si="82"/>
        <v>2.9659073136880982</v>
      </c>
      <c r="M192" s="4">
        <f t="shared" si="83"/>
        <v>0.67432990598516207</v>
      </c>
      <c r="N192" s="4">
        <f t="shared" si="84"/>
        <v>0.13641624663178725</v>
      </c>
      <c r="O192" s="3">
        <f t="shared" si="85"/>
        <v>-2.3801729999999992</v>
      </c>
      <c r="P192" s="3">
        <f t="shared" si="86"/>
        <v>-2.43054699999999</v>
      </c>
      <c r="Q192">
        <f t="shared" si="87"/>
        <v>1</v>
      </c>
      <c r="R192" s="3">
        <f t="shared" si="88"/>
        <v>-2.3801729999999992</v>
      </c>
      <c r="S192" s="3">
        <f t="shared" si="89"/>
        <v>-2.43054699999999</v>
      </c>
      <c r="T192">
        <f t="shared" si="90"/>
        <v>1</v>
      </c>
      <c r="U192" s="3">
        <f t="shared" si="91"/>
        <v>-2.3801729999999992</v>
      </c>
      <c r="V192" s="3">
        <f t="shared" si="92"/>
        <v>-2.43054699999999</v>
      </c>
      <c r="W192">
        <f t="shared" si="93"/>
        <v>1</v>
      </c>
      <c r="X192" s="3">
        <f t="shared" si="94"/>
        <v>-2.3801729999999992</v>
      </c>
      <c r="Y192" s="3">
        <f t="shared" si="95"/>
        <v>-2.43054699999999</v>
      </c>
      <c r="Z192">
        <f t="shared" si="96"/>
        <v>1</v>
      </c>
      <c r="AA192" s="3">
        <f t="shared" si="97"/>
        <v>-2.3801729999999992</v>
      </c>
      <c r="AB192" s="3">
        <f t="shared" si="98"/>
        <v>-2.43054699999999</v>
      </c>
      <c r="AC192">
        <f t="shared" si="99"/>
        <v>1</v>
      </c>
      <c r="AD192" s="3">
        <f t="shared" si="100"/>
        <v>-2.3801729999999992</v>
      </c>
      <c r="AE192" s="3">
        <f t="shared" si="101"/>
        <v>-2.43054699999999</v>
      </c>
      <c r="AF192">
        <f t="shared" si="102"/>
        <v>1</v>
      </c>
      <c r="AG192" s="3">
        <f t="shared" si="103"/>
        <v>-2.3801729999999992</v>
      </c>
      <c r="AH192" s="3">
        <f t="shared" si="104"/>
        <v>-2.43054699999999</v>
      </c>
      <c r="AI192">
        <f t="shared" si="105"/>
        <v>1</v>
      </c>
      <c r="AJ192" s="3">
        <f t="shared" si="106"/>
        <v>-2.3801729999999992</v>
      </c>
      <c r="AK192" s="3">
        <f t="shared" si="107"/>
        <v>-2.43054699999999</v>
      </c>
      <c r="AL192">
        <f t="shared" si="108"/>
        <v>1</v>
      </c>
      <c r="AM192" s="3">
        <f t="shared" si="109"/>
        <v>-2.3801729999999992</v>
      </c>
      <c r="AN192" s="3">
        <f t="shared" si="110"/>
        <v>-2.43054699999999</v>
      </c>
      <c r="AO192">
        <f t="shared" si="111"/>
        <v>1</v>
      </c>
      <c r="AP192" s="3">
        <f t="shared" si="112"/>
        <v>0</v>
      </c>
      <c r="AQ192" s="3">
        <f t="shared" si="113"/>
        <v>0</v>
      </c>
      <c r="AR192">
        <f t="shared" si="114"/>
        <v>0</v>
      </c>
    </row>
    <row r="193" spans="4:44" x14ac:dyDescent="0.25">
      <c r="D193" s="1">
        <v>42466</v>
      </c>
      <c r="E193" s="2">
        <v>109.133961</v>
      </c>
      <c r="F193" s="3">
        <v>203.122771</v>
      </c>
      <c r="G193" s="2">
        <f t="shared" si="79"/>
        <v>1.1310759999999931</v>
      </c>
      <c r="H193" s="2">
        <f t="shared" si="80"/>
        <v>2.194375000000008</v>
      </c>
      <c r="I193" s="4">
        <f t="shared" si="77"/>
        <v>1.0686967303645001</v>
      </c>
      <c r="J193" s="4">
        <f t="shared" si="78"/>
        <v>2.0931540610193249</v>
      </c>
      <c r="K193" s="4">
        <f t="shared" si="81"/>
        <v>4.93151502753462</v>
      </c>
      <c r="L193" s="4">
        <f t="shared" si="82"/>
        <v>2.22070147195309</v>
      </c>
      <c r="M193" s="4">
        <f t="shared" si="83"/>
        <v>0.90061632563381666</v>
      </c>
      <c r="N193" s="4">
        <f t="shared" si="84"/>
        <v>0.24333292979944707</v>
      </c>
      <c r="O193" s="3">
        <f t="shared" si="85"/>
        <v>1.1310759999999931</v>
      </c>
      <c r="P193" s="3">
        <f t="shared" si="86"/>
        <v>2.194375000000008</v>
      </c>
      <c r="Q193">
        <f t="shared" si="87"/>
        <v>1</v>
      </c>
      <c r="R193" s="3">
        <f t="shared" si="88"/>
        <v>1.1310759999999931</v>
      </c>
      <c r="S193" s="3">
        <f t="shared" si="89"/>
        <v>2.194375000000008</v>
      </c>
      <c r="T193">
        <f t="shared" si="90"/>
        <v>1</v>
      </c>
      <c r="U193" s="3">
        <f t="shared" si="91"/>
        <v>1.1310759999999931</v>
      </c>
      <c r="V193" s="3">
        <f t="shared" si="92"/>
        <v>2.194375000000008</v>
      </c>
      <c r="W193">
        <f t="shared" si="93"/>
        <v>1</v>
      </c>
      <c r="X193" s="3">
        <f t="shared" si="94"/>
        <v>1.1310759999999931</v>
      </c>
      <c r="Y193" s="3">
        <f t="shared" si="95"/>
        <v>2.194375000000008</v>
      </c>
      <c r="Z193">
        <f t="shared" si="96"/>
        <v>1</v>
      </c>
      <c r="AA193" s="3">
        <f t="shared" si="97"/>
        <v>1.1310759999999931</v>
      </c>
      <c r="AB193" s="3">
        <f t="shared" si="98"/>
        <v>2.194375000000008</v>
      </c>
      <c r="AC193">
        <f t="shared" si="99"/>
        <v>1</v>
      </c>
      <c r="AD193" s="3">
        <f t="shared" si="100"/>
        <v>0</v>
      </c>
      <c r="AE193" s="3">
        <f t="shared" si="101"/>
        <v>0</v>
      </c>
      <c r="AF193">
        <f t="shared" si="102"/>
        <v>0</v>
      </c>
      <c r="AG193" s="3">
        <f t="shared" si="103"/>
        <v>0</v>
      </c>
      <c r="AH193" s="3">
        <f t="shared" si="104"/>
        <v>0</v>
      </c>
      <c r="AI193">
        <f t="shared" si="105"/>
        <v>0</v>
      </c>
      <c r="AJ193" s="3">
        <f t="shared" si="106"/>
        <v>0</v>
      </c>
      <c r="AK193" s="3">
        <f t="shared" si="107"/>
        <v>0</v>
      </c>
      <c r="AL193">
        <f t="shared" si="108"/>
        <v>0</v>
      </c>
      <c r="AM193" s="3">
        <f t="shared" si="109"/>
        <v>0</v>
      </c>
      <c r="AN193" s="3">
        <f t="shared" si="110"/>
        <v>0</v>
      </c>
      <c r="AO193">
        <f t="shared" si="111"/>
        <v>0</v>
      </c>
      <c r="AP193" s="3">
        <f t="shared" si="112"/>
        <v>0</v>
      </c>
      <c r="AQ193" s="3">
        <f t="shared" si="113"/>
        <v>0</v>
      </c>
      <c r="AR193">
        <f t="shared" si="114"/>
        <v>0</v>
      </c>
    </row>
    <row r="194" spans="4:44" x14ac:dyDescent="0.25">
      <c r="D194" s="1">
        <v>42465</v>
      </c>
      <c r="E194" s="2">
        <v>108.00288500000001</v>
      </c>
      <c r="F194" s="3">
        <v>200.92839599999999</v>
      </c>
      <c r="G194" s="2">
        <f t="shared" si="79"/>
        <v>-1.2884469999999908</v>
      </c>
      <c r="H194" s="2">
        <f t="shared" si="80"/>
        <v>-2.0270920000000103</v>
      </c>
      <c r="I194" s="4">
        <f t="shared" ref="I194:I257" si="115">G194-$A$14</f>
        <v>-1.3508262696354838</v>
      </c>
      <c r="J194" s="4">
        <f t="shared" ref="J194:J257" si="116">H194-$B$14</f>
        <v>-2.1283129389806934</v>
      </c>
      <c r="K194" s="4">
        <f t="shared" si="81"/>
        <v>5.0092314523822106</v>
      </c>
      <c r="L194" s="4">
        <f t="shared" si="82"/>
        <v>2.2381312410987455</v>
      </c>
      <c r="M194" s="4">
        <f t="shared" si="83"/>
        <v>0.8936026463837563</v>
      </c>
      <c r="N194" s="4">
        <f t="shared" si="84"/>
        <v>0.23955770688721581</v>
      </c>
      <c r="O194" s="3">
        <f t="shared" si="85"/>
        <v>-1.2884469999999908</v>
      </c>
      <c r="P194" s="3">
        <f t="shared" si="86"/>
        <v>-2.0270920000000103</v>
      </c>
      <c r="Q194">
        <f t="shared" si="87"/>
        <v>1</v>
      </c>
      <c r="R194" s="3">
        <f t="shared" si="88"/>
        <v>-1.2884469999999908</v>
      </c>
      <c r="S194" s="3">
        <f t="shared" si="89"/>
        <v>-2.0270920000000103</v>
      </c>
      <c r="T194">
        <f t="shared" si="90"/>
        <v>1</v>
      </c>
      <c r="U194" s="3">
        <f t="shared" si="91"/>
        <v>-1.2884469999999908</v>
      </c>
      <c r="V194" s="3">
        <f t="shared" si="92"/>
        <v>-2.0270920000000103</v>
      </c>
      <c r="W194">
        <f t="shared" si="93"/>
        <v>1</v>
      </c>
      <c r="X194" s="3">
        <f t="shared" si="94"/>
        <v>-1.2884469999999908</v>
      </c>
      <c r="Y194" s="3">
        <f t="shared" si="95"/>
        <v>-2.0270920000000103</v>
      </c>
      <c r="Z194">
        <f t="shared" si="96"/>
        <v>1</v>
      </c>
      <c r="AA194" s="3">
        <f t="shared" si="97"/>
        <v>-1.2884469999999908</v>
      </c>
      <c r="AB194" s="3">
        <f t="shared" si="98"/>
        <v>-2.0270920000000103</v>
      </c>
      <c r="AC194">
        <f t="shared" si="99"/>
        <v>1</v>
      </c>
      <c r="AD194" s="3">
        <f t="shared" si="100"/>
        <v>-1.2884469999999908</v>
      </c>
      <c r="AE194" s="3">
        <f t="shared" si="101"/>
        <v>-2.0270920000000103</v>
      </c>
      <c r="AF194">
        <f t="shared" si="102"/>
        <v>1</v>
      </c>
      <c r="AG194" s="3">
        <f t="shared" si="103"/>
        <v>0</v>
      </c>
      <c r="AH194" s="3">
        <f t="shared" si="104"/>
        <v>0</v>
      </c>
      <c r="AI194">
        <f t="shared" si="105"/>
        <v>0</v>
      </c>
      <c r="AJ194" s="3">
        <f t="shared" si="106"/>
        <v>0</v>
      </c>
      <c r="AK194" s="3">
        <f t="shared" si="107"/>
        <v>0</v>
      </c>
      <c r="AL194">
        <f t="shared" si="108"/>
        <v>0</v>
      </c>
      <c r="AM194" s="3">
        <f t="shared" si="109"/>
        <v>0</v>
      </c>
      <c r="AN194" s="3">
        <f t="shared" si="110"/>
        <v>0</v>
      </c>
      <c r="AO194">
        <f t="shared" si="111"/>
        <v>0</v>
      </c>
      <c r="AP194" s="3">
        <f t="shared" si="112"/>
        <v>0</v>
      </c>
      <c r="AQ194" s="3">
        <f t="shared" si="113"/>
        <v>0</v>
      </c>
      <c r="AR194">
        <f t="shared" si="114"/>
        <v>0</v>
      </c>
    </row>
    <row r="195" spans="4:44" x14ac:dyDescent="0.25">
      <c r="D195" s="1">
        <v>42464</v>
      </c>
      <c r="E195" s="2">
        <v>109.291332</v>
      </c>
      <c r="F195" s="3">
        <v>202.955488</v>
      </c>
      <c r="G195" s="2">
        <f t="shared" ref="G195:G252" si="117">E195-E196</f>
        <v>1.1114089999999948</v>
      </c>
      <c r="H195" s="2">
        <f t="shared" ref="H195:H252" si="118">F195-F196</f>
        <v>-0.65929700000000935</v>
      </c>
      <c r="I195" s="4">
        <f t="shared" si="115"/>
        <v>1.0490297303645018</v>
      </c>
      <c r="J195" s="4">
        <f t="shared" si="116"/>
        <v>-0.76051793898069253</v>
      </c>
      <c r="K195" s="4">
        <f t="shared" ref="K195:K258" si="119">SUMPRODUCT(MMULT(I195:J195,$A$19:$B$20),I195:J195)</f>
        <v>5.5086535546109445</v>
      </c>
      <c r="L195" s="4">
        <f t="shared" ref="L195:L258" si="120">SQRT(K195)</f>
        <v>2.3470520988275791</v>
      </c>
      <c r="M195" s="4">
        <f t="shared" ref="M195:M258" si="121">IF(L195&lt;$B$12,1,$B$12/L195)</f>
        <v>0.85213276731226295</v>
      </c>
      <c r="N195" s="4">
        <f t="shared" ref="N195:N258" si="122">IF(K195&lt;$B$12,1,$B$21/K195)</f>
        <v>0.21783907593817659</v>
      </c>
      <c r="O195" s="3">
        <f t="shared" ref="O195:O258" si="123">IF($K195&gt;P$1,$G195,0)</f>
        <v>1.1114089999999948</v>
      </c>
      <c r="P195" s="3">
        <f t="shared" ref="P195:P258" si="124">IF($K195&gt;P$1,$H195,0)</f>
        <v>-0.65929700000000935</v>
      </c>
      <c r="Q195">
        <f t="shared" ref="Q195:Q258" si="125">IF($K195&gt;P$1,1,0)</f>
        <v>1</v>
      </c>
      <c r="R195" s="3">
        <f t="shared" ref="R195:R258" si="126">IF($K195&gt;S$1,$G195,0)</f>
        <v>1.1114089999999948</v>
      </c>
      <c r="S195" s="3">
        <f t="shared" ref="S195:S258" si="127">IF($K195&gt;S$1,$H195,0)</f>
        <v>-0.65929700000000935</v>
      </c>
      <c r="T195">
        <f t="shared" ref="T195:T258" si="128">IF($K195&gt;S$1,1,0)</f>
        <v>1</v>
      </c>
      <c r="U195" s="3">
        <f t="shared" ref="U195:U258" si="129">IF($K195&gt;V$1,$G195,0)</f>
        <v>1.1114089999999948</v>
      </c>
      <c r="V195" s="3">
        <f t="shared" ref="V195:V258" si="130">IF($K195&gt;V$1,$H195,0)</f>
        <v>-0.65929700000000935</v>
      </c>
      <c r="W195">
        <f t="shared" ref="W195:W258" si="131">IF($K195&gt;V$1,1,0)</f>
        <v>1</v>
      </c>
      <c r="X195" s="3">
        <f t="shared" ref="X195:X258" si="132">IF($K195&gt;Y$1,$G195,0)</f>
        <v>1.1114089999999948</v>
      </c>
      <c r="Y195" s="3">
        <f t="shared" ref="Y195:Y258" si="133">IF($K195&gt;Y$1,$H195,0)</f>
        <v>-0.65929700000000935</v>
      </c>
      <c r="Z195">
        <f t="shared" ref="Z195:Z258" si="134">IF($K195&gt;Y$1,1,0)</f>
        <v>1</v>
      </c>
      <c r="AA195" s="3">
        <f t="shared" ref="AA195:AA258" si="135">IF($K195&gt;AB$1,$G195,0)</f>
        <v>1.1114089999999948</v>
      </c>
      <c r="AB195" s="3">
        <f t="shared" ref="AB195:AB258" si="136">IF($K195&gt;AB$1,$H195,0)</f>
        <v>-0.65929700000000935</v>
      </c>
      <c r="AC195">
        <f t="shared" ref="AC195:AC258" si="137">IF($K195&gt;AB$1,1,0)</f>
        <v>1</v>
      </c>
      <c r="AD195" s="3">
        <f t="shared" ref="AD195:AD258" si="138">IF($K195&gt;AE$1,$G195,0)</f>
        <v>1.1114089999999948</v>
      </c>
      <c r="AE195" s="3">
        <f t="shared" ref="AE195:AE258" si="139">IF($K195&gt;AE$1,$H195,0)</f>
        <v>-0.65929700000000935</v>
      </c>
      <c r="AF195">
        <f t="shared" ref="AF195:AF258" si="140">IF($K195&gt;AE$1,1,0)</f>
        <v>1</v>
      </c>
      <c r="AG195" s="3">
        <f t="shared" ref="AG195:AG258" si="141">IF($K195&gt;AH$1,$G195,0)</f>
        <v>0</v>
      </c>
      <c r="AH195" s="3">
        <f t="shared" ref="AH195:AH258" si="142">IF($K195&gt;AH$1,$H195,0)</f>
        <v>0</v>
      </c>
      <c r="AI195">
        <f t="shared" ref="AI195:AI258" si="143">IF($K195&gt;AH$1,1,0)</f>
        <v>0</v>
      </c>
      <c r="AJ195" s="3">
        <f t="shared" ref="AJ195:AJ258" si="144">IF($K195&gt;AK$1,$G195,0)</f>
        <v>0</v>
      </c>
      <c r="AK195" s="3">
        <f t="shared" ref="AK195:AK258" si="145">IF($K195&gt;AK$1,$H195,0)</f>
        <v>0</v>
      </c>
      <c r="AL195">
        <f t="shared" ref="AL195:AL258" si="146">IF($K195&gt;AK$1,1,0)</f>
        <v>0</v>
      </c>
      <c r="AM195" s="3">
        <f t="shared" ref="AM195:AM258" si="147">IF($K195&gt;AN$1,$G195,0)</f>
        <v>0</v>
      </c>
      <c r="AN195" s="3">
        <f t="shared" ref="AN195:AN258" si="148">IF($K195&gt;AN$1,$H195,0)</f>
        <v>0</v>
      </c>
      <c r="AO195">
        <f t="shared" ref="AO195:AO258" si="149">IF($K195&gt;AN$1,1,0)</f>
        <v>0</v>
      </c>
      <c r="AP195" s="3">
        <f t="shared" ref="AP195:AP258" si="150">IF($K195&gt;AQ$1,$G195,0)</f>
        <v>0</v>
      </c>
      <c r="AQ195" s="3">
        <f t="shared" ref="AQ195:AQ258" si="151">IF($K195&gt;AQ$1,$H195,0)</f>
        <v>0</v>
      </c>
      <c r="AR195">
        <f t="shared" ref="AR195:AR258" si="152">IF($K195&gt;AQ$1,1,0)</f>
        <v>0</v>
      </c>
    </row>
    <row r="196" spans="4:44" x14ac:dyDescent="0.25">
      <c r="D196" s="1">
        <v>42461</v>
      </c>
      <c r="E196" s="2">
        <v>108.179923</v>
      </c>
      <c r="F196" s="3">
        <v>203.61478500000001</v>
      </c>
      <c r="G196" s="2">
        <f t="shared" si="117"/>
        <v>0.98354299999999739</v>
      </c>
      <c r="H196" s="2">
        <f t="shared" si="118"/>
        <v>1.3776320000000055</v>
      </c>
      <c r="I196" s="4">
        <f t="shared" si="115"/>
        <v>0.92116373036450439</v>
      </c>
      <c r="J196" s="4">
        <f t="shared" si="116"/>
        <v>1.2764110610193222</v>
      </c>
      <c r="K196" s="4">
        <f t="shared" si="119"/>
        <v>1.842830147186558</v>
      </c>
      <c r="L196" s="4">
        <f t="shared" si="120"/>
        <v>1.3575088018817991</v>
      </c>
      <c r="M196" s="4">
        <f t="shared" si="121"/>
        <v>1</v>
      </c>
      <c r="N196" s="4">
        <f t="shared" si="122"/>
        <v>1</v>
      </c>
      <c r="O196" s="3">
        <f t="shared" si="123"/>
        <v>0.98354299999999739</v>
      </c>
      <c r="P196" s="3">
        <f t="shared" si="124"/>
        <v>1.3776320000000055</v>
      </c>
      <c r="Q196">
        <f t="shared" si="125"/>
        <v>1</v>
      </c>
      <c r="R196" s="3">
        <f t="shared" si="126"/>
        <v>0.98354299999999739</v>
      </c>
      <c r="S196" s="3">
        <f t="shared" si="127"/>
        <v>1.3776320000000055</v>
      </c>
      <c r="T196">
        <f t="shared" si="128"/>
        <v>1</v>
      </c>
      <c r="U196" s="3">
        <f t="shared" si="129"/>
        <v>0</v>
      </c>
      <c r="V196" s="3">
        <f t="shared" si="130"/>
        <v>0</v>
      </c>
      <c r="W196">
        <f t="shared" si="131"/>
        <v>0</v>
      </c>
      <c r="X196" s="3">
        <f t="shared" si="132"/>
        <v>0</v>
      </c>
      <c r="Y196" s="3">
        <f t="shared" si="133"/>
        <v>0</v>
      </c>
      <c r="Z196">
        <f t="shared" si="134"/>
        <v>0</v>
      </c>
      <c r="AA196" s="3">
        <f t="shared" si="135"/>
        <v>0</v>
      </c>
      <c r="AB196" s="3">
        <f t="shared" si="136"/>
        <v>0</v>
      </c>
      <c r="AC196">
        <f t="shared" si="137"/>
        <v>0</v>
      </c>
      <c r="AD196" s="3">
        <f t="shared" si="138"/>
        <v>0</v>
      </c>
      <c r="AE196" s="3">
        <f t="shared" si="139"/>
        <v>0</v>
      </c>
      <c r="AF196">
        <f t="shared" si="140"/>
        <v>0</v>
      </c>
      <c r="AG196" s="3">
        <f t="shared" si="141"/>
        <v>0</v>
      </c>
      <c r="AH196" s="3">
        <f t="shared" si="142"/>
        <v>0</v>
      </c>
      <c r="AI196">
        <f t="shared" si="143"/>
        <v>0</v>
      </c>
      <c r="AJ196" s="3">
        <f t="shared" si="144"/>
        <v>0</v>
      </c>
      <c r="AK196" s="3">
        <f t="shared" si="145"/>
        <v>0</v>
      </c>
      <c r="AL196">
        <f t="shared" si="146"/>
        <v>0</v>
      </c>
      <c r="AM196" s="3">
        <f t="shared" si="147"/>
        <v>0</v>
      </c>
      <c r="AN196" s="3">
        <f t="shared" si="148"/>
        <v>0</v>
      </c>
      <c r="AO196">
        <f t="shared" si="149"/>
        <v>0</v>
      </c>
      <c r="AP196" s="3">
        <f t="shared" si="150"/>
        <v>0</v>
      </c>
      <c r="AQ196" s="3">
        <f t="shared" si="151"/>
        <v>0</v>
      </c>
      <c r="AR196">
        <f t="shared" si="152"/>
        <v>0</v>
      </c>
    </row>
    <row r="197" spans="4:44" x14ac:dyDescent="0.25">
      <c r="D197" s="1">
        <v>42460</v>
      </c>
      <c r="E197" s="2">
        <v>107.19638</v>
      </c>
      <c r="F197" s="3">
        <v>202.23715300000001</v>
      </c>
      <c r="G197" s="2">
        <f t="shared" si="117"/>
        <v>-0.56061899999998843</v>
      </c>
      <c r="H197" s="2">
        <f t="shared" si="118"/>
        <v>-0.4920139999999833</v>
      </c>
      <c r="I197" s="4">
        <f t="shared" si="115"/>
        <v>-0.62299826963548144</v>
      </c>
      <c r="J197" s="4">
        <f t="shared" si="116"/>
        <v>-0.59323493898066648</v>
      </c>
      <c r="K197" s="4">
        <f t="shared" si="119"/>
        <v>0.53380912908319322</v>
      </c>
      <c r="L197" s="4">
        <f t="shared" si="120"/>
        <v>0.73062242580090109</v>
      </c>
      <c r="M197" s="4">
        <f t="shared" si="121"/>
        <v>1</v>
      </c>
      <c r="N197" s="4">
        <f t="shared" si="122"/>
        <v>1</v>
      </c>
      <c r="O197" s="3">
        <f t="shared" si="123"/>
        <v>-0.56061899999998843</v>
      </c>
      <c r="P197" s="3">
        <f t="shared" si="124"/>
        <v>-0.4920139999999833</v>
      </c>
      <c r="Q197">
        <f t="shared" si="125"/>
        <v>1</v>
      </c>
      <c r="R197" s="3">
        <f t="shared" si="126"/>
        <v>0</v>
      </c>
      <c r="S197" s="3">
        <f t="shared" si="127"/>
        <v>0</v>
      </c>
      <c r="T197">
        <f t="shared" si="128"/>
        <v>0</v>
      </c>
      <c r="U197" s="3">
        <f t="shared" si="129"/>
        <v>0</v>
      </c>
      <c r="V197" s="3">
        <f t="shared" si="130"/>
        <v>0</v>
      </c>
      <c r="W197">
        <f t="shared" si="131"/>
        <v>0</v>
      </c>
      <c r="X197" s="3">
        <f t="shared" si="132"/>
        <v>0</v>
      </c>
      <c r="Y197" s="3">
        <f t="shared" si="133"/>
        <v>0</v>
      </c>
      <c r="Z197">
        <f t="shared" si="134"/>
        <v>0</v>
      </c>
      <c r="AA197" s="3">
        <f t="shared" si="135"/>
        <v>0</v>
      </c>
      <c r="AB197" s="3">
        <f t="shared" si="136"/>
        <v>0</v>
      </c>
      <c r="AC197">
        <f t="shared" si="137"/>
        <v>0</v>
      </c>
      <c r="AD197" s="3">
        <f t="shared" si="138"/>
        <v>0</v>
      </c>
      <c r="AE197" s="3">
        <f t="shared" si="139"/>
        <v>0</v>
      </c>
      <c r="AF197">
        <f t="shared" si="140"/>
        <v>0</v>
      </c>
      <c r="AG197" s="3">
        <f t="shared" si="141"/>
        <v>0</v>
      </c>
      <c r="AH197" s="3">
        <f t="shared" si="142"/>
        <v>0</v>
      </c>
      <c r="AI197">
        <f t="shared" si="143"/>
        <v>0</v>
      </c>
      <c r="AJ197" s="3">
        <f t="shared" si="144"/>
        <v>0</v>
      </c>
      <c r="AK197" s="3">
        <f t="shared" si="145"/>
        <v>0</v>
      </c>
      <c r="AL197">
        <f t="shared" si="146"/>
        <v>0</v>
      </c>
      <c r="AM197" s="3">
        <f t="shared" si="147"/>
        <v>0</v>
      </c>
      <c r="AN197" s="3">
        <f t="shared" si="148"/>
        <v>0</v>
      </c>
      <c r="AO197">
        <f t="shared" si="149"/>
        <v>0</v>
      </c>
      <c r="AP197" s="3">
        <f t="shared" si="150"/>
        <v>0</v>
      </c>
      <c r="AQ197" s="3">
        <f t="shared" si="151"/>
        <v>0</v>
      </c>
      <c r="AR197">
        <f t="shared" si="152"/>
        <v>0</v>
      </c>
    </row>
    <row r="198" spans="4:44" x14ac:dyDescent="0.25">
      <c r="D198" s="1">
        <v>42459</v>
      </c>
      <c r="E198" s="2">
        <v>107.75699899999999</v>
      </c>
      <c r="F198" s="3">
        <v>202.72916699999999</v>
      </c>
      <c r="G198" s="2">
        <f t="shared" si="117"/>
        <v>1.8490589999999969</v>
      </c>
      <c r="H198" s="2">
        <f t="shared" si="118"/>
        <v>0.88563299999998435</v>
      </c>
      <c r="I198" s="4">
        <f t="shared" si="115"/>
        <v>1.7866797303645039</v>
      </c>
      <c r="J198" s="4">
        <f t="shared" si="116"/>
        <v>0.78441206101930117</v>
      </c>
      <c r="K198" s="4">
        <f t="shared" si="119"/>
        <v>4.320695156461686</v>
      </c>
      <c r="L198" s="4">
        <f t="shared" si="120"/>
        <v>2.0786281910100435</v>
      </c>
      <c r="M198" s="4">
        <f t="shared" si="121"/>
        <v>0.96217303731850345</v>
      </c>
      <c r="N198" s="4">
        <f t="shared" si="122"/>
        <v>0.27773308612281428</v>
      </c>
      <c r="O198" s="3">
        <f t="shared" si="123"/>
        <v>1.8490589999999969</v>
      </c>
      <c r="P198" s="3">
        <f t="shared" si="124"/>
        <v>0.88563299999998435</v>
      </c>
      <c r="Q198">
        <f t="shared" si="125"/>
        <v>1</v>
      </c>
      <c r="R198" s="3">
        <f t="shared" si="126"/>
        <v>1.8490589999999969</v>
      </c>
      <c r="S198" s="3">
        <f t="shared" si="127"/>
        <v>0.88563299999998435</v>
      </c>
      <c r="T198">
        <f t="shared" si="128"/>
        <v>1</v>
      </c>
      <c r="U198" s="3">
        <f t="shared" si="129"/>
        <v>1.8490589999999969</v>
      </c>
      <c r="V198" s="3">
        <f t="shared" si="130"/>
        <v>0.88563299999998435</v>
      </c>
      <c r="W198">
        <f t="shared" si="131"/>
        <v>1</v>
      </c>
      <c r="X198" s="3">
        <f t="shared" si="132"/>
        <v>1.8490589999999969</v>
      </c>
      <c r="Y198" s="3">
        <f t="shared" si="133"/>
        <v>0.88563299999998435</v>
      </c>
      <c r="Z198">
        <f t="shared" si="134"/>
        <v>1</v>
      </c>
      <c r="AA198" s="3">
        <f t="shared" si="135"/>
        <v>1.8490589999999969</v>
      </c>
      <c r="AB198" s="3">
        <f t="shared" si="136"/>
        <v>0.88563299999998435</v>
      </c>
      <c r="AC198">
        <f t="shared" si="137"/>
        <v>1</v>
      </c>
      <c r="AD198" s="3">
        <f t="shared" si="138"/>
        <v>0</v>
      </c>
      <c r="AE198" s="3">
        <f t="shared" si="139"/>
        <v>0</v>
      </c>
      <c r="AF198">
        <f t="shared" si="140"/>
        <v>0</v>
      </c>
      <c r="AG198" s="3">
        <f t="shared" si="141"/>
        <v>0</v>
      </c>
      <c r="AH198" s="3">
        <f t="shared" si="142"/>
        <v>0</v>
      </c>
      <c r="AI198">
        <f t="shared" si="143"/>
        <v>0</v>
      </c>
      <c r="AJ198" s="3">
        <f t="shared" si="144"/>
        <v>0</v>
      </c>
      <c r="AK198" s="3">
        <f t="shared" si="145"/>
        <v>0</v>
      </c>
      <c r="AL198">
        <f t="shared" si="146"/>
        <v>0</v>
      </c>
      <c r="AM198" s="3">
        <f t="shared" si="147"/>
        <v>0</v>
      </c>
      <c r="AN198" s="3">
        <f t="shared" si="148"/>
        <v>0</v>
      </c>
      <c r="AO198">
        <f t="shared" si="149"/>
        <v>0</v>
      </c>
      <c r="AP198" s="3">
        <f t="shared" si="150"/>
        <v>0</v>
      </c>
      <c r="AQ198" s="3">
        <f t="shared" si="151"/>
        <v>0</v>
      </c>
      <c r="AR198">
        <f t="shared" si="152"/>
        <v>0</v>
      </c>
    </row>
    <row r="199" spans="4:44" x14ac:dyDescent="0.25">
      <c r="D199" s="1">
        <v>42458</v>
      </c>
      <c r="E199" s="2">
        <v>105.90794</v>
      </c>
      <c r="F199" s="3">
        <v>201.84353400000001</v>
      </c>
      <c r="G199" s="2">
        <f t="shared" si="117"/>
        <v>2.4490199999999902</v>
      </c>
      <c r="H199" s="2">
        <f t="shared" si="118"/>
        <v>1.84996000000001</v>
      </c>
      <c r="I199" s="4">
        <f t="shared" si="115"/>
        <v>2.3866407303644972</v>
      </c>
      <c r="J199" s="4">
        <f t="shared" si="116"/>
        <v>1.7487390610193267</v>
      </c>
      <c r="K199" s="4">
        <f t="shared" si="119"/>
        <v>7.0845711370671625</v>
      </c>
      <c r="L199" s="4">
        <f t="shared" si="120"/>
        <v>2.6616857697833458</v>
      </c>
      <c r="M199" s="4">
        <f t="shared" si="121"/>
        <v>0.75140349875439827</v>
      </c>
      <c r="N199" s="4">
        <f t="shared" si="122"/>
        <v>0.16938216538210529</v>
      </c>
      <c r="O199" s="3">
        <f t="shared" si="123"/>
        <v>2.4490199999999902</v>
      </c>
      <c r="P199" s="3">
        <f t="shared" si="124"/>
        <v>1.84996000000001</v>
      </c>
      <c r="Q199">
        <f t="shared" si="125"/>
        <v>1</v>
      </c>
      <c r="R199" s="3">
        <f t="shared" si="126"/>
        <v>2.4490199999999902</v>
      </c>
      <c r="S199" s="3">
        <f t="shared" si="127"/>
        <v>1.84996000000001</v>
      </c>
      <c r="T199">
        <f t="shared" si="128"/>
        <v>1</v>
      </c>
      <c r="U199" s="3">
        <f t="shared" si="129"/>
        <v>2.4490199999999902</v>
      </c>
      <c r="V199" s="3">
        <f t="shared" si="130"/>
        <v>1.84996000000001</v>
      </c>
      <c r="W199">
        <f t="shared" si="131"/>
        <v>1</v>
      </c>
      <c r="X199" s="3">
        <f t="shared" si="132"/>
        <v>2.4490199999999902</v>
      </c>
      <c r="Y199" s="3">
        <f t="shared" si="133"/>
        <v>1.84996000000001</v>
      </c>
      <c r="Z199">
        <f t="shared" si="134"/>
        <v>1</v>
      </c>
      <c r="AA199" s="3">
        <f t="shared" si="135"/>
        <v>2.4490199999999902</v>
      </c>
      <c r="AB199" s="3">
        <f t="shared" si="136"/>
        <v>1.84996000000001</v>
      </c>
      <c r="AC199">
        <f t="shared" si="137"/>
        <v>1</v>
      </c>
      <c r="AD199" s="3">
        <f t="shared" si="138"/>
        <v>2.4490199999999902</v>
      </c>
      <c r="AE199" s="3">
        <f t="shared" si="139"/>
        <v>1.84996000000001</v>
      </c>
      <c r="AF199">
        <f t="shared" si="140"/>
        <v>1</v>
      </c>
      <c r="AG199" s="3">
        <f t="shared" si="141"/>
        <v>2.4490199999999902</v>
      </c>
      <c r="AH199" s="3">
        <f t="shared" si="142"/>
        <v>1.84996000000001</v>
      </c>
      <c r="AI199">
        <f t="shared" si="143"/>
        <v>1</v>
      </c>
      <c r="AJ199" s="3">
        <f t="shared" si="144"/>
        <v>2.4490199999999902</v>
      </c>
      <c r="AK199" s="3">
        <f t="shared" si="145"/>
        <v>1.84996000000001</v>
      </c>
      <c r="AL199">
        <f t="shared" si="146"/>
        <v>1</v>
      </c>
      <c r="AM199" s="3">
        <f t="shared" si="147"/>
        <v>0</v>
      </c>
      <c r="AN199" s="3">
        <f t="shared" si="148"/>
        <v>0</v>
      </c>
      <c r="AO199">
        <f t="shared" si="149"/>
        <v>0</v>
      </c>
      <c r="AP199" s="3">
        <f t="shared" si="150"/>
        <v>0</v>
      </c>
      <c r="AQ199" s="3">
        <f t="shared" si="151"/>
        <v>0</v>
      </c>
      <c r="AR199">
        <f t="shared" si="152"/>
        <v>0</v>
      </c>
    </row>
    <row r="200" spans="4:44" x14ac:dyDescent="0.25">
      <c r="D200" s="1">
        <v>42457</v>
      </c>
      <c r="E200" s="2">
        <v>103.45892000000001</v>
      </c>
      <c r="F200" s="3">
        <v>199.993574</v>
      </c>
      <c r="G200" s="2">
        <f t="shared" si="117"/>
        <v>-0.47209599999999341</v>
      </c>
      <c r="H200" s="2">
        <f t="shared" si="118"/>
        <v>0.11809399999998504</v>
      </c>
      <c r="I200" s="4">
        <f t="shared" si="115"/>
        <v>-0.53447526963548642</v>
      </c>
      <c r="J200" s="4">
        <f t="shared" si="116"/>
        <v>1.6873061019301833E-2</v>
      </c>
      <c r="K200" s="4">
        <f t="shared" si="119"/>
        <v>0.63170265385612911</v>
      </c>
      <c r="L200" s="4">
        <f t="shared" si="120"/>
        <v>0.79479724072000224</v>
      </c>
      <c r="M200" s="4">
        <f t="shared" si="121"/>
        <v>1</v>
      </c>
      <c r="N200" s="4">
        <f t="shared" si="122"/>
        <v>1</v>
      </c>
      <c r="O200" s="3">
        <f t="shared" si="123"/>
        <v>-0.47209599999999341</v>
      </c>
      <c r="P200" s="3">
        <f t="shared" si="124"/>
        <v>0.11809399999998504</v>
      </c>
      <c r="Q200">
        <f t="shared" si="125"/>
        <v>1</v>
      </c>
      <c r="R200" s="3">
        <f t="shared" si="126"/>
        <v>0</v>
      </c>
      <c r="S200" s="3">
        <f t="shared" si="127"/>
        <v>0</v>
      </c>
      <c r="T200">
        <f t="shared" si="128"/>
        <v>0</v>
      </c>
      <c r="U200" s="3">
        <f t="shared" si="129"/>
        <v>0</v>
      </c>
      <c r="V200" s="3">
        <f t="shared" si="130"/>
        <v>0</v>
      </c>
      <c r="W200">
        <f t="shared" si="131"/>
        <v>0</v>
      </c>
      <c r="X200" s="3">
        <f t="shared" si="132"/>
        <v>0</v>
      </c>
      <c r="Y200" s="3">
        <f t="shared" si="133"/>
        <v>0</v>
      </c>
      <c r="Z200">
        <f t="shared" si="134"/>
        <v>0</v>
      </c>
      <c r="AA200" s="3">
        <f t="shared" si="135"/>
        <v>0</v>
      </c>
      <c r="AB200" s="3">
        <f t="shared" si="136"/>
        <v>0</v>
      </c>
      <c r="AC200">
        <f t="shared" si="137"/>
        <v>0</v>
      </c>
      <c r="AD200" s="3">
        <f t="shared" si="138"/>
        <v>0</v>
      </c>
      <c r="AE200" s="3">
        <f t="shared" si="139"/>
        <v>0</v>
      </c>
      <c r="AF200">
        <f t="shared" si="140"/>
        <v>0</v>
      </c>
      <c r="AG200" s="3">
        <f t="shared" si="141"/>
        <v>0</v>
      </c>
      <c r="AH200" s="3">
        <f t="shared" si="142"/>
        <v>0</v>
      </c>
      <c r="AI200">
        <f t="shared" si="143"/>
        <v>0</v>
      </c>
      <c r="AJ200" s="3">
        <f t="shared" si="144"/>
        <v>0</v>
      </c>
      <c r="AK200" s="3">
        <f t="shared" si="145"/>
        <v>0</v>
      </c>
      <c r="AL200">
        <f t="shared" si="146"/>
        <v>0</v>
      </c>
      <c r="AM200" s="3">
        <f t="shared" si="147"/>
        <v>0</v>
      </c>
      <c r="AN200" s="3">
        <f t="shared" si="148"/>
        <v>0</v>
      </c>
      <c r="AO200">
        <f t="shared" si="149"/>
        <v>0</v>
      </c>
      <c r="AP200" s="3">
        <f t="shared" si="150"/>
        <v>0</v>
      </c>
      <c r="AQ200" s="3">
        <f t="shared" si="151"/>
        <v>0</v>
      </c>
      <c r="AR200">
        <f t="shared" si="152"/>
        <v>0</v>
      </c>
    </row>
    <row r="201" spans="4:44" x14ac:dyDescent="0.25">
      <c r="D201" s="1">
        <v>42453</v>
      </c>
      <c r="E201" s="2">
        <v>103.931016</v>
      </c>
      <c r="F201" s="3">
        <v>199.87548000000001</v>
      </c>
      <c r="G201" s="2">
        <f t="shared" si="117"/>
        <v>-0.45242899999999509</v>
      </c>
      <c r="H201" s="2">
        <f t="shared" si="118"/>
        <v>-8.8573999999994157E-2</v>
      </c>
      <c r="I201" s="4">
        <f t="shared" si="115"/>
        <v>-0.51480826963548809</v>
      </c>
      <c r="J201" s="4">
        <f t="shared" si="116"/>
        <v>-0.18979493898067737</v>
      </c>
      <c r="K201" s="4">
        <f t="shared" si="119"/>
        <v>0.37855681611188646</v>
      </c>
      <c r="L201" s="4">
        <f t="shared" si="120"/>
        <v>0.61526971005558728</v>
      </c>
      <c r="M201" s="4">
        <f t="shared" si="121"/>
        <v>1</v>
      </c>
      <c r="N201" s="4">
        <f t="shared" si="122"/>
        <v>1</v>
      </c>
      <c r="O201" s="3">
        <f t="shared" si="123"/>
        <v>-0.45242899999999509</v>
      </c>
      <c r="P201" s="3">
        <f t="shared" si="124"/>
        <v>-8.8573999999994157E-2</v>
      </c>
      <c r="Q201">
        <f t="shared" si="125"/>
        <v>1</v>
      </c>
      <c r="R201" s="3">
        <f t="shared" si="126"/>
        <v>0</v>
      </c>
      <c r="S201" s="3">
        <f t="shared" si="127"/>
        <v>0</v>
      </c>
      <c r="T201">
        <f t="shared" si="128"/>
        <v>0</v>
      </c>
      <c r="U201" s="3">
        <f t="shared" si="129"/>
        <v>0</v>
      </c>
      <c r="V201" s="3">
        <f t="shared" si="130"/>
        <v>0</v>
      </c>
      <c r="W201">
        <f t="shared" si="131"/>
        <v>0</v>
      </c>
      <c r="X201" s="3">
        <f t="shared" si="132"/>
        <v>0</v>
      </c>
      <c r="Y201" s="3">
        <f t="shared" si="133"/>
        <v>0</v>
      </c>
      <c r="Z201">
        <f t="shared" si="134"/>
        <v>0</v>
      </c>
      <c r="AA201" s="3">
        <f t="shared" si="135"/>
        <v>0</v>
      </c>
      <c r="AB201" s="3">
        <f t="shared" si="136"/>
        <v>0</v>
      </c>
      <c r="AC201">
        <f t="shared" si="137"/>
        <v>0</v>
      </c>
      <c r="AD201" s="3">
        <f t="shared" si="138"/>
        <v>0</v>
      </c>
      <c r="AE201" s="3">
        <f t="shared" si="139"/>
        <v>0</v>
      </c>
      <c r="AF201">
        <f t="shared" si="140"/>
        <v>0</v>
      </c>
      <c r="AG201" s="3">
        <f t="shared" si="141"/>
        <v>0</v>
      </c>
      <c r="AH201" s="3">
        <f t="shared" si="142"/>
        <v>0</v>
      </c>
      <c r="AI201">
        <f t="shared" si="143"/>
        <v>0</v>
      </c>
      <c r="AJ201" s="3">
        <f t="shared" si="144"/>
        <v>0</v>
      </c>
      <c r="AK201" s="3">
        <f t="shared" si="145"/>
        <v>0</v>
      </c>
      <c r="AL201">
        <f t="shared" si="146"/>
        <v>0</v>
      </c>
      <c r="AM201" s="3">
        <f t="shared" si="147"/>
        <v>0</v>
      </c>
      <c r="AN201" s="3">
        <f t="shared" si="148"/>
        <v>0</v>
      </c>
      <c r="AO201">
        <f t="shared" si="149"/>
        <v>0</v>
      </c>
      <c r="AP201" s="3">
        <f t="shared" si="150"/>
        <v>0</v>
      </c>
      <c r="AQ201" s="3">
        <f t="shared" si="151"/>
        <v>0</v>
      </c>
      <c r="AR201">
        <f t="shared" si="152"/>
        <v>0</v>
      </c>
    </row>
    <row r="202" spans="4:44" x14ac:dyDescent="0.25">
      <c r="D202" s="1">
        <v>42452</v>
      </c>
      <c r="E202" s="2">
        <v>104.38344499999999</v>
      </c>
      <c r="F202" s="3">
        <v>199.964054</v>
      </c>
      <c r="G202" s="2">
        <f t="shared" si="117"/>
        <v>-0.58029500000000667</v>
      </c>
      <c r="H202" s="2">
        <f t="shared" si="118"/>
        <v>-1.3284270000000049</v>
      </c>
      <c r="I202" s="4">
        <f t="shared" si="115"/>
        <v>-0.64267426963549967</v>
      </c>
      <c r="J202" s="4">
        <f t="shared" si="116"/>
        <v>-1.4296479389806882</v>
      </c>
      <c r="K202" s="4">
        <f t="shared" si="119"/>
        <v>2.3695391029319919</v>
      </c>
      <c r="L202" s="4">
        <f t="shared" si="120"/>
        <v>1.5393307321469263</v>
      </c>
      <c r="M202" s="4">
        <f t="shared" si="121"/>
        <v>1</v>
      </c>
      <c r="N202" s="4">
        <f t="shared" si="122"/>
        <v>0.50642759957628825</v>
      </c>
      <c r="O202" s="3">
        <f t="shared" si="123"/>
        <v>-0.58029500000000667</v>
      </c>
      <c r="P202" s="3">
        <f t="shared" si="124"/>
        <v>-1.3284270000000049</v>
      </c>
      <c r="Q202">
        <f t="shared" si="125"/>
        <v>1</v>
      </c>
      <c r="R202" s="3">
        <f t="shared" si="126"/>
        <v>-0.58029500000000667</v>
      </c>
      <c r="S202" s="3">
        <f t="shared" si="127"/>
        <v>-1.3284270000000049</v>
      </c>
      <c r="T202">
        <f t="shared" si="128"/>
        <v>1</v>
      </c>
      <c r="U202" s="3">
        <f t="shared" si="129"/>
        <v>-0.58029500000000667</v>
      </c>
      <c r="V202" s="3">
        <f t="shared" si="130"/>
        <v>-1.3284270000000049</v>
      </c>
      <c r="W202">
        <f t="shared" si="131"/>
        <v>1</v>
      </c>
      <c r="X202" s="3">
        <f t="shared" si="132"/>
        <v>0</v>
      </c>
      <c r="Y202" s="3">
        <f t="shared" si="133"/>
        <v>0</v>
      </c>
      <c r="Z202">
        <f t="shared" si="134"/>
        <v>0</v>
      </c>
      <c r="AA202" s="3">
        <f t="shared" si="135"/>
        <v>0</v>
      </c>
      <c r="AB202" s="3">
        <f t="shared" si="136"/>
        <v>0</v>
      </c>
      <c r="AC202">
        <f t="shared" si="137"/>
        <v>0</v>
      </c>
      <c r="AD202" s="3">
        <f t="shared" si="138"/>
        <v>0</v>
      </c>
      <c r="AE202" s="3">
        <f t="shared" si="139"/>
        <v>0</v>
      </c>
      <c r="AF202">
        <f t="shared" si="140"/>
        <v>0</v>
      </c>
      <c r="AG202" s="3">
        <f t="shared" si="141"/>
        <v>0</v>
      </c>
      <c r="AH202" s="3">
        <f t="shared" si="142"/>
        <v>0</v>
      </c>
      <c r="AI202">
        <f t="shared" si="143"/>
        <v>0</v>
      </c>
      <c r="AJ202" s="3">
        <f t="shared" si="144"/>
        <v>0</v>
      </c>
      <c r="AK202" s="3">
        <f t="shared" si="145"/>
        <v>0</v>
      </c>
      <c r="AL202">
        <f t="shared" si="146"/>
        <v>0</v>
      </c>
      <c r="AM202" s="3">
        <f t="shared" si="147"/>
        <v>0</v>
      </c>
      <c r="AN202" s="3">
        <f t="shared" si="148"/>
        <v>0</v>
      </c>
      <c r="AO202">
        <f t="shared" si="149"/>
        <v>0</v>
      </c>
      <c r="AP202" s="3">
        <f t="shared" si="150"/>
        <v>0</v>
      </c>
      <c r="AQ202" s="3">
        <f t="shared" si="151"/>
        <v>0</v>
      </c>
      <c r="AR202">
        <f t="shared" si="152"/>
        <v>0</v>
      </c>
    </row>
    <row r="203" spans="4:44" x14ac:dyDescent="0.25">
      <c r="D203" s="1">
        <v>42451</v>
      </c>
      <c r="E203" s="2">
        <v>104.96374</v>
      </c>
      <c r="F203" s="3">
        <v>201.29248100000001</v>
      </c>
      <c r="G203" s="2">
        <f t="shared" si="117"/>
        <v>0.79666799999999682</v>
      </c>
      <c r="H203" s="2">
        <f t="shared" si="118"/>
        <v>-0.10824399999998491</v>
      </c>
      <c r="I203" s="4">
        <f t="shared" si="115"/>
        <v>0.73428873036450382</v>
      </c>
      <c r="J203" s="4">
        <f t="shared" si="116"/>
        <v>-0.20946493898066812</v>
      </c>
      <c r="K203" s="4">
        <f t="shared" si="119"/>
        <v>1.6295160645884104</v>
      </c>
      <c r="L203" s="4">
        <f t="shared" si="120"/>
        <v>1.2765249956770961</v>
      </c>
      <c r="M203" s="4">
        <f t="shared" si="121"/>
        <v>1</v>
      </c>
      <c r="N203" s="4">
        <f t="shared" si="122"/>
        <v>1</v>
      </c>
      <c r="O203" s="3">
        <f t="shared" si="123"/>
        <v>0.79666799999999682</v>
      </c>
      <c r="P203" s="3">
        <f t="shared" si="124"/>
        <v>-0.10824399999998491</v>
      </c>
      <c r="Q203">
        <f t="shared" si="125"/>
        <v>1</v>
      </c>
      <c r="R203" s="3">
        <f t="shared" si="126"/>
        <v>0.79666799999999682</v>
      </c>
      <c r="S203" s="3">
        <f t="shared" si="127"/>
        <v>-0.10824399999998491</v>
      </c>
      <c r="T203">
        <f t="shared" si="128"/>
        <v>1</v>
      </c>
      <c r="U203" s="3">
        <f t="shared" si="129"/>
        <v>0</v>
      </c>
      <c r="V203" s="3">
        <f t="shared" si="130"/>
        <v>0</v>
      </c>
      <c r="W203">
        <f t="shared" si="131"/>
        <v>0</v>
      </c>
      <c r="X203" s="3">
        <f t="shared" si="132"/>
        <v>0</v>
      </c>
      <c r="Y203" s="3">
        <f t="shared" si="133"/>
        <v>0</v>
      </c>
      <c r="Z203">
        <f t="shared" si="134"/>
        <v>0</v>
      </c>
      <c r="AA203" s="3">
        <f t="shared" si="135"/>
        <v>0</v>
      </c>
      <c r="AB203" s="3">
        <f t="shared" si="136"/>
        <v>0</v>
      </c>
      <c r="AC203">
        <f t="shared" si="137"/>
        <v>0</v>
      </c>
      <c r="AD203" s="3">
        <f t="shared" si="138"/>
        <v>0</v>
      </c>
      <c r="AE203" s="3">
        <f t="shared" si="139"/>
        <v>0</v>
      </c>
      <c r="AF203">
        <f t="shared" si="140"/>
        <v>0</v>
      </c>
      <c r="AG203" s="3">
        <f t="shared" si="141"/>
        <v>0</v>
      </c>
      <c r="AH203" s="3">
        <f t="shared" si="142"/>
        <v>0</v>
      </c>
      <c r="AI203">
        <f t="shared" si="143"/>
        <v>0</v>
      </c>
      <c r="AJ203" s="3">
        <f t="shared" si="144"/>
        <v>0</v>
      </c>
      <c r="AK203" s="3">
        <f t="shared" si="145"/>
        <v>0</v>
      </c>
      <c r="AL203">
        <f t="shared" si="146"/>
        <v>0</v>
      </c>
      <c r="AM203" s="3">
        <f t="shared" si="147"/>
        <v>0</v>
      </c>
      <c r="AN203" s="3">
        <f t="shared" si="148"/>
        <v>0</v>
      </c>
      <c r="AO203">
        <f t="shared" si="149"/>
        <v>0</v>
      </c>
      <c r="AP203" s="3">
        <f t="shared" si="150"/>
        <v>0</v>
      </c>
      <c r="AQ203" s="3">
        <f t="shared" si="151"/>
        <v>0</v>
      </c>
      <c r="AR203">
        <f t="shared" si="152"/>
        <v>0</v>
      </c>
    </row>
    <row r="204" spans="4:44" x14ac:dyDescent="0.25">
      <c r="D204" s="1">
        <v>42450</v>
      </c>
      <c r="E204" s="2">
        <v>104.167072</v>
      </c>
      <c r="F204" s="3">
        <v>201.40072499999999</v>
      </c>
      <c r="G204" s="2">
        <f t="shared" si="117"/>
        <v>-9.8299999999937882E-3</v>
      </c>
      <c r="H204" s="2">
        <f t="shared" si="118"/>
        <v>0.28536099999999465</v>
      </c>
      <c r="I204" s="4">
        <f t="shared" si="115"/>
        <v>-7.2209269635486795E-2</v>
      </c>
      <c r="J204" s="4">
        <f t="shared" si="116"/>
        <v>0.18414006101931144</v>
      </c>
      <c r="K204" s="4">
        <f t="shared" si="119"/>
        <v>0.1098980669159341</v>
      </c>
      <c r="L204" s="4">
        <f t="shared" si="120"/>
        <v>0.33150877351275954</v>
      </c>
      <c r="M204" s="4">
        <f t="shared" si="121"/>
        <v>1</v>
      </c>
      <c r="N204" s="4">
        <f t="shared" si="122"/>
        <v>1</v>
      </c>
      <c r="O204" s="3">
        <f t="shared" si="123"/>
        <v>-9.8299999999937882E-3</v>
      </c>
      <c r="P204" s="3">
        <f t="shared" si="124"/>
        <v>0.28536099999999465</v>
      </c>
      <c r="Q204">
        <f t="shared" si="125"/>
        <v>1</v>
      </c>
      <c r="R204" s="3">
        <f t="shared" si="126"/>
        <v>0</v>
      </c>
      <c r="S204" s="3">
        <f t="shared" si="127"/>
        <v>0</v>
      </c>
      <c r="T204">
        <f t="shared" si="128"/>
        <v>0</v>
      </c>
      <c r="U204" s="3">
        <f t="shared" si="129"/>
        <v>0</v>
      </c>
      <c r="V204" s="3">
        <f t="shared" si="130"/>
        <v>0</v>
      </c>
      <c r="W204">
        <f t="shared" si="131"/>
        <v>0</v>
      </c>
      <c r="X204" s="3">
        <f t="shared" si="132"/>
        <v>0</v>
      </c>
      <c r="Y204" s="3">
        <f t="shared" si="133"/>
        <v>0</v>
      </c>
      <c r="Z204">
        <f t="shared" si="134"/>
        <v>0</v>
      </c>
      <c r="AA204" s="3">
        <f t="shared" si="135"/>
        <v>0</v>
      </c>
      <c r="AB204" s="3">
        <f t="shared" si="136"/>
        <v>0</v>
      </c>
      <c r="AC204">
        <f t="shared" si="137"/>
        <v>0</v>
      </c>
      <c r="AD204" s="3">
        <f t="shared" si="138"/>
        <v>0</v>
      </c>
      <c r="AE204" s="3">
        <f t="shared" si="139"/>
        <v>0</v>
      </c>
      <c r="AF204">
        <f t="shared" si="140"/>
        <v>0</v>
      </c>
      <c r="AG204" s="3">
        <f t="shared" si="141"/>
        <v>0</v>
      </c>
      <c r="AH204" s="3">
        <f t="shared" si="142"/>
        <v>0</v>
      </c>
      <c r="AI204">
        <f t="shared" si="143"/>
        <v>0</v>
      </c>
      <c r="AJ204" s="3">
        <f t="shared" si="144"/>
        <v>0</v>
      </c>
      <c r="AK204" s="3">
        <f t="shared" si="145"/>
        <v>0</v>
      </c>
      <c r="AL204">
        <f t="shared" si="146"/>
        <v>0</v>
      </c>
      <c r="AM204" s="3">
        <f t="shared" si="147"/>
        <v>0</v>
      </c>
      <c r="AN204" s="3">
        <f t="shared" si="148"/>
        <v>0</v>
      </c>
      <c r="AO204">
        <f t="shared" si="149"/>
        <v>0</v>
      </c>
      <c r="AP204" s="3">
        <f t="shared" si="150"/>
        <v>0</v>
      </c>
      <c r="AQ204" s="3">
        <f t="shared" si="151"/>
        <v>0</v>
      </c>
      <c r="AR204">
        <f t="shared" si="152"/>
        <v>0</v>
      </c>
    </row>
    <row r="205" spans="4:44" x14ac:dyDescent="0.25">
      <c r="D205" s="1">
        <v>42447</v>
      </c>
      <c r="E205" s="2">
        <v>104.176902</v>
      </c>
      <c r="F205" s="3">
        <v>201.115364</v>
      </c>
      <c r="G205" s="2">
        <f t="shared" si="117"/>
        <v>0.11802000000000135</v>
      </c>
      <c r="H205" s="2">
        <f t="shared" si="118"/>
        <v>0.78722999999999388</v>
      </c>
      <c r="I205" s="4">
        <f t="shared" si="115"/>
        <v>5.5640730364508333E-2</v>
      </c>
      <c r="J205" s="4">
        <f t="shared" si="116"/>
        <v>0.6860090610193107</v>
      </c>
      <c r="K205" s="4">
        <f t="shared" si="119"/>
        <v>0.79986045469718392</v>
      </c>
      <c r="L205" s="4">
        <f t="shared" si="120"/>
        <v>0.89434917940208558</v>
      </c>
      <c r="M205" s="4">
        <f t="shared" si="121"/>
        <v>1</v>
      </c>
      <c r="N205" s="4">
        <f t="shared" si="122"/>
        <v>1</v>
      </c>
      <c r="O205" s="3">
        <f t="shared" si="123"/>
        <v>0.11802000000000135</v>
      </c>
      <c r="P205" s="3">
        <f t="shared" si="124"/>
        <v>0.78722999999999388</v>
      </c>
      <c r="Q205">
        <f t="shared" si="125"/>
        <v>1</v>
      </c>
      <c r="R205" s="3">
        <f t="shared" si="126"/>
        <v>0</v>
      </c>
      <c r="S205" s="3">
        <f t="shared" si="127"/>
        <v>0</v>
      </c>
      <c r="T205">
        <f t="shared" si="128"/>
        <v>0</v>
      </c>
      <c r="U205" s="3">
        <f t="shared" si="129"/>
        <v>0</v>
      </c>
      <c r="V205" s="3">
        <f t="shared" si="130"/>
        <v>0</v>
      </c>
      <c r="W205">
        <f t="shared" si="131"/>
        <v>0</v>
      </c>
      <c r="X205" s="3">
        <f t="shared" si="132"/>
        <v>0</v>
      </c>
      <c r="Y205" s="3">
        <f t="shared" si="133"/>
        <v>0</v>
      </c>
      <c r="Z205">
        <f t="shared" si="134"/>
        <v>0</v>
      </c>
      <c r="AA205" s="3">
        <f t="shared" si="135"/>
        <v>0</v>
      </c>
      <c r="AB205" s="3">
        <f t="shared" si="136"/>
        <v>0</v>
      </c>
      <c r="AC205">
        <f t="shared" si="137"/>
        <v>0</v>
      </c>
      <c r="AD205" s="3">
        <f t="shared" si="138"/>
        <v>0</v>
      </c>
      <c r="AE205" s="3">
        <f t="shared" si="139"/>
        <v>0</v>
      </c>
      <c r="AF205">
        <f t="shared" si="140"/>
        <v>0</v>
      </c>
      <c r="AG205" s="3">
        <f t="shared" si="141"/>
        <v>0</v>
      </c>
      <c r="AH205" s="3">
        <f t="shared" si="142"/>
        <v>0</v>
      </c>
      <c r="AI205">
        <f t="shared" si="143"/>
        <v>0</v>
      </c>
      <c r="AJ205" s="3">
        <f t="shared" si="144"/>
        <v>0</v>
      </c>
      <c r="AK205" s="3">
        <f t="shared" si="145"/>
        <v>0</v>
      </c>
      <c r="AL205">
        <f t="shared" si="146"/>
        <v>0</v>
      </c>
      <c r="AM205" s="3">
        <f t="shared" si="147"/>
        <v>0</v>
      </c>
      <c r="AN205" s="3">
        <f t="shared" si="148"/>
        <v>0</v>
      </c>
      <c r="AO205">
        <f t="shared" si="149"/>
        <v>0</v>
      </c>
      <c r="AP205" s="3">
        <f t="shared" si="150"/>
        <v>0</v>
      </c>
      <c r="AQ205" s="3">
        <f t="shared" si="151"/>
        <v>0</v>
      </c>
      <c r="AR205">
        <f t="shared" si="152"/>
        <v>0</v>
      </c>
    </row>
    <row r="206" spans="4:44" x14ac:dyDescent="0.25">
      <c r="D206" s="1">
        <v>42446</v>
      </c>
      <c r="E206" s="2">
        <v>104.058882</v>
      </c>
      <c r="F206" s="3">
        <v>200.32813400000001</v>
      </c>
      <c r="G206" s="2">
        <f t="shared" si="117"/>
        <v>-0.16720000000000823</v>
      </c>
      <c r="H206" s="2">
        <f t="shared" si="118"/>
        <v>1.2628890000000013</v>
      </c>
      <c r="I206" s="4">
        <f t="shared" si="115"/>
        <v>-0.22957926963550124</v>
      </c>
      <c r="J206" s="4">
        <f t="shared" si="116"/>
        <v>1.161668061019318</v>
      </c>
      <c r="K206" s="4">
        <f t="shared" si="119"/>
        <v>3.3631341509646475</v>
      </c>
      <c r="L206" s="4">
        <f t="shared" si="120"/>
        <v>1.8338849884779165</v>
      </c>
      <c r="M206" s="4">
        <f t="shared" si="121"/>
        <v>1</v>
      </c>
      <c r="N206" s="4">
        <f t="shared" si="122"/>
        <v>0.35681003080290569</v>
      </c>
      <c r="O206" s="3">
        <f t="shared" si="123"/>
        <v>-0.16720000000000823</v>
      </c>
      <c r="P206" s="3">
        <f t="shared" si="124"/>
        <v>1.2628890000000013</v>
      </c>
      <c r="Q206">
        <f t="shared" si="125"/>
        <v>1</v>
      </c>
      <c r="R206" s="3">
        <f t="shared" si="126"/>
        <v>-0.16720000000000823</v>
      </c>
      <c r="S206" s="3">
        <f t="shared" si="127"/>
        <v>1.2628890000000013</v>
      </c>
      <c r="T206">
        <f t="shared" si="128"/>
        <v>1</v>
      </c>
      <c r="U206" s="3">
        <f t="shared" si="129"/>
        <v>-0.16720000000000823</v>
      </c>
      <c r="V206" s="3">
        <f t="shared" si="130"/>
        <v>1.2628890000000013</v>
      </c>
      <c r="W206">
        <f t="shared" si="131"/>
        <v>1</v>
      </c>
      <c r="X206" s="3">
        <f t="shared" si="132"/>
        <v>-0.16720000000000823</v>
      </c>
      <c r="Y206" s="3">
        <f t="shared" si="133"/>
        <v>1.2628890000000013</v>
      </c>
      <c r="Z206">
        <f t="shared" si="134"/>
        <v>1</v>
      </c>
      <c r="AA206" s="3">
        <f t="shared" si="135"/>
        <v>0</v>
      </c>
      <c r="AB206" s="3">
        <f t="shared" si="136"/>
        <v>0</v>
      </c>
      <c r="AC206">
        <f t="shared" si="137"/>
        <v>0</v>
      </c>
      <c r="AD206" s="3">
        <f t="shared" si="138"/>
        <v>0</v>
      </c>
      <c r="AE206" s="3">
        <f t="shared" si="139"/>
        <v>0</v>
      </c>
      <c r="AF206">
        <f t="shared" si="140"/>
        <v>0</v>
      </c>
      <c r="AG206" s="3">
        <f t="shared" si="141"/>
        <v>0</v>
      </c>
      <c r="AH206" s="3">
        <f t="shared" si="142"/>
        <v>0</v>
      </c>
      <c r="AI206">
        <f t="shared" si="143"/>
        <v>0</v>
      </c>
      <c r="AJ206" s="3">
        <f t="shared" si="144"/>
        <v>0</v>
      </c>
      <c r="AK206" s="3">
        <f t="shared" si="145"/>
        <v>0</v>
      </c>
      <c r="AL206">
        <f t="shared" si="146"/>
        <v>0</v>
      </c>
      <c r="AM206" s="3">
        <f t="shared" si="147"/>
        <v>0</v>
      </c>
      <c r="AN206" s="3">
        <f t="shared" si="148"/>
        <v>0</v>
      </c>
      <c r="AO206">
        <f t="shared" si="149"/>
        <v>0</v>
      </c>
      <c r="AP206" s="3">
        <f t="shared" si="150"/>
        <v>0</v>
      </c>
      <c r="AQ206" s="3">
        <f t="shared" si="151"/>
        <v>0</v>
      </c>
      <c r="AR206">
        <f t="shared" si="152"/>
        <v>0</v>
      </c>
    </row>
    <row r="207" spans="4:44" x14ac:dyDescent="0.25">
      <c r="D207" s="1">
        <v>42445</v>
      </c>
      <c r="E207" s="2">
        <v>104.22608200000001</v>
      </c>
      <c r="F207" s="3">
        <v>199.065245</v>
      </c>
      <c r="G207" s="2">
        <f t="shared" si="117"/>
        <v>1.367124000000004</v>
      </c>
      <c r="H207" s="2">
        <f t="shared" si="118"/>
        <v>1.1454009999999926</v>
      </c>
      <c r="I207" s="4">
        <f t="shared" si="115"/>
        <v>1.304744730364511</v>
      </c>
      <c r="J207" s="4">
        <f t="shared" si="116"/>
        <v>1.0441800610193093</v>
      </c>
      <c r="K207" s="4">
        <f t="shared" si="119"/>
        <v>2.1531562135670752</v>
      </c>
      <c r="L207" s="4">
        <f t="shared" si="120"/>
        <v>1.4673636950555493</v>
      </c>
      <c r="M207" s="4">
        <f t="shared" si="121"/>
        <v>1</v>
      </c>
      <c r="N207" s="4">
        <f t="shared" si="122"/>
        <v>0.55732138357578465</v>
      </c>
      <c r="O207" s="3">
        <f t="shared" si="123"/>
        <v>1.367124000000004</v>
      </c>
      <c r="P207" s="3">
        <f t="shared" si="124"/>
        <v>1.1454009999999926</v>
      </c>
      <c r="Q207">
        <f t="shared" si="125"/>
        <v>1</v>
      </c>
      <c r="R207" s="3">
        <f t="shared" si="126"/>
        <v>1.367124000000004</v>
      </c>
      <c r="S207" s="3">
        <f t="shared" si="127"/>
        <v>1.1454009999999926</v>
      </c>
      <c r="T207">
        <f t="shared" si="128"/>
        <v>1</v>
      </c>
      <c r="U207" s="3">
        <f t="shared" si="129"/>
        <v>1.367124000000004</v>
      </c>
      <c r="V207" s="3">
        <f t="shared" si="130"/>
        <v>1.1454009999999926</v>
      </c>
      <c r="W207">
        <f t="shared" si="131"/>
        <v>1</v>
      </c>
      <c r="X207" s="3">
        <f t="shared" si="132"/>
        <v>0</v>
      </c>
      <c r="Y207" s="3">
        <f t="shared" si="133"/>
        <v>0</v>
      </c>
      <c r="Z207">
        <f t="shared" si="134"/>
        <v>0</v>
      </c>
      <c r="AA207" s="3">
        <f t="shared" si="135"/>
        <v>0</v>
      </c>
      <c r="AB207" s="3">
        <f t="shared" si="136"/>
        <v>0</v>
      </c>
      <c r="AC207">
        <f t="shared" si="137"/>
        <v>0</v>
      </c>
      <c r="AD207" s="3">
        <f t="shared" si="138"/>
        <v>0</v>
      </c>
      <c r="AE207" s="3">
        <f t="shared" si="139"/>
        <v>0</v>
      </c>
      <c r="AF207">
        <f t="shared" si="140"/>
        <v>0</v>
      </c>
      <c r="AG207" s="3">
        <f t="shared" si="141"/>
        <v>0</v>
      </c>
      <c r="AH207" s="3">
        <f t="shared" si="142"/>
        <v>0</v>
      </c>
      <c r="AI207">
        <f t="shared" si="143"/>
        <v>0</v>
      </c>
      <c r="AJ207" s="3">
        <f t="shared" si="144"/>
        <v>0</v>
      </c>
      <c r="AK207" s="3">
        <f t="shared" si="145"/>
        <v>0</v>
      </c>
      <c r="AL207">
        <f t="shared" si="146"/>
        <v>0</v>
      </c>
      <c r="AM207" s="3">
        <f t="shared" si="147"/>
        <v>0</v>
      </c>
      <c r="AN207" s="3">
        <f t="shared" si="148"/>
        <v>0</v>
      </c>
      <c r="AO207">
        <f t="shared" si="149"/>
        <v>0</v>
      </c>
      <c r="AP207" s="3">
        <f t="shared" si="150"/>
        <v>0</v>
      </c>
      <c r="AQ207" s="3">
        <f t="shared" si="151"/>
        <v>0</v>
      </c>
      <c r="AR207">
        <f t="shared" si="152"/>
        <v>0</v>
      </c>
    </row>
    <row r="208" spans="4:44" x14ac:dyDescent="0.25">
      <c r="D208" s="1">
        <v>42444</v>
      </c>
      <c r="E208" s="2">
        <v>102.858958</v>
      </c>
      <c r="F208" s="3">
        <v>197.91984400000001</v>
      </c>
      <c r="G208" s="2">
        <f t="shared" si="117"/>
        <v>2.0261050000000012</v>
      </c>
      <c r="H208" s="2">
        <f t="shared" si="118"/>
        <v>-0.32306399999998803</v>
      </c>
      <c r="I208" s="4">
        <f t="shared" si="115"/>
        <v>1.9637257303645081</v>
      </c>
      <c r="J208" s="4">
        <f t="shared" si="116"/>
        <v>-0.42428493898067121</v>
      </c>
      <c r="K208" s="4">
        <f t="shared" si="119"/>
        <v>10.70802786784169</v>
      </c>
      <c r="L208" s="4">
        <f t="shared" si="120"/>
        <v>3.2723123120878439</v>
      </c>
      <c r="M208" s="4">
        <f t="shared" si="121"/>
        <v>0.61118860587115953</v>
      </c>
      <c r="N208" s="4">
        <f t="shared" si="122"/>
        <v>0.11206545358401948</v>
      </c>
      <c r="O208" s="3">
        <f t="shared" si="123"/>
        <v>2.0261050000000012</v>
      </c>
      <c r="P208" s="3">
        <f t="shared" si="124"/>
        <v>-0.32306399999998803</v>
      </c>
      <c r="Q208">
        <f t="shared" si="125"/>
        <v>1</v>
      </c>
      <c r="R208" s="3">
        <f t="shared" si="126"/>
        <v>2.0261050000000012</v>
      </c>
      <c r="S208" s="3">
        <f t="shared" si="127"/>
        <v>-0.32306399999998803</v>
      </c>
      <c r="T208">
        <f t="shared" si="128"/>
        <v>1</v>
      </c>
      <c r="U208" s="3">
        <f t="shared" si="129"/>
        <v>2.0261050000000012</v>
      </c>
      <c r="V208" s="3">
        <f t="shared" si="130"/>
        <v>-0.32306399999998803</v>
      </c>
      <c r="W208">
        <f t="shared" si="131"/>
        <v>1</v>
      </c>
      <c r="X208" s="3">
        <f t="shared" si="132"/>
        <v>2.0261050000000012</v>
      </c>
      <c r="Y208" s="3">
        <f t="shared" si="133"/>
        <v>-0.32306399999998803</v>
      </c>
      <c r="Z208">
        <f t="shared" si="134"/>
        <v>1</v>
      </c>
      <c r="AA208" s="3">
        <f t="shared" si="135"/>
        <v>2.0261050000000012</v>
      </c>
      <c r="AB208" s="3">
        <f t="shared" si="136"/>
        <v>-0.32306399999998803</v>
      </c>
      <c r="AC208">
        <f t="shared" si="137"/>
        <v>1</v>
      </c>
      <c r="AD208" s="3">
        <f t="shared" si="138"/>
        <v>2.0261050000000012</v>
      </c>
      <c r="AE208" s="3">
        <f t="shared" si="139"/>
        <v>-0.32306399999998803</v>
      </c>
      <c r="AF208">
        <f t="shared" si="140"/>
        <v>1</v>
      </c>
      <c r="AG208" s="3">
        <f t="shared" si="141"/>
        <v>2.0261050000000012</v>
      </c>
      <c r="AH208" s="3">
        <f t="shared" si="142"/>
        <v>-0.32306399999998803</v>
      </c>
      <c r="AI208">
        <f t="shared" si="143"/>
        <v>1</v>
      </c>
      <c r="AJ208" s="3">
        <f t="shared" si="144"/>
        <v>2.0261050000000012</v>
      </c>
      <c r="AK208" s="3">
        <f t="shared" si="145"/>
        <v>-0.32306399999998803</v>
      </c>
      <c r="AL208">
        <f t="shared" si="146"/>
        <v>1</v>
      </c>
      <c r="AM208" s="3">
        <f t="shared" si="147"/>
        <v>2.0261050000000012</v>
      </c>
      <c r="AN208" s="3">
        <f t="shared" si="148"/>
        <v>-0.32306399999998803</v>
      </c>
      <c r="AO208">
        <f t="shared" si="149"/>
        <v>1</v>
      </c>
      <c r="AP208" s="3">
        <f t="shared" si="150"/>
        <v>2.0261050000000012</v>
      </c>
      <c r="AQ208" s="3">
        <f t="shared" si="151"/>
        <v>-0.32306399999998803</v>
      </c>
      <c r="AR208">
        <f t="shared" si="152"/>
        <v>1</v>
      </c>
    </row>
    <row r="209" spans="4:44" x14ac:dyDescent="0.25">
      <c r="D209" s="1">
        <v>42443</v>
      </c>
      <c r="E209" s="2">
        <v>100.832853</v>
      </c>
      <c r="F209" s="3">
        <v>198.242908</v>
      </c>
      <c r="G209" s="2">
        <f t="shared" si="117"/>
        <v>0.25571499999999503</v>
      </c>
      <c r="H209" s="2">
        <f t="shared" si="118"/>
        <v>-0.2545289999999909</v>
      </c>
      <c r="I209" s="4">
        <f t="shared" si="115"/>
        <v>0.19333573036450202</v>
      </c>
      <c r="J209" s="4">
        <f t="shared" si="116"/>
        <v>-0.35574993898067409</v>
      </c>
      <c r="K209" s="4">
        <f t="shared" si="119"/>
        <v>0.49801132438842854</v>
      </c>
      <c r="L209" s="4">
        <f t="shared" si="120"/>
        <v>0.70569917414464112</v>
      </c>
      <c r="M209" s="4">
        <f t="shared" si="121"/>
        <v>1</v>
      </c>
      <c r="N209" s="4">
        <f t="shared" si="122"/>
        <v>1</v>
      </c>
      <c r="O209" s="3">
        <f t="shared" si="123"/>
        <v>0.25571499999999503</v>
      </c>
      <c r="P209" s="3">
        <f t="shared" si="124"/>
        <v>-0.2545289999999909</v>
      </c>
      <c r="Q209">
        <f t="shared" si="125"/>
        <v>1</v>
      </c>
      <c r="R209" s="3">
        <f t="shared" si="126"/>
        <v>0</v>
      </c>
      <c r="S209" s="3">
        <f t="shared" si="127"/>
        <v>0</v>
      </c>
      <c r="T209">
        <f t="shared" si="128"/>
        <v>0</v>
      </c>
      <c r="U209" s="3">
        <f t="shared" si="129"/>
        <v>0</v>
      </c>
      <c r="V209" s="3">
        <f t="shared" si="130"/>
        <v>0</v>
      </c>
      <c r="W209">
        <f t="shared" si="131"/>
        <v>0</v>
      </c>
      <c r="X209" s="3">
        <f t="shared" si="132"/>
        <v>0</v>
      </c>
      <c r="Y209" s="3">
        <f t="shared" si="133"/>
        <v>0</v>
      </c>
      <c r="Z209">
        <f t="shared" si="134"/>
        <v>0</v>
      </c>
      <c r="AA209" s="3">
        <f t="shared" si="135"/>
        <v>0</v>
      </c>
      <c r="AB209" s="3">
        <f t="shared" si="136"/>
        <v>0</v>
      </c>
      <c r="AC209">
        <f t="shared" si="137"/>
        <v>0</v>
      </c>
      <c r="AD209" s="3">
        <f t="shared" si="138"/>
        <v>0</v>
      </c>
      <c r="AE209" s="3">
        <f t="shared" si="139"/>
        <v>0</v>
      </c>
      <c r="AF209">
        <f t="shared" si="140"/>
        <v>0</v>
      </c>
      <c r="AG209" s="3">
        <f t="shared" si="141"/>
        <v>0</v>
      </c>
      <c r="AH209" s="3">
        <f t="shared" si="142"/>
        <v>0</v>
      </c>
      <c r="AI209">
        <f t="shared" si="143"/>
        <v>0</v>
      </c>
      <c r="AJ209" s="3">
        <f t="shared" si="144"/>
        <v>0</v>
      </c>
      <c r="AK209" s="3">
        <f t="shared" si="145"/>
        <v>0</v>
      </c>
      <c r="AL209">
        <f t="shared" si="146"/>
        <v>0</v>
      </c>
      <c r="AM209" s="3">
        <f t="shared" si="147"/>
        <v>0</v>
      </c>
      <c r="AN209" s="3">
        <f t="shared" si="148"/>
        <v>0</v>
      </c>
      <c r="AO209">
        <f t="shared" si="149"/>
        <v>0</v>
      </c>
      <c r="AP209" s="3">
        <f t="shared" si="150"/>
        <v>0</v>
      </c>
      <c r="AQ209" s="3">
        <f t="shared" si="151"/>
        <v>0</v>
      </c>
      <c r="AR209">
        <f t="shared" si="152"/>
        <v>0</v>
      </c>
    </row>
    <row r="210" spans="4:44" x14ac:dyDescent="0.25">
      <c r="D210" s="1">
        <v>42440</v>
      </c>
      <c r="E210" s="2">
        <v>100.57713800000001</v>
      </c>
      <c r="F210" s="3">
        <v>198.49743699999999</v>
      </c>
      <c r="G210" s="2">
        <f t="shared" si="117"/>
        <v>1.0720660000000066</v>
      </c>
      <c r="H210" s="2">
        <f t="shared" si="118"/>
        <v>3.1523090000000025</v>
      </c>
      <c r="I210" s="4">
        <f t="shared" si="115"/>
        <v>1.0096867303645136</v>
      </c>
      <c r="J210" s="4">
        <f t="shared" si="116"/>
        <v>3.0510880610193194</v>
      </c>
      <c r="K210" s="4">
        <f t="shared" si="119"/>
        <v>11.82471494039874</v>
      </c>
      <c r="L210" s="4">
        <f t="shared" si="120"/>
        <v>3.438708324414669</v>
      </c>
      <c r="M210" s="4">
        <f t="shared" si="121"/>
        <v>0.58161373728620513</v>
      </c>
      <c r="N210" s="4">
        <f t="shared" si="122"/>
        <v>0.10148236182000805</v>
      </c>
      <c r="O210" s="3">
        <f t="shared" si="123"/>
        <v>1.0720660000000066</v>
      </c>
      <c r="P210" s="3">
        <f t="shared" si="124"/>
        <v>3.1523090000000025</v>
      </c>
      <c r="Q210">
        <f t="shared" si="125"/>
        <v>1</v>
      </c>
      <c r="R210" s="3">
        <f t="shared" si="126"/>
        <v>1.0720660000000066</v>
      </c>
      <c r="S210" s="3">
        <f t="shared" si="127"/>
        <v>3.1523090000000025</v>
      </c>
      <c r="T210">
        <f t="shared" si="128"/>
        <v>1</v>
      </c>
      <c r="U210" s="3">
        <f t="shared" si="129"/>
        <v>1.0720660000000066</v>
      </c>
      <c r="V210" s="3">
        <f t="shared" si="130"/>
        <v>3.1523090000000025</v>
      </c>
      <c r="W210">
        <f t="shared" si="131"/>
        <v>1</v>
      </c>
      <c r="X210" s="3">
        <f t="shared" si="132"/>
        <v>1.0720660000000066</v>
      </c>
      <c r="Y210" s="3">
        <f t="shared" si="133"/>
        <v>3.1523090000000025</v>
      </c>
      <c r="Z210">
        <f t="shared" si="134"/>
        <v>1</v>
      </c>
      <c r="AA210" s="3">
        <f t="shared" si="135"/>
        <v>1.0720660000000066</v>
      </c>
      <c r="AB210" s="3">
        <f t="shared" si="136"/>
        <v>3.1523090000000025</v>
      </c>
      <c r="AC210">
        <f t="shared" si="137"/>
        <v>1</v>
      </c>
      <c r="AD210" s="3">
        <f t="shared" si="138"/>
        <v>1.0720660000000066</v>
      </c>
      <c r="AE210" s="3">
        <f t="shared" si="139"/>
        <v>3.1523090000000025</v>
      </c>
      <c r="AF210">
        <f t="shared" si="140"/>
        <v>1</v>
      </c>
      <c r="AG210" s="3">
        <f t="shared" si="141"/>
        <v>1.0720660000000066</v>
      </c>
      <c r="AH210" s="3">
        <f t="shared" si="142"/>
        <v>3.1523090000000025</v>
      </c>
      <c r="AI210">
        <f t="shared" si="143"/>
        <v>1</v>
      </c>
      <c r="AJ210" s="3">
        <f t="shared" si="144"/>
        <v>1.0720660000000066</v>
      </c>
      <c r="AK210" s="3">
        <f t="shared" si="145"/>
        <v>3.1523090000000025</v>
      </c>
      <c r="AL210">
        <f t="shared" si="146"/>
        <v>1</v>
      </c>
      <c r="AM210" s="3">
        <f t="shared" si="147"/>
        <v>1.0720660000000066</v>
      </c>
      <c r="AN210" s="3">
        <f t="shared" si="148"/>
        <v>3.1523090000000025</v>
      </c>
      <c r="AO210">
        <f t="shared" si="149"/>
        <v>1</v>
      </c>
      <c r="AP210" s="3">
        <f t="shared" si="150"/>
        <v>1.0720660000000066</v>
      </c>
      <c r="AQ210" s="3">
        <f t="shared" si="151"/>
        <v>3.1523090000000025</v>
      </c>
      <c r="AR210">
        <f t="shared" si="152"/>
        <v>1</v>
      </c>
    </row>
    <row r="211" spans="4:44" x14ac:dyDescent="0.25">
      <c r="D211" s="1">
        <v>42439</v>
      </c>
      <c r="E211" s="2">
        <v>99.505071999999998</v>
      </c>
      <c r="F211" s="3">
        <v>195.34512799999999</v>
      </c>
      <c r="G211" s="2">
        <f t="shared" si="117"/>
        <v>4.9172999999996136E-2</v>
      </c>
      <c r="H211" s="2">
        <f t="shared" si="118"/>
        <v>0.15662499999999113</v>
      </c>
      <c r="I211" s="4">
        <f t="shared" si="115"/>
        <v>-1.3206269635496877E-2</v>
      </c>
      <c r="J211" s="4">
        <f t="shared" si="116"/>
        <v>5.5404061019307921E-2</v>
      </c>
      <c r="K211" s="4">
        <f t="shared" si="119"/>
        <v>8.090545408222299E-3</v>
      </c>
      <c r="L211" s="4">
        <f t="shared" si="120"/>
        <v>8.9947459153787657E-2</v>
      </c>
      <c r="M211" s="4">
        <f t="shared" si="121"/>
        <v>1</v>
      </c>
      <c r="N211" s="4">
        <f t="shared" si="122"/>
        <v>1</v>
      </c>
      <c r="O211" s="3">
        <f t="shared" si="123"/>
        <v>4.9172999999996136E-2</v>
      </c>
      <c r="P211" s="3">
        <f t="shared" si="124"/>
        <v>0.15662499999999113</v>
      </c>
      <c r="Q211">
        <f t="shared" si="125"/>
        <v>1</v>
      </c>
      <c r="R211" s="3">
        <f t="shared" si="126"/>
        <v>0</v>
      </c>
      <c r="S211" s="3">
        <f t="shared" si="127"/>
        <v>0</v>
      </c>
      <c r="T211">
        <f t="shared" si="128"/>
        <v>0</v>
      </c>
      <c r="U211" s="3">
        <f t="shared" si="129"/>
        <v>0</v>
      </c>
      <c r="V211" s="3">
        <f t="shared" si="130"/>
        <v>0</v>
      </c>
      <c r="W211">
        <f t="shared" si="131"/>
        <v>0</v>
      </c>
      <c r="X211" s="3">
        <f t="shared" si="132"/>
        <v>0</v>
      </c>
      <c r="Y211" s="3">
        <f t="shared" si="133"/>
        <v>0</v>
      </c>
      <c r="Z211">
        <f t="shared" si="134"/>
        <v>0</v>
      </c>
      <c r="AA211" s="3">
        <f t="shared" si="135"/>
        <v>0</v>
      </c>
      <c r="AB211" s="3">
        <f t="shared" si="136"/>
        <v>0</v>
      </c>
      <c r="AC211">
        <f t="shared" si="137"/>
        <v>0</v>
      </c>
      <c r="AD211" s="3">
        <f t="shared" si="138"/>
        <v>0</v>
      </c>
      <c r="AE211" s="3">
        <f t="shared" si="139"/>
        <v>0</v>
      </c>
      <c r="AF211">
        <f t="shared" si="140"/>
        <v>0</v>
      </c>
      <c r="AG211" s="3">
        <f t="shared" si="141"/>
        <v>0</v>
      </c>
      <c r="AH211" s="3">
        <f t="shared" si="142"/>
        <v>0</v>
      </c>
      <c r="AI211">
        <f t="shared" si="143"/>
        <v>0</v>
      </c>
      <c r="AJ211" s="3">
        <f t="shared" si="144"/>
        <v>0</v>
      </c>
      <c r="AK211" s="3">
        <f t="shared" si="145"/>
        <v>0</v>
      </c>
      <c r="AL211">
        <f t="shared" si="146"/>
        <v>0</v>
      </c>
      <c r="AM211" s="3">
        <f t="shared" si="147"/>
        <v>0</v>
      </c>
      <c r="AN211" s="3">
        <f t="shared" si="148"/>
        <v>0</v>
      </c>
      <c r="AO211">
        <f t="shared" si="149"/>
        <v>0</v>
      </c>
      <c r="AP211" s="3">
        <f t="shared" si="150"/>
        <v>0</v>
      </c>
      <c r="AQ211" s="3">
        <f t="shared" si="151"/>
        <v>0</v>
      </c>
      <c r="AR211">
        <f t="shared" si="152"/>
        <v>0</v>
      </c>
    </row>
    <row r="212" spans="4:44" x14ac:dyDescent="0.25">
      <c r="D212" s="1">
        <v>42438</v>
      </c>
      <c r="E212" s="2">
        <v>99.455899000000002</v>
      </c>
      <c r="F212" s="3">
        <v>195.188503</v>
      </c>
      <c r="G212" s="2">
        <f t="shared" si="117"/>
        <v>8.8523000000009233E-2</v>
      </c>
      <c r="H212" s="2">
        <f t="shared" si="118"/>
        <v>0.95940799999999626</v>
      </c>
      <c r="I212" s="4">
        <f t="shared" si="115"/>
        <v>2.614373036451622E-2</v>
      </c>
      <c r="J212" s="4">
        <f t="shared" si="116"/>
        <v>0.85818706101931308</v>
      </c>
      <c r="K212" s="4">
        <f t="shared" si="119"/>
        <v>1.3397061631462976</v>
      </c>
      <c r="L212" s="4">
        <f t="shared" si="120"/>
        <v>1.1574567651304724</v>
      </c>
      <c r="M212" s="4">
        <f t="shared" si="121"/>
        <v>1</v>
      </c>
      <c r="N212" s="4">
        <f t="shared" si="122"/>
        <v>1</v>
      </c>
      <c r="O212" s="3">
        <f t="shared" si="123"/>
        <v>8.8523000000009233E-2</v>
      </c>
      <c r="P212" s="3">
        <f t="shared" si="124"/>
        <v>0.95940799999999626</v>
      </c>
      <c r="Q212">
        <f t="shared" si="125"/>
        <v>1</v>
      </c>
      <c r="R212" s="3">
        <f t="shared" si="126"/>
        <v>8.8523000000009233E-2</v>
      </c>
      <c r="S212" s="3">
        <f t="shared" si="127"/>
        <v>0.95940799999999626</v>
      </c>
      <c r="T212">
        <f t="shared" si="128"/>
        <v>1</v>
      </c>
      <c r="U212" s="3">
        <f t="shared" si="129"/>
        <v>0</v>
      </c>
      <c r="V212" s="3">
        <f t="shared" si="130"/>
        <v>0</v>
      </c>
      <c r="W212">
        <f t="shared" si="131"/>
        <v>0</v>
      </c>
      <c r="X212" s="3">
        <f t="shared" si="132"/>
        <v>0</v>
      </c>
      <c r="Y212" s="3">
        <f t="shared" si="133"/>
        <v>0</v>
      </c>
      <c r="Z212">
        <f t="shared" si="134"/>
        <v>0</v>
      </c>
      <c r="AA212" s="3">
        <f t="shared" si="135"/>
        <v>0</v>
      </c>
      <c r="AB212" s="3">
        <f t="shared" si="136"/>
        <v>0</v>
      </c>
      <c r="AC212">
        <f t="shared" si="137"/>
        <v>0</v>
      </c>
      <c r="AD212" s="3">
        <f t="shared" si="138"/>
        <v>0</v>
      </c>
      <c r="AE212" s="3">
        <f t="shared" si="139"/>
        <v>0</v>
      </c>
      <c r="AF212">
        <f t="shared" si="140"/>
        <v>0</v>
      </c>
      <c r="AG212" s="3">
        <f t="shared" si="141"/>
        <v>0</v>
      </c>
      <c r="AH212" s="3">
        <f t="shared" si="142"/>
        <v>0</v>
      </c>
      <c r="AI212">
        <f t="shared" si="143"/>
        <v>0</v>
      </c>
      <c r="AJ212" s="3">
        <f t="shared" si="144"/>
        <v>0</v>
      </c>
      <c r="AK212" s="3">
        <f t="shared" si="145"/>
        <v>0</v>
      </c>
      <c r="AL212">
        <f t="shared" si="146"/>
        <v>0</v>
      </c>
      <c r="AM212" s="3">
        <f t="shared" si="147"/>
        <v>0</v>
      </c>
      <c r="AN212" s="3">
        <f t="shared" si="148"/>
        <v>0</v>
      </c>
      <c r="AO212">
        <f t="shared" si="149"/>
        <v>0</v>
      </c>
      <c r="AP212" s="3">
        <f t="shared" si="150"/>
        <v>0</v>
      </c>
      <c r="AQ212" s="3">
        <f t="shared" si="151"/>
        <v>0</v>
      </c>
      <c r="AR212">
        <f t="shared" si="152"/>
        <v>0</v>
      </c>
    </row>
    <row r="213" spans="4:44" x14ac:dyDescent="0.25">
      <c r="D213" s="1">
        <v>42437</v>
      </c>
      <c r="E213" s="2">
        <v>99.367375999999993</v>
      </c>
      <c r="F213" s="3">
        <v>194.229095</v>
      </c>
      <c r="G213" s="2">
        <f t="shared" si="117"/>
        <v>-0.82618000000000791</v>
      </c>
      <c r="H213" s="2">
        <f t="shared" si="118"/>
        <v>-2.1439629999999852</v>
      </c>
      <c r="I213" s="4">
        <f t="shared" si="115"/>
        <v>-0.88855926963550091</v>
      </c>
      <c r="J213" s="4">
        <f t="shared" si="116"/>
        <v>-2.2451839389806683</v>
      </c>
      <c r="K213" s="4">
        <f t="shared" si="119"/>
        <v>6.0600425067544696</v>
      </c>
      <c r="L213" s="4">
        <f t="shared" si="120"/>
        <v>2.4617153585974294</v>
      </c>
      <c r="M213" s="4">
        <f t="shared" si="121"/>
        <v>0.81244161434630957</v>
      </c>
      <c r="N213" s="4">
        <f t="shared" si="122"/>
        <v>0.19801841301649131</v>
      </c>
      <c r="O213" s="3">
        <f t="shared" si="123"/>
        <v>-0.82618000000000791</v>
      </c>
      <c r="P213" s="3">
        <f t="shared" si="124"/>
        <v>-2.1439629999999852</v>
      </c>
      <c r="Q213">
        <f t="shared" si="125"/>
        <v>1</v>
      </c>
      <c r="R213" s="3">
        <f t="shared" si="126"/>
        <v>-0.82618000000000791</v>
      </c>
      <c r="S213" s="3">
        <f t="shared" si="127"/>
        <v>-2.1439629999999852</v>
      </c>
      <c r="T213">
        <f t="shared" si="128"/>
        <v>1</v>
      </c>
      <c r="U213" s="3">
        <f t="shared" si="129"/>
        <v>-0.82618000000000791</v>
      </c>
      <c r="V213" s="3">
        <f t="shared" si="130"/>
        <v>-2.1439629999999852</v>
      </c>
      <c r="W213">
        <f t="shared" si="131"/>
        <v>1</v>
      </c>
      <c r="X213" s="3">
        <f t="shared" si="132"/>
        <v>-0.82618000000000791</v>
      </c>
      <c r="Y213" s="3">
        <f t="shared" si="133"/>
        <v>-2.1439629999999852</v>
      </c>
      <c r="Z213">
        <f t="shared" si="134"/>
        <v>1</v>
      </c>
      <c r="AA213" s="3">
        <f t="shared" si="135"/>
        <v>-0.82618000000000791</v>
      </c>
      <c r="AB213" s="3">
        <f t="shared" si="136"/>
        <v>-2.1439629999999852</v>
      </c>
      <c r="AC213">
        <f t="shared" si="137"/>
        <v>1</v>
      </c>
      <c r="AD213" s="3">
        <f t="shared" si="138"/>
        <v>-0.82618000000000791</v>
      </c>
      <c r="AE213" s="3">
        <f t="shared" si="139"/>
        <v>-2.1439629999999852</v>
      </c>
      <c r="AF213">
        <f t="shared" si="140"/>
        <v>1</v>
      </c>
      <c r="AG213" s="3">
        <f t="shared" si="141"/>
        <v>-0.82618000000000791</v>
      </c>
      <c r="AH213" s="3">
        <f t="shared" si="142"/>
        <v>-2.1439629999999852</v>
      </c>
      <c r="AI213">
        <f t="shared" si="143"/>
        <v>1</v>
      </c>
      <c r="AJ213" s="3">
        <f t="shared" si="144"/>
        <v>0</v>
      </c>
      <c r="AK213" s="3">
        <f t="shared" si="145"/>
        <v>0</v>
      </c>
      <c r="AL213">
        <f t="shared" si="146"/>
        <v>0</v>
      </c>
      <c r="AM213" s="3">
        <f t="shared" si="147"/>
        <v>0</v>
      </c>
      <c r="AN213" s="3">
        <f t="shared" si="148"/>
        <v>0</v>
      </c>
      <c r="AO213">
        <f t="shared" si="149"/>
        <v>0</v>
      </c>
      <c r="AP213" s="3">
        <f t="shared" si="150"/>
        <v>0</v>
      </c>
      <c r="AQ213" s="3">
        <f t="shared" si="151"/>
        <v>0</v>
      </c>
      <c r="AR213">
        <f t="shared" si="152"/>
        <v>0</v>
      </c>
    </row>
    <row r="214" spans="4:44" x14ac:dyDescent="0.25">
      <c r="D214" s="1">
        <v>42436</v>
      </c>
      <c r="E214" s="2">
        <v>100.193556</v>
      </c>
      <c r="F214" s="3">
        <v>196.37305799999999</v>
      </c>
      <c r="G214" s="2">
        <f t="shared" si="117"/>
        <v>-1.1212390000000028</v>
      </c>
      <c r="H214" s="2">
        <f t="shared" si="118"/>
        <v>0.15663999999998168</v>
      </c>
      <c r="I214" s="4">
        <f t="shared" si="115"/>
        <v>-1.1836182696354958</v>
      </c>
      <c r="J214" s="4">
        <f t="shared" si="116"/>
        <v>5.5419061019298471E-2</v>
      </c>
      <c r="K214" s="4">
        <f t="shared" si="119"/>
        <v>3.1566312628100524</v>
      </c>
      <c r="L214" s="4">
        <f t="shared" si="120"/>
        <v>1.7766910994345788</v>
      </c>
      <c r="M214" s="4">
        <f t="shared" si="121"/>
        <v>1</v>
      </c>
      <c r="N214" s="4">
        <f t="shared" si="122"/>
        <v>0.38015209889664231</v>
      </c>
      <c r="O214" s="3">
        <f t="shared" si="123"/>
        <v>-1.1212390000000028</v>
      </c>
      <c r="P214" s="3">
        <f t="shared" si="124"/>
        <v>0.15663999999998168</v>
      </c>
      <c r="Q214">
        <f t="shared" si="125"/>
        <v>1</v>
      </c>
      <c r="R214" s="3">
        <f t="shared" si="126"/>
        <v>-1.1212390000000028</v>
      </c>
      <c r="S214" s="3">
        <f t="shared" si="127"/>
        <v>0.15663999999998168</v>
      </c>
      <c r="T214">
        <f t="shared" si="128"/>
        <v>1</v>
      </c>
      <c r="U214" s="3">
        <f t="shared" si="129"/>
        <v>-1.1212390000000028</v>
      </c>
      <c r="V214" s="3">
        <f t="shared" si="130"/>
        <v>0.15663999999998168</v>
      </c>
      <c r="W214">
        <f t="shared" si="131"/>
        <v>1</v>
      </c>
      <c r="X214" s="3">
        <f t="shared" si="132"/>
        <v>-1.1212390000000028</v>
      </c>
      <c r="Y214" s="3">
        <f t="shared" si="133"/>
        <v>0.15663999999998168</v>
      </c>
      <c r="Z214">
        <f t="shared" si="134"/>
        <v>1</v>
      </c>
      <c r="AA214" s="3">
        <f t="shared" si="135"/>
        <v>0</v>
      </c>
      <c r="AB214" s="3">
        <f t="shared" si="136"/>
        <v>0</v>
      </c>
      <c r="AC214">
        <f t="shared" si="137"/>
        <v>0</v>
      </c>
      <c r="AD214" s="3">
        <f t="shared" si="138"/>
        <v>0</v>
      </c>
      <c r="AE214" s="3">
        <f t="shared" si="139"/>
        <v>0</v>
      </c>
      <c r="AF214">
        <f t="shared" si="140"/>
        <v>0</v>
      </c>
      <c r="AG214" s="3">
        <f t="shared" si="141"/>
        <v>0</v>
      </c>
      <c r="AH214" s="3">
        <f t="shared" si="142"/>
        <v>0</v>
      </c>
      <c r="AI214">
        <f t="shared" si="143"/>
        <v>0</v>
      </c>
      <c r="AJ214" s="3">
        <f t="shared" si="144"/>
        <v>0</v>
      </c>
      <c r="AK214" s="3">
        <f t="shared" si="145"/>
        <v>0</v>
      </c>
      <c r="AL214">
        <f t="shared" si="146"/>
        <v>0</v>
      </c>
      <c r="AM214" s="3">
        <f t="shared" si="147"/>
        <v>0</v>
      </c>
      <c r="AN214" s="3">
        <f t="shared" si="148"/>
        <v>0</v>
      </c>
      <c r="AO214">
        <f t="shared" si="149"/>
        <v>0</v>
      </c>
      <c r="AP214" s="3">
        <f t="shared" si="150"/>
        <v>0</v>
      </c>
      <c r="AQ214" s="3">
        <f t="shared" si="151"/>
        <v>0</v>
      </c>
      <c r="AR214">
        <f t="shared" si="152"/>
        <v>0</v>
      </c>
    </row>
    <row r="215" spans="4:44" x14ac:dyDescent="0.25">
      <c r="D215" s="1">
        <v>42433</v>
      </c>
      <c r="E215" s="2">
        <v>101.314795</v>
      </c>
      <c r="F215" s="3">
        <v>196.216418</v>
      </c>
      <c r="G215" s="2">
        <f t="shared" si="117"/>
        <v>1.4851519999999994</v>
      </c>
      <c r="H215" s="2">
        <f t="shared" si="118"/>
        <v>0.63633000000001516</v>
      </c>
      <c r="I215" s="4">
        <f t="shared" si="115"/>
        <v>1.4227727303645064</v>
      </c>
      <c r="J215" s="4">
        <f t="shared" si="116"/>
        <v>0.53510906101933198</v>
      </c>
      <c r="K215" s="4">
        <f t="shared" si="119"/>
        <v>2.873618139762903</v>
      </c>
      <c r="L215" s="4">
        <f t="shared" si="120"/>
        <v>1.6951749584520481</v>
      </c>
      <c r="M215" s="4">
        <f t="shared" si="121"/>
        <v>1</v>
      </c>
      <c r="N215" s="4">
        <f t="shared" si="122"/>
        <v>0.41759201871512747</v>
      </c>
      <c r="O215" s="3">
        <f t="shared" si="123"/>
        <v>1.4851519999999994</v>
      </c>
      <c r="P215" s="3">
        <f t="shared" si="124"/>
        <v>0.63633000000001516</v>
      </c>
      <c r="Q215">
        <f t="shared" si="125"/>
        <v>1</v>
      </c>
      <c r="R215" s="3">
        <f t="shared" si="126"/>
        <v>1.4851519999999994</v>
      </c>
      <c r="S215" s="3">
        <f t="shared" si="127"/>
        <v>0.63633000000001516</v>
      </c>
      <c r="T215">
        <f t="shared" si="128"/>
        <v>1</v>
      </c>
      <c r="U215" s="3">
        <f t="shared" si="129"/>
        <v>1.4851519999999994</v>
      </c>
      <c r="V215" s="3">
        <f t="shared" si="130"/>
        <v>0.63633000000001516</v>
      </c>
      <c r="W215">
        <f t="shared" si="131"/>
        <v>1</v>
      </c>
      <c r="X215" s="3">
        <f t="shared" si="132"/>
        <v>0</v>
      </c>
      <c r="Y215" s="3">
        <f t="shared" si="133"/>
        <v>0</v>
      </c>
      <c r="Z215">
        <f t="shared" si="134"/>
        <v>0</v>
      </c>
      <c r="AA215" s="3">
        <f t="shared" si="135"/>
        <v>0</v>
      </c>
      <c r="AB215" s="3">
        <f t="shared" si="136"/>
        <v>0</v>
      </c>
      <c r="AC215">
        <f t="shared" si="137"/>
        <v>0</v>
      </c>
      <c r="AD215" s="3">
        <f t="shared" si="138"/>
        <v>0</v>
      </c>
      <c r="AE215" s="3">
        <f t="shared" si="139"/>
        <v>0</v>
      </c>
      <c r="AF215">
        <f t="shared" si="140"/>
        <v>0</v>
      </c>
      <c r="AG215" s="3">
        <f t="shared" si="141"/>
        <v>0</v>
      </c>
      <c r="AH215" s="3">
        <f t="shared" si="142"/>
        <v>0</v>
      </c>
      <c r="AI215">
        <f t="shared" si="143"/>
        <v>0</v>
      </c>
      <c r="AJ215" s="3">
        <f t="shared" si="144"/>
        <v>0</v>
      </c>
      <c r="AK215" s="3">
        <f t="shared" si="145"/>
        <v>0</v>
      </c>
      <c r="AL215">
        <f t="shared" si="146"/>
        <v>0</v>
      </c>
      <c r="AM215" s="3">
        <f t="shared" si="147"/>
        <v>0</v>
      </c>
      <c r="AN215" s="3">
        <f t="shared" si="148"/>
        <v>0</v>
      </c>
      <c r="AO215">
        <f t="shared" si="149"/>
        <v>0</v>
      </c>
      <c r="AP215" s="3">
        <f t="shared" si="150"/>
        <v>0</v>
      </c>
      <c r="AQ215" s="3">
        <f t="shared" si="151"/>
        <v>0</v>
      </c>
      <c r="AR215">
        <f t="shared" si="152"/>
        <v>0</v>
      </c>
    </row>
    <row r="216" spans="4:44" x14ac:dyDescent="0.25">
      <c r="D216" s="1">
        <v>42432</v>
      </c>
      <c r="E216" s="2">
        <v>99.829643000000004</v>
      </c>
      <c r="F216" s="3">
        <v>195.58008799999999</v>
      </c>
      <c r="G216" s="2">
        <f t="shared" si="117"/>
        <v>0.73765800000001036</v>
      </c>
      <c r="H216" s="2">
        <f t="shared" si="118"/>
        <v>0.7636009999999942</v>
      </c>
      <c r="I216" s="4">
        <f t="shared" si="115"/>
        <v>0.67527873036451735</v>
      </c>
      <c r="J216" s="4">
        <f t="shared" si="116"/>
        <v>0.66238006101931102</v>
      </c>
      <c r="K216" s="4">
        <f t="shared" si="119"/>
        <v>0.64115057755619076</v>
      </c>
      <c r="L216" s="4">
        <f t="shared" si="120"/>
        <v>0.80071878806244501</v>
      </c>
      <c r="M216" s="4">
        <f t="shared" si="121"/>
        <v>1</v>
      </c>
      <c r="N216" s="4">
        <f t="shared" si="122"/>
        <v>1</v>
      </c>
      <c r="O216" s="3">
        <f t="shared" si="123"/>
        <v>0.73765800000001036</v>
      </c>
      <c r="P216" s="3">
        <f t="shared" si="124"/>
        <v>0.7636009999999942</v>
      </c>
      <c r="Q216">
        <f t="shared" si="125"/>
        <v>1</v>
      </c>
      <c r="R216" s="3">
        <f t="shared" si="126"/>
        <v>0</v>
      </c>
      <c r="S216" s="3">
        <f t="shared" si="127"/>
        <v>0</v>
      </c>
      <c r="T216">
        <f t="shared" si="128"/>
        <v>0</v>
      </c>
      <c r="U216" s="3">
        <f t="shared" si="129"/>
        <v>0</v>
      </c>
      <c r="V216" s="3">
        <f t="shared" si="130"/>
        <v>0</v>
      </c>
      <c r="W216">
        <f t="shared" si="131"/>
        <v>0</v>
      </c>
      <c r="X216" s="3">
        <f t="shared" si="132"/>
        <v>0</v>
      </c>
      <c r="Y216" s="3">
        <f t="shared" si="133"/>
        <v>0</v>
      </c>
      <c r="Z216">
        <f t="shared" si="134"/>
        <v>0</v>
      </c>
      <c r="AA216" s="3">
        <f t="shared" si="135"/>
        <v>0</v>
      </c>
      <c r="AB216" s="3">
        <f t="shared" si="136"/>
        <v>0</v>
      </c>
      <c r="AC216">
        <f t="shared" si="137"/>
        <v>0</v>
      </c>
      <c r="AD216" s="3">
        <f t="shared" si="138"/>
        <v>0</v>
      </c>
      <c r="AE216" s="3">
        <f t="shared" si="139"/>
        <v>0</v>
      </c>
      <c r="AF216">
        <f t="shared" si="140"/>
        <v>0</v>
      </c>
      <c r="AG216" s="3">
        <f t="shared" si="141"/>
        <v>0</v>
      </c>
      <c r="AH216" s="3">
        <f t="shared" si="142"/>
        <v>0</v>
      </c>
      <c r="AI216">
        <f t="shared" si="143"/>
        <v>0</v>
      </c>
      <c r="AJ216" s="3">
        <f t="shared" si="144"/>
        <v>0</v>
      </c>
      <c r="AK216" s="3">
        <f t="shared" si="145"/>
        <v>0</v>
      </c>
      <c r="AL216">
        <f t="shared" si="146"/>
        <v>0</v>
      </c>
      <c r="AM216" s="3">
        <f t="shared" si="147"/>
        <v>0</v>
      </c>
      <c r="AN216" s="3">
        <f t="shared" si="148"/>
        <v>0</v>
      </c>
      <c r="AO216">
        <f t="shared" si="149"/>
        <v>0</v>
      </c>
      <c r="AP216" s="3">
        <f t="shared" si="150"/>
        <v>0</v>
      </c>
      <c r="AQ216" s="3">
        <f t="shared" si="151"/>
        <v>0</v>
      </c>
      <c r="AR216">
        <f t="shared" si="152"/>
        <v>0</v>
      </c>
    </row>
    <row r="217" spans="4:44" x14ac:dyDescent="0.25">
      <c r="D217" s="1">
        <v>42431</v>
      </c>
      <c r="E217" s="2">
        <v>99.091984999999994</v>
      </c>
      <c r="F217" s="3">
        <v>194.816487</v>
      </c>
      <c r="G217" s="2">
        <f t="shared" si="117"/>
        <v>0.21638099999999838</v>
      </c>
      <c r="H217" s="2">
        <f t="shared" si="118"/>
        <v>0.87128899999999021</v>
      </c>
      <c r="I217" s="4">
        <f t="shared" si="115"/>
        <v>0.15400173036450537</v>
      </c>
      <c r="J217" s="4">
        <f t="shared" si="116"/>
        <v>0.77006806101930703</v>
      </c>
      <c r="K217" s="4">
        <f t="shared" si="119"/>
        <v>0.86708039988271868</v>
      </c>
      <c r="L217" s="4">
        <f t="shared" si="120"/>
        <v>0.93117152012006821</v>
      </c>
      <c r="M217" s="4">
        <f t="shared" si="121"/>
        <v>1</v>
      </c>
      <c r="N217" s="4">
        <f t="shared" si="122"/>
        <v>1</v>
      </c>
      <c r="O217" s="3">
        <f t="shared" si="123"/>
        <v>0.21638099999999838</v>
      </c>
      <c r="P217" s="3">
        <f t="shared" si="124"/>
        <v>0.87128899999999021</v>
      </c>
      <c r="Q217">
        <f t="shared" si="125"/>
        <v>1</v>
      </c>
      <c r="R217" s="3">
        <f t="shared" si="126"/>
        <v>0</v>
      </c>
      <c r="S217" s="3">
        <f t="shared" si="127"/>
        <v>0</v>
      </c>
      <c r="T217">
        <f t="shared" si="128"/>
        <v>0</v>
      </c>
      <c r="U217" s="3">
        <f t="shared" si="129"/>
        <v>0</v>
      </c>
      <c r="V217" s="3">
        <f t="shared" si="130"/>
        <v>0</v>
      </c>
      <c r="W217">
        <f t="shared" si="131"/>
        <v>0</v>
      </c>
      <c r="X217" s="3">
        <f t="shared" si="132"/>
        <v>0</v>
      </c>
      <c r="Y217" s="3">
        <f t="shared" si="133"/>
        <v>0</v>
      </c>
      <c r="Z217">
        <f t="shared" si="134"/>
        <v>0</v>
      </c>
      <c r="AA217" s="3">
        <f t="shared" si="135"/>
        <v>0</v>
      </c>
      <c r="AB217" s="3">
        <f t="shared" si="136"/>
        <v>0</v>
      </c>
      <c r="AC217">
        <f t="shared" si="137"/>
        <v>0</v>
      </c>
      <c r="AD217" s="3">
        <f t="shared" si="138"/>
        <v>0</v>
      </c>
      <c r="AE217" s="3">
        <f t="shared" si="139"/>
        <v>0</v>
      </c>
      <c r="AF217">
        <f t="shared" si="140"/>
        <v>0</v>
      </c>
      <c r="AG217" s="3">
        <f t="shared" si="141"/>
        <v>0</v>
      </c>
      <c r="AH217" s="3">
        <f t="shared" si="142"/>
        <v>0</v>
      </c>
      <c r="AI217">
        <f t="shared" si="143"/>
        <v>0</v>
      </c>
      <c r="AJ217" s="3">
        <f t="shared" si="144"/>
        <v>0</v>
      </c>
      <c r="AK217" s="3">
        <f t="shared" si="145"/>
        <v>0</v>
      </c>
      <c r="AL217">
        <f t="shared" si="146"/>
        <v>0</v>
      </c>
      <c r="AM217" s="3">
        <f t="shared" si="147"/>
        <v>0</v>
      </c>
      <c r="AN217" s="3">
        <f t="shared" si="148"/>
        <v>0</v>
      </c>
      <c r="AO217">
        <f t="shared" si="149"/>
        <v>0</v>
      </c>
      <c r="AP217" s="3">
        <f t="shared" si="150"/>
        <v>0</v>
      </c>
      <c r="AQ217" s="3">
        <f t="shared" si="151"/>
        <v>0</v>
      </c>
      <c r="AR217">
        <f t="shared" si="152"/>
        <v>0</v>
      </c>
    </row>
    <row r="218" spans="4:44" x14ac:dyDescent="0.25">
      <c r="D218" s="1">
        <v>42430</v>
      </c>
      <c r="E218" s="2">
        <v>98.875603999999996</v>
      </c>
      <c r="F218" s="3">
        <v>193.945198</v>
      </c>
      <c r="G218" s="2">
        <f t="shared" si="117"/>
        <v>3.7768019999999893</v>
      </c>
      <c r="H218" s="2">
        <f t="shared" si="118"/>
        <v>4.4543500000000051</v>
      </c>
      <c r="I218" s="4">
        <f t="shared" si="115"/>
        <v>3.7144227303644963</v>
      </c>
      <c r="J218" s="4">
        <f t="shared" si="116"/>
        <v>4.3531290610193221</v>
      </c>
      <c r="K218" s="4">
        <f t="shared" si="119"/>
        <v>23.317635928998307</v>
      </c>
      <c r="L218" s="4">
        <f t="shared" si="120"/>
        <v>4.8288338063137264</v>
      </c>
      <c r="M218" s="4">
        <f t="shared" si="121"/>
        <v>0.41417867754839466</v>
      </c>
      <c r="N218" s="4">
        <f t="shared" si="122"/>
        <v>5.1463193080721122E-2</v>
      </c>
      <c r="O218" s="3">
        <f t="shared" si="123"/>
        <v>3.7768019999999893</v>
      </c>
      <c r="P218" s="3">
        <f t="shared" si="124"/>
        <v>4.4543500000000051</v>
      </c>
      <c r="Q218">
        <f t="shared" si="125"/>
        <v>1</v>
      </c>
      <c r="R218" s="3">
        <f t="shared" si="126"/>
        <v>3.7768019999999893</v>
      </c>
      <c r="S218" s="3">
        <f t="shared" si="127"/>
        <v>4.4543500000000051</v>
      </c>
      <c r="T218">
        <f t="shared" si="128"/>
        <v>1</v>
      </c>
      <c r="U218" s="3">
        <f t="shared" si="129"/>
        <v>3.7768019999999893</v>
      </c>
      <c r="V218" s="3">
        <f t="shared" si="130"/>
        <v>4.4543500000000051</v>
      </c>
      <c r="W218">
        <f t="shared" si="131"/>
        <v>1</v>
      </c>
      <c r="X218" s="3">
        <f t="shared" si="132"/>
        <v>3.7768019999999893</v>
      </c>
      <c r="Y218" s="3">
        <f t="shared" si="133"/>
        <v>4.4543500000000051</v>
      </c>
      <c r="Z218">
        <f t="shared" si="134"/>
        <v>1</v>
      </c>
      <c r="AA218" s="3">
        <f t="shared" si="135"/>
        <v>3.7768019999999893</v>
      </c>
      <c r="AB218" s="3">
        <f t="shared" si="136"/>
        <v>4.4543500000000051</v>
      </c>
      <c r="AC218">
        <f t="shared" si="137"/>
        <v>1</v>
      </c>
      <c r="AD218" s="3">
        <f t="shared" si="138"/>
        <v>3.7768019999999893</v>
      </c>
      <c r="AE218" s="3">
        <f t="shared" si="139"/>
        <v>4.4543500000000051</v>
      </c>
      <c r="AF218">
        <f t="shared" si="140"/>
        <v>1</v>
      </c>
      <c r="AG218" s="3">
        <f t="shared" si="141"/>
        <v>3.7768019999999893</v>
      </c>
      <c r="AH218" s="3">
        <f t="shared" si="142"/>
        <v>4.4543500000000051</v>
      </c>
      <c r="AI218">
        <f t="shared" si="143"/>
        <v>1</v>
      </c>
      <c r="AJ218" s="3">
        <f t="shared" si="144"/>
        <v>3.7768019999999893</v>
      </c>
      <c r="AK218" s="3">
        <f t="shared" si="145"/>
        <v>4.4543500000000051</v>
      </c>
      <c r="AL218">
        <f t="shared" si="146"/>
        <v>1</v>
      </c>
      <c r="AM218" s="3">
        <f t="shared" si="147"/>
        <v>3.7768019999999893</v>
      </c>
      <c r="AN218" s="3">
        <f t="shared" si="148"/>
        <v>4.4543500000000051</v>
      </c>
      <c r="AO218">
        <f t="shared" si="149"/>
        <v>1</v>
      </c>
      <c r="AP218" s="3">
        <f t="shared" si="150"/>
        <v>3.7768019999999893</v>
      </c>
      <c r="AQ218" s="3">
        <f t="shared" si="151"/>
        <v>4.4543500000000051</v>
      </c>
      <c r="AR218">
        <f t="shared" si="152"/>
        <v>1</v>
      </c>
    </row>
    <row r="219" spans="4:44" x14ac:dyDescent="0.25">
      <c r="D219" s="1">
        <v>42429</v>
      </c>
      <c r="E219" s="2">
        <v>95.098802000000006</v>
      </c>
      <c r="F219" s="3">
        <v>189.490848</v>
      </c>
      <c r="G219" s="2">
        <f t="shared" si="117"/>
        <v>-0.21638099999999838</v>
      </c>
      <c r="H219" s="2">
        <f t="shared" si="118"/>
        <v>-1.4978340000000117</v>
      </c>
      <c r="I219" s="4">
        <f t="shared" si="115"/>
        <v>-0.27876026963549139</v>
      </c>
      <c r="J219" s="4">
        <f t="shared" si="116"/>
        <v>-1.599054938980695</v>
      </c>
      <c r="K219" s="4">
        <f t="shared" si="119"/>
        <v>3.856790007168688</v>
      </c>
      <c r="L219" s="4">
        <f t="shared" si="120"/>
        <v>1.9638711788629843</v>
      </c>
      <c r="M219" s="4">
        <f t="shared" si="121"/>
        <v>1</v>
      </c>
      <c r="N219" s="4">
        <f t="shared" si="122"/>
        <v>0.31113957404202391</v>
      </c>
      <c r="O219" s="3">
        <f t="shared" si="123"/>
        <v>-0.21638099999999838</v>
      </c>
      <c r="P219" s="3">
        <f t="shared" si="124"/>
        <v>-1.4978340000000117</v>
      </c>
      <c r="Q219">
        <f t="shared" si="125"/>
        <v>1</v>
      </c>
      <c r="R219" s="3">
        <f t="shared" si="126"/>
        <v>-0.21638099999999838</v>
      </c>
      <c r="S219" s="3">
        <f t="shared" si="127"/>
        <v>-1.4978340000000117</v>
      </c>
      <c r="T219">
        <f t="shared" si="128"/>
        <v>1</v>
      </c>
      <c r="U219" s="3">
        <f t="shared" si="129"/>
        <v>-0.21638099999999838</v>
      </c>
      <c r="V219" s="3">
        <f t="shared" si="130"/>
        <v>-1.4978340000000117</v>
      </c>
      <c r="W219">
        <f t="shared" si="131"/>
        <v>1</v>
      </c>
      <c r="X219" s="3">
        <f t="shared" si="132"/>
        <v>-0.21638099999999838</v>
      </c>
      <c r="Y219" s="3">
        <f t="shared" si="133"/>
        <v>-1.4978340000000117</v>
      </c>
      <c r="Z219">
        <f t="shared" si="134"/>
        <v>1</v>
      </c>
      <c r="AA219" s="3">
        <f t="shared" si="135"/>
        <v>0</v>
      </c>
      <c r="AB219" s="3">
        <f t="shared" si="136"/>
        <v>0</v>
      </c>
      <c r="AC219">
        <f t="shared" si="137"/>
        <v>0</v>
      </c>
      <c r="AD219" s="3">
        <f t="shared" si="138"/>
        <v>0</v>
      </c>
      <c r="AE219" s="3">
        <f t="shared" si="139"/>
        <v>0</v>
      </c>
      <c r="AF219">
        <f t="shared" si="140"/>
        <v>0</v>
      </c>
      <c r="AG219" s="3">
        <f t="shared" si="141"/>
        <v>0</v>
      </c>
      <c r="AH219" s="3">
        <f t="shared" si="142"/>
        <v>0</v>
      </c>
      <c r="AI219">
        <f t="shared" si="143"/>
        <v>0</v>
      </c>
      <c r="AJ219" s="3">
        <f t="shared" si="144"/>
        <v>0</v>
      </c>
      <c r="AK219" s="3">
        <f t="shared" si="145"/>
        <v>0</v>
      </c>
      <c r="AL219">
        <f t="shared" si="146"/>
        <v>0</v>
      </c>
      <c r="AM219" s="3">
        <f t="shared" si="147"/>
        <v>0</v>
      </c>
      <c r="AN219" s="3">
        <f t="shared" si="148"/>
        <v>0</v>
      </c>
      <c r="AO219">
        <f t="shared" si="149"/>
        <v>0</v>
      </c>
      <c r="AP219" s="3">
        <f t="shared" si="150"/>
        <v>0</v>
      </c>
      <c r="AQ219" s="3">
        <f t="shared" si="151"/>
        <v>0</v>
      </c>
      <c r="AR219">
        <f t="shared" si="152"/>
        <v>0</v>
      </c>
    </row>
    <row r="220" spans="4:44" x14ac:dyDescent="0.25">
      <c r="D220" s="1">
        <v>42426</v>
      </c>
      <c r="E220" s="2">
        <v>95.315183000000005</v>
      </c>
      <c r="F220" s="3">
        <v>190.98868200000001</v>
      </c>
      <c r="G220" s="2">
        <f t="shared" si="117"/>
        <v>0.14753300000000991</v>
      </c>
      <c r="H220" s="2">
        <f t="shared" si="118"/>
        <v>-0.44053699999997775</v>
      </c>
      <c r="I220" s="4">
        <f t="shared" si="115"/>
        <v>8.51537303645169E-2</v>
      </c>
      <c r="J220" s="4">
        <f t="shared" si="116"/>
        <v>-0.54175793898066094</v>
      </c>
      <c r="K220" s="4">
        <f t="shared" si="119"/>
        <v>0.69168583622430357</v>
      </c>
      <c r="L220" s="4">
        <f t="shared" si="120"/>
        <v>0.83167652138575099</v>
      </c>
      <c r="M220" s="4">
        <f t="shared" si="121"/>
        <v>1</v>
      </c>
      <c r="N220" s="4">
        <f t="shared" si="122"/>
        <v>1</v>
      </c>
      <c r="O220" s="3">
        <f t="shared" si="123"/>
        <v>0.14753300000000991</v>
      </c>
      <c r="P220" s="3">
        <f t="shared" si="124"/>
        <v>-0.44053699999997775</v>
      </c>
      <c r="Q220">
        <f t="shared" si="125"/>
        <v>1</v>
      </c>
      <c r="R220" s="3">
        <f t="shared" si="126"/>
        <v>0</v>
      </c>
      <c r="S220" s="3">
        <f t="shared" si="127"/>
        <v>0</v>
      </c>
      <c r="T220">
        <f t="shared" si="128"/>
        <v>0</v>
      </c>
      <c r="U220" s="3">
        <f t="shared" si="129"/>
        <v>0</v>
      </c>
      <c r="V220" s="3">
        <f t="shared" si="130"/>
        <v>0</v>
      </c>
      <c r="W220">
        <f t="shared" si="131"/>
        <v>0</v>
      </c>
      <c r="X220" s="3">
        <f t="shared" si="132"/>
        <v>0</v>
      </c>
      <c r="Y220" s="3">
        <f t="shared" si="133"/>
        <v>0</v>
      </c>
      <c r="Z220">
        <f t="shared" si="134"/>
        <v>0</v>
      </c>
      <c r="AA220" s="3">
        <f t="shared" si="135"/>
        <v>0</v>
      </c>
      <c r="AB220" s="3">
        <f t="shared" si="136"/>
        <v>0</v>
      </c>
      <c r="AC220">
        <f t="shared" si="137"/>
        <v>0</v>
      </c>
      <c r="AD220" s="3">
        <f t="shared" si="138"/>
        <v>0</v>
      </c>
      <c r="AE220" s="3">
        <f t="shared" si="139"/>
        <v>0</v>
      </c>
      <c r="AF220">
        <f t="shared" si="140"/>
        <v>0</v>
      </c>
      <c r="AG220" s="3">
        <f t="shared" si="141"/>
        <v>0</v>
      </c>
      <c r="AH220" s="3">
        <f t="shared" si="142"/>
        <v>0</v>
      </c>
      <c r="AI220">
        <f t="shared" si="143"/>
        <v>0</v>
      </c>
      <c r="AJ220" s="3">
        <f t="shared" si="144"/>
        <v>0</v>
      </c>
      <c r="AK220" s="3">
        <f t="shared" si="145"/>
        <v>0</v>
      </c>
      <c r="AL220">
        <f t="shared" si="146"/>
        <v>0</v>
      </c>
      <c r="AM220" s="3">
        <f t="shared" si="147"/>
        <v>0</v>
      </c>
      <c r="AN220" s="3">
        <f t="shared" si="148"/>
        <v>0</v>
      </c>
      <c r="AO220">
        <f t="shared" si="149"/>
        <v>0</v>
      </c>
      <c r="AP220" s="3">
        <f t="shared" si="150"/>
        <v>0</v>
      </c>
      <c r="AQ220" s="3">
        <f t="shared" si="151"/>
        <v>0</v>
      </c>
      <c r="AR220">
        <f t="shared" si="152"/>
        <v>0</v>
      </c>
    </row>
    <row r="221" spans="4:44" x14ac:dyDescent="0.25">
      <c r="D221" s="1">
        <v>42425</v>
      </c>
      <c r="E221" s="2">
        <v>95.167649999999995</v>
      </c>
      <c r="F221" s="3">
        <v>191.42921899999999</v>
      </c>
      <c r="G221" s="2">
        <f t="shared" si="117"/>
        <v>0.64914299999999514</v>
      </c>
      <c r="H221" s="2">
        <f t="shared" si="118"/>
        <v>2.2908029999999826</v>
      </c>
      <c r="I221" s="4">
        <f t="shared" si="115"/>
        <v>0.58676373036450213</v>
      </c>
      <c r="J221" s="4">
        <f t="shared" si="116"/>
        <v>2.1895820610192995</v>
      </c>
      <c r="K221" s="4">
        <f t="shared" si="119"/>
        <v>6.4885529293818909</v>
      </c>
      <c r="L221" s="4">
        <f t="shared" si="120"/>
        <v>2.5472638122860167</v>
      </c>
      <c r="M221" s="4">
        <f t="shared" si="121"/>
        <v>0.78515620971552202</v>
      </c>
      <c r="N221" s="4">
        <f t="shared" si="122"/>
        <v>0.18494108209645346</v>
      </c>
      <c r="O221" s="3">
        <f t="shared" si="123"/>
        <v>0.64914299999999514</v>
      </c>
      <c r="P221" s="3">
        <f t="shared" si="124"/>
        <v>2.2908029999999826</v>
      </c>
      <c r="Q221">
        <f t="shared" si="125"/>
        <v>1</v>
      </c>
      <c r="R221" s="3">
        <f t="shared" si="126"/>
        <v>0.64914299999999514</v>
      </c>
      <c r="S221" s="3">
        <f t="shared" si="127"/>
        <v>2.2908029999999826</v>
      </c>
      <c r="T221">
        <f t="shared" si="128"/>
        <v>1</v>
      </c>
      <c r="U221" s="3">
        <f t="shared" si="129"/>
        <v>0.64914299999999514</v>
      </c>
      <c r="V221" s="3">
        <f t="shared" si="130"/>
        <v>2.2908029999999826</v>
      </c>
      <c r="W221">
        <f t="shared" si="131"/>
        <v>1</v>
      </c>
      <c r="X221" s="3">
        <f t="shared" si="132"/>
        <v>0.64914299999999514</v>
      </c>
      <c r="Y221" s="3">
        <f t="shared" si="133"/>
        <v>2.2908029999999826</v>
      </c>
      <c r="Z221">
        <f t="shared" si="134"/>
        <v>1</v>
      </c>
      <c r="AA221" s="3">
        <f t="shared" si="135"/>
        <v>0.64914299999999514</v>
      </c>
      <c r="AB221" s="3">
        <f t="shared" si="136"/>
        <v>2.2908029999999826</v>
      </c>
      <c r="AC221">
        <f t="shared" si="137"/>
        <v>1</v>
      </c>
      <c r="AD221" s="3">
        <f t="shared" si="138"/>
        <v>0.64914299999999514</v>
      </c>
      <c r="AE221" s="3">
        <f t="shared" si="139"/>
        <v>2.2908029999999826</v>
      </c>
      <c r="AF221">
        <f t="shared" si="140"/>
        <v>1</v>
      </c>
      <c r="AG221" s="3">
        <f t="shared" si="141"/>
        <v>0.64914299999999514</v>
      </c>
      <c r="AH221" s="3">
        <f t="shared" si="142"/>
        <v>2.2908029999999826</v>
      </c>
      <c r="AI221">
        <f t="shared" si="143"/>
        <v>1</v>
      </c>
      <c r="AJ221" s="3">
        <f t="shared" si="144"/>
        <v>0</v>
      </c>
      <c r="AK221" s="3">
        <f t="shared" si="145"/>
        <v>0</v>
      </c>
      <c r="AL221">
        <f t="shared" si="146"/>
        <v>0</v>
      </c>
      <c r="AM221" s="3">
        <f t="shared" si="147"/>
        <v>0</v>
      </c>
      <c r="AN221" s="3">
        <f t="shared" si="148"/>
        <v>0</v>
      </c>
      <c r="AO221">
        <f t="shared" si="149"/>
        <v>0</v>
      </c>
      <c r="AP221" s="3">
        <f t="shared" si="150"/>
        <v>0</v>
      </c>
      <c r="AQ221" s="3">
        <f t="shared" si="151"/>
        <v>0</v>
      </c>
      <c r="AR221">
        <f t="shared" si="152"/>
        <v>0</v>
      </c>
    </row>
    <row r="222" spans="4:44" x14ac:dyDescent="0.25">
      <c r="D222" s="1">
        <v>42424</v>
      </c>
      <c r="E222" s="2">
        <v>94.518507</v>
      </c>
      <c r="F222" s="3">
        <v>189.13841600000001</v>
      </c>
      <c r="G222" s="2">
        <f t="shared" si="117"/>
        <v>1.3867919999999998</v>
      </c>
      <c r="H222" s="2">
        <f t="shared" si="118"/>
        <v>0.86149000000000342</v>
      </c>
      <c r="I222" s="4">
        <f t="shared" si="115"/>
        <v>1.3244127303645068</v>
      </c>
      <c r="J222" s="4">
        <f t="shared" si="116"/>
        <v>0.76026906101932024</v>
      </c>
      <c r="K222" s="4">
        <f t="shared" si="119"/>
        <v>2.2144036909606091</v>
      </c>
      <c r="L222" s="4">
        <f t="shared" si="120"/>
        <v>1.4880872591889929</v>
      </c>
      <c r="M222" s="4">
        <f t="shared" si="121"/>
        <v>1</v>
      </c>
      <c r="N222" s="4">
        <f t="shared" si="122"/>
        <v>0.54190661120124828</v>
      </c>
      <c r="O222" s="3">
        <f t="shared" si="123"/>
        <v>1.3867919999999998</v>
      </c>
      <c r="P222" s="3">
        <f t="shared" si="124"/>
        <v>0.86149000000000342</v>
      </c>
      <c r="Q222">
        <f t="shared" si="125"/>
        <v>1</v>
      </c>
      <c r="R222" s="3">
        <f t="shared" si="126"/>
        <v>1.3867919999999998</v>
      </c>
      <c r="S222" s="3">
        <f t="shared" si="127"/>
        <v>0.86149000000000342</v>
      </c>
      <c r="T222">
        <f t="shared" si="128"/>
        <v>1</v>
      </c>
      <c r="U222" s="3">
        <f t="shared" si="129"/>
        <v>1.3867919999999998</v>
      </c>
      <c r="V222" s="3">
        <f t="shared" si="130"/>
        <v>0.86149000000000342</v>
      </c>
      <c r="W222">
        <f t="shared" si="131"/>
        <v>1</v>
      </c>
      <c r="X222" s="3">
        <f t="shared" si="132"/>
        <v>0</v>
      </c>
      <c r="Y222" s="3">
        <f t="shared" si="133"/>
        <v>0</v>
      </c>
      <c r="Z222">
        <f t="shared" si="134"/>
        <v>0</v>
      </c>
      <c r="AA222" s="3">
        <f t="shared" si="135"/>
        <v>0</v>
      </c>
      <c r="AB222" s="3">
        <f t="shared" si="136"/>
        <v>0</v>
      </c>
      <c r="AC222">
        <f t="shared" si="137"/>
        <v>0</v>
      </c>
      <c r="AD222" s="3">
        <f t="shared" si="138"/>
        <v>0</v>
      </c>
      <c r="AE222" s="3">
        <f t="shared" si="139"/>
        <v>0</v>
      </c>
      <c r="AF222">
        <f t="shared" si="140"/>
        <v>0</v>
      </c>
      <c r="AG222" s="3">
        <f t="shared" si="141"/>
        <v>0</v>
      </c>
      <c r="AH222" s="3">
        <f t="shared" si="142"/>
        <v>0</v>
      </c>
      <c r="AI222">
        <f t="shared" si="143"/>
        <v>0</v>
      </c>
      <c r="AJ222" s="3">
        <f t="shared" si="144"/>
        <v>0</v>
      </c>
      <c r="AK222" s="3">
        <f t="shared" si="145"/>
        <v>0</v>
      </c>
      <c r="AL222">
        <f t="shared" si="146"/>
        <v>0</v>
      </c>
      <c r="AM222" s="3">
        <f t="shared" si="147"/>
        <v>0</v>
      </c>
      <c r="AN222" s="3">
        <f t="shared" si="148"/>
        <v>0</v>
      </c>
      <c r="AO222">
        <f t="shared" si="149"/>
        <v>0</v>
      </c>
      <c r="AP222" s="3">
        <f t="shared" si="150"/>
        <v>0</v>
      </c>
      <c r="AQ222" s="3">
        <f t="shared" si="151"/>
        <v>0</v>
      </c>
      <c r="AR222">
        <f t="shared" si="152"/>
        <v>0</v>
      </c>
    </row>
    <row r="223" spans="4:44" x14ac:dyDescent="0.25">
      <c r="D223" s="1">
        <v>42423</v>
      </c>
      <c r="E223" s="2">
        <v>93.131715</v>
      </c>
      <c r="F223" s="3">
        <v>188.276926</v>
      </c>
      <c r="G223" s="2">
        <f t="shared" si="117"/>
        <v>-2.1539549999999963</v>
      </c>
      <c r="H223" s="2">
        <f t="shared" si="118"/>
        <v>-2.4082760000000007</v>
      </c>
      <c r="I223" s="4">
        <f t="shared" si="115"/>
        <v>-2.2163342696354893</v>
      </c>
      <c r="J223" s="4">
        <f t="shared" si="116"/>
        <v>-2.5094969389806838</v>
      </c>
      <c r="K223" s="4">
        <f t="shared" si="119"/>
        <v>7.9560930391508222</v>
      </c>
      <c r="L223" s="4">
        <f t="shared" si="120"/>
        <v>2.820654718172861</v>
      </c>
      <c r="M223" s="4">
        <f t="shared" si="121"/>
        <v>0.70905523711017793</v>
      </c>
      <c r="N223" s="4">
        <f t="shared" si="122"/>
        <v>0.15082779878201116</v>
      </c>
      <c r="O223" s="3">
        <f t="shared" si="123"/>
        <v>-2.1539549999999963</v>
      </c>
      <c r="P223" s="3">
        <f t="shared" si="124"/>
        <v>-2.4082760000000007</v>
      </c>
      <c r="Q223">
        <f t="shared" si="125"/>
        <v>1</v>
      </c>
      <c r="R223" s="3">
        <f t="shared" si="126"/>
        <v>-2.1539549999999963</v>
      </c>
      <c r="S223" s="3">
        <f t="shared" si="127"/>
        <v>-2.4082760000000007</v>
      </c>
      <c r="T223">
        <f t="shared" si="128"/>
        <v>1</v>
      </c>
      <c r="U223" s="3">
        <f t="shared" si="129"/>
        <v>-2.1539549999999963</v>
      </c>
      <c r="V223" s="3">
        <f t="shared" si="130"/>
        <v>-2.4082760000000007</v>
      </c>
      <c r="W223">
        <f t="shared" si="131"/>
        <v>1</v>
      </c>
      <c r="X223" s="3">
        <f t="shared" si="132"/>
        <v>-2.1539549999999963</v>
      </c>
      <c r="Y223" s="3">
        <f t="shared" si="133"/>
        <v>-2.4082760000000007</v>
      </c>
      <c r="Z223">
        <f t="shared" si="134"/>
        <v>1</v>
      </c>
      <c r="AA223" s="3">
        <f t="shared" si="135"/>
        <v>-2.1539549999999963</v>
      </c>
      <c r="AB223" s="3">
        <f t="shared" si="136"/>
        <v>-2.4082760000000007</v>
      </c>
      <c r="AC223">
        <f t="shared" si="137"/>
        <v>1</v>
      </c>
      <c r="AD223" s="3">
        <f t="shared" si="138"/>
        <v>-2.1539549999999963</v>
      </c>
      <c r="AE223" s="3">
        <f t="shared" si="139"/>
        <v>-2.4082760000000007</v>
      </c>
      <c r="AF223">
        <f t="shared" si="140"/>
        <v>1</v>
      </c>
      <c r="AG223" s="3">
        <f t="shared" si="141"/>
        <v>-2.1539549999999963</v>
      </c>
      <c r="AH223" s="3">
        <f t="shared" si="142"/>
        <v>-2.4082760000000007</v>
      </c>
      <c r="AI223">
        <f t="shared" si="143"/>
        <v>1</v>
      </c>
      <c r="AJ223" s="3">
        <f t="shared" si="144"/>
        <v>-2.1539549999999963</v>
      </c>
      <c r="AK223" s="3">
        <f t="shared" si="145"/>
        <v>-2.4082760000000007</v>
      </c>
      <c r="AL223">
        <f t="shared" si="146"/>
        <v>1</v>
      </c>
      <c r="AM223" s="3">
        <f t="shared" si="147"/>
        <v>0</v>
      </c>
      <c r="AN223" s="3">
        <f t="shared" si="148"/>
        <v>0</v>
      </c>
      <c r="AO223">
        <f t="shared" si="149"/>
        <v>0</v>
      </c>
      <c r="AP223" s="3">
        <f t="shared" si="150"/>
        <v>0</v>
      </c>
      <c r="AQ223" s="3">
        <f t="shared" si="151"/>
        <v>0</v>
      </c>
      <c r="AR223">
        <f t="shared" si="152"/>
        <v>0</v>
      </c>
    </row>
    <row r="224" spans="4:44" x14ac:dyDescent="0.25">
      <c r="D224" s="1">
        <v>42422</v>
      </c>
      <c r="E224" s="2">
        <v>95.285669999999996</v>
      </c>
      <c r="F224" s="3">
        <v>190.685202</v>
      </c>
      <c r="G224" s="2">
        <f t="shared" si="117"/>
        <v>0.82617299999999716</v>
      </c>
      <c r="H224" s="2">
        <f t="shared" si="118"/>
        <v>2.7215559999999925</v>
      </c>
      <c r="I224" s="4">
        <f t="shared" si="115"/>
        <v>0.76379373036450415</v>
      </c>
      <c r="J224" s="4">
        <f t="shared" si="116"/>
        <v>2.6203350610193095</v>
      </c>
      <c r="K224" s="4">
        <f t="shared" si="119"/>
        <v>9.065833842282478</v>
      </c>
      <c r="L224" s="4">
        <f t="shared" si="120"/>
        <v>3.0109523148469952</v>
      </c>
      <c r="M224" s="4">
        <f t="shared" si="121"/>
        <v>0.66424167202449769</v>
      </c>
      <c r="N224" s="4">
        <f t="shared" si="122"/>
        <v>0.13236509965617013</v>
      </c>
      <c r="O224" s="3">
        <f t="shared" si="123"/>
        <v>0.82617299999999716</v>
      </c>
      <c r="P224" s="3">
        <f t="shared" si="124"/>
        <v>2.7215559999999925</v>
      </c>
      <c r="Q224">
        <f t="shared" si="125"/>
        <v>1</v>
      </c>
      <c r="R224" s="3">
        <f t="shared" si="126"/>
        <v>0.82617299999999716</v>
      </c>
      <c r="S224" s="3">
        <f t="shared" si="127"/>
        <v>2.7215559999999925</v>
      </c>
      <c r="T224">
        <f t="shared" si="128"/>
        <v>1</v>
      </c>
      <c r="U224" s="3">
        <f t="shared" si="129"/>
        <v>0.82617299999999716</v>
      </c>
      <c r="V224" s="3">
        <f t="shared" si="130"/>
        <v>2.7215559999999925</v>
      </c>
      <c r="W224">
        <f t="shared" si="131"/>
        <v>1</v>
      </c>
      <c r="X224" s="3">
        <f t="shared" si="132"/>
        <v>0.82617299999999716</v>
      </c>
      <c r="Y224" s="3">
        <f t="shared" si="133"/>
        <v>2.7215559999999925</v>
      </c>
      <c r="Z224">
        <f t="shared" si="134"/>
        <v>1</v>
      </c>
      <c r="AA224" s="3">
        <f t="shared" si="135"/>
        <v>0.82617299999999716</v>
      </c>
      <c r="AB224" s="3">
        <f t="shared" si="136"/>
        <v>2.7215559999999925</v>
      </c>
      <c r="AC224">
        <f t="shared" si="137"/>
        <v>1</v>
      </c>
      <c r="AD224" s="3">
        <f t="shared" si="138"/>
        <v>0.82617299999999716</v>
      </c>
      <c r="AE224" s="3">
        <f t="shared" si="139"/>
        <v>2.7215559999999925</v>
      </c>
      <c r="AF224">
        <f t="shared" si="140"/>
        <v>1</v>
      </c>
      <c r="AG224" s="3">
        <f t="shared" si="141"/>
        <v>0.82617299999999716</v>
      </c>
      <c r="AH224" s="3">
        <f t="shared" si="142"/>
        <v>2.7215559999999925</v>
      </c>
      <c r="AI224">
        <f t="shared" si="143"/>
        <v>1</v>
      </c>
      <c r="AJ224" s="3">
        <f t="shared" si="144"/>
        <v>0.82617299999999716</v>
      </c>
      <c r="AK224" s="3">
        <f t="shared" si="145"/>
        <v>2.7215559999999925</v>
      </c>
      <c r="AL224">
        <f t="shared" si="146"/>
        <v>1</v>
      </c>
      <c r="AM224" s="3">
        <f t="shared" si="147"/>
        <v>0.82617299999999716</v>
      </c>
      <c r="AN224" s="3">
        <f t="shared" si="148"/>
        <v>2.7215559999999925</v>
      </c>
      <c r="AO224">
        <f t="shared" si="149"/>
        <v>1</v>
      </c>
      <c r="AP224" s="3">
        <f t="shared" si="150"/>
        <v>0.82617299999999716</v>
      </c>
      <c r="AQ224" s="3">
        <f t="shared" si="151"/>
        <v>2.7215559999999925</v>
      </c>
      <c r="AR224">
        <f t="shared" si="152"/>
        <v>1</v>
      </c>
    </row>
    <row r="225" spans="4:44" x14ac:dyDescent="0.25">
      <c r="D225" s="1">
        <v>42419</v>
      </c>
      <c r="E225" s="2">
        <v>94.459496999999999</v>
      </c>
      <c r="F225" s="3">
        <v>187.96364600000001</v>
      </c>
      <c r="G225" s="2">
        <f t="shared" si="117"/>
        <v>-0.21638099999999838</v>
      </c>
      <c r="H225" s="2">
        <f t="shared" si="118"/>
        <v>-8.8103999999987082E-2</v>
      </c>
      <c r="I225" s="4">
        <f t="shared" si="115"/>
        <v>-0.27876026963549139</v>
      </c>
      <c r="J225" s="4">
        <f t="shared" si="116"/>
        <v>-0.18932493898067029</v>
      </c>
      <c r="K225" s="4">
        <f t="shared" si="119"/>
        <v>9.6309981304817632E-2</v>
      </c>
      <c r="L225" s="4">
        <f t="shared" si="120"/>
        <v>0.31033849471958458</v>
      </c>
      <c r="M225" s="4">
        <f t="shared" si="121"/>
        <v>1</v>
      </c>
      <c r="N225" s="4">
        <f t="shared" si="122"/>
        <v>1</v>
      </c>
      <c r="O225" s="3">
        <f t="shared" si="123"/>
        <v>-0.21638099999999838</v>
      </c>
      <c r="P225" s="3">
        <f t="shared" si="124"/>
        <v>-8.8103999999987082E-2</v>
      </c>
      <c r="Q225">
        <f t="shared" si="125"/>
        <v>1</v>
      </c>
      <c r="R225" s="3">
        <f t="shared" si="126"/>
        <v>0</v>
      </c>
      <c r="S225" s="3">
        <f t="shared" si="127"/>
        <v>0</v>
      </c>
      <c r="T225">
        <f t="shared" si="128"/>
        <v>0</v>
      </c>
      <c r="U225" s="3">
        <f t="shared" si="129"/>
        <v>0</v>
      </c>
      <c r="V225" s="3">
        <f t="shared" si="130"/>
        <v>0</v>
      </c>
      <c r="W225">
        <f t="shared" si="131"/>
        <v>0</v>
      </c>
      <c r="X225" s="3">
        <f t="shared" si="132"/>
        <v>0</v>
      </c>
      <c r="Y225" s="3">
        <f t="shared" si="133"/>
        <v>0</v>
      </c>
      <c r="Z225">
        <f t="shared" si="134"/>
        <v>0</v>
      </c>
      <c r="AA225" s="3">
        <f t="shared" si="135"/>
        <v>0</v>
      </c>
      <c r="AB225" s="3">
        <f t="shared" si="136"/>
        <v>0</v>
      </c>
      <c r="AC225">
        <f t="shared" si="137"/>
        <v>0</v>
      </c>
      <c r="AD225" s="3">
        <f t="shared" si="138"/>
        <v>0</v>
      </c>
      <c r="AE225" s="3">
        <f t="shared" si="139"/>
        <v>0</v>
      </c>
      <c r="AF225">
        <f t="shared" si="140"/>
        <v>0</v>
      </c>
      <c r="AG225" s="3">
        <f t="shared" si="141"/>
        <v>0</v>
      </c>
      <c r="AH225" s="3">
        <f t="shared" si="142"/>
        <v>0</v>
      </c>
      <c r="AI225">
        <f t="shared" si="143"/>
        <v>0</v>
      </c>
      <c r="AJ225" s="3">
        <f t="shared" si="144"/>
        <v>0</v>
      </c>
      <c r="AK225" s="3">
        <f t="shared" si="145"/>
        <v>0</v>
      </c>
      <c r="AL225">
        <f t="shared" si="146"/>
        <v>0</v>
      </c>
      <c r="AM225" s="3">
        <f t="shared" si="147"/>
        <v>0</v>
      </c>
      <c r="AN225" s="3">
        <f t="shared" si="148"/>
        <v>0</v>
      </c>
      <c r="AO225">
        <f t="shared" si="149"/>
        <v>0</v>
      </c>
      <c r="AP225" s="3">
        <f t="shared" si="150"/>
        <v>0</v>
      </c>
      <c r="AQ225" s="3">
        <f t="shared" si="151"/>
        <v>0</v>
      </c>
      <c r="AR225">
        <f t="shared" si="152"/>
        <v>0</v>
      </c>
    </row>
    <row r="226" spans="4:44" x14ac:dyDescent="0.25">
      <c r="D226" s="1">
        <v>42418</v>
      </c>
      <c r="E226" s="2">
        <v>94.675877999999997</v>
      </c>
      <c r="F226" s="3">
        <v>188.05175</v>
      </c>
      <c r="G226" s="2">
        <f t="shared" si="117"/>
        <v>-1.8293910000000011</v>
      </c>
      <c r="H226" s="2">
        <f t="shared" si="118"/>
        <v>-0.77340100000000689</v>
      </c>
      <c r="I226" s="4">
        <f t="shared" si="115"/>
        <v>-1.8917702696354941</v>
      </c>
      <c r="J226" s="4">
        <f t="shared" si="116"/>
        <v>-0.87462193898069007</v>
      </c>
      <c r="K226" s="4">
        <f t="shared" si="119"/>
        <v>4.7700219174663578</v>
      </c>
      <c r="L226" s="4">
        <f t="shared" si="120"/>
        <v>2.1840379844376239</v>
      </c>
      <c r="M226" s="4">
        <f t="shared" si="121"/>
        <v>0.91573498915816132</v>
      </c>
      <c r="N226" s="4">
        <f t="shared" si="122"/>
        <v>0.25157117111054939</v>
      </c>
      <c r="O226" s="3">
        <f t="shared" si="123"/>
        <v>-1.8293910000000011</v>
      </c>
      <c r="P226" s="3">
        <f t="shared" si="124"/>
        <v>-0.77340100000000689</v>
      </c>
      <c r="Q226">
        <f t="shared" si="125"/>
        <v>1</v>
      </c>
      <c r="R226" s="3">
        <f t="shared" si="126"/>
        <v>-1.8293910000000011</v>
      </c>
      <c r="S226" s="3">
        <f t="shared" si="127"/>
        <v>-0.77340100000000689</v>
      </c>
      <c r="T226">
        <f t="shared" si="128"/>
        <v>1</v>
      </c>
      <c r="U226" s="3">
        <f t="shared" si="129"/>
        <v>-1.8293910000000011</v>
      </c>
      <c r="V226" s="3">
        <f t="shared" si="130"/>
        <v>-0.77340100000000689</v>
      </c>
      <c r="W226">
        <f t="shared" si="131"/>
        <v>1</v>
      </c>
      <c r="X226" s="3">
        <f t="shared" si="132"/>
        <v>-1.8293910000000011</v>
      </c>
      <c r="Y226" s="3">
        <f t="shared" si="133"/>
        <v>-0.77340100000000689</v>
      </c>
      <c r="Z226">
        <f t="shared" si="134"/>
        <v>1</v>
      </c>
      <c r="AA226" s="3">
        <f t="shared" si="135"/>
        <v>-1.8293910000000011</v>
      </c>
      <c r="AB226" s="3">
        <f t="shared" si="136"/>
        <v>-0.77340100000000689</v>
      </c>
      <c r="AC226">
        <f t="shared" si="137"/>
        <v>1</v>
      </c>
      <c r="AD226" s="3">
        <f t="shared" si="138"/>
        <v>0</v>
      </c>
      <c r="AE226" s="3">
        <f t="shared" si="139"/>
        <v>0</v>
      </c>
      <c r="AF226">
        <f t="shared" si="140"/>
        <v>0</v>
      </c>
      <c r="AG226" s="3">
        <f t="shared" si="141"/>
        <v>0</v>
      </c>
      <c r="AH226" s="3">
        <f t="shared" si="142"/>
        <v>0</v>
      </c>
      <c r="AI226">
        <f t="shared" si="143"/>
        <v>0</v>
      </c>
      <c r="AJ226" s="3">
        <f t="shared" si="144"/>
        <v>0</v>
      </c>
      <c r="AK226" s="3">
        <f t="shared" si="145"/>
        <v>0</v>
      </c>
      <c r="AL226">
        <f t="shared" si="146"/>
        <v>0</v>
      </c>
      <c r="AM226" s="3">
        <f t="shared" si="147"/>
        <v>0</v>
      </c>
      <c r="AN226" s="3">
        <f t="shared" si="148"/>
        <v>0</v>
      </c>
      <c r="AO226">
        <f t="shared" si="149"/>
        <v>0</v>
      </c>
      <c r="AP226" s="3">
        <f t="shared" si="150"/>
        <v>0</v>
      </c>
      <c r="AQ226" s="3">
        <f t="shared" si="151"/>
        <v>0</v>
      </c>
      <c r="AR226">
        <f t="shared" si="152"/>
        <v>0</v>
      </c>
    </row>
    <row r="227" spans="4:44" x14ac:dyDescent="0.25">
      <c r="D227" s="1">
        <v>42417</v>
      </c>
      <c r="E227" s="2">
        <v>96.505268999999998</v>
      </c>
      <c r="F227" s="3">
        <v>188.82515100000001</v>
      </c>
      <c r="G227" s="2">
        <f t="shared" si="117"/>
        <v>1.455646999999999</v>
      </c>
      <c r="H227" s="2">
        <f t="shared" si="118"/>
        <v>3.0348360000000127</v>
      </c>
      <c r="I227" s="4">
        <f t="shared" si="115"/>
        <v>1.393267730364506</v>
      </c>
      <c r="J227" s="4">
        <f t="shared" si="116"/>
        <v>2.9336150610193297</v>
      </c>
      <c r="K227" s="4">
        <f t="shared" si="119"/>
        <v>9.8398609105516019</v>
      </c>
      <c r="L227" s="4">
        <f t="shared" si="120"/>
        <v>3.1368552581449469</v>
      </c>
      <c r="M227" s="4">
        <f t="shared" si="121"/>
        <v>0.63758121921849431</v>
      </c>
      <c r="N227" s="4">
        <f t="shared" si="122"/>
        <v>0.1219529433300425</v>
      </c>
      <c r="O227" s="3">
        <f t="shared" si="123"/>
        <v>1.455646999999999</v>
      </c>
      <c r="P227" s="3">
        <f t="shared" si="124"/>
        <v>3.0348360000000127</v>
      </c>
      <c r="Q227">
        <f t="shared" si="125"/>
        <v>1</v>
      </c>
      <c r="R227" s="3">
        <f t="shared" si="126"/>
        <v>1.455646999999999</v>
      </c>
      <c r="S227" s="3">
        <f t="shared" si="127"/>
        <v>3.0348360000000127</v>
      </c>
      <c r="T227">
        <f t="shared" si="128"/>
        <v>1</v>
      </c>
      <c r="U227" s="3">
        <f t="shared" si="129"/>
        <v>1.455646999999999</v>
      </c>
      <c r="V227" s="3">
        <f t="shared" si="130"/>
        <v>3.0348360000000127</v>
      </c>
      <c r="W227">
        <f t="shared" si="131"/>
        <v>1</v>
      </c>
      <c r="X227" s="3">
        <f t="shared" si="132"/>
        <v>1.455646999999999</v>
      </c>
      <c r="Y227" s="3">
        <f t="shared" si="133"/>
        <v>3.0348360000000127</v>
      </c>
      <c r="Z227">
        <f t="shared" si="134"/>
        <v>1</v>
      </c>
      <c r="AA227" s="3">
        <f t="shared" si="135"/>
        <v>1.455646999999999</v>
      </c>
      <c r="AB227" s="3">
        <f t="shared" si="136"/>
        <v>3.0348360000000127</v>
      </c>
      <c r="AC227">
        <f t="shared" si="137"/>
        <v>1</v>
      </c>
      <c r="AD227" s="3">
        <f t="shared" si="138"/>
        <v>1.455646999999999</v>
      </c>
      <c r="AE227" s="3">
        <f t="shared" si="139"/>
        <v>3.0348360000000127</v>
      </c>
      <c r="AF227">
        <f t="shared" si="140"/>
        <v>1</v>
      </c>
      <c r="AG227" s="3">
        <f t="shared" si="141"/>
        <v>1.455646999999999</v>
      </c>
      <c r="AH227" s="3">
        <f t="shared" si="142"/>
        <v>3.0348360000000127</v>
      </c>
      <c r="AI227">
        <f t="shared" si="143"/>
        <v>1</v>
      </c>
      <c r="AJ227" s="3">
        <f t="shared" si="144"/>
        <v>1.455646999999999</v>
      </c>
      <c r="AK227" s="3">
        <f t="shared" si="145"/>
        <v>3.0348360000000127</v>
      </c>
      <c r="AL227">
        <f t="shared" si="146"/>
        <v>1</v>
      </c>
      <c r="AM227" s="3">
        <f t="shared" si="147"/>
        <v>1.455646999999999</v>
      </c>
      <c r="AN227" s="3">
        <f t="shared" si="148"/>
        <v>3.0348360000000127</v>
      </c>
      <c r="AO227">
        <f t="shared" si="149"/>
        <v>1</v>
      </c>
      <c r="AP227" s="3">
        <f t="shared" si="150"/>
        <v>1.455646999999999</v>
      </c>
      <c r="AQ227" s="3">
        <f t="shared" si="151"/>
        <v>3.0348360000000127</v>
      </c>
      <c r="AR227">
        <f t="shared" si="152"/>
        <v>1</v>
      </c>
    </row>
    <row r="228" spans="4:44" x14ac:dyDescent="0.25">
      <c r="D228" s="1">
        <v>42416</v>
      </c>
      <c r="E228" s="2">
        <v>95.049621999999999</v>
      </c>
      <c r="F228" s="3">
        <v>185.79031499999999</v>
      </c>
      <c r="G228" s="2">
        <f t="shared" si="117"/>
        <v>2.6063919999999996</v>
      </c>
      <c r="H228" s="2">
        <f t="shared" si="118"/>
        <v>3.0837729999999794</v>
      </c>
      <c r="I228" s="4">
        <f t="shared" si="115"/>
        <v>2.5440127303645066</v>
      </c>
      <c r="J228" s="4">
        <f t="shared" si="116"/>
        <v>2.9825520610192964</v>
      </c>
      <c r="K228" s="4">
        <f t="shared" si="119"/>
        <v>10.943185552274107</v>
      </c>
      <c r="L228" s="4">
        <f t="shared" si="120"/>
        <v>3.3080486018609379</v>
      </c>
      <c r="M228" s="4">
        <f t="shared" si="121"/>
        <v>0.6045860386920866</v>
      </c>
      <c r="N228" s="4">
        <f t="shared" si="122"/>
        <v>0.10965728345441676</v>
      </c>
      <c r="O228" s="3">
        <f t="shared" si="123"/>
        <v>2.6063919999999996</v>
      </c>
      <c r="P228" s="3">
        <f t="shared" si="124"/>
        <v>3.0837729999999794</v>
      </c>
      <c r="Q228">
        <f t="shared" si="125"/>
        <v>1</v>
      </c>
      <c r="R228" s="3">
        <f t="shared" si="126"/>
        <v>2.6063919999999996</v>
      </c>
      <c r="S228" s="3">
        <f t="shared" si="127"/>
        <v>3.0837729999999794</v>
      </c>
      <c r="T228">
        <f t="shared" si="128"/>
        <v>1</v>
      </c>
      <c r="U228" s="3">
        <f t="shared" si="129"/>
        <v>2.6063919999999996</v>
      </c>
      <c r="V228" s="3">
        <f t="shared" si="130"/>
        <v>3.0837729999999794</v>
      </c>
      <c r="W228">
        <f t="shared" si="131"/>
        <v>1</v>
      </c>
      <c r="X228" s="3">
        <f t="shared" si="132"/>
        <v>2.6063919999999996</v>
      </c>
      <c r="Y228" s="3">
        <f t="shared" si="133"/>
        <v>3.0837729999999794</v>
      </c>
      <c r="Z228">
        <f t="shared" si="134"/>
        <v>1</v>
      </c>
      <c r="AA228" s="3">
        <f t="shared" si="135"/>
        <v>2.6063919999999996</v>
      </c>
      <c r="AB228" s="3">
        <f t="shared" si="136"/>
        <v>3.0837729999999794</v>
      </c>
      <c r="AC228">
        <f t="shared" si="137"/>
        <v>1</v>
      </c>
      <c r="AD228" s="3">
        <f t="shared" si="138"/>
        <v>2.6063919999999996</v>
      </c>
      <c r="AE228" s="3">
        <f t="shared" si="139"/>
        <v>3.0837729999999794</v>
      </c>
      <c r="AF228">
        <f t="shared" si="140"/>
        <v>1</v>
      </c>
      <c r="AG228" s="3">
        <f t="shared" si="141"/>
        <v>2.6063919999999996</v>
      </c>
      <c r="AH228" s="3">
        <f t="shared" si="142"/>
        <v>3.0837729999999794</v>
      </c>
      <c r="AI228">
        <f t="shared" si="143"/>
        <v>1</v>
      </c>
      <c r="AJ228" s="3">
        <f t="shared" si="144"/>
        <v>2.6063919999999996</v>
      </c>
      <c r="AK228" s="3">
        <f t="shared" si="145"/>
        <v>3.0837729999999794</v>
      </c>
      <c r="AL228">
        <f t="shared" si="146"/>
        <v>1</v>
      </c>
      <c r="AM228" s="3">
        <f t="shared" si="147"/>
        <v>2.6063919999999996</v>
      </c>
      <c r="AN228" s="3">
        <f t="shared" si="148"/>
        <v>3.0837729999999794</v>
      </c>
      <c r="AO228">
        <f t="shared" si="149"/>
        <v>1</v>
      </c>
      <c r="AP228" s="3">
        <f t="shared" si="150"/>
        <v>2.6063919999999996</v>
      </c>
      <c r="AQ228" s="3">
        <f t="shared" si="151"/>
        <v>3.0837729999999794</v>
      </c>
      <c r="AR228">
        <f t="shared" si="152"/>
        <v>1</v>
      </c>
    </row>
    <row r="229" spans="4:44" x14ac:dyDescent="0.25">
      <c r="D229" s="1">
        <v>42412</v>
      </c>
      <c r="E229" s="2">
        <v>92.44323</v>
      </c>
      <c r="F229" s="3">
        <v>182.70654200000001</v>
      </c>
      <c r="G229" s="2">
        <f t="shared" si="117"/>
        <v>0.28522800000000359</v>
      </c>
      <c r="H229" s="2">
        <f t="shared" si="118"/>
        <v>3.6907480000000135</v>
      </c>
      <c r="I229" s="4">
        <f t="shared" si="115"/>
        <v>0.22284873036451058</v>
      </c>
      <c r="J229" s="4">
        <f t="shared" si="116"/>
        <v>3.5895270610193304</v>
      </c>
      <c r="K229" s="4">
        <f t="shared" si="119"/>
        <v>22.460787184635755</v>
      </c>
      <c r="L229" s="4">
        <f t="shared" si="120"/>
        <v>4.7392812941031215</v>
      </c>
      <c r="M229" s="4">
        <f t="shared" si="121"/>
        <v>0.42200491506771537</v>
      </c>
      <c r="N229" s="4">
        <f t="shared" si="122"/>
        <v>5.3426444502392902E-2</v>
      </c>
      <c r="O229" s="3">
        <f t="shared" si="123"/>
        <v>0.28522800000000359</v>
      </c>
      <c r="P229" s="3">
        <f t="shared" si="124"/>
        <v>3.6907480000000135</v>
      </c>
      <c r="Q229">
        <f t="shared" si="125"/>
        <v>1</v>
      </c>
      <c r="R229" s="3">
        <f t="shared" si="126"/>
        <v>0.28522800000000359</v>
      </c>
      <c r="S229" s="3">
        <f t="shared" si="127"/>
        <v>3.6907480000000135</v>
      </c>
      <c r="T229">
        <f t="shared" si="128"/>
        <v>1</v>
      </c>
      <c r="U229" s="3">
        <f t="shared" si="129"/>
        <v>0.28522800000000359</v>
      </c>
      <c r="V229" s="3">
        <f t="shared" si="130"/>
        <v>3.6907480000000135</v>
      </c>
      <c r="W229">
        <f t="shared" si="131"/>
        <v>1</v>
      </c>
      <c r="X229" s="3">
        <f t="shared" si="132"/>
        <v>0.28522800000000359</v>
      </c>
      <c r="Y229" s="3">
        <f t="shared" si="133"/>
        <v>3.6907480000000135</v>
      </c>
      <c r="Z229">
        <f t="shared" si="134"/>
        <v>1</v>
      </c>
      <c r="AA229" s="3">
        <f t="shared" si="135"/>
        <v>0.28522800000000359</v>
      </c>
      <c r="AB229" s="3">
        <f t="shared" si="136"/>
        <v>3.6907480000000135</v>
      </c>
      <c r="AC229">
        <f t="shared" si="137"/>
        <v>1</v>
      </c>
      <c r="AD229" s="3">
        <f t="shared" si="138"/>
        <v>0.28522800000000359</v>
      </c>
      <c r="AE229" s="3">
        <f t="shared" si="139"/>
        <v>3.6907480000000135</v>
      </c>
      <c r="AF229">
        <f t="shared" si="140"/>
        <v>1</v>
      </c>
      <c r="AG229" s="3">
        <f t="shared" si="141"/>
        <v>0.28522800000000359</v>
      </c>
      <c r="AH229" s="3">
        <f t="shared" si="142"/>
        <v>3.6907480000000135</v>
      </c>
      <c r="AI229">
        <f t="shared" si="143"/>
        <v>1</v>
      </c>
      <c r="AJ229" s="3">
        <f t="shared" si="144"/>
        <v>0.28522800000000359</v>
      </c>
      <c r="AK229" s="3">
        <f t="shared" si="145"/>
        <v>3.6907480000000135</v>
      </c>
      <c r="AL229">
        <f t="shared" si="146"/>
        <v>1</v>
      </c>
      <c r="AM229" s="3">
        <f t="shared" si="147"/>
        <v>0.28522800000000359</v>
      </c>
      <c r="AN229" s="3">
        <f t="shared" si="148"/>
        <v>3.6907480000000135</v>
      </c>
      <c r="AO229">
        <f t="shared" si="149"/>
        <v>1</v>
      </c>
      <c r="AP229" s="3">
        <f t="shared" si="150"/>
        <v>0.28522800000000359</v>
      </c>
      <c r="AQ229" s="3">
        <f t="shared" si="151"/>
        <v>3.6907480000000135</v>
      </c>
      <c r="AR229">
        <f t="shared" si="152"/>
        <v>1</v>
      </c>
    </row>
    <row r="230" spans="4:44" x14ac:dyDescent="0.25">
      <c r="D230" s="1">
        <v>42411</v>
      </c>
      <c r="E230" s="2">
        <v>92.158001999999996</v>
      </c>
      <c r="F230" s="3">
        <v>179.015794</v>
      </c>
      <c r="G230" s="2">
        <f t="shared" si="117"/>
        <v>-0.56061900000000264</v>
      </c>
      <c r="H230" s="2">
        <f t="shared" si="118"/>
        <v>-2.3593390000000056</v>
      </c>
      <c r="I230" s="4">
        <f t="shared" si="115"/>
        <v>-0.62299826963549565</v>
      </c>
      <c r="J230" s="4">
        <f t="shared" si="116"/>
        <v>-2.4605599389806887</v>
      </c>
      <c r="K230" s="4">
        <f t="shared" si="119"/>
        <v>8.327036390816227</v>
      </c>
      <c r="L230" s="4">
        <f t="shared" si="120"/>
        <v>2.8856604773978916</v>
      </c>
      <c r="M230" s="4">
        <f t="shared" si="121"/>
        <v>0.69308223045126749</v>
      </c>
      <c r="N230" s="4">
        <f t="shared" si="122"/>
        <v>0.14410889345019115</v>
      </c>
      <c r="O230" s="3">
        <f t="shared" si="123"/>
        <v>-0.56061900000000264</v>
      </c>
      <c r="P230" s="3">
        <f t="shared" si="124"/>
        <v>-2.3593390000000056</v>
      </c>
      <c r="Q230">
        <f t="shared" si="125"/>
        <v>1</v>
      </c>
      <c r="R230" s="3">
        <f t="shared" si="126"/>
        <v>-0.56061900000000264</v>
      </c>
      <c r="S230" s="3">
        <f t="shared" si="127"/>
        <v>-2.3593390000000056</v>
      </c>
      <c r="T230">
        <f t="shared" si="128"/>
        <v>1</v>
      </c>
      <c r="U230" s="3">
        <f t="shared" si="129"/>
        <v>-0.56061900000000264</v>
      </c>
      <c r="V230" s="3">
        <f t="shared" si="130"/>
        <v>-2.3593390000000056</v>
      </c>
      <c r="W230">
        <f t="shared" si="131"/>
        <v>1</v>
      </c>
      <c r="X230" s="3">
        <f t="shared" si="132"/>
        <v>-0.56061900000000264</v>
      </c>
      <c r="Y230" s="3">
        <f t="shared" si="133"/>
        <v>-2.3593390000000056</v>
      </c>
      <c r="Z230">
        <f t="shared" si="134"/>
        <v>1</v>
      </c>
      <c r="AA230" s="3">
        <f t="shared" si="135"/>
        <v>-0.56061900000000264</v>
      </c>
      <c r="AB230" s="3">
        <f t="shared" si="136"/>
        <v>-2.3593390000000056</v>
      </c>
      <c r="AC230">
        <f t="shared" si="137"/>
        <v>1</v>
      </c>
      <c r="AD230" s="3">
        <f t="shared" si="138"/>
        <v>-0.56061900000000264</v>
      </c>
      <c r="AE230" s="3">
        <f t="shared" si="139"/>
        <v>-2.3593390000000056</v>
      </c>
      <c r="AF230">
        <f t="shared" si="140"/>
        <v>1</v>
      </c>
      <c r="AG230" s="3">
        <f t="shared" si="141"/>
        <v>-0.56061900000000264</v>
      </c>
      <c r="AH230" s="3">
        <f t="shared" si="142"/>
        <v>-2.3593390000000056</v>
      </c>
      <c r="AI230">
        <f t="shared" si="143"/>
        <v>1</v>
      </c>
      <c r="AJ230" s="3">
        <f t="shared" si="144"/>
        <v>-0.56061900000000264</v>
      </c>
      <c r="AK230" s="3">
        <f t="shared" si="145"/>
        <v>-2.3593390000000056</v>
      </c>
      <c r="AL230">
        <f t="shared" si="146"/>
        <v>1</v>
      </c>
      <c r="AM230" s="3">
        <f t="shared" si="147"/>
        <v>-0.56061900000000264</v>
      </c>
      <c r="AN230" s="3">
        <f t="shared" si="148"/>
        <v>-2.3593390000000056</v>
      </c>
      <c r="AO230">
        <f t="shared" si="149"/>
        <v>1</v>
      </c>
      <c r="AP230" s="3">
        <f t="shared" si="150"/>
        <v>0</v>
      </c>
      <c r="AQ230" s="3">
        <f t="shared" si="151"/>
        <v>0</v>
      </c>
      <c r="AR230">
        <f t="shared" si="152"/>
        <v>0</v>
      </c>
    </row>
    <row r="231" spans="4:44" x14ac:dyDescent="0.25">
      <c r="D231" s="1">
        <v>42410</v>
      </c>
      <c r="E231" s="2">
        <v>92.718620999999999</v>
      </c>
      <c r="F231" s="3">
        <v>181.37513300000001</v>
      </c>
      <c r="G231" s="2">
        <f t="shared" si="117"/>
        <v>-0.70815299999999581</v>
      </c>
      <c r="H231" s="2">
        <f t="shared" si="118"/>
        <v>-0.15662499999999113</v>
      </c>
      <c r="I231" s="4">
        <f t="shared" si="115"/>
        <v>-0.77053226963548882</v>
      </c>
      <c r="J231" s="4">
        <f t="shared" si="116"/>
        <v>-0.25784593898067432</v>
      </c>
      <c r="K231" s="4">
        <f t="shared" si="119"/>
        <v>0.87355203657883407</v>
      </c>
      <c r="L231" s="4">
        <f t="shared" si="120"/>
        <v>0.93464005722996601</v>
      </c>
      <c r="M231" s="4">
        <f t="shared" si="121"/>
        <v>1</v>
      </c>
      <c r="N231" s="4">
        <f t="shared" si="122"/>
        <v>1</v>
      </c>
      <c r="O231" s="3">
        <f t="shared" si="123"/>
        <v>-0.70815299999999581</v>
      </c>
      <c r="P231" s="3">
        <f t="shared" si="124"/>
        <v>-0.15662499999999113</v>
      </c>
      <c r="Q231">
        <f t="shared" si="125"/>
        <v>1</v>
      </c>
      <c r="R231" s="3">
        <f t="shared" si="126"/>
        <v>0</v>
      </c>
      <c r="S231" s="3">
        <f t="shared" si="127"/>
        <v>0</v>
      </c>
      <c r="T231">
        <f t="shared" si="128"/>
        <v>0</v>
      </c>
      <c r="U231" s="3">
        <f t="shared" si="129"/>
        <v>0</v>
      </c>
      <c r="V231" s="3">
        <f t="shared" si="130"/>
        <v>0</v>
      </c>
      <c r="W231">
        <f t="shared" si="131"/>
        <v>0</v>
      </c>
      <c r="X231" s="3">
        <f t="shared" si="132"/>
        <v>0</v>
      </c>
      <c r="Y231" s="3">
        <f t="shared" si="133"/>
        <v>0</v>
      </c>
      <c r="Z231">
        <f t="shared" si="134"/>
        <v>0</v>
      </c>
      <c r="AA231" s="3">
        <f t="shared" si="135"/>
        <v>0</v>
      </c>
      <c r="AB231" s="3">
        <f t="shared" si="136"/>
        <v>0</v>
      </c>
      <c r="AC231">
        <f t="shared" si="137"/>
        <v>0</v>
      </c>
      <c r="AD231" s="3">
        <f t="shared" si="138"/>
        <v>0</v>
      </c>
      <c r="AE231" s="3">
        <f t="shared" si="139"/>
        <v>0</v>
      </c>
      <c r="AF231">
        <f t="shared" si="140"/>
        <v>0</v>
      </c>
      <c r="AG231" s="3">
        <f t="shared" si="141"/>
        <v>0</v>
      </c>
      <c r="AH231" s="3">
        <f t="shared" si="142"/>
        <v>0</v>
      </c>
      <c r="AI231">
        <f t="shared" si="143"/>
        <v>0</v>
      </c>
      <c r="AJ231" s="3">
        <f t="shared" si="144"/>
        <v>0</v>
      </c>
      <c r="AK231" s="3">
        <f t="shared" si="145"/>
        <v>0</v>
      </c>
      <c r="AL231">
        <f t="shared" si="146"/>
        <v>0</v>
      </c>
      <c r="AM231" s="3">
        <f t="shared" si="147"/>
        <v>0</v>
      </c>
      <c r="AN231" s="3">
        <f t="shared" si="148"/>
        <v>0</v>
      </c>
      <c r="AO231">
        <f t="shared" si="149"/>
        <v>0</v>
      </c>
      <c r="AP231" s="3">
        <f t="shared" si="150"/>
        <v>0</v>
      </c>
      <c r="AQ231" s="3">
        <f t="shared" si="151"/>
        <v>0</v>
      </c>
      <c r="AR231">
        <f t="shared" si="152"/>
        <v>0</v>
      </c>
    </row>
    <row r="232" spans="4:44" x14ac:dyDescent="0.25">
      <c r="D232" s="1">
        <v>42409</v>
      </c>
      <c r="E232" s="2">
        <v>93.426773999999995</v>
      </c>
      <c r="F232" s="3">
        <v>181.531758</v>
      </c>
      <c r="G232" s="2">
        <f t="shared" si="117"/>
        <v>-1.9675000000006548E-2</v>
      </c>
      <c r="H232" s="2">
        <f t="shared" si="118"/>
        <v>9.7849999999937154E-3</v>
      </c>
      <c r="I232" s="4">
        <f t="shared" si="115"/>
        <v>-8.2054269635499555E-2</v>
      </c>
      <c r="J232" s="4">
        <f t="shared" si="116"/>
        <v>-9.1435938980689496E-2</v>
      </c>
      <c r="K232" s="4">
        <f t="shared" si="119"/>
        <v>1.0704122042092977E-2</v>
      </c>
      <c r="L232" s="4">
        <f t="shared" si="120"/>
        <v>0.10346072705182859</v>
      </c>
      <c r="M232" s="4">
        <f t="shared" si="121"/>
        <v>1</v>
      </c>
      <c r="N232" s="4">
        <f t="shared" si="122"/>
        <v>1</v>
      </c>
      <c r="O232" s="3">
        <f t="shared" si="123"/>
        <v>-1.9675000000006548E-2</v>
      </c>
      <c r="P232" s="3">
        <f t="shared" si="124"/>
        <v>9.7849999999937154E-3</v>
      </c>
      <c r="Q232">
        <f t="shared" si="125"/>
        <v>1</v>
      </c>
      <c r="R232" s="3">
        <f t="shared" si="126"/>
        <v>0</v>
      </c>
      <c r="S232" s="3">
        <f t="shared" si="127"/>
        <v>0</v>
      </c>
      <c r="T232">
        <f t="shared" si="128"/>
        <v>0</v>
      </c>
      <c r="U232" s="3">
        <f t="shared" si="129"/>
        <v>0</v>
      </c>
      <c r="V232" s="3">
        <f t="shared" si="130"/>
        <v>0</v>
      </c>
      <c r="W232">
        <f t="shared" si="131"/>
        <v>0</v>
      </c>
      <c r="X232" s="3">
        <f t="shared" si="132"/>
        <v>0</v>
      </c>
      <c r="Y232" s="3">
        <f t="shared" si="133"/>
        <v>0</v>
      </c>
      <c r="Z232">
        <f t="shared" si="134"/>
        <v>0</v>
      </c>
      <c r="AA232" s="3">
        <f t="shared" si="135"/>
        <v>0</v>
      </c>
      <c r="AB232" s="3">
        <f t="shared" si="136"/>
        <v>0</v>
      </c>
      <c r="AC232">
        <f t="shared" si="137"/>
        <v>0</v>
      </c>
      <c r="AD232" s="3">
        <f t="shared" si="138"/>
        <v>0</v>
      </c>
      <c r="AE232" s="3">
        <f t="shared" si="139"/>
        <v>0</v>
      </c>
      <c r="AF232">
        <f t="shared" si="140"/>
        <v>0</v>
      </c>
      <c r="AG232" s="3">
        <f t="shared" si="141"/>
        <v>0</v>
      </c>
      <c r="AH232" s="3">
        <f t="shared" si="142"/>
        <v>0</v>
      </c>
      <c r="AI232">
        <f t="shared" si="143"/>
        <v>0</v>
      </c>
      <c r="AJ232" s="3">
        <f t="shared" si="144"/>
        <v>0</v>
      </c>
      <c r="AK232" s="3">
        <f t="shared" si="145"/>
        <v>0</v>
      </c>
      <c r="AL232">
        <f t="shared" si="146"/>
        <v>0</v>
      </c>
      <c r="AM232" s="3">
        <f t="shared" si="147"/>
        <v>0</v>
      </c>
      <c r="AN232" s="3">
        <f t="shared" si="148"/>
        <v>0</v>
      </c>
      <c r="AO232">
        <f t="shared" si="149"/>
        <v>0</v>
      </c>
      <c r="AP232" s="3">
        <f t="shared" si="150"/>
        <v>0</v>
      </c>
      <c r="AQ232" s="3">
        <f t="shared" si="151"/>
        <v>0</v>
      </c>
      <c r="AR232">
        <f t="shared" si="152"/>
        <v>0</v>
      </c>
    </row>
    <row r="233" spans="4:44" x14ac:dyDescent="0.25">
      <c r="D233" s="1">
        <v>42408</v>
      </c>
      <c r="E233" s="2">
        <v>93.446449000000001</v>
      </c>
      <c r="F233" s="3">
        <v>181.521973</v>
      </c>
      <c r="G233" s="2">
        <f t="shared" si="117"/>
        <v>0.9737130000000036</v>
      </c>
      <c r="H233" s="2">
        <f t="shared" si="118"/>
        <v>-2.4768119999999954</v>
      </c>
      <c r="I233" s="4">
        <f t="shared" si="115"/>
        <v>0.9113337303645106</v>
      </c>
      <c r="J233" s="4">
        <f t="shared" si="116"/>
        <v>-2.5780329389806784</v>
      </c>
      <c r="K233" s="4">
        <f t="shared" si="119"/>
        <v>20.467182358061006</v>
      </c>
      <c r="L233" s="4">
        <f t="shared" si="120"/>
        <v>4.5240670152044613</v>
      </c>
      <c r="M233" s="4">
        <f t="shared" si="121"/>
        <v>0.44208010033414852</v>
      </c>
      <c r="N233" s="4">
        <f t="shared" si="122"/>
        <v>5.863044453343523E-2</v>
      </c>
      <c r="O233" s="3">
        <f t="shared" si="123"/>
        <v>0.9737130000000036</v>
      </c>
      <c r="P233" s="3">
        <f t="shared" si="124"/>
        <v>-2.4768119999999954</v>
      </c>
      <c r="Q233">
        <f t="shared" si="125"/>
        <v>1</v>
      </c>
      <c r="R233" s="3">
        <f t="shared" si="126"/>
        <v>0.9737130000000036</v>
      </c>
      <c r="S233" s="3">
        <f t="shared" si="127"/>
        <v>-2.4768119999999954</v>
      </c>
      <c r="T233">
        <f t="shared" si="128"/>
        <v>1</v>
      </c>
      <c r="U233" s="3">
        <f t="shared" si="129"/>
        <v>0.9737130000000036</v>
      </c>
      <c r="V233" s="3">
        <f t="shared" si="130"/>
        <v>-2.4768119999999954</v>
      </c>
      <c r="W233">
        <f t="shared" si="131"/>
        <v>1</v>
      </c>
      <c r="X233" s="3">
        <f t="shared" si="132"/>
        <v>0.9737130000000036</v>
      </c>
      <c r="Y233" s="3">
        <f t="shared" si="133"/>
        <v>-2.4768119999999954</v>
      </c>
      <c r="Z233">
        <f t="shared" si="134"/>
        <v>1</v>
      </c>
      <c r="AA233" s="3">
        <f t="shared" si="135"/>
        <v>0.9737130000000036</v>
      </c>
      <c r="AB233" s="3">
        <f t="shared" si="136"/>
        <v>-2.4768119999999954</v>
      </c>
      <c r="AC233">
        <f t="shared" si="137"/>
        <v>1</v>
      </c>
      <c r="AD233" s="3">
        <f t="shared" si="138"/>
        <v>0.9737130000000036</v>
      </c>
      <c r="AE233" s="3">
        <f t="shared" si="139"/>
        <v>-2.4768119999999954</v>
      </c>
      <c r="AF233">
        <f t="shared" si="140"/>
        <v>1</v>
      </c>
      <c r="AG233" s="3">
        <f t="shared" si="141"/>
        <v>0.9737130000000036</v>
      </c>
      <c r="AH233" s="3">
        <f t="shared" si="142"/>
        <v>-2.4768119999999954</v>
      </c>
      <c r="AI233">
        <f t="shared" si="143"/>
        <v>1</v>
      </c>
      <c r="AJ233" s="3">
        <f t="shared" si="144"/>
        <v>0.9737130000000036</v>
      </c>
      <c r="AK233" s="3">
        <f t="shared" si="145"/>
        <v>-2.4768119999999954</v>
      </c>
      <c r="AL233">
        <f t="shared" si="146"/>
        <v>1</v>
      </c>
      <c r="AM233" s="3">
        <f t="shared" si="147"/>
        <v>0.9737130000000036</v>
      </c>
      <c r="AN233" s="3">
        <f t="shared" si="148"/>
        <v>-2.4768119999999954</v>
      </c>
      <c r="AO233">
        <f t="shared" si="149"/>
        <v>1</v>
      </c>
      <c r="AP233" s="3">
        <f t="shared" si="150"/>
        <v>0.9737130000000036</v>
      </c>
      <c r="AQ233" s="3">
        <f t="shared" si="151"/>
        <v>-2.4768119999999954</v>
      </c>
      <c r="AR233">
        <f t="shared" si="152"/>
        <v>1</v>
      </c>
    </row>
    <row r="234" spans="4:44" x14ac:dyDescent="0.25">
      <c r="D234" s="1">
        <v>42405</v>
      </c>
      <c r="E234" s="2">
        <v>92.472735999999998</v>
      </c>
      <c r="F234" s="3">
        <v>183.998785</v>
      </c>
      <c r="G234" s="2">
        <f t="shared" si="117"/>
        <v>-2.5375429999999994</v>
      </c>
      <c r="H234" s="2">
        <f t="shared" si="118"/>
        <v>-3.5732759999999928</v>
      </c>
      <c r="I234" s="4">
        <f t="shared" si="115"/>
        <v>-2.5999222696354924</v>
      </c>
      <c r="J234" s="4">
        <f t="shared" si="116"/>
        <v>-3.6744969389806759</v>
      </c>
      <c r="K234" s="4">
        <f t="shared" si="119"/>
        <v>15.187229381134522</v>
      </c>
      <c r="L234" s="4">
        <f t="shared" si="120"/>
        <v>3.8970795964586764</v>
      </c>
      <c r="M234" s="4">
        <f t="shared" si="121"/>
        <v>0.51320481157670583</v>
      </c>
      <c r="N234" s="4">
        <f t="shared" si="122"/>
        <v>7.9013753587644647E-2</v>
      </c>
      <c r="O234" s="3">
        <f t="shared" si="123"/>
        <v>-2.5375429999999994</v>
      </c>
      <c r="P234" s="3">
        <f t="shared" si="124"/>
        <v>-3.5732759999999928</v>
      </c>
      <c r="Q234">
        <f t="shared" si="125"/>
        <v>1</v>
      </c>
      <c r="R234" s="3">
        <f t="shared" si="126"/>
        <v>-2.5375429999999994</v>
      </c>
      <c r="S234" s="3">
        <f t="shared" si="127"/>
        <v>-3.5732759999999928</v>
      </c>
      <c r="T234">
        <f t="shared" si="128"/>
        <v>1</v>
      </c>
      <c r="U234" s="3">
        <f t="shared" si="129"/>
        <v>-2.5375429999999994</v>
      </c>
      <c r="V234" s="3">
        <f t="shared" si="130"/>
        <v>-3.5732759999999928</v>
      </c>
      <c r="W234">
        <f t="shared" si="131"/>
        <v>1</v>
      </c>
      <c r="X234" s="3">
        <f t="shared" si="132"/>
        <v>-2.5375429999999994</v>
      </c>
      <c r="Y234" s="3">
        <f t="shared" si="133"/>
        <v>-3.5732759999999928</v>
      </c>
      <c r="Z234">
        <f t="shared" si="134"/>
        <v>1</v>
      </c>
      <c r="AA234" s="3">
        <f t="shared" si="135"/>
        <v>-2.5375429999999994</v>
      </c>
      <c r="AB234" s="3">
        <f t="shared" si="136"/>
        <v>-3.5732759999999928</v>
      </c>
      <c r="AC234">
        <f t="shared" si="137"/>
        <v>1</v>
      </c>
      <c r="AD234" s="3">
        <f t="shared" si="138"/>
        <v>-2.5375429999999994</v>
      </c>
      <c r="AE234" s="3">
        <f t="shared" si="139"/>
        <v>-3.5732759999999928</v>
      </c>
      <c r="AF234">
        <f t="shared" si="140"/>
        <v>1</v>
      </c>
      <c r="AG234" s="3">
        <f t="shared" si="141"/>
        <v>-2.5375429999999994</v>
      </c>
      <c r="AH234" s="3">
        <f t="shared" si="142"/>
        <v>-3.5732759999999928</v>
      </c>
      <c r="AI234">
        <f t="shared" si="143"/>
        <v>1</v>
      </c>
      <c r="AJ234" s="3">
        <f t="shared" si="144"/>
        <v>-2.5375429999999994</v>
      </c>
      <c r="AK234" s="3">
        <f t="shared" si="145"/>
        <v>-3.5732759999999928</v>
      </c>
      <c r="AL234">
        <f t="shared" si="146"/>
        <v>1</v>
      </c>
      <c r="AM234" s="3">
        <f t="shared" si="147"/>
        <v>-2.5375429999999994</v>
      </c>
      <c r="AN234" s="3">
        <f t="shared" si="148"/>
        <v>-3.5732759999999928</v>
      </c>
      <c r="AO234">
        <f t="shared" si="149"/>
        <v>1</v>
      </c>
      <c r="AP234" s="3">
        <f t="shared" si="150"/>
        <v>-2.5375429999999994</v>
      </c>
      <c r="AQ234" s="3">
        <f t="shared" si="151"/>
        <v>-3.5732759999999928</v>
      </c>
      <c r="AR234">
        <f t="shared" si="152"/>
        <v>1</v>
      </c>
    </row>
    <row r="235" spans="4:44" x14ac:dyDescent="0.25">
      <c r="D235" s="1">
        <v>42404</v>
      </c>
      <c r="E235" s="2">
        <v>95.010278999999997</v>
      </c>
      <c r="F235" s="3">
        <v>187.57206099999999</v>
      </c>
      <c r="G235" s="2">
        <f t="shared" si="117"/>
        <v>0.75733199999999101</v>
      </c>
      <c r="H235" s="2">
        <f t="shared" si="118"/>
        <v>0.29369599999998286</v>
      </c>
      <c r="I235" s="4">
        <f t="shared" si="115"/>
        <v>0.69495273036449801</v>
      </c>
      <c r="J235" s="4">
        <f t="shared" si="116"/>
        <v>0.19247506101929965</v>
      </c>
      <c r="K235" s="4">
        <f t="shared" si="119"/>
        <v>0.75057940411240454</v>
      </c>
      <c r="L235" s="4">
        <f t="shared" si="120"/>
        <v>0.86635985832239737</v>
      </c>
      <c r="M235" s="4">
        <f t="shared" si="121"/>
        <v>1</v>
      </c>
      <c r="N235" s="4">
        <f t="shared" si="122"/>
        <v>1</v>
      </c>
      <c r="O235" s="3">
        <f t="shared" si="123"/>
        <v>0.75733199999999101</v>
      </c>
      <c r="P235" s="3">
        <f t="shared" si="124"/>
        <v>0.29369599999998286</v>
      </c>
      <c r="Q235">
        <f t="shared" si="125"/>
        <v>1</v>
      </c>
      <c r="R235" s="3">
        <f t="shared" si="126"/>
        <v>0</v>
      </c>
      <c r="S235" s="3">
        <f t="shared" si="127"/>
        <v>0</v>
      </c>
      <c r="T235">
        <f t="shared" si="128"/>
        <v>0</v>
      </c>
      <c r="U235" s="3">
        <f t="shared" si="129"/>
        <v>0</v>
      </c>
      <c r="V235" s="3">
        <f t="shared" si="130"/>
        <v>0</v>
      </c>
      <c r="W235">
        <f t="shared" si="131"/>
        <v>0</v>
      </c>
      <c r="X235" s="3">
        <f t="shared" si="132"/>
        <v>0</v>
      </c>
      <c r="Y235" s="3">
        <f t="shared" si="133"/>
        <v>0</v>
      </c>
      <c r="Z235">
        <f t="shared" si="134"/>
        <v>0</v>
      </c>
      <c r="AA235" s="3">
        <f t="shared" si="135"/>
        <v>0</v>
      </c>
      <c r="AB235" s="3">
        <f t="shared" si="136"/>
        <v>0</v>
      </c>
      <c r="AC235">
        <f t="shared" si="137"/>
        <v>0</v>
      </c>
      <c r="AD235" s="3">
        <f t="shared" si="138"/>
        <v>0</v>
      </c>
      <c r="AE235" s="3">
        <f t="shared" si="139"/>
        <v>0</v>
      </c>
      <c r="AF235">
        <f t="shared" si="140"/>
        <v>0</v>
      </c>
      <c r="AG235" s="3">
        <f t="shared" si="141"/>
        <v>0</v>
      </c>
      <c r="AH235" s="3">
        <f t="shared" si="142"/>
        <v>0</v>
      </c>
      <c r="AI235">
        <f t="shared" si="143"/>
        <v>0</v>
      </c>
      <c r="AJ235" s="3">
        <f t="shared" si="144"/>
        <v>0</v>
      </c>
      <c r="AK235" s="3">
        <f t="shared" si="145"/>
        <v>0</v>
      </c>
      <c r="AL235">
        <f t="shared" si="146"/>
        <v>0</v>
      </c>
      <c r="AM235" s="3">
        <f t="shared" si="147"/>
        <v>0</v>
      </c>
      <c r="AN235" s="3">
        <f t="shared" si="148"/>
        <v>0</v>
      </c>
      <c r="AO235">
        <f t="shared" si="149"/>
        <v>0</v>
      </c>
      <c r="AP235" s="3">
        <f t="shared" si="150"/>
        <v>0</v>
      </c>
      <c r="AQ235" s="3">
        <f t="shared" si="151"/>
        <v>0</v>
      </c>
      <c r="AR235">
        <f t="shared" si="152"/>
        <v>0</v>
      </c>
    </row>
    <row r="236" spans="4:44" x14ac:dyDescent="0.25">
      <c r="D236" s="1">
        <v>42403</v>
      </c>
      <c r="E236" s="2">
        <v>94.252947000000006</v>
      </c>
      <c r="F236" s="3">
        <v>187.27836500000001</v>
      </c>
      <c r="G236" s="2">
        <f t="shared" si="117"/>
        <v>1.8292950000000019</v>
      </c>
      <c r="H236" s="2">
        <f t="shared" si="118"/>
        <v>1.1160340000000133</v>
      </c>
      <c r="I236" s="4">
        <f t="shared" si="115"/>
        <v>1.7669157303645089</v>
      </c>
      <c r="J236" s="4">
        <f t="shared" si="116"/>
        <v>1.01481306101933</v>
      </c>
      <c r="K236" s="4">
        <f t="shared" si="119"/>
        <v>3.9409304155595439</v>
      </c>
      <c r="L236" s="4">
        <f t="shared" si="120"/>
        <v>1.9851776785868673</v>
      </c>
      <c r="M236" s="4">
        <f t="shared" si="121"/>
        <v>1</v>
      </c>
      <c r="N236" s="4">
        <f t="shared" si="122"/>
        <v>0.30449662223473201</v>
      </c>
      <c r="O236" s="3">
        <f t="shared" si="123"/>
        <v>1.8292950000000019</v>
      </c>
      <c r="P236" s="3">
        <f t="shared" si="124"/>
        <v>1.1160340000000133</v>
      </c>
      <c r="Q236">
        <f t="shared" si="125"/>
        <v>1</v>
      </c>
      <c r="R236" s="3">
        <f t="shared" si="126"/>
        <v>1.8292950000000019</v>
      </c>
      <c r="S236" s="3">
        <f t="shared" si="127"/>
        <v>1.1160340000000133</v>
      </c>
      <c r="T236">
        <f t="shared" si="128"/>
        <v>1</v>
      </c>
      <c r="U236" s="3">
        <f t="shared" si="129"/>
        <v>1.8292950000000019</v>
      </c>
      <c r="V236" s="3">
        <f t="shared" si="130"/>
        <v>1.1160340000000133</v>
      </c>
      <c r="W236">
        <f t="shared" si="131"/>
        <v>1</v>
      </c>
      <c r="X236" s="3">
        <f t="shared" si="132"/>
        <v>1.8292950000000019</v>
      </c>
      <c r="Y236" s="3">
        <f t="shared" si="133"/>
        <v>1.1160340000000133</v>
      </c>
      <c r="Z236">
        <f t="shared" si="134"/>
        <v>1</v>
      </c>
      <c r="AA236" s="3">
        <f t="shared" si="135"/>
        <v>0</v>
      </c>
      <c r="AB236" s="3">
        <f t="shared" si="136"/>
        <v>0</v>
      </c>
      <c r="AC236">
        <f t="shared" si="137"/>
        <v>0</v>
      </c>
      <c r="AD236" s="3">
        <f t="shared" si="138"/>
        <v>0</v>
      </c>
      <c r="AE236" s="3">
        <f t="shared" si="139"/>
        <v>0</v>
      </c>
      <c r="AF236">
        <f t="shared" si="140"/>
        <v>0</v>
      </c>
      <c r="AG236" s="3">
        <f t="shared" si="141"/>
        <v>0</v>
      </c>
      <c r="AH236" s="3">
        <f t="shared" si="142"/>
        <v>0</v>
      </c>
      <c r="AI236">
        <f t="shared" si="143"/>
        <v>0</v>
      </c>
      <c r="AJ236" s="3">
        <f t="shared" si="144"/>
        <v>0</v>
      </c>
      <c r="AK236" s="3">
        <f t="shared" si="145"/>
        <v>0</v>
      </c>
      <c r="AL236">
        <f t="shared" si="146"/>
        <v>0</v>
      </c>
      <c r="AM236" s="3">
        <f t="shared" si="147"/>
        <v>0</v>
      </c>
      <c r="AN236" s="3">
        <f t="shared" si="148"/>
        <v>0</v>
      </c>
      <c r="AO236">
        <f t="shared" si="149"/>
        <v>0</v>
      </c>
      <c r="AP236" s="3">
        <f t="shared" si="150"/>
        <v>0</v>
      </c>
      <c r="AQ236" s="3">
        <f t="shared" si="151"/>
        <v>0</v>
      </c>
      <c r="AR236">
        <f t="shared" si="152"/>
        <v>0</v>
      </c>
    </row>
    <row r="237" spans="4:44" x14ac:dyDescent="0.25">
      <c r="D237" s="1">
        <v>42402</v>
      </c>
      <c r="E237" s="2">
        <v>92.423652000000004</v>
      </c>
      <c r="F237" s="3">
        <v>186.16233099999999</v>
      </c>
      <c r="G237" s="2">
        <f t="shared" si="117"/>
        <v>-1.9075559999999996</v>
      </c>
      <c r="H237" s="2">
        <f t="shared" si="118"/>
        <v>-3.416622000000018</v>
      </c>
      <c r="I237" s="4">
        <f t="shared" si="115"/>
        <v>-1.9699352696354926</v>
      </c>
      <c r="J237" s="4">
        <f t="shared" si="116"/>
        <v>-3.5178429389807011</v>
      </c>
      <c r="K237" s="4">
        <f t="shared" si="119"/>
        <v>13.734972677392093</v>
      </c>
      <c r="L237" s="4">
        <f t="shared" si="120"/>
        <v>3.7060724058485546</v>
      </c>
      <c r="M237" s="4">
        <f t="shared" si="121"/>
        <v>0.53965486395889062</v>
      </c>
      <c r="N237" s="4">
        <f t="shared" si="122"/>
        <v>8.7368211658346601E-2</v>
      </c>
      <c r="O237" s="3">
        <f t="shared" si="123"/>
        <v>-1.9075559999999996</v>
      </c>
      <c r="P237" s="3">
        <f t="shared" si="124"/>
        <v>-3.416622000000018</v>
      </c>
      <c r="Q237">
        <f t="shared" si="125"/>
        <v>1</v>
      </c>
      <c r="R237" s="3">
        <f t="shared" si="126"/>
        <v>-1.9075559999999996</v>
      </c>
      <c r="S237" s="3">
        <f t="shared" si="127"/>
        <v>-3.416622000000018</v>
      </c>
      <c r="T237">
        <f t="shared" si="128"/>
        <v>1</v>
      </c>
      <c r="U237" s="3">
        <f t="shared" si="129"/>
        <v>-1.9075559999999996</v>
      </c>
      <c r="V237" s="3">
        <f t="shared" si="130"/>
        <v>-3.416622000000018</v>
      </c>
      <c r="W237">
        <f t="shared" si="131"/>
        <v>1</v>
      </c>
      <c r="X237" s="3">
        <f t="shared" si="132"/>
        <v>-1.9075559999999996</v>
      </c>
      <c r="Y237" s="3">
        <f t="shared" si="133"/>
        <v>-3.416622000000018</v>
      </c>
      <c r="Z237">
        <f t="shared" si="134"/>
        <v>1</v>
      </c>
      <c r="AA237" s="3">
        <f t="shared" si="135"/>
        <v>-1.9075559999999996</v>
      </c>
      <c r="AB237" s="3">
        <f t="shared" si="136"/>
        <v>-3.416622000000018</v>
      </c>
      <c r="AC237">
        <f t="shared" si="137"/>
        <v>1</v>
      </c>
      <c r="AD237" s="3">
        <f t="shared" si="138"/>
        <v>-1.9075559999999996</v>
      </c>
      <c r="AE237" s="3">
        <f t="shared" si="139"/>
        <v>-3.416622000000018</v>
      </c>
      <c r="AF237">
        <f t="shared" si="140"/>
        <v>1</v>
      </c>
      <c r="AG237" s="3">
        <f t="shared" si="141"/>
        <v>-1.9075559999999996</v>
      </c>
      <c r="AH237" s="3">
        <f t="shared" si="142"/>
        <v>-3.416622000000018</v>
      </c>
      <c r="AI237">
        <f t="shared" si="143"/>
        <v>1</v>
      </c>
      <c r="AJ237" s="3">
        <f t="shared" si="144"/>
        <v>-1.9075559999999996</v>
      </c>
      <c r="AK237" s="3">
        <f t="shared" si="145"/>
        <v>-3.416622000000018</v>
      </c>
      <c r="AL237">
        <f t="shared" si="146"/>
        <v>1</v>
      </c>
      <c r="AM237" s="3">
        <f t="shared" si="147"/>
        <v>-1.9075559999999996</v>
      </c>
      <c r="AN237" s="3">
        <f t="shared" si="148"/>
        <v>-3.416622000000018</v>
      </c>
      <c r="AO237">
        <f t="shared" si="149"/>
        <v>1</v>
      </c>
      <c r="AP237" s="3">
        <f t="shared" si="150"/>
        <v>-1.9075559999999996</v>
      </c>
      <c r="AQ237" s="3">
        <f t="shared" si="151"/>
        <v>-3.416622000000018</v>
      </c>
      <c r="AR237">
        <f t="shared" si="152"/>
        <v>1</v>
      </c>
    </row>
    <row r="238" spans="4:44" x14ac:dyDescent="0.25">
      <c r="D238" s="1">
        <v>42401</v>
      </c>
      <c r="E238" s="2">
        <v>94.331208000000004</v>
      </c>
      <c r="F238" s="3">
        <v>189.57895300000001</v>
      </c>
      <c r="G238" s="2">
        <f t="shared" si="117"/>
        <v>-0.89018999999998982</v>
      </c>
      <c r="H238" s="2">
        <f t="shared" si="118"/>
        <v>-6.8534999999997126E-2</v>
      </c>
      <c r="I238" s="4">
        <f t="shared" si="115"/>
        <v>-0.95256926963548283</v>
      </c>
      <c r="J238" s="4">
        <f t="shared" si="116"/>
        <v>-0.16975593898068034</v>
      </c>
      <c r="K238" s="4">
        <f t="shared" si="119"/>
        <v>1.5654311443786451</v>
      </c>
      <c r="L238" s="4">
        <f t="shared" si="120"/>
        <v>1.2511719084037354</v>
      </c>
      <c r="M238" s="4">
        <f t="shared" si="121"/>
        <v>1</v>
      </c>
      <c r="N238" s="4">
        <f t="shared" si="122"/>
        <v>1</v>
      </c>
      <c r="O238" s="3">
        <f t="shared" si="123"/>
        <v>-0.89018999999998982</v>
      </c>
      <c r="P238" s="3">
        <f t="shared" si="124"/>
        <v>-6.8534999999997126E-2</v>
      </c>
      <c r="Q238">
        <f t="shared" si="125"/>
        <v>1</v>
      </c>
      <c r="R238" s="3">
        <f t="shared" si="126"/>
        <v>-0.89018999999998982</v>
      </c>
      <c r="S238" s="3">
        <f t="shared" si="127"/>
        <v>-6.8534999999997126E-2</v>
      </c>
      <c r="T238">
        <f t="shared" si="128"/>
        <v>1</v>
      </c>
      <c r="U238" s="3">
        <f t="shared" si="129"/>
        <v>0</v>
      </c>
      <c r="V238" s="3">
        <f t="shared" si="130"/>
        <v>0</v>
      </c>
      <c r="W238">
        <f t="shared" si="131"/>
        <v>0</v>
      </c>
      <c r="X238" s="3">
        <f t="shared" si="132"/>
        <v>0</v>
      </c>
      <c r="Y238" s="3">
        <f t="shared" si="133"/>
        <v>0</v>
      </c>
      <c r="Z238">
        <f t="shared" si="134"/>
        <v>0</v>
      </c>
      <c r="AA238" s="3">
        <f t="shared" si="135"/>
        <v>0</v>
      </c>
      <c r="AB238" s="3">
        <f t="shared" si="136"/>
        <v>0</v>
      </c>
      <c r="AC238">
        <f t="shared" si="137"/>
        <v>0</v>
      </c>
      <c r="AD238" s="3">
        <f t="shared" si="138"/>
        <v>0</v>
      </c>
      <c r="AE238" s="3">
        <f t="shared" si="139"/>
        <v>0</v>
      </c>
      <c r="AF238">
        <f t="shared" si="140"/>
        <v>0</v>
      </c>
      <c r="AG238" s="3">
        <f t="shared" si="141"/>
        <v>0</v>
      </c>
      <c r="AH238" s="3">
        <f t="shared" si="142"/>
        <v>0</v>
      </c>
      <c r="AI238">
        <f t="shared" si="143"/>
        <v>0</v>
      </c>
      <c r="AJ238" s="3">
        <f t="shared" si="144"/>
        <v>0</v>
      </c>
      <c r="AK238" s="3">
        <f t="shared" si="145"/>
        <v>0</v>
      </c>
      <c r="AL238">
        <f t="shared" si="146"/>
        <v>0</v>
      </c>
      <c r="AM238" s="3">
        <f t="shared" si="147"/>
        <v>0</v>
      </c>
      <c r="AN238" s="3">
        <f t="shared" si="148"/>
        <v>0</v>
      </c>
      <c r="AO238">
        <f t="shared" si="149"/>
        <v>0</v>
      </c>
      <c r="AP238" s="3">
        <f t="shared" si="150"/>
        <v>0</v>
      </c>
      <c r="AQ238" s="3">
        <f t="shared" si="151"/>
        <v>0</v>
      </c>
      <c r="AR238">
        <f t="shared" si="152"/>
        <v>0</v>
      </c>
    </row>
    <row r="239" spans="4:44" x14ac:dyDescent="0.25">
      <c r="D239" s="1">
        <v>42398</v>
      </c>
      <c r="E239" s="2">
        <v>95.221397999999994</v>
      </c>
      <c r="F239" s="3">
        <v>189.64748800000001</v>
      </c>
      <c r="G239" s="2">
        <f t="shared" si="117"/>
        <v>3.1792639999999892</v>
      </c>
      <c r="H239" s="2">
        <f t="shared" si="118"/>
        <v>4.5130860000000155</v>
      </c>
      <c r="I239" s="4">
        <f t="shared" si="115"/>
        <v>3.1168847303644962</v>
      </c>
      <c r="J239" s="4">
        <f t="shared" si="116"/>
        <v>4.4118650610193324</v>
      </c>
      <c r="K239" s="4">
        <f t="shared" si="119"/>
        <v>21.885418387353226</v>
      </c>
      <c r="L239" s="4">
        <f t="shared" si="120"/>
        <v>4.6781853733422354</v>
      </c>
      <c r="M239" s="4">
        <f t="shared" si="121"/>
        <v>0.42751619279488712</v>
      </c>
      <c r="N239" s="4">
        <f t="shared" si="122"/>
        <v>5.4831028530550531E-2</v>
      </c>
      <c r="O239" s="3">
        <f t="shared" si="123"/>
        <v>3.1792639999999892</v>
      </c>
      <c r="P239" s="3">
        <f t="shared" si="124"/>
        <v>4.5130860000000155</v>
      </c>
      <c r="Q239">
        <f t="shared" si="125"/>
        <v>1</v>
      </c>
      <c r="R239" s="3">
        <f t="shared" si="126"/>
        <v>3.1792639999999892</v>
      </c>
      <c r="S239" s="3">
        <f t="shared" si="127"/>
        <v>4.5130860000000155</v>
      </c>
      <c r="T239">
        <f t="shared" si="128"/>
        <v>1</v>
      </c>
      <c r="U239" s="3">
        <f t="shared" si="129"/>
        <v>3.1792639999999892</v>
      </c>
      <c r="V239" s="3">
        <f t="shared" si="130"/>
        <v>4.5130860000000155</v>
      </c>
      <c r="W239">
        <f t="shared" si="131"/>
        <v>1</v>
      </c>
      <c r="X239" s="3">
        <f t="shared" si="132"/>
        <v>3.1792639999999892</v>
      </c>
      <c r="Y239" s="3">
        <f t="shared" si="133"/>
        <v>4.5130860000000155</v>
      </c>
      <c r="Z239">
        <f t="shared" si="134"/>
        <v>1</v>
      </c>
      <c r="AA239" s="3">
        <f t="shared" si="135"/>
        <v>3.1792639999999892</v>
      </c>
      <c r="AB239" s="3">
        <f t="shared" si="136"/>
        <v>4.5130860000000155</v>
      </c>
      <c r="AC239">
        <f t="shared" si="137"/>
        <v>1</v>
      </c>
      <c r="AD239" s="3">
        <f t="shared" si="138"/>
        <v>3.1792639999999892</v>
      </c>
      <c r="AE239" s="3">
        <f t="shared" si="139"/>
        <v>4.5130860000000155</v>
      </c>
      <c r="AF239">
        <f t="shared" si="140"/>
        <v>1</v>
      </c>
      <c r="AG239" s="3">
        <f t="shared" si="141"/>
        <v>3.1792639999999892</v>
      </c>
      <c r="AH239" s="3">
        <f t="shared" si="142"/>
        <v>4.5130860000000155</v>
      </c>
      <c r="AI239">
        <f t="shared" si="143"/>
        <v>1</v>
      </c>
      <c r="AJ239" s="3">
        <f t="shared" si="144"/>
        <v>3.1792639999999892</v>
      </c>
      <c r="AK239" s="3">
        <f t="shared" si="145"/>
        <v>4.5130860000000155</v>
      </c>
      <c r="AL239">
        <f t="shared" si="146"/>
        <v>1</v>
      </c>
      <c r="AM239" s="3">
        <f t="shared" si="147"/>
        <v>3.1792639999999892</v>
      </c>
      <c r="AN239" s="3">
        <f t="shared" si="148"/>
        <v>4.5130860000000155</v>
      </c>
      <c r="AO239">
        <f t="shared" si="149"/>
        <v>1</v>
      </c>
      <c r="AP239" s="3">
        <f t="shared" si="150"/>
        <v>3.1792639999999892</v>
      </c>
      <c r="AQ239" s="3">
        <f t="shared" si="151"/>
        <v>4.5130860000000155</v>
      </c>
      <c r="AR239">
        <f t="shared" si="152"/>
        <v>1</v>
      </c>
    </row>
    <row r="240" spans="4:44" x14ac:dyDescent="0.25">
      <c r="D240" s="1">
        <v>42397</v>
      </c>
      <c r="E240" s="2">
        <v>92.042134000000004</v>
      </c>
      <c r="F240" s="3">
        <v>185.13440199999999</v>
      </c>
      <c r="G240" s="2">
        <f t="shared" si="117"/>
        <v>0.65541600000000244</v>
      </c>
      <c r="H240" s="2">
        <f t="shared" si="118"/>
        <v>0.95939400000000319</v>
      </c>
      <c r="I240" s="4">
        <f t="shared" si="115"/>
        <v>0.59303673036450943</v>
      </c>
      <c r="J240" s="4">
        <f t="shared" si="116"/>
        <v>0.85817306101932</v>
      </c>
      <c r="K240" s="4">
        <f t="shared" si="119"/>
        <v>0.82376322679500857</v>
      </c>
      <c r="L240" s="4">
        <f t="shared" si="120"/>
        <v>0.90761402963760351</v>
      </c>
      <c r="M240" s="4">
        <f t="shared" si="121"/>
        <v>1</v>
      </c>
      <c r="N240" s="4">
        <f t="shared" si="122"/>
        <v>1</v>
      </c>
      <c r="O240" s="3">
        <f t="shared" si="123"/>
        <v>0.65541600000000244</v>
      </c>
      <c r="P240" s="3">
        <f t="shared" si="124"/>
        <v>0.95939400000000319</v>
      </c>
      <c r="Q240">
        <f t="shared" si="125"/>
        <v>1</v>
      </c>
      <c r="R240" s="3">
        <f t="shared" si="126"/>
        <v>0</v>
      </c>
      <c r="S240" s="3">
        <f t="shared" si="127"/>
        <v>0</v>
      </c>
      <c r="T240">
        <f t="shared" si="128"/>
        <v>0</v>
      </c>
      <c r="U240" s="3">
        <f t="shared" si="129"/>
        <v>0</v>
      </c>
      <c r="V240" s="3">
        <f t="shared" si="130"/>
        <v>0</v>
      </c>
      <c r="W240">
        <f t="shared" si="131"/>
        <v>0</v>
      </c>
      <c r="X240" s="3">
        <f t="shared" si="132"/>
        <v>0</v>
      </c>
      <c r="Y240" s="3">
        <f t="shared" si="133"/>
        <v>0</v>
      </c>
      <c r="Z240">
        <f t="shared" si="134"/>
        <v>0</v>
      </c>
      <c r="AA240" s="3">
        <f t="shared" si="135"/>
        <v>0</v>
      </c>
      <c r="AB240" s="3">
        <f t="shared" si="136"/>
        <v>0</v>
      </c>
      <c r="AC240">
        <f t="shared" si="137"/>
        <v>0</v>
      </c>
      <c r="AD240" s="3">
        <f t="shared" si="138"/>
        <v>0</v>
      </c>
      <c r="AE240" s="3">
        <f t="shared" si="139"/>
        <v>0</v>
      </c>
      <c r="AF240">
        <f t="shared" si="140"/>
        <v>0</v>
      </c>
      <c r="AG240" s="3">
        <f t="shared" si="141"/>
        <v>0</v>
      </c>
      <c r="AH240" s="3">
        <f t="shared" si="142"/>
        <v>0</v>
      </c>
      <c r="AI240">
        <f t="shared" si="143"/>
        <v>0</v>
      </c>
      <c r="AJ240" s="3">
        <f t="shared" si="144"/>
        <v>0</v>
      </c>
      <c r="AK240" s="3">
        <f t="shared" si="145"/>
        <v>0</v>
      </c>
      <c r="AL240">
        <f t="shared" si="146"/>
        <v>0</v>
      </c>
      <c r="AM240" s="3">
        <f t="shared" si="147"/>
        <v>0</v>
      </c>
      <c r="AN240" s="3">
        <f t="shared" si="148"/>
        <v>0</v>
      </c>
      <c r="AO240">
        <f t="shared" si="149"/>
        <v>0</v>
      </c>
      <c r="AP240" s="3">
        <f t="shared" si="150"/>
        <v>0</v>
      </c>
      <c r="AQ240" s="3">
        <f t="shared" si="151"/>
        <v>0</v>
      </c>
      <c r="AR240">
        <f t="shared" si="152"/>
        <v>0</v>
      </c>
    </row>
    <row r="241" spans="4:44" x14ac:dyDescent="0.25">
      <c r="D241" s="1">
        <v>42396</v>
      </c>
      <c r="E241" s="2">
        <v>91.386718000000002</v>
      </c>
      <c r="F241" s="3">
        <v>184.17500799999999</v>
      </c>
      <c r="G241" s="2">
        <f t="shared" si="117"/>
        <v>-6.4270039999999966</v>
      </c>
      <c r="H241" s="2">
        <f t="shared" si="118"/>
        <v>-2.0264760000000024</v>
      </c>
      <c r="I241" s="4">
        <f t="shared" si="115"/>
        <v>-6.4893832696354901</v>
      </c>
      <c r="J241" s="4">
        <f t="shared" si="116"/>
        <v>-2.1276969389806855</v>
      </c>
      <c r="K241" s="4">
        <f t="shared" si="119"/>
        <v>62.341624125974818</v>
      </c>
      <c r="L241" s="4">
        <f t="shared" si="120"/>
        <v>7.8956712270696032</v>
      </c>
      <c r="M241" s="4">
        <f t="shared" si="121"/>
        <v>0.25330335350630845</v>
      </c>
      <c r="N241" s="4">
        <f t="shared" si="122"/>
        <v>1.9248776669262561E-2</v>
      </c>
      <c r="O241" s="3">
        <f t="shared" si="123"/>
        <v>-6.4270039999999966</v>
      </c>
      <c r="P241" s="3">
        <f t="shared" si="124"/>
        <v>-2.0264760000000024</v>
      </c>
      <c r="Q241">
        <f t="shared" si="125"/>
        <v>1</v>
      </c>
      <c r="R241" s="3">
        <f t="shared" si="126"/>
        <v>-6.4270039999999966</v>
      </c>
      <c r="S241" s="3">
        <f t="shared" si="127"/>
        <v>-2.0264760000000024</v>
      </c>
      <c r="T241">
        <f t="shared" si="128"/>
        <v>1</v>
      </c>
      <c r="U241" s="3">
        <f t="shared" si="129"/>
        <v>-6.4270039999999966</v>
      </c>
      <c r="V241" s="3">
        <f t="shared" si="130"/>
        <v>-2.0264760000000024</v>
      </c>
      <c r="W241">
        <f t="shared" si="131"/>
        <v>1</v>
      </c>
      <c r="X241" s="3">
        <f t="shared" si="132"/>
        <v>-6.4270039999999966</v>
      </c>
      <c r="Y241" s="3">
        <f t="shared" si="133"/>
        <v>-2.0264760000000024</v>
      </c>
      <c r="Z241">
        <f t="shared" si="134"/>
        <v>1</v>
      </c>
      <c r="AA241" s="3">
        <f t="shared" si="135"/>
        <v>-6.4270039999999966</v>
      </c>
      <c r="AB241" s="3">
        <f t="shared" si="136"/>
        <v>-2.0264760000000024</v>
      </c>
      <c r="AC241">
        <f t="shared" si="137"/>
        <v>1</v>
      </c>
      <c r="AD241" s="3">
        <f t="shared" si="138"/>
        <v>-6.4270039999999966</v>
      </c>
      <c r="AE241" s="3">
        <f t="shared" si="139"/>
        <v>-2.0264760000000024</v>
      </c>
      <c r="AF241">
        <f t="shared" si="140"/>
        <v>1</v>
      </c>
      <c r="AG241" s="3">
        <f t="shared" si="141"/>
        <v>-6.4270039999999966</v>
      </c>
      <c r="AH241" s="3">
        <f t="shared" si="142"/>
        <v>-2.0264760000000024</v>
      </c>
      <c r="AI241">
        <f t="shared" si="143"/>
        <v>1</v>
      </c>
      <c r="AJ241" s="3">
        <f t="shared" si="144"/>
        <v>-6.4270039999999966</v>
      </c>
      <c r="AK241" s="3">
        <f t="shared" si="145"/>
        <v>-2.0264760000000024</v>
      </c>
      <c r="AL241">
        <f t="shared" si="146"/>
        <v>1</v>
      </c>
      <c r="AM241" s="3">
        <f t="shared" si="147"/>
        <v>-6.4270039999999966</v>
      </c>
      <c r="AN241" s="3">
        <f t="shared" si="148"/>
        <v>-2.0264760000000024</v>
      </c>
      <c r="AO241">
        <f t="shared" si="149"/>
        <v>1</v>
      </c>
      <c r="AP241" s="3">
        <f t="shared" si="150"/>
        <v>-6.4270039999999966</v>
      </c>
      <c r="AQ241" s="3">
        <f t="shared" si="151"/>
        <v>-2.0264760000000024</v>
      </c>
      <c r="AR241">
        <f t="shared" si="152"/>
        <v>1</v>
      </c>
    </row>
    <row r="242" spans="4:44" x14ac:dyDescent="0.25">
      <c r="D242" s="1">
        <v>42395</v>
      </c>
      <c r="E242" s="2">
        <v>97.813721999999999</v>
      </c>
      <c r="F242" s="3">
        <v>186.20148399999999</v>
      </c>
      <c r="G242" s="2">
        <f t="shared" si="117"/>
        <v>0.53802500000000464</v>
      </c>
      <c r="H242" s="2">
        <f t="shared" si="118"/>
        <v>2.5061800000000005</v>
      </c>
      <c r="I242" s="4">
        <f t="shared" si="115"/>
        <v>0.47564573036451163</v>
      </c>
      <c r="J242" s="4">
        <f t="shared" si="116"/>
        <v>2.4049590610193174</v>
      </c>
      <c r="K242" s="4">
        <f t="shared" si="119"/>
        <v>8.4793376361587427</v>
      </c>
      <c r="L242" s="4">
        <f t="shared" si="120"/>
        <v>2.9119302251528527</v>
      </c>
      <c r="M242" s="4">
        <f t="shared" si="121"/>
        <v>0.68682964403620494</v>
      </c>
      <c r="N242" s="4">
        <f t="shared" si="122"/>
        <v>0.14152048797807001</v>
      </c>
      <c r="O242" s="3">
        <f t="shared" si="123"/>
        <v>0.53802500000000464</v>
      </c>
      <c r="P242" s="3">
        <f t="shared" si="124"/>
        <v>2.5061800000000005</v>
      </c>
      <c r="Q242">
        <f t="shared" si="125"/>
        <v>1</v>
      </c>
      <c r="R242" s="3">
        <f t="shared" si="126"/>
        <v>0.53802500000000464</v>
      </c>
      <c r="S242" s="3">
        <f t="shared" si="127"/>
        <v>2.5061800000000005</v>
      </c>
      <c r="T242">
        <f t="shared" si="128"/>
        <v>1</v>
      </c>
      <c r="U242" s="3">
        <f t="shared" si="129"/>
        <v>0.53802500000000464</v>
      </c>
      <c r="V242" s="3">
        <f t="shared" si="130"/>
        <v>2.5061800000000005</v>
      </c>
      <c r="W242">
        <f t="shared" si="131"/>
        <v>1</v>
      </c>
      <c r="X242" s="3">
        <f t="shared" si="132"/>
        <v>0.53802500000000464</v>
      </c>
      <c r="Y242" s="3">
        <f t="shared" si="133"/>
        <v>2.5061800000000005</v>
      </c>
      <c r="Z242">
        <f t="shared" si="134"/>
        <v>1</v>
      </c>
      <c r="AA242" s="3">
        <f t="shared" si="135"/>
        <v>0.53802500000000464</v>
      </c>
      <c r="AB242" s="3">
        <f t="shared" si="136"/>
        <v>2.5061800000000005</v>
      </c>
      <c r="AC242">
        <f t="shared" si="137"/>
        <v>1</v>
      </c>
      <c r="AD242" s="3">
        <f t="shared" si="138"/>
        <v>0.53802500000000464</v>
      </c>
      <c r="AE242" s="3">
        <f t="shared" si="139"/>
        <v>2.5061800000000005</v>
      </c>
      <c r="AF242">
        <f t="shared" si="140"/>
        <v>1</v>
      </c>
      <c r="AG242" s="3">
        <f t="shared" si="141"/>
        <v>0.53802500000000464</v>
      </c>
      <c r="AH242" s="3">
        <f t="shared" si="142"/>
        <v>2.5061800000000005</v>
      </c>
      <c r="AI242">
        <f t="shared" si="143"/>
        <v>1</v>
      </c>
      <c r="AJ242" s="3">
        <f t="shared" si="144"/>
        <v>0.53802500000000464</v>
      </c>
      <c r="AK242" s="3">
        <f t="shared" si="145"/>
        <v>2.5061800000000005</v>
      </c>
      <c r="AL242">
        <f t="shared" si="146"/>
        <v>1</v>
      </c>
      <c r="AM242" s="3">
        <f t="shared" si="147"/>
        <v>0.53802500000000464</v>
      </c>
      <c r="AN242" s="3">
        <f t="shared" si="148"/>
        <v>2.5061800000000005</v>
      </c>
      <c r="AO242">
        <f t="shared" si="149"/>
        <v>1</v>
      </c>
      <c r="AP242" s="3">
        <f t="shared" si="150"/>
        <v>0</v>
      </c>
      <c r="AQ242" s="3">
        <f t="shared" si="151"/>
        <v>0</v>
      </c>
      <c r="AR242">
        <f t="shared" si="152"/>
        <v>0</v>
      </c>
    </row>
    <row r="243" spans="4:44" x14ac:dyDescent="0.25">
      <c r="D243" s="1">
        <v>42394</v>
      </c>
      <c r="E243" s="2">
        <v>97.275696999999994</v>
      </c>
      <c r="F243" s="3">
        <v>183.69530399999999</v>
      </c>
      <c r="G243" s="2">
        <f t="shared" si="117"/>
        <v>-1.9369020000000035</v>
      </c>
      <c r="H243" s="2">
        <f t="shared" si="118"/>
        <v>-2.8194600000000207</v>
      </c>
      <c r="I243" s="4">
        <f t="shared" si="115"/>
        <v>-1.9992812696354965</v>
      </c>
      <c r="J243" s="4">
        <f t="shared" si="116"/>
        <v>-2.9206809389807038</v>
      </c>
      <c r="K243" s="4">
        <f t="shared" si="119"/>
        <v>9.5231788272217699</v>
      </c>
      <c r="L243" s="4">
        <f t="shared" si="120"/>
        <v>3.0859648130239221</v>
      </c>
      <c r="M243" s="4">
        <f t="shared" si="121"/>
        <v>0.64809552965712836</v>
      </c>
      <c r="N243" s="4">
        <f t="shared" si="122"/>
        <v>0.12600834466846614</v>
      </c>
      <c r="O243" s="3">
        <f t="shared" si="123"/>
        <v>-1.9369020000000035</v>
      </c>
      <c r="P243" s="3">
        <f t="shared" si="124"/>
        <v>-2.8194600000000207</v>
      </c>
      <c r="Q243">
        <f t="shared" si="125"/>
        <v>1</v>
      </c>
      <c r="R243" s="3">
        <f t="shared" si="126"/>
        <v>-1.9369020000000035</v>
      </c>
      <c r="S243" s="3">
        <f t="shared" si="127"/>
        <v>-2.8194600000000207</v>
      </c>
      <c r="T243">
        <f t="shared" si="128"/>
        <v>1</v>
      </c>
      <c r="U243" s="3">
        <f t="shared" si="129"/>
        <v>-1.9369020000000035</v>
      </c>
      <c r="V243" s="3">
        <f t="shared" si="130"/>
        <v>-2.8194600000000207</v>
      </c>
      <c r="W243">
        <f t="shared" si="131"/>
        <v>1</v>
      </c>
      <c r="X243" s="3">
        <f t="shared" si="132"/>
        <v>-1.9369020000000035</v>
      </c>
      <c r="Y243" s="3">
        <f t="shared" si="133"/>
        <v>-2.8194600000000207</v>
      </c>
      <c r="Z243">
        <f t="shared" si="134"/>
        <v>1</v>
      </c>
      <c r="AA243" s="3">
        <f t="shared" si="135"/>
        <v>-1.9369020000000035</v>
      </c>
      <c r="AB243" s="3">
        <f t="shared" si="136"/>
        <v>-2.8194600000000207</v>
      </c>
      <c r="AC243">
        <f t="shared" si="137"/>
        <v>1</v>
      </c>
      <c r="AD243" s="3">
        <f t="shared" si="138"/>
        <v>-1.9369020000000035</v>
      </c>
      <c r="AE243" s="3">
        <f t="shared" si="139"/>
        <v>-2.8194600000000207</v>
      </c>
      <c r="AF243">
        <f t="shared" si="140"/>
        <v>1</v>
      </c>
      <c r="AG243" s="3">
        <f t="shared" si="141"/>
        <v>-1.9369020000000035</v>
      </c>
      <c r="AH243" s="3">
        <f t="shared" si="142"/>
        <v>-2.8194600000000207</v>
      </c>
      <c r="AI243">
        <f t="shared" si="143"/>
        <v>1</v>
      </c>
      <c r="AJ243" s="3">
        <f t="shared" si="144"/>
        <v>-1.9369020000000035</v>
      </c>
      <c r="AK243" s="3">
        <f t="shared" si="145"/>
        <v>-2.8194600000000207</v>
      </c>
      <c r="AL243">
        <f t="shared" si="146"/>
        <v>1</v>
      </c>
      <c r="AM243" s="3">
        <f t="shared" si="147"/>
        <v>-1.9369020000000035</v>
      </c>
      <c r="AN243" s="3">
        <f t="shared" si="148"/>
        <v>-2.8194600000000207</v>
      </c>
      <c r="AO243">
        <f t="shared" si="149"/>
        <v>1</v>
      </c>
      <c r="AP243" s="3">
        <f t="shared" si="150"/>
        <v>-1.9369020000000035</v>
      </c>
      <c r="AQ243" s="3">
        <f t="shared" si="151"/>
        <v>-2.8194600000000207</v>
      </c>
      <c r="AR243">
        <f t="shared" si="152"/>
        <v>1</v>
      </c>
    </row>
    <row r="244" spans="4:44" x14ac:dyDescent="0.25">
      <c r="D244" s="1">
        <v>42391</v>
      </c>
      <c r="E244" s="2">
        <v>99.212598999999997</v>
      </c>
      <c r="F244" s="3">
        <v>186.51476400000001</v>
      </c>
      <c r="G244" s="2">
        <f t="shared" si="117"/>
        <v>5.0085589999999911</v>
      </c>
      <c r="H244" s="2">
        <f t="shared" si="118"/>
        <v>3.7494850000000213</v>
      </c>
      <c r="I244" s="4">
        <f t="shared" si="115"/>
        <v>4.9461797303644977</v>
      </c>
      <c r="J244" s="4">
        <f t="shared" si="116"/>
        <v>3.6482640610193382</v>
      </c>
      <c r="K244" s="4">
        <f t="shared" si="119"/>
        <v>30.451350983754203</v>
      </c>
      <c r="L244" s="4">
        <f t="shared" si="120"/>
        <v>5.5182742758723222</v>
      </c>
      <c r="M244" s="4">
        <f t="shared" si="121"/>
        <v>0.36243214817078701</v>
      </c>
      <c r="N244" s="4">
        <f t="shared" si="122"/>
        <v>3.9407118608307395E-2</v>
      </c>
      <c r="O244" s="3">
        <f t="shared" si="123"/>
        <v>5.0085589999999911</v>
      </c>
      <c r="P244" s="3">
        <f t="shared" si="124"/>
        <v>3.7494850000000213</v>
      </c>
      <c r="Q244">
        <f t="shared" si="125"/>
        <v>1</v>
      </c>
      <c r="R244" s="3">
        <f t="shared" si="126"/>
        <v>5.0085589999999911</v>
      </c>
      <c r="S244" s="3">
        <f t="shared" si="127"/>
        <v>3.7494850000000213</v>
      </c>
      <c r="T244">
        <f t="shared" si="128"/>
        <v>1</v>
      </c>
      <c r="U244" s="3">
        <f t="shared" si="129"/>
        <v>5.0085589999999911</v>
      </c>
      <c r="V244" s="3">
        <f t="shared" si="130"/>
        <v>3.7494850000000213</v>
      </c>
      <c r="W244">
        <f t="shared" si="131"/>
        <v>1</v>
      </c>
      <c r="X244" s="3">
        <f t="shared" si="132"/>
        <v>5.0085589999999911</v>
      </c>
      <c r="Y244" s="3">
        <f t="shared" si="133"/>
        <v>3.7494850000000213</v>
      </c>
      <c r="Z244">
        <f t="shared" si="134"/>
        <v>1</v>
      </c>
      <c r="AA244" s="3">
        <f t="shared" si="135"/>
        <v>5.0085589999999911</v>
      </c>
      <c r="AB244" s="3">
        <f t="shared" si="136"/>
        <v>3.7494850000000213</v>
      </c>
      <c r="AC244">
        <f t="shared" si="137"/>
        <v>1</v>
      </c>
      <c r="AD244" s="3">
        <f t="shared" si="138"/>
        <v>5.0085589999999911</v>
      </c>
      <c r="AE244" s="3">
        <f t="shared" si="139"/>
        <v>3.7494850000000213</v>
      </c>
      <c r="AF244">
        <f t="shared" si="140"/>
        <v>1</v>
      </c>
      <c r="AG244" s="3">
        <f t="shared" si="141"/>
        <v>5.0085589999999911</v>
      </c>
      <c r="AH244" s="3">
        <f t="shared" si="142"/>
        <v>3.7494850000000213</v>
      </c>
      <c r="AI244">
        <f t="shared" si="143"/>
        <v>1</v>
      </c>
      <c r="AJ244" s="3">
        <f t="shared" si="144"/>
        <v>5.0085589999999911</v>
      </c>
      <c r="AK244" s="3">
        <f t="shared" si="145"/>
        <v>3.7494850000000213</v>
      </c>
      <c r="AL244">
        <f t="shared" si="146"/>
        <v>1</v>
      </c>
      <c r="AM244" s="3">
        <f t="shared" si="147"/>
        <v>5.0085589999999911</v>
      </c>
      <c r="AN244" s="3">
        <f t="shared" si="148"/>
        <v>3.7494850000000213</v>
      </c>
      <c r="AO244">
        <f t="shared" si="149"/>
        <v>1</v>
      </c>
      <c r="AP244" s="3">
        <f t="shared" si="150"/>
        <v>5.0085589999999911</v>
      </c>
      <c r="AQ244" s="3">
        <f t="shared" si="151"/>
        <v>3.7494850000000213</v>
      </c>
      <c r="AR244">
        <f t="shared" si="152"/>
        <v>1</v>
      </c>
    </row>
    <row r="245" spans="4:44" x14ac:dyDescent="0.25">
      <c r="D245" s="1">
        <v>42390</v>
      </c>
      <c r="E245" s="2">
        <v>94.204040000000006</v>
      </c>
      <c r="F245" s="3">
        <v>182.76527899999999</v>
      </c>
      <c r="G245" s="2">
        <f t="shared" si="117"/>
        <v>-0.4793329999999969</v>
      </c>
      <c r="H245" s="2">
        <f t="shared" si="118"/>
        <v>1.0181450000000041</v>
      </c>
      <c r="I245" s="4">
        <f t="shared" si="115"/>
        <v>-0.54171226963548991</v>
      </c>
      <c r="J245" s="4">
        <f t="shared" si="116"/>
        <v>0.91692406101932089</v>
      </c>
      <c r="K245" s="4">
        <f t="shared" si="119"/>
        <v>3.5077073542729309</v>
      </c>
      <c r="L245" s="4">
        <f t="shared" si="120"/>
        <v>1.8728874376942495</v>
      </c>
      <c r="M245" s="4">
        <f t="shared" si="121"/>
        <v>1</v>
      </c>
      <c r="N245" s="4">
        <f t="shared" si="122"/>
        <v>0.34210379567104254</v>
      </c>
      <c r="O245" s="3">
        <f t="shared" si="123"/>
        <v>-0.4793329999999969</v>
      </c>
      <c r="P245" s="3">
        <f t="shared" si="124"/>
        <v>1.0181450000000041</v>
      </c>
      <c r="Q245">
        <f t="shared" si="125"/>
        <v>1</v>
      </c>
      <c r="R245" s="3">
        <f t="shared" si="126"/>
        <v>-0.4793329999999969</v>
      </c>
      <c r="S245" s="3">
        <f t="shared" si="127"/>
        <v>1.0181450000000041</v>
      </c>
      <c r="T245">
        <f t="shared" si="128"/>
        <v>1</v>
      </c>
      <c r="U245" s="3">
        <f t="shared" si="129"/>
        <v>-0.4793329999999969</v>
      </c>
      <c r="V245" s="3">
        <f t="shared" si="130"/>
        <v>1.0181450000000041</v>
      </c>
      <c r="W245">
        <f t="shared" si="131"/>
        <v>1</v>
      </c>
      <c r="X245" s="3">
        <f t="shared" si="132"/>
        <v>-0.4793329999999969</v>
      </c>
      <c r="Y245" s="3">
        <f t="shared" si="133"/>
        <v>1.0181450000000041</v>
      </c>
      <c r="Z245">
        <f t="shared" si="134"/>
        <v>1</v>
      </c>
      <c r="AA245" s="3">
        <f t="shared" si="135"/>
        <v>0</v>
      </c>
      <c r="AB245" s="3">
        <f t="shared" si="136"/>
        <v>0</v>
      </c>
      <c r="AC245">
        <f t="shared" si="137"/>
        <v>0</v>
      </c>
      <c r="AD245" s="3">
        <f t="shared" si="138"/>
        <v>0</v>
      </c>
      <c r="AE245" s="3">
        <f t="shared" si="139"/>
        <v>0</v>
      </c>
      <c r="AF245">
        <f t="shared" si="140"/>
        <v>0</v>
      </c>
      <c r="AG245" s="3">
        <f t="shared" si="141"/>
        <v>0</v>
      </c>
      <c r="AH245" s="3">
        <f t="shared" si="142"/>
        <v>0</v>
      </c>
      <c r="AI245">
        <f t="shared" si="143"/>
        <v>0</v>
      </c>
      <c r="AJ245" s="3">
        <f t="shared" si="144"/>
        <v>0</v>
      </c>
      <c r="AK245" s="3">
        <f t="shared" si="145"/>
        <v>0</v>
      </c>
      <c r="AL245">
        <f t="shared" si="146"/>
        <v>0</v>
      </c>
      <c r="AM245" s="3">
        <f t="shared" si="147"/>
        <v>0</v>
      </c>
      <c r="AN245" s="3">
        <f t="shared" si="148"/>
        <v>0</v>
      </c>
      <c r="AO245">
        <f t="shared" si="149"/>
        <v>0</v>
      </c>
      <c r="AP245" s="3">
        <f t="shared" si="150"/>
        <v>0</v>
      </c>
      <c r="AQ245" s="3">
        <f t="shared" si="151"/>
        <v>0</v>
      </c>
      <c r="AR245">
        <f t="shared" si="152"/>
        <v>0</v>
      </c>
    </row>
    <row r="246" spans="4:44" x14ac:dyDescent="0.25">
      <c r="D246" s="1">
        <v>42389</v>
      </c>
      <c r="E246" s="2">
        <v>94.683373000000003</v>
      </c>
      <c r="F246" s="3">
        <v>181.74713399999999</v>
      </c>
      <c r="G246" s="2">
        <f t="shared" si="117"/>
        <v>0.12716799999999751</v>
      </c>
      <c r="H246" s="2">
        <f t="shared" si="118"/>
        <v>-2.3593390000000056</v>
      </c>
      <c r="I246" s="4">
        <f t="shared" si="115"/>
        <v>6.4788730364504499E-2</v>
      </c>
      <c r="J246" s="4">
        <f t="shared" si="116"/>
        <v>-2.4605599389806887</v>
      </c>
      <c r="K246" s="4">
        <f t="shared" si="119"/>
        <v>11.902645420882102</v>
      </c>
      <c r="L246" s="4">
        <f t="shared" si="120"/>
        <v>3.450021075425787</v>
      </c>
      <c r="M246" s="4">
        <f t="shared" si="121"/>
        <v>0.57970660360478188</v>
      </c>
      <c r="N246" s="4">
        <f t="shared" si="122"/>
        <v>0.10081792387889753</v>
      </c>
      <c r="O246" s="3">
        <f t="shared" si="123"/>
        <v>0.12716799999999751</v>
      </c>
      <c r="P246" s="3">
        <f t="shared" si="124"/>
        <v>-2.3593390000000056</v>
      </c>
      <c r="Q246">
        <f t="shared" si="125"/>
        <v>1</v>
      </c>
      <c r="R246" s="3">
        <f t="shared" si="126"/>
        <v>0.12716799999999751</v>
      </c>
      <c r="S246" s="3">
        <f t="shared" si="127"/>
        <v>-2.3593390000000056</v>
      </c>
      <c r="T246">
        <f t="shared" si="128"/>
        <v>1</v>
      </c>
      <c r="U246" s="3">
        <f t="shared" si="129"/>
        <v>0.12716799999999751</v>
      </c>
      <c r="V246" s="3">
        <f t="shared" si="130"/>
        <v>-2.3593390000000056</v>
      </c>
      <c r="W246">
        <f t="shared" si="131"/>
        <v>1</v>
      </c>
      <c r="X246" s="3">
        <f t="shared" si="132"/>
        <v>0.12716799999999751</v>
      </c>
      <c r="Y246" s="3">
        <f t="shared" si="133"/>
        <v>-2.3593390000000056</v>
      </c>
      <c r="Z246">
        <f t="shared" si="134"/>
        <v>1</v>
      </c>
      <c r="AA246" s="3">
        <f t="shared" si="135"/>
        <v>0.12716799999999751</v>
      </c>
      <c r="AB246" s="3">
        <f t="shared" si="136"/>
        <v>-2.3593390000000056</v>
      </c>
      <c r="AC246">
        <f t="shared" si="137"/>
        <v>1</v>
      </c>
      <c r="AD246" s="3">
        <f t="shared" si="138"/>
        <v>0.12716799999999751</v>
      </c>
      <c r="AE246" s="3">
        <f t="shared" si="139"/>
        <v>-2.3593390000000056</v>
      </c>
      <c r="AF246">
        <f t="shared" si="140"/>
        <v>1</v>
      </c>
      <c r="AG246" s="3">
        <f t="shared" si="141"/>
        <v>0.12716799999999751</v>
      </c>
      <c r="AH246" s="3">
        <f t="shared" si="142"/>
        <v>-2.3593390000000056</v>
      </c>
      <c r="AI246">
        <f t="shared" si="143"/>
        <v>1</v>
      </c>
      <c r="AJ246" s="3">
        <f t="shared" si="144"/>
        <v>0.12716799999999751</v>
      </c>
      <c r="AK246" s="3">
        <f t="shared" si="145"/>
        <v>-2.3593390000000056</v>
      </c>
      <c r="AL246">
        <f t="shared" si="146"/>
        <v>1</v>
      </c>
      <c r="AM246" s="3">
        <f t="shared" si="147"/>
        <v>0.12716799999999751</v>
      </c>
      <c r="AN246" s="3">
        <f t="shared" si="148"/>
        <v>-2.3593390000000056</v>
      </c>
      <c r="AO246">
        <f t="shared" si="149"/>
        <v>1</v>
      </c>
      <c r="AP246" s="3">
        <f t="shared" si="150"/>
        <v>0.12716799999999751</v>
      </c>
      <c r="AQ246" s="3">
        <f t="shared" si="151"/>
        <v>-2.3593390000000056</v>
      </c>
      <c r="AR246">
        <f t="shared" si="152"/>
        <v>1</v>
      </c>
    </row>
    <row r="247" spans="4:44" x14ac:dyDescent="0.25">
      <c r="D247" s="1">
        <v>42388</v>
      </c>
      <c r="E247" s="2">
        <v>94.556205000000006</v>
      </c>
      <c r="F247" s="3">
        <v>184.10647299999999</v>
      </c>
      <c r="G247" s="2">
        <f t="shared" si="117"/>
        <v>-0.45976399999999273</v>
      </c>
      <c r="H247" s="2">
        <f t="shared" si="118"/>
        <v>0.24474399999999719</v>
      </c>
      <c r="I247" s="4">
        <f t="shared" si="115"/>
        <v>-0.52214326963548574</v>
      </c>
      <c r="J247" s="4">
        <f t="shared" si="116"/>
        <v>0.14352306101931397</v>
      </c>
      <c r="K247" s="4">
        <f t="shared" si="119"/>
        <v>0.81359642193851445</v>
      </c>
      <c r="L247" s="4">
        <f t="shared" si="120"/>
        <v>0.90199579929094709</v>
      </c>
      <c r="M247" s="4">
        <f t="shared" si="121"/>
        <v>1</v>
      </c>
      <c r="N247" s="4">
        <f t="shared" si="122"/>
        <v>1</v>
      </c>
      <c r="O247" s="3">
        <f t="shared" si="123"/>
        <v>-0.45976399999999273</v>
      </c>
      <c r="P247" s="3">
        <f t="shared" si="124"/>
        <v>0.24474399999999719</v>
      </c>
      <c r="Q247">
        <f t="shared" si="125"/>
        <v>1</v>
      </c>
      <c r="R247" s="3">
        <f t="shared" si="126"/>
        <v>0</v>
      </c>
      <c r="S247" s="3">
        <f t="shared" si="127"/>
        <v>0</v>
      </c>
      <c r="T247">
        <f t="shared" si="128"/>
        <v>0</v>
      </c>
      <c r="U247" s="3">
        <f t="shared" si="129"/>
        <v>0</v>
      </c>
      <c r="V247" s="3">
        <f t="shared" si="130"/>
        <v>0</v>
      </c>
      <c r="W247">
        <f t="shared" si="131"/>
        <v>0</v>
      </c>
      <c r="X247" s="3">
        <f t="shared" si="132"/>
        <v>0</v>
      </c>
      <c r="Y247" s="3">
        <f t="shared" si="133"/>
        <v>0</v>
      </c>
      <c r="Z247">
        <f t="shared" si="134"/>
        <v>0</v>
      </c>
      <c r="AA247" s="3">
        <f t="shared" si="135"/>
        <v>0</v>
      </c>
      <c r="AB247" s="3">
        <f t="shared" si="136"/>
        <v>0</v>
      </c>
      <c r="AC247">
        <f t="shared" si="137"/>
        <v>0</v>
      </c>
      <c r="AD247" s="3">
        <f t="shared" si="138"/>
        <v>0</v>
      </c>
      <c r="AE247" s="3">
        <f t="shared" si="139"/>
        <v>0</v>
      </c>
      <c r="AF247">
        <f t="shared" si="140"/>
        <v>0</v>
      </c>
      <c r="AG247" s="3">
        <f t="shared" si="141"/>
        <v>0</v>
      </c>
      <c r="AH247" s="3">
        <f t="shared" si="142"/>
        <v>0</v>
      </c>
      <c r="AI247">
        <f t="shared" si="143"/>
        <v>0</v>
      </c>
      <c r="AJ247" s="3">
        <f t="shared" si="144"/>
        <v>0</v>
      </c>
      <c r="AK247" s="3">
        <f t="shared" si="145"/>
        <v>0</v>
      </c>
      <c r="AL247">
        <f t="shared" si="146"/>
        <v>0</v>
      </c>
      <c r="AM247" s="3">
        <f t="shared" si="147"/>
        <v>0</v>
      </c>
      <c r="AN247" s="3">
        <f t="shared" si="148"/>
        <v>0</v>
      </c>
      <c r="AO247">
        <f t="shared" si="149"/>
        <v>0</v>
      </c>
      <c r="AP247" s="3">
        <f t="shared" si="150"/>
        <v>0</v>
      </c>
      <c r="AQ247" s="3">
        <f t="shared" si="151"/>
        <v>0</v>
      </c>
      <c r="AR247">
        <f t="shared" si="152"/>
        <v>0</v>
      </c>
    </row>
    <row r="248" spans="4:44" x14ac:dyDescent="0.25">
      <c r="D248" s="1">
        <v>42384</v>
      </c>
      <c r="E248" s="2">
        <v>95.015968999999998</v>
      </c>
      <c r="F248" s="3">
        <v>183.861729</v>
      </c>
      <c r="G248" s="2">
        <f t="shared" si="117"/>
        <v>-2.3379809999999992</v>
      </c>
      <c r="H248" s="2">
        <f t="shared" si="118"/>
        <v>-4.0333809999999914</v>
      </c>
      <c r="I248" s="4">
        <f t="shared" si="115"/>
        <v>-2.4003602696354922</v>
      </c>
      <c r="J248" s="4">
        <f t="shared" si="116"/>
        <v>-4.1346019389806745</v>
      </c>
      <c r="K248" s="4">
        <f t="shared" si="119"/>
        <v>18.913863583936802</v>
      </c>
      <c r="L248" s="4">
        <f t="shared" si="120"/>
        <v>4.3490071952040736</v>
      </c>
      <c r="M248" s="4">
        <f t="shared" si="121"/>
        <v>0.45987507268452604</v>
      </c>
      <c r="N248" s="4">
        <f t="shared" si="122"/>
        <v>6.3445524742979431E-2</v>
      </c>
      <c r="O248" s="3">
        <f t="shared" si="123"/>
        <v>-2.3379809999999992</v>
      </c>
      <c r="P248" s="3">
        <f t="shared" si="124"/>
        <v>-4.0333809999999914</v>
      </c>
      <c r="Q248">
        <f t="shared" si="125"/>
        <v>1</v>
      </c>
      <c r="R248" s="3">
        <f t="shared" si="126"/>
        <v>-2.3379809999999992</v>
      </c>
      <c r="S248" s="3">
        <f t="shared" si="127"/>
        <v>-4.0333809999999914</v>
      </c>
      <c r="T248">
        <f t="shared" si="128"/>
        <v>1</v>
      </c>
      <c r="U248" s="3">
        <f t="shared" si="129"/>
        <v>-2.3379809999999992</v>
      </c>
      <c r="V248" s="3">
        <f t="shared" si="130"/>
        <v>-4.0333809999999914</v>
      </c>
      <c r="W248">
        <f t="shared" si="131"/>
        <v>1</v>
      </c>
      <c r="X248" s="3">
        <f t="shared" si="132"/>
        <v>-2.3379809999999992</v>
      </c>
      <c r="Y248" s="3">
        <f t="shared" si="133"/>
        <v>-4.0333809999999914</v>
      </c>
      <c r="Z248">
        <f t="shared" si="134"/>
        <v>1</v>
      </c>
      <c r="AA248" s="3">
        <f t="shared" si="135"/>
        <v>-2.3379809999999992</v>
      </c>
      <c r="AB248" s="3">
        <f t="shared" si="136"/>
        <v>-4.0333809999999914</v>
      </c>
      <c r="AC248">
        <f t="shared" si="137"/>
        <v>1</v>
      </c>
      <c r="AD248" s="3">
        <f t="shared" si="138"/>
        <v>-2.3379809999999992</v>
      </c>
      <c r="AE248" s="3">
        <f t="shared" si="139"/>
        <v>-4.0333809999999914</v>
      </c>
      <c r="AF248">
        <f t="shared" si="140"/>
        <v>1</v>
      </c>
      <c r="AG248" s="3">
        <f t="shared" si="141"/>
        <v>-2.3379809999999992</v>
      </c>
      <c r="AH248" s="3">
        <f t="shared" si="142"/>
        <v>-4.0333809999999914</v>
      </c>
      <c r="AI248">
        <f t="shared" si="143"/>
        <v>1</v>
      </c>
      <c r="AJ248" s="3">
        <f t="shared" si="144"/>
        <v>-2.3379809999999992</v>
      </c>
      <c r="AK248" s="3">
        <f t="shared" si="145"/>
        <v>-4.0333809999999914</v>
      </c>
      <c r="AL248">
        <f t="shared" si="146"/>
        <v>1</v>
      </c>
      <c r="AM248" s="3">
        <f t="shared" si="147"/>
        <v>-2.3379809999999992</v>
      </c>
      <c r="AN248" s="3">
        <f t="shared" si="148"/>
        <v>-4.0333809999999914</v>
      </c>
      <c r="AO248">
        <f t="shared" si="149"/>
        <v>1</v>
      </c>
      <c r="AP248" s="3">
        <f t="shared" si="150"/>
        <v>-2.3379809999999992</v>
      </c>
      <c r="AQ248" s="3">
        <f t="shared" si="151"/>
        <v>-4.0333809999999914</v>
      </c>
      <c r="AR248">
        <f t="shared" si="152"/>
        <v>1</v>
      </c>
    </row>
    <row r="249" spans="4:44" x14ac:dyDescent="0.25">
      <c r="D249" s="1">
        <v>42383</v>
      </c>
      <c r="E249" s="2">
        <v>97.353949999999998</v>
      </c>
      <c r="F249" s="3">
        <v>187.89510999999999</v>
      </c>
      <c r="G249" s="2">
        <f t="shared" si="117"/>
        <v>2.0836379999999934</v>
      </c>
      <c r="H249" s="2">
        <f t="shared" si="118"/>
        <v>3.0348199999999963</v>
      </c>
      <c r="I249" s="4">
        <f t="shared" si="115"/>
        <v>2.0212587303645004</v>
      </c>
      <c r="J249" s="4">
        <f t="shared" si="116"/>
        <v>2.9335990610193132</v>
      </c>
      <c r="K249" s="4">
        <f t="shared" si="119"/>
        <v>9.620196733703489</v>
      </c>
      <c r="L249" s="4">
        <f t="shared" si="120"/>
        <v>3.1016441984379011</v>
      </c>
      <c r="M249" s="4">
        <f t="shared" si="121"/>
        <v>0.64481928681802747</v>
      </c>
      <c r="N249" s="4">
        <f t="shared" si="122"/>
        <v>0.1247375737957529</v>
      </c>
      <c r="O249" s="3">
        <f t="shared" si="123"/>
        <v>2.0836379999999934</v>
      </c>
      <c r="P249" s="3">
        <f t="shared" si="124"/>
        <v>3.0348199999999963</v>
      </c>
      <c r="Q249">
        <f t="shared" si="125"/>
        <v>1</v>
      </c>
      <c r="R249" s="3">
        <f t="shared" si="126"/>
        <v>2.0836379999999934</v>
      </c>
      <c r="S249" s="3">
        <f t="shared" si="127"/>
        <v>3.0348199999999963</v>
      </c>
      <c r="T249">
        <f t="shared" si="128"/>
        <v>1</v>
      </c>
      <c r="U249" s="3">
        <f t="shared" si="129"/>
        <v>2.0836379999999934</v>
      </c>
      <c r="V249" s="3">
        <f t="shared" si="130"/>
        <v>3.0348199999999963</v>
      </c>
      <c r="W249">
        <f t="shared" si="131"/>
        <v>1</v>
      </c>
      <c r="X249" s="3">
        <f t="shared" si="132"/>
        <v>2.0836379999999934</v>
      </c>
      <c r="Y249" s="3">
        <f t="shared" si="133"/>
        <v>3.0348199999999963</v>
      </c>
      <c r="Z249">
        <f t="shared" si="134"/>
        <v>1</v>
      </c>
      <c r="AA249" s="3">
        <f t="shared" si="135"/>
        <v>2.0836379999999934</v>
      </c>
      <c r="AB249" s="3">
        <f t="shared" si="136"/>
        <v>3.0348199999999963</v>
      </c>
      <c r="AC249">
        <f t="shared" si="137"/>
        <v>1</v>
      </c>
      <c r="AD249" s="3">
        <f t="shared" si="138"/>
        <v>2.0836379999999934</v>
      </c>
      <c r="AE249" s="3">
        <f t="shared" si="139"/>
        <v>3.0348199999999963</v>
      </c>
      <c r="AF249">
        <f t="shared" si="140"/>
        <v>1</v>
      </c>
      <c r="AG249" s="3">
        <f t="shared" si="141"/>
        <v>2.0836379999999934</v>
      </c>
      <c r="AH249" s="3">
        <f t="shared" si="142"/>
        <v>3.0348199999999963</v>
      </c>
      <c r="AI249">
        <f t="shared" si="143"/>
        <v>1</v>
      </c>
      <c r="AJ249" s="3">
        <f t="shared" si="144"/>
        <v>2.0836379999999934</v>
      </c>
      <c r="AK249" s="3">
        <f t="shared" si="145"/>
        <v>3.0348199999999963</v>
      </c>
      <c r="AL249">
        <f t="shared" si="146"/>
        <v>1</v>
      </c>
      <c r="AM249" s="3">
        <f t="shared" si="147"/>
        <v>2.0836379999999934</v>
      </c>
      <c r="AN249" s="3">
        <f t="shared" si="148"/>
        <v>3.0348199999999963</v>
      </c>
      <c r="AO249">
        <f t="shared" si="149"/>
        <v>1</v>
      </c>
      <c r="AP249" s="3">
        <f t="shared" si="150"/>
        <v>2.0836379999999934</v>
      </c>
      <c r="AQ249" s="3">
        <f t="shared" si="151"/>
        <v>3.0348199999999963</v>
      </c>
      <c r="AR249">
        <f t="shared" si="152"/>
        <v>1</v>
      </c>
    </row>
    <row r="250" spans="4:44" x14ac:dyDescent="0.25">
      <c r="D250" s="1">
        <v>42382</v>
      </c>
      <c r="E250" s="2">
        <v>95.270312000000004</v>
      </c>
      <c r="F250" s="3">
        <v>184.86028999999999</v>
      </c>
      <c r="G250" s="2">
        <f t="shared" si="117"/>
        <v>-2.5140639999999905</v>
      </c>
      <c r="H250" s="2">
        <f t="shared" si="118"/>
        <v>-4.7284620000000075</v>
      </c>
      <c r="I250" s="4">
        <f t="shared" si="115"/>
        <v>-2.5764432696354835</v>
      </c>
      <c r="J250" s="4">
        <f t="shared" si="116"/>
        <v>-4.8296829389806906</v>
      </c>
      <c r="K250" s="4">
        <f t="shared" si="119"/>
        <v>26.055331849028651</v>
      </c>
      <c r="L250" s="4">
        <f t="shared" si="120"/>
        <v>5.1044423641597376</v>
      </c>
      <c r="M250" s="4">
        <f t="shared" si="121"/>
        <v>0.39181557108819032</v>
      </c>
      <c r="N250" s="4">
        <f t="shared" si="122"/>
        <v>4.6055832524149416E-2</v>
      </c>
      <c r="O250" s="3">
        <f t="shared" si="123"/>
        <v>-2.5140639999999905</v>
      </c>
      <c r="P250" s="3">
        <f t="shared" si="124"/>
        <v>-4.7284620000000075</v>
      </c>
      <c r="Q250">
        <f t="shared" si="125"/>
        <v>1</v>
      </c>
      <c r="R250" s="3">
        <f t="shared" si="126"/>
        <v>-2.5140639999999905</v>
      </c>
      <c r="S250" s="3">
        <f t="shared" si="127"/>
        <v>-4.7284620000000075</v>
      </c>
      <c r="T250">
        <f t="shared" si="128"/>
        <v>1</v>
      </c>
      <c r="U250" s="3">
        <f t="shared" si="129"/>
        <v>-2.5140639999999905</v>
      </c>
      <c r="V250" s="3">
        <f t="shared" si="130"/>
        <v>-4.7284620000000075</v>
      </c>
      <c r="W250">
        <f t="shared" si="131"/>
        <v>1</v>
      </c>
      <c r="X250" s="3">
        <f t="shared" si="132"/>
        <v>-2.5140639999999905</v>
      </c>
      <c r="Y250" s="3">
        <f t="shared" si="133"/>
        <v>-4.7284620000000075</v>
      </c>
      <c r="Z250">
        <f t="shared" si="134"/>
        <v>1</v>
      </c>
      <c r="AA250" s="3">
        <f t="shared" si="135"/>
        <v>-2.5140639999999905</v>
      </c>
      <c r="AB250" s="3">
        <f t="shared" si="136"/>
        <v>-4.7284620000000075</v>
      </c>
      <c r="AC250">
        <f t="shared" si="137"/>
        <v>1</v>
      </c>
      <c r="AD250" s="3">
        <f t="shared" si="138"/>
        <v>-2.5140639999999905</v>
      </c>
      <c r="AE250" s="3">
        <f t="shared" si="139"/>
        <v>-4.7284620000000075</v>
      </c>
      <c r="AF250">
        <f t="shared" si="140"/>
        <v>1</v>
      </c>
      <c r="AG250" s="3">
        <f t="shared" si="141"/>
        <v>-2.5140639999999905</v>
      </c>
      <c r="AH250" s="3">
        <f t="shared" si="142"/>
        <v>-4.7284620000000075</v>
      </c>
      <c r="AI250">
        <f t="shared" si="143"/>
        <v>1</v>
      </c>
      <c r="AJ250" s="3">
        <f t="shared" si="144"/>
        <v>-2.5140639999999905</v>
      </c>
      <c r="AK250" s="3">
        <f t="shared" si="145"/>
        <v>-4.7284620000000075</v>
      </c>
      <c r="AL250">
        <f t="shared" si="146"/>
        <v>1</v>
      </c>
      <c r="AM250" s="3">
        <f t="shared" si="147"/>
        <v>-2.5140639999999905</v>
      </c>
      <c r="AN250" s="3">
        <f t="shared" si="148"/>
        <v>-4.7284620000000075</v>
      </c>
      <c r="AO250">
        <f t="shared" si="149"/>
        <v>1</v>
      </c>
      <c r="AP250" s="3">
        <f t="shared" si="150"/>
        <v>-2.5140639999999905</v>
      </c>
      <c r="AQ250" s="3">
        <f t="shared" si="151"/>
        <v>-4.7284620000000075</v>
      </c>
      <c r="AR250">
        <f t="shared" si="152"/>
        <v>1</v>
      </c>
    </row>
    <row r="251" spans="4:44" x14ac:dyDescent="0.25">
      <c r="D251" s="1">
        <v>42381</v>
      </c>
      <c r="E251" s="2">
        <v>97.784375999999995</v>
      </c>
      <c r="F251" s="3">
        <v>189.588752</v>
      </c>
      <c r="G251" s="2">
        <f t="shared" si="117"/>
        <v>1.3988760000000013</v>
      </c>
      <c r="H251" s="2">
        <f t="shared" si="118"/>
        <v>1.5174179999999922</v>
      </c>
      <c r="I251" s="4">
        <f t="shared" si="115"/>
        <v>1.3364967303645083</v>
      </c>
      <c r="J251" s="4">
        <f t="shared" si="116"/>
        <v>1.4161970610193089</v>
      </c>
      <c r="K251" s="4">
        <f t="shared" si="119"/>
        <v>2.6906077662971786</v>
      </c>
      <c r="L251" s="4">
        <f t="shared" si="120"/>
        <v>1.6403072170472148</v>
      </c>
      <c r="M251" s="4">
        <f t="shared" si="121"/>
        <v>1</v>
      </c>
      <c r="N251" s="4">
        <f t="shared" si="122"/>
        <v>0.44599588800393714</v>
      </c>
      <c r="O251" s="3">
        <f t="shared" si="123"/>
        <v>1.3988760000000013</v>
      </c>
      <c r="P251" s="3">
        <f t="shared" si="124"/>
        <v>1.5174179999999922</v>
      </c>
      <c r="Q251">
        <f t="shared" si="125"/>
        <v>1</v>
      </c>
      <c r="R251" s="3">
        <f t="shared" si="126"/>
        <v>1.3988760000000013</v>
      </c>
      <c r="S251" s="3">
        <f t="shared" si="127"/>
        <v>1.5174179999999922</v>
      </c>
      <c r="T251">
        <f t="shared" si="128"/>
        <v>1</v>
      </c>
      <c r="U251" s="3">
        <f t="shared" si="129"/>
        <v>1.3988760000000013</v>
      </c>
      <c r="V251" s="3">
        <f t="shared" si="130"/>
        <v>1.5174179999999922</v>
      </c>
      <c r="W251">
        <f t="shared" si="131"/>
        <v>1</v>
      </c>
      <c r="X251" s="3">
        <f t="shared" si="132"/>
        <v>0</v>
      </c>
      <c r="Y251" s="3">
        <f t="shared" si="133"/>
        <v>0</v>
      </c>
      <c r="Z251">
        <f t="shared" si="134"/>
        <v>0</v>
      </c>
      <c r="AA251" s="3">
        <f t="shared" si="135"/>
        <v>0</v>
      </c>
      <c r="AB251" s="3">
        <f t="shared" si="136"/>
        <v>0</v>
      </c>
      <c r="AC251">
        <f t="shared" si="137"/>
        <v>0</v>
      </c>
      <c r="AD251" s="3">
        <f t="shared" si="138"/>
        <v>0</v>
      </c>
      <c r="AE251" s="3">
        <f t="shared" si="139"/>
        <v>0</v>
      </c>
      <c r="AF251">
        <f t="shared" si="140"/>
        <v>0</v>
      </c>
      <c r="AG251" s="3">
        <f t="shared" si="141"/>
        <v>0</v>
      </c>
      <c r="AH251" s="3">
        <f t="shared" si="142"/>
        <v>0</v>
      </c>
      <c r="AI251">
        <f t="shared" si="143"/>
        <v>0</v>
      </c>
      <c r="AJ251" s="3">
        <f t="shared" si="144"/>
        <v>0</v>
      </c>
      <c r="AK251" s="3">
        <f t="shared" si="145"/>
        <v>0</v>
      </c>
      <c r="AL251">
        <f t="shared" si="146"/>
        <v>0</v>
      </c>
      <c r="AM251" s="3">
        <f t="shared" si="147"/>
        <v>0</v>
      </c>
      <c r="AN251" s="3">
        <f t="shared" si="148"/>
        <v>0</v>
      </c>
      <c r="AO251">
        <f t="shared" si="149"/>
        <v>0</v>
      </c>
      <c r="AP251" s="3">
        <f t="shared" si="150"/>
        <v>0</v>
      </c>
      <c r="AQ251" s="3">
        <f t="shared" si="151"/>
        <v>0</v>
      </c>
      <c r="AR251">
        <f t="shared" si="152"/>
        <v>0</v>
      </c>
    </row>
    <row r="252" spans="4:44" x14ac:dyDescent="0.25">
      <c r="D252" s="1">
        <v>42380</v>
      </c>
      <c r="E252" s="2">
        <v>96.385499999999993</v>
      </c>
      <c r="F252" s="3">
        <v>188.07133400000001</v>
      </c>
      <c r="G252" s="2">
        <f t="shared" si="117"/>
        <v>1.5358289999999926</v>
      </c>
      <c r="H252" s="2">
        <f t="shared" si="118"/>
        <v>0.18600800000001527</v>
      </c>
      <c r="I252" s="4">
        <f t="shared" si="115"/>
        <v>1.4734497303644996</v>
      </c>
      <c r="J252" s="4">
        <f t="shared" si="116"/>
        <v>8.4787061019332061E-2</v>
      </c>
      <c r="K252" s="4">
        <f t="shared" si="119"/>
        <v>4.3083466875475365</v>
      </c>
      <c r="L252" s="4">
        <f t="shared" si="120"/>
        <v>2.075655724716297</v>
      </c>
      <c r="M252" s="4">
        <f t="shared" si="121"/>
        <v>0.96355092811615584</v>
      </c>
      <c r="N252" s="4">
        <f t="shared" si="122"/>
        <v>0.27852911732205154</v>
      </c>
      <c r="O252" s="3">
        <f t="shared" si="123"/>
        <v>1.5358289999999926</v>
      </c>
      <c r="P252" s="3">
        <f t="shared" si="124"/>
        <v>0.18600800000001527</v>
      </c>
      <c r="Q252">
        <f t="shared" si="125"/>
        <v>1</v>
      </c>
      <c r="R252" s="3">
        <f t="shared" si="126"/>
        <v>1.5358289999999926</v>
      </c>
      <c r="S252" s="3">
        <f t="shared" si="127"/>
        <v>0.18600800000001527</v>
      </c>
      <c r="T252">
        <f t="shared" si="128"/>
        <v>1</v>
      </c>
      <c r="U252" s="3">
        <f t="shared" si="129"/>
        <v>1.5358289999999926</v>
      </c>
      <c r="V252" s="3">
        <f t="shared" si="130"/>
        <v>0.18600800000001527</v>
      </c>
      <c r="W252">
        <f t="shared" si="131"/>
        <v>1</v>
      </c>
      <c r="X252" s="3">
        <f t="shared" si="132"/>
        <v>1.5358289999999926</v>
      </c>
      <c r="Y252" s="3">
        <f t="shared" si="133"/>
        <v>0.18600800000001527</v>
      </c>
      <c r="Z252">
        <f t="shared" si="134"/>
        <v>1</v>
      </c>
      <c r="AA252" s="3">
        <f t="shared" si="135"/>
        <v>1.5358289999999926</v>
      </c>
      <c r="AB252" s="3">
        <f t="shared" si="136"/>
        <v>0.18600800000001527</v>
      </c>
      <c r="AC252">
        <f t="shared" si="137"/>
        <v>1</v>
      </c>
      <c r="AD252" s="3">
        <f t="shared" si="138"/>
        <v>0</v>
      </c>
      <c r="AE252" s="3">
        <f t="shared" si="139"/>
        <v>0</v>
      </c>
      <c r="AF252">
        <f t="shared" si="140"/>
        <v>0</v>
      </c>
      <c r="AG252" s="3">
        <f t="shared" si="141"/>
        <v>0</v>
      </c>
      <c r="AH252" s="3">
        <f t="shared" si="142"/>
        <v>0</v>
      </c>
      <c r="AI252">
        <f t="shared" si="143"/>
        <v>0</v>
      </c>
      <c r="AJ252" s="3">
        <f t="shared" si="144"/>
        <v>0</v>
      </c>
      <c r="AK252" s="3">
        <f t="shared" si="145"/>
        <v>0</v>
      </c>
      <c r="AL252">
        <f t="shared" si="146"/>
        <v>0</v>
      </c>
      <c r="AM252" s="3">
        <f t="shared" si="147"/>
        <v>0</v>
      </c>
      <c r="AN252" s="3">
        <f t="shared" si="148"/>
        <v>0</v>
      </c>
      <c r="AO252">
        <f t="shared" si="149"/>
        <v>0</v>
      </c>
      <c r="AP252" s="3">
        <f t="shared" si="150"/>
        <v>0</v>
      </c>
      <c r="AQ252" s="3">
        <f t="shared" si="151"/>
        <v>0</v>
      </c>
      <c r="AR252">
        <f t="shared" si="152"/>
        <v>0</v>
      </c>
    </row>
    <row r="253" spans="4:44" x14ac:dyDescent="0.25">
      <c r="D253" s="1">
        <v>42377</v>
      </c>
      <c r="E253" s="2">
        <v>94.849671000000001</v>
      </c>
      <c r="F253" s="2">
        <v>187.88532599999999</v>
      </c>
      <c r="G253" s="2">
        <f t="shared" ref="G253:G316" si="153">E253-E254</f>
        <v>0.49890200000000107</v>
      </c>
      <c r="H253" s="2">
        <f t="shared" ref="H253:H316" si="154">F253-F254</f>
        <v>-2.0852260000000058</v>
      </c>
      <c r="I253" s="4">
        <f t="shared" si="115"/>
        <v>0.43652273036450806</v>
      </c>
      <c r="J253" s="4">
        <f t="shared" si="116"/>
        <v>-2.1864469389806889</v>
      </c>
      <c r="K253" s="4">
        <f t="shared" si="119"/>
        <v>11.947242551221532</v>
      </c>
      <c r="L253" s="4">
        <f t="shared" si="120"/>
        <v>3.4564783452556926</v>
      </c>
      <c r="M253" s="4">
        <f t="shared" si="121"/>
        <v>0.5786236163594568</v>
      </c>
      <c r="N253" s="4">
        <f t="shared" si="122"/>
        <v>0.10044158682266875</v>
      </c>
      <c r="O253" s="3">
        <f t="shared" si="123"/>
        <v>0.49890200000000107</v>
      </c>
      <c r="P253" s="3">
        <f t="shared" si="124"/>
        <v>-2.0852260000000058</v>
      </c>
      <c r="Q253">
        <f t="shared" si="125"/>
        <v>1</v>
      </c>
      <c r="R253" s="3">
        <f t="shared" si="126"/>
        <v>0.49890200000000107</v>
      </c>
      <c r="S253" s="3">
        <f t="shared" si="127"/>
        <v>-2.0852260000000058</v>
      </c>
      <c r="T253">
        <f t="shared" si="128"/>
        <v>1</v>
      </c>
      <c r="U253" s="3">
        <f t="shared" si="129"/>
        <v>0.49890200000000107</v>
      </c>
      <c r="V253" s="3">
        <f t="shared" si="130"/>
        <v>-2.0852260000000058</v>
      </c>
      <c r="W253">
        <f t="shared" si="131"/>
        <v>1</v>
      </c>
      <c r="X253" s="3">
        <f t="shared" si="132"/>
        <v>0.49890200000000107</v>
      </c>
      <c r="Y253" s="3">
        <f t="shared" si="133"/>
        <v>-2.0852260000000058</v>
      </c>
      <c r="Z253">
        <f t="shared" si="134"/>
        <v>1</v>
      </c>
      <c r="AA253" s="3">
        <f t="shared" si="135"/>
        <v>0.49890200000000107</v>
      </c>
      <c r="AB253" s="3">
        <f t="shared" si="136"/>
        <v>-2.0852260000000058</v>
      </c>
      <c r="AC253">
        <f t="shared" si="137"/>
        <v>1</v>
      </c>
      <c r="AD253" s="3">
        <f t="shared" si="138"/>
        <v>0.49890200000000107</v>
      </c>
      <c r="AE253" s="3">
        <f t="shared" si="139"/>
        <v>-2.0852260000000058</v>
      </c>
      <c r="AF253">
        <f t="shared" si="140"/>
        <v>1</v>
      </c>
      <c r="AG253" s="3">
        <f t="shared" si="141"/>
        <v>0.49890200000000107</v>
      </c>
      <c r="AH253" s="3">
        <f t="shared" si="142"/>
        <v>-2.0852260000000058</v>
      </c>
      <c r="AI253">
        <f t="shared" si="143"/>
        <v>1</v>
      </c>
      <c r="AJ253" s="3">
        <f t="shared" si="144"/>
        <v>0.49890200000000107</v>
      </c>
      <c r="AK253" s="3">
        <f t="shared" si="145"/>
        <v>-2.0852260000000058</v>
      </c>
      <c r="AL253">
        <f t="shared" si="146"/>
        <v>1</v>
      </c>
      <c r="AM253" s="3">
        <f t="shared" si="147"/>
        <v>0.49890200000000107</v>
      </c>
      <c r="AN253" s="3">
        <f t="shared" si="148"/>
        <v>-2.0852260000000058</v>
      </c>
      <c r="AO253">
        <f t="shared" si="149"/>
        <v>1</v>
      </c>
      <c r="AP253" s="3">
        <f t="shared" si="150"/>
        <v>0.49890200000000107</v>
      </c>
      <c r="AQ253" s="3">
        <f t="shared" si="151"/>
        <v>-2.0852260000000058</v>
      </c>
      <c r="AR253">
        <f t="shared" si="152"/>
        <v>1</v>
      </c>
    </row>
    <row r="254" spans="4:44" x14ac:dyDescent="0.25">
      <c r="D254" s="1">
        <v>42376</v>
      </c>
      <c r="E254" s="2">
        <v>94.350769</v>
      </c>
      <c r="F254" s="2">
        <v>189.970552</v>
      </c>
      <c r="G254" s="2">
        <f t="shared" si="153"/>
        <v>-4.1574990000000014</v>
      </c>
      <c r="H254" s="2">
        <f t="shared" si="154"/>
        <v>-4.6697259999999972</v>
      </c>
      <c r="I254" s="4">
        <f t="shared" si="115"/>
        <v>-4.2198782696354948</v>
      </c>
      <c r="J254" s="4">
        <f t="shared" si="116"/>
        <v>-4.7709469389806802</v>
      </c>
      <c r="K254" s="4">
        <f t="shared" si="119"/>
        <v>28.791388640365906</v>
      </c>
      <c r="L254" s="4">
        <f t="shared" si="120"/>
        <v>5.3657607699529342</v>
      </c>
      <c r="M254" s="4">
        <f t="shared" si="121"/>
        <v>0.37273372514100045</v>
      </c>
      <c r="N254" s="4">
        <f t="shared" si="122"/>
        <v>4.1679128957246063E-2</v>
      </c>
      <c r="O254" s="3">
        <f t="shared" si="123"/>
        <v>-4.1574990000000014</v>
      </c>
      <c r="P254" s="3">
        <f t="shared" si="124"/>
        <v>-4.6697259999999972</v>
      </c>
      <c r="Q254">
        <f t="shared" si="125"/>
        <v>1</v>
      </c>
      <c r="R254" s="3">
        <f t="shared" si="126"/>
        <v>-4.1574990000000014</v>
      </c>
      <c r="S254" s="3">
        <f t="shared" si="127"/>
        <v>-4.6697259999999972</v>
      </c>
      <c r="T254">
        <f t="shared" si="128"/>
        <v>1</v>
      </c>
      <c r="U254" s="3">
        <f t="shared" si="129"/>
        <v>-4.1574990000000014</v>
      </c>
      <c r="V254" s="3">
        <f t="shared" si="130"/>
        <v>-4.6697259999999972</v>
      </c>
      <c r="W254">
        <f t="shared" si="131"/>
        <v>1</v>
      </c>
      <c r="X254" s="3">
        <f t="shared" si="132"/>
        <v>-4.1574990000000014</v>
      </c>
      <c r="Y254" s="3">
        <f t="shared" si="133"/>
        <v>-4.6697259999999972</v>
      </c>
      <c r="Z254">
        <f t="shared" si="134"/>
        <v>1</v>
      </c>
      <c r="AA254" s="3">
        <f t="shared" si="135"/>
        <v>-4.1574990000000014</v>
      </c>
      <c r="AB254" s="3">
        <f t="shared" si="136"/>
        <v>-4.6697259999999972</v>
      </c>
      <c r="AC254">
        <f t="shared" si="137"/>
        <v>1</v>
      </c>
      <c r="AD254" s="3">
        <f t="shared" si="138"/>
        <v>-4.1574990000000014</v>
      </c>
      <c r="AE254" s="3">
        <f t="shared" si="139"/>
        <v>-4.6697259999999972</v>
      </c>
      <c r="AF254">
        <f t="shared" si="140"/>
        <v>1</v>
      </c>
      <c r="AG254" s="3">
        <f t="shared" si="141"/>
        <v>-4.1574990000000014</v>
      </c>
      <c r="AH254" s="3">
        <f t="shared" si="142"/>
        <v>-4.6697259999999972</v>
      </c>
      <c r="AI254">
        <f t="shared" si="143"/>
        <v>1</v>
      </c>
      <c r="AJ254" s="3">
        <f t="shared" si="144"/>
        <v>-4.1574990000000014</v>
      </c>
      <c r="AK254" s="3">
        <f t="shared" si="145"/>
        <v>-4.6697259999999972</v>
      </c>
      <c r="AL254">
        <f t="shared" si="146"/>
        <v>1</v>
      </c>
      <c r="AM254" s="3">
        <f t="shared" si="147"/>
        <v>-4.1574990000000014</v>
      </c>
      <c r="AN254" s="3">
        <f t="shared" si="148"/>
        <v>-4.6697259999999972</v>
      </c>
      <c r="AO254">
        <f t="shared" si="149"/>
        <v>1</v>
      </c>
      <c r="AP254" s="3">
        <f t="shared" si="150"/>
        <v>-4.1574990000000014</v>
      </c>
      <c r="AQ254" s="3">
        <f t="shared" si="151"/>
        <v>-4.6697259999999972</v>
      </c>
      <c r="AR254">
        <f t="shared" si="152"/>
        <v>1</v>
      </c>
    </row>
    <row r="255" spans="4:44" x14ac:dyDescent="0.25">
      <c r="D255" s="1">
        <v>42375</v>
      </c>
      <c r="E255" s="2">
        <v>98.508268000000001</v>
      </c>
      <c r="F255" s="2">
        <v>194.640278</v>
      </c>
      <c r="G255" s="2">
        <f t="shared" si="153"/>
        <v>-1.9662550000000039</v>
      </c>
      <c r="H255" s="2">
        <f t="shared" si="154"/>
        <v>-2.4865959999999916</v>
      </c>
      <c r="I255" s="4">
        <f t="shared" si="115"/>
        <v>-2.0286342696354969</v>
      </c>
      <c r="J255" s="4">
        <f t="shared" si="116"/>
        <v>-2.5878169389806747</v>
      </c>
      <c r="K255" s="4">
        <f t="shared" si="119"/>
        <v>7.8280845832298223</v>
      </c>
      <c r="L255" s="4">
        <f t="shared" si="120"/>
        <v>2.797871437938102</v>
      </c>
      <c r="M255" s="4">
        <f t="shared" si="121"/>
        <v>0.71482912791514996</v>
      </c>
      <c r="N255" s="4">
        <f t="shared" si="122"/>
        <v>0.15329420463478013</v>
      </c>
      <c r="O255" s="3">
        <f t="shared" si="123"/>
        <v>-1.9662550000000039</v>
      </c>
      <c r="P255" s="3">
        <f t="shared" si="124"/>
        <v>-2.4865959999999916</v>
      </c>
      <c r="Q255">
        <f t="shared" si="125"/>
        <v>1</v>
      </c>
      <c r="R255" s="3">
        <f t="shared" si="126"/>
        <v>-1.9662550000000039</v>
      </c>
      <c r="S255" s="3">
        <f t="shared" si="127"/>
        <v>-2.4865959999999916</v>
      </c>
      <c r="T255">
        <f t="shared" si="128"/>
        <v>1</v>
      </c>
      <c r="U255" s="3">
        <f t="shared" si="129"/>
        <v>-1.9662550000000039</v>
      </c>
      <c r="V255" s="3">
        <f t="shared" si="130"/>
        <v>-2.4865959999999916</v>
      </c>
      <c r="W255">
        <f t="shared" si="131"/>
        <v>1</v>
      </c>
      <c r="X255" s="3">
        <f t="shared" si="132"/>
        <v>-1.9662550000000039</v>
      </c>
      <c r="Y255" s="3">
        <f t="shared" si="133"/>
        <v>-2.4865959999999916</v>
      </c>
      <c r="Z255">
        <f t="shared" si="134"/>
        <v>1</v>
      </c>
      <c r="AA255" s="3">
        <f t="shared" si="135"/>
        <v>-1.9662550000000039</v>
      </c>
      <c r="AB255" s="3">
        <f t="shared" si="136"/>
        <v>-2.4865959999999916</v>
      </c>
      <c r="AC255">
        <f t="shared" si="137"/>
        <v>1</v>
      </c>
      <c r="AD255" s="3">
        <f t="shared" si="138"/>
        <v>-1.9662550000000039</v>
      </c>
      <c r="AE255" s="3">
        <f t="shared" si="139"/>
        <v>-2.4865959999999916</v>
      </c>
      <c r="AF255">
        <f t="shared" si="140"/>
        <v>1</v>
      </c>
      <c r="AG255" s="3">
        <f t="shared" si="141"/>
        <v>-1.9662550000000039</v>
      </c>
      <c r="AH255" s="3">
        <f t="shared" si="142"/>
        <v>-2.4865959999999916</v>
      </c>
      <c r="AI255">
        <f t="shared" si="143"/>
        <v>1</v>
      </c>
      <c r="AJ255" s="3">
        <f t="shared" si="144"/>
        <v>-1.9662550000000039</v>
      </c>
      <c r="AK255" s="3">
        <f t="shared" si="145"/>
        <v>-2.4865959999999916</v>
      </c>
      <c r="AL255">
        <f t="shared" si="146"/>
        <v>1</v>
      </c>
      <c r="AM255" s="3">
        <f t="shared" si="147"/>
        <v>0</v>
      </c>
      <c r="AN255" s="3">
        <f t="shared" si="148"/>
        <v>0</v>
      </c>
      <c r="AO255">
        <f t="shared" si="149"/>
        <v>0</v>
      </c>
      <c r="AP255" s="3">
        <f t="shared" si="150"/>
        <v>0</v>
      </c>
      <c r="AQ255" s="3">
        <f t="shared" si="151"/>
        <v>0</v>
      </c>
      <c r="AR255">
        <f t="shared" si="152"/>
        <v>0</v>
      </c>
    </row>
    <row r="256" spans="4:44" x14ac:dyDescent="0.25">
      <c r="D256" s="1">
        <v>42374</v>
      </c>
      <c r="E256" s="2">
        <v>100.474523</v>
      </c>
      <c r="F256" s="2">
        <v>197.12687399999999</v>
      </c>
      <c r="G256" s="2">
        <f t="shared" si="153"/>
        <v>-2.5825399999999945</v>
      </c>
      <c r="H256" s="2">
        <f t="shared" si="154"/>
        <v>0.33284799999998427</v>
      </c>
      <c r="I256" s="4">
        <f t="shared" si="115"/>
        <v>-2.6449192696354875</v>
      </c>
      <c r="J256" s="4">
        <f t="shared" si="116"/>
        <v>0.23162706101930106</v>
      </c>
      <c r="K256" s="4">
        <f t="shared" si="119"/>
        <v>16.575101204630524</v>
      </c>
      <c r="L256" s="4">
        <f t="shared" si="120"/>
        <v>4.0712530263581659</v>
      </c>
      <c r="M256" s="4">
        <f t="shared" si="121"/>
        <v>0.49124925104177281</v>
      </c>
      <c r="N256" s="4">
        <f t="shared" si="122"/>
        <v>7.2397747994730824E-2</v>
      </c>
      <c r="O256" s="3">
        <f t="shared" si="123"/>
        <v>-2.5825399999999945</v>
      </c>
      <c r="P256" s="3">
        <f t="shared" si="124"/>
        <v>0.33284799999998427</v>
      </c>
      <c r="Q256">
        <f t="shared" si="125"/>
        <v>1</v>
      </c>
      <c r="R256" s="3">
        <f t="shared" si="126"/>
        <v>-2.5825399999999945</v>
      </c>
      <c r="S256" s="3">
        <f t="shared" si="127"/>
        <v>0.33284799999998427</v>
      </c>
      <c r="T256">
        <f t="shared" si="128"/>
        <v>1</v>
      </c>
      <c r="U256" s="3">
        <f t="shared" si="129"/>
        <v>-2.5825399999999945</v>
      </c>
      <c r="V256" s="3">
        <f t="shared" si="130"/>
        <v>0.33284799999998427</v>
      </c>
      <c r="W256">
        <f t="shared" si="131"/>
        <v>1</v>
      </c>
      <c r="X256" s="3">
        <f t="shared" si="132"/>
        <v>-2.5825399999999945</v>
      </c>
      <c r="Y256" s="3">
        <f t="shared" si="133"/>
        <v>0.33284799999998427</v>
      </c>
      <c r="Z256">
        <f t="shared" si="134"/>
        <v>1</v>
      </c>
      <c r="AA256" s="3">
        <f t="shared" si="135"/>
        <v>-2.5825399999999945</v>
      </c>
      <c r="AB256" s="3">
        <f t="shared" si="136"/>
        <v>0.33284799999998427</v>
      </c>
      <c r="AC256">
        <f t="shared" si="137"/>
        <v>1</v>
      </c>
      <c r="AD256" s="3">
        <f t="shared" si="138"/>
        <v>-2.5825399999999945</v>
      </c>
      <c r="AE256" s="3">
        <f t="shared" si="139"/>
        <v>0.33284799999998427</v>
      </c>
      <c r="AF256">
        <f t="shared" si="140"/>
        <v>1</v>
      </c>
      <c r="AG256" s="3">
        <f t="shared" si="141"/>
        <v>-2.5825399999999945</v>
      </c>
      <c r="AH256" s="3">
        <f t="shared" si="142"/>
        <v>0.33284799999998427</v>
      </c>
      <c r="AI256">
        <f t="shared" si="143"/>
        <v>1</v>
      </c>
      <c r="AJ256" s="3">
        <f t="shared" si="144"/>
        <v>-2.5825399999999945</v>
      </c>
      <c r="AK256" s="3">
        <f t="shared" si="145"/>
        <v>0.33284799999998427</v>
      </c>
      <c r="AL256">
        <f t="shared" si="146"/>
        <v>1</v>
      </c>
      <c r="AM256" s="3">
        <f t="shared" si="147"/>
        <v>-2.5825399999999945</v>
      </c>
      <c r="AN256" s="3">
        <f t="shared" si="148"/>
        <v>0.33284799999998427</v>
      </c>
      <c r="AO256">
        <f t="shared" si="149"/>
        <v>1</v>
      </c>
      <c r="AP256" s="3">
        <f t="shared" si="150"/>
        <v>-2.5825399999999945</v>
      </c>
      <c r="AQ256" s="3">
        <f t="shared" si="151"/>
        <v>0.33284799999998427</v>
      </c>
      <c r="AR256">
        <f t="shared" si="152"/>
        <v>1</v>
      </c>
    </row>
    <row r="257" spans="4:44" x14ac:dyDescent="0.25">
      <c r="D257" s="1">
        <v>42373</v>
      </c>
      <c r="E257" s="2">
        <v>103.057063</v>
      </c>
      <c r="F257" s="2">
        <v>196.794026</v>
      </c>
      <c r="G257" s="2">
        <f t="shared" si="153"/>
        <v>8.8037999999997396E-2</v>
      </c>
      <c r="H257" s="2">
        <f t="shared" si="154"/>
        <v>-2.7900759999999991</v>
      </c>
      <c r="I257" s="4">
        <f t="shared" si="115"/>
        <v>2.5658730364504383E-2</v>
      </c>
      <c r="J257" s="4">
        <f t="shared" si="116"/>
        <v>-2.8912969389806822</v>
      </c>
      <c r="K257" s="4">
        <f t="shared" si="119"/>
        <v>16.044986070191928</v>
      </c>
      <c r="L257" s="4">
        <f t="shared" si="120"/>
        <v>4.0056193116910057</v>
      </c>
      <c r="M257" s="4">
        <f t="shared" si="121"/>
        <v>0.49929857142507217</v>
      </c>
      <c r="N257" s="4">
        <f t="shared" si="122"/>
        <v>7.478971902813536E-2</v>
      </c>
      <c r="O257" s="3">
        <f t="shared" si="123"/>
        <v>8.8037999999997396E-2</v>
      </c>
      <c r="P257" s="3">
        <f t="shared" si="124"/>
        <v>-2.7900759999999991</v>
      </c>
      <c r="Q257">
        <f t="shared" si="125"/>
        <v>1</v>
      </c>
      <c r="R257" s="3">
        <f t="shared" si="126"/>
        <v>8.8037999999997396E-2</v>
      </c>
      <c r="S257" s="3">
        <f t="shared" si="127"/>
        <v>-2.7900759999999991</v>
      </c>
      <c r="T257">
        <f t="shared" si="128"/>
        <v>1</v>
      </c>
      <c r="U257" s="3">
        <f t="shared" si="129"/>
        <v>8.8037999999997396E-2</v>
      </c>
      <c r="V257" s="3">
        <f t="shared" si="130"/>
        <v>-2.7900759999999991</v>
      </c>
      <c r="W257">
        <f t="shared" si="131"/>
        <v>1</v>
      </c>
      <c r="X257" s="3">
        <f t="shared" si="132"/>
        <v>8.8037999999997396E-2</v>
      </c>
      <c r="Y257" s="3">
        <f t="shared" si="133"/>
        <v>-2.7900759999999991</v>
      </c>
      <c r="Z257">
        <f t="shared" si="134"/>
        <v>1</v>
      </c>
      <c r="AA257" s="3">
        <f t="shared" si="135"/>
        <v>8.8037999999997396E-2</v>
      </c>
      <c r="AB257" s="3">
        <f t="shared" si="136"/>
        <v>-2.7900759999999991</v>
      </c>
      <c r="AC257">
        <f t="shared" si="137"/>
        <v>1</v>
      </c>
      <c r="AD257" s="3">
        <f t="shared" si="138"/>
        <v>8.8037999999997396E-2</v>
      </c>
      <c r="AE257" s="3">
        <f t="shared" si="139"/>
        <v>-2.7900759999999991</v>
      </c>
      <c r="AF257">
        <f t="shared" si="140"/>
        <v>1</v>
      </c>
      <c r="AG257" s="3">
        <f t="shared" si="141"/>
        <v>8.8037999999997396E-2</v>
      </c>
      <c r="AH257" s="3">
        <f t="shared" si="142"/>
        <v>-2.7900759999999991</v>
      </c>
      <c r="AI257">
        <f t="shared" si="143"/>
        <v>1</v>
      </c>
      <c r="AJ257" s="3">
        <f t="shared" si="144"/>
        <v>8.8037999999997396E-2</v>
      </c>
      <c r="AK257" s="3">
        <f t="shared" si="145"/>
        <v>-2.7900759999999991</v>
      </c>
      <c r="AL257">
        <f t="shared" si="146"/>
        <v>1</v>
      </c>
      <c r="AM257" s="3">
        <f t="shared" si="147"/>
        <v>8.8037999999997396E-2</v>
      </c>
      <c r="AN257" s="3">
        <f t="shared" si="148"/>
        <v>-2.7900759999999991</v>
      </c>
      <c r="AO257">
        <f t="shared" si="149"/>
        <v>1</v>
      </c>
      <c r="AP257" s="3">
        <f t="shared" si="150"/>
        <v>8.8037999999997396E-2</v>
      </c>
      <c r="AQ257" s="3">
        <f t="shared" si="151"/>
        <v>-2.7900759999999991</v>
      </c>
      <c r="AR257">
        <f t="shared" si="152"/>
        <v>1</v>
      </c>
    </row>
    <row r="258" spans="4:44" x14ac:dyDescent="0.25">
      <c r="D258" s="1">
        <v>42369</v>
      </c>
      <c r="E258" s="2">
        <v>102.969025</v>
      </c>
      <c r="F258" s="2">
        <v>199.584102</v>
      </c>
      <c r="G258" s="2">
        <f t="shared" si="153"/>
        <v>-2.0151620000000037</v>
      </c>
      <c r="H258" s="2">
        <f t="shared" si="154"/>
        <v>-2.0166910000000087</v>
      </c>
      <c r="I258" s="4">
        <f t="shared" ref="I258:I321" si="155">G258-$A$14</f>
        <v>-2.0775412696354967</v>
      </c>
      <c r="J258" s="4">
        <f t="shared" ref="J258:J321" si="156">H258-$B$14</f>
        <v>-2.1179119389806917</v>
      </c>
      <c r="K258" s="4">
        <f t="shared" si="119"/>
        <v>6.2678208247171279</v>
      </c>
      <c r="L258" s="4">
        <f t="shared" si="120"/>
        <v>2.5035616279047592</v>
      </c>
      <c r="M258" s="4">
        <f t="shared" si="121"/>
        <v>0.79886190046530148</v>
      </c>
      <c r="N258" s="4">
        <f t="shared" si="122"/>
        <v>0.19145410080451</v>
      </c>
      <c r="O258" s="3">
        <f t="shared" si="123"/>
        <v>-2.0151620000000037</v>
      </c>
      <c r="P258" s="3">
        <f t="shared" si="124"/>
        <v>-2.0166910000000087</v>
      </c>
      <c r="Q258">
        <f t="shared" si="125"/>
        <v>1</v>
      </c>
      <c r="R258" s="3">
        <f t="shared" si="126"/>
        <v>-2.0151620000000037</v>
      </c>
      <c r="S258" s="3">
        <f t="shared" si="127"/>
        <v>-2.0166910000000087</v>
      </c>
      <c r="T258">
        <f t="shared" si="128"/>
        <v>1</v>
      </c>
      <c r="U258" s="3">
        <f t="shared" si="129"/>
        <v>-2.0151620000000037</v>
      </c>
      <c r="V258" s="3">
        <f t="shared" si="130"/>
        <v>-2.0166910000000087</v>
      </c>
      <c r="W258">
        <f t="shared" si="131"/>
        <v>1</v>
      </c>
      <c r="X258" s="3">
        <f t="shared" si="132"/>
        <v>-2.0151620000000037</v>
      </c>
      <c r="Y258" s="3">
        <f t="shared" si="133"/>
        <v>-2.0166910000000087</v>
      </c>
      <c r="Z258">
        <f t="shared" si="134"/>
        <v>1</v>
      </c>
      <c r="AA258" s="3">
        <f t="shared" si="135"/>
        <v>-2.0151620000000037</v>
      </c>
      <c r="AB258" s="3">
        <f t="shared" si="136"/>
        <v>-2.0166910000000087</v>
      </c>
      <c r="AC258">
        <f t="shared" si="137"/>
        <v>1</v>
      </c>
      <c r="AD258" s="3">
        <f t="shared" si="138"/>
        <v>-2.0151620000000037</v>
      </c>
      <c r="AE258" s="3">
        <f t="shared" si="139"/>
        <v>-2.0166910000000087</v>
      </c>
      <c r="AF258">
        <f t="shared" si="140"/>
        <v>1</v>
      </c>
      <c r="AG258" s="3">
        <f t="shared" si="141"/>
        <v>-2.0151620000000037</v>
      </c>
      <c r="AH258" s="3">
        <f t="shared" si="142"/>
        <v>-2.0166910000000087</v>
      </c>
      <c r="AI258">
        <f t="shared" si="143"/>
        <v>1</v>
      </c>
      <c r="AJ258" s="3">
        <f t="shared" si="144"/>
        <v>0</v>
      </c>
      <c r="AK258" s="3">
        <f t="shared" si="145"/>
        <v>0</v>
      </c>
      <c r="AL258">
        <f t="shared" si="146"/>
        <v>0</v>
      </c>
      <c r="AM258" s="3">
        <f t="shared" si="147"/>
        <v>0</v>
      </c>
      <c r="AN258" s="3">
        <f t="shared" si="148"/>
        <v>0</v>
      </c>
      <c r="AO258">
        <f t="shared" si="149"/>
        <v>0</v>
      </c>
      <c r="AP258" s="3">
        <f t="shared" si="150"/>
        <v>0</v>
      </c>
      <c r="AQ258" s="3">
        <f t="shared" si="151"/>
        <v>0</v>
      </c>
      <c r="AR258">
        <f t="shared" si="152"/>
        <v>0</v>
      </c>
    </row>
    <row r="259" spans="4:44" x14ac:dyDescent="0.25">
      <c r="D259" s="1">
        <v>42368</v>
      </c>
      <c r="E259" s="2">
        <v>104.98418700000001</v>
      </c>
      <c r="F259" s="2">
        <v>201.60079300000001</v>
      </c>
      <c r="G259" s="2">
        <f t="shared" si="153"/>
        <v>-1.3890919999999909</v>
      </c>
      <c r="H259" s="2">
        <f t="shared" si="154"/>
        <v>-1.4390980000000013</v>
      </c>
      <c r="I259" s="4">
        <f t="shared" si="155"/>
        <v>-1.4514712696354839</v>
      </c>
      <c r="J259" s="4">
        <f t="shared" si="156"/>
        <v>-1.5403189389806846</v>
      </c>
      <c r="K259" s="4">
        <f t="shared" ref="K259:K322" si="157">SUMPRODUCT(MMULT(I259:J259,$A$19:$B$20),I259:J259)</f>
        <v>3.1781904020131826</v>
      </c>
      <c r="L259" s="4">
        <f t="shared" ref="L259:L322" si="158">SQRT(K259)</f>
        <v>1.7827479917288318</v>
      </c>
      <c r="M259" s="4">
        <f t="shared" ref="M259:M322" si="159">IF(L259&lt;$B$12,1,$B$12/L259)</f>
        <v>1</v>
      </c>
      <c r="N259" s="4">
        <f t="shared" ref="N259:N322" si="160">IF(K259&lt;$B$12,1,$B$21/K259)</f>
        <v>0.37757335093576389</v>
      </c>
      <c r="O259" s="3">
        <f t="shared" ref="O259:O322" si="161">IF($K259&gt;P$1,$G259,0)</f>
        <v>-1.3890919999999909</v>
      </c>
      <c r="P259" s="3">
        <f t="shared" ref="P259:P322" si="162">IF($K259&gt;P$1,$H259,0)</f>
        <v>-1.4390980000000013</v>
      </c>
      <c r="Q259">
        <f t="shared" ref="Q259:Q322" si="163">IF($K259&gt;P$1,1,0)</f>
        <v>1</v>
      </c>
      <c r="R259" s="3">
        <f t="shared" ref="R259:R322" si="164">IF($K259&gt;S$1,$G259,0)</f>
        <v>-1.3890919999999909</v>
      </c>
      <c r="S259" s="3">
        <f t="shared" ref="S259:S322" si="165">IF($K259&gt;S$1,$H259,0)</f>
        <v>-1.4390980000000013</v>
      </c>
      <c r="T259">
        <f t="shared" ref="T259:T322" si="166">IF($K259&gt;S$1,1,0)</f>
        <v>1</v>
      </c>
      <c r="U259" s="3">
        <f t="shared" ref="U259:U322" si="167">IF($K259&gt;V$1,$G259,0)</f>
        <v>-1.3890919999999909</v>
      </c>
      <c r="V259" s="3">
        <f t="shared" ref="V259:V322" si="168">IF($K259&gt;V$1,$H259,0)</f>
        <v>-1.4390980000000013</v>
      </c>
      <c r="W259">
        <f t="shared" ref="W259:W322" si="169">IF($K259&gt;V$1,1,0)</f>
        <v>1</v>
      </c>
      <c r="X259" s="3">
        <f t="shared" ref="X259:X322" si="170">IF($K259&gt;Y$1,$G259,0)</f>
        <v>-1.3890919999999909</v>
      </c>
      <c r="Y259" s="3">
        <f t="shared" ref="Y259:Y322" si="171">IF($K259&gt;Y$1,$H259,0)</f>
        <v>-1.4390980000000013</v>
      </c>
      <c r="Z259">
        <f t="shared" ref="Z259:Z322" si="172">IF($K259&gt;Y$1,1,0)</f>
        <v>1</v>
      </c>
      <c r="AA259" s="3">
        <f t="shared" ref="AA259:AA322" si="173">IF($K259&gt;AB$1,$G259,0)</f>
        <v>0</v>
      </c>
      <c r="AB259" s="3">
        <f t="shared" ref="AB259:AB322" si="174">IF($K259&gt;AB$1,$H259,0)</f>
        <v>0</v>
      </c>
      <c r="AC259">
        <f t="shared" ref="AC259:AC322" si="175">IF($K259&gt;AB$1,1,0)</f>
        <v>0</v>
      </c>
      <c r="AD259" s="3">
        <f t="shared" ref="AD259:AD322" si="176">IF($K259&gt;AE$1,$G259,0)</f>
        <v>0</v>
      </c>
      <c r="AE259" s="3">
        <f t="shared" ref="AE259:AE322" si="177">IF($K259&gt;AE$1,$H259,0)</f>
        <v>0</v>
      </c>
      <c r="AF259">
        <f t="shared" ref="AF259:AF322" si="178">IF($K259&gt;AE$1,1,0)</f>
        <v>0</v>
      </c>
      <c r="AG259" s="3">
        <f t="shared" ref="AG259:AG322" si="179">IF($K259&gt;AH$1,$G259,0)</f>
        <v>0</v>
      </c>
      <c r="AH259" s="3">
        <f t="shared" ref="AH259:AH322" si="180">IF($K259&gt;AH$1,$H259,0)</f>
        <v>0</v>
      </c>
      <c r="AI259">
        <f t="shared" ref="AI259:AI322" si="181">IF($K259&gt;AH$1,1,0)</f>
        <v>0</v>
      </c>
      <c r="AJ259" s="3">
        <f t="shared" ref="AJ259:AJ322" si="182">IF($K259&gt;AK$1,$G259,0)</f>
        <v>0</v>
      </c>
      <c r="AK259" s="3">
        <f t="shared" ref="AK259:AK322" si="183">IF($K259&gt;AK$1,$H259,0)</f>
        <v>0</v>
      </c>
      <c r="AL259">
        <f t="shared" ref="AL259:AL322" si="184">IF($K259&gt;AK$1,1,0)</f>
        <v>0</v>
      </c>
      <c r="AM259" s="3">
        <f t="shared" ref="AM259:AM322" si="185">IF($K259&gt;AN$1,$G259,0)</f>
        <v>0</v>
      </c>
      <c r="AN259" s="3">
        <f t="shared" ref="AN259:AN322" si="186">IF($K259&gt;AN$1,$H259,0)</f>
        <v>0</v>
      </c>
      <c r="AO259">
        <f t="shared" ref="AO259:AO322" si="187">IF($K259&gt;AN$1,1,0)</f>
        <v>0</v>
      </c>
      <c r="AP259" s="3">
        <f t="shared" ref="AP259:AP322" si="188">IF($K259&gt;AQ$1,$G259,0)</f>
        <v>0</v>
      </c>
      <c r="AQ259" s="3">
        <f t="shared" ref="AQ259:AQ322" si="189">IF($K259&gt;AQ$1,$H259,0)</f>
        <v>0</v>
      </c>
      <c r="AR259">
        <f t="shared" ref="AR259:AR322" si="190">IF($K259&gt;AQ$1,1,0)</f>
        <v>0</v>
      </c>
    </row>
    <row r="260" spans="4:44" x14ac:dyDescent="0.25">
      <c r="D260" s="1">
        <v>42367</v>
      </c>
      <c r="E260" s="2">
        <v>106.373279</v>
      </c>
      <c r="F260" s="2">
        <v>203.03989100000001</v>
      </c>
      <c r="G260" s="2">
        <f t="shared" si="153"/>
        <v>1.8782099999999957</v>
      </c>
      <c r="H260" s="2">
        <f t="shared" si="154"/>
        <v>2.1439480000000231</v>
      </c>
      <c r="I260" s="4">
        <f t="shared" si="155"/>
        <v>1.8158307303645027</v>
      </c>
      <c r="J260" s="4">
        <f t="shared" si="156"/>
        <v>2.04272706101934</v>
      </c>
      <c r="K260" s="4">
        <f t="shared" si="157"/>
        <v>5.2998236599813051</v>
      </c>
      <c r="L260" s="4">
        <f t="shared" si="158"/>
        <v>2.3021345877209929</v>
      </c>
      <c r="M260" s="4">
        <f t="shared" si="159"/>
        <v>0.86875893819045036</v>
      </c>
      <c r="N260" s="4">
        <f t="shared" si="160"/>
        <v>0.22642262780573966</v>
      </c>
      <c r="O260" s="3">
        <f t="shared" si="161"/>
        <v>1.8782099999999957</v>
      </c>
      <c r="P260" s="3">
        <f t="shared" si="162"/>
        <v>2.1439480000000231</v>
      </c>
      <c r="Q260">
        <f t="shared" si="163"/>
        <v>1</v>
      </c>
      <c r="R260" s="3">
        <f t="shared" si="164"/>
        <v>1.8782099999999957</v>
      </c>
      <c r="S260" s="3">
        <f t="shared" si="165"/>
        <v>2.1439480000000231</v>
      </c>
      <c r="T260">
        <f t="shared" si="166"/>
        <v>1</v>
      </c>
      <c r="U260" s="3">
        <f t="shared" si="167"/>
        <v>1.8782099999999957</v>
      </c>
      <c r="V260" s="3">
        <f t="shared" si="168"/>
        <v>2.1439480000000231</v>
      </c>
      <c r="W260">
        <f t="shared" si="169"/>
        <v>1</v>
      </c>
      <c r="X260" s="3">
        <f t="shared" si="170"/>
        <v>1.8782099999999957</v>
      </c>
      <c r="Y260" s="3">
        <f t="shared" si="171"/>
        <v>2.1439480000000231</v>
      </c>
      <c r="Z260">
        <f t="shared" si="172"/>
        <v>1</v>
      </c>
      <c r="AA260" s="3">
        <f t="shared" si="173"/>
        <v>1.8782099999999957</v>
      </c>
      <c r="AB260" s="3">
        <f t="shared" si="174"/>
        <v>2.1439480000000231</v>
      </c>
      <c r="AC260">
        <f t="shared" si="175"/>
        <v>1</v>
      </c>
      <c r="AD260" s="3">
        <f t="shared" si="176"/>
        <v>1.8782099999999957</v>
      </c>
      <c r="AE260" s="3">
        <f t="shared" si="177"/>
        <v>2.1439480000000231</v>
      </c>
      <c r="AF260">
        <f t="shared" si="178"/>
        <v>1</v>
      </c>
      <c r="AG260" s="3">
        <f t="shared" si="179"/>
        <v>0</v>
      </c>
      <c r="AH260" s="3">
        <f t="shared" si="180"/>
        <v>0</v>
      </c>
      <c r="AI260">
        <f t="shared" si="181"/>
        <v>0</v>
      </c>
      <c r="AJ260" s="3">
        <f t="shared" si="182"/>
        <v>0</v>
      </c>
      <c r="AK260" s="3">
        <f t="shared" si="183"/>
        <v>0</v>
      </c>
      <c r="AL260">
        <f t="shared" si="184"/>
        <v>0</v>
      </c>
      <c r="AM260" s="3">
        <f t="shared" si="185"/>
        <v>0</v>
      </c>
      <c r="AN260" s="3">
        <f t="shared" si="186"/>
        <v>0</v>
      </c>
      <c r="AO260">
        <f t="shared" si="187"/>
        <v>0</v>
      </c>
      <c r="AP260" s="3">
        <f t="shared" si="188"/>
        <v>0</v>
      </c>
      <c r="AQ260" s="3">
        <f t="shared" si="189"/>
        <v>0</v>
      </c>
      <c r="AR260">
        <f t="shared" si="190"/>
        <v>0</v>
      </c>
    </row>
    <row r="261" spans="4:44" x14ac:dyDescent="0.25">
      <c r="D261" s="1">
        <v>42366</v>
      </c>
      <c r="E261" s="2">
        <v>104.495069</v>
      </c>
      <c r="F261" s="2">
        <v>200.89594299999999</v>
      </c>
      <c r="G261" s="2">
        <f t="shared" si="153"/>
        <v>-1.1836639999999932</v>
      </c>
      <c r="H261" s="2">
        <f t="shared" si="154"/>
        <v>-0.46010600000002455</v>
      </c>
      <c r="I261" s="4">
        <f t="shared" si="155"/>
        <v>-1.2460432696354862</v>
      </c>
      <c r="J261" s="4">
        <f t="shared" si="156"/>
        <v>-0.56132693898070773</v>
      </c>
      <c r="K261" s="4">
        <f t="shared" si="157"/>
        <v>2.0853235241861574</v>
      </c>
      <c r="L261" s="4">
        <f t="shared" si="158"/>
        <v>1.4440649307375888</v>
      </c>
      <c r="M261" s="4">
        <f t="shared" si="159"/>
        <v>1</v>
      </c>
      <c r="N261" s="4">
        <f t="shared" si="160"/>
        <v>0.57545027717860997</v>
      </c>
      <c r="O261" s="3">
        <f t="shared" si="161"/>
        <v>-1.1836639999999932</v>
      </c>
      <c r="P261" s="3">
        <f t="shared" si="162"/>
        <v>-0.46010600000002455</v>
      </c>
      <c r="Q261">
        <f t="shared" si="163"/>
        <v>1</v>
      </c>
      <c r="R261" s="3">
        <f t="shared" si="164"/>
        <v>-1.1836639999999932</v>
      </c>
      <c r="S261" s="3">
        <f t="shared" si="165"/>
        <v>-0.46010600000002455</v>
      </c>
      <c r="T261">
        <f t="shared" si="166"/>
        <v>1</v>
      </c>
      <c r="U261" s="3">
        <f t="shared" si="167"/>
        <v>-1.1836639999999932</v>
      </c>
      <c r="V261" s="3">
        <f t="shared" si="168"/>
        <v>-0.46010600000002455</v>
      </c>
      <c r="W261">
        <f t="shared" si="169"/>
        <v>1</v>
      </c>
      <c r="X261" s="3">
        <f t="shared" si="170"/>
        <v>0</v>
      </c>
      <c r="Y261" s="3">
        <f t="shared" si="171"/>
        <v>0</v>
      </c>
      <c r="Z261">
        <f t="shared" si="172"/>
        <v>0</v>
      </c>
      <c r="AA261" s="3">
        <f t="shared" si="173"/>
        <v>0</v>
      </c>
      <c r="AB261" s="3">
        <f t="shared" si="174"/>
        <v>0</v>
      </c>
      <c r="AC261">
        <f t="shared" si="175"/>
        <v>0</v>
      </c>
      <c r="AD261" s="3">
        <f t="shared" si="176"/>
        <v>0</v>
      </c>
      <c r="AE261" s="3">
        <f t="shared" si="177"/>
        <v>0</v>
      </c>
      <c r="AF261">
        <f t="shared" si="178"/>
        <v>0</v>
      </c>
      <c r="AG261" s="3">
        <f t="shared" si="179"/>
        <v>0</v>
      </c>
      <c r="AH261" s="3">
        <f t="shared" si="180"/>
        <v>0</v>
      </c>
      <c r="AI261">
        <f t="shared" si="181"/>
        <v>0</v>
      </c>
      <c r="AJ261" s="3">
        <f t="shared" si="182"/>
        <v>0</v>
      </c>
      <c r="AK261" s="3">
        <f t="shared" si="183"/>
        <v>0</v>
      </c>
      <c r="AL261">
        <f t="shared" si="184"/>
        <v>0</v>
      </c>
      <c r="AM261" s="3">
        <f t="shared" si="185"/>
        <v>0</v>
      </c>
      <c r="AN261" s="3">
        <f t="shared" si="186"/>
        <v>0</v>
      </c>
      <c r="AO261">
        <f t="shared" si="187"/>
        <v>0</v>
      </c>
      <c r="AP261" s="3">
        <f t="shared" si="188"/>
        <v>0</v>
      </c>
      <c r="AQ261" s="3">
        <f t="shared" si="189"/>
        <v>0</v>
      </c>
      <c r="AR261">
        <f t="shared" si="190"/>
        <v>0</v>
      </c>
    </row>
    <row r="262" spans="4:44" x14ac:dyDescent="0.25">
      <c r="D262" s="1">
        <v>42362</v>
      </c>
      <c r="E262" s="2">
        <v>105.67873299999999</v>
      </c>
      <c r="F262" s="2">
        <v>201.35604900000001</v>
      </c>
      <c r="G262" s="2">
        <f t="shared" si="153"/>
        <v>-0.56737800000000504</v>
      </c>
      <c r="H262" s="2">
        <f t="shared" si="154"/>
        <v>-0.33286299999997482</v>
      </c>
      <c r="I262" s="4">
        <f t="shared" si="155"/>
        <v>-0.62975726963549805</v>
      </c>
      <c r="J262" s="4">
        <f t="shared" si="156"/>
        <v>-0.434083938980658</v>
      </c>
      <c r="K262" s="4">
        <f t="shared" si="157"/>
        <v>0.49153394328019268</v>
      </c>
      <c r="L262" s="4">
        <f t="shared" si="158"/>
        <v>0.70109481761042325</v>
      </c>
      <c r="M262" s="4">
        <f t="shared" si="159"/>
        <v>1</v>
      </c>
      <c r="N262" s="4">
        <f t="shared" si="160"/>
        <v>1</v>
      </c>
      <c r="O262" s="3">
        <f t="shared" si="161"/>
        <v>-0.56737800000000504</v>
      </c>
      <c r="P262" s="3">
        <f t="shared" si="162"/>
        <v>-0.33286299999997482</v>
      </c>
      <c r="Q262">
        <f t="shared" si="163"/>
        <v>1</v>
      </c>
      <c r="R262" s="3">
        <f t="shared" si="164"/>
        <v>0</v>
      </c>
      <c r="S262" s="3">
        <f t="shared" si="165"/>
        <v>0</v>
      </c>
      <c r="T262">
        <f t="shared" si="166"/>
        <v>0</v>
      </c>
      <c r="U262" s="3">
        <f t="shared" si="167"/>
        <v>0</v>
      </c>
      <c r="V262" s="3">
        <f t="shared" si="168"/>
        <v>0</v>
      </c>
      <c r="W262">
        <f t="shared" si="169"/>
        <v>0</v>
      </c>
      <c r="X262" s="3">
        <f t="shared" si="170"/>
        <v>0</v>
      </c>
      <c r="Y262" s="3">
        <f t="shared" si="171"/>
        <v>0</v>
      </c>
      <c r="Z262">
        <f t="shared" si="172"/>
        <v>0</v>
      </c>
      <c r="AA262" s="3">
        <f t="shared" si="173"/>
        <v>0</v>
      </c>
      <c r="AB262" s="3">
        <f t="shared" si="174"/>
        <v>0</v>
      </c>
      <c r="AC262">
        <f t="shared" si="175"/>
        <v>0</v>
      </c>
      <c r="AD262" s="3">
        <f t="shared" si="176"/>
        <v>0</v>
      </c>
      <c r="AE262" s="3">
        <f t="shared" si="177"/>
        <v>0</v>
      </c>
      <c r="AF262">
        <f t="shared" si="178"/>
        <v>0</v>
      </c>
      <c r="AG262" s="3">
        <f t="shared" si="179"/>
        <v>0</v>
      </c>
      <c r="AH262" s="3">
        <f t="shared" si="180"/>
        <v>0</v>
      </c>
      <c r="AI262">
        <f t="shared" si="181"/>
        <v>0</v>
      </c>
      <c r="AJ262" s="3">
        <f t="shared" si="182"/>
        <v>0</v>
      </c>
      <c r="AK262" s="3">
        <f t="shared" si="183"/>
        <v>0</v>
      </c>
      <c r="AL262">
        <f t="shared" si="184"/>
        <v>0</v>
      </c>
      <c r="AM262" s="3">
        <f t="shared" si="185"/>
        <v>0</v>
      </c>
      <c r="AN262" s="3">
        <f t="shared" si="186"/>
        <v>0</v>
      </c>
      <c r="AO262">
        <f t="shared" si="187"/>
        <v>0</v>
      </c>
      <c r="AP262" s="3">
        <f t="shared" si="188"/>
        <v>0</v>
      </c>
      <c r="AQ262" s="3">
        <f t="shared" si="189"/>
        <v>0</v>
      </c>
      <c r="AR262">
        <f t="shared" si="190"/>
        <v>0</v>
      </c>
    </row>
    <row r="263" spans="4:44" x14ac:dyDescent="0.25">
      <c r="D263" s="1">
        <v>42361</v>
      </c>
      <c r="E263" s="2">
        <v>106.246111</v>
      </c>
      <c r="F263" s="2">
        <v>201.68891199999999</v>
      </c>
      <c r="G263" s="2">
        <f t="shared" si="153"/>
        <v>1.349962000000005</v>
      </c>
      <c r="H263" s="2">
        <f t="shared" si="154"/>
        <v>2.4670270000000016</v>
      </c>
      <c r="I263" s="4">
        <f t="shared" si="155"/>
        <v>1.287582730364512</v>
      </c>
      <c r="J263" s="4">
        <f t="shared" si="156"/>
        <v>2.3658060610193186</v>
      </c>
      <c r="K263" s="4">
        <f t="shared" si="157"/>
        <v>6.233710042881901</v>
      </c>
      <c r="L263" s="4">
        <f t="shared" si="158"/>
        <v>2.4967398829036838</v>
      </c>
      <c r="M263" s="4">
        <f t="shared" si="159"/>
        <v>0.80104459967772845</v>
      </c>
      <c r="N263" s="4">
        <f t="shared" si="160"/>
        <v>0.19250173520185565</v>
      </c>
      <c r="O263" s="3">
        <f t="shared" si="161"/>
        <v>1.349962000000005</v>
      </c>
      <c r="P263" s="3">
        <f t="shared" si="162"/>
        <v>2.4670270000000016</v>
      </c>
      <c r="Q263">
        <f t="shared" si="163"/>
        <v>1</v>
      </c>
      <c r="R263" s="3">
        <f t="shared" si="164"/>
        <v>1.349962000000005</v>
      </c>
      <c r="S263" s="3">
        <f t="shared" si="165"/>
        <v>2.4670270000000016</v>
      </c>
      <c r="T263">
        <f t="shared" si="166"/>
        <v>1</v>
      </c>
      <c r="U263" s="3">
        <f t="shared" si="167"/>
        <v>1.349962000000005</v>
      </c>
      <c r="V263" s="3">
        <f t="shared" si="168"/>
        <v>2.4670270000000016</v>
      </c>
      <c r="W263">
        <f t="shared" si="169"/>
        <v>1</v>
      </c>
      <c r="X263" s="3">
        <f t="shared" si="170"/>
        <v>1.349962000000005</v>
      </c>
      <c r="Y263" s="3">
        <f t="shared" si="171"/>
        <v>2.4670270000000016</v>
      </c>
      <c r="Z263">
        <f t="shared" si="172"/>
        <v>1</v>
      </c>
      <c r="AA263" s="3">
        <f t="shared" si="173"/>
        <v>1.349962000000005</v>
      </c>
      <c r="AB263" s="3">
        <f t="shared" si="174"/>
        <v>2.4670270000000016</v>
      </c>
      <c r="AC263">
        <f t="shared" si="175"/>
        <v>1</v>
      </c>
      <c r="AD263" s="3">
        <f t="shared" si="176"/>
        <v>1.349962000000005</v>
      </c>
      <c r="AE263" s="3">
        <f t="shared" si="177"/>
        <v>2.4670270000000016</v>
      </c>
      <c r="AF263">
        <f t="shared" si="178"/>
        <v>1</v>
      </c>
      <c r="AG263" s="3">
        <f t="shared" si="179"/>
        <v>1.349962000000005</v>
      </c>
      <c r="AH263" s="3">
        <f t="shared" si="180"/>
        <v>2.4670270000000016</v>
      </c>
      <c r="AI263">
        <f t="shared" si="181"/>
        <v>1</v>
      </c>
      <c r="AJ263" s="3">
        <f t="shared" si="182"/>
        <v>0</v>
      </c>
      <c r="AK263" s="3">
        <f t="shared" si="183"/>
        <v>0</v>
      </c>
      <c r="AL263">
        <f t="shared" si="184"/>
        <v>0</v>
      </c>
      <c r="AM263" s="3">
        <f t="shared" si="185"/>
        <v>0</v>
      </c>
      <c r="AN263" s="3">
        <f t="shared" si="186"/>
        <v>0</v>
      </c>
      <c r="AO263">
        <f t="shared" si="187"/>
        <v>0</v>
      </c>
      <c r="AP263" s="3">
        <f t="shared" si="188"/>
        <v>0</v>
      </c>
      <c r="AQ263" s="3">
        <f t="shared" si="189"/>
        <v>0</v>
      </c>
      <c r="AR263">
        <f t="shared" si="190"/>
        <v>0</v>
      </c>
    </row>
    <row r="264" spans="4:44" x14ac:dyDescent="0.25">
      <c r="D264" s="1">
        <v>42360</v>
      </c>
      <c r="E264" s="2">
        <v>104.89614899999999</v>
      </c>
      <c r="F264" s="2">
        <v>199.22188499999999</v>
      </c>
      <c r="G264" s="2">
        <f t="shared" si="153"/>
        <v>-9.7822000000007847E-2</v>
      </c>
      <c r="H264" s="2">
        <f t="shared" si="154"/>
        <v>1.7915299999999945</v>
      </c>
      <c r="I264" s="4">
        <f t="shared" si="155"/>
        <v>-0.16020126963550085</v>
      </c>
      <c r="J264" s="4">
        <f t="shared" si="156"/>
        <v>1.6903090610193112</v>
      </c>
      <c r="K264" s="4">
        <f t="shared" si="157"/>
        <v>6.1749983989062596</v>
      </c>
      <c r="L264" s="4">
        <f t="shared" si="158"/>
        <v>2.4849544058002873</v>
      </c>
      <c r="M264" s="4">
        <f t="shared" si="159"/>
        <v>0.80484374092807298</v>
      </c>
      <c r="N264" s="4">
        <f t="shared" si="160"/>
        <v>0.19433203419332851</v>
      </c>
      <c r="O264" s="3">
        <f t="shared" si="161"/>
        <v>-9.7822000000007847E-2</v>
      </c>
      <c r="P264" s="3">
        <f t="shared" si="162"/>
        <v>1.7915299999999945</v>
      </c>
      <c r="Q264">
        <f t="shared" si="163"/>
        <v>1</v>
      </c>
      <c r="R264" s="3">
        <f t="shared" si="164"/>
        <v>-9.7822000000007847E-2</v>
      </c>
      <c r="S264" s="3">
        <f t="shared" si="165"/>
        <v>1.7915299999999945</v>
      </c>
      <c r="T264">
        <f t="shared" si="166"/>
        <v>1</v>
      </c>
      <c r="U264" s="3">
        <f t="shared" si="167"/>
        <v>-9.7822000000007847E-2</v>
      </c>
      <c r="V264" s="3">
        <f t="shared" si="168"/>
        <v>1.7915299999999945</v>
      </c>
      <c r="W264">
        <f t="shared" si="169"/>
        <v>1</v>
      </c>
      <c r="X264" s="3">
        <f t="shared" si="170"/>
        <v>-9.7822000000007847E-2</v>
      </c>
      <c r="Y264" s="3">
        <f t="shared" si="171"/>
        <v>1.7915299999999945</v>
      </c>
      <c r="Z264">
        <f t="shared" si="172"/>
        <v>1</v>
      </c>
      <c r="AA264" s="3">
        <f t="shared" si="173"/>
        <v>-9.7822000000007847E-2</v>
      </c>
      <c r="AB264" s="3">
        <f t="shared" si="174"/>
        <v>1.7915299999999945</v>
      </c>
      <c r="AC264">
        <f t="shared" si="175"/>
        <v>1</v>
      </c>
      <c r="AD264" s="3">
        <f t="shared" si="176"/>
        <v>-9.7822000000007847E-2</v>
      </c>
      <c r="AE264" s="3">
        <f t="shared" si="177"/>
        <v>1.7915299999999945</v>
      </c>
      <c r="AF264">
        <f t="shared" si="178"/>
        <v>1</v>
      </c>
      <c r="AG264" s="3">
        <f t="shared" si="179"/>
        <v>-9.7822000000007847E-2</v>
      </c>
      <c r="AH264" s="3">
        <f t="shared" si="180"/>
        <v>1.7915299999999945</v>
      </c>
      <c r="AI264">
        <f t="shared" si="181"/>
        <v>1</v>
      </c>
      <c r="AJ264" s="3">
        <f t="shared" si="182"/>
        <v>0</v>
      </c>
      <c r="AK264" s="3">
        <f t="shared" si="183"/>
        <v>0</v>
      </c>
      <c r="AL264">
        <f t="shared" si="184"/>
        <v>0</v>
      </c>
      <c r="AM264" s="3">
        <f t="shared" si="185"/>
        <v>0</v>
      </c>
      <c r="AN264" s="3">
        <f t="shared" si="186"/>
        <v>0</v>
      </c>
      <c r="AO264">
        <f t="shared" si="187"/>
        <v>0</v>
      </c>
      <c r="AP264" s="3">
        <f t="shared" si="188"/>
        <v>0</v>
      </c>
      <c r="AQ264" s="3">
        <f t="shared" si="189"/>
        <v>0</v>
      </c>
      <c r="AR264">
        <f t="shared" si="190"/>
        <v>0</v>
      </c>
    </row>
    <row r="265" spans="4:44" x14ac:dyDescent="0.25">
      <c r="D265" s="1">
        <v>42359</v>
      </c>
      <c r="E265" s="2">
        <v>104.993971</v>
      </c>
      <c r="F265" s="2">
        <v>197.43035499999999</v>
      </c>
      <c r="G265" s="2">
        <f t="shared" si="153"/>
        <v>1.2717080000000038</v>
      </c>
      <c r="H265" s="2">
        <f t="shared" si="154"/>
        <v>1.6153070000000014</v>
      </c>
      <c r="I265" s="4">
        <f t="shared" si="155"/>
        <v>1.2093287303645108</v>
      </c>
      <c r="J265" s="4">
        <f t="shared" si="156"/>
        <v>1.5140860610193181</v>
      </c>
      <c r="K265" s="4">
        <f t="shared" si="157"/>
        <v>2.7059029515733526</v>
      </c>
      <c r="L265" s="4">
        <f t="shared" si="158"/>
        <v>1.6449629027954864</v>
      </c>
      <c r="M265" s="4">
        <f t="shared" si="159"/>
        <v>1</v>
      </c>
      <c r="N265" s="4">
        <f t="shared" si="160"/>
        <v>0.44347488490016157</v>
      </c>
      <c r="O265" s="3">
        <f t="shared" si="161"/>
        <v>1.2717080000000038</v>
      </c>
      <c r="P265" s="3">
        <f t="shared" si="162"/>
        <v>1.6153070000000014</v>
      </c>
      <c r="Q265">
        <f t="shared" si="163"/>
        <v>1</v>
      </c>
      <c r="R265" s="3">
        <f t="shared" si="164"/>
        <v>1.2717080000000038</v>
      </c>
      <c r="S265" s="3">
        <f t="shared" si="165"/>
        <v>1.6153070000000014</v>
      </c>
      <c r="T265">
        <f t="shared" si="166"/>
        <v>1</v>
      </c>
      <c r="U265" s="3">
        <f t="shared" si="167"/>
        <v>1.2717080000000038</v>
      </c>
      <c r="V265" s="3">
        <f t="shared" si="168"/>
        <v>1.6153070000000014</v>
      </c>
      <c r="W265">
        <f t="shared" si="169"/>
        <v>1</v>
      </c>
      <c r="X265" s="3">
        <f t="shared" si="170"/>
        <v>0</v>
      </c>
      <c r="Y265" s="3">
        <f t="shared" si="171"/>
        <v>0</v>
      </c>
      <c r="Z265">
        <f t="shared" si="172"/>
        <v>0</v>
      </c>
      <c r="AA265" s="3">
        <f t="shared" si="173"/>
        <v>0</v>
      </c>
      <c r="AB265" s="3">
        <f t="shared" si="174"/>
        <v>0</v>
      </c>
      <c r="AC265">
        <f t="shared" si="175"/>
        <v>0</v>
      </c>
      <c r="AD265" s="3">
        <f t="shared" si="176"/>
        <v>0</v>
      </c>
      <c r="AE265" s="3">
        <f t="shared" si="177"/>
        <v>0</v>
      </c>
      <c r="AF265">
        <f t="shared" si="178"/>
        <v>0</v>
      </c>
      <c r="AG265" s="3">
        <f t="shared" si="179"/>
        <v>0</v>
      </c>
      <c r="AH265" s="3">
        <f t="shared" si="180"/>
        <v>0</v>
      </c>
      <c r="AI265">
        <f t="shared" si="181"/>
        <v>0</v>
      </c>
      <c r="AJ265" s="3">
        <f t="shared" si="182"/>
        <v>0</v>
      </c>
      <c r="AK265" s="3">
        <f t="shared" si="183"/>
        <v>0</v>
      </c>
      <c r="AL265">
        <f t="shared" si="184"/>
        <v>0</v>
      </c>
      <c r="AM265" s="3">
        <f t="shared" si="185"/>
        <v>0</v>
      </c>
      <c r="AN265" s="3">
        <f t="shared" si="186"/>
        <v>0</v>
      </c>
      <c r="AO265">
        <f t="shared" si="187"/>
        <v>0</v>
      </c>
      <c r="AP265" s="3">
        <f t="shared" si="188"/>
        <v>0</v>
      </c>
      <c r="AQ265" s="3">
        <f t="shared" si="189"/>
        <v>0</v>
      </c>
      <c r="AR265">
        <f t="shared" si="190"/>
        <v>0</v>
      </c>
    </row>
    <row r="266" spans="4:44" x14ac:dyDescent="0.25">
      <c r="D266" s="1">
        <v>42356</v>
      </c>
      <c r="E266" s="2">
        <v>103.722263</v>
      </c>
      <c r="F266" s="2">
        <v>195.81504799999999</v>
      </c>
      <c r="G266" s="2">
        <f t="shared" si="153"/>
        <v>-2.8857980000000083</v>
      </c>
      <c r="H266" s="2">
        <f t="shared" si="154"/>
        <v>-3.5517300000000205</v>
      </c>
      <c r="I266" s="4">
        <f t="shared" si="155"/>
        <v>-2.9481772696355013</v>
      </c>
      <c r="J266" s="4">
        <f t="shared" si="156"/>
        <v>-3.6529509389807036</v>
      </c>
      <c r="K266" s="4">
        <f t="shared" si="157"/>
        <v>15.842110044275014</v>
      </c>
      <c r="L266" s="4">
        <f t="shared" si="158"/>
        <v>3.9802148238851398</v>
      </c>
      <c r="M266" s="4">
        <f t="shared" si="159"/>
        <v>0.50248544073502388</v>
      </c>
      <c r="N266" s="4">
        <f t="shared" si="160"/>
        <v>7.5747485445201365E-2</v>
      </c>
      <c r="O266" s="3">
        <f t="shared" si="161"/>
        <v>-2.8857980000000083</v>
      </c>
      <c r="P266" s="3">
        <f t="shared" si="162"/>
        <v>-3.5517300000000205</v>
      </c>
      <c r="Q266">
        <f t="shared" si="163"/>
        <v>1</v>
      </c>
      <c r="R266" s="3">
        <f t="shared" si="164"/>
        <v>-2.8857980000000083</v>
      </c>
      <c r="S266" s="3">
        <f t="shared" si="165"/>
        <v>-3.5517300000000205</v>
      </c>
      <c r="T266">
        <f t="shared" si="166"/>
        <v>1</v>
      </c>
      <c r="U266" s="3">
        <f t="shared" si="167"/>
        <v>-2.8857980000000083</v>
      </c>
      <c r="V266" s="3">
        <f t="shared" si="168"/>
        <v>-3.5517300000000205</v>
      </c>
      <c r="W266">
        <f t="shared" si="169"/>
        <v>1</v>
      </c>
      <c r="X266" s="3">
        <f t="shared" si="170"/>
        <v>-2.8857980000000083</v>
      </c>
      <c r="Y266" s="3">
        <f t="shared" si="171"/>
        <v>-3.5517300000000205</v>
      </c>
      <c r="Z266">
        <f t="shared" si="172"/>
        <v>1</v>
      </c>
      <c r="AA266" s="3">
        <f t="shared" si="173"/>
        <v>-2.8857980000000083</v>
      </c>
      <c r="AB266" s="3">
        <f t="shared" si="174"/>
        <v>-3.5517300000000205</v>
      </c>
      <c r="AC266">
        <f t="shared" si="175"/>
        <v>1</v>
      </c>
      <c r="AD266" s="3">
        <f t="shared" si="176"/>
        <v>-2.8857980000000083</v>
      </c>
      <c r="AE266" s="3">
        <f t="shared" si="177"/>
        <v>-3.5517300000000205</v>
      </c>
      <c r="AF266">
        <f t="shared" si="178"/>
        <v>1</v>
      </c>
      <c r="AG266" s="3">
        <f t="shared" si="179"/>
        <v>-2.8857980000000083</v>
      </c>
      <c r="AH266" s="3">
        <f t="shared" si="180"/>
        <v>-3.5517300000000205</v>
      </c>
      <c r="AI266">
        <f t="shared" si="181"/>
        <v>1</v>
      </c>
      <c r="AJ266" s="3">
        <f t="shared" si="182"/>
        <v>-2.8857980000000083</v>
      </c>
      <c r="AK266" s="3">
        <f t="shared" si="183"/>
        <v>-3.5517300000000205</v>
      </c>
      <c r="AL266">
        <f t="shared" si="184"/>
        <v>1</v>
      </c>
      <c r="AM266" s="3">
        <f t="shared" si="185"/>
        <v>-2.8857980000000083</v>
      </c>
      <c r="AN266" s="3">
        <f t="shared" si="186"/>
        <v>-3.5517300000000205</v>
      </c>
      <c r="AO266">
        <f t="shared" si="187"/>
        <v>1</v>
      </c>
      <c r="AP266" s="3">
        <f t="shared" si="188"/>
        <v>-2.8857980000000083</v>
      </c>
      <c r="AQ266" s="3">
        <f t="shared" si="189"/>
        <v>-3.5517300000000205</v>
      </c>
      <c r="AR266">
        <f t="shared" si="190"/>
        <v>1</v>
      </c>
    </row>
    <row r="267" spans="4:44" x14ac:dyDescent="0.25">
      <c r="D267" s="1">
        <v>42355</v>
      </c>
      <c r="E267" s="2">
        <v>106.60806100000001</v>
      </c>
      <c r="F267" s="2">
        <v>199.36677800000001</v>
      </c>
      <c r="G267" s="2">
        <f t="shared" si="153"/>
        <v>-2.3086279999999988</v>
      </c>
      <c r="H267" s="2">
        <f t="shared" si="154"/>
        <v>-3.0849959999999896</v>
      </c>
      <c r="I267" s="4">
        <f t="shared" si="155"/>
        <v>-2.3710072696354918</v>
      </c>
      <c r="J267" s="4">
        <f t="shared" si="156"/>
        <v>-3.1862169389806727</v>
      </c>
      <c r="K267" s="4">
        <f t="shared" si="157"/>
        <v>11.602274787979503</v>
      </c>
      <c r="L267" s="4">
        <f t="shared" si="158"/>
        <v>3.4062112071889352</v>
      </c>
      <c r="M267" s="4">
        <f t="shared" si="159"/>
        <v>0.58716265033093828</v>
      </c>
      <c r="N267" s="4">
        <f t="shared" si="160"/>
        <v>0.10342799338309551</v>
      </c>
      <c r="O267" s="3">
        <f t="shared" si="161"/>
        <v>-2.3086279999999988</v>
      </c>
      <c r="P267" s="3">
        <f t="shared" si="162"/>
        <v>-3.0849959999999896</v>
      </c>
      <c r="Q267">
        <f t="shared" si="163"/>
        <v>1</v>
      </c>
      <c r="R267" s="3">
        <f t="shared" si="164"/>
        <v>-2.3086279999999988</v>
      </c>
      <c r="S267" s="3">
        <f t="shared" si="165"/>
        <v>-3.0849959999999896</v>
      </c>
      <c r="T267">
        <f t="shared" si="166"/>
        <v>1</v>
      </c>
      <c r="U267" s="3">
        <f t="shared" si="167"/>
        <v>-2.3086279999999988</v>
      </c>
      <c r="V267" s="3">
        <f t="shared" si="168"/>
        <v>-3.0849959999999896</v>
      </c>
      <c r="W267">
        <f t="shared" si="169"/>
        <v>1</v>
      </c>
      <c r="X267" s="3">
        <f t="shared" si="170"/>
        <v>-2.3086279999999988</v>
      </c>
      <c r="Y267" s="3">
        <f t="shared" si="171"/>
        <v>-3.0849959999999896</v>
      </c>
      <c r="Z267">
        <f t="shared" si="172"/>
        <v>1</v>
      </c>
      <c r="AA267" s="3">
        <f t="shared" si="173"/>
        <v>-2.3086279999999988</v>
      </c>
      <c r="AB267" s="3">
        <f t="shared" si="174"/>
        <v>-3.0849959999999896</v>
      </c>
      <c r="AC267">
        <f t="shared" si="175"/>
        <v>1</v>
      </c>
      <c r="AD267" s="3">
        <f t="shared" si="176"/>
        <v>-2.3086279999999988</v>
      </c>
      <c r="AE267" s="3">
        <f t="shared" si="177"/>
        <v>-3.0849959999999896</v>
      </c>
      <c r="AF267">
        <f t="shared" si="178"/>
        <v>1</v>
      </c>
      <c r="AG267" s="3">
        <f t="shared" si="179"/>
        <v>-2.3086279999999988</v>
      </c>
      <c r="AH267" s="3">
        <f t="shared" si="180"/>
        <v>-3.0849959999999896</v>
      </c>
      <c r="AI267">
        <f t="shared" si="181"/>
        <v>1</v>
      </c>
      <c r="AJ267" s="3">
        <f t="shared" si="182"/>
        <v>-2.3086279999999988</v>
      </c>
      <c r="AK267" s="3">
        <f t="shared" si="183"/>
        <v>-3.0849959999999896</v>
      </c>
      <c r="AL267">
        <f t="shared" si="184"/>
        <v>1</v>
      </c>
      <c r="AM267" s="3">
        <f t="shared" si="185"/>
        <v>-2.3086279999999988</v>
      </c>
      <c r="AN267" s="3">
        <f t="shared" si="186"/>
        <v>-3.0849959999999896</v>
      </c>
      <c r="AO267">
        <f t="shared" si="187"/>
        <v>1</v>
      </c>
      <c r="AP267" s="3">
        <f t="shared" si="188"/>
        <v>-2.3086279999999988</v>
      </c>
      <c r="AQ267" s="3">
        <f t="shared" si="189"/>
        <v>-3.0849959999999896</v>
      </c>
      <c r="AR267">
        <f t="shared" si="190"/>
        <v>1</v>
      </c>
    </row>
    <row r="268" spans="4:44" x14ac:dyDescent="0.25">
      <c r="D268" s="1">
        <v>42354</v>
      </c>
      <c r="E268" s="2">
        <v>108.91668900000001</v>
      </c>
      <c r="F268" s="2">
        <v>202.451774</v>
      </c>
      <c r="G268" s="2">
        <f t="shared" si="153"/>
        <v>0.83149900000000798</v>
      </c>
      <c r="H268" s="2">
        <f t="shared" si="154"/>
        <v>2.919556</v>
      </c>
      <c r="I268" s="4">
        <f t="shared" si="155"/>
        <v>0.76911973036451498</v>
      </c>
      <c r="J268" s="4">
        <f t="shared" si="156"/>
        <v>2.818335061019317</v>
      </c>
      <c r="K268" s="4">
        <f t="shared" si="157"/>
        <v>10.693607446545343</v>
      </c>
      <c r="L268" s="4">
        <f t="shared" si="158"/>
        <v>3.270108170465519</v>
      </c>
      <c r="M268" s="4">
        <f t="shared" si="159"/>
        <v>0.61160056357257697</v>
      </c>
      <c r="N268" s="4">
        <f t="shared" si="160"/>
        <v>0.11221657480868813</v>
      </c>
      <c r="O268" s="3">
        <f t="shared" si="161"/>
        <v>0.83149900000000798</v>
      </c>
      <c r="P268" s="3">
        <f t="shared" si="162"/>
        <v>2.919556</v>
      </c>
      <c r="Q268">
        <f t="shared" si="163"/>
        <v>1</v>
      </c>
      <c r="R268" s="3">
        <f t="shared" si="164"/>
        <v>0.83149900000000798</v>
      </c>
      <c r="S268" s="3">
        <f t="shared" si="165"/>
        <v>2.919556</v>
      </c>
      <c r="T268">
        <f t="shared" si="166"/>
        <v>1</v>
      </c>
      <c r="U268" s="3">
        <f t="shared" si="167"/>
        <v>0.83149900000000798</v>
      </c>
      <c r="V268" s="3">
        <f t="shared" si="168"/>
        <v>2.919556</v>
      </c>
      <c r="W268">
        <f t="shared" si="169"/>
        <v>1</v>
      </c>
      <c r="X268" s="3">
        <f t="shared" si="170"/>
        <v>0.83149900000000798</v>
      </c>
      <c r="Y268" s="3">
        <f t="shared" si="171"/>
        <v>2.919556</v>
      </c>
      <c r="Z268">
        <f t="shared" si="172"/>
        <v>1</v>
      </c>
      <c r="AA268" s="3">
        <f t="shared" si="173"/>
        <v>0.83149900000000798</v>
      </c>
      <c r="AB268" s="3">
        <f t="shared" si="174"/>
        <v>2.919556</v>
      </c>
      <c r="AC268">
        <f t="shared" si="175"/>
        <v>1</v>
      </c>
      <c r="AD268" s="3">
        <f t="shared" si="176"/>
        <v>0.83149900000000798</v>
      </c>
      <c r="AE268" s="3">
        <f t="shared" si="177"/>
        <v>2.919556</v>
      </c>
      <c r="AF268">
        <f t="shared" si="178"/>
        <v>1</v>
      </c>
      <c r="AG268" s="3">
        <f t="shared" si="179"/>
        <v>0.83149900000000798</v>
      </c>
      <c r="AH268" s="3">
        <f t="shared" si="180"/>
        <v>2.919556</v>
      </c>
      <c r="AI268">
        <f t="shared" si="181"/>
        <v>1</v>
      </c>
      <c r="AJ268" s="3">
        <f t="shared" si="182"/>
        <v>0.83149900000000798</v>
      </c>
      <c r="AK268" s="3">
        <f t="shared" si="183"/>
        <v>2.919556</v>
      </c>
      <c r="AL268">
        <f t="shared" si="184"/>
        <v>1</v>
      </c>
      <c r="AM268" s="3">
        <f t="shared" si="185"/>
        <v>0.83149900000000798</v>
      </c>
      <c r="AN268" s="3">
        <f t="shared" si="186"/>
        <v>2.919556</v>
      </c>
      <c r="AO268">
        <f t="shared" si="187"/>
        <v>1</v>
      </c>
      <c r="AP268" s="3">
        <f t="shared" si="188"/>
        <v>0.83149900000000798</v>
      </c>
      <c r="AQ268" s="3">
        <f t="shared" si="189"/>
        <v>2.919556</v>
      </c>
      <c r="AR268">
        <f t="shared" si="190"/>
        <v>1</v>
      </c>
    </row>
    <row r="269" spans="4:44" x14ac:dyDescent="0.25">
      <c r="D269" s="1">
        <v>42353</v>
      </c>
      <c r="E269" s="2">
        <v>108.08519</v>
      </c>
      <c r="F269" s="2">
        <v>199.532218</v>
      </c>
      <c r="G269" s="2">
        <f t="shared" si="153"/>
        <v>-1.9466940000000079</v>
      </c>
      <c r="H269" s="2">
        <f t="shared" si="154"/>
        <v>2.072890000000001</v>
      </c>
      <c r="I269" s="4">
        <f t="shared" si="155"/>
        <v>-2.0090732696355009</v>
      </c>
      <c r="J269" s="4">
        <f t="shared" si="156"/>
        <v>1.9716690610193177</v>
      </c>
      <c r="K269" s="4">
        <f t="shared" si="157"/>
        <v>26.23997811409351</v>
      </c>
      <c r="L269" s="4">
        <f t="shared" si="158"/>
        <v>5.1224972536931155</v>
      </c>
      <c r="M269" s="4">
        <f t="shared" si="159"/>
        <v>0.39043456754575712</v>
      </c>
      <c r="N269" s="4">
        <f t="shared" si="160"/>
        <v>4.5731745460392707E-2</v>
      </c>
      <c r="O269" s="3">
        <f t="shared" si="161"/>
        <v>-1.9466940000000079</v>
      </c>
      <c r="P269" s="3">
        <f t="shared" si="162"/>
        <v>2.072890000000001</v>
      </c>
      <c r="Q269">
        <f t="shared" si="163"/>
        <v>1</v>
      </c>
      <c r="R269" s="3">
        <f t="shared" si="164"/>
        <v>-1.9466940000000079</v>
      </c>
      <c r="S269" s="3">
        <f t="shared" si="165"/>
        <v>2.072890000000001</v>
      </c>
      <c r="T269">
        <f t="shared" si="166"/>
        <v>1</v>
      </c>
      <c r="U269" s="3">
        <f t="shared" si="167"/>
        <v>-1.9466940000000079</v>
      </c>
      <c r="V269" s="3">
        <f t="shared" si="168"/>
        <v>2.072890000000001</v>
      </c>
      <c r="W269">
        <f t="shared" si="169"/>
        <v>1</v>
      </c>
      <c r="X269" s="3">
        <f t="shared" si="170"/>
        <v>-1.9466940000000079</v>
      </c>
      <c r="Y269" s="3">
        <f t="shared" si="171"/>
        <v>2.072890000000001</v>
      </c>
      <c r="Z269">
        <f t="shared" si="172"/>
        <v>1</v>
      </c>
      <c r="AA269" s="3">
        <f t="shared" si="173"/>
        <v>-1.9466940000000079</v>
      </c>
      <c r="AB269" s="3">
        <f t="shared" si="174"/>
        <v>2.072890000000001</v>
      </c>
      <c r="AC269">
        <f t="shared" si="175"/>
        <v>1</v>
      </c>
      <c r="AD269" s="3">
        <f t="shared" si="176"/>
        <v>-1.9466940000000079</v>
      </c>
      <c r="AE269" s="3">
        <f t="shared" si="177"/>
        <v>2.072890000000001</v>
      </c>
      <c r="AF269">
        <f t="shared" si="178"/>
        <v>1</v>
      </c>
      <c r="AG269" s="3">
        <f t="shared" si="179"/>
        <v>-1.9466940000000079</v>
      </c>
      <c r="AH269" s="3">
        <f t="shared" si="180"/>
        <v>2.072890000000001</v>
      </c>
      <c r="AI269">
        <f t="shared" si="181"/>
        <v>1</v>
      </c>
      <c r="AJ269" s="3">
        <f t="shared" si="182"/>
        <v>-1.9466940000000079</v>
      </c>
      <c r="AK269" s="3">
        <f t="shared" si="183"/>
        <v>2.072890000000001</v>
      </c>
      <c r="AL269">
        <f t="shared" si="184"/>
        <v>1</v>
      </c>
      <c r="AM269" s="3">
        <f t="shared" si="185"/>
        <v>-1.9466940000000079</v>
      </c>
      <c r="AN269" s="3">
        <f t="shared" si="186"/>
        <v>2.072890000000001</v>
      </c>
      <c r="AO269">
        <f t="shared" si="187"/>
        <v>1</v>
      </c>
      <c r="AP269" s="3">
        <f t="shared" si="188"/>
        <v>-1.9466940000000079</v>
      </c>
      <c r="AQ269" s="3">
        <f t="shared" si="189"/>
        <v>2.072890000000001</v>
      </c>
      <c r="AR269">
        <f t="shared" si="190"/>
        <v>1</v>
      </c>
    </row>
    <row r="270" spans="4:44" x14ac:dyDescent="0.25">
      <c r="D270" s="1">
        <v>42352</v>
      </c>
      <c r="E270" s="2">
        <v>110.03188400000001</v>
      </c>
      <c r="F270" s="2">
        <v>197.459328</v>
      </c>
      <c r="G270" s="2">
        <f t="shared" si="153"/>
        <v>-0.68476099999999462</v>
      </c>
      <c r="H270" s="2">
        <f t="shared" si="154"/>
        <v>0.99263899999999694</v>
      </c>
      <c r="I270" s="4">
        <f t="shared" si="155"/>
        <v>-0.74714026963548763</v>
      </c>
      <c r="J270" s="4">
        <f t="shared" si="156"/>
        <v>0.89141806101931376</v>
      </c>
      <c r="K270" s="4">
        <f t="shared" si="157"/>
        <v>4.4229742664013241</v>
      </c>
      <c r="L270" s="4">
        <f t="shared" si="158"/>
        <v>2.1030868423346964</v>
      </c>
      <c r="M270" s="4">
        <f t="shared" si="159"/>
        <v>0.95098307865391962</v>
      </c>
      <c r="N270" s="4">
        <f t="shared" si="160"/>
        <v>0.27131064476582611</v>
      </c>
      <c r="O270" s="3">
        <f t="shared" si="161"/>
        <v>-0.68476099999999462</v>
      </c>
      <c r="P270" s="3">
        <f t="shared" si="162"/>
        <v>0.99263899999999694</v>
      </c>
      <c r="Q270">
        <f t="shared" si="163"/>
        <v>1</v>
      </c>
      <c r="R270" s="3">
        <f t="shared" si="164"/>
        <v>-0.68476099999999462</v>
      </c>
      <c r="S270" s="3">
        <f t="shared" si="165"/>
        <v>0.99263899999999694</v>
      </c>
      <c r="T270">
        <f t="shared" si="166"/>
        <v>1</v>
      </c>
      <c r="U270" s="3">
        <f t="shared" si="167"/>
        <v>-0.68476099999999462</v>
      </c>
      <c r="V270" s="3">
        <f t="shared" si="168"/>
        <v>0.99263899999999694</v>
      </c>
      <c r="W270">
        <f t="shared" si="169"/>
        <v>1</v>
      </c>
      <c r="X270" s="3">
        <f t="shared" si="170"/>
        <v>-0.68476099999999462</v>
      </c>
      <c r="Y270" s="3">
        <f t="shared" si="171"/>
        <v>0.99263899999999694</v>
      </c>
      <c r="Z270">
        <f t="shared" si="172"/>
        <v>1</v>
      </c>
      <c r="AA270" s="3">
        <f t="shared" si="173"/>
        <v>-0.68476099999999462</v>
      </c>
      <c r="AB270" s="3">
        <f t="shared" si="174"/>
        <v>0.99263899999999694</v>
      </c>
      <c r="AC270">
        <f t="shared" si="175"/>
        <v>1</v>
      </c>
      <c r="AD270" s="3">
        <f t="shared" si="176"/>
        <v>0</v>
      </c>
      <c r="AE270" s="3">
        <f t="shared" si="177"/>
        <v>0</v>
      </c>
      <c r="AF270">
        <f t="shared" si="178"/>
        <v>0</v>
      </c>
      <c r="AG270" s="3">
        <f t="shared" si="179"/>
        <v>0</v>
      </c>
      <c r="AH270" s="3">
        <f t="shared" si="180"/>
        <v>0</v>
      </c>
      <c r="AI270">
        <f t="shared" si="181"/>
        <v>0</v>
      </c>
      <c r="AJ270" s="3">
        <f t="shared" si="182"/>
        <v>0</v>
      </c>
      <c r="AK270" s="3">
        <f t="shared" si="183"/>
        <v>0</v>
      </c>
      <c r="AL270">
        <f t="shared" si="184"/>
        <v>0</v>
      </c>
      <c r="AM270" s="3">
        <f t="shared" si="185"/>
        <v>0</v>
      </c>
      <c r="AN270" s="3">
        <f t="shared" si="186"/>
        <v>0</v>
      </c>
      <c r="AO270">
        <f t="shared" si="187"/>
        <v>0</v>
      </c>
      <c r="AP270" s="3">
        <f t="shared" si="188"/>
        <v>0</v>
      </c>
      <c r="AQ270" s="3">
        <f t="shared" si="189"/>
        <v>0</v>
      </c>
      <c r="AR270">
        <f t="shared" si="190"/>
        <v>0</v>
      </c>
    </row>
    <row r="271" spans="4:44" x14ac:dyDescent="0.25">
      <c r="D271" s="1">
        <v>42349</v>
      </c>
      <c r="E271" s="2">
        <v>110.716645</v>
      </c>
      <c r="F271" s="2">
        <v>196.466689</v>
      </c>
      <c r="G271" s="2">
        <f t="shared" si="153"/>
        <v>-2.9249209999999977</v>
      </c>
      <c r="H271" s="2">
        <f t="shared" si="154"/>
        <v>-3.8830010000000073</v>
      </c>
      <c r="I271" s="4">
        <f t="shared" si="155"/>
        <v>-2.9873002696354907</v>
      </c>
      <c r="J271" s="4">
        <f t="shared" si="156"/>
        <v>-3.9842219389806903</v>
      </c>
      <c r="K271" s="4">
        <f t="shared" si="157"/>
        <v>18.19392785543398</v>
      </c>
      <c r="L271" s="4">
        <f t="shared" si="158"/>
        <v>4.2654340758513642</v>
      </c>
      <c r="M271" s="4">
        <f t="shared" si="159"/>
        <v>0.46888545560296996</v>
      </c>
      <c r="N271" s="4">
        <f t="shared" si="160"/>
        <v>6.5956071142801415E-2</v>
      </c>
      <c r="O271" s="3">
        <f t="shared" si="161"/>
        <v>-2.9249209999999977</v>
      </c>
      <c r="P271" s="3">
        <f t="shared" si="162"/>
        <v>-3.8830010000000073</v>
      </c>
      <c r="Q271">
        <f t="shared" si="163"/>
        <v>1</v>
      </c>
      <c r="R271" s="3">
        <f t="shared" si="164"/>
        <v>-2.9249209999999977</v>
      </c>
      <c r="S271" s="3">
        <f t="shared" si="165"/>
        <v>-3.8830010000000073</v>
      </c>
      <c r="T271">
        <f t="shared" si="166"/>
        <v>1</v>
      </c>
      <c r="U271" s="3">
        <f t="shared" si="167"/>
        <v>-2.9249209999999977</v>
      </c>
      <c r="V271" s="3">
        <f t="shared" si="168"/>
        <v>-3.8830010000000073</v>
      </c>
      <c r="W271">
        <f t="shared" si="169"/>
        <v>1</v>
      </c>
      <c r="X271" s="3">
        <f t="shared" si="170"/>
        <v>-2.9249209999999977</v>
      </c>
      <c r="Y271" s="3">
        <f t="shared" si="171"/>
        <v>-3.8830010000000073</v>
      </c>
      <c r="Z271">
        <f t="shared" si="172"/>
        <v>1</v>
      </c>
      <c r="AA271" s="3">
        <f t="shared" si="173"/>
        <v>-2.9249209999999977</v>
      </c>
      <c r="AB271" s="3">
        <f t="shared" si="174"/>
        <v>-3.8830010000000073</v>
      </c>
      <c r="AC271">
        <f t="shared" si="175"/>
        <v>1</v>
      </c>
      <c r="AD271" s="3">
        <f t="shared" si="176"/>
        <v>-2.9249209999999977</v>
      </c>
      <c r="AE271" s="3">
        <f t="shared" si="177"/>
        <v>-3.8830010000000073</v>
      </c>
      <c r="AF271">
        <f t="shared" si="178"/>
        <v>1</v>
      </c>
      <c r="AG271" s="3">
        <f t="shared" si="179"/>
        <v>-2.9249209999999977</v>
      </c>
      <c r="AH271" s="3">
        <f t="shared" si="180"/>
        <v>-3.8830010000000073</v>
      </c>
      <c r="AI271">
        <f t="shared" si="181"/>
        <v>1</v>
      </c>
      <c r="AJ271" s="3">
        <f t="shared" si="182"/>
        <v>-2.9249209999999977</v>
      </c>
      <c r="AK271" s="3">
        <f t="shared" si="183"/>
        <v>-3.8830010000000073</v>
      </c>
      <c r="AL271">
        <f t="shared" si="184"/>
        <v>1</v>
      </c>
      <c r="AM271" s="3">
        <f t="shared" si="185"/>
        <v>-2.9249209999999977</v>
      </c>
      <c r="AN271" s="3">
        <f t="shared" si="186"/>
        <v>-3.8830010000000073</v>
      </c>
      <c r="AO271">
        <f t="shared" si="187"/>
        <v>1</v>
      </c>
      <c r="AP271" s="3">
        <f t="shared" si="188"/>
        <v>-2.9249209999999977</v>
      </c>
      <c r="AQ271" s="3">
        <f t="shared" si="189"/>
        <v>-3.8830010000000073</v>
      </c>
      <c r="AR271">
        <f t="shared" si="190"/>
        <v>1</v>
      </c>
    </row>
    <row r="272" spans="4:44" x14ac:dyDescent="0.25">
      <c r="D272" s="1">
        <v>42348</v>
      </c>
      <c r="E272" s="2">
        <v>113.641566</v>
      </c>
      <c r="F272" s="2">
        <v>200.34969000000001</v>
      </c>
      <c r="G272" s="2">
        <f t="shared" si="153"/>
        <v>0.53802499999999043</v>
      </c>
      <c r="H272" s="2">
        <f t="shared" si="154"/>
        <v>0.51578700000001731</v>
      </c>
      <c r="I272" s="4">
        <f t="shared" si="155"/>
        <v>0.47564573036449742</v>
      </c>
      <c r="J272" s="4">
        <f t="shared" si="156"/>
        <v>0.41456606101933413</v>
      </c>
      <c r="K272" s="4">
        <f t="shared" si="157"/>
        <v>0.29541719669996958</v>
      </c>
      <c r="L272" s="4">
        <f t="shared" si="158"/>
        <v>0.54352294956144176</v>
      </c>
      <c r="M272" s="4">
        <f t="shared" si="159"/>
        <v>1</v>
      </c>
      <c r="N272" s="4">
        <f t="shared" si="160"/>
        <v>1</v>
      </c>
      <c r="O272" s="3">
        <f t="shared" si="161"/>
        <v>0.53802499999999043</v>
      </c>
      <c r="P272" s="3">
        <f t="shared" si="162"/>
        <v>0.51578700000001731</v>
      </c>
      <c r="Q272">
        <f t="shared" si="163"/>
        <v>1</v>
      </c>
      <c r="R272" s="3">
        <f t="shared" si="164"/>
        <v>0</v>
      </c>
      <c r="S272" s="3">
        <f t="shared" si="165"/>
        <v>0</v>
      </c>
      <c r="T272">
        <f t="shared" si="166"/>
        <v>0</v>
      </c>
      <c r="U272" s="3">
        <f t="shared" si="167"/>
        <v>0</v>
      </c>
      <c r="V272" s="3">
        <f t="shared" si="168"/>
        <v>0</v>
      </c>
      <c r="W272">
        <f t="shared" si="169"/>
        <v>0</v>
      </c>
      <c r="X272" s="3">
        <f t="shared" si="170"/>
        <v>0</v>
      </c>
      <c r="Y272" s="3">
        <f t="shared" si="171"/>
        <v>0</v>
      </c>
      <c r="Z272">
        <f t="shared" si="172"/>
        <v>0</v>
      </c>
      <c r="AA272" s="3">
        <f t="shared" si="173"/>
        <v>0</v>
      </c>
      <c r="AB272" s="3">
        <f t="shared" si="174"/>
        <v>0</v>
      </c>
      <c r="AC272">
        <f t="shared" si="175"/>
        <v>0</v>
      </c>
      <c r="AD272" s="3">
        <f t="shared" si="176"/>
        <v>0</v>
      </c>
      <c r="AE272" s="3">
        <f t="shared" si="177"/>
        <v>0</v>
      </c>
      <c r="AF272">
        <f t="shared" si="178"/>
        <v>0</v>
      </c>
      <c r="AG272" s="3">
        <f t="shared" si="179"/>
        <v>0</v>
      </c>
      <c r="AH272" s="3">
        <f t="shared" si="180"/>
        <v>0</v>
      </c>
      <c r="AI272">
        <f t="shared" si="181"/>
        <v>0</v>
      </c>
      <c r="AJ272" s="3">
        <f t="shared" si="182"/>
        <v>0</v>
      </c>
      <c r="AK272" s="3">
        <f t="shared" si="183"/>
        <v>0</v>
      </c>
      <c r="AL272">
        <f t="shared" si="184"/>
        <v>0</v>
      </c>
      <c r="AM272" s="3">
        <f t="shared" si="185"/>
        <v>0</v>
      </c>
      <c r="AN272" s="3">
        <f t="shared" si="186"/>
        <v>0</v>
      </c>
      <c r="AO272">
        <f t="shared" si="187"/>
        <v>0</v>
      </c>
      <c r="AP272" s="3">
        <f t="shared" si="188"/>
        <v>0</v>
      </c>
      <c r="AQ272" s="3">
        <f t="shared" si="189"/>
        <v>0</v>
      </c>
      <c r="AR272">
        <f t="shared" si="190"/>
        <v>0</v>
      </c>
    </row>
    <row r="273" spans="4:44" x14ac:dyDescent="0.25">
      <c r="D273" s="1">
        <v>42347</v>
      </c>
      <c r="E273" s="2">
        <v>113.10354100000001</v>
      </c>
      <c r="F273" s="2">
        <v>199.83390299999999</v>
      </c>
      <c r="G273" s="2">
        <f t="shared" si="153"/>
        <v>-2.5531939999999906</v>
      </c>
      <c r="H273" s="2">
        <f t="shared" si="154"/>
        <v>-1.5668290000000127</v>
      </c>
      <c r="I273" s="4">
        <f t="shared" si="155"/>
        <v>-2.6155732696354836</v>
      </c>
      <c r="J273" s="4">
        <f t="shared" si="156"/>
        <v>-1.668049938980696</v>
      </c>
      <c r="K273" s="4">
        <f t="shared" si="157"/>
        <v>8.5068714995130819</v>
      </c>
      <c r="L273" s="4">
        <f t="shared" si="158"/>
        <v>2.9166541617944834</v>
      </c>
      <c r="M273" s="4">
        <f t="shared" si="159"/>
        <v>0.68571722564786075</v>
      </c>
      <c r="N273" s="4">
        <f t="shared" si="160"/>
        <v>0.14106243406505975</v>
      </c>
      <c r="O273" s="3">
        <f t="shared" si="161"/>
        <v>-2.5531939999999906</v>
      </c>
      <c r="P273" s="3">
        <f t="shared" si="162"/>
        <v>-1.5668290000000127</v>
      </c>
      <c r="Q273">
        <f t="shared" si="163"/>
        <v>1</v>
      </c>
      <c r="R273" s="3">
        <f t="shared" si="164"/>
        <v>-2.5531939999999906</v>
      </c>
      <c r="S273" s="3">
        <f t="shared" si="165"/>
        <v>-1.5668290000000127</v>
      </c>
      <c r="T273">
        <f t="shared" si="166"/>
        <v>1</v>
      </c>
      <c r="U273" s="3">
        <f t="shared" si="167"/>
        <v>-2.5531939999999906</v>
      </c>
      <c r="V273" s="3">
        <f t="shared" si="168"/>
        <v>-1.5668290000000127</v>
      </c>
      <c r="W273">
        <f t="shared" si="169"/>
        <v>1</v>
      </c>
      <c r="X273" s="3">
        <f t="shared" si="170"/>
        <v>-2.5531939999999906</v>
      </c>
      <c r="Y273" s="3">
        <f t="shared" si="171"/>
        <v>-1.5668290000000127</v>
      </c>
      <c r="Z273">
        <f t="shared" si="172"/>
        <v>1</v>
      </c>
      <c r="AA273" s="3">
        <f t="shared" si="173"/>
        <v>-2.5531939999999906</v>
      </c>
      <c r="AB273" s="3">
        <f t="shared" si="174"/>
        <v>-1.5668290000000127</v>
      </c>
      <c r="AC273">
        <f t="shared" si="175"/>
        <v>1</v>
      </c>
      <c r="AD273" s="3">
        <f t="shared" si="176"/>
        <v>-2.5531939999999906</v>
      </c>
      <c r="AE273" s="3">
        <f t="shared" si="177"/>
        <v>-1.5668290000000127</v>
      </c>
      <c r="AF273">
        <f t="shared" si="178"/>
        <v>1</v>
      </c>
      <c r="AG273" s="3">
        <f t="shared" si="179"/>
        <v>-2.5531939999999906</v>
      </c>
      <c r="AH273" s="3">
        <f t="shared" si="180"/>
        <v>-1.5668290000000127</v>
      </c>
      <c r="AI273">
        <f t="shared" si="181"/>
        <v>1</v>
      </c>
      <c r="AJ273" s="3">
        <f t="shared" si="182"/>
        <v>-2.5531939999999906</v>
      </c>
      <c r="AK273" s="3">
        <f t="shared" si="183"/>
        <v>-1.5668290000000127</v>
      </c>
      <c r="AL273">
        <f t="shared" si="184"/>
        <v>1</v>
      </c>
      <c r="AM273" s="3">
        <f t="shared" si="185"/>
        <v>-2.5531939999999906</v>
      </c>
      <c r="AN273" s="3">
        <f t="shared" si="186"/>
        <v>-1.5668290000000127</v>
      </c>
      <c r="AO273">
        <f t="shared" si="187"/>
        <v>1</v>
      </c>
      <c r="AP273" s="3">
        <f t="shared" si="188"/>
        <v>0</v>
      </c>
      <c r="AQ273" s="3">
        <f t="shared" si="189"/>
        <v>0</v>
      </c>
      <c r="AR273">
        <f t="shared" si="190"/>
        <v>0</v>
      </c>
    </row>
    <row r="274" spans="4:44" x14ac:dyDescent="0.25">
      <c r="D274" s="1">
        <v>42346</v>
      </c>
      <c r="E274" s="2">
        <v>115.656735</v>
      </c>
      <c r="F274" s="2">
        <v>201.400732</v>
      </c>
      <c r="G274" s="2">
        <f t="shared" si="153"/>
        <v>-4.8906999999999812E-2</v>
      </c>
      <c r="H274" s="2">
        <f t="shared" si="154"/>
        <v>-1.3624690000000044</v>
      </c>
      <c r="I274" s="4">
        <f t="shared" si="155"/>
        <v>-0.11128626963549282</v>
      </c>
      <c r="J274" s="4">
        <f t="shared" si="156"/>
        <v>-1.4636899389806877</v>
      </c>
      <c r="K274" s="4">
        <f t="shared" si="157"/>
        <v>3.6658606502541908</v>
      </c>
      <c r="L274" s="4">
        <f t="shared" si="158"/>
        <v>1.914643739773588</v>
      </c>
      <c r="M274" s="4">
        <f t="shared" si="159"/>
        <v>1</v>
      </c>
      <c r="N274" s="4">
        <f t="shared" si="160"/>
        <v>0.32734468505146042</v>
      </c>
      <c r="O274" s="3">
        <f t="shared" si="161"/>
        <v>-4.8906999999999812E-2</v>
      </c>
      <c r="P274" s="3">
        <f t="shared" si="162"/>
        <v>-1.3624690000000044</v>
      </c>
      <c r="Q274">
        <f t="shared" si="163"/>
        <v>1</v>
      </c>
      <c r="R274" s="3">
        <f t="shared" si="164"/>
        <v>-4.8906999999999812E-2</v>
      </c>
      <c r="S274" s="3">
        <f t="shared" si="165"/>
        <v>-1.3624690000000044</v>
      </c>
      <c r="T274">
        <f t="shared" si="166"/>
        <v>1</v>
      </c>
      <c r="U274" s="3">
        <f t="shared" si="167"/>
        <v>-4.8906999999999812E-2</v>
      </c>
      <c r="V274" s="3">
        <f t="shared" si="168"/>
        <v>-1.3624690000000044</v>
      </c>
      <c r="W274">
        <f t="shared" si="169"/>
        <v>1</v>
      </c>
      <c r="X274" s="3">
        <f t="shared" si="170"/>
        <v>-4.8906999999999812E-2</v>
      </c>
      <c r="Y274" s="3">
        <f t="shared" si="171"/>
        <v>-1.3624690000000044</v>
      </c>
      <c r="Z274">
        <f t="shared" si="172"/>
        <v>1</v>
      </c>
      <c r="AA274" s="3">
        <f t="shared" si="173"/>
        <v>0</v>
      </c>
      <c r="AB274" s="3">
        <f t="shared" si="174"/>
        <v>0</v>
      </c>
      <c r="AC274">
        <f t="shared" si="175"/>
        <v>0</v>
      </c>
      <c r="AD274" s="3">
        <f t="shared" si="176"/>
        <v>0</v>
      </c>
      <c r="AE274" s="3">
        <f t="shared" si="177"/>
        <v>0</v>
      </c>
      <c r="AF274">
        <f t="shared" si="178"/>
        <v>0</v>
      </c>
      <c r="AG274" s="3">
        <f t="shared" si="179"/>
        <v>0</v>
      </c>
      <c r="AH274" s="3">
        <f t="shared" si="180"/>
        <v>0</v>
      </c>
      <c r="AI274">
        <f t="shared" si="181"/>
        <v>0</v>
      </c>
      <c r="AJ274" s="3">
        <f t="shared" si="182"/>
        <v>0</v>
      </c>
      <c r="AK274" s="3">
        <f t="shared" si="183"/>
        <v>0</v>
      </c>
      <c r="AL274">
        <f t="shared" si="184"/>
        <v>0</v>
      </c>
      <c r="AM274" s="3">
        <f t="shared" si="185"/>
        <v>0</v>
      </c>
      <c r="AN274" s="3">
        <f t="shared" si="186"/>
        <v>0</v>
      </c>
      <c r="AO274">
        <f t="shared" si="187"/>
        <v>0</v>
      </c>
      <c r="AP274" s="3">
        <f t="shared" si="188"/>
        <v>0</v>
      </c>
      <c r="AQ274" s="3">
        <f t="shared" si="189"/>
        <v>0</v>
      </c>
      <c r="AR274">
        <f t="shared" si="190"/>
        <v>0</v>
      </c>
    </row>
    <row r="275" spans="4:44" x14ac:dyDescent="0.25">
      <c r="D275" s="1">
        <v>42345</v>
      </c>
      <c r="E275" s="2">
        <v>115.705642</v>
      </c>
      <c r="F275" s="2">
        <v>202.76320100000001</v>
      </c>
      <c r="G275" s="2">
        <f t="shared" si="153"/>
        <v>-0.73367700000000013</v>
      </c>
      <c r="H275" s="2">
        <f t="shared" si="154"/>
        <v>-1.2359339999999861</v>
      </c>
      <c r="I275" s="4">
        <f t="shared" si="155"/>
        <v>-0.79605626963549314</v>
      </c>
      <c r="J275" s="4">
        <f t="shared" si="156"/>
        <v>-1.3371549389806694</v>
      </c>
      <c r="K275" s="4">
        <f t="shared" si="157"/>
        <v>1.9757503110230359</v>
      </c>
      <c r="L275" s="4">
        <f t="shared" si="158"/>
        <v>1.4056138555887374</v>
      </c>
      <c r="M275" s="4">
        <f t="shared" si="159"/>
        <v>1</v>
      </c>
      <c r="N275" s="4">
        <f t="shared" si="160"/>
        <v>1</v>
      </c>
      <c r="O275" s="3">
        <f t="shared" si="161"/>
        <v>-0.73367700000000013</v>
      </c>
      <c r="P275" s="3">
        <f t="shared" si="162"/>
        <v>-1.2359339999999861</v>
      </c>
      <c r="Q275">
        <f t="shared" si="163"/>
        <v>1</v>
      </c>
      <c r="R275" s="3">
        <f t="shared" si="164"/>
        <v>-0.73367700000000013</v>
      </c>
      <c r="S275" s="3">
        <f t="shared" si="165"/>
        <v>-1.2359339999999861</v>
      </c>
      <c r="T275">
        <f t="shared" si="166"/>
        <v>1</v>
      </c>
      <c r="U275" s="3">
        <f t="shared" si="167"/>
        <v>0</v>
      </c>
      <c r="V275" s="3">
        <f t="shared" si="168"/>
        <v>0</v>
      </c>
      <c r="W275">
        <f t="shared" si="169"/>
        <v>0</v>
      </c>
      <c r="X275" s="3">
        <f t="shared" si="170"/>
        <v>0</v>
      </c>
      <c r="Y275" s="3">
        <f t="shared" si="171"/>
        <v>0</v>
      </c>
      <c r="Z275">
        <f t="shared" si="172"/>
        <v>0</v>
      </c>
      <c r="AA275" s="3">
        <f t="shared" si="173"/>
        <v>0</v>
      </c>
      <c r="AB275" s="3">
        <f t="shared" si="174"/>
        <v>0</v>
      </c>
      <c r="AC275">
        <f t="shared" si="175"/>
        <v>0</v>
      </c>
      <c r="AD275" s="3">
        <f t="shared" si="176"/>
        <v>0</v>
      </c>
      <c r="AE275" s="3">
        <f t="shared" si="177"/>
        <v>0</v>
      </c>
      <c r="AF275">
        <f t="shared" si="178"/>
        <v>0</v>
      </c>
      <c r="AG275" s="3">
        <f t="shared" si="179"/>
        <v>0</v>
      </c>
      <c r="AH275" s="3">
        <f t="shared" si="180"/>
        <v>0</v>
      </c>
      <c r="AI275">
        <f t="shared" si="181"/>
        <v>0</v>
      </c>
      <c r="AJ275" s="3">
        <f t="shared" si="182"/>
        <v>0</v>
      </c>
      <c r="AK275" s="3">
        <f t="shared" si="183"/>
        <v>0</v>
      </c>
      <c r="AL275">
        <f t="shared" si="184"/>
        <v>0</v>
      </c>
      <c r="AM275" s="3">
        <f t="shared" si="185"/>
        <v>0</v>
      </c>
      <c r="AN275" s="3">
        <f t="shared" si="186"/>
        <v>0</v>
      </c>
      <c r="AO275">
        <f t="shared" si="187"/>
        <v>0</v>
      </c>
      <c r="AP275" s="3">
        <f t="shared" si="188"/>
        <v>0</v>
      </c>
      <c r="AQ275" s="3">
        <f t="shared" si="189"/>
        <v>0</v>
      </c>
      <c r="AR275">
        <f t="shared" si="190"/>
        <v>0</v>
      </c>
    </row>
    <row r="276" spans="4:44" x14ac:dyDescent="0.25">
      <c r="D276" s="1">
        <v>42342</v>
      </c>
      <c r="E276" s="2">
        <v>116.439319</v>
      </c>
      <c r="F276" s="2">
        <v>203.999135</v>
      </c>
      <c r="G276" s="2">
        <f t="shared" si="153"/>
        <v>3.7466419999999943</v>
      </c>
      <c r="H276" s="2">
        <f t="shared" si="154"/>
        <v>3.9024679999999989</v>
      </c>
      <c r="I276" s="4">
        <f t="shared" si="155"/>
        <v>3.6842627303645012</v>
      </c>
      <c r="J276" s="4">
        <f t="shared" si="156"/>
        <v>3.8012470610193159</v>
      </c>
      <c r="K276" s="4">
        <f t="shared" si="157"/>
        <v>19.927826239868644</v>
      </c>
      <c r="L276" s="4">
        <f t="shared" si="158"/>
        <v>4.4640593902712187</v>
      </c>
      <c r="M276" s="4">
        <f t="shared" si="159"/>
        <v>0.44802271321898518</v>
      </c>
      <c r="N276" s="4">
        <f t="shared" si="160"/>
        <v>6.0217305468030308E-2</v>
      </c>
      <c r="O276" s="3">
        <f t="shared" si="161"/>
        <v>3.7466419999999943</v>
      </c>
      <c r="P276" s="3">
        <f t="shared" si="162"/>
        <v>3.9024679999999989</v>
      </c>
      <c r="Q276">
        <f t="shared" si="163"/>
        <v>1</v>
      </c>
      <c r="R276" s="3">
        <f t="shared" si="164"/>
        <v>3.7466419999999943</v>
      </c>
      <c r="S276" s="3">
        <f t="shared" si="165"/>
        <v>3.9024679999999989</v>
      </c>
      <c r="T276">
        <f t="shared" si="166"/>
        <v>1</v>
      </c>
      <c r="U276" s="3">
        <f t="shared" si="167"/>
        <v>3.7466419999999943</v>
      </c>
      <c r="V276" s="3">
        <f t="shared" si="168"/>
        <v>3.9024679999999989</v>
      </c>
      <c r="W276">
        <f t="shared" si="169"/>
        <v>1</v>
      </c>
      <c r="X276" s="3">
        <f t="shared" si="170"/>
        <v>3.7466419999999943</v>
      </c>
      <c r="Y276" s="3">
        <f t="shared" si="171"/>
        <v>3.9024679999999989</v>
      </c>
      <c r="Z276">
        <f t="shared" si="172"/>
        <v>1</v>
      </c>
      <c r="AA276" s="3">
        <f t="shared" si="173"/>
        <v>3.7466419999999943</v>
      </c>
      <c r="AB276" s="3">
        <f t="shared" si="174"/>
        <v>3.9024679999999989</v>
      </c>
      <c r="AC276">
        <f t="shared" si="175"/>
        <v>1</v>
      </c>
      <c r="AD276" s="3">
        <f t="shared" si="176"/>
        <v>3.7466419999999943</v>
      </c>
      <c r="AE276" s="3">
        <f t="shared" si="177"/>
        <v>3.9024679999999989</v>
      </c>
      <c r="AF276">
        <f t="shared" si="178"/>
        <v>1</v>
      </c>
      <c r="AG276" s="3">
        <f t="shared" si="179"/>
        <v>3.7466419999999943</v>
      </c>
      <c r="AH276" s="3">
        <f t="shared" si="180"/>
        <v>3.9024679999999989</v>
      </c>
      <c r="AI276">
        <f t="shared" si="181"/>
        <v>1</v>
      </c>
      <c r="AJ276" s="3">
        <f t="shared" si="182"/>
        <v>3.7466419999999943</v>
      </c>
      <c r="AK276" s="3">
        <f t="shared" si="183"/>
        <v>3.9024679999999989</v>
      </c>
      <c r="AL276">
        <f t="shared" si="184"/>
        <v>1</v>
      </c>
      <c r="AM276" s="3">
        <f t="shared" si="185"/>
        <v>3.7466419999999943</v>
      </c>
      <c r="AN276" s="3">
        <f t="shared" si="186"/>
        <v>3.9024679999999989</v>
      </c>
      <c r="AO276">
        <f t="shared" si="187"/>
        <v>1</v>
      </c>
      <c r="AP276" s="3">
        <f t="shared" si="188"/>
        <v>3.7466419999999943</v>
      </c>
      <c r="AQ276" s="3">
        <f t="shared" si="189"/>
        <v>3.9024679999999989</v>
      </c>
      <c r="AR276">
        <f t="shared" si="190"/>
        <v>1</v>
      </c>
    </row>
    <row r="277" spans="4:44" x14ac:dyDescent="0.25">
      <c r="D277" s="1">
        <v>42341</v>
      </c>
      <c r="E277" s="2">
        <v>112.692677</v>
      </c>
      <c r="F277" s="2">
        <v>200.096667</v>
      </c>
      <c r="G277" s="2">
        <f t="shared" si="153"/>
        <v>-1.0564949999999982</v>
      </c>
      <c r="H277" s="2">
        <f t="shared" si="154"/>
        <v>-2.841700000000003</v>
      </c>
      <c r="I277" s="4">
        <f t="shared" si="155"/>
        <v>-1.1188742696354912</v>
      </c>
      <c r="J277" s="4">
        <f t="shared" si="156"/>
        <v>-2.9429209389806861</v>
      </c>
      <c r="K277" s="4">
        <f t="shared" si="157"/>
        <v>10.539261032615828</v>
      </c>
      <c r="L277" s="4">
        <f t="shared" si="158"/>
        <v>3.2464228055839905</v>
      </c>
      <c r="M277" s="4">
        <f t="shared" si="159"/>
        <v>0.61606270032354127</v>
      </c>
      <c r="N277" s="4">
        <f t="shared" si="160"/>
        <v>0.11385997521898002</v>
      </c>
      <c r="O277" s="3">
        <f t="shared" si="161"/>
        <v>-1.0564949999999982</v>
      </c>
      <c r="P277" s="3">
        <f t="shared" si="162"/>
        <v>-2.841700000000003</v>
      </c>
      <c r="Q277">
        <f t="shared" si="163"/>
        <v>1</v>
      </c>
      <c r="R277" s="3">
        <f t="shared" si="164"/>
        <v>-1.0564949999999982</v>
      </c>
      <c r="S277" s="3">
        <f t="shared" si="165"/>
        <v>-2.841700000000003</v>
      </c>
      <c r="T277">
        <f t="shared" si="166"/>
        <v>1</v>
      </c>
      <c r="U277" s="3">
        <f t="shared" si="167"/>
        <v>-1.0564949999999982</v>
      </c>
      <c r="V277" s="3">
        <f t="shared" si="168"/>
        <v>-2.841700000000003</v>
      </c>
      <c r="W277">
        <f t="shared" si="169"/>
        <v>1</v>
      </c>
      <c r="X277" s="3">
        <f t="shared" si="170"/>
        <v>-1.0564949999999982</v>
      </c>
      <c r="Y277" s="3">
        <f t="shared" si="171"/>
        <v>-2.841700000000003</v>
      </c>
      <c r="Z277">
        <f t="shared" si="172"/>
        <v>1</v>
      </c>
      <c r="AA277" s="3">
        <f t="shared" si="173"/>
        <v>-1.0564949999999982</v>
      </c>
      <c r="AB277" s="3">
        <f t="shared" si="174"/>
        <v>-2.841700000000003</v>
      </c>
      <c r="AC277">
        <f t="shared" si="175"/>
        <v>1</v>
      </c>
      <c r="AD277" s="3">
        <f t="shared" si="176"/>
        <v>-1.0564949999999982</v>
      </c>
      <c r="AE277" s="3">
        <f t="shared" si="177"/>
        <v>-2.841700000000003</v>
      </c>
      <c r="AF277">
        <f t="shared" si="178"/>
        <v>1</v>
      </c>
      <c r="AG277" s="3">
        <f t="shared" si="179"/>
        <v>-1.0564949999999982</v>
      </c>
      <c r="AH277" s="3">
        <f t="shared" si="180"/>
        <v>-2.841700000000003</v>
      </c>
      <c r="AI277">
        <f t="shared" si="181"/>
        <v>1</v>
      </c>
      <c r="AJ277" s="3">
        <f t="shared" si="182"/>
        <v>-1.0564949999999982</v>
      </c>
      <c r="AK277" s="3">
        <f t="shared" si="183"/>
        <v>-2.841700000000003</v>
      </c>
      <c r="AL277">
        <f t="shared" si="184"/>
        <v>1</v>
      </c>
      <c r="AM277" s="3">
        <f t="shared" si="185"/>
        <v>-1.0564949999999982</v>
      </c>
      <c r="AN277" s="3">
        <f t="shared" si="186"/>
        <v>-2.841700000000003</v>
      </c>
      <c r="AO277">
        <f t="shared" si="187"/>
        <v>1</v>
      </c>
      <c r="AP277" s="3">
        <f t="shared" si="188"/>
        <v>-1.0564949999999982</v>
      </c>
      <c r="AQ277" s="3">
        <f t="shared" si="189"/>
        <v>-2.841700000000003</v>
      </c>
      <c r="AR277">
        <f t="shared" si="190"/>
        <v>1</v>
      </c>
    </row>
    <row r="278" spans="4:44" x14ac:dyDescent="0.25">
      <c r="D278" s="1">
        <v>42340</v>
      </c>
      <c r="E278" s="2">
        <v>113.749172</v>
      </c>
      <c r="F278" s="2">
        <v>202.938367</v>
      </c>
      <c r="G278" s="2">
        <f t="shared" si="153"/>
        <v>-1.0369269999999915</v>
      </c>
      <c r="H278" s="2">
        <f t="shared" si="154"/>
        <v>-2.0923429999999996</v>
      </c>
      <c r="I278" s="4">
        <f t="shared" si="155"/>
        <v>-1.0993062696354845</v>
      </c>
      <c r="J278" s="4">
        <f t="shared" si="156"/>
        <v>-2.1935639389806827</v>
      </c>
      <c r="K278" s="4">
        <f t="shared" si="157"/>
        <v>5.4360727343900965</v>
      </c>
      <c r="L278" s="4">
        <f t="shared" si="158"/>
        <v>2.3315387053167478</v>
      </c>
      <c r="M278" s="4">
        <f t="shared" si="159"/>
        <v>0.85780261568863503</v>
      </c>
      <c r="N278" s="4">
        <f t="shared" si="160"/>
        <v>0.22074759824467924</v>
      </c>
      <c r="O278" s="3">
        <f t="shared" si="161"/>
        <v>-1.0369269999999915</v>
      </c>
      <c r="P278" s="3">
        <f t="shared" si="162"/>
        <v>-2.0923429999999996</v>
      </c>
      <c r="Q278">
        <f t="shared" si="163"/>
        <v>1</v>
      </c>
      <c r="R278" s="3">
        <f t="shared" si="164"/>
        <v>-1.0369269999999915</v>
      </c>
      <c r="S278" s="3">
        <f t="shared" si="165"/>
        <v>-2.0923429999999996</v>
      </c>
      <c r="T278">
        <f t="shared" si="166"/>
        <v>1</v>
      </c>
      <c r="U278" s="3">
        <f t="shared" si="167"/>
        <v>-1.0369269999999915</v>
      </c>
      <c r="V278" s="3">
        <f t="shared" si="168"/>
        <v>-2.0923429999999996</v>
      </c>
      <c r="W278">
        <f t="shared" si="169"/>
        <v>1</v>
      </c>
      <c r="X278" s="3">
        <f t="shared" si="170"/>
        <v>-1.0369269999999915</v>
      </c>
      <c r="Y278" s="3">
        <f t="shared" si="171"/>
        <v>-2.0923429999999996</v>
      </c>
      <c r="Z278">
        <f t="shared" si="172"/>
        <v>1</v>
      </c>
      <c r="AA278" s="3">
        <f t="shared" si="173"/>
        <v>-1.0369269999999915</v>
      </c>
      <c r="AB278" s="3">
        <f t="shared" si="174"/>
        <v>-2.0923429999999996</v>
      </c>
      <c r="AC278">
        <f t="shared" si="175"/>
        <v>1</v>
      </c>
      <c r="AD278" s="3">
        <f t="shared" si="176"/>
        <v>-1.0369269999999915</v>
      </c>
      <c r="AE278" s="3">
        <f t="shared" si="177"/>
        <v>-2.0923429999999996</v>
      </c>
      <c r="AF278">
        <f t="shared" si="178"/>
        <v>1</v>
      </c>
      <c r="AG278" s="3">
        <f t="shared" si="179"/>
        <v>0</v>
      </c>
      <c r="AH278" s="3">
        <f t="shared" si="180"/>
        <v>0</v>
      </c>
      <c r="AI278">
        <f t="shared" si="181"/>
        <v>0</v>
      </c>
      <c r="AJ278" s="3">
        <f t="shared" si="182"/>
        <v>0</v>
      </c>
      <c r="AK278" s="3">
        <f t="shared" si="183"/>
        <v>0</v>
      </c>
      <c r="AL278">
        <f t="shared" si="184"/>
        <v>0</v>
      </c>
      <c r="AM278" s="3">
        <f t="shared" si="185"/>
        <v>0</v>
      </c>
      <c r="AN278" s="3">
        <f t="shared" si="186"/>
        <v>0</v>
      </c>
      <c r="AO278">
        <f t="shared" si="187"/>
        <v>0</v>
      </c>
      <c r="AP278" s="3">
        <f t="shared" si="188"/>
        <v>0</v>
      </c>
      <c r="AQ278" s="3">
        <f t="shared" si="189"/>
        <v>0</v>
      </c>
      <c r="AR278">
        <f t="shared" si="190"/>
        <v>0</v>
      </c>
    </row>
    <row r="279" spans="4:44" x14ac:dyDescent="0.25">
      <c r="D279" s="1">
        <v>42339</v>
      </c>
      <c r="E279" s="2">
        <v>114.78609899999999</v>
      </c>
      <c r="F279" s="2">
        <v>205.03071</v>
      </c>
      <c r="G279" s="2">
        <f t="shared" si="153"/>
        <v>-0.93911200000000861</v>
      </c>
      <c r="H279" s="2">
        <f t="shared" si="154"/>
        <v>1.9366300000000081</v>
      </c>
      <c r="I279" s="4">
        <f t="shared" si="155"/>
        <v>-1.0014912696355016</v>
      </c>
      <c r="J279" s="4">
        <f t="shared" si="156"/>
        <v>1.8354090610193248</v>
      </c>
      <c r="K279" s="4">
        <f t="shared" si="157"/>
        <v>13.292336950731983</v>
      </c>
      <c r="L279" s="4">
        <f t="shared" si="158"/>
        <v>3.6458657340516507</v>
      </c>
      <c r="M279" s="4">
        <f t="shared" si="159"/>
        <v>0.548566553430754</v>
      </c>
      <c r="N279" s="4">
        <f t="shared" si="160"/>
        <v>9.0277579062868873E-2</v>
      </c>
      <c r="O279" s="3">
        <f t="shared" si="161"/>
        <v>-0.93911200000000861</v>
      </c>
      <c r="P279" s="3">
        <f t="shared" si="162"/>
        <v>1.9366300000000081</v>
      </c>
      <c r="Q279">
        <f t="shared" si="163"/>
        <v>1</v>
      </c>
      <c r="R279" s="3">
        <f t="shared" si="164"/>
        <v>-0.93911200000000861</v>
      </c>
      <c r="S279" s="3">
        <f t="shared" si="165"/>
        <v>1.9366300000000081</v>
      </c>
      <c r="T279">
        <f t="shared" si="166"/>
        <v>1</v>
      </c>
      <c r="U279" s="3">
        <f t="shared" si="167"/>
        <v>-0.93911200000000861</v>
      </c>
      <c r="V279" s="3">
        <f t="shared" si="168"/>
        <v>1.9366300000000081</v>
      </c>
      <c r="W279">
        <f t="shared" si="169"/>
        <v>1</v>
      </c>
      <c r="X279" s="3">
        <f t="shared" si="170"/>
        <v>-0.93911200000000861</v>
      </c>
      <c r="Y279" s="3">
        <f t="shared" si="171"/>
        <v>1.9366300000000081</v>
      </c>
      <c r="Z279">
        <f t="shared" si="172"/>
        <v>1</v>
      </c>
      <c r="AA279" s="3">
        <f t="shared" si="173"/>
        <v>-0.93911200000000861</v>
      </c>
      <c r="AB279" s="3">
        <f t="shared" si="174"/>
        <v>1.9366300000000081</v>
      </c>
      <c r="AC279">
        <f t="shared" si="175"/>
        <v>1</v>
      </c>
      <c r="AD279" s="3">
        <f t="shared" si="176"/>
        <v>-0.93911200000000861</v>
      </c>
      <c r="AE279" s="3">
        <f t="shared" si="177"/>
        <v>1.9366300000000081</v>
      </c>
      <c r="AF279">
        <f t="shared" si="178"/>
        <v>1</v>
      </c>
      <c r="AG279" s="3">
        <f t="shared" si="179"/>
        <v>-0.93911200000000861</v>
      </c>
      <c r="AH279" s="3">
        <f t="shared" si="180"/>
        <v>1.9366300000000081</v>
      </c>
      <c r="AI279">
        <f t="shared" si="181"/>
        <v>1</v>
      </c>
      <c r="AJ279" s="3">
        <f t="shared" si="182"/>
        <v>-0.93911200000000861</v>
      </c>
      <c r="AK279" s="3">
        <f t="shared" si="183"/>
        <v>1.9366300000000081</v>
      </c>
      <c r="AL279">
        <f t="shared" si="184"/>
        <v>1</v>
      </c>
      <c r="AM279" s="3">
        <f t="shared" si="185"/>
        <v>-0.93911200000000861</v>
      </c>
      <c r="AN279" s="3">
        <f t="shared" si="186"/>
        <v>1.9366300000000081</v>
      </c>
      <c r="AO279">
        <f t="shared" si="187"/>
        <v>1</v>
      </c>
      <c r="AP279" s="3">
        <f t="shared" si="188"/>
        <v>-0.93911200000000861</v>
      </c>
      <c r="AQ279" s="3">
        <f t="shared" si="189"/>
        <v>1.9366300000000081</v>
      </c>
      <c r="AR279">
        <f t="shared" si="190"/>
        <v>1</v>
      </c>
    </row>
    <row r="280" spans="4:44" x14ac:dyDescent="0.25">
      <c r="D280" s="1">
        <v>42338</v>
      </c>
      <c r="E280" s="2">
        <v>115.725211</v>
      </c>
      <c r="F280" s="2">
        <v>203.09407999999999</v>
      </c>
      <c r="G280" s="2">
        <f t="shared" si="153"/>
        <v>0.47934000000000765</v>
      </c>
      <c r="H280" s="2">
        <f t="shared" si="154"/>
        <v>-0.84666699999999651</v>
      </c>
      <c r="I280" s="4">
        <f t="shared" si="155"/>
        <v>0.41696073036451464</v>
      </c>
      <c r="J280" s="4">
        <f t="shared" si="156"/>
        <v>-0.94788793898067969</v>
      </c>
      <c r="K280" s="4">
        <f t="shared" si="157"/>
        <v>3.0993705030207428</v>
      </c>
      <c r="L280" s="4">
        <f t="shared" si="158"/>
        <v>1.7605029119603133</v>
      </c>
      <c r="M280" s="4">
        <f t="shared" si="159"/>
        <v>1</v>
      </c>
      <c r="N280" s="4">
        <f t="shared" si="160"/>
        <v>0.38717539540059592</v>
      </c>
      <c r="O280" s="3">
        <f t="shared" si="161"/>
        <v>0.47934000000000765</v>
      </c>
      <c r="P280" s="3">
        <f t="shared" si="162"/>
        <v>-0.84666699999999651</v>
      </c>
      <c r="Q280">
        <f t="shared" si="163"/>
        <v>1</v>
      </c>
      <c r="R280" s="3">
        <f t="shared" si="164"/>
        <v>0.47934000000000765</v>
      </c>
      <c r="S280" s="3">
        <f t="shared" si="165"/>
        <v>-0.84666699999999651</v>
      </c>
      <c r="T280">
        <f t="shared" si="166"/>
        <v>1</v>
      </c>
      <c r="U280" s="3">
        <f t="shared" si="167"/>
        <v>0.47934000000000765</v>
      </c>
      <c r="V280" s="3">
        <f t="shared" si="168"/>
        <v>-0.84666699999999651</v>
      </c>
      <c r="W280">
        <f t="shared" si="169"/>
        <v>1</v>
      </c>
      <c r="X280" s="3">
        <f t="shared" si="170"/>
        <v>0.47934000000000765</v>
      </c>
      <c r="Y280" s="3">
        <f t="shared" si="171"/>
        <v>-0.84666699999999651</v>
      </c>
      <c r="Z280">
        <f t="shared" si="172"/>
        <v>1</v>
      </c>
      <c r="AA280" s="3">
        <f t="shared" si="173"/>
        <v>0</v>
      </c>
      <c r="AB280" s="3">
        <f t="shared" si="174"/>
        <v>0</v>
      </c>
      <c r="AC280">
        <f t="shared" si="175"/>
        <v>0</v>
      </c>
      <c r="AD280" s="3">
        <f t="shared" si="176"/>
        <v>0</v>
      </c>
      <c r="AE280" s="3">
        <f t="shared" si="177"/>
        <v>0</v>
      </c>
      <c r="AF280">
        <f t="shared" si="178"/>
        <v>0</v>
      </c>
      <c r="AG280" s="3">
        <f t="shared" si="179"/>
        <v>0</v>
      </c>
      <c r="AH280" s="3">
        <f t="shared" si="180"/>
        <v>0</v>
      </c>
      <c r="AI280">
        <f t="shared" si="181"/>
        <v>0</v>
      </c>
      <c r="AJ280" s="3">
        <f t="shared" si="182"/>
        <v>0</v>
      </c>
      <c r="AK280" s="3">
        <f t="shared" si="183"/>
        <v>0</v>
      </c>
      <c r="AL280">
        <f t="shared" si="184"/>
        <v>0</v>
      </c>
      <c r="AM280" s="3">
        <f t="shared" si="185"/>
        <v>0</v>
      </c>
      <c r="AN280" s="3">
        <f t="shared" si="186"/>
        <v>0</v>
      </c>
      <c r="AO280">
        <f t="shared" si="187"/>
        <v>0</v>
      </c>
      <c r="AP280" s="3">
        <f t="shared" si="188"/>
        <v>0</v>
      </c>
      <c r="AQ280" s="3">
        <f t="shared" si="189"/>
        <v>0</v>
      </c>
      <c r="AR280">
        <f t="shared" si="190"/>
        <v>0</v>
      </c>
    </row>
    <row r="281" spans="4:44" x14ac:dyDescent="0.25">
      <c r="D281" s="1">
        <v>42335</v>
      </c>
      <c r="E281" s="2">
        <v>115.24587099999999</v>
      </c>
      <c r="F281" s="2">
        <v>203.94074699999999</v>
      </c>
      <c r="G281" s="2">
        <f t="shared" si="153"/>
        <v>-0.21521300000000565</v>
      </c>
      <c r="H281" s="2">
        <f t="shared" si="154"/>
        <v>0.23355499999999552</v>
      </c>
      <c r="I281" s="4">
        <f t="shared" si="155"/>
        <v>-0.27759226963549866</v>
      </c>
      <c r="J281" s="4">
        <f t="shared" si="156"/>
        <v>0.1323340610193123</v>
      </c>
      <c r="K281" s="4">
        <f t="shared" si="157"/>
        <v>0.29249193279599217</v>
      </c>
      <c r="L281" s="4">
        <f t="shared" si="158"/>
        <v>0.54082523313542996</v>
      </c>
      <c r="M281" s="4">
        <f t="shared" si="159"/>
        <v>1</v>
      </c>
      <c r="N281" s="4">
        <f t="shared" si="160"/>
        <v>1</v>
      </c>
      <c r="O281" s="3">
        <f t="shared" si="161"/>
        <v>-0.21521300000000565</v>
      </c>
      <c r="P281" s="3">
        <f t="shared" si="162"/>
        <v>0.23355499999999552</v>
      </c>
      <c r="Q281">
        <f t="shared" si="163"/>
        <v>1</v>
      </c>
      <c r="R281" s="3">
        <f t="shared" si="164"/>
        <v>0</v>
      </c>
      <c r="S281" s="3">
        <f t="shared" si="165"/>
        <v>0</v>
      </c>
      <c r="T281">
        <f t="shared" si="166"/>
        <v>0</v>
      </c>
      <c r="U281" s="3">
        <f t="shared" si="167"/>
        <v>0</v>
      </c>
      <c r="V281" s="3">
        <f t="shared" si="168"/>
        <v>0</v>
      </c>
      <c r="W281">
        <f t="shared" si="169"/>
        <v>0</v>
      </c>
      <c r="X281" s="3">
        <f t="shared" si="170"/>
        <v>0</v>
      </c>
      <c r="Y281" s="3">
        <f t="shared" si="171"/>
        <v>0</v>
      </c>
      <c r="Z281">
        <f t="shared" si="172"/>
        <v>0</v>
      </c>
      <c r="AA281" s="3">
        <f t="shared" si="173"/>
        <v>0</v>
      </c>
      <c r="AB281" s="3">
        <f t="shared" si="174"/>
        <v>0</v>
      </c>
      <c r="AC281">
        <f t="shared" si="175"/>
        <v>0</v>
      </c>
      <c r="AD281" s="3">
        <f t="shared" si="176"/>
        <v>0</v>
      </c>
      <c r="AE281" s="3">
        <f t="shared" si="177"/>
        <v>0</v>
      </c>
      <c r="AF281">
        <f t="shared" si="178"/>
        <v>0</v>
      </c>
      <c r="AG281" s="3">
        <f t="shared" si="179"/>
        <v>0</v>
      </c>
      <c r="AH281" s="3">
        <f t="shared" si="180"/>
        <v>0</v>
      </c>
      <c r="AI281">
        <f t="shared" si="181"/>
        <v>0</v>
      </c>
      <c r="AJ281" s="3">
        <f t="shared" si="182"/>
        <v>0</v>
      </c>
      <c r="AK281" s="3">
        <f t="shared" si="183"/>
        <v>0</v>
      </c>
      <c r="AL281">
        <f t="shared" si="184"/>
        <v>0</v>
      </c>
      <c r="AM281" s="3">
        <f t="shared" si="185"/>
        <v>0</v>
      </c>
      <c r="AN281" s="3">
        <f t="shared" si="186"/>
        <v>0</v>
      </c>
      <c r="AO281">
        <f t="shared" si="187"/>
        <v>0</v>
      </c>
      <c r="AP281" s="3">
        <f t="shared" si="188"/>
        <v>0</v>
      </c>
      <c r="AQ281" s="3">
        <f t="shared" si="189"/>
        <v>0</v>
      </c>
      <c r="AR281">
        <f t="shared" si="190"/>
        <v>0</v>
      </c>
    </row>
    <row r="282" spans="4:44" x14ac:dyDescent="0.25">
      <c r="D282" s="1">
        <v>42333</v>
      </c>
      <c r="E282" s="2">
        <v>115.461084</v>
      </c>
      <c r="F282" s="2">
        <v>203.70719199999999</v>
      </c>
      <c r="G282" s="2">
        <f t="shared" si="153"/>
        <v>-0.8314979999999963</v>
      </c>
      <c r="H282" s="2">
        <f t="shared" si="154"/>
        <v>-2.919400000001815E-2</v>
      </c>
      <c r="I282" s="4">
        <f t="shared" si="155"/>
        <v>-0.8938772696354893</v>
      </c>
      <c r="J282" s="4">
        <f t="shared" si="156"/>
        <v>-0.13041493898070136</v>
      </c>
      <c r="K282" s="4">
        <f t="shared" si="157"/>
        <v>1.4296083990854422</v>
      </c>
      <c r="L282" s="4">
        <f t="shared" si="158"/>
        <v>1.195662326530966</v>
      </c>
      <c r="M282" s="4">
        <f t="shared" si="159"/>
        <v>1</v>
      </c>
      <c r="N282" s="4">
        <f t="shared" si="160"/>
        <v>1</v>
      </c>
      <c r="O282" s="3">
        <f t="shared" si="161"/>
        <v>-0.8314979999999963</v>
      </c>
      <c r="P282" s="3">
        <f t="shared" si="162"/>
        <v>-2.919400000001815E-2</v>
      </c>
      <c r="Q282">
        <f t="shared" si="163"/>
        <v>1</v>
      </c>
      <c r="R282" s="3">
        <f t="shared" si="164"/>
        <v>-0.8314979999999963</v>
      </c>
      <c r="S282" s="3">
        <f t="shared" si="165"/>
        <v>-2.919400000001815E-2</v>
      </c>
      <c r="T282">
        <f t="shared" si="166"/>
        <v>1</v>
      </c>
      <c r="U282" s="3">
        <f t="shared" si="167"/>
        <v>0</v>
      </c>
      <c r="V282" s="3">
        <f t="shared" si="168"/>
        <v>0</v>
      </c>
      <c r="W282">
        <f t="shared" si="169"/>
        <v>0</v>
      </c>
      <c r="X282" s="3">
        <f t="shared" si="170"/>
        <v>0</v>
      </c>
      <c r="Y282" s="3">
        <f t="shared" si="171"/>
        <v>0</v>
      </c>
      <c r="Z282">
        <f t="shared" si="172"/>
        <v>0</v>
      </c>
      <c r="AA282" s="3">
        <f t="shared" si="173"/>
        <v>0</v>
      </c>
      <c r="AB282" s="3">
        <f t="shared" si="174"/>
        <v>0</v>
      </c>
      <c r="AC282">
        <f t="shared" si="175"/>
        <v>0</v>
      </c>
      <c r="AD282" s="3">
        <f t="shared" si="176"/>
        <v>0</v>
      </c>
      <c r="AE282" s="3">
        <f t="shared" si="177"/>
        <v>0</v>
      </c>
      <c r="AF282">
        <f t="shared" si="178"/>
        <v>0</v>
      </c>
      <c r="AG282" s="3">
        <f t="shared" si="179"/>
        <v>0</v>
      </c>
      <c r="AH282" s="3">
        <f t="shared" si="180"/>
        <v>0</v>
      </c>
      <c r="AI282">
        <f t="shared" si="181"/>
        <v>0</v>
      </c>
      <c r="AJ282" s="3">
        <f t="shared" si="182"/>
        <v>0</v>
      </c>
      <c r="AK282" s="3">
        <f t="shared" si="183"/>
        <v>0</v>
      </c>
      <c r="AL282">
        <f t="shared" si="184"/>
        <v>0</v>
      </c>
      <c r="AM282" s="3">
        <f t="shared" si="185"/>
        <v>0</v>
      </c>
      <c r="AN282" s="3">
        <f t="shared" si="186"/>
        <v>0</v>
      </c>
      <c r="AO282">
        <f t="shared" si="187"/>
        <v>0</v>
      </c>
      <c r="AP282" s="3">
        <f t="shared" si="188"/>
        <v>0</v>
      </c>
      <c r="AQ282" s="3">
        <f t="shared" si="189"/>
        <v>0</v>
      </c>
      <c r="AR282">
        <f t="shared" si="190"/>
        <v>0</v>
      </c>
    </row>
    <row r="283" spans="4:44" x14ac:dyDescent="0.25">
      <c r="D283" s="1">
        <v>42332</v>
      </c>
      <c r="E283" s="2">
        <v>116.292582</v>
      </c>
      <c r="F283" s="2">
        <v>203.73638600000001</v>
      </c>
      <c r="G283" s="2">
        <f t="shared" si="153"/>
        <v>1.1054029999999955</v>
      </c>
      <c r="H283" s="2">
        <f t="shared" si="154"/>
        <v>0.27249100000000226</v>
      </c>
      <c r="I283" s="4">
        <f t="shared" si="155"/>
        <v>1.0430237303645025</v>
      </c>
      <c r="J283" s="4">
        <f t="shared" si="156"/>
        <v>0.17127006101931905</v>
      </c>
      <c r="K283" s="4">
        <f t="shared" si="157"/>
        <v>1.9064970393661884</v>
      </c>
      <c r="L283" s="4">
        <f t="shared" si="158"/>
        <v>1.3807595878233794</v>
      </c>
      <c r="M283" s="4">
        <f t="shared" si="159"/>
        <v>1</v>
      </c>
      <c r="N283" s="4">
        <f t="shared" si="160"/>
        <v>1</v>
      </c>
      <c r="O283" s="3">
        <f t="shared" si="161"/>
        <v>1.1054029999999955</v>
      </c>
      <c r="P283" s="3">
        <f t="shared" si="162"/>
        <v>0.27249100000000226</v>
      </c>
      <c r="Q283">
        <f t="shared" si="163"/>
        <v>1</v>
      </c>
      <c r="R283" s="3">
        <f t="shared" si="164"/>
        <v>1.1054029999999955</v>
      </c>
      <c r="S283" s="3">
        <f t="shared" si="165"/>
        <v>0.27249100000000226</v>
      </c>
      <c r="T283">
        <f t="shared" si="166"/>
        <v>1</v>
      </c>
      <c r="U283" s="3">
        <f t="shared" si="167"/>
        <v>0</v>
      </c>
      <c r="V283" s="3">
        <f t="shared" si="168"/>
        <v>0</v>
      </c>
      <c r="W283">
        <f t="shared" si="169"/>
        <v>0</v>
      </c>
      <c r="X283" s="3">
        <f t="shared" si="170"/>
        <v>0</v>
      </c>
      <c r="Y283" s="3">
        <f t="shared" si="171"/>
        <v>0</v>
      </c>
      <c r="Z283">
        <f t="shared" si="172"/>
        <v>0</v>
      </c>
      <c r="AA283" s="3">
        <f t="shared" si="173"/>
        <v>0</v>
      </c>
      <c r="AB283" s="3">
        <f t="shared" si="174"/>
        <v>0</v>
      </c>
      <c r="AC283">
        <f t="shared" si="175"/>
        <v>0</v>
      </c>
      <c r="AD283" s="3">
        <f t="shared" si="176"/>
        <v>0</v>
      </c>
      <c r="AE283" s="3">
        <f t="shared" si="177"/>
        <v>0</v>
      </c>
      <c r="AF283">
        <f t="shared" si="178"/>
        <v>0</v>
      </c>
      <c r="AG283" s="3">
        <f t="shared" si="179"/>
        <v>0</v>
      </c>
      <c r="AH283" s="3">
        <f t="shared" si="180"/>
        <v>0</v>
      </c>
      <c r="AI283">
        <f t="shared" si="181"/>
        <v>0</v>
      </c>
      <c r="AJ283" s="3">
        <f t="shared" si="182"/>
        <v>0</v>
      </c>
      <c r="AK283" s="3">
        <f t="shared" si="183"/>
        <v>0</v>
      </c>
      <c r="AL283">
        <f t="shared" si="184"/>
        <v>0</v>
      </c>
      <c r="AM283" s="3">
        <f t="shared" si="185"/>
        <v>0</v>
      </c>
      <c r="AN283" s="3">
        <f t="shared" si="186"/>
        <v>0</v>
      </c>
      <c r="AO283">
        <f t="shared" si="187"/>
        <v>0</v>
      </c>
      <c r="AP283" s="3">
        <f t="shared" si="188"/>
        <v>0</v>
      </c>
      <c r="AQ283" s="3">
        <f t="shared" si="189"/>
        <v>0</v>
      </c>
      <c r="AR283">
        <f t="shared" si="190"/>
        <v>0</v>
      </c>
    </row>
    <row r="284" spans="4:44" x14ac:dyDescent="0.25">
      <c r="D284" s="1">
        <v>42331</v>
      </c>
      <c r="E284" s="2">
        <v>115.187179</v>
      </c>
      <c r="F284" s="2">
        <v>203.46389500000001</v>
      </c>
      <c r="G284" s="2">
        <f t="shared" si="153"/>
        <v>-1.5162669999999991</v>
      </c>
      <c r="H284" s="2">
        <f t="shared" si="154"/>
        <v>-0.23355499999999552</v>
      </c>
      <c r="I284" s="4">
        <f t="shared" si="155"/>
        <v>-1.5786462696354921</v>
      </c>
      <c r="J284" s="4">
        <f t="shared" si="156"/>
        <v>-0.3347759389806787</v>
      </c>
      <c r="K284" s="4">
        <f t="shared" si="157"/>
        <v>4.1428717366641017</v>
      </c>
      <c r="L284" s="4">
        <f t="shared" si="158"/>
        <v>2.0354045633888367</v>
      </c>
      <c r="M284" s="4">
        <f t="shared" si="159"/>
        <v>0.98260563819809366</v>
      </c>
      <c r="N284" s="4">
        <f t="shared" si="160"/>
        <v>0.2896541520656048</v>
      </c>
      <c r="O284" s="3">
        <f t="shared" si="161"/>
        <v>-1.5162669999999991</v>
      </c>
      <c r="P284" s="3">
        <f t="shared" si="162"/>
        <v>-0.23355499999999552</v>
      </c>
      <c r="Q284">
        <f t="shared" si="163"/>
        <v>1</v>
      </c>
      <c r="R284" s="3">
        <f t="shared" si="164"/>
        <v>-1.5162669999999991</v>
      </c>
      <c r="S284" s="3">
        <f t="shared" si="165"/>
        <v>-0.23355499999999552</v>
      </c>
      <c r="T284">
        <f t="shared" si="166"/>
        <v>1</v>
      </c>
      <c r="U284" s="3">
        <f t="shared" si="167"/>
        <v>-1.5162669999999991</v>
      </c>
      <c r="V284" s="3">
        <f t="shared" si="168"/>
        <v>-0.23355499999999552</v>
      </c>
      <c r="W284">
        <f t="shared" si="169"/>
        <v>1</v>
      </c>
      <c r="X284" s="3">
        <f t="shared" si="170"/>
        <v>-1.5162669999999991</v>
      </c>
      <c r="Y284" s="3">
        <f t="shared" si="171"/>
        <v>-0.23355499999999552</v>
      </c>
      <c r="Z284">
        <f t="shared" si="172"/>
        <v>1</v>
      </c>
      <c r="AA284" s="3">
        <f t="shared" si="173"/>
        <v>-1.5162669999999991</v>
      </c>
      <c r="AB284" s="3">
        <f t="shared" si="174"/>
        <v>-0.23355499999999552</v>
      </c>
      <c r="AC284">
        <f t="shared" si="175"/>
        <v>1</v>
      </c>
      <c r="AD284" s="3">
        <f t="shared" si="176"/>
        <v>0</v>
      </c>
      <c r="AE284" s="3">
        <f t="shared" si="177"/>
        <v>0</v>
      </c>
      <c r="AF284">
        <f t="shared" si="178"/>
        <v>0</v>
      </c>
      <c r="AG284" s="3">
        <f t="shared" si="179"/>
        <v>0</v>
      </c>
      <c r="AH284" s="3">
        <f t="shared" si="180"/>
        <v>0</v>
      </c>
      <c r="AI284">
        <f t="shared" si="181"/>
        <v>0</v>
      </c>
      <c r="AJ284" s="3">
        <f t="shared" si="182"/>
        <v>0</v>
      </c>
      <c r="AK284" s="3">
        <f t="shared" si="183"/>
        <v>0</v>
      </c>
      <c r="AL284">
        <f t="shared" si="184"/>
        <v>0</v>
      </c>
      <c r="AM284" s="3">
        <f t="shared" si="185"/>
        <v>0</v>
      </c>
      <c r="AN284" s="3">
        <f t="shared" si="186"/>
        <v>0</v>
      </c>
      <c r="AO284">
        <f t="shared" si="187"/>
        <v>0</v>
      </c>
      <c r="AP284" s="3">
        <f t="shared" si="188"/>
        <v>0</v>
      </c>
      <c r="AQ284" s="3">
        <f t="shared" si="189"/>
        <v>0</v>
      </c>
      <c r="AR284">
        <f t="shared" si="190"/>
        <v>0</v>
      </c>
    </row>
    <row r="285" spans="4:44" x14ac:dyDescent="0.25">
      <c r="D285" s="1">
        <v>42328</v>
      </c>
      <c r="E285" s="2">
        <v>116.703446</v>
      </c>
      <c r="F285" s="2">
        <v>203.69745</v>
      </c>
      <c r="G285" s="2">
        <f t="shared" si="153"/>
        <v>0.50868599999999731</v>
      </c>
      <c r="H285" s="2">
        <f t="shared" si="154"/>
        <v>0.73961500000001479</v>
      </c>
      <c r="I285" s="4">
        <f t="shared" si="155"/>
        <v>0.4463067303645043</v>
      </c>
      <c r="J285" s="4">
        <f t="shared" si="156"/>
        <v>0.6383940610193316</v>
      </c>
      <c r="K285" s="4">
        <f t="shared" si="157"/>
        <v>0.45704867882504002</v>
      </c>
      <c r="L285" s="4">
        <f t="shared" si="158"/>
        <v>0.67605375439016679</v>
      </c>
      <c r="M285" s="4">
        <f t="shared" si="159"/>
        <v>1</v>
      </c>
      <c r="N285" s="4">
        <f t="shared" si="160"/>
        <v>1</v>
      </c>
      <c r="O285" s="3">
        <f t="shared" si="161"/>
        <v>0.50868599999999731</v>
      </c>
      <c r="P285" s="3">
        <f t="shared" si="162"/>
        <v>0.73961500000001479</v>
      </c>
      <c r="Q285">
        <f t="shared" si="163"/>
        <v>1</v>
      </c>
      <c r="R285" s="3">
        <f t="shared" si="164"/>
        <v>0</v>
      </c>
      <c r="S285" s="3">
        <f t="shared" si="165"/>
        <v>0</v>
      </c>
      <c r="T285">
        <f t="shared" si="166"/>
        <v>0</v>
      </c>
      <c r="U285" s="3">
        <f t="shared" si="167"/>
        <v>0</v>
      </c>
      <c r="V285" s="3">
        <f t="shared" si="168"/>
        <v>0</v>
      </c>
      <c r="W285">
        <f t="shared" si="169"/>
        <v>0</v>
      </c>
      <c r="X285" s="3">
        <f t="shared" si="170"/>
        <v>0</v>
      </c>
      <c r="Y285" s="3">
        <f t="shared" si="171"/>
        <v>0</v>
      </c>
      <c r="Z285">
        <f t="shared" si="172"/>
        <v>0</v>
      </c>
      <c r="AA285" s="3">
        <f t="shared" si="173"/>
        <v>0</v>
      </c>
      <c r="AB285" s="3">
        <f t="shared" si="174"/>
        <v>0</v>
      </c>
      <c r="AC285">
        <f t="shared" si="175"/>
        <v>0</v>
      </c>
      <c r="AD285" s="3">
        <f t="shared" si="176"/>
        <v>0</v>
      </c>
      <c r="AE285" s="3">
        <f t="shared" si="177"/>
        <v>0</v>
      </c>
      <c r="AF285">
        <f t="shared" si="178"/>
        <v>0</v>
      </c>
      <c r="AG285" s="3">
        <f t="shared" si="179"/>
        <v>0</v>
      </c>
      <c r="AH285" s="3">
        <f t="shared" si="180"/>
        <v>0</v>
      </c>
      <c r="AI285">
        <f t="shared" si="181"/>
        <v>0</v>
      </c>
      <c r="AJ285" s="3">
        <f t="shared" si="182"/>
        <v>0</v>
      </c>
      <c r="AK285" s="3">
        <f t="shared" si="183"/>
        <v>0</v>
      </c>
      <c r="AL285">
        <f t="shared" si="184"/>
        <v>0</v>
      </c>
      <c r="AM285" s="3">
        <f t="shared" si="185"/>
        <v>0</v>
      </c>
      <c r="AN285" s="3">
        <f t="shared" si="186"/>
        <v>0</v>
      </c>
      <c r="AO285">
        <f t="shared" si="187"/>
        <v>0</v>
      </c>
      <c r="AP285" s="3">
        <f t="shared" si="188"/>
        <v>0</v>
      </c>
      <c r="AQ285" s="3">
        <f t="shared" si="189"/>
        <v>0</v>
      </c>
      <c r="AR285">
        <f t="shared" si="190"/>
        <v>0</v>
      </c>
    </row>
    <row r="286" spans="4:44" x14ac:dyDescent="0.25">
      <c r="D286" s="1">
        <v>42327</v>
      </c>
      <c r="E286" s="2">
        <v>116.19476</v>
      </c>
      <c r="F286" s="2">
        <v>202.95783499999999</v>
      </c>
      <c r="G286" s="2">
        <f t="shared" si="153"/>
        <v>1.4575680000000091</v>
      </c>
      <c r="H286" s="2">
        <f t="shared" si="154"/>
        <v>-0.17516600000001858</v>
      </c>
      <c r="I286" s="4">
        <f t="shared" si="155"/>
        <v>1.3951887303645161</v>
      </c>
      <c r="J286" s="4">
        <f t="shared" si="156"/>
        <v>-0.27638693898070177</v>
      </c>
      <c r="K286" s="4">
        <f t="shared" si="157"/>
        <v>5.287024552033321</v>
      </c>
      <c r="L286" s="4">
        <f t="shared" si="158"/>
        <v>2.2993530725039424</v>
      </c>
      <c r="M286" s="4">
        <f t="shared" si="159"/>
        <v>0.86980987127046405</v>
      </c>
      <c r="N286" s="4">
        <f t="shared" si="160"/>
        <v>0.22697076364786231</v>
      </c>
      <c r="O286" s="3">
        <f t="shared" si="161"/>
        <v>1.4575680000000091</v>
      </c>
      <c r="P286" s="3">
        <f t="shared" si="162"/>
        <v>-0.17516600000001858</v>
      </c>
      <c r="Q286">
        <f t="shared" si="163"/>
        <v>1</v>
      </c>
      <c r="R286" s="3">
        <f t="shared" si="164"/>
        <v>1.4575680000000091</v>
      </c>
      <c r="S286" s="3">
        <f t="shared" si="165"/>
        <v>-0.17516600000001858</v>
      </c>
      <c r="T286">
        <f t="shared" si="166"/>
        <v>1</v>
      </c>
      <c r="U286" s="3">
        <f t="shared" si="167"/>
        <v>1.4575680000000091</v>
      </c>
      <c r="V286" s="3">
        <f t="shared" si="168"/>
        <v>-0.17516600000001858</v>
      </c>
      <c r="W286">
        <f t="shared" si="169"/>
        <v>1</v>
      </c>
      <c r="X286" s="3">
        <f t="shared" si="170"/>
        <v>1.4575680000000091</v>
      </c>
      <c r="Y286" s="3">
        <f t="shared" si="171"/>
        <v>-0.17516600000001858</v>
      </c>
      <c r="Z286">
        <f t="shared" si="172"/>
        <v>1</v>
      </c>
      <c r="AA286" s="3">
        <f t="shared" si="173"/>
        <v>1.4575680000000091</v>
      </c>
      <c r="AB286" s="3">
        <f t="shared" si="174"/>
        <v>-0.17516600000001858</v>
      </c>
      <c r="AC286">
        <f t="shared" si="175"/>
        <v>1</v>
      </c>
      <c r="AD286" s="3">
        <f t="shared" si="176"/>
        <v>1.4575680000000091</v>
      </c>
      <c r="AE286" s="3">
        <f t="shared" si="177"/>
        <v>-0.17516600000001858</v>
      </c>
      <c r="AF286">
        <f t="shared" si="178"/>
        <v>1</v>
      </c>
      <c r="AG286" s="3">
        <f t="shared" si="179"/>
        <v>0</v>
      </c>
      <c r="AH286" s="3">
        <f t="shared" si="180"/>
        <v>0</v>
      </c>
      <c r="AI286">
        <f t="shared" si="181"/>
        <v>0</v>
      </c>
      <c r="AJ286" s="3">
        <f t="shared" si="182"/>
        <v>0</v>
      </c>
      <c r="AK286" s="3">
        <f t="shared" si="183"/>
        <v>0</v>
      </c>
      <c r="AL286">
        <f t="shared" si="184"/>
        <v>0</v>
      </c>
      <c r="AM286" s="3">
        <f t="shared" si="185"/>
        <v>0</v>
      </c>
      <c r="AN286" s="3">
        <f t="shared" si="186"/>
        <v>0</v>
      </c>
      <c r="AO286">
        <f t="shared" si="187"/>
        <v>0</v>
      </c>
      <c r="AP286" s="3">
        <f t="shared" si="188"/>
        <v>0</v>
      </c>
      <c r="AQ286" s="3">
        <f t="shared" si="189"/>
        <v>0</v>
      </c>
      <c r="AR286">
        <f t="shared" si="190"/>
        <v>0</v>
      </c>
    </row>
    <row r="287" spans="4:44" x14ac:dyDescent="0.25">
      <c r="D287" s="1">
        <v>42326</v>
      </c>
      <c r="E287" s="2">
        <v>114.73719199999999</v>
      </c>
      <c r="F287" s="2">
        <v>203.13300100000001</v>
      </c>
      <c r="G287" s="2">
        <f t="shared" si="153"/>
        <v>3.5216449999999924</v>
      </c>
      <c r="H287" s="2">
        <f t="shared" si="154"/>
        <v>3.1725790000000131</v>
      </c>
      <c r="I287" s="4">
        <f t="shared" si="155"/>
        <v>3.4592657303644994</v>
      </c>
      <c r="J287" s="4">
        <f t="shared" si="156"/>
        <v>3.0713580610193301</v>
      </c>
      <c r="K287" s="4">
        <f t="shared" si="157"/>
        <v>15.769875350885089</v>
      </c>
      <c r="L287" s="4">
        <f t="shared" si="158"/>
        <v>3.9711302359511063</v>
      </c>
      <c r="M287" s="4">
        <f t="shared" si="159"/>
        <v>0.50363495558361848</v>
      </c>
      <c r="N287" s="4">
        <f t="shared" si="160"/>
        <v>7.6094450545714024E-2</v>
      </c>
      <c r="O287" s="3">
        <f t="shared" si="161"/>
        <v>3.5216449999999924</v>
      </c>
      <c r="P287" s="3">
        <f t="shared" si="162"/>
        <v>3.1725790000000131</v>
      </c>
      <c r="Q287">
        <f t="shared" si="163"/>
        <v>1</v>
      </c>
      <c r="R287" s="3">
        <f t="shared" si="164"/>
        <v>3.5216449999999924</v>
      </c>
      <c r="S287" s="3">
        <f t="shared" si="165"/>
        <v>3.1725790000000131</v>
      </c>
      <c r="T287">
        <f t="shared" si="166"/>
        <v>1</v>
      </c>
      <c r="U287" s="3">
        <f t="shared" si="167"/>
        <v>3.5216449999999924</v>
      </c>
      <c r="V287" s="3">
        <f t="shared" si="168"/>
        <v>3.1725790000000131</v>
      </c>
      <c r="W287">
        <f t="shared" si="169"/>
        <v>1</v>
      </c>
      <c r="X287" s="3">
        <f t="shared" si="170"/>
        <v>3.5216449999999924</v>
      </c>
      <c r="Y287" s="3">
        <f t="shared" si="171"/>
        <v>3.1725790000000131</v>
      </c>
      <c r="Z287">
        <f t="shared" si="172"/>
        <v>1</v>
      </c>
      <c r="AA287" s="3">
        <f t="shared" si="173"/>
        <v>3.5216449999999924</v>
      </c>
      <c r="AB287" s="3">
        <f t="shared" si="174"/>
        <v>3.1725790000000131</v>
      </c>
      <c r="AC287">
        <f t="shared" si="175"/>
        <v>1</v>
      </c>
      <c r="AD287" s="3">
        <f t="shared" si="176"/>
        <v>3.5216449999999924</v>
      </c>
      <c r="AE287" s="3">
        <f t="shared" si="177"/>
        <v>3.1725790000000131</v>
      </c>
      <c r="AF287">
        <f t="shared" si="178"/>
        <v>1</v>
      </c>
      <c r="AG287" s="3">
        <f t="shared" si="179"/>
        <v>3.5216449999999924</v>
      </c>
      <c r="AH287" s="3">
        <f t="shared" si="180"/>
        <v>3.1725790000000131</v>
      </c>
      <c r="AI287">
        <f t="shared" si="181"/>
        <v>1</v>
      </c>
      <c r="AJ287" s="3">
        <f t="shared" si="182"/>
        <v>3.5216449999999924</v>
      </c>
      <c r="AK287" s="3">
        <f t="shared" si="183"/>
        <v>3.1725790000000131</v>
      </c>
      <c r="AL287">
        <f t="shared" si="184"/>
        <v>1</v>
      </c>
      <c r="AM287" s="3">
        <f t="shared" si="185"/>
        <v>3.5216449999999924</v>
      </c>
      <c r="AN287" s="3">
        <f t="shared" si="186"/>
        <v>3.1725790000000131</v>
      </c>
      <c r="AO287">
        <f t="shared" si="187"/>
        <v>1</v>
      </c>
      <c r="AP287" s="3">
        <f t="shared" si="188"/>
        <v>3.5216449999999924</v>
      </c>
      <c r="AQ287" s="3">
        <f t="shared" si="189"/>
        <v>3.1725790000000131</v>
      </c>
      <c r="AR287">
        <f t="shared" si="190"/>
        <v>1</v>
      </c>
    </row>
    <row r="288" spans="4:44" x14ac:dyDescent="0.25">
      <c r="D288" s="1">
        <v>42325</v>
      </c>
      <c r="E288" s="2">
        <v>111.215547</v>
      </c>
      <c r="F288" s="2">
        <v>199.96042199999999</v>
      </c>
      <c r="G288" s="2">
        <f t="shared" si="153"/>
        <v>-0.4793329999999969</v>
      </c>
      <c r="H288" s="2">
        <f t="shared" si="154"/>
        <v>-0.14597200000000043</v>
      </c>
      <c r="I288" s="4">
        <f t="shared" si="155"/>
        <v>-0.54171226963548991</v>
      </c>
      <c r="J288" s="4">
        <f t="shared" si="156"/>
        <v>-0.24719293898068365</v>
      </c>
      <c r="K288" s="4">
        <f t="shared" si="157"/>
        <v>0.39263576596390448</v>
      </c>
      <c r="L288" s="4">
        <f t="shared" si="158"/>
        <v>0.62660654797400939</v>
      </c>
      <c r="M288" s="4">
        <f t="shared" si="159"/>
        <v>1</v>
      </c>
      <c r="N288" s="4">
        <f t="shared" si="160"/>
        <v>1</v>
      </c>
      <c r="O288" s="3">
        <f t="shared" si="161"/>
        <v>-0.4793329999999969</v>
      </c>
      <c r="P288" s="3">
        <f t="shared" si="162"/>
        <v>-0.14597200000000043</v>
      </c>
      <c r="Q288">
        <f t="shared" si="163"/>
        <v>1</v>
      </c>
      <c r="R288" s="3">
        <f t="shared" si="164"/>
        <v>0</v>
      </c>
      <c r="S288" s="3">
        <f t="shared" si="165"/>
        <v>0</v>
      </c>
      <c r="T288">
        <f t="shared" si="166"/>
        <v>0</v>
      </c>
      <c r="U288" s="3">
        <f t="shared" si="167"/>
        <v>0</v>
      </c>
      <c r="V288" s="3">
        <f t="shared" si="168"/>
        <v>0</v>
      </c>
      <c r="W288">
        <f t="shared" si="169"/>
        <v>0</v>
      </c>
      <c r="X288" s="3">
        <f t="shared" si="170"/>
        <v>0</v>
      </c>
      <c r="Y288" s="3">
        <f t="shared" si="171"/>
        <v>0</v>
      </c>
      <c r="Z288">
        <f t="shared" si="172"/>
        <v>0</v>
      </c>
      <c r="AA288" s="3">
        <f t="shared" si="173"/>
        <v>0</v>
      </c>
      <c r="AB288" s="3">
        <f t="shared" si="174"/>
        <v>0</v>
      </c>
      <c r="AC288">
        <f t="shared" si="175"/>
        <v>0</v>
      </c>
      <c r="AD288" s="3">
        <f t="shared" si="176"/>
        <v>0</v>
      </c>
      <c r="AE288" s="3">
        <f t="shared" si="177"/>
        <v>0</v>
      </c>
      <c r="AF288">
        <f t="shared" si="178"/>
        <v>0</v>
      </c>
      <c r="AG288" s="3">
        <f t="shared" si="179"/>
        <v>0</v>
      </c>
      <c r="AH288" s="3">
        <f t="shared" si="180"/>
        <v>0</v>
      </c>
      <c r="AI288">
        <f t="shared" si="181"/>
        <v>0</v>
      </c>
      <c r="AJ288" s="3">
        <f t="shared" si="182"/>
        <v>0</v>
      </c>
      <c r="AK288" s="3">
        <f t="shared" si="183"/>
        <v>0</v>
      </c>
      <c r="AL288">
        <f t="shared" si="184"/>
        <v>0</v>
      </c>
      <c r="AM288" s="3">
        <f t="shared" si="185"/>
        <v>0</v>
      </c>
      <c r="AN288" s="3">
        <f t="shared" si="186"/>
        <v>0</v>
      </c>
      <c r="AO288">
        <f t="shared" si="187"/>
        <v>0</v>
      </c>
      <c r="AP288" s="3">
        <f t="shared" si="188"/>
        <v>0</v>
      </c>
      <c r="AQ288" s="3">
        <f t="shared" si="189"/>
        <v>0</v>
      </c>
      <c r="AR288">
        <f t="shared" si="190"/>
        <v>0</v>
      </c>
    </row>
    <row r="289" spans="4:44" x14ac:dyDescent="0.25">
      <c r="D289" s="1">
        <v>42324</v>
      </c>
      <c r="E289" s="2">
        <v>111.69488</v>
      </c>
      <c r="F289" s="2">
        <v>200.10639399999999</v>
      </c>
      <c r="G289" s="2">
        <f t="shared" si="153"/>
        <v>1.7999559999999946</v>
      </c>
      <c r="H289" s="2">
        <f t="shared" si="154"/>
        <v>2.9974129999999946</v>
      </c>
      <c r="I289" s="4">
        <f t="shared" si="155"/>
        <v>1.7375767303645016</v>
      </c>
      <c r="J289" s="4">
        <f t="shared" si="156"/>
        <v>2.8961920610193115</v>
      </c>
      <c r="K289" s="4">
        <f t="shared" si="157"/>
        <v>9.2667639506767436</v>
      </c>
      <c r="L289" s="4">
        <f t="shared" si="158"/>
        <v>3.0441359941166795</v>
      </c>
      <c r="M289" s="4">
        <f t="shared" si="159"/>
        <v>0.65700087113891981</v>
      </c>
      <c r="N289" s="4">
        <f t="shared" si="160"/>
        <v>0.12949504340318985</v>
      </c>
      <c r="O289" s="3">
        <f t="shared" si="161"/>
        <v>1.7999559999999946</v>
      </c>
      <c r="P289" s="3">
        <f t="shared" si="162"/>
        <v>2.9974129999999946</v>
      </c>
      <c r="Q289">
        <f t="shared" si="163"/>
        <v>1</v>
      </c>
      <c r="R289" s="3">
        <f t="shared" si="164"/>
        <v>1.7999559999999946</v>
      </c>
      <c r="S289" s="3">
        <f t="shared" si="165"/>
        <v>2.9974129999999946</v>
      </c>
      <c r="T289">
        <f t="shared" si="166"/>
        <v>1</v>
      </c>
      <c r="U289" s="3">
        <f t="shared" si="167"/>
        <v>1.7999559999999946</v>
      </c>
      <c r="V289" s="3">
        <f t="shared" si="168"/>
        <v>2.9974129999999946</v>
      </c>
      <c r="W289">
        <f t="shared" si="169"/>
        <v>1</v>
      </c>
      <c r="X289" s="3">
        <f t="shared" si="170"/>
        <v>1.7999559999999946</v>
      </c>
      <c r="Y289" s="3">
        <f t="shared" si="171"/>
        <v>2.9974129999999946</v>
      </c>
      <c r="Z289">
        <f t="shared" si="172"/>
        <v>1</v>
      </c>
      <c r="AA289" s="3">
        <f t="shared" si="173"/>
        <v>1.7999559999999946</v>
      </c>
      <c r="AB289" s="3">
        <f t="shared" si="174"/>
        <v>2.9974129999999946</v>
      </c>
      <c r="AC289">
        <f t="shared" si="175"/>
        <v>1</v>
      </c>
      <c r="AD289" s="3">
        <f t="shared" si="176"/>
        <v>1.7999559999999946</v>
      </c>
      <c r="AE289" s="3">
        <f t="shared" si="177"/>
        <v>2.9974129999999946</v>
      </c>
      <c r="AF289">
        <f t="shared" si="178"/>
        <v>1</v>
      </c>
      <c r="AG289" s="3">
        <f t="shared" si="179"/>
        <v>1.7999559999999946</v>
      </c>
      <c r="AH289" s="3">
        <f t="shared" si="180"/>
        <v>2.9974129999999946</v>
      </c>
      <c r="AI289">
        <f t="shared" si="181"/>
        <v>1</v>
      </c>
      <c r="AJ289" s="3">
        <f t="shared" si="182"/>
        <v>1.7999559999999946</v>
      </c>
      <c r="AK289" s="3">
        <f t="shared" si="183"/>
        <v>2.9974129999999946</v>
      </c>
      <c r="AL289">
        <f t="shared" si="184"/>
        <v>1</v>
      </c>
      <c r="AM289" s="3">
        <f t="shared" si="185"/>
        <v>1.7999559999999946</v>
      </c>
      <c r="AN289" s="3">
        <f t="shared" si="186"/>
        <v>2.9974129999999946</v>
      </c>
      <c r="AO289">
        <f t="shared" si="187"/>
        <v>1</v>
      </c>
      <c r="AP289" s="3">
        <f t="shared" si="188"/>
        <v>1.7999559999999946</v>
      </c>
      <c r="AQ289" s="3">
        <f t="shared" si="189"/>
        <v>2.9974129999999946</v>
      </c>
      <c r="AR289">
        <f t="shared" si="190"/>
        <v>1</v>
      </c>
    </row>
    <row r="290" spans="4:44" x14ac:dyDescent="0.25">
      <c r="D290" s="1">
        <v>42321</v>
      </c>
      <c r="E290" s="2">
        <v>109.894924</v>
      </c>
      <c r="F290" s="2">
        <v>197.108981</v>
      </c>
      <c r="G290" s="2">
        <f t="shared" si="153"/>
        <v>-3.3064389999999975</v>
      </c>
      <c r="H290" s="2">
        <f t="shared" si="154"/>
        <v>-2.2383289999999931</v>
      </c>
      <c r="I290" s="4">
        <f t="shared" si="155"/>
        <v>-3.3688182696354905</v>
      </c>
      <c r="J290" s="4">
        <f t="shared" si="156"/>
        <v>-2.3395499389806762</v>
      </c>
      <c r="K290" s="4">
        <f t="shared" si="157"/>
        <v>14.067398201416239</v>
      </c>
      <c r="L290" s="4">
        <f t="shared" si="158"/>
        <v>3.7506530366612476</v>
      </c>
      <c r="M290" s="4">
        <f t="shared" si="159"/>
        <v>0.53324047317913414</v>
      </c>
      <c r="N290" s="4">
        <f t="shared" si="160"/>
        <v>8.5303620670892047E-2</v>
      </c>
      <c r="O290" s="3">
        <f t="shared" si="161"/>
        <v>-3.3064389999999975</v>
      </c>
      <c r="P290" s="3">
        <f t="shared" si="162"/>
        <v>-2.2383289999999931</v>
      </c>
      <c r="Q290">
        <f t="shared" si="163"/>
        <v>1</v>
      </c>
      <c r="R290" s="3">
        <f t="shared" si="164"/>
        <v>-3.3064389999999975</v>
      </c>
      <c r="S290" s="3">
        <f t="shared" si="165"/>
        <v>-2.2383289999999931</v>
      </c>
      <c r="T290">
        <f t="shared" si="166"/>
        <v>1</v>
      </c>
      <c r="U290" s="3">
        <f t="shared" si="167"/>
        <v>-3.3064389999999975</v>
      </c>
      <c r="V290" s="3">
        <f t="shared" si="168"/>
        <v>-2.2383289999999931</v>
      </c>
      <c r="W290">
        <f t="shared" si="169"/>
        <v>1</v>
      </c>
      <c r="X290" s="3">
        <f t="shared" si="170"/>
        <v>-3.3064389999999975</v>
      </c>
      <c r="Y290" s="3">
        <f t="shared" si="171"/>
        <v>-2.2383289999999931</v>
      </c>
      <c r="Z290">
        <f t="shared" si="172"/>
        <v>1</v>
      </c>
      <c r="AA290" s="3">
        <f t="shared" si="173"/>
        <v>-3.3064389999999975</v>
      </c>
      <c r="AB290" s="3">
        <f t="shared" si="174"/>
        <v>-2.2383289999999931</v>
      </c>
      <c r="AC290">
        <f t="shared" si="175"/>
        <v>1</v>
      </c>
      <c r="AD290" s="3">
        <f t="shared" si="176"/>
        <v>-3.3064389999999975</v>
      </c>
      <c r="AE290" s="3">
        <f t="shared" si="177"/>
        <v>-2.2383289999999931</v>
      </c>
      <c r="AF290">
        <f t="shared" si="178"/>
        <v>1</v>
      </c>
      <c r="AG290" s="3">
        <f t="shared" si="179"/>
        <v>-3.3064389999999975</v>
      </c>
      <c r="AH290" s="3">
        <f t="shared" si="180"/>
        <v>-2.2383289999999931</v>
      </c>
      <c r="AI290">
        <f t="shared" si="181"/>
        <v>1</v>
      </c>
      <c r="AJ290" s="3">
        <f t="shared" si="182"/>
        <v>-3.3064389999999975</v>
      </c>
      <c r="AK290" s="3">
        <f t="shared" si="183"/>
        <v>-2.2383289999999931</v>
      </c>
      <c r="AL290">
        <f t="shared" si="184"/>
        <v>1</v>
      </c>
      <c r="AM290" s="3">
        <f t="shared" si="185"/>
        <v>-3.3064389999999975</v>
      </c>
      <c r="AN290" s="3">
        <f t="shared" si="186"/>
        <v>-2.2383289999999931</v>
      </c>
      <c r="AO290">
        <f t="shared" si="187"/>
        <v>1</v>
      </c>
      <c r="AP290" s="3">
        <f t="shared" si="188"/>
        <v>-3.3064389999999975</v>
      </c>
      <c r="AQ290" s="3">
        <f t="shared" si="189"/>
        <v>-2.2383289999999931</v>
      </c>
      <c r="AR290">
        <f t="shared" si="190"/>
        <v>1</v>
      </c>
    </row>
    <row r="291" spans="4:44" x14ac:dyDescent="0.25">
      <c r="D291" s="1">
        <v>42320</v>
      </c>
      <c r="E291" s="2">
        <v>113.201363</v>
      </c>
      <c r="F291" s="2">
        <v>199.34730999999999</v>
      </c>
      <c r="G291" s="2">
        <f t="shared" si="153"/>
        <v>-0.38151100000000326</v>
      </c>
      <c r="H291" s="2">
        <f t="shared" si="154"/>
        <v>-2.8222470000000044</v>
      </c>
      <c r="I291" s="4">
        <f t="shared" si="155"/>
        <v>-0.44389026963549627</v>
      </c>
      <c r="J291" s="4">
        <f t="shared" si="156"/>
        <v>-2.9234679389806875</v>
      </c>
      <c r="K291" s="4">
        <f t="shared" si="157"/>
        <v>13.256801496540898</v>
      </c>
      <c r="L291" s="4">
        <f t="shared" si="158"/>
        <v>3.6409890821782063</v>
      </c>
      <c r="M291" s="4">
        <f t="shared" si="159"/>
        <v>0.54930129007788964</v>
      </c>
      <c r="N291" s="4">
        <f t="shared" si="160"/>
        <v>9.0519572184370137E-2</v>
      </c>
      <c r="O291" s="3">
        <f t="shared" si="161"/>
        <v>-0.38151100000000326</v>
      </c>
      <c r="P291" s="3">
        <f t="shared" si="162"/>
        <v>-2.8222470000000044</v>
      </c>
      <c r="Q291">
        <f t="shared" si="163"/>
        <v>1</v>
      </c>
      <c r="R291" s="3">
        <f t="shared" si="164"/>
        <v>-0.38151100000000326</v>
      </c>
      <c r="S291" s="3">
        <f t="shared" si="165"/>
        <v>-2.8222470000000044</v>
      </c>
      <c r="T291">
        <f t="shared" si="166"/>
        <v>1</v>
      </c>
      <c r="U291" s="3">
        <f t="shared" si="167"/>
        <v>-0.38151100000000326</v>
      </c>
      <c r="V291" s="3">
        <f t="shared" si="168"/>
        <v>-2.8222470000000044</v>
      </c>
      <c r="W291">
        <f t="shared" si="169"/>
        <v>1</v>
      </c>
      <c r="X291" s="3">
        <f t="shared" si="170"/>
        <v>-0.38151100000000326</v>
      </c>
      <c r="Y291" s="3">
        <f t="shared" si="171"/>
        <v>-2.8222470000000044</v>
      </c>
      <c r="Z291">
        <f t="shared" si="172"/>
        <v>1</v>
      </c>
      <c r="AA291" s="3">
        <f t="shared" si="173"/>
        <v>-0.38151100000000326</v>
      </c>
      <c r="AB291" s="3">
        <f t="shared" si="174"/>
        <v>-2.8222470000000044</v>
      </c>
      <c r="AC291">
        <f t="shared" si="175"/>
        <v>1</v>
      </c>
      <c r="AD291" s="3">
        <f t="shared" si="176"/>
        <v>-0.38151100000000326</v>
      </c>
      <c r="AE291" s="3">
        <f t="shared" si="177"/>
        <v>-2.8222470000000044</v>
      </c>
      <c r="AF291">
        <f t="shared" si="178"/>
        <v>1</v>
      </c>
      <c r="AG291" s="3">
        <f t="shared" si="179"/>
        <v>-0.38151100000000326</v>
      </c>
      <c r="AH291" s="3">
        <f t="shared" si="180"/>
        <v>-2.8222470000000044</v>
      </c>
      <c r="AI291">
        <f t="shared" si="181"/>
        <v>1</v>
      </c>
      <c r="AJ291" s="3">
        <f t="shared" si="182"/>
        <v>-0.38151100000000326</v>
      </c>
      <c r="AK291" s="3">
        <f t="shared" si="183"/>
        <v>-2.8222470000000044</v>
      </c>
      <c r="AL291">
        <f t="shared" si="184"/>
        <v>1</v>
      </c>
      <c r="AM291" s="3">
        <f t="shared" si="185"/>
        <v>-0.38151100000000326</v>
      </c>
      <c r="AN291" s="3">
        <f t="shared" si="186"/>
        <v>-2.8222470000000044</v>
      </c>
      <c r="AO291">
        <f t="shared" si="187"/>
        <v>1</v>
      </c>
      <c r="AP291" s="3">
        <f t="shared" si="188"/>
        <v>-0.38151100000000326</v>
      </c>
      <c r="AQ291" s="3">
        <f t="shared" si="189"/>
        <v>-2.8222470000000044</v>
      </c>
      <c r="AR291">
        <f t="shared" si="190"/>
        <v>1</v>
      </c>
    </row>
    <row r="292" spans="4:44" x14ac:dyDescent="0.25">
      <c r="D292" s="1">
        <v>42319</v>
      </c>
      <c r="E292" s="2">
        <v>113.582874</v>
      </c>
      <c r="F292" s="2">
        <v>202.169557</v>
      </c>
      <c r="G292" s="2">
        <f t="shared" si="153"/>
        <v>-0.64563099999999451</v>
      </c>
      <c r="H292" s="2">
        <f t="shared" si="154"/>
        <v>-0.79800399999999172</v>
      </c>
      <c r="I292" s="4">
        <f t="shared" si="155"/>
        <v>-0.70801026963548752</v>
      </c>
      <c r="J292" s="4">
        <f t="shared" si="156"/>
        <v>-0.8992249389806749</v>
      </c>
      <c r="K292" s="4">
        <f t="shared" si="157"/>
        <v>0.94728144133987979</v>
      </c>
      <c r="L292" s="4">
        <f t="shared" si="158"/>
        <v>0.97328384417901426</v>
      </c>
      <c r="M292" s="4">
        <f t="shared" si="159"/>
        <v>1</v>
      </c>
      <c r="N292" s="4">
        <f t="shared" si="160"/>
        <v>1</v>
      </c>
      <c r="O292" s="3">
        <f t="shared" si="161"/>
        <v>-0.64563099999999451</v>
      </c>
      <c r="P292" s="3">
        <f t="shared" si="162"/>
        <v>-0.79800399999999172</v>
      </c>
      <c r="Q292">
        <f t="shared" si="163"/>
        <v>1</v>
      </c>
      <c r="R292" s="3">
        <f t="shared" si="164"/>
        <v>0</v>
      </c>
      <c r="S292" s="3">
        <f t="shared" si="165"/>
        <v>0</v>
      </c>
      <c r="T292">
        <f t="shared" si="166"/>
        <v>0</v>
      </c>
      <c r="U292" s="3">
        <f t="shared" si="167"/>
        <v>0</v>
      </c>
      <c r="V292" s="3">
        <f t="shared" si="168"/>
        <v>0</v>
      </c>
      <c r="W292">
        <f t="shared" si="169"/>
        <v>0</v>
      </c>
      <c r="X292" s="3">
        <f t="shared" si="170"/>
        <v>0</v>
      </c>
      <c r="Y292" s="3">
        <f t="shared" si="171"/>
        <v>0</v>
      </c>
      <c r="Z292">
        <f t="shared" si="172"/>
        <v>0</v>
      </c>
      <c r="AA292" s="3">
        <f t="shared" si="173"/>
        <v>0</v>
      </c>
      <c r="AB292" s="3">
        <f t="shared" si="174"/>
        <v>0</v>
      </c>
      <c r="AC292">
        <f t="shared" si="175"/>
        <v>0</v>
      </c>
      <c r="AD292" s="3">
        <f t="shared" si="176"/>
        <v>0</v>
      </c>
      <c r="AE292" s="3">
        <f t="shared" si="177"/>
        <v>0</v>
      </c>
      <c r="AF292">
        <f t="shared" si="178"/>
        <v>0</v>
      </c>
      <c r="AG292" s="3">
        <f t="shared" si="179"/>
        <v>0</v>
      </c>
      <c r="AH292" s="3">
        <f t="shared" si="180"/>
        <v>0</v>
      </c>
      <c r="AI292">
        <f t="shared" si="181"/>
        <v>0</v>
      </c>
      <c r="AJ292" s="3">
        <f t="shared" si="182"/>
        <v>0</v>
      </c>
      <c r="AK292" s="3">
        <f t="shared" si="183"/>
        <v>0</v>
      </c>
      <c r="AL292">
        <f t="shared" si="184"/>
        <v>0</v>
      </c>
      <c r="AM292" s="3">
        <f t="shared" si="185"/>
        <v>0</v>
      </c>
      <c r="AN292" s="3">
        <f t="shared" si="186"/>
        <v>0</v>
      </c>
      <c r="AO292">
        <f t="shared" si="187"/>
        <v>0</v>
      </c>
      <c r="AP292" s="3">
        <f t="shared" si="188"/>
        <v>0</v>
      </c>
      <c r="AQ292" s="3">
        <f t="shared" si="189"/>
        <v>0</v>
      </c>
      <c r="AR292">
        <f t="shared" si="190"/>
        <v>0</v>
      </c>
    </row>
    <row r="293" spans="4:44" x14ac:dyDescent="0.25">
      <c r="D293" s="1">
        <v>42318</v>
      </c>
      <c r="E293" s="2">
        <v>114.228505</v>
      </c>
      <c r="F293" s="2">
        <v>202.96756099999999</v>
      </c>
      <c r="G293" s="2">
        <f t="shared" si="153"/>
        <v>-3.7172970000000021</v>
      </c>
      <c r="H293" s="2">
        <f t="shared" si="154"/>
        <v>0.46712499999998158</v>
      </c>
      <c r="I293" s="4">
        <f t="shared" si="155"/>
        <v>-3.7796762696354951</v>
      </c>
      <c r="J293" s="4">
        <f t="shared" si="156"/>
        <v>0.3659040610192984</v>
      </c>
      <c r="K293" s="4">
        <f t="shared" si="157"/>
        <v>34.237092502497546</v>
      </c>
      <c r="L293" s="4">
        <f t="shared" si="158"/>
        <v>5.8512470895098545</v>
      </c>
      <c r="M293" s="4">
        <f t="shared" si="159"/>
        <v>0.34180747615078677</v>
      </c>
      <c r="N293" s="4">
        <f t="shared" si="160"/>
        <v>3.5049705225771194E-2</v>
      </c>
      <c r="O293" s="3">
        <f t="shared" si="161"/>
        <v>-3.7172970000000021</v>
      </c>
      <c r="P293" s="3">
        <f t="shared" si="162"/>
        <v>0.46712499999998158</v>
      </c>
      <c r="Q293">
        <f t="shared" si="163"/>
        <v>1</v>
      </c>
      <c r="R293" s="3">
        <f t="shared" si="164"/>
        <v>-3.7172970000000021</v>
      </c>
      <c r="S293" s="3">
        <f t="shared" si="165"/>
        <v>0.46712499999998158</v>
      </c>
      <c r="T293">
        <f t="shared" si="166"/>
        <v>1</v>
      </c>
      <c r="U293" s="3">
        <f t="shared" si="167"/>
        <v>-3.7172970000000021</v>
      </c>
      <c r="V293" s="3">
        <f t="shared" si="168"/>
        <v>0.46712499999998158</v>
      </c>
      <c r="W293">
        <f t="shared" si="169"/>
        <v>1</v>
      </c>
      <c r="X293" s="3">
        <f t="shared" si="170"/>
        <v>-3.7172970000000021</v>
      </c>
      <c r="Y293" s="3">
        <f t="shared" si="171"/>
        <v>0.46712499999998158</v>
      </c>
      <c r="Z293">
        <f t="shared" si="172"/>
        <v>1</v>
      </c>
      <c r="AA293" s="3">
        <f t="shared" si="173"/>
        <v>-3.7172970000000021</v>
      </c>
      <c r="AB293" s="3">
        <f t="shared" si="174"/>
        <v>0.46712499999998158</v>
      </c>
      <c r="AC293">
        <f t="shared" si="175"/>
        <v>1</v>
      </c>
      <c r="AD293" s="3">
        <f t="shared" si="176"/>
        <v>-3.7172970000000021</v>
      </c>
      <c r="AE293" s="3">
        <f t="shared" si="177"/>
        <v>0.46712499999998158</v>
      </c>
      <c r="AF293">
        <f t="shared" si="178"/>
        <v>1</v>
      </c>
      <c r="AG293" s="3">
        <f t="shared" si="179"/>
        <v>-3.7172970000000021</v>
      </c>
      <c r="AH293" s="3">
        <f t="shared" si="180"/>
        <v>0.46712499999998158</v>
      </c>
      <c r="AI293">
        <f t="shared" si="181"/>
        <v>1</v>
      </c>
      <c r="AJ293" s="3">
        <f t="shared" si="182"/>
        <v>-3.7172970000000021</v>
      </c>
      <c r="AK293" s="3">
        <f t="shared" si="183"/>
        <v>0.46712499999998158</v>
      </c>
      <c r="AL293">
        <f t="shared" si="184"/>
        <v>1</v>
      </c>
      <c r="AM293" s="3">
        <f t="shared" si="185"/>
        <v>-3.7172970000000021</v>
      </c>
      <c r="AN293" s="3">
        <f t="shared" si="186"/>
        <v>0.46712499999998158</v>
      </c>
      <c r="AO293">
        <f t="shared" si="187"/>
        <v>1</v>
      </c>
      <c r="AP293" s="3">
        <f t="shared" si="188"/>
        <v>-3.7172970000000021</v>
      </c>
      <c r="AQ293" s="3">
        <f t="shared" si="189"/>
        <v>0.46712499999998158</v>
      </c>
      <c r="AR293">
        <f t="shared" si="190"/>
        <v>1</v>
      </c>
    </row>
    <row r="294" spans="4:44" x14ac:dyDescent="0.25">
      <c r="D294" s="1">
        <v>42317</v>
      </c>
      <c r="E294" s="2">
        <v>117.945802</v>
      </c>
      <c r="F294" s="2">
        <v>202.50043600000001</v>
      </c>
      <c r="G294" s="2">
        <f t="shared" si="153"/>
        <v>-0.4793329999999969</v>
      </c>
      <c r="H294" s="2">
        <f t="shared" si="154"/>
        <v>-1.9074359999999899</v>
      </c>
      <c r="I294" s="4">
        <f t="shared" si="155"/>
        <v>-0.54171226963548991</v>
      </c>
      <c r="J294" s="4">
        <f t="shared" si="156"/>
        <v>-2.008656938980673</v>
      </c>
      <c r="K294" s="4">
        <f t="shared" si="157"/>
        <v>5.4505478209981462</v>
      </c>
      <c r="L294" s="4">
        <f t="shared" si="158"/>
        <v>2.3346408334041762</v>
      </c>
      <c r="M294" s="4">
        <f t="shared" si="159"/>
        <v>0.85666281998664817</v>
      </c>
      <c r="N294" s="4">
        <f t="shared" si="160"/>
        <v>0.2201613561442429</v>
      </c>
      <c r="O294" s="3">
        <f t="shared" si="161"/>
        <v>-0.4793329999999969</v>
      </c>
      <c r="P294" s="3">
        <f t="shared" si="162"/>
        <v>-1.9074359999999899</v>
      </c>
      <c r="Q294">
        <f t="shared" si="163"/>
        <v>1</v>
      </c>
      <c r="R294" s="3">
        <f t="shared" si="164"/>
        <v>-0.4793329999999969</v>
      </c>
      <c r="S294" s="3">
        <f t="shared" si="165"/>
        <v>-1.9074359999999899</v>
      </c>
      <c r="T294">
        <f t="shared" si="166"/>
        <v>1</v>
      </c>
      <c r="U294" s="3">
        <f t="shared" si="167"/>
        <v>-0.4793329999999969</v>
      </c>
      <c r="V294" s="3">
        <f t="shared" si="168"/>
        <v>-1.9074359999999899</v>
      </c>
      <c r="W294">
        <f t="shared" si="169"/>
        <v>1</v>
      </c>
      <c r="X294" s="3">
        <f t="shared" si="170"/>
        <v>-0.4793329999999969</v>
      </c>
      <c r="Y294" s="3">
        <f t="shared" si="171"/>
        <v>-1.9074359999999899</v>
      </c>
      <c r="Z294">
        <f t="shared" si="172"/>
        <v>1</v>
      </c>
      <c r="AA294" s="3">
        <f t="shared" si="173"/>
        <v>-0.4793329999999969</v>
      </c>
      <c r="AB294" s="3">
        <f t="shared" si="174"/>
        <v>-1.9074359999999899</v>
      </c>
      <c r="AC294">
        <f t="shared" si="175"/>
        <v>1</v>
      </c>
      <c r="AD294" s="3">
        <f t="shared" si="176"/>
        <v>-0.4793329999999969</v>
      </c>
      <c r="AE294" s="3">
        <f t="shared" si="177"/>
        <v>-1.9074359999999899</v>
      </c>
      <c r="AF294">
        <f t="shared" si="178"/>
        <v>1</v>
      </c>
      <c r="AG294" s="3">
        <f t="shared" si="179"/>
        <v>0</v>
      </c>
      <c r="AH294" s="3">
        <f t="shared" si="180"/>
        <v>0</v>
      </c>
      <c r="AI294">
        <f t="shared" si="181"/>
        <v>0</v>
      </c>
      <c r="AJ294" s="3">
        <f t="shared" si="182"/>
        <v>0</v>
      </c>
      <c r="AK294" s="3">
        <f t="shared" si="183"/>
        <v>0</v>
      </c>
      <c r="AL294">
        <f t="shared" si="184"/>
        <v>0</v>
      </c>
      <c r="AM294" s="3">
        <f t="shared" si="185"/>
        <v>0</v>
      </c>
      <c r="AN294" s="3">
        <f t="shared" si="186"/>
        <v>0</v>
      </c>
      <c r="AO294">
        <f t="shared" si="187"/>
        <v>0</v>
      </c>
      <c r="AP294" s="3">
        <f t="shared" si="188"/>
        <v>0</v>
      </c>
      <c r="AQ294" s="3">
        <f t="shared" si="189"/>
        <v>0</v>
      </c>
      <c r="AR294">
        <f t="shared" si="190"/>
        <v>0</v>
      </c>
    </row>
    <row r="295" spans="4:44" x14ac:dyDescent="0.25">
      <c r="D295" s="1">
        <v>42314</v>
      </c>
      <c r="E295" s="2">
        <v>118.425135</v>
      </c>
      <c r="F295" s="2">
        <v>204.407872</v>
      </c>
      <c r="G295" s="2">
        <f t="shared" si="153"/>
        <v>0.13695299999999122</v>
      </c>
      <c r="H295" s="2">
        <f t="shared" si="154"/>
        <v>-0.10705100000001266</v>
      </c>
      <c r="I295" s="4">
        <f t="shared" si="155"/>
        <v>7.4573730364498214E-2</v>
      </c>
      <c r="J295" s="4">
        <f t="shared" si="156"/>
        <v>-0.20827193898069588</v>
      </c>
      <c r="K295" s="4">
        <f t="shared" si="157"/>
        <v>0.1343931605572336</v>
      </c>
      <c r="L295" s="4">
        <f t="shared" si="158"/>
        <v>0.36659672742297306</v>
      </c>
      <c r="M295" s="4">
        <f t="shared" si="159"/>
        <v>1</v>
      </c>
      <c r="N295" s="4">
        <f t="shared" si="160"/>
        <v>1</v>
      </c>
      <c r="O295" s="3">
        <f t="shared" si="161"/>
        <v>0.13695299999999122</v>
      </c>
      <c r="P295" s="3">
        <f t="shared" si="162"/>
        <v>-0.10705100000001266</v>
      </c>
      <c r="Q295">
        <f t="shared" si="163"/>
        <v>1</v>
      </c>
      <c r="R295" s="3">
        <f t="shared" si="164"/>
        <v>0</v>
      </c>
      <c r="S295" s="3">
        <f t="shared" si="165"/>
        <v>0</v>
      </c>
      <c r="T295">
        <f t="shared" si="166"/>
        <v>0</v>
      </c>
      <c r="U295" s="3">
        <f t="shared" si="167"/>
        <v>0</v>
      </c>
      <c r="V295" s="3">
        <f t="shared" si="168"/>
        <v>0</v>
      </c>
      <c r="W295">
        <f t="shared" si="169"/>
        <v>0</v>
      </c>
      <c r="X295" s="3">
        <f t="shared" si="170"/>
        <v>0</v>
      </c>
      <c r="Y295" s="3">
        <f t="shared" si="171"/>
        <v>0</v>
      </c>
      <c r="Z295">
        <f t="shared" si="172"/>
        <v>0</v>
      </c>
      <c r="AA295" s="3">
        <f t="shared" si="173"/>
        <v>0</v>
      </c>
      <c r="AB295" s="3">
        <f t="shared" si="174"/>
        <v>0</v>
      </c>
      <c r="AC295">
        <f t="shared" si="175"/>
        <v>0</v>
      </c>
      <c r="AD295" s="3">
        <f t="shared" si="176"/>
        <v>0</v>
      </c>
      <c r="AE295" s="3">
        <f t="shared" si="177"/>
        <v>0</v>
      </c>
      <c r="AF295">
        <f t="shared" si="178"/>
        <v>0</v>
      </c>
      <c r="AG295" s="3">
        <f t="shared" si="179"/>
        <v>0</v>
      </c>
      <c r="AH295" s="3">
        <f t="shared" si="180"/>
        <v>0</v>
      </c>
      <c r="AI295">
        <f t="shared" si="181"/>
        <v>0</v>
      </c>
      <c r="AJ295" s="3">
        <f t="shared" si="182"/>
        <v>0</v>
      </c>
      <c r="AK295" s="3">
        <f t="shared" si="183"/>
        <v>0</v>
      </c>
      <c r="AL295">
        <f t="shared" si="184"/>
        <v>0</v>
      </c>
      <c r="AM295" s="3">
        <f t="shared" si="185"/>
        <v>0</v>
      </c>
      <c r="AN295" s="3">
        <f t="shared" si="186"/>
        <v>0</v>
      </c>
      <c r="AO295">
        <f t="shared" si="187"/>
        <v>0</v>
      </c>
      <c r="AP295" s="3">
        <f t="shared" si="188"/>
        <v>0</v>
      </c>
      <c r="AQ295" s="3">
        <f t="shared" si="189"/>
        <v>0</v>
      </c>
      <c r="AR295">
        <f t="shared" si="190"/>
        <v>0</v>
      </c>
    </row>
    <row r="296" spans="4:44" x14ac:dyDescent="0.25">
      <c r="D296" s="1">
        <v>42313</v>
      </c>
      <c r="E296" s="2">
        <v>118.28818200000001</v>
      </c>
      <c r="F296" s="2">
        <v>204.51492300000001</v>
      </c>
      <c r="G296" s="2">
        <f t="shared" si="153"/>
        <v>-0.54781399999998825</v>
      </c>
      <c r="H296" s="2">
        <f t="shared" si="154"/>
        <v>-0.20437499999999886</v>
      </c>
      <c r="I296" s="4">
        <f t="shared" si="155"/>
        <v>-0.61019326963548126</v>
      </c>
      <c r="J296" s="4">
        <f t="shared" si="156"/>
        <v>-0.30559593898068205</v>
      </c>
      <c r="K296" s="4">
        <f t="shared" si="157"/>
        <v>0.48524730609036631</v>
      </c>
      <c r="L296" s="4">
        <f t="shared" si="158"/>
        <v>0.69659694665593119</v>
      </c>
      <c r="M296" s="4">
        <f t="shared" si="159"/>
        <v>1</v>
      </c>
      <c r="N296" s="4">
        <f t="shared" si="160"/>
        <v>1</v>
      </c>
      <c r="O296" s="3">
        <f t="shared" si="161"/>
        <v>-0.54781399999998825</v>
      </c>
      <c r="P296" s="3">
        <f t="shared" si="162"/>
        <v>-0.20437499999999886</v>
      </c>
      <c r="Q296">
        <f t="shared" si="163"/>
        <v>1</v>
      </c>
      <c r="R296" s="3">
        <f t="shared" si="164"/>
        <v>0</v>
      </c>
      <c r="S296" s="3">
        <f t="shared" si="165"/>
        <v>0</v>
      </c>
      <c r="T296">
        <f t="shared" si="166"/>
        <v>0</v>
      </c>
      <c r="U296" s="3">
        <f t="shared" si="167"/>
        <v>0</v>
      </c>
      <c r="V296" s="3">
        <f t="shared" si="168"/>
        <v>0</v>
      </c>
      <c r="W296">
        <f t="shared" si="169"/>
        <v>0</v>
      </c>
      <c r="X296" s="3">
        <f t="shared" si="170"/>
        <v>0</v>
      </c>
      <c r="Y296" s="3">
        <f t="shared" si="171"/>
        <v>0</v>
      </c>
      <c r="Z296">
        <f t="shared" si="172"/>
        <v>0</v>
      </c>
      <c r="AA296" s="3">
        <f t="shared" si="173"/>
        <v>0</v>
      </c>
      <c r="AB296" s="3">
        <f t="shared" si="174"/>
        <v>0</v>
      </c>
      <c r="AC296">
        <f t="shared" si="175"/>
        <v>0</v>
      </c>
      <c r="AD296" s="3">
        <f t="shared" si="176"/>
        <v>0</v>
      </c>
      <c r="AE296" s="3">
        <f t="shared" si="177"/>
        <v>0</v>
      </c>
      <c r="AF296">
        <f t="shared" si="178"/>
        <v>0</v>
      </c>
      <c r="AG296" s="3">
        <f t="shared" si="179"/>
        <v>0</v>
      </c>
      <c r="AH296" s="3">
        <f t="shared" si="180"/>
        <v>0</v>
      </c>
      <c r="AI296">
        <f t="shared" si="181"/>
        <v>0</v>
      </c>
      <c r="AJ296" s="3">
        <f t="shared" si="182"/>
        <v>0</v>
      </c>
      <c r="AK296" s="3">
        <f t="shared" si="183"/>
        <v>0</v>
      </c>
      <c r="AL296">
        <f t="shared" si="184"/>
        <v>0</v>
      </c>
      <c r="AM296" s="3">
        <f t="shared" si="185"/>
        <v>0</v>
      </c>
      <c r="AN296" s="3">
        <f t="shared" si="186"/>
        <v>0</v>
      </c>
      <c r="AO296">
        <f t="shared" si="187"/>
        <v>0</v>
      </c>
      <c r="AP296" s="3">
        <f t="shared" si="188"/>
        <v>0</v>
      </c>
      <c r="AQ296" s="3">
        <f t="shared" si="189"/>
        <v>0</v>
      </c>
      <c r="AR296">
        <f t="shared" si="190"/>
        <v>0</v>
      </c>
    </row>
    <row r="297" spans="4:44" x14ac:dyDescent="0.25">
      <c r="D297" s="1">
        <v>42312</v>
      </c>
      <c r="E297" s="2">
        <v>118.83599599999999</v>
      </c>
      <c r="F297" s="2">
        <v>204.71929800000001</v>
      </c>
      <c r="G297" s="2">
        <f t="shared" si="153"/>
        <v>-0.55521699999999896</v>
      </c>
      <c r="H297" s="2">
        <f t="shared" si="154"/>
        <v>-0.62283800000000156</v>
      </c>
      <c r="I297" s="4">
        <f t="shared" si="155"/>
        <v>-0.61759626963549197</v>
      </c>
      <c r="J297" s="4">
        <f t="shared" si="156"/>
        <v>-0.72405893898068474</v>
      </c>
      <c r="K297" s="4">
        <f t="shared" si="157"/>
        <v>0.64493385579064455</v>
      </c>
      <c r="L297" s="4">
        <f t="shared" si="158"/>
        <v>0.80307773956862016</v>
      </c>
      <c r="M297" s="4">
        <f t="shared" si="159"/>
        <v>1</v>
      </c>
      <c r="N297" s="4">
        <f t="shared" si="160"/>
        <v>1</v>
      </c>
      <c r="O297" s="3">
        <f t="shared" si="161"/>
        <v>-0.55521699999999896</v>
      </c>
      <c r="P297" s="3">
        <f t="shared" si="162"/>
        <v>-0.62283800000000156</v>
      </c>
      <c r="Q297">
        <f t="shared" si="163"/>
        <v>1</v>
      </c>
      <c r="R297" s="3">
        <f t="shared" si="164"/>
        <v>0</v>
      </c>
      <c r="S297" s="3">
        <f t="shared" si="165"/>
        <v>0</v>
      </c>
      <c r="T297">
        <f t="shared" si="166"/>
        <v>0</v>
      </c>
      <c r="U297" s="3">
        <f t="shared" si="167"/>
        <v>0</v>
      </c>
      <c r="V297" s="3">
        <f t="shared" si="168"/>
        <v>0</v>
      </c>
      <c r="W297">
        <f t="shared" si="169"/>
        <v>0</v>
      </c>
      <c r="X297" s="3">
        <f t="shared" si="170"/>
        <v>0</v>
      </c>
      <c r="Y297" s="3">
        <f t="shared" si="171"/>
        <v>0</v>
      </c>
      <c r="Z297">
        <f t="shared" si="172"/>
        <v>0</v>
      </c>
      <c r="AA297" s="3">
        <f t="shared" si="173"/>
        <v>0</v>
      </c>
      <c r="AB297" s="3">
        <f t="shared" si="174"/>
        <v>0</v>
      </c>
      <c r="AC297">
        <f t="shared" si="175"/>
        <v>0</v>
      </c>
      <c r="AD297" s="3">
        <f t="shared" si="176"/>
        <v>0</v>
      </c>
      <c r="AE297" s="3">
        <f t="shared" si="177"/>
        <v>0</v>
      </c>
      <c r="AF297">
        <f t="shared" si="178"/>
        <v>0</v>
      </c>
      <c r="AG297" s="3">
        <f t="shared" si="179"/>
        <v>0</v>
      </c>
      <c r="AH297" s="3">
        <f t="shared" si="180"/>
        <v>0</v>
      </c>
      <c r="AI297">
        <f t="shared" si="181"/>
        <v>0</v>
      </c>
      <c r="AJ297" s="3">
        <f t="shared" si="182"/>
        <v>0</v>
      </c>
      <c r="AK297" s="3">
        <f t="shared" si="183"/>
        <v>0</v>
      </c>
      <c r="AL297">
        <f t="shared" si="184"/>
        <v>0</v>
      </c>
      <c r="AM297" s="3">
        <f t="shared" si="185"/>
        <v>0</v>
      </c>
      <c r="AN297" s="3">
        <f t="shared" si="186"/>
        <v>0</v>
      </c>
      <c r="AO297">
        <f t="shared" si="187"/>
        <v>0</v>
      </c>
      <c r="AP297" s="3">
        <f t="shared" si="188"/>
        <v>0</v>
      </c>
      <c r="AQ297" s="3">
        <f t="shared" si="189"/>
        <v>0</v>
      </c>
      <c r="AR297">
        <f t="shared" si="190"/>
        <v>0</v>
      </c>
    </row>
    <row r="298" spans="4:44" x14ac:dyDescent="0.25">
      <c r="D298" s="1">
        <v>42311</v>
      </c>
      <c r="E298" s="2">
        <v>119.39121299999999</v>
      </c>
      <c r="F298" s="2">
        <v>205.34213600000001</v>
      </c>
      <c r="G298" s="2">
        <f t="shared" si="153"/>
        <v>1.3539499999999975</v>
      </c>
      <c r="H298" s="2">
        <f t="shared" si="154"/>
        <v>0.59364400000001183</v>
      </c>
      <c r="I298" s="4">
        <f t="shared" si="155"/>
        <v>1.2915707303645045</v>
      </c>
      <c r="J298" s="4">
        <f t="shared" si="156"/>
        <v>0.49242306101932865</v>
      </c>
      <c r="K298" s="4">
        <f t="shared" si="157"/>
        <v>2.358096927619548</v>
      </c>
      <c r="L298" s="4">
        <f t="shared" si="158"/>
        <v>1.535609627353107</v>
      </c>
      <c r="M298" s="4">
        <f t="shared" si="159"/>
        <v>1</v>
      </c>
      <c r="N298" s="4">
        <f t="shared" si="160"/>
        <v>0.50888493426407888</v>
      </c>
      <c r="O298" s="3">
        <f t="shared" si="161"/>
        <v>1.3539499999999975</v>
      </c>
      <c r="P298" s="3">
        <f t="shared" si="162"/>
        <v>0.59364400000001183</v>
      </c>
      <c r="Q298">
        <f t="shared" si="163"/>
        <v>1</v>
      </c>
      <c r="R298" s="3">
        <f t="shared" si="164"/>
        <v>1.3539499999999975</v>
      </c>
      <c r="S298" s="3">
        <f t="shared" si="165"/>
        <v>0.59364400000001183</v>
      </c>
      <c r="T298">
        <f t="shared" si="166"/>
        <v>1</v>
      </c>
      <c r="U298" s="3">
        <f t="shared" si="167"/>
        <v>1.3539499999999975</v>
      </c>
      <c r="V298" s="3">
        <f t="shared" si="168"/>
        <v>0.59364400000001183</v>
      </c>
      <c r="W298">
        <f t="shared" si="169"/>
        <v>1</v>
      </c>
      <c r="X298" s="3">
        <f t="shared" si="170"/>
        <v>0</v>
      </c>
      <c r="Y298" s="3">
        <f t="shared" si="171"/>
        <v>0</v>
      </c>
      <c r="Z298">
        <f t="shared" si="172"/>
        <v>0</v>
      </c>
      <c r="AA298" s="3">
        <f t="shared" si="173"/>
        <v>0</v>
      </c>
      <c r="AB298" s="3">
        <f t="shared" si="174"/>
        <v>0</v>
      </c>
      <c r="AC298">
        <f t="shared" si="175"/>
        <v>0</v>
      </c>
      <c r="AD298" s="3">
        <f t="shared" si="176"/>
        <v>0</v>
      </c>
      <c r="AE298" s="3">
        <f t="shared" si="177"/>
        <v>0</v>
      </c>
      <c r="AF298">
        <f t="shared" si="178"/>
        <v>0</v>
      </c>
      <c r="AG298" s="3">
        <f t="shared" si="179"/>
        <v>0</v>
      </c>
      <c r="AH298" s="3">
        <f t="shared" si="180"/>
        <v>0</v>
      </c>
      <c r="AI298">
        <f t="shared" si="181"/>
        <v>0</v>
      </c>
      <c r="AJ298" s="3">
        <f t="shared" si="182"/>
        <v>0</v>
      </c>
      <c r="AK298" s="3">
        <f t="shared" si="183"/>
        <v>0</v>
      </c>
      <c r="AL298">
        <f t="shared" si="184"/>
        <v>0</v>
      </c>
      <c r="AM298" s="3">
        <f t="shared" si="185"/>
        <v>0</v>
      </c>
      <c r="AN298" s="3">
        <f t="shared" si="186"/>
        <v>0</v>
      </c>
      <c r="AO298">
        <f t="shared" si="187"/>
        <v>0</v>
      </c>
      <c r="AP298" s="3">
        <f t="shared" si="188"/>
        <v>0</v>
      </c>
      <c r="AQ298" s="3">
        <f t="shared" si="189"/>
        <v>0</v>
      </c>
      <c r="AR298">
        <f t="shared" si="190"/>
        <v>0</v>
      </c>
    </row>
    <row r="299" spans="4:44" x14ac:dyDescent="0.25">
      <c r="D299" s="1">
        <v>42310</v>
      </c>
      <c r="E299" s="2">
        <v>118.037263</v>
      </c>
      <c r="F299" s="2">
        <v>204.748492</v>
      </c>
      <c r="G299" s="2">
        <f t="shared" si="153"/>
        <v>1.6364310000000017</v>
      </c>
      <c r="H299" s="2">
        <f t="shared" si="154"/>
        <v>2.3940419999999847</v>
      </c>
      <c r="I299" s="4">
        <f t="shared" si="155"/>
        <v>1.5740517303645087</v>
      </c>
      <c r="J299" s="4">
        <f t="shared" si="156"/>
        <v>2.2928210610193016</v>
      </c>
      <c r="K299" s="4">
        <f t="shared" si="157"/>
        <v>5.8722221460464974</v>
      </c>
      <c r="L299" s="4">
        <f t="shared" si="158"/>
        <v>2.4232668334392105</v>
      </c>
      <c r="M299" s="4">
        <f t="shared" si="159"/>
        <v>0.82533213940848149</v>
      </c>
      <c r="N299" s="4">
        <f t="shared" si="160"/>
        <v>0.20435194210217436</v>
      </c>
      <c r="O299" s="3">
        <f t="shared" si="161"/>
        <v>1.6364310000000017</v>
      </c>
      <c r="P299" s="3">
        <f t="shared" si="162"/>
        <v>2.3940419999999847</v>
      </c>
      <c r="Q299">
        <f t="shared" si="163"/>
        <v>1</v>
      </c>
      <c r="R299" s="3">
        <f t="shared" si="164"/>
        <v>1.6364310000000017</v>
      </c>
      <c r="S299" s="3">
        <f t="shared" si="165"/>
        <v>2.3940419999999847</v>
      </c>
      <c r="T299">
        <f t="shared" si="166"/>
        <v>1</v>
      </c>
      <c r="U299" s="3">
        <f t="shared" si="167"/>
        <v>1.6364310000000017</v>
      </c>
      <c r="V299" s="3">
        <f t="shared" si="168"/>
        <v>2.3940419999999847</v>
      </c>
      <c r="W299">
        <f t="shared" si="169"/>
        <v>1</v>
      </c>
      <c r="X299" s="3">
        <f t="shared" si="170"/>
        <v>1.6364310000000017</v>
      </c>
      <c r="Y299" s="3">
        <f t="shared" si="171"/>
        <v>2.3940419999999847</v>
      </c>
      <c r="Z299">
        <f t="shared" si="172"/>
        <v>1</v>
      </c>
      <c r="AA299" s="3">
        <f t="shared" si="173"/>
        <v>1.6364310000000017</v>
      </c>
      <c r="AB299" s="3">
        <f t="shared" si="174"/>
        <v>2.3940419999999847</v>
      </c>
      <c r="AC299">
        <f t="shared" si="175"/>
        <v>1</v>
      </c>
      <c r="AD299" s="3">
        <f t="shared" si="176"/>
        <v>1.6364310000000017</v>
      </c>
      <c r="AE299" s="3">
        <f t="shared" si="177"/>
        <v>2.3940419999999847</v>
      </c>
      <c r="AF299">
        <f t="shared" si="178"/>
        <v>1</v>
      </c>
      <c r="AG299" s="3">
        <f t="shared" si="179"/>
        <v>0</v>
      </c>
      <c r="AH299" s="3">
        <f t="shared" si="180"/>
        <v>0</v>
      </c>
      <c r="AI299">
        <f t="shared" si="181"/>
        <v>0</v>
      </c>
      <c r="AJ299" s="3">
        <f t="shared" si="182"/>
        <v>0</v>
      </c>
      <c r="AK299" s="3">
        <f t="shared" si="183"/>
        <v>0</v>
      </c>
      <c r="AL299">
        <f t="shared" si="184"/>
        <v>0</v>
      </c>
      <c r="AM299" s="3">
        <f t="shared" si="185"/>
        <v>0</v>
      </c>
      <c r="AN299" s="3">
        <f t="shared" si="186"/>
        <v>0</v>
      </c>
      <c r="AO299">
        <f t="shared" si="187"/>
        <v>0</v>
      </c>
      <c r="AP299" s="3">
        <f t="shared" si="188"/>
        <v>0</v>
      </c>
      <c r="AQ299" s="3">
        <f t="shared" si="189"/>
        <v>0</v>
      </c>
      <c r="AR299">
        <f t="shared" si="190"/>
        <v>0</v>
      </c>
    </row>
    <row r="300" spans="4:44" x14ac:dyDescent="0.25">
      <c r="D300" s="1">
        <v>42307</v>
      </c>
      <c r="E300" s="2">
        <v>116.40083199999999</v>
      </c>
      <c r="F300" s="2">
        <v>202.35445000000001</v>
      </c>
      <c r="G300" s="2">
        <f t="shared" si="153"/>
        <v>-1.0032870000000003</v>
      </c>
      <c r="H300" s="2">
        <f t="shared" si="154"/>
        <v>-0.87587499999997931</v>
      </c>
      <c r="I300" s="4">
        <f t="shared" si="155"/>
        <v>-1.0656662696354933</v>
      </c>
      <c r="J300" s="4">
        <f t="shared" si="156"/>
        <v>-0.97709593898066249</v>
      </c>
      <c r="K300" s="4">
        <f t="shared" si="157"/>
        <v>1.5238348858316026</v>
      </c>
      <c r="L300" s="4">
        <f t="shared" si="158"/>
        <v>1.2344370724470335</v>
      </c>
      <c r="M300" s="4">
        <f t="shared" si="159"/>
        <v>1</v>
      </c>
      <c r="N300" s="4">
        <f t="shared" si="160"/>
        <v>1</v>
      </c>
      <c r="O300" s="3">
        <f t="shared" si="161"/>
        <v>-1.0032870000000003</v>
      </c>
      <c r="P300" s="3">
        <f t="shared" si="162"/>
        <v>-0.87587499999997931</v>
      </c>
      <c r="Q300">
        <f t="shared" si="163"/>
        <v>1</v>
      </c>
      <c r="R300" s="3">
        <f t="shared" si="164"/>
        <v>-1.0032870000000003</v>
      </c>
      <c r="S300" s="3">
        <f t="shared" si="165"/>
        <v>-0.87587499999997931</v>
      </c>
      <c r="T300">
        <f t="shared" si="166"/>
        <v>1</v>
      </c>
      <c r="U300" s="3">
        <f t="shared" si="167"/>
        <v>0</v>
      </c>
      <c r="V300" s="3">
        <f t="shared" si="168"/>
        <v>0</v>
      </c>
      <c r="W300">
        <f t="shared" si="169"/>
        <v>0</v>
      </c>
      <c r="X300" s="3">
        <f t="shared" si="170"/>
        <v>0</v>
      </c>
      <c r="Y300" s="3">
        <f t="shared" si="171"/>
        <v>0</v>
      </c>
      <c r="Z300">
        <f t="shared" si="172"/>
        <v>0</v>
      </c>
      <c r="AA300" s="3">
        <f t="shared" si="173"/>
        <v>0</v>
      </c>
      <c r="AB300" s="3">
        <f t="shared" si="174"/>
        <v>0</v>
      </c>
      <c r="AC300">
        <f t="shared" si="175"/>
        <v>0</v>
      </c>
      <c r="AD300" s="3">
        <f t="shared" si="176"/>
        <v>0</v>
      </c>
      <c r="AE300" s="3">
        <f t="shared" si="177"/>
        <v>0</v>
      </c>
      <c r="AF300">
        <f t="shared" si="178"/>
        <v>0</v>
      </c>
      <c r="AG300" s="3">
        <f t="shared" si="179"/>
        <v>0</v>
      </c>
      <c r="AH300" s="3">
        <f t="shared" si="180"/>
        <v>0</v>
      </c>
      <c r="AI300">
        <f t="shared" si="181"/>
        <v>0</v>
      </c>
      <c r="AJ300" s="3">
        <f t="shared" si="182"/>
        <v>0</v>
      </c>
      <c r="AK300" s="3">
        <f t="shared" si="183"/>
        <v>0</v>
      </c>
      <c r="AL300">
        <f t="shared" si="184"/>
        <v>0</v>
      </c>
      <c r="AM300" s="3">
        <f t="shared" si="185"/>
        <v>0</v>
      </c>
      <c r="AN300" s="3">
        <f t="shared" si="186"/>
        <v>0</v>
      </c>
      <c r="AO300">
        <f t="shared" si="187"/>
        <v>0</v>
      </c>
      <c r="AP300" s="3">
        <f t="shared" si="188"/>
        <v>0</v>
      </c>
      <c r="AQ300" s="3">
        <f t="shared" si="189"/>
        <v>0</v>
      </c>
      <c r="AR300">
        <f t="shared" si="190"/>
        <v>0</v>
      </c>
    </row>
    <row r="301" spans="4:44" x14ac:dyDescent="0.25">
      <c r="D301" s="1">
        <v>42306</v>
      </c>
      <c r="E301" s="2">
        <v>117.40411899999999</v>
      </c>
      <c r="F301" s="2">
        <v>203.23032499999999</v>
      </c>
      <c r="G301" s="2">
        <f t="shared" si="153"/>
        <v>1.2273249999999933</v>
      </c>
      <c r="H301" s="2">
        <f t="shared" si="154"/>
        <v>-0.11677800000001071</v>
      </c>
      <c r="I301" s="4">
        <f t="shared" si="155"/>
        <v>1.1649457303645003</v>
      </c>
      <c r="J301" s="4">
        <f t="shared" si="156"/>
        <v>-0.21799893898069392</v>
      </c>
      <c r="K301" s="4">
        <f t="shared" si="157"/>
        <v>3.6365081399237962</v>
      </c>
      <c r="L301" s="4">
        <f t="shared" si="158"/>
        <v>1.9069630672678997</v>
      </c>
      <c r="M301" s="4">
        <f t="shared" si="159"/>
        <v>1</v>
      </c>
      <c r="N301" s="4">
        <f t="shared" si="160"/>
        <v>0.32998688682301319</v>
      </c>
      <c r="O301" s="3">
        <f t="shared" si="161"/>
        <v>1.2273249999999933</v>
      </c>
      <c r="P301" s="3">
        <f t="shared" si="162"/>
        <v>-0.11677800000001071</v>
      </c>
      <c r="Q301">
        <f t="shared" si="163"/>
        <v>1</v>
      </c>
      <c r="R301" s="3">
        <f t="shared" si="164"/>
        <v>1.2273249999999933</v>
      </c>
      <c r="S301" s="3">
        <f t="shared" si="165"/>
        <v>-0.11677800000001071</v>
      </c>
      <c r="T301">
        <f t="shared" si="166"/>
        <v>1</v>
      </c>
      <c r="U301" s="3">
        <f t="shared" si="167"/>
        <v>1.2273249999999933</v>
      </c>
      <c r="V301" s="3">
        <f t="shared" si="168"/>
        <v>-0.11677800000001071</v>
      </c>
      <c r="W301">
        <f t="shared" si="169"/>
        <v>1</v>
      </c>
      <c r="X301" s="3">
        <f t="shared" si="170"/>
        <v>1.2273249999999933</v>
      </c>
      <c r="Y301" s="3">
        <f t="shared" si="171"/>
        <v>-0.11677800000001071</v>
      </c>
      <c r="Z301">
        <f t="shared" si="172"/>
        <v>1</v>
      </c>
      <c r="AA301" s="3">
        <f t="shared" si="173"/>
        <v>0</v>
      </c>
      <c r="AB301" s="3">
        <f t="shared" si="174"/>
        <v>0</v>
      </c>
      <c r="AC301">
        <f t="shared" si="175"/>
        <v>0</v>
      </c>
      <c r="AD301" s="3">
        <f t="shared" si="176"/>
        <v>0</v>
      </c>
      <c r="AE301" s="3">
        <f t="shared" si="177"/>
        <v>0</v>
      </c>
      <c r="AF301">
        <f t="shared" si="178"/>
        <v>0</v>
      </c>
      <c r="AG301" s="3">
        <f t="shared" si="179"/>
        <v>0</v>
      </c>
      <c r="AH301" s="3">
        <f t="shared" si="180"/>
        <v>0</v>
      </c>
      <c r="AI301">
        <f t="shared" si="181"/>
        <v>0</v>
      </c>
      <c r="AJ301" s="3">
        <f t="shared" si="182"/>
        <v>0</v>
      </c>
      <c r="AK301" s="3">
        <f t="shared" si="183"/>
        <v>0</v>
      </c>
      <c r="AL301">
        <f t="shared" si="184"/>
        <v>0</v>
      </c>
      <c r="AM301" s="3">
        <f t="shared" si="185"/>
        <v>0</v>
      </c>
      <c r="AN301" s="3">
        <f t="shared" si="186"/>
        <v>0</v>
      </c>
      <c r="AO301">
        <f t="shared" si="187"/>
        <v>0</v>
      </c>
      <c r="AP301" s="3">
        <f t="shared" si="188"/>
        <v>0</v>
      </c>
      <c r="AQ301" s="3">
        <f t="shared" si="189"/>
        <v>0</v>
      </c>
      <c r="AR301">
        <f t="shared" si="190"/>
        <v>0</v>
      </c>
    </row>
    <row r="302" spans="4:44" x14ac:dyDescent="0.25">
      <c r="D302" s="1">
        <v>42305</v>
      </c>
      <c r="E302" s="2">
        <v>116.176794</v>
      </c>
      <c r="F302" s="2">
        <v>203.347103</v>
      </c>
      <c r="G302" s="2">
        <f t="shared" si="153"/>
        <v>4.5975830000000002</v>
      </c>
      <c r="H302" s="2">
        <f t="shared" si="154"/>
        <v>2.2869770000000074</v>
      </c>
      <c r="I302" s="4">
        <f t="shared" si="155"/>
        <v>4.5352037303645067</v>
      </c>
      <c r="J302" s="4">
        <f t="shared" si="156"/>
        <v>2.1857560610193243</v>
      </c>
      <c r="K302" s="4">
        <f t="shared" si="157"/>
        <v>27.08940284502</v>
      </c>
      <c r="L302" s="4">
        <f t="shared" si="158"/>
        <v>5.2047481058183784</v>
      </c>
      <c r="M302" s="4">
        <f t="shared" si="159"/>
        <v>0.384264513735872</v>
      </c>
      <c r="N302" s="4">
        <f t="shared" si="160"/>
        <v>4.429776495499984E-2</v>
      </c>
      <c r="O302" s="3">
        <f t="shared" si="161"/>
        <v>4.5975830000000002</v>
      </c>
      <c r="P302" s="3">
        <f t="shared" si="162"/>
        <v>2.2869770000000074</v>
      </c>
      <c r="Q302">
        <f t="shared" si="163"/>
        <v>1</v>
      </c>
      <c r="R302" s="3">
        <f t="shared" si="164"/>
        <v>4.5975830000000002</v>
      </c>
      <c r="S302" s="3">
        <f t="shared" si="165"/>
        <v>2.2869770000000074</v>
      </c>
      <c r="T302">
        <f t="shared" si="166"/>
        <v>1</v>
      </c>
      <c r="U302" s="3">
        <f t="shared" si="167"/>
        <v>4.5975830000000002</v>
      </c>
      <c r="V302" s="3">
        <f t="shared" si="168"/>
        <v>2.2869770000000074</v>
      </c>
      <c r="W302">
        <f t="shared" si="169"/>
        <v>1</v>
      </c>
      <c r="X302" s="3">
        <f t="shared" si="170"/>
        <v>4.5975830000000002</v>
      </c>
      <c r="Y302" s="3">
        <f t="shared" si="171"/>
        <v>2.2869770000000074</v>
      </c>
      <c r="Z302">
        <f t="shared" si="172"/>
        <v>1</v>
      </c>
      <c r="AA302" s="3">
        <f t="shared" si="173"/>
        <v>4.5975830000000002</v>
      </c>
      <c r="AB302" s="3">
        <f t="shared" si="174"/>
        <v>2.2869770000000074</v>
      </c>
      <c r="AC302">
        <f t="shared" si="175"/>
        <v>1</v>
      </c>
      <c r="AD302" s="3">
        <f t="shared" si="176"/>
        <v>4.5975830000000002</v>
      </c>
      <c r="AE302" s="3">
        <f t="shared" si="177"/>
        <v>2.2869770000000074</v>
      </c>
      <c r="AF302">
        <f t="shared" si="178"/>
        <v>1</v>
      </c>
      <c r="AG302" s="3">
        <f t="shared" si="179"/>
        <v>4.5975830000000002</v>
      </c>
      <c r="AH302" s="3">
        <f t="shared" si="180"/>
        <v>2.2869770000000074</v>
      </c>
      <c r="AI302">
        <f t="shared" si="181"/>
        <v>1</v>
      </c>
      <c r="AJ302" s="3">
        <f t="shared" si="182"/>
        <v>4.5975830000000002</v>
      </c>
      <c r="AK302" s="3">
        <f t="shared" si="183"/>
        <v>2.2869770000000074</v>
      </c>
      <c r="AL302">
        <f t="shared" si="184"/>
        <v>1</v>
      </c>
      <c r="AM302" s="3">
        <f t="shared" si="185"/>
        <v>4.5975830000000002</v>
      </c>
      <c r="AN302" s="3">
        <f t="shared" si="186"/>
        <v>2.2869770000000074</v>
      </c>
      <c r="AO302">
        <f t="shared" si="187"/>
        <v>1</v>
      </c>
      <c r="AP302" s="3">
        <f t="shared" si="188"/>
        <v>4.5975830000000002</v>
      </c>
      <c r="AQ302" s="3">
        <f t="shared" si="189"/>
        <v>2.2869770000000074</v>
      </c>
      <c r="AR302">
        <f t="shared" si="190"/>
        <v>1</v>
      </c>
    </row>
    <row r="303" spans="4:44" x14ac:dyDescent="0.25">
      <c r="D303" s="1">
        <v>42304</v>
      </c>
      <c r="E303" s="2">
        <v>111.579211</v>
      </c>
      <c r="F303" s="2">
        <v>201.060126</v>
      </c>
      <c r="G303" s="2">
        <f t="shared" si="153"/>
        <v>-0.71106399999999326</v>
      </c>
      <c r="H303" s="2">
        <f t="shared" si="154"/>
        <v>-0.38926800000001549</v>
      </c>
      <c r="I303" s="4">
        <f t="shared" si="155"/>
        <v>-0.77344326963548626</v>
      </c>
      <c r="J303" s="4">
        <f t="shared" si="156"/>
        <v>-0.49048893898069867</v>
      </c>
      <c r="K303" s="4">
        <f t="shared" si="157"/>
        <v>0.74425610766578909</v>
      </c>
      <c r="L303" s="4">
        <f t="shared" si="158"/>
        <v>0.86270279219774704</v>
      </c>
      <c r="M303" s="4">
        <f t="shared" si="159"/>
        <v>1</v>
      </c>
      <c r="N303" s="4">
        <f t="shared" si="160"/>
        <v>1</v>
      </c>
      <c r="O303" s="3">
        <f t="shared" si="161"/>
        <v>-0.71106399999999326</v>
      </c>
      <c r="P303" s="3">
        <f t="shared" si="162"/>
        <v>-0.38926800000001549</v>
      </c>
      <c r="Q303">
        <f t="shared" si="163"/>
        <v>1</v>
      </c>
      <c r="R303" s="3">
        <f t="shared" si="164"/>
        <v>0</v>
      </c>
      <c r="S303" s="3">
        <f t="shared" si="165"/>
        <v>0</v>
      </c>
      <c r="T303">
        <f t="shared" si="166"/>
        <v>0</v>
      </c>
      <c r="U303" s="3">
        <f t="shared" si="167"/>
        <v>0</v>
      </c>
      <c r="V303" s="3">
        <f t="shared" si="168"/>
        <v>0</v>
      </c>
      <c r="W303">
        <f t="shared" si="169"/>
        <v>0</v>
      </c>
      <c r="X303" s="3">
        <f t="shared" si="170"/>
        <v>0</v>
      </c>
      <c r="Y303" s="3">
        <f t="shared" si="171"/>
        <v>0</v>
      </c>
      <c r="Z303">
        <f t="shared" si="172"/>
        <v>0</v>
      </c>
      <c r="AA303" s="3">
        <f t="shared" si="173"/>
        <v>0</v>
      </c>
      <c r="AB303" s="3">
        <f t="shared" si="174"/>
        <v>0</v>
      </c>
      <c r="AC303">
        <f t="shared" si="175"/>
        <v>0</v>
      </c>
      <c r="AD303" s="3">
        <f t="shared" si="176"/>
        <v>0</v>
      </c>
      <c r="AE303" s="3">
        <f t="shared" si="177"/>
        <v>0</v>
      </c>
      <c r="AF303">
        <f t="shared" si="178"/>
        <v>0</v>
      </c>
      <c r="AG303" s="3">
        <f t="shared" si="179"/>
        <v>0</v>
      </c>
      <c r="AH303" s="3">
        <f t="shared" si="180"/>
        <v>0</v>
      </c>
      <c r="AI303">
        <f t="shared" si="181"/>
        <v>0</v>
      </c>
      <c r="AJ303" s="3">
        <f t="shared" si="182"/>
        <v>0</v>
      </c>
      <c r="AK303" s="3">
        <f t="shared" si="183"/>
        <v>0</v>
      </c>
      <c r="AL303">
        <f t="shared" si="184"/>
        <v>0</v>
      </c>
      <c r="AM303" s="3">
        <f t="shared" si="185"/>
        <v>0</v>
      </c>
      <c r="AN303" s="3">
        <f t="shared" si="186"/>
        <v>0</v>
      </c>
      <c r="AO303">
        <f t="shared" si="187"/>
        <v>0</v>
      </c>
      <c r="AP303" s="3">
        <f t="shared" si="188"/>
        <v>0</v>
      </c>
      <c r="AQ303" s="3">
        <f t="shared" si="189"/>
        <v>0</v>
      </c>
      <c r="AR303">
        <f t="shared" si="190"/>
        <v>0</v>
      </c>
    </row>
    <row r="304" spans="4:44" x14ac:dyDescent="0.25">
      <c r="D304" s="1">
        <v>42303</v>
      </c>
      <c r="E304" s="2">
        <v>112.29027499999999</v>
      </c>
      <c r="F304" s="2">
        <v>201.44939400000001</v>
      </c>
      <c r="G304" s="2">
        <f t="shared" si="153"/>
        <v>-3.7014520000000033</v>
      </c>
      <c r="H304" s="2">
        <f t="shared" si="154"/>
        <v>-0.49631999999999721</v>
      </c>
      <c r="I304" s="4">
        <f t="shared" si="155"/>
        <v>-3.7638312696354963</v>
      </c>
      <c r="J304" s="4">
        <f t="shared" si="156"/>
        <v>-0.59754093898068039</v>
      </c>
      <c r="K304" s="4">
        <f t="shared" si="157"/>
        <v>24.97908796588975</v>
      </c>
      <c r="L304" s="4">
        <f t="shared" si="158"/>
        <v>4.9979083590928068</v>
      </c>
      <c r="M304" s="4">
        <f t="shared" si="159"/>
        <v>0.40016740130125739</v>
      </c>
      <c r="N304" s="4">
        <f t="shared" si="160"/>
        <v>4.804018471926047E-2</v>
      </c>
      <c r="O304" s="3">
        <f t="shared" si="161"/>
        <v>-3.7014520000000033</v>
      </c>
      <c r="P304" s="3">
        <f t="shared" si="162"/>
        <v>-0.49631999999999721</v>
      </c>
      <c r="Q304">
        <f t="shared" si="163"/>
        <v>1</v>
      </c>
      <c r="R304" s="3">
        <f t="shared" si="164"/>
        <v>-3.7014520000000033</v>
      </c>
      <c r="S304" s="3">
        <f t="shared" si="165"/>
        <v>-0.49631999999999721</v>
      </c>
      <c r="T304">
        <f t="shared" si="166"/>
        <v>1</v>
      </c>
      <c r="U304" s="3">
        <f t="shared" si="167"/>
        <v>-3.7014520000000033</v>
      </c>
      <c r="V304" s="3">
        <f t="shared" si="168"/>
        <v>-0.49631999999999721</v>
      </c>
      <c r="W304">
        <f t="shared" si="169"/>
        <v>1</v>
      </c>
      <c r="X304" s="3">
        <f t="shared" si="170"/>
        <v>-3.7014520000000033</v>
      </c>
      <c r="Y304" s="3">
        <f t="shared" si="171"/>
        <v>-0.49631999999999721</v>
      </c>
      <c r="Z304">
        <f t="shared" si="172"/>
        <v>1</v>
      </c>
      <c r="AA304" s="3">
        <f t="shared" si="173"/>
        <v>-3.7014520000000033</v>
      </c>
      <c r="AB304" s="3">
        <f t="shared" si="174"/>
        <v>-0.49631999999999721</v>
      </c>
      <c r="AC304">
        <f t="shared" si="175"/>
        <v>1</v>
      </c>
      <c r="AD304" s="3">
        <f t="shared" si="176"/>
        <v>-3.7014520000000033</v>
      </c>
      <c r="AE304" s="3">
        <f t="shared" si="177"/>
        <v>-0.49631999999999721</v>
      </c>
      <c r="AF304">
        <f t="shared" si="178"/>
        <v>1</v>
      </c>
      <c r="AG304" s="3">
        <f t="shared" si="179"/>
        <v>-3.7014520000000033</v>
      </c>
      <c r="AH304" s="3">
        <f t="shared" si="180"/>
        <v>-0.49631999999999721</v>
      </c>
      <c r="AI304">
        <f t="shared" si="181"/>
        <v>1</v>
      </c>
      <c r="AJ304" s="3">
        <f t="shared" si="182"/>
        <v>-3.7014520000000033</v>
      </c>
      <c r="AK304" s="3">
        <f t="shared" si="183"/>
        <v>-0.49631999999999721</v>
      </c>
      <c r="AL304">
        <f t="shared" si="184"/>
        <v>1</v>
      </c>
      <c r="AM304" s="3">
        <f t="shared" si="185"/>
        <v>-3.7014520000000033</v>
      </c>
      <c r="AN304" s="3">
        <f t="shared" si="186"/>
        <v>-0.49631999999999721</v>
      </c>
      <c r="AO304">
        <f t="shared" si="187"/>
        <v>1</v>
      </c>
      <c r="AP304" s="3">
        <f t="shared" si="188"/>
        <v>-3.7014520000000033</v>
      </c>
      <c r="AQ304" s="3">
        <f t="shared" si="189"/>
        <v>-0.49631999999999721</v>
      </c>
      <c r="AR304">
        <f t="shared" si="190"/>
        <v>1</v>
      </c>
    </row>
    <row r="305" spans="4:44" x14ac:dyDescent="0.25">
      <c r="D305" s="1">
        <v>42300</v>
      </c>
      <c r="E305" s="2">
        <v>115.991727</v>
      </c>
      <c r="F305" s="2">
        <v>201.94571400000001</v>
      </c>
      <c r="G305" s="2">
        <f t="shared" si="153"/>
        <v>3.4871569999999963</v>
      </c>
      <c r="H305" s="2">
        <f t="shared" si="154"/>
        <v>2.1896680000000117</v>
      </c>
      <c r="I305" s="4">
        <f t="shared" si="155"/>
        <v>3.4247777303645033</v>
      </c>
      <c r="J305" s="4">
        <f t="shared" si="156"/>
        <v>2.0884470610193286</v>
      </c>
      <c r="K305" s="4">
        <f t="shared" si="157"/>
        <v>14.660149952410521</v>
      </c>
      <c r="L305" s="4">
        <f t="shared" si="158"/>
        <v>3.828857525739306</v>
      </c>
      <c r="M305" s="4">
        <f t="shared" si="159"/>
        <v>0.52234902619256485</v>
      </c>
      <c r="N305" s="4">
        <f t="shared" si="160"/>
        <v>8.1854551549296245E-2</v>
      </c>
      <c r="O305" s="3">
        <f t="shared" si="161"/>
        <v>3.4871569999999963</v>
      </c>
      <c r="P305" s="3">
        <f t="shared" si="162"/>
        <v>2.1896680000000117</v>
      </c>
      <c r="Q305">
        <f t="shared" si="163"/>
        <v>1</v>
      </c>
      <c r="R305" s="3">
        <f t="shared" si="164"/>
        <v>3.4871569999999963</v>
      </c>
      <c r="S305" s="3">
        <f t="shared" si="165"/>
        <v>2.1896680000000117</v>
      </c>
      <c r="T305">
        <f t="shared" si="166"/>
        <v>1</v>
      </c>
      <c r="U305" s="3">
        <f t="shared" si="167"/>
        <v>3.4871569999999963</v>
      </c>
      <c r="V305" s="3">
        <f t="shared" si="168"/>
        <v>2.1896680000000117</v>
      </c>
      <c r="W305">
        <f t="shared" si="169"/>
        <v>1</v>
      </c>
      <c r="X305" s="3">
        <f t="shared" si="170"/>
        <v>3.4871569999999963</v>
      </c>
      <c r="Y305" s="3">
        <f t="shared" si="171"/>
        <v>2.1896680000000117</v>
      </c>
      <c r="Z305">
        <f t="shared" si="172"/>
        <v>1</v>
      </c>
      <c r="AA305" s="3">
        <f t="shared" si="173"/>
        <v>3.4871569999999963</v>
      </c>
      <c r="AB305" s="3">
        <f t="shared" si="174"/>
        <v>2.1896680000000117</v>
      </c>
      <c r="AC305">
        <f t="shared" si="175"/>
        <v>1</v>
      </c>
      <c r="AD305" s="3">
        <f t="shared" si="176"/>
        <v>3.4871569999999963</v>
      </c>
      <c r="AE305" s="3">
        <f t="shared" si="177"/>
        <v>2.1896680000000117</v>
      </c>
      <c r="AF305">
        <f t="shared" si="178"/>
        <v>1</v>
      </c>
      <c r="AG305" s="3">
        <f t="shared" si="179"/>
        <v>3.4871569999999963</v>
      </c>
      <c r="AH305" s="3">
        <f t="shared" si="180"/>
        <v>2.1896680000000117</v>
      </c>
      <c r="AI305">
        <f t="shared" si="181"/>
        <v>1</v>
      </c>
      <c r="AJ305" s="3">
        <f t="shared" si="182"/>
        <v>3.4871569999999963</v>
      </c>
      <c r="AK305" s="3">
        <f t="shared" si="183"/>
        <v>2.1896680000000117</v>
      </c>
      <c r="AL305">
        <f t="shared" si="184"/>
        <v>1</v>
      </c>
      <c r="AM305" s="3">
        <f t="shared" si="185"/>
        <v>3.4871569999999963</v>
      </c>
      <c r="AN305" s="3">
        <f t="shared" si="186"/>
        <v>2.1896680000000117</v>
      </c>
      <c r="AO305">
        <f t="shared" si="187"/>
        <v>1</v>
      </c>
      <c r="AP305" s="3">
        <f t="shared" si="188"/>
        <v>3.4871569999999963</v>
      </c>
      <c r="AQ305" s="3">
        <f t="shared" si="189"/>
        <v>2.1896680000000117</v>
      </c>
      <c r="AR305">
        <f t="shared" si="190"/>
        <v>1</v>
      </c>
    </row>
    <row r="306" spans="4:44" x14ac:dyDescent="0.25">
      <c r="D306" s="1">
        <v>42299</v>
      </c>
      <c r="E306" s="2">
        <v>112.50457</v>
      </c>
      <c r="F306" s="2">
        <v>199.756046</v>
      </c>
      <c r="G306" s="2">
        <f t="shared" si="153"/>
        <v>1.6948720000000037</v>
      </c>
      <c r="H306" s="2">
        <f t="shared" si="154"/>
        <v>3.3185509999999852</v>
      </c>
      <c r="I306" s="4">
        <f t="shared" si="155"/>
        <v>1.6324927303645107</v>
      </c>
      <c r="J306" s="4">
        <f t="shared" si="156"/>
        <v>3.2173300610193021</v>
      </c>
      <c r="K306" s="4">
        <f t="shared" si="157"/>
        <v>11.665223933165976</v>
      </c>
      <c r="L306" s="4">
        <f t="shared" si="158"/>
        <v>3.4154390542309456</v>
      </c>
      <c r="M306" s="4">
        <f t="shared" si="159"/>
        <v>0.58557625190894824</v>
      </c>
      <c r="N306" s="4">
        <f t="shared" si="160"/>
        <v>0.10286986403991959</v>
      </c>
      <c r="O306" s="3">
        <f t="shared" si="161"/>
        <v>1.6948720000000037</v>
      </c>
      <c r="P306" s="3">
        <f t="shared" si="162"/>
        <v>3.3185509999999852</v>
      </c>
      <c r="Q306">
        <f t="shared" si="163"/>
        <v>1</v>
      </c>
      <c r="R306" s="3">
        <f t="shared" si="164"/>
        <v>1.6948720000000037</v>
      </c>
      <c r="S306" s="3">
        <f t="shared" si="165"/>
        <v>3.3185509999999852</v>
      </c>
      <c r="T306">
        <f t="shared" si="166"/>
        <v>1</v>
      </c>
      <c r="U306" s="3">
        <f t="shared" si="167"/>
        <v>1.6948720000000037</v>
      </c>
      <c r="V306" s="3">
        <f t="shared" si="168"/>
        <v>3.3185509999999852</v>
      </c>
      <c r="W306">
        <f t="shared" si="169"/>
        <v>1</v>
      </c>
      <c r="X306" s="3">
        <f t="shared" si="170"/>
        <v>1.6948720000000037</v>
      </c>
      <c r="Y306" s="3">
        <f t="shared" si="171"/>
        <v>3.3185509999999852</v>
      </c>
      <c r="Z306">
        <f t="shared" si="172"/>
        <v>1</v>
      </c>
      <c r="AA306" s="3">
        <f t="shared" si="173"/>
        <v>1.6948720000000037</v>
      </c>
      <c r="AB306" s="3">
        <f t="shared" si="174"/>
        <v>3.3185509999999852</v>
      </c>
      <c r="AC306">
        <f t="shared" si="175"/>
        <v>1</v>
      </c>
      <c r="AD306" s="3">
        <f t="shared" si="176"/>
        <v>1.6948720000000037</v>
      </c>
      <c r="AE306" s="3">
        <f t="shared" si="177"/>
        <v>3.3185509999999852</v>
      </c>
      <c r="AF306">
        <f t="shared" si="178"/>
        <v>1</v>
      </c>
      <c r="AG306" s="3">
        <f t="shared" si="179"/>
        <v>1.6948720000000037</v>
      </c>
      <c r="AH306" s="3">
        <f t="shared" si="180"/>
        <v>3.3185509999999852</v>
      </c>
      <c r="AI306">
        <f t="shared" si="181"/>
        <v>1</v>
      </c>
      <c r="AJ306" s="3">
        <f t="shared" si="182"/>
        <v>1.6948720000000037</v>
      </c>
      <c r="AK306" s="3">
        <f t="shared" si="183"/>
        <v>3.3185509999999852</v>
      </c>
      <c r="AL306">
        <f t="shared" si="184"/>
        <v>1</v>
      </c>
      <c r="AM306" s="3">
        <f t="shared" si="185"/>
        <v>1.6948720000000037</v>
      </c>
      <c r="AN306" s="3">
        <f t="shared" si="186"/>
        <v>3.3185509999999852</v>
      </c>
      <c r="AO306">
        <f t="shared" si="187"/>
        <v>1</v>
      </c>
      <c r="AP306" s="3">
        <f t="shared" si="188"/>
        <v>1.6948720000000037</v>
      </c>
      <c r="AQ306" s="3">
        <f t="shared" si="189"/>
        <v>3.3185509999999852</v>
      </c>
      <c r="AR306">
        <f t="shared" si="190"/>
        <v>1</v>
      </c>
    </row>
    <row r="307" spans="4:44" x14ac:dyDescent="0.25">
      <c r="D307" s="1">
        <v>42298</v>
      </c>
      <c r="E307" s="2">
        <v>110.809698</v>
      </c>
      <c r="F307" s="2">
        <v>196.43749500000001</v>
      </c>
      <c r="G307" s="2">
        <f t="shared" si="153"/>
        <v>-9.7350000000062664E-3</v>
      </c>
      <c r="H307" s="2">
        <f t="shared" si="154"/>
        <v>-1.2262079999999855</v>
      </c>
      <c r="I307" s="4">
        <f t="shared" si="155"/>
        <v>-7.2114269635499273E-2</v>
      </c>
      <c r="J307" s="4">
        <f t="shared" si="156"/>
        <v>-1.3274289389806688</v>
      </c>
      <c r="K307" s="4">
        <f t="shared" si="157"/>
        <v>3.1037492208687505</v>
      </c>
      <c r="L307" s="4">
        <f t="shared" si="158"/>
        <v>1.7617460716200706</v>
      </c>
      <c r="M307" s="4">
        <f t="shared" si="159"/>
        <v>1</v>
      </c>
      <c r="N307" s="4">
        <f t="shared" si="160"/>
        <v>0.38662917478368813</v>
      </c>
      <c r="O307" s="3">
        <f t="shared" si="161"/>
        <v>-9.7350000000062664E-3</v>
      </c>
      <c r="P307" s="3">
        <f t="shared" si="162"/>
        <v>-1.2262079999999855</v>
      </c>
      <c r="Q307">
        <f t="shared" si="163"/>
        <v>1</v>
      </c>
      <c r="R307" s="3">
        <f t="shared" si="164"/>
        <v>-9.7350000000062664E-3</v>
      </c>
      <c r="S307" s="3">
        <f t="shared" si="165"/>
        <v>-1.2262079999999855</v>
      </c>
      <c r="T307">
        <f t="shared" si="166"/>
        <v>1</v>
      </c>
      <c r="U307" s="3">
        <f t="shared" si="167"/>
        <v>-9.7350000000062664E-3</v>
      </c>
      <c r="V307" s="3">
        <f t="shared" si="168"/>
        <v>-1.2262079999999855</v>
      </c>
      <c r="W307">
        <f t="shared" si="169"/>
        <v>1</v>
      </c>
      <c r="X307" s="3">
        <f t="shared" si="170"/>
        <v>-9.7350000000062664E-3</v>
      </c>
      <c r="Y307" s="3">
        <f t="shared" si="171"/>
        <v>-1.2262079999999855</v>
      </c>
      <c r="Z307">
        <f t="shared" si="172"/>
        <v>1</v>
      </c>
      <c r="AA307" s="3">
        <f t="shared" si="173"/>
        <v>0</v>
      </c>
      <c r="AB307" s="3">
        <f t="shared" si="174"/>
        <v>0</v>
      </c>
      <c r="AC307">
        <f t="shared" si="175"/>
        <v>0</v>
      </c>
      <c r="AD307" s="3">
        <f t="shared" si="176"/>
        <v>0</v>
      </c>
      <c r="AE307" s="3">
        <f t="shared" si="177"/>
        <v>0</v>
      </c>
      <c r="AF307">
        <f t="shared" si="178"/>
        <v>0</v>
      </c>
      <c r="AG307" s="3">
        <f t="shared" si="179"/>
        <v>0</v>
      </c>
      <c r="AH307" s="3">
        <f t="shared" si="180"/>
        <v>0</v>
      </c>
      <c r="AI307">
        <f t="shared" si="181"/>
        <v>0</v>
      </c>
      <c r="AJ307" s="3">
        <f t="shared" si="182"/>
        <v>0</v>
      </c>
      <c r="AK307" s="3">
        <f t="shared" si="183"/>
        <v>0</v>
      </c>
      <c r="AL307">
        <f t="shared" si="184"/>
        <v>0</v>
      </c>
      <c r="AM307" s="3">
        <f t="shared" si="185"/>
        <v>0</v>
      </c>
      <c r="AN307" s="3">
        <f t="shared" si="186"/>
        <v>0</v>
      </c>
      <c r="AO307">
        <f t="shared" si="187"/>
        <v>0</v>
      </c>
      <c r="AP307" s="3">
        <f t="shared" si="188"/>
        <v>0</v>
      </c>
      <c r="AQ307" s="3">
        <f t="shared" si="189"/>
        <v>0</v>
      </c>
      <c r="AR307">
        <f t="shared" si="190"/>
        <v>0</v>
      </c>
    </row>
    <row r="308" spans="4:44" x14ac:dyDescent="0.25">
      <c r="D308" s="1">
        <v>42297</v>
      </c>
      <c r="E308" s="2">
        <v>110.819433</v>
      </c>
      <c r="F308" s="2">
        <v>197.663703</v>
      </c>
      <c r="G308" s="2">
        <f t="shared" si="153"/>
        <v>1.9870870000000025</v>
      </c>
      <c r="H308" s="2">
        <f t="shared" si="154"/>
        <v>-0.2530230000000131</v>
      </c>
      <c r="I308" s="4">
        <f t="shared" si="155"/>
        <v>1.9247077303645095</v>
      </c>
      <c r="J308" s="4">
        <f t="shared" si="156"/>
        <v>-0.35424393898069628</v>
      </c>
      <c r="K308" s="4">
        <f t="shared" si="157"/>
        <v>9.8889882959145972</v>
      </c>
      <c r="L308" s="4">
        <f t="shared" si="158"/>
        <v>3.1446761829979564</v>
      </c>
      <c r="M308" s="4">
        <f t="shared" si="159"/>
        <v>0.63599553137242681</v>
      </c>
      <c r="N308" s="4">
        <f t="shared" si="160"/>
        <v>0.12134709477770862</v>
      </c>
      <c r="O308" s="3">
        <f t="shared" si="161"/>
        <v>1.9870870000000025</v>
      </c>
      <c r="P308" s="3">
        <f t="shared" si="162"/>
        <v>-0.2530230000000131</v>
      </c>
      <c r="Q308">
        <f t="shared" si="163"/>
        <v>1</v>
      </c>
      <c r="R308" s="3">
        <f t="shared" si="164"/>
        <v>1.9870870000000025</v>
      </c>
      <c r="S308" s="3">
        <f t="shared" si="165"/>
        <v>-0.2530230000000131</v>
      </c>
      <c r="T308">
        <f t="shared" si="166"/>
        <v>1</v>
      </c>
      <c r="U308" s="3">
        <f t="shared" si="167"/>
        <v>1.9870870000000025</v>
      </c>
      <c r="V308" s="3">
        <f t="shared" si="168"/>
        <v>-0.2530230000000131</v>
      </c>
      <c r="W308">
        <f t="shared" si="169"/>
        <v>1</v>
      </c>
      <c r="X308" s="3">
        <f t="shared" si="170"/>
        <v>1.9870870000000025</v>
      </c>
      <c r="Y308" s="3">
        <f t="shared" si="171"/>
        <v>-0.2530230000000131</v>
      </c>
      <c r="Z308">
        <f t="shared" si="172"/>
        <v>1</v>
      </c>
      <c r="AA308" s="3">
        <f t="shared" si="173"/>
        <v>1.9870870000000025</v>
      </c>
      <c r="AB308" s="3">
        <f t="shared" si="174"/>
        <v>-0.2530230000000131</v>
      </c>
      <c r="AC308">
        <f t="shared" si="175"/>
        <v>1</v>
      </c>
      <c r="AD308" s="3">
        <f t="shared" si="176"/>
        <v>1.9870870000000025</v>
      </c>
      <c r="AE308" s="3">
        <f t="shared" si="177"/>
        <v>-0.2530230000000131</v>
      </c>
      <c r="AF308">
        <f t="shared" si="178"/>
        <v>1</v>
      </c>
      <c r="AG308" s="3">
        <f t="shared" si="179"/>
        <v>1.9870870000000025</v>
      </c>
      <c r="AH308" s="3">
        <f t="shared" si="180"/>
        <v>-0.2530230000000131</v>
      </c>
      <c r="AI308">
        <f t="shared" si="181"/>
        <v>1</v>
      </c>
      <c r="AJ308" s="3">
        <f t="shared" si="182"/>
        <v>1.9870870000000025</v>
      </c>
      <c r="AK308" s="3">
        <f t="shared" si="183"/>
        <v>-0.2530230000000131</v>
      </c>
      <c r="AL308">
        <f t="shared" si="184"/>
        <v>1</v>
      </c>
      <c r="AM308" s="3">
        <f t="shared" si="185"/>
        <v>1.9870870000000025</v>
      </c>
      <c r="AN308" s="3">
        <f t="shared" si="186"/>
        <v>-0.2530230000000131</v>
      </c>
      <c r="AO308">
        <f t="shared" si="187"/>
        <v>1</v>
      </c>
      <c r="AP308" s="3">
        <f t="shared" si="188"/>
        <v>1.9870870000000025</v>
      </c>
      <c r="AQ308" s="3">
        <f t="shared" si="189"/>
        <v>-0.2530230000000131</v>
      </c>
      <c r="AR308">
        <f t="shared" si="190"/>
        <v>1</v>
      </c>
    </row>
    <row r="309" spans="4:44" x14ac:dyDescent="0.25">
      <c r="D309" s="1">
        <v>42296</v>
      </c>
      <c r="E309" s="2">
        <v>108.832346</v>
      </c>
      <c r="F309" s="2">
        <v>197.91672600000001</v>
      </c>
      <c r="G309" s="2">
        <f t="shared" si="153"/>
        <v>0.6721069999999969</v>
      </c>
      <c r="H309" s="2">
        <f t="shared" si="154"/>
        <v>9.7309000000024071E-2</v>
      </c>
      <c r="I309" s="4">
        <f t="shared" si="155"/>
        <v>0.60972773036450389</v>
      </c>
      <c r="J309" s="4">
        <f t="shared" si="156"/>
        <v>-3.9119389806591409E-3</v>
      </c>
      <c r="K309" s="4">
        <f t="shared" si="157"/>
        <v>0.79716442038945934</v>
      </c>
      <c r="L309" s="4">
        <f t="shared" si="158"/>
        <v>0.89284064669427954</v>
      </c>
      <c r="M309" s="4">
        <f t="shared" si="159"/>
        <v>1</v>
      </c>
      <c r="N309" s="4">
        <f t="shared" si="160"/>
        <v>1</v>
      </c>
      <c r="O309" s="3">
        <f t="shared" si="161"/>
        <v>0.6721069999999969</v>
      </c>
      <c r="P309" s="3">
        <f t="shared" si="162"/>
        <v>9.7309000000024071E-2</v>
      </c>
      <c r="Q309">
        <f t="shared" si="163"/>
        <v>1</v>
      </c>
      <c r="R309" s="3">
        <f t="shared" si="164"/>
        <v>0</v>
      </c>
      <c r="S309" s="3">
        <f t="shared" si="165"/>
        <v>0</v>
      </c>
      <c r="T309">
        <f t="shared" si="166"/>
        <v>0</v>
      </c>
      <c r="U309" s="3">
        <f t="shared" si="167"/>
        <v>0</v>
      </c>
      <c r="V309" s="3">
        <f t="shared" si="168"/>
        <v>0</v>
      </c>
      <c r="W309">
        <f t="shared" si="169"/>
        <v>0</v>
      </c>
      <c r="X309" s="3">
        <f t="shared" si="170"/>
        <v>0</v>
      </c>
      <c r="Y309" s="3">
        <f t="shared" si="171"/>
        <v>0</v>
      </c>
      <c r="Z309">
        <f t="shared" si="172"/>
        <v>0</v>
      </c>
      <c r="AA309" s="3">
        <f t="shared" si="173"/>
        <v>0</v>
      </c>
      <c r="AB309" s="3">
        <f t="shared" si="174"/>
        <v>0</v>
      </c>
      <c r="AC309">
        <f t="shared" si="175"/>
        <v>0</v>
      </c>
      <c r="AD309" s="3">
        <f t="shared" si="176"/>
        <v>0</v>
      </c>
      <c r="AE309" s="3">
        <f t="shared" si="177"/>
        <v>0</v>
      </c>
      <c r="AF309">
        <f t="shared" si="178"/>
        <v>0</v>
      </c>
      <c r="AG309" s="3">
        <f t="shared" si="179"/>
        <v>0</v>
      </c>
      <c r="AH309" s="3">
        <f t="shared" si="180"/>
        <v>0</v>
      </c>
      <c r="AI309">
        <f t="shared" si="181"/>
        <v>0</v>
      </c>
      <c r="AJ309" s="3">
        <f t="shared" si="182"/>
        <v>0</v>
      </c>
      <c r="AK309" s="3">
        <f t="shared" si="183"/>
        <v>0</v>
      </c>
      <c r="AL309">
        <f t="shared" si="184"/>
        <v>0</v>
      </c>
      <c r="AM309" s="3">
        <f t="shared" si="185"/>
        <v>0</v>
      </c>
      <c r="AN309" s="3">
        <f t="shared" si="186"/>
        <v>0</v>
      </c>
      <c r="AO309">
        <f t="shared" si="187"/>
        <v>0</v>
      </c>
      <c r="AP309" s="3">
        <f t="shared" si="188"/>
        <v>0</v>
      </c>
      <c r="AQ309" s="3">
        <f t="shared" si="189"/>
        <v>0</v>
      </c>
      <c r="AR309">
        <f t="shared" si="190"/>
        <v>0</v>
      </c>
    </row>
    <row r="310" spans="4:44" x14ac:dyDescent="0.25">
      <c r="D310" s="1">
        <v>42293</v>
      </c>
      <c r="E310" s="2">
        <v>108.160239</v>
      </c>
      <c r="F310" s="2">
        <v>197.81941699999999</v>
      </c>
      <c r="G310" s="2">
        <f t="shared" si="153"/>
        <v>-0.79873299999999858</v>
      </c>
      <c r="H310" s="2">
        <f t="shared" si="154"/>
        <v>0.89532899999997539</v>
      </c>
      <c r="I310" s="4">
        <f t="shared" si="155"/>
        <v>-0.86111226963549159</v>
      </c>
      <c r="J310" s="4">
        <f t="shared" si="156"/>
        <v>0.79410806101929221</v>
      </c>
      <c r="K310" s="4">
        <f t="shared" si="157"/>
        <v>4.5481409768669483</v>
      </c>
      <c r="L310" s="4">
        <f t="shared" si="158"/>
        <v>2.1326370945069271</v>
      </c>
      <c r="M310" s="4">
        <f t="shared" si="159"/>
        <v>0.93780606421572477</v>
      </c>
      <c r="N310" s="4">
        <f t="shared" si="160"/>
        <v>0.26384406422393641</v>
      </c>
      <c r="O310" s="3">
        <f t="shared" si="161"/>
        <v>-0.79873299999999858</v>
      </c>
      <c r="P310" s="3">
        <f t="shared" si="162"/>
        <v>0.89532899999997539</v>
      </c>
      <c r="Q310">
        <f t="shared" si="163"/>
        <v>1</v>
      </c>
      <c r="R310" s="3">
        <f t="shared" si="164"/>
        <v>-0.79873299999999858</v>
      </c>
      <c r="S310" s="3">
        <f t="shared" si="165"/>
        <v>0.89532899999997539</v>
      </c>
      <c r="T310">
        <f t="shared" si="166"/>
        <v>1</v>
      </c>
      <c r="U310" s="3">
        <f t="shared" si="167"/>
        <v>-0.79873299999999858</v>
      </c>
      <c r="V310" s="3">
        <f t="shared" si="168"/>
        <v>0.89532899999997539</v>
      </c>
      <c r="W310">
        <f t="shared" si="169"/>
        <v>1</v>
      </c>
      <c r="X310" s="3">
        <f t="shared" si="170"/>
        <v>-0.79873299999999858</v>
      </c>
      <c r="Y310" s="3">
        <f t="shared" si="171"/>
        <v>0.89532899999997539</v>
      </c>
      <c r="Z310">
        <f t="shared" si="172"/>
        <v>1</v>
      </c>
      <c r="AA310" s="3">
        <f t="shared" si="173"/>
        <v>-0.79873299999999858</v>
      </c>
      <c r="AB310" s="3">
        <f t="shared" si="174"/>
        <v>0.89532899999997539</v>
      </c>
      <c r="AC310">
        <f t="shared" si="175"/>
        <v>1</v>
      </c>
      <c r="AD310" s="3">
        <f t="shared" si="176"/>
        <v>0</v>
      </c>
      <c r="AE310" s="3">
        <f t="shared" si="177"/>
        <v>0</v>
      </c>
      <c r="AF310">
        <f t="shared" si="178"/>
        <v>0</v>
      </c>
      <c r="AG310" s="3">
        <f t="shared" si="179"/>
        <v>0</v>
      </c>
      <c r="AH310" s="3">
        <f t="shared" si="180"/>
        <v>0</v>
      </c>
      <c r="AI310">
        <f t="shared" si="181"/>
        <v>0</v>
      </c>
      <c r="AJ310" s="3">
        <f t="shared" si="182"/>
        <v>0</v>
      </c>
      <c r="AK310" s="3">
        <f t="shared" si="183"/>
        <v>0</v>
      </c>
      <c r="AL310">
        <f t="shared" si="184"/>
        <v>0</v>
      </c>
      <c r="AM310" s="3">
        <f t="shared" si="185"/>
        <v>0</v>
      </c>
      <c r="AN310" s="3">
        <f t="shared" si="186"/>
        <v>0</v>
      </c>
      <c r="AO310">
        <f t="shared" si="187"/>
        <v>0</v>
      </c>
      <c r="AP310" s="3">
        <f t="shared" si="188"/>
        <v>0</v>
      </c>
      <c r="AQ310" s="3">
        <f t="shared" si="189"/>
        <v>0</v>
      </c>
      <c r="AR310">
        <f t="shared" si="190"/>
        <v>0</v>
      </c>
    </row>
    <row r="311" spans="4:44" x14ac:dyDescent="0.25">
      <c r="D311" s="1">
        <v>42292</v>
      </c>
      <c r="E311" s="2">
        <v>108.958972</v>
      </c>
      <c r="F311" s="2">
        <v>196.92408800000001</v>
      </c>
      <c r="G311" s="2">
        <f t="shared" si="153"/>
        <v>1.6072089999999974</v>
      </c>
      <c r="H311" s="2">
        <f t="shared" si="154"/>
        <v>2.9779600000000244</v>
      </c>
      <c r="I311" s="4">
        <f t="shared" si="155"/>
        <v>1.5448297303645044</v>
      </c>
      <c r="J311" s="4">
        <f t="shared" si="156"/>
        <v>2.8767390610193413</v>
      </c>
      <c r="K311" s="4">
        <f t="shared" si="157"/>
        <v>9.2346722177601972</v>
      </c>
      <c r="L311" s="4">
        <f t="shared" si="158"/>
        <v>3.0388603485122836</v>
      </c>
      <c r="M311" s="4">
        <f t="shared" si="159"/>
        <v>0.65814146444048605</v>
      </c>
      <c r="N311" s="4">
        <f t="shared" si="160"/>
        <v>0.12994505616476026</v>
      </c>
      <c r="O311" s="3">
        <f t="shared" si="161"/>
        <v>1.6072089999999974</v>
      </c>
      <c r="P311" s="3">
        <f t="shared" si="162"/>
        <v>2.9779600000000244</v>
      </c>
      <c r="Q311">
        <f t="shared" si="163"/>
        <v>1</v>
      </c>
      <c r="R311" s="3">
        <f t="shared" si="164"/>
        <v>1.6072089999999974</v>
      </c>
      <c r="S311" s="3">
        <f t="shared" si="165"/>
        <v>2.9779600000000244</v>
      </c>
      <c r="T311">
        <f t="shared" si="166"/>
        <v>1</v>
      </c>
      <c r="U311" s="3">
        <f t="shared" si="167"/>
        <v>1.6072089999999974</v>
      </c>
      <c r="V311" s="3">
        <f t="shared" si="168"/>
        <v>2.9779600000000244</v>
      </c>
      <c r="W311">
        <f t="shared" si="169"/>
        <v>1</v>
      </c>
      <c r="X311" s="3">
        <f t="shared" si="170"/>
        <v>1.6072089999999974</v>
      </c>
      <c r="Y311" s="3">
        <f t="shared" si="171"/>
        <v>2.9779600000000244</v>
      </c>
      <c r="Z311">
        <f t="shared" si="172"/>
        <v>1</v>
      </c>
      <c r="AA311" s="3">
        <f t="shared" si="173"/>
        <v>1.6072089999999974</v>
      </c>
      <c r="AB311" s="3">
        <f t="shared" si="174"/>
        <v>2.9779600000000244</v>
      </c>
      <c r="AC311">
        <f t="shared" si="175"/>
        <v>1</v>
      </c>
      <c r="AD311" s="3">
        <f t="shared" si="176"/>
        <v>1.6072089999999974</v>
      </c>
      <c r="AE311" s="3">
        <f t="shared" si="177"/>
        <v>2.9779600000000244</v>
      </c>
      <c r="AF311">
        <f t="shared" si="178"/>
        <v>1</v>
      </c>
      <c r="AG311" s="3">
        <f t="shared" si="179"/>
        <v>1.6072089999999974</v>
      </c>
      <c r="AH311" s="3">
        <f t="shared" si="180"/>
        <v>2.9779600000000244</v>
      </c>
      <c r="AI311">
        <f t="shared" si="181"/>
        <v>1</v>
      </c>
      <c r="AJ311" s="3">
        <f t="shared" si="182"/>
        <v>1.6072089999999974</v>
      </c>
      <c r="AK311" s="3">
        <f t="shared" si="183"/>
        <v>2.9779600000000244</v>
      </c>
      <c r="AL311">
        <f t="shared" si="184"/>
        <v>1</v>
      </c>
      <c r="AM311" s="3">
        <f t="shared" si="185"/>
        <v>1.6072089999999974</v>
      </c>
      <c r="AN311" s="3">
        <f t="shared" si="186"/>
        <v>2.9779600000000244</v>
      </c>
      <c r="AO311">
        <f t="shared" si="187"/>
        <v>1</v>
      </c>
      <c r="AP311" s="3">
        <f t="shared" si="188"/>
        <v>1.6072089999999974</v>
      </c>
      <c r="AQ311" s="3">
        <f t="shared" si="189"/>
        <v>2.9779600000000244</v>
      </c>
      <c r="AR311">
        <f t="shared" si="190"/>
        <v>1</v>
      </c>
    </row>
    <row r="312" spans="4:44" x14ac:dyDescent="0.25">
      <c r="D312" s="1">
        <v>42291</v>
      </c>
      <c r="E312" s="2">
        <v>107.35176300000001</v>
      </c>
      <c r="F312" s="2">
        <v>193.94612799999999</v>
      </c>
      <c r="G312" s="2">
        <f t="shared" si="153"/>
        <v>-1.5390249999999952</v>
      </c>
      <c r="H312" s="2">
        <f t="shared" si="154"/>
        <v>-0.93426400000001308</v>
      </c>
      <c r="I312" s="4">
        <f t="shared" si="155"/>
        <v>-1.6014042696354882</v>
      </c>
      <c r="J312" s="4">
        <f t="shared" si="156"/>
        <v>-1.0354849389806964</v>
      </c>
      <c r="K312" s="4">
        <f t="shared" si="157"/>
        <v>3.1852348172707292</v>
      </c>
      <c r="L312" s="4">
        <f t="shared" si="158"/>
        <v>1.7847226163386649</v>
      </c>
      <c r="M312" s="4">
        <f t="shared" si="159"/>
        <v>1</v>
      </c>
      <c r="N312" s="4">
        <f t="shared" si="160"/>
        <v>0.37673831564739108</v>
      </c>
      <c r="O312" s="3">
        <f t="shared" si="161"/>
        <v>-1.5390249999999952</v>
      </c>
      <c r="P312" s="3">
        <f t="shared" si="162"/>
        <v>-0.93426400000001308</v>
      </c>
      <c r="Q312">
        <f t="shared" si="163"/>
        <v>1</v>
      </c>
      <c r="R312" s="3">
        <f t="shared" si="164"/>
        <v>-1.5390249999999952</v>
      </c>
      <c r="S312" s="3">
        <f t="shared" si="165"/>
        <v>-0.93426400000001308</v>
      </c>
      <c r="T312">
        <f t="shared" si="166"/>
        <v>1</v>
      </c>
      <c r="U312" s="3">
        <f t="shared" si="167"/>
        <v>-1.5390249999999952</v>
      </c>
      <c r="V312" s="3">
        <f t="shared" si="168"/>
        <v>-0.93426400000001308</v>
      </c>
      <c r="W312">
        <f t="shared" si="169"/>
        <v>1</v>
      </c>
      <c r="X312" s="3">
        <f t="shared" si="170"/>
        <v>-1.5390249999999952</v>
      </c>
      <c r="Y312" s="3">
        <f t="shared" si="171"/>
        <v>-0.93426400000001308</v>
      </c>
      <c r="Z312">
        <f t="shared" si="172"/>
        <v>1</v>
      </c>
      <c r="AA312" s="3">
        <f t="shared" si="173"/>
        <v>0</v>
      </c>
      <c r="AB312" s="3">
        <f t="shared" si="174"/>
        <v>0</v>
      </c>
      <c r="AC312">
        <f t="shared" si="175"/>
        <v>0</v>
      </c>
      <c r="AD312" s="3">
        <f t="shared" si="176"/>
        <v>0</v>
      </c>
      <c r="AE312" s="3">
        <f t="shared" si="177"/>
        <v>0</v>
      </c>
      <c r="AF312">
        <f t="shared" si="178"/>
        <v>0</v>
      </c>
      <c r="AG312" s="3">
        <f t="shared" si="179"/>
        <v>0</v>
      </c>
      <c r="AH312" s="3">
        <f t="shared" si="180"/>
        <v>0</v>
      </c>
      <c r="AI312">
        <f t="shared" si="181"/>
        <v>0</v>
      </c>
      <c r="AJ312" s="3">
        <f t="shared" si="182"/>
        <v>0</v>
      </c>
      <c r="AK312" s="3">
        <f t="shared" si="183"/>
        <v>0</v>
      </c>
      <c r="AL312">
        <f t="shared" si="184"/>
        <v>0</v>
      </c>
      <c r="AM312" s="3">
        <f t="shared" si="185"/>
        <v>0</v>
      </c>
      <c r="AN312" s="3">
        <f t="shared" si="186"/>
        <v>0</v>
      </c>
      <c r="AO312">
        <f t="shared" si="187"/>
        <v>0</v>
      </c>
      <c r="AP312" s="3">
        <f t="shared" si="188"/>
        <v>0</v>
      </c>
      <c r="AQ312" s="3">
        <f t="shared" si="189"/>
        <v>0</v>
      </c>
      <c r="AR312">
        <f t="shared" si="190"/>
        <v>0</v>
      </c>
    </row>
    <row r="313" spans="4:44" x14ac:dyDescent="0.25">
      <c r="D313" s="1">
        <v>42290</v>
      </c>
      <c r="E313" s="2">
        <v>108.890788</v>
      </c>
      <c r="F313" s="2">
        <v>194.880392</v>
      </c>
      <c r="G313" s="2">
        <f t="shared" si="153"/>
        <v>0.18507499999999766</v>
      </c>
      <c r="H313" s="2">
        <f t="shared" si="154"/>
        <v>-1.2359500000000025</v>
      </c>
      <c r="I313" s="4">
        <f t="shared" si="155"/>
        <v>0.12269573036450465</v>
      </c>
      <c r="J313" s="4">
        <f t="shared" si="156"/>
        <v>-1.3371709389806858</v>
      </c>
      <c r="K313" s="4">
        <f t="shared" si="157"/>
        <v>3.8482172267480621</v>
      </c>
      <c r="L313" s="4">
        <f t="shared" si="158"/>
        <v>1.9616873417413037</v>
      </c>
      <c r="M313" s="4">
        <f t="shared" si="159"/>
        <v>1</v>
      </c>
      <c r="N313" s="4">
        <f t="shared" si="160"/>
        <v>0.31183270831466564</v>
      </c>
      <c r="O313" s="3">
        <f t="shared" si="161"/>
        <v>0.18507499999999766</v>
      </c>
      <c r="P313" s="3">
        <f t="shared" si="162"/>
        <v>-1.2359500000000025</v>
      </c>
      <c r="Q313">
        <f t="shared" si="163"/>
        <v>1</v>
      </c>
      <c r="R313" s="3">
        <f t="shared" si="164"/>
        <v>0.18507499999999766</v>
      </c>
      <c r="S313" s="3">
        <f t="shared" si="165"/>
        <v>-1.2359500000000025</v>
      </c>
      <c r="T313">
        <f t="shared" si="166"/>
        <v>1</v>
      </c>
      <c r="U313" s="3">
        <f t="shared" si="167"/>
        <v>0.18507499999999766</v>
      </c>
      <c r="V313" s="3">
        <f t="shared" si="168"/>
        <v>-1.2359500000000025</v>
      </c>
      <c r="W313">
        <f t="shared" si="169"/>
        <v>1</v>
      </c>
      <c r="X313" s="3">
        <f t="shared" si="170"/>
        <v>0.18507499999999766</v>
      </c>
      <c r="Y313" s="3">
        <f t="shared" si="171"/>
        <v>-1.2359500000000025</v>
      </c>
      <c r="Z313">
        <f t="shared" si="172"/>
        <v>1</v>
      </c>
      <c r="AA313" s="3">
        <f t="shared" si="173"/>
        <v>0</v>
      </c>
      <c r="AB313" s="3">
        <f t="shared" si="174"/>
        <v>0</v>
      </c>
      <c r="AC313">
        <f t="shared" si="175"/>
        <v>0</v>
      </c>
      <c r="AD313" s="3">
        <f t="shared" si="176"/>
        <v>0</v>
      </c>
      <c r="AE313" s="3">
        <f t="shared" si="177"/>
        <v>0</v>
      </c>
      <c r="AF313">
        <f t="shared" si="178"/>
        <v>0</v>
      </c>
      <c r="AG313" s="3">
        <f t="shared" si="179"/>
        <v>0</v>
      </c>
      <c r="AH313" s="3">
        <f t="shared" si="180"/>
        <v>0</v>
      </c>
      <c r="AI313">
        <f t="shared" si="181"/>
        <v>0</v>
      </c>
      <c r="AJ313" s="3">
        <f t="shared" si="182"/>
        <v>0</v>
      </c>
      <c r="AK313" s="3">
        <f t="shared" si="183"/>
        <v>0</v>
      </c>
      <c r="AL313">
        <f t="shared" si="184"/>
        <v>0</v>
      </c>
      <c r="AM313" s="3">
        <f t="shared" si="185"/>
        <v>0</v>
      </c>
      <c r="AN313" s="3">
        <f t="shared" si="186"/>
        <v>0</v>
      </c>
      <c r="AO313">
        <f t="shared" si="187"/>
        <v>0</v>
      </c>
      <c r="AP313" s="3">
        <f t="shared" si="188"/>
        <v>0</v>
      </c>
      <c r="AQ313" s="3">
        <f t="shared" si="189"/>
        <v>0</v>
      </c>
      <c r="AR313">
        <f t="shared" si="190"/>
        <v>0</v>
      </c>
    </row>
    <row r="314" spans="4:44" x14ac:dyDescent="0.25">
      <c r="D314" s="1">
        <v>42289</v>
      </c>
      <c r="E314" s="2">
        <v>108.705713</v>
      </c>
      <c r="F314" s="2">
        <v>196.116342</v>
      </c>
      <c r="G314" s="2">
        <f t="shared" si="153"/>
        <v>-0.5065179999999998</v>
      </c>
      <c r="H314" s="2">
        <f t="shared" si="154"/>
        <v>0.18490800000000718</v>
      </c>
      <c r="I314" s="4">
        <f t="shared" si="155"/>
        <v>-0.56889726963549281</v>
      </c>
      <c r="J314" s="4">
        <f t="shared" si="156"/>
        <v>8.3687061019323966E-2</v>
      </c>
      <c r="K314" s="4">
        <f t="shared" si="157"/>
        <v>0.82540867371369864</v>
      </c>
      <c r="L314" s="4">
        <f t="shared" si="158"/>
        <v>0.90852004585132773</v>
      </c>
      <c r="M314" s="4">
        <f t="shared" si="159"/>
        <v>1</v>
      </c>
      <c r="N314" s="4">
        <f t="shared" si="160"/>
        <v>1</v>
      </c>
      <c r="O314" s="3">
        <f t="shared" si="161"/>
        <v>-0.5065179999999998</v>
      </c>
      <c r="P314" s="3">
        <f t="shared" si="162"/>
        <v>0.18490800000000718</v>
      </c>
      <c r="Q314">
        <f t="shared" si="163"/>
        <v>1</v>
      </c>
      <c r="R314" s="3">
        <f t="shared" si="164"/>
        <v>0</v>
      </c>
      <c r="S314" s="3">
        <f t="shared" si="165"/>
        <v>0</v>
      </c>
      <c r="T314">
        <f t="shared" si="166"/>
        <v>0</v>
      </c>
      <c r="U314" s="3">
        <f t="shared" si="167"/>
        <v>0</v>
      </c>
      <c r="V314" s="3">
        <f t="shared" si="168"/>
        <v>0</v>
      </c>
      <c r="W314">
        <f t="shared" si="169"/>
        <v>0</v>
      </c>
      <c r="X314" s="3">
        <f t="shared" si="170"/>
        <v>0</v>
      </c>
      <c r="Y314" s="3">
        <f t="shared" si="171"/>
        <v>0</v>
      </c>
      <c r="Z314">
        <f t="shared" si="172"/>
        <v>0</v>
      </c>
      <c r="AA314" s="3">
        <f t="shared" si="173"/>
        <v>0</v>
      </c>
      <c r="AB314" s="3">
        <f t="shared" si="174"/>
        <v>0</v>
      </c>
      <c r="AC314">
        <f t="shared" si="175"/>
        <v>0</v>
      </c>
      <c r="AD314" s="3">
        <f t="shared" si="176"/>
        <v>0</v>
      </c>
      <c r="AE314" s="3">
        <f t="shared" si="177"/>
        <v>0</v>
      </c>
      <c r="AF314">
        <f t="shared" si="178"/>
        <v>0</v>
      </c>
      <c r="AG314" s="3">
        <f t="shared" si="179"/>
        <v>0</v>
      </c>
      <c r="AH314" s="3">
        <f t="shared" si="180"/>
        <v>0</v>
      </c>
      <c r="AI314">
        <f t="shared" si="181"/>
        <v>0</v>
      </c>
      <c r="AJ314" s="3">
        <f t="shared" si="182"/>
        <v>0</v>
      </c>
      <c r="AK314" s="3">
        <f t="shared" si="183"/>
        <v>0</v>
      </c>
      <c r="AL314">
        <f t="shared" si="184"/>
        <v>0</v>
      </c>
      <c r="AM314" s="3">
        <f t="shared" si="185"/>
        <v>0</v>
      </c>
      <c r="AN314" s="3">
        <f t="shared" si="186"/>
        <v>0</v>
      </c>
      <c r="AO314">
        <f t="shared" si="187"/>
        <v>0</v>
      </c>
      <c r="AP314" s="3">
        <f t="shared" si="188"/>
        <v>0</v>
      </c>
      <c r="AQ314" s="3">
        <f t="shared" si="189"/>
        <v>0</v>
      </c>
      <c r="AR314">
        <f t="shared" si="190"/>
        <v>0</v>
      </c>
    </row>
    <row r="315" spans="4:44" x14ac:dyDescent="0.25">
      <c r="D315" s="1">
        <v>42286</v>
      </c>
      <c r="E315" s="2">
        <v>109.212231</v>
      </c>
      <c r="F315" s="2">
        <v>195.931434</v>
      </c>
      <c r="G315" s="2">
        <f t="shared" si="153"/>
        <v>2.5520539999999983</v>
      </c>
      <c r="H315" s="2">
        <f t="shared" si="154"/>
        <v>0.11677699999998481</v>
      </c>
      <c r="I315" s="4">
        <f t="shared" si="155"/>
        <v>2.4896747303645053</v>
      </c>
      <c r="J315" s="4">
        <f t="shared" si="156"/>
        <v>1.5556061019301598E-2</v>
      </c>
      <c r="K315" s="4">
        <f t="shared" si="157"/>
        <v>13.087344419303548</v>
      </c>
      <c r="L315" s="4">
        <f t="shared" si="158"/>
        <v>3.6176434898015515</v>
      </c>
      <c r="M315" s="4">
        <f t="shared" si="159"/>
        <v>0.55284607387051055</v>
      </c>
      <c r="N315" s="4">
        <f t="shared" si="160"/>
        <v>9.169163441821139E-2</v>
      </c>
      <c r="O315" s="3">
        <f t="shared" si="161"/>
        <v>2.5520539999999983</v>
      </c>
      <c r="P315" s="3">
        <f t="shared" si="162"/>
        <v>0.11677699999998481</v>
      </c>
      <c r="Q315">
        <f t="shared" si="163"/>
        <v>1</v>
      </c>
      <c r="R315" s="3">
        <f t="shared" si="164"/>
        <v>2.5520539999999983</v>
      </c>
      <c r="S315" s="3">
        <f t="shared" si="165"/>
        <v>0.11677699999998481</v>
      </c>
      <c r="T315">
        <f t="shared" si="166"/>
        <v>1</v>
      </c>
      <c r="U315" s="3">
        <f t="shared" si="167"/>
        <v>2.5520539999999983</v>
      </c>
      <c r="V315" s="3">
        <f t="shared" si="168"/>
        <v>0.11677699999998481</v>
      </c>
      <c r="W315">
        <f t="shared" si="169"/>
        <v>1</v>
      </c>
      <c r="X315" s="3">
        <f t="shared" si="170"/>
        <v>2.5520539999999983</v>
      </c>
      <c r="Y315" s="3">
        <f t="shared" si="171"/>
        <v>0.11677699999998481</v>
      </c>
      <c r="Z315">
        <f t="shared" si="172"/>
        <v>1</v>
      </c>
      <c r="AA315" s="3">
        <f t="shared" si="173"/>
        <v>2.5520539999999983</v>
      </c>
      <c r="AB315" s="3">
        <f t="shared" si="174"/>
        <v>0.11677699999998481</v>
      </c>
      <c r="AC315">
        <f t="shared" si="175"/>
        <v>1</v>
      </c>
      <c r="AD315" s="3">
        <f t="shared" si="176"/>
        <v>2.5520539999999983</v>
      </c>
      <c r="AE315" s="3">
        <f t="shared" si="177"/>
        <v>0.11677699999998481</v>
      </c>
      <c r="AF315">
        <f t="shared" si="178"/>
        <v>1</v>
      </c>
      <c r="AG315" s="3">
        <f t="shared" si="179"/>
        <v>2.5520539999999983</v>
      </c>
      <c r="AH315" s="3">
        <f t="shared" si="180"/>
        <v>0.11677699999998481</v>
      </c>
      <c r="AI315">
        <f t="shared" si="181"/>
        <v>1</v>
      </c>
      <c r="AJ315" s="3">
        <f t="shared" si="182"/>
        <v>2.5520539999999983</v>
      </c>
      <c r="AK315" s="3">
        <f t="shared" si="183"/>
        <v>0.11677699999998481</v>
      </c>
      <c r="AL315">
        <f t="shared" si="184"/>
        <v>1</v>
      </c>
      <c r="AM315" s="3">
        <f t="shared" si="185"/>
        <v>2.5520539999999983</v>
      </c>
      <c r="AN315" s="3">
        <f t="shared" si="186"/>
        <v>0.11677699999998481</v>
      </c>
      <c r="AO315">
        <f t="shared" si="187"/>
        <v>1</v>
      </c>
      <c r="AP315" s="3">
        <f t="shared" si="188"/>
        <v>2.5520539999999983</v>
      </c>
      <c r="AQ315" s="3">
        <f t="shared" si="189"/>
        <v>0.11677699999998481</v>
      </c>
      <c r="AR315">
        <f t="shared" si="190"/>
        <v>1</v>
      </c>
    </row>
    <row r="316" spans="4:44" x14ac:dyDescent="0.25">
      <c r="D316" s="1">
        <v>42285</v>
      </c>
      <c r="E316" s="2">
        <v>106.660177</v>
      </c>
      <c r="F316" s="2">
        <v>195.81465700000001</v>
      </c>
      <c r="G316" s="2">
        <f t="shared" si="153"/>
        <v>-1.2468029999999999</v>
      </c>
      <c r="H316" s="2">
        <f t="shared" si="154"/>
        <v>1.7517370000000199</v>
      </c>
      <c r="I316" s="4">
        <f t="shared" si="155"/>
        <v>-1.3091822696354929</v>
      </c>
      <c r="J316" s="4">
        <f t="shared" si="156"/>
        <v>1.6505160610193366</v>
      </c>
      <c r="K316" s="4">
        <f t="shared" si="157"/>
        <v>14.420345843100662</v>
      </c>
      <c r="L316" s="4">
        <f t="shared" si="158"/>
        <v>3.7974130461540079</v>
      </c>
      <c r="M316" s="4">
        <f t="shared" si="159"/>
        <v>0.52667433742178382</v>
      </c>
      <c r="N316" s="4">
        <f t="shared" si="160"/>
        <v>8.3215757309602498E-2</v>
      </c>
      <c r="O316" s="3">
        <f t="shared" si="161"/>
        <v>-1.2468029999999999</v>
      </c>
      <c r="P316" s="3">
        <f t="shared" si="162"/>
        <v>1.7517370000000199</v>
      </c>
      <c r="Q316">
        <f t="shared" si="163"/>
        <v>1</v>
      </c>
      <c r="R316" s="3">
        <f t="shared" si="164"/>
        <v>-1.2468029999999999</v>
      </c>
      <c r="S316" s="3">
        <f t="shared" si="165"/>
        <v>1.7517370000000199</v>
      </c>
      <c r="T316">
        <f t="shared" si="166"/>
        <v>1</v>
      </c>
      <c r="U316" s="3">
        <f t="shared" si="167"/>
        <v>-1.2468029999999999</v>
      </c>
      <c r="V316" s="3">
        <f t="shared" si="168"/>
        <v>1.7517370000000199</v>
      </c>
      <c r="W316">
        <f t="shared" si="169"/>
        <v>1</v>
      </c>
      <c r="X316" s="3">
        <f t="shared" si="170"/>
        <v>-1.2468029999999999</v>
      </c>
      <c r="Y316" s="3">
        <f t="shared" si="171"/>
        <v>1.7517370000000199</v>
      </c>
      <c r="Z316">
        <f t="shared" si="172"/>
        <v>1</v>
      </c>
      <c r="AA316" s="3">
        <f t="shared" si="173"/>
        <v>-1.2468029999999999</v>
      </c>
      <c r="AB316" s="3">
        <f t="shared" si="174"/>
        <v>1.7517370000000199</v>
      </c>
      <c r="AC316">
        <f t="shared" si="175"/>
        <v>1</v>
      </c>
      <c r="AD316" s="3">
        <f t="shared" si="176"/>
        <v>-1.2468029999999999</v>
      </c>
      <c r="AE316" s="3">
        <f t="shared" si="177"/>
        <v>1.7517370000000199</v>
      </c>
      <c r="AF316">
        <f t="shared" si="178"/>
        <v>1</v>
      </c>
      <c r="AG316" s="3">
        <f t="shared" si="179"/>
        <v>-1.2468029999999999</v>
      </c>
      <c r="AH316" s="3">
        <f t="shared" si="180"/>
        <v>1.7517370000000199</v>
      </c>
      <c r="AI316">
        <f t="shared" si="181"/>
        <v>1</v>
      </c>
      <c r="AJ316" s="3">
        <f t="shared" si="182"/>
        <v>-1.2468029999999999</v>
      </c>
      <c r="AK316" s="3">
        <f t="shared" si="183"/>
        <v>1.7517370000000199</v>
      </c>
      <c r="AL316">
        <f t="shared" si="184"/>
        <v>1</v>
      </c>
      <c r="AM316" s="3">
        <f t="shared" si="185"/>
        <v>-1.2468029999999999</v>
      </c>
      <c r="AN316" s="3">
        <f t="shared" si="186"/>
        <v>1.7517370000000199</v>
      </c>
      <c r="AO316">
        <f t="shared" si="187"/>
        <v>1</v>
      </c>
      <c r="AP316" s="3">
        <f t="shared" si="188"/>
        <v>-1.2468029999999999</v>
      </c>
      <c r="AQ316" s="3">
        <f t="shared" si="189"/>
        <v>1.7517370000000199</v>
      </c>
      <c r="AR316">
        <f t="shared" si="190"/>
        <v>1</v>
      </c>
    </row>
    <row r="317" spans="4:44" x14ac:dyDescent="0.25">
      <c r="D317" s="1">
        <v>42284</v>
      </c>
      <c r="E317" s="2">
        <v>107.90698</v>
      </c>
      <c r="F317" s="2">
        <v>194.06291999999999</v>
      </c>
      <c r="G317" s="2">
        <f t="shared" ref="G317:G380" si="191">E317-E318</f>
        <v>-0.51625299999999186</v>
      </c>
      <c r="H317" s="2">
        <f t="shared" ref="H317:H380" si="192">F317-F318</f>
        <v>1.5765710000000013</v>
      </c>
      <c r="I317" s="4">
        <f t="shared" si="155"/>
        <v>-0.57863226963548486</v>
      </c>
      <c r="J317" s="4">
        <f t="shared" si="156"/>
        <v>1.475350061019318</v>
      </c>
      <c r="K317" s="4">
        <f t="shared" si="157"/>
        <v>7.0553099786635123</v>
      </c>
      <c r="L317" s="4">
        <f t="shared" si="158"/>
        <v>2.6561833480886654</v>
      </c>
      <c r="M317" s="4">
        <f t="shared" si="159"/>
        <v>0.75296007010930122</v>
      </c>
      <c r="N317" s="4">
        <f t="shared" si="160"/>
        <v>0.17008466015370113</v>
      </c>
      <c r="O317" s="3">
        <f t="shared" si="161"/>
        <v>-0.51625299999999186</v>
      </c>
      <c r="P317" s="3">
        <f t="shared" si="162"/>
        <v>1.5765710000000013</v>
      </c>
      <c r="Q317">
        <f t="shared" si="163"/>
        <v>1</v>
      </c>
      <c r="R317" s="3">
        <f t="shared" si="164"/>
        <v>-0.51625299999999186</v>
      </c>
      <c r="S317" s="3">
        <f t="shared" si="165"/>
        <v>1.5765710000000013</v>
      </c>
      <c r="T317">
        <f t="shared" si="166"/>
        <v>1</v>
      </c>
      <c r="U317" s="3">
        <f t="shared" si="167"/>
        <v>-0.51625299999999186</v>
      </c>
      <c r="V317" s="3">
        <f t="shared" si="168"/>
        <v>1.5765710000000013</v>
      </c>
      <c r="W317">
        <f t="shared" si="169"/>
        <v>1</v>
      </c>
      <c r="X317" s="3">
        <f t="shared" si="170"/>
        <v>-0.51625299999999186</v>
      </c>
      <c r="Y317" s="3">
        <f t="shared" si="171"/>
        <v>1.5765710000000013</v>
      </c>
      <c r="Z317">
        <f t="shared" si="172"/>
        <v>1</v>
      </c>
      <c r="AA317" s="3">
        <f t="shared" si="173"/>
        <v>-0.51625299999999186</v>
      </c>
      <c r="AB317" s="3">
        <f t="shared" si="174"/>
        <v>1.5765710000000013</v>
      </c>
      <c r="AC317">
        <f t="shared" si="175"/>
        <v>1</v>
      </c>
      <c r="AD317" s="3">
        <f t="shared" si="176"/>
        <v>-0.51625299999999186</v>
      </c>
      <c r="AE317" s="3">
        <f t="shared" si="177"/>
        <v>1.5765710000000013</v>
      </c>
      <c r="AF317">
        <f t="shared" si="178"/>
        <v>1</v>
      </c>
      <c r="AG317" s="3">
        <f t="shared" si="179"/>
        <v>-0.51625299999999186</v>
      </c>
      <c r="AH317" s="3">
        <f t="shared" si="180"/>
        <v>1.5765710000000013</v>
      </c>
      <c r="AI317">
        <f t="shared" si="181"/>
        <v>1</v>
      </c>
      <c r="AJ317" s="3">
        <f t="shared" si="182"/>
        <v>-0.51625299999999186</v>
      </c>
      <c r="AK317" s="3">
        <f t="shared" si="183"/>
        <v>1.5765710000000013</v>
      </c>
      <c r="AL317">
        <f t="shared" si="184"/>
        <v>1</v>
      </c>
      <c r="AM317" s="3">
        <f t="shared" si="185"/>
        <v>0</v>
      </c>
      <c r="AN317" s="3">
        <f t="shared" si="186"/>
        <v>0</v>
      </c>
      <c r="AO317">
        <f t="shared" si="187"/>
        <v>0</v>
      </c>
      <c r="AP317" s="3">
        <f t="shared" si="188"/>
        <v>0</v>
      </c>
      <c r="AQ317" s="3">
        <f t="shared" si="189"/>
        <v>0</v>
      </c>
      <c r="AR317">
        <f t="shared" si="190"/>
        <v>0</v>
      </c>
    </row>
    <row r="318" spans="4:44" x14ac:dyDescent="0.25">
      <c r="D318" s="1">
        <v>42283</v>
      </c>
      <c r="E318" s="2">
        <v>108.423233</v>
      </c>
      <c r="F318" s="2">
        <v>192.48634899999999</v>
      </c>
      <c r="G318" s="2">
        <f t="shared" si="191"/>
        <v>0.51625299999999186</v>
      </c>
      <c r="H318" s="2">
        <f t="shared" si="192"/>
        <v>-0.6617740000000083</v>
      </c>
      <c r="I318" s="4">
        <f t="shared" si="155"/>
        <v>0.45387373036449885</v>
      </c>
      <c r="J318" s="4">
        <f t="shared" si="156"/>
        <v>-0.76299493898069148</v>
      </c>
      <c r="K318" s="4">
        <f t="shared" si="157"/>
        <v>2.4409578231392262</v>
      </c>
      <c r="L318" s="4">
        <f t="shared" si="158"/>
        <v>1.5623564968147399</v>
      </c>
      <c r="M318" s="4">
        <f t="shared" si="159"/>
        <v>1</v>
      </c>
      <c r="N318" s="4">
        <f t="shared" si="160"/>
        <v>0.49161029683697033</v>
      </c>
      <c r="O318" s="3">
        <f t="shared" si="161"/>
        <v>0.51625299999999186</v>
      </c>
      <c r="P318" s="3">
        <f t="shared" si="162"/>
        <v>-0.6617740000000083</v>
      </c>
      <c r="Q318">
        <f t="shared" si="163"/>
        <v>1</v>
      </c>
      <c r="R318" s="3">
        <f t="shared" si="164"/>
        <v>0.51625299999999186</v>
      </c>
      <c r="S318" s="3">
        <f t="shared" si="165"/>
        <v>-0.6617740000000083</v>
      </c>
      <c r="T318">
        <f t="shared" si="166"/>
        <v>1</v>
      </c>
      <c r="U318" s="3">
        <f t="shared" si="167"/>
        <v>0.51625299999999186</v>
      </c>
      <c r="V318" s="3">
        <f t="shared" si="168"/>
        <v>-0.6617740000000083</v>
      </c>
      <c r="W318">
        <f t="shared" si="169"/>
        <v>1</v>
      </c>
      <c r="X318" s="3">
        <f t="shared" si="170"/>
        <v>0</v>
      </c>
      <c r="Y318" s="3">
        <f t="shared" si="171"/>
        <v>0</v>
      </c>
      <c r="Z318">
        <f t="shared" si="172"/>
        <v>0</v>
      </c>
      <c r="AA318" s="3">
        <f t="shared" si="173"/>
        <v>0</v>
      </c>
      <c r="AB318" s="3">
        <f t="shared" si="174"/>
        <v>0</v>
      </c>
      <c r="AC318">
        <f t="shared" si="175"/>
        <v>0</v>
      </c>
      <c r="AD318" s="3">
        <f t="shared" si="176"/>
        <v>0</v>
      </c>
      <c r="AE318" s="3">
        <f t="shared" si="177"/>
        <v>0</v>
      </c>
      <c r="AF318">
        <f t="shared" si="178"/>
        <v>0</v>
      </c>
      <c r="AG318" s="3">
        <f t="shared" si="179"/>
        <v>0</v>
      </c>
      <c r="AH318" s="3">
        <f t="shared" si="180"/>
        <v>0</v>
      </c>
      <c r="AI318">
        <f t="shared" si="181"/>
        <v>0</v>
      </c>
      <c r="AJ318" s="3">
        <f t="shared" si="182"/>
        <v>0</v>
      </c>
      <c r="AK318" s="3">
        <f t="shared" si="183"/>
        <v>0</v>
      </c>
      <c r="AL318">
        <f t="shared" si="184"/>
        <v>0</v>
      </c>
      <c r="AM318" s="3">
        <f t="shared" si="185"/>
        <v>0</v>
      </c>
      <c r="AN318" s="3">
        <f t="shared" si="186"/>
        <v>0</v>
      </c>
      <c r="AO318">
        <f t="shared" si="187"/>
        <v>0</v>
      </c>
      <c r="AP318" s="3">
        <f t="shared" si="188"/>
        <v>0</v>
      </c>
      <c r="AQ318" s="3">
        <f t="shared" si="189"/>
        <v>0</v>
      </c>
      <c r="AR318">
        <f t="shared" si="190"/>
        <v>0</v>
      </c>
    </row>
    <row r="319" spans="4:44" x14ac:dyDescent="0.25">
      <c r="D319" s="1">
        <v>42282</v>
      </c>
      <c r="E319" s="2">
        <v>107.90698</v>
      </c>
      <c r="F319" s="2">
        <v>193.148123</v>
      </c>
      <c r="G319" s="2">
        <f t="shared" si="191"/>
        <v>0.38962800000000186</v>
      </c>
      <c r="H319" s="2">
        <f t="shared" si="192"/>
        <v>3.376954000000012</v>
      </c>
      <c r="I319" s="4">
        <f t="shared" si="155"/>
        <v>0.32724873036450886</v>
      </c>
      <c r="J319" s="4">
        <f t="shared" si="156"/>
        <v>3.2757330610193289</v>
      </c>
      <c r="K319" s="4">
        <f t="shared" si="157"/>
        <v>17.792023081927177</v>
      </c>
      <c r="L319" s="4">
        <f t="shared" si="158"/>
        <v>4.2180591605532483</v>
      </c>
      <c r="M319" s="4">
        <f t="shared" si="159"/>
        <v>0.47415171856851729</v>
      </c>
      <c r="N319" s="4">
        <f t="shared" si="160"/>
        <v>6.7445955666443513E-2</v>
      </c>
      <c r="O319" s="3">
        <f t="shared" si="161"/>
        <v>0.38962800000000186</v>
      </c>
      <c r="P319" s="3">
        <f t="shared" si="162"/>
        <v>3.376954000000012</v>
      </c>
      <c r="Q319">
        <f t="shared" si="163"/>
        <v>1</v>
      </c>
      <c r="R319" s="3">
        <f t="shared" si="164"/>
        <v>0.38962800000000186</v>
      </c>
      <c r="S319" s="3">
        <f t="shared" si="165"/>
        <v>3.376954000000012</v>
      </c>
      <c r="T319">
        <f t="shared" si="166"/>
        <v>1</v>
      </c>
      <c r="U319" s="3">
        <f t="shared" si="167"/>
        <v>0.38962800000000186</v>
      </c>
      <c r="V319" s="3">
        <f t="shared" si="168"/>
        <v>3.376954000000012</v>
      </c>
      <c r="W319">
        <f t="shared" si="169"/>
        <v>1</v>
      </c>
      <c r="X319" s="3">
        <f t="shared" si="170"/>
        <v>0.38962800000000186</v>
      </c>
      <c r="Y319" s="3">
        <f t="shared" si="171"/>
        <v>3.376954000000012</v>
      </c>
      <c r="Z319">
        <f t="shared" si="172"/>
        <v>1</v>
      </c>
      <c r="AA319" s="3">
        <f t="shared" si="173"/>
        <v>0.38962800000000186</v>
      </c>
      <c r="AB319" s="3">
        <f t="shared" si="174"/>
        <v>3.376954000000012</v>
      </c>
      <c r="AC319">
        <f t="shared" si="175"/>
        <v>1</v>
      </c>
      <c r="AD319" s="3">
        <f t="shared" si="176"/>
        <v>0.38962800000000186</v>
      </c>
      <c r="AE319" s="3">
        <f t="shared" si="177"/>
        <v>3.376954000000012</v>
      </c>
      <c r="AF319">
        <f t="shared" si="178"/>
        <v>1</v>
      </c>
      <c r="AG319" s="3">
        <f t="shared" si="179"/>
        <v>0.38962800000000186</v>
      </c>
      <c r="AH319" s="3">
        <f t="shared" si="180"/>
        <v>3.376954000000012</v>
      </c>
      <c r="AI319">
        <f t="shared" si="181"/>
        <v>1</v>
      </c>
      <c r="AJ319" s="3">
        <f t="shared" si="182"/>
        <v>0.38962800000000186</v>
      </c>
      <c r="AK319" s="3">
        <f t="shared" si="183"/>
        <v>3.376954000000012</v>
      </c>
      <c r="AL319">
        <f t="shared" si="184"/>
        <v>1</v>
      </c>
      <c r="AM319" s="3">
        <f t="shared" si="185"/>
        <v>0.38962800000000186</v>
      </c>
      <c r="AN319" s="3">
        <f t="shared" si="186"/>
        <v>3.376954000000012</v>
      </c>
      <c r="AO319">
        <f t="shared" si="187"/>
        <v>1</v>
      </c>
      <c r="AP319" s="3">
        <f t="shared" si="188"/>
        <v>0.38962800000000186</v>
      </c>
      <c r="AQ319" s="3">
        <f t="shared" si="189"/>
        <v>3.376954000000012</v>
      </c>
      <c r="AR319">
        <f t="shared" si="190"/>
        <v>1</v>
      </c>
    </row>
    <row r="320" spans="4:44" x14ac:dyDescent="0.25">
      <c r="D320" s="1">
        <v>42279</v>
      </c>
      <c r="E320" s="2">
        <v>107.517352</v>
      </c>
      <c r="F320" s="2">
        <v>189.77116899999999</v>
      </c>
      <c r="G320" s="2">
        <f t="shared" si="191"/>
        <v>0.7792479999999955</v>
      </c>
      <c r="H320" s="2">
        <f t="shared" si="192"/>
        <v>2.7930379999999957</v>
      </c>
      <c r="I320" s="4">
        <f t="shared" si="155"/>
        <v>0.71686873036450249</v>
      </c>
      <c r="J320" s="4">
        <f t="shared" si="156"/>
        <v>2.6918170610193126</v>
      </c>
      <c r="K320" s="4">
        <f t="shared" si="157"/>
        <v>9.8241619160066609</v>
      </c>
      <c r="L320" s="4">
        <f t="shared" si="158"/>
        <v>3.1343519132360775</v>
      </c>
      <c r="M320" s="4">
        <f t="shared" si="159"/>
        <v>0.63809044273369098</v>
      </c>
      <c r="N320" s="4">
        <f t="shared" si="160"/>
        <v>0.12214782393242329</v>
      </c>
      <c r="O320" s="3">
        <f t="shared" si="161"/>
        <v>0.7792479999999955</v>
      </c>
      <c r="P320" s="3">
        <f t="shared" si="162"/>
        <v>2.7930379999999957</v>
      </c>
      <c r="Q320">
        <f t="shared" si="163"/>
        <v>1</v>
      </c>
      <c r="R320" s="3">
        <f t="shared" si="164"/>
        <v>0.7792479999999955</v>
      </c>
      <c r="S320" s="3">
        <f t="shared" si="165"/>
        <v>2.7930379999999957</v>
      </c>
      <c r="T320">
        <f t="shared" si="166"/>
        <v>1</v>
      </c>
      <c r="U320" s="3">
        <f t="shared" si="167"/>
        <v>0.7792479999999955</v>
      </c>
      <c r="V320" s="3">
        <f t="shared" si="168"/>
        <v>2.7930379999999957</v>
      </c>
      <c r="W320">
        <f t="shared" si="169"/>
        <v>1</v>
      </c>
      <c r="X320" s="3">
        <f t="shared" si="170"/>
        <v>0.7792479999999955</v>
      </c>
      <c r="Y320" s="3">
        <f t="shared" si="171"/>
        <v>2.7930379999999957</v>
      </c>
      <c r="Z320">
        <f t="shared" si="172"/>
        <v>1</v>
      </c>
      <c r="AA320" s="3">
        <f t="shared" si="173"/>
        <v>0.7792479999999955</v>
      </c>
      <c r="AB320" s="3">
        <f t="shared" si="174"/>
        <v>2.7930379999999957</v>
      </c>
      <c r="AC320">
        <f t="shared" si="175"/>
        <v>1</v>
      </c>
      <c r="AD320" s="3">
        <f t="shared" si="176"/>
        <v>0.7792479999999955</v>
      </c>
      <c r="AE320" s="3">
        <f t="shared" si="177"/>
        <v>2.7930379999999957</v>
      </c>
      <c r="AF320">
        <f t="shared" si="178"/>
        <v>1</v>
      </c>
      <c r="AG320" s="3">
        <f t="shared" si="179"/>
        <v>0.7792479999999955</v>
      </c>
      <c r="AH320" s="3">
        <f t="shared" si="180"/>
        <v>2.7930379999999957</v>
      </c>
      <c r="AI320">
        <f t="shared" si="181"/>
        <v>1</v>
      </c>
      <c r="AJ320" s="3">
        <f t="shared" si="182"/>
        <v>0.7792479999999955</v>
      </c>
      <c r="AK320" s="3">
        <f t="shared" si="183"/>
        <v>2.7930379999999957</v>
      </c>
      <c r="AL320">
        <f t="shared" si="184"/>
        <v>1</v>
      </c>
      <c r="AM320" s="3">
        <f t="shared" si="185"/>
        <v>0.7792479999999955</v>
      </c>
      <c r="AN320" s="3">
        <f t="shared" si="186"/>
        <v>2.7930379999999957</v>
      </c>
      <c r="AO320">
        <f t="shared" si="187"/>
        <v>1</v>
      </c>
      <c r="AP320" s="3">
        <f t="shared" si="188"/>
        <v>0.7792479999999955</v>
      </c>
      <c r="AQ320" s="3">
        <f t="shared" si="189"/>
        <v>2.7930379999999957</v>
      </c>
      <c r="AR320">
        <f t="shared" si="190"/>
        <v>1</v>
      </c>
    </row>
    <row r="321" spans="4:44" x14ac:dyDescent="0.25">
      <c r="D321" s="1">
        <v>42278</v>
      </c>
      <c r="E321" s="2">
        <v>106.73810400000001</v>
      </c>
      <c r="F321" s="2">
        <v>186.97813099999999</v>
      </c>
      <c r="G321" s="2">
        <f t="shared" si="191"/>
        <v>-0.70132799999998952</v>
      </c>
      <c r="H321" s="2">
        <f t="shared" si="192"/>
        <v>0.48659299999999917</v>
      </c>
      <c r="I321" s="4">
        <f t="shared" si="155"/>
        <v>-0.76370726963548252</v>
      </c>
      <c r="J321" s="4">
        <f t="shared" si="156"/>
        <v>0.38537206101931598</v>
      </c>
      <c r="K321" s="4">
        <f t="shared" si="157"/>
        <v>2.2863526983386087</v>
      </c>
      <c r="L321" s="4">
        <f t="shared" si="158"/>
        <v>1.5120690124258909</v>
      </c>
      <c r="M321" s="4">
        <f t="shared" si="159"/>
        <v>1</v>
      </c>
      <c r="N321" s="4">
        <f t="shared" si="160"/>
        <v>0.52485340554499171</v>
      </c>
      <c r="O321" s="3">
        <f t="shared" si="161"/>
        <v>-0.70132799999998952</v>
      </c>
      <c r="P321" s="3">
        <f t="shared" si="162"/>
        <v>0.48659299999999917</v>
      </c>
      <c r="Q321">
        <f t="shared" si="163"/>
        <v>1</v>
      </c>
      <c r="R321" s="3">
        <f t="shared" si="164"/>
        <v>-0.70132799999998952</v>
      </c>
      <c r="S321" s="3">
        <f t="shared" si="165"/>
        <v>0.48659299999999917</v>
      </c>
      <c r="T321">
        <f t="shared" si="166"/>
        <v>1</v>
      </c>
      <c r="U321" s="3">
        <f t="shared" si="167"/>
        <v>-0.70132799999998952</v>
      </c>
      <c r="V321" s="3">
        <f t="shared" si="168"/>
        <v>0.48659299999999917</v>
      </c>
      <c r="W321">
        <f t="shared" si="169"/>
        <v>1</v>
      </c>
      <c r="X321" s="3">
        <f t="shared" si="170"/>
        <v>0</v>
      </c>
      <c r="Y321" s="3">
        <f t="shared" si="171"/>
        <v>0</v>
      </c>
      <c r="Z321">
        <f t="shared" si="172"/>
        <v>0</v>
      </c>
      <c r="AA321" s="3">
        <f t="shared" si="173"/>
        <v>0</v>
      </c>
      <c r="AB321" s="3">
        <f t="shared" si="174"/>
        <v>0</v>
      </c>
      <c r="AC321">
        <f t="shared" si="175"/>
        <v>0</v>
      </c>
      <c r="AD321" s="3">
        <f t="shared" si="176"/>
        <v>0</v>
      </c>
      <c r="AE321" s="3">
        <f t="shared" si="177"/>
        <v>0</v>
      </c>
      <c r="AF321">
        <f t="shared" si="178"/>
        <v>0</v>
      </c>
      <c r="AG321" s="3">
        <f t="shared" si="179"/>
        <v>0</v>
      </c>
      <c r="AH321" s="3">
        <f t="shared" si="180"/>
        <v>0</v>
      </c>
      <c r="AI321">
        <f t="shared" si="181"/>
        <v>0</v>
      </c>
      <c r="AJ321" s="3">
        <f t="shared" si="182"/>
        <v>0</v>
      </c>
      <c r="AK321" s="3">
        <f t="shared" si="183"/>
        <v>0</v>
      </c>
      <c r="AL321">
        <f t="shared" si="184"/>
        <v>0</v>
      </c>
      <c r="AM321" s="3">
        <f t="shared" si="185"/>
        <v>0</v>
      </c>
      <c r="AN321" s="3">
        <f t="shared" si="186"/>
        <v>0</v>
      </c>
      <c r="AO321">
        <f t="shared" si="187"/>
        <v>0</v>
      </c>
      <c r="AP321" s="3">
        <f t="shared" si="188"/>
        <v>0</v>
      </c>
      <c r="AQ321" s="3">
        <f t="shared" si="189"/>
        <v>0</v>
      </c>
      <c r="AR321">
        <f t="shared" si="190"/>
        <v>0</v>
      </c>
    </row>
    <row r="322" spans="4:44" x14ac:dyDescent="0.25">
      <c r="D322" s="1">
        <v>42277</v>
      </c>
      <c r="E322" s="2">
        <v>107.439432</v>
      </c>
      <c r="F322" s="2">
        <v>186.49153799999999</v>
      </c>
      <c r="G322" s="2">
        <f t="shared" si="191"/>
        <v>1.2078460000000035</v>
      </c>
      <c r="H322" s="2">
        <f t="shared" si="192"/>
        <v>3.4158899999999903</v>
      </c>
      <c r="I322" s="4">
        <f t="shared" ref="I322:I385" si="193">G322-$A$14</f>
        <v>1.1454667303645105</v>
      </c>
      <c r="J322" s="4">
        <f t="shared" ref="J322:J385" si="194">H322-$B$14</f>
        <v>3.3146690610193073</v>
      </c>
      <c r="K322" s="4">
        <f t="shared" si="157"/>
        <v>13.769939276714084</v>
      </c>
      <c r="L322" s="4">
        <f t="shared" si="158"/>
        <v>3.7107868810690388</v>
      </c>
      <c r="M322" s="4">
        <f t="shared" si="159"/>
        <v>0.53896924401754409</v>
      </c>
      <c r="N322" s="4">
        <f t="shared" si="160"/>
        <v>8.7146353799052889E-2</v>
      </c>
      <c r="O322" s="3">
        <f t="shared" si="161"/>
        <v>1.2078460000000035</v>
      </c>
      <c r="P322" s="3">
        <f t="shared" si="162"/>
        <v>3.4158899999999903</v>
      </c>
      <c r="Q322">
        <f t="shared" si="163"/>
        <v>1</v>
      </c>
      <c r="R322" s="3">
        <f t="shared" si="164"/>
        <v>1.2078460000000035</v>
      </c>
      <c r="S322" s="3">
        <f t="shared" si="165"/>
        <v>3.4158899999999903</v>
      </c>
      <c r="T322">
        <f t="shared" si="166"/>
        <v>1</v>
      </c>
      <c r="U322" s="3">
        <f t="shared" si="167"/>
        <v>1.2078460000000035</v>
      </c>
      <c r="V322" s="3">
        <f t="shared" si="168"/>
        <v>3.4158899999999903</v>
      </c>
      <c r="W322">
        <f t="shared" si="169"/>
        <v>1</v>
      </c>
      <c r="X322" s="3">
        <f t="shared" si="170"/>
        <v>1.2078460000000035</v>
      </c>
      <c r="Y322" s="3">
        <f t="shared" si="171"/>
        <v>3.4158899999999903</v>
      </c>
      <c r="Z322">
        <f t="shared" si="172"/>
        <v>1</v>
      </c>
      <c r="AA322" s="3">
        <f t="shared" si="173"/>
        <v>1.2078460000000035</v>
      </c>
      <c r="AB322" s="3">
        <f t="shared" si="174"/>
        <v>3.4158899999999903</v>
      </c>
      <c r="AC322">
        <f t="shared" si="175"/>
        <v>1</v>
      </c>
      <c r="AD322" s="3">
        <f t="shared" si="176"/>
        <v>1.2078460000000035</v>
      </c>
      <c r="AE322" s="3">
        <f t="shared" si="177"/>
        <v>3.4158899999999903</v>
      </c>
      <c r="AF322">
        <f t="shared" si="178"/>
        <v>1</v>
      </c>
      <c r="AG322" s="3">
        <f t="shared" si="179"/>
        <v>1.2078460000000035</v>
      </c>
      <c r="AH322" s="3">
        <f t="shared" si="180"/>
        <v>3.4158899999999903</v>
      </c>
      <c r="AI322">
        <f t="shared" si="181"/>
        <v>1</v>
      </c>
      <c r="AJ322" s="3">
        <f t="shared" si="182"/>
        <v>1.2078460000000035</v>
      </c>
      <c r="AK322" s="3">
        <f t="shared" si="183"/>
        <v>3.4158899999999903</v>
      </c>
      <c r="AL322">
        <f t="shared" si="184"/>
        <v>1</v>
      </c>
      <c r="AM322" s="3">
        <f t="shared" si="185"/>
        <v>1.2078460000000035</v>
      </c>
      <c r="AN322" s="3">
        <f t="shared" si="186"/>
        <v>3.4158899999999903</v>
      </c>
      <c r="AO322">
        <f t="shared" si="187"/>
        <v>1</v>
      </c>
      <c r="AP322" s="3">
        <f t="shared" si="188"/>
        <v>1.2078460000000035</v>
      </c>
      <c r="AQ322" s="3">
        <f t="shared" si="189"/>
        <v>3.4158899999999903</v>
      </c>
      <c r="AR322">
        <f t="shared" si="190"/>
        <v>1</v>
      </c>
    </row>
    <row r="323" spans="4:44" x14ac:dyDescent="0.25">
      <c r="D323" s="1">
        <v>42276</v>
      </c>
      <c r="E323" s="2">
        <v>106.23158599999999</v>
      </c>
      <c r="F323" s="2">
        <v>183.075648</v>
      </c>
      <c r="G323" s="2">
        <f t="shared" si="191"/>
        <v>-3.2923460000000091</v>
      </c>
      <c r="H323" s="2">
        <f t="shared" si="192"/>
        <v>0.10705100000001266</v>
      </c>
      <c r="I323" s="4">
        <f t="shared" si="193"/>
        <v>-3.3547252696355021</v>
      </c>
      <c r="J323" s="4">
        <f t="shared" si="194"/>
        <v>5.8300610193294522E-3</v>
      </c>
      <c r="K323" s="4">
        <f t="shared" ref="K323:K386" si="195">SUMPRODUCT(MMULT(I323:J323,$A$19:$B$20),I323:J323)</f>
        <v>23.994353541991011</v>
      </c>
      <c r="L323" s="4">
        <f t="shared" ref="L323:L386" si="196">SQRT(K323)</f>
        <v>4.8984031624592737</v>
      </c>
      <c r="M323" s="4">
        <f t="shared" ref="M323:M386" si="197">IF(L323&lt;$B$12,1,$B$12/L323)</f>
        <v>0.40829632304007568</v>
      </c>
      <c r="N323" s="4">
        <f t="shared" ref="N323:N386" si="198">IF(K323&lt;$B$12,1,$B$21/K323)</f>
        <v>5.001176622241376E-2</v>
      </c>
      <c r="O323" s="3">
        <f t="shared" ref="O323:O386" si="199">IF($K323&gt;P$1,$G323,0)</f>
        <v>-3.2923460000000091</v>
      </c>
      <c r="P323" s="3">
        <f t="shared" ref="P323:P386" si="200">IF($K323&gt;P$1,$H323,0)</f>
        <v>0.10705100000001266</v>
      </c>
      <c r="Q323">
        <f t="shared" ref="Q323:Q386" si="201">IF($K323&gt;P$1,1,0)</f>
        <v>1</v>
      </c>
      <c r="R323" s="3">
        <f t="shared" ref="R323:R386" si="202">IF($K323&gt;S$1,$G323,0)</f>
        <v>-3.2923460000000091</v>
      </c>
      <c r="S323" s="3">
        <f t="shared" ref="S323:S386" si="203">IF($K323&gt;S$1,$H323,0)</f>
        <v>0.10705100000001266</v>
      </c>
      <c r="T323">
        <f t="shared" ref="T323:T386" si="204">IF($K323&gt;S$1,1,0)</f>
        <v>1</v>
      </c>
      <c r="U323" s="3">
        <f t="shared" ref="U323:U386" si="205">IF($K323&gt;V$1,$G323,0)</f>
        <v>-3.2923460000000091</v>
      </c>
      <c r="V323" s="3">
        <f t="shared" ref="V323:V386" si="206">IF($K323&gt;V$1,$H323,0)</f>
        <v>0.10705100000001266</v>
      </c>
      <c r="W323">
        <f t="shared" ref="W323:W386" si="207">IF($K323&gt;V$1,1,0)</f>
        <v>1</v>
      </c>
      <c r="X323" s="3">
        <f t="shared" ref="X323:X386" si="208">IF($K323&gt;Y$1,$G323,0)</f>
        <v>-3.2923460000000091</v>
      </c>
      <c r="Y323" s="3">
        <f t="shared" ref="Y323:Y386" si="209">IF($K323&gt;Y$1,$H323,0)</f>
        <v>0.10705100000001266</v>
      </c>
      <c r="Z323">
        <f t="shared" ref="Z323:Z386" si="210">IF($K323&gt;Y$1,1,0)</f>
        <v>1</v>
      </c>
      <c r="AA323" s="3">
        <f t="shared" ref="AA323:AA386" si="211">IF($K323&gt;AB$1,$G323,0)</f>
        <v>-3.2923460000000091</v>
      </c>
      <c r="AB323" s="3">
        <f t="shared" ref="AB323:AB386" si="212">IF($K323&gt;AB$1,$H323,0)</f>
        <v>0.10705100000001266</v>
      </c>
      <c r="AC323">
        <f t="shared" ref="AC323:AC386" si="213">IF($K323&gt;AB$1,1,0)</f>
        <v>1</v>
      </c>
      <c r="AD323" s="3">
        <f t="shared" ref="AD323:AD386" si="214">IF($K323&gt;AE$1,$G323,0)</f>
        <v>-3.2923460000000091</v>
      </c>
      <c r="AE323" s="3">
        <f t="shared" ref="AE323:AE386" si="215">IF($K323&gt;AE$1,$H323,0)</f>
        <v>0.10705100000001266</v>
      </c>
      <c r="AF323">
        <f t="shared" ref="AF323:AF386" si="216">IF($K323&gt;AE$1,1,0)</f>
        <v>1</v>
      </c>
      <c r="AG323" s="3">
        <f t="shared" ref="AG323:AG386" si="217">IF($K323&gt;AH$1,$G323,0)</f>
        <v>-3.2923460000000091</v>
      </c>
      <c r="AH323" s="3">
        <f t="shared" ref="AH323:AH386" si="218">IF($K323&gt;AH$1,$H323,0)</f>
        <v>0.10705100000001266</v>
      </c>
      <c r="AI323">
        <f t="shared" ref="AI323:AI386" si="219">IF($K323&gt;AH$1,1,0)</f>
        <v>1</v>
      </c>
      <c r="AJ323" s="3">
        <f t="shared" ref="AJ323:AJ386" si="220">IF($K323&gt;AK$1,$G323,0)</f>
        <v>-3.2923460000000091</v>
      </c>
      <c r="AK323" s="3">
        <f t="shared" ref="AK323:AK386" si="221">IF($K323&gt;AK$1,$H323,0)</f>
        <v>0.10705100000001266</v>
      </c>
      <c r="AL323">
        <f t="shared" ref="AL323:AL386" si="222">IF($K323&gt;AK$1,1,0)</f>
        <v>1</v>
      </c>
      <c r="AM323" s="3">
        <f t="shared" ref="AM323:AM386" si="223">IF($K323&gt;AN$1,$G323,0)</f>
        <v>-3.2923460000000091</v>
      </c>
      <c r="AN323" s="3">
        <f t="shared" ref="AN323:AN386" si="224">IF($K323&gt;AN$1,$H323,0)</f>
        <v>0.10705100000001266</v>
      </c>
      <c r="AO323">
        <f t="shared" ref="AO323:AO386" si="225">IF($K323&gt;AN$1,1,0)</f>
        <v>1</v>
      </c>
      <c r="AP323" s="3">
        <f t="shared" ref="AP323:AP386" si="226">IF($K323&gt;AQ$1,$G323,0)</f>
        <v>-3.2923460000000091</v>
      </c>
      <c r="AQ323" s="3">
        <f t="shared" ref="AQ323:AQ386" si="227">IF($K323&gt;AQ$1,$H323,0)</f>
        <v>0.10705100000001266</v>
      </c>
      <c r="AR323">
        <f t="shared" ref="AR323:AR386" si="228">IF($K323&gt;AQ$1,1,0)</f>
        <v>1</v>
      </c>
    </row>
    <row r="324" spans="4:44" x14ac:dyDescent="0.25">
      <c r="D324" s="1">
        <v>42275</v>
      </c>
      <c r="E324" s="2">
        <v>109.523932</v>
      </c>
      <c r="F324" s="2">
        <v>182.96859699999999</v>
      </c>
      <c r="G324" s="2">
        <f t="shared" si="191"/>
        <v>-2.2111249999999956</v>
      </c>
      <c r="H324" s="2">
        <f t="shared" si="192"/>
        <v>-4.7102289999999982</v>
      </c>
      <c r="I324" s="4">
        <f t="shared" si="193"/>
        <v>-2.2735042696354886</v>
      </c>
      <c r="J324" s="4">
        <f t="shared" si="194"/>
        <v>-4.8114499389806813</v>
      </c>
      <c r="K324" s="4">
        <f t="shared" si="195"/>
        <v>26.501202203536831</v>
      </c>
      <c r="L324" s="4">
        <f t="shared" si="196"/>
        <v>5.1479318374990974</v>
      </c>
      <c r="M324" s="4">
        <f t="shared" si="197"/>
        <v>0.38850553253859993</v>
      </c>
      <c r="N324" s="4">
        <f t="shared" si="198"/>
        <v>4.5280964643930333E-2</v>
      </c>
      <c r="O324" s="3">
        <f t="shared" si="199"/>
        <v>-2.2111249999999956</v>
      </c>
      <c r="P324" s="3">
        <f t="shared" si="200"/>
        <v>-4.7102289999999982</v>
      </c>
      <c r="Q324">
        <f t="shared" si="201"/>
        <v>1</v>
      </c>
      <c r="R324" s="3">
        <f t="shared" si="202"/>
        <v>-2.2111249999999956</v>
      </c>
      <c r="S324" s="3">
        <f t="shared" si="203"/>
        <v>-4.7102289999999982</v>
      </c>
      <c r="T324">
        <f t="shared" si="204"/>
        <v>1</v>
      </c>
      <c r="U324" s="3">
        <f t="shared" si="205"/>
        <v>-2.2111249999999956</v>
      </c>
      <c r="V324" s="3">
        <f t="shared" si="206"/>
        <v>-4.7102289999999982</v>
      </c>
      <c r="W324">
        <f t="shared" si="207"/>
        <v>1</v>
      </c>
      <c r="X324" s="3">
        <f t="shared" si="208"/>
        <v>-2.2111249999999956</v>
      </c>
      <c r="Y324" s="3">
        <f t="shared" si="209"/>
        <v>-4.7102289999999982</v>
      </c>
      <c r="Z324">
        <f t="shared" si="210"/>
        <v>1</v>
      </c>
      <c r="AA324" s="3">
        <f t="shared" si="211"/>
        <v>-2.2111249999999956</v>
      </c>
      <c r="AB324" s="3">
        <f t="shared" si="212"/>
        <v>-4.7102289999999982</v>
      </c>
      <c r="AC324">
        <f t="shared" si="213"/>
        <v>1</v>
      </c>
      <c r="AD324" s="3">
        <f t="shared" si="214"/>
        <v>-2.2111249999999956</v>
      </c>
      <c r="AE324" s="3">
        <f t="shared" si="215"/>
        <v>-4.7102289999999982</v>
      </c>
      <c r="AF324">
        <f t="shared" si="216"/>
        <v>1</v>
      </c>
      <c r="AG324" s="3">
        <f t="shared" si="217"/>
        <v>-2.2111249999999956</v>
      </c>
      <c r="AH324" s="3">
        <f t="shared" si="218"/>
        <v>-4.7102289999999982</v>
      </c>
      <c r="AI324">
        <f t="shared" si="219"/>
        <v>1</v>
      </c>
      <c r="AJ324" s="3">
        <f t="shared" si="220"/>
        <v>-2.2111249999999956</v>
      </c>
      <c r="AK324" s="3">
        <f t="shared" si="221"/>
        <v>-4.7102289999999982</v>
      </c>
      <c r="AL324">
        <f t="shared" si="222"/>
        <v>1</v>
      </c>
      <c r="AM324" s="3">
        <f t="shared" si="223"/>
        <v>-2.2111249999999956</v>
      </c>
      <c r="AN324" s="3">
        <f t="shared" si="224"/>
        <v>-4.7102289999999982</v>
      </c>
      <c r="AO324">
        <f t="shared" si="225"/>
        <v>1</v>
      </c>
      <c r="AP324" s="3">
        <f t="shared" si="226"/>
        <v>-2.2111249999999956</v>
      </c>
      <c r="AQ324" s="3">
        <f t="shared" si="227"/>
        <v>-4.7102289999999982</v>
      </c>
      <c r="AR324">
        <f t="shared" si="228"/>
        <v>1</v>
      </c>
    </row>
    <row r="325" spans="4:44" x14ac:dyDescent="0.25">
      <c r="D325" s="1">
        <v>42272</v>
      </c>
      <c r="E325" s="2">
        <v>111.735057</v>
      </c>
      <c r="F325" s="2">
        <v>187.67882599999999</v>
      </c>
      <c r="G325" s="2">
        <f t="shared" si="191"/>
        <v>-0.28248000000000673</v>
      </c>
      <c r="H325" s="2">
        <f t="shared" si="192"/>
        <v>-4.864700000001676E-2</v>
      </c>
      <c r="I325" s="4">
        <f t="shared" si="193"/>
        <v>-0.34485926963549973</v>
      </c>
      <c r="J325" s="4">
        <f t="shared" si="194"/>
        <v>-0.14986793898069997</v>
      </c>
      <c r="K325" s="4">
        <f t="shared" si="195"/>
        <v>0.16146729354165751</v>
      </c>
      <c r="L325" s="4">
        <f t="shared" si="196"/>
        <v>0.40182993111720472</v>
      </c>
      <c r="M325" s="4">
        <f t="shared" si="197"/>
        <v>1</v>
      </c>
      <c r="N325" s="4">
        <f t="shared" si="198"/>
        <v>1</v>
      </c>
      <c r="O325" s="3">
        <f t="shared" si="199"/>
        <v>-0.28248000000000673</v>
      </c>
      <c r="P325" s="3">
        <f t="shared" si="200"/>
        <v>-4.864700000001676E-2</v>
      </c>
      <c r="Q325">
        <f t="shared" si="201"/>
        <v>1</v>
      </c>
      <c r="R325" s="3">
        <f t="shared" si="202"/>
        <v>0</v>
      </c>
      <c r="S325" s="3">
        <f t="shared" si="203"/>
        <v>0</v>
      </c>
      <c r="T325">
        <f t="shared" si="204"/>
        <v>0</v>
      </c>
      <c r="U325" s="3">
        <f t="shared" si="205"/>
        <v>0</v>
      </c>
      <c r="V325" s="3">
        <f t="shared" si="206"/>
        <v>0</v>
      </c>
      <c r="W325">
        <f t="shared" si="207"/>
        <v>0</v>
      </c>
      <c r="X325" s="3">
        <f t="shared" si="208"/>
        <v>0</v>
      </c>
      <c r="Y325" s="3">
        <f t="shared" si="209"/>
        <v>0</v>
      </c>
      <c r="Z325">
        <f t="shared" si="210"/>
        <v>0</v>
      </c>
      <c r="AA325" s="3">
        <f t="shared" si="211"/>
        <v>0</v>
      </c>
      <c r="AB325" s="3">
        <f t="shared" si="212"/>
        <v>0</v>
      </c>
      <c r="AC325">
        <f t="shared" si="213"/>
        <v>0</v>
      </c>
      <c r="AD325" s="3">
        <f t="shared" si="214"/>
        <v>0</v>
      </c>
      <c r="AE325" s="3">
        <f t="shared" si="215"/>
        <v>0</v>
      </c>
      <c r="AF325">
        <f t="shared" si="216"/>
        <v>0</v>
      </c>
      <c r="AG325" s="3">
        <f t="shared" si="217"/>
        <v>0</v>
      </c>
      <c r="AH325" s="3">
        <f t="shared" si="218"/>
        <v>0</v>
      </c>
      <c r="AI325">
        <f t="shared" si="219"/>
        <v>0</v>
      </c>
      <c r="AJ325" s="3">
        <f t="shared" si="220"/>
        <v>0</v>
      </c>
      <c r="AK325" s="3">
        <f t="shared" si="221"/>
        <v>0</v>
      </c>
      <c r="AL325">
        <f t="shared" si="222"/>
        <v>0</v>
      </c>
      <c r="AM325" s="3">
        <f t="shared" si="223"/>
        <v>0</v>
      </c>
      <c r="AN325" s="3">
        <f t="shared" si="224"/>
        <v>0</v>
      </c>
      <c r="AO325">
        <f t="shared" si="225"/>
        <v>0</v>
      </c>
      <c r="AP325" s="3">
        <f t="shared" si="226"/>
        <v>0</v>
      </c>
      <c r="AQ325" s="3">
        <f t="shared" si="227"/>
        <v>0</v>
      </c>
      <c r="AR325">
        <f t="shared" si="228"/>
        <v>0</v>
      </c>
    </row>
    <row r="326" spans="4:44" x14ac:dyDescent="0.25">
      <c r="D326" s="1">
        <v>42271</v>
      </c>
      <c r="E326" s="2">
        <v>112.017537</v>
      </c>
      <c r="F326" s="2">
        <v>187.727473</v>
      </c>
      <c r="G326" s="2">
        <f t="shared" si="191"/>
        <v>0.66236500000000831</v>
      </c>
      <c r="H326" s="2">
        <f t="shared" si="192"/>
        <v>-0.68124199999999746</v>
      </c>
      <c r="I326" s="4">
        <f t="shared" si="193"/>
        <v>0.5999857303645153</v>
      </c>
      <c r="J326" s="4">
        <f t="shared" si="194"/>
        <v>-0.78246293898068064</v>
      </c>
      <c r="K326" s="4">
        <f t="shared" si="195"/>
        <v>3.1452733033366407</v>
      </c>
      <c r="L326" s="4">
        <f t="shared" si="196"/>
        <v>1.7734918390950212</v>
      </c>
      <c r="M326" s="4">
        <f t="shared" si="197"/>
        <v>1</v>
      </c>
      <c r="N326" s="4">
        <f t="shared" si="198"/>
        <v>0.38152487376120497</v>
      </c>
      <c r="O326" s="3">
        <f t="shared" si="199"/>
        <v>0.66236500000000831</v>
      </c>
      <c r="P326" s="3">
        <f t="shared" si="200"/>
        <v>-0.68124199999999746</v>
      </c>
      <c r="Q326">
        <f t="shared" si="201"/>
        <v>1</v>
      </c>
      <c r="R326" s="3">
        <f t="shared" si="202"/>
        <v>0.66236500000000831</v>
      </c>
      <c r="S326" s="3">
        <f t="shared" si="203"/>
        <v>-0.68124199999999746</v>
      </c>
      <c r="T326">
        <f t="shared" si="204"/>
        <v>1</v>
      </c>
      <c r="U326" s="3">
        <f t="shared" si="205"/>
        <v>0.66236500000000831</v>
      </c>
      <c r="V326" s="3">
        <f t="shared" si="206"/>
        <v>-0.68124199999999746</v>
      </c>
      <c r="W326">
        <f t="shared" si="207"/>
        <v>1</v>
      </c>
      <c r="X326" s="3">
        <f t="shared" si="208"/>
        <v>0.66236500000000831</v>
      </c>
      <c r="Y326" s="3">
        <f t="shared" si="209"/>
        <v>-0.68124199999999746</v>
      </c>
      <c r="Z326">
        <f t="shared" si="210"/>
        <v>1</v>
      </c>
      <c r="AA326" s="3">
        <f t="shared" si="211"/>
        <v>0</v>
      </c>
      <c r="AB326" s="3">
        <f t="shared" si="212"/>
        <v>0</v>
      </c>
      <c r="AC326">
        <f t="shared" si="213"/>
        <v>0</v>
      </c>
      <c r="AD326" s="3">
        <f t="shared" si="214"/>
        <v>0</v>
      </c>
      <c r="AE326" s="3">
        <f t="shared" si="215"/>
        <v>0</v>
      </c>
      <c r="AF326">
        <f t="shared" si="216"/>
        <v>0</v>
      </c>
      <c r="AG326" s="3">
        <f t="shared" si="217"/>
        <v>0</v>
      </c>
      <c r="AH326" s="3">
        <f t="shared" si="218"/>
        <v>0</v>
      </c>
      <c r="AI326">
        <f t="shared" si="219"/>
        <v>0</v>
      </c>
      <c r="AJ326" s="3">
        <f t="shared" si="220"/>
        <v>0</v>
      </c>
      <c r="AK326" s="3">
        <f t="shared" si="221"/>
        <v>0</v>
      </c>
      <c r="AL326">
        <f t="shared" si="222"/>
        <v>0</v>
      </c>
      <c r="AM326" s="3">
        <f t="shared" si="223"/>
        <v>0</v>
      </c>
      <c r="AN326" s="3">
        <f t="shared" si="224"/>
        <v>0</v>
      </c>
      <c r="AO326">
        <f t="shared" si="225"/>
        <v>0</v>
      </c>
      <c r="AP326" s="3">
        <f t="shared" si="226"/>
        <v>0</v>
      </c>
      <c r="AQ326" s="3">
        <f t="shared" si="227"/>
        <v>0</v>
      </c>
      <c r="AR326">
        <f t="shared" si="228"/>
        <v>0</v>
      </c>
    </row>
    <row r="327" spans="4:44" x14ac:dyDescent="0.25">
      <c r="D327" s="1">
        <v>42270</v>
      </c>
      <c r="E327" s="2">
        <v>111.355172</v>
      </c>
      <c r="F327" s="2">
        <v>188.408715</v>
      </c>
      <c r="G327" s="2">
        <f t="shared" si="191"/>
        <v>0.89613799999999344</v>
      </c>
      <c r="H327" s="2">
        <f t="shared" si="192"/>
        <v>-0.30168499999999199</v>
      </c>
      <c r="I327" s="4">
        <f t="shared" si="193"/>
        <v>0.83375873036450043</v>
      </c>
      <c r="J327" s="4">
        <f t="shared" si="194"/>
        <v>-0.40290593898067517</v>
      </c>
      <c r="K327" s="4">
        <f t="shared" si="195"/>
        <v>2.658650878021898</v>
      </c>
      <c r="L327" s="4">
        <f t="shared" si="196"/>
        <v>1.6305369906941387</v>
      </c>
      <c r="M327" s="4">
        <f t="shared" si="197"/>
        <v>1</v>
      </c>
      <c r="N327" s="4">
        <f t="shared" si="198"/>
        <v>0.45135674259451081</v>
      </c>
      <c r="O327" s="3">
        <f t="shared" si="199"/>
        <v>0.89613799999999344</v>
      </c>
      <c r="P327" s="3">
        <f t="shared" si="200"/>
        <v>-0.30168499999999199</v>
      </c>
      <c r="Q327">
        <f t="shared" si="201"/>
        <v>1</v>
      </c>
      <c r="R327" s="3">
        <f t="shared" si="202"/>
        <v>0.89613799999999344</v>
      </c>
      <c r="S327" s="3">
        <f t="shared" si="203"/>
        <v>-0.30168499999999199</v>
      </c>
      <c r="T327">
        <f t="shared" si="204"/>
        <v>1</v>
      </c>
      <c r="U327" s="3">
        <f t="shared" si="205"/>
        <v>0.89613799999999344</v>
      </c>
      <c r="V327" s="3">
        <f t="shared" si="206"/>
        <v>-0.30168499999999199</v>
      </c>
      <c r="W327">
        <f t="shared" si="207"/>
        <v>1</v>
      </c>
      <c r="X327" s="3">
        <f t="shared" si="208"/>
        <v>0</v>
      </c>
      <c r="Y327" s="3">
        <f t="shared" si="209"/>
        <v>0</v>
      </c>
      <c r="Z327">
        <f t="shared" si="210"/>
        <v>0</v>
      </c>
      <c r="AA327" s="3">
        <f t="shared" si="211"/>
        <v>0</v>
      </c>
      <c r="AB327" s="3">
        <f t="shared" si="212"/>
        <v>0</v>
      </c>
      <c r="AC327">
        <f t="shared" si="213"/>
        <v>0</v>
      </c>
      <c r="AD327" s="3">
        <f t="shared" si="214"/>
        <v>0</v>
      </c>
      <c r="AE327" s="3">
        <f t="shared" si="215"/>
        <v>0</v>
      </c>
      <c r="AF327">
        <f t="shared" si="216"/>
        <v>0</v>
      </c>
      <c r="AG327" s="3">
        <f t="shared" si="217"/>
        <v>0</v>
      </c>
      <c r="AH327" s="3">
        <f t="shared" si="218"/>
        <v>0</v>
      </c>
      <c r="AI327">
        <f t="shared" si="219"/>
        <v>0</v>
      </c>
      <c r="AJ327" s="3">
        <f t="shared" si="220"/>
        <v>0</v>
      </c>
      <c r="AK327" s="3">
        <f t="shared" si="221"/>
        <v>0</v>
      </c>
      <c r="AL327">
        <f t="shared" si="222"/>
        <v>0</v>
      </c>
      <c r="AM327" s="3">
        <f t="shared" si="223"/>
        <v>0</v>
      </c>
      <c r="AN327" s="3">
        <f t="shared" si="224"/>
        <v>0</v>
      </c>
      <c r="AO327">
        <f t="shared" si="225"/>
        <v>0</v>
      </c>
      <c r="AP327" s="3">
        <f t="shared" si="226"/>
        <v>0</v>
      </c>
      <c r="AQ327" s="3">
        <f t="shared" si="227"/>
        <v>0</v>
      </c>
      <c r="AR327">
        <f t="shared" si="228"/>
        <v>0</v>
      </c>
    </row>
    <row r="328" spans="4:44" x14ac:dyDescent="0.25">
      <c r="D328" s="1">
        <v>42269</v>
      </c>
      <c r="E328" s="2">
        <v>110.459034</v>
      </c>
      <c r="F328" s="2">
        <v>188.71039999999999</v>
      </c>
      <c r="G328" s="2">
        <f t="shared" si="191"/>
        <v>-1.7630559999999917</v>
      </c>
      <c r="H328" s="2">
        <f t="shared" si="192"/>
        <v>-2.4816260000000057</v>
      </c>
      <c r="I328" s="4">
        <f t="shared" si="193"/>
        <v>-1.8254352696354847</v>
      </c>
      <c r="J328" s="4">
        <f t="shared" si="194"/>
        <v>-2.5828469389806887</v>
      </c>
      <c r="K328" s="4">
        <f t="shared" si="195"/>
        <v>7.5015582813205723</v>
      </c>
      <c r="L328" s="4">
        <f t="shared" si="196"/>
        <v>2.738897274692969</v>
      </c>
      <c r="M328" s="4">
        <f t="shared" si="197"/>
        <v>0.73022088797550855</v>
      </c>
      <c r="N328" s="4">
        <f t="shared" si="198"/>
        <v>0.15996676357072204</v>
      </c>
      <c r="O328" s="3">
        <f t="shared" si="199"/>
        <v>-1.7630559999999917</v>
      </c>
      <c r="P328" s="3">
        <f t="shared" si="200"/>
        <v>-2.4816260000000057</v>
      </c>
      <c r="Q328">
        <f t="shared" si="201"/>
        <v>1</v>
      </c>
      <c r="R328" s="3">
        <f t="shared" si="202"/>
        <v>-1.7630559999999917</v>
      </c>
      <c r="S328" s="3">
        <f t="shared" si="203"/>
        <v>-2.4816260000000057</v>
      </c>
      <c r="T328">
        <f t="shared" si="204"/>
        <v>1</v>
      </c>
      <c r="U328" s="3">
        <f t="shared" si="205"/>
        <v>-1.7630559999999917</v>
      </c>
      <c r="V328" s="3">
        <f t="shared" si="206"/>
        <v>-2.4816260000000057</v>
      </c>
      <c r="W328">
        <f t="shared" si="207"/>
        <v>1</v>
      </c>
      <c r="X328" s="3">
        <f t="shared" si="208"/>
        <v>-1.7630559999999917</v>
      </c>
      <c r="Y328" s="3">
        <f t="shared" si="209"/>
        <v>-2.4816260000000057</v>
      </c>
      <c r="Z328">
        <f t="shared" si="210"/>
        <v>1</v>
      </c>
      <c r="AA328" s="3">
        <f t="shared" si="211"/>
        <v>-1.7630559999999917</v>
      </c>
      <c r="AB328" s="3">
        <f t="shared" si="212"/>
        <v>-2.4816260000000057</v>
      </c>
      <c r="AC328">
        <f t="shared" si="213"/>
        <v>1</v>
      </c>
      <c r="AD328" s="3">
        <f t="shared" si="214"/>
        <v>-1.7630559999999917</v>
      </c>
      <c r="AE328" s="3">
        <f t="shared" si="215"/>
        <v>-2.4816260000000057</v>
      </c>
      <c r="AF328">
        <f t="shared" si="216"/>
        <v>1</v>
      </c>
      <c r="AG328" s="3">
        <f t="shared" si="217"/>
        <v>-1.7630559999999917</v>
      </c>
      <c r="AH328" s="3">
        <f t="shared" si="218"/>
        <v>-2.4816260000000057</v>
      </c>
      <c r="AI328">
        <f t="shared" si="219"/>
        <v>1</v>
      </c>
      <c r="AJ328" s="3">
        <f t="shared" si="220"/>
        <v>-1.7630559999999917</v>
      </c>
      <c r="AK328" s="3">
        <f t="shared" si="221"/>
        <v>-2.4816260000000057</v>
      </c>
      <c r="AL328">
        <f t="shared" si="222"/>
        <v>1</v>
      </c>
      <c r="AM328" s="3">
        <f t="shared" si="223"/>
        <v>0</v>
      </c>
      <c r="AN328" s="3">
        <f t="shared" si="224"/>
        <v>0</v>
      </c>
      <c r="AO328">
        <f t="shared" si="225"/>
        <v>0</v>
      </c>
      <c r="AP328" s="3">
        <f t="shared" si="226"/>
        <v>0</v>
      </c>
      <c r="AQ328" s="3">
        <f t="shared" si="227"/>
        <v>0</v>
      </c>
      <c r="AR328">
        <f t="shared" si="228"/>
        <v>0</v>
      </c>
    </row>
    <row r="329" spans="4:44" x14ac:dyDescent="0.25">
      <c r="D329" s="1">
        <v>42268</v>
      </c>
      <c r="E329" s="2">
        <v>112.22208999999999</v>
      </c>
      <c r="F329" s="2">
        <v>191.192026</v>
      </c>
      <c r="G329" s="2">
        <f t="shared" si="191"/>
        <v>1.7143569999999926</v>
      </c>
      <c r="H329" s="2">
        <f t="shared" si="192"/>
        <v>0.98292699999998945</v>
      </c>
      <c r="I329" s="4">
        <f t="shared" si="193"/>
        <v>1.6519777303644996</v>
      </c>
      <c r="J329" s="4">
        <f t="shared" si="194"/>
        <v>0.88170606101930626</v>
      </c>
      <c r="K329" s="4">
        <f t="shared" si="195"/>
        <v>3.4996897471881381</v>
      </c>
      <c r="L329" s="4">
        <f t="shared" si="196"/>
        <v>1.8707457729975332</v>
      </c>
      <c r="M329" s="4">
        <f t="shared" si="197"/>
        <v>1</v>
      </c>
      <c r="N329" s="4">
        <f t="shared" si="198"/>
        <v>0.34288753766363217</v>
      </c>
      <c r="O329" s="3">
        <f t="shared" si="199"/>
        <v>1.7143569999999926</v>
      </c>
      <c r="P329" s="3">
        <f t="shared" si="200"/>
        <v>0.98292699999998945</v>
      </c>
      <c r="Q329">
        <f t="shared" si="201"/>
        <v>1</v>
      </c>
      <c r="R329" s="3">
        <f t="shared" si="202"/>
        <v>1.7143569999999926</v>
      </c>
      <c r="S329" s="3">
        <f t="shared" si="203"/>
        <v>0.98292699999998945</v>
      </c>
      <c r="T329">
        <f t="shared" si="204"/>
        <v>1</v>
      </c>
      <c r="U329" s="3">
        <f t="shared" si="205"/>
        <v>1.7143569999999926</v>
      </c>
      <c r="V329" s="3">
        <f t="shared" si="206"/>
        <v>0.98292699999998945</v>
      </c>
      <c r="W329">
        <f t="shared" si="207"/>
        <v>1</v>
      </c>
      <c r="X329" s="3">
        <f t="shared" si="208"/>
        <v>1.7143569999999926</v>
      </c>
      <c r="Y329" s="3">
        <f t="shared" si="209"/>
        <v>0.98292699999998945</v>
      </c>
      <c r="Z329">
        <f t="shared" si="210"/>
        <v>1</v>
      </c>
      <c r="AA329" s="3">
        <f t="shared" si="211"/>
        <v>0</v>
      </c>
      <c r="AB329" s="3">
        <f t="shared" si="212"/>
        <v>0</v>
      </c>
      <c r="AC329">
        <f t="shared" si="213"/>
        <v>0</v>
      </c>
      <c r="AD329" s="3">
        <f t="shared" si="214"/>
        <v>0</v>
      </c>
      <c r="AE329" s="3">
        <f t="shared" si="215"/>
        <v>0</v>
      </c>
      <c r="AF329">
        <f t="shared" si="216"/>
        <v>0</v>
      </c>
      <c r="AG329" s="3">
        <f t="shared" si="217"/>
        <v>0</v>
      </c>
      <c r="AH329" s="3">
        <f t="shared" si="218"/>
        <v>0</v>
      </c>
      <c r="AI329">
        <f t="shared" si="219"/>
        <v>0</v>
      </c>
      <c r="AJ329" s="3">
        <f t="shared" si="220"/>
        <v>0</v>
      </c>
      <c r="AK329" s="3">
        <f t="shared" si="221"/>
        <v>0</v>
      </c>
      <c r="AL329">
        <f t="shared" si="222"/>
        <v>0</v>
      </c>
      <c r="AM329" s="3">
        <f t="shared" si="223"/>
        <v>0</v>
      </c>
      <c r="AN329" s="3">
        <f t="shared" si="224"/>
        <v>0</v>
      </c>
      <c r="AO329">
        <f t="shared" si="225"/>
        <v>0</v>
      </c>
      <c r="AP329" s="3">
        <f t="shared" si="226"/>
        <v>0</v>
      </c>
      <c r="AQ329" s="3">
        <f t="shared" si="227"/>
        <v>0</v>
      </c>
      <c r="AR329">
        <f t="shared" si="228"/>
        <v>0</v>
      </c>
    </row>
    <row r="330" spans="4:44" x14ac:dyDescent="0.25">
      <c r="D330" s="1">
        <v>42265</v>
      </c>
      <c r="E330" s="2">
        <v>110.507733</v>
      </c>
      <c r="F330" s="2">
        <v>190.20909900000001</v>
      </c>
      <c r="G330" s="2">
        <f t="shared" si="191"/>
        <v>-0.4578120000000041</v>
      </c>
      <c r="H330" s="2">
        <f t="shared" si="192"/>
        <v>-3.1599289999999769</v>
      </c>
      <c r="I330" s="4">
        <f t="shared" si="193"/>
        <v>-0.52019126963549711</v>
      </c>
      <c r="J330" s="4">
        <f t="shared" si="194"/>
        <v>-3.26114993898066</v>
      </c>
      <c r="K330" s="4">
        <f t="shared" si="195"/>
        <v>16.338408569412699</v>
      </c>
      <c r="L330" s="4">
        <f t="shared" si="196"/>
        <v>4.0420797331834883</v>
      </c>
      <c r="M330" s="4">
        <f t="shared" si="197"/>
        <v>0.49479479179516989</v>
      </c>
      <c r="N330" s="4">
        <f t="shared" si="198"/>
        <v>7.3446565796287652E-2</v>
      </c>
      <c r="O330" s="3">
        <f t="shared" si="199"/>
        <v>-0.4578120000000041</v>
      </c>
      <c r="P330" s="3">
        <f t="shared" si="200"/>
        <v>-3.1599289999999769</v>
      </c>
      <c r="Q330">
        <f t="shared" si="201"/>
        <v>1</v>
      </c>
      <c r="R330" s="3">
        <f t="shared" si="202"/>
        <v>-0.4578120000000041</v>
      </c>
      <c r="S330" s="3">
        <f t="shared" si="203"/>
        <v>-3.1599289999999769</v>
      </c>
      <c r="T330">
        <f t="shared" si="204"/>
        <v>1</v>
      </c>
      <c r="U330" s="3">
        <f t="shared" si="205"/>
        <v>-0.4578120000000041</v>
      </c>
      <c r="V330" s="3">
        <f t="shared" si="206"/>
        <v>-3.1599289999999769</v>
      </c>
      <c r="W330">
        <f t="shared" si="207"/>
        <v>1</v>
      </c>
      <c r="X330" s="3">
        <f t="shared" si="208"/>
        <v>-0.4578120000000041</v>
      </c>
      <c r="Y330" s="3">
        <f t="shared" si="209"/>
        <v>-3.1599289999999769</v>
      </c>
      <c r="Z330">
        <f t="shared" si="210"/>
        <v>1</v>
      </c>
      <c r="AA330" s="3">
        <f t="shared" si="211"/>
        <v>-0.4578120000000041</v>
      </c>
      <c r="AB330" s="3">
        <f t="shared" si="212"/>
        <v>-3.1599289999999769</v>
      </c>
      <c r="AC330">
        <f t="shared" si="213"/>
        <v>1</v>
      </c>
      <c r="AD330" s="3">
        <f t="shared" si="214"/>
        <v>-0.4578120000000041</v>
      </c>
      <c r="AE330" s="3">
        <f t="shared" si="215"/>
        <v>-3.1599289999999769</v>
      </c>
      <c r="AF330">
        <f t="shared" si="216"/>
        <v>1</v>
      </c>
      <c r="AG330" s="3">
        <f t="shared" si="217"/>
        <v>-0.4578120000000041</v>
      </c>
      <c r="AH330" s="3">
        <f t="shared" si="218"/>
        <v>-3.1599289999999769</v>
      </c>
      <c r="AI330">
        <f t="shared" si="219"/>
        <v>1</v>
      </c>
      <c r="AJ330" s="3">
        <f t="shared" si="220"/>
        <v>-0.4578120000000041</v>
      </c>
      <c r="AK330" s="3">
        <f t="shared" si="221"/>
        <v>-3.1599289999999769</v>
      </c>
      <c r="AL330">
        <f t="shared" si="222"/>
        <v>1</v>
      </c>
      <c r="AM330" s="3">
        <f t="shared" si="223"/>
        <v>-0.4578120000000041</v>
      </c>
      <c r="AN330" s="3">
        <f t="shared" si="224"/>
        <v>-3.1599289999999769</v>
      </c>
      <c r="AO330">
        <f t="shared" si="225"/>
        <v>1</v>
      </c>
      <c r="AP330" s="3">
        <f t="shared" si="226"/>
        <v>-0.4578120000000041</v>
      </c>
      <c r="AQ330" s="3">
        <f t="shared" si="227"/>
        <v>-3.1599289999999769</v>
      </c>
      <c r="AR330">
        <f t="shared" si="228"/>
        <v>1</v>
      </c>
    </row>
    <row r="331" spans="4:44" x14ac:dyDescent="0.25">
      <c r="D331" s="1">
        <v>42264</v>
      </c>
      <c r="E331" s="2">
        <v>110.96554500000001</v>
      </c>
      <c r="F331" s="2">
        <v>193.36902799999999</v>
      </c>
      <c r="G331" s="2">
        <f t="shared" si="191"/>
        <v>-2.4254279999999966</v>
      </c>
      <c r="H331" s="2">
        <f t="shared" si="192"/>
        <v>-0.43566500000000019</v>
      </c>
      <c r="I331" s="4">
        <f t="shared" si="193"/>
        <v>-2.4878072696354896</v>
      </c>
      <c r="J331" s="4">
        <f t="shared" si="194"/>
        <v>-0.53688593898068337</v>
      </c>
      <c r="K331" s="4">
        <f t="shared" si="195"/>
        <v>10.24749590290706</v>
      </c>
      <c r="L331" s="4">
        <f t="shared" si="196"/>
        <v>3.2011710205652961</v>
      </c>
      <c r="M331" s="4">
        <f t="shared" si="197"/>
        <v>0.62477136871207184</v>
      </c>
      <c r="N331" s="4">
        <f t="shared" si="198"/>
        <v>0.11710177894870669</v>
      </c>
      <c r="O331" s="3">
        <f t="shared" si="199"/>
        <v>-2.4254279999999966</v>
      </c>
      <c r="P331" s="3">
        <f t="shared" si="200"/>
        <v>-0.43566500000000019</v>
      </c>
      <c r="Q331">
        <f t="shared" si="201"/>
        <v>1</v>
      </c>
      <c r="R331" s="3">
        <f t="shared" si="202"/>
        <v>-2.4254279999999966</v>
      </c>
      <c r="S331" s="3">
        <f t="shared" si="203"/>
        <v>-0.43566500000000019</v>
      </c>
      <c r="T331">
        <f t="shared" si="204"/>
        <v>1</v>
      </c>
      <c r="U331" s="3">
        <f t="shared" si="205"/>
        <v>-2.4254279999999966</v>
      </c>
      <c r="V331" s="3">
        <f t="shared" si="206"/>
        <v>-0.43566500000000019</v>
      </c>
      <c r="W331">
        <f t="shared" si="207"/>
        <v>1</v>
      </c>
      <c r="X331" s="3">
        <f t="shared" si="208"/>
        <v>-2.4254279999999966</v>
      </c>
      <c r="Y331" s="3">
        <f t="shared" si="209"/>
        <v>-0.43566500000000019</v>
      </c>
      <c r="Z331">
        <f t="shared" si="210"/>
        <v>1</v>
      </c>
      <c r="AA331" s="3">
        <f t="shared" si="211"/>
        <v>-2.4254279999999966</v>
      </c>
      <c r="AB331" s="3">
        <f t="shared" si="212"/>
        <v>-0.43566500000000019</v>
      </c>
      <c r="AC331">
        <f t="shared" si="213"/>
        <v>1</v>
      </c>
      <c r="AD331" s="3">
        <f t="shared" si="214"/>
        <v>-2.4254279999999966</v>
      </c>
      <c r="AE331" s="3">
        <f t="shared" si="215"/>
        <v>-0.43566500000000019</v>
      </c>
      <c r="AF331">
        <f t="shared" si="216"/>
        <v>1</v>
      </c>
      <c r="AG331" s="3">
        <f t="shared" si="217"/>
        <v>-2.4254279999999966</v>
      </c>
      <c r="AH331" s="3">
        <f t="shared" si="218"/>
        <v>-0.43566500000000019</v>
      </c>
      <c r="AI331">
        <f t="shared" si="219"/>
        <v>1</v>
      </c>
      <c r="AJ331" s="3">
        <f t="shared" si="220"/>
        <v>-2.4254279999999966</v>
      </c>
      <c r="AK331" s="3">
        <f t="shared" si="221"/>
        <v>-0.43566500000000019</v>
      </c>
      <c r="AL331">
        <f t="shared" si="222"/>
        <v>1</v>
      </c>
      <c r="AM331" s="3">
        <f t="shared" si="223"/>
        <v>-2.4254279999999966</v>
      </c>
      <c r="AN331" s="3">
        <f t="shared" si="224"/>
        <v>-0.43566500000000019</v>
      </c>
      <c r="AO331">
        <f t="shared" si="225"/>
        <v>1</v>
      </c>
      <c r="AP331" s="3">
        <f t="shared" si="226"/>
        <v>-2.4254279999999966</v>
      </c>
      <c r="AQ331" s="3">
        <f t="shared" si="227"/>
        <v>-0.43566500000000019</v>
      </c>
      <c r="AR331">
        <f t="shared" si="228"/>
        <v>1</v>
      </c>
    </row>
    <row r="332" spans="4:44" x14ac:dyDescent="0.25">
      <c r="D332" s="1">
        <v>42263</v>
      </c>
      <c r="E332" s="2">
        <v>113.390973</v>
      </c>
      <c r="F332" s="2">
        <v>193.80469299999999</v>
      </c>
      <c r="G332" s="2">
        <f t="shared" si="191"/>
        <v>0.12663299999999822</v>
      </c>
      <c r="H332" s="2">
        <f t="shared" si="192"/>
        <v>1.6652079999999785</v>
      </c>
      <c r="I332" s="4">
        <f t="shared" si="193"/>
        <v>6.4253730364505213E-2</v>
      </c>
      <c r="J332" s="4">
        <f t="shared" si="194"/>
        <v>1.5639870610192952</v>
      </c>
      <c r="K332" s="4">
        <f t="shared" si="195"/>
        <v>4.3860424692869691</v>
      </c>
      <c r="L332" s="4">
        <f t="shared" si="196"/>
        <v>2.0942880578580803</v>
      </c>
      <c r="M332" s="4">
        <f t="shared" si="197"/>
        <v>0.95497846750149895</v>
      </c>
      <c r="N332" s="4">
        <f t="shared" si="198"/>
        <v>0.27359516201745349</v>
      </c>
      <c r="O332" s="3">
        <f t="shared" si="199"/>
        <v>0.12663299999999822</v>
      </c>
      <c r="P332" s="3">
        <f t="shared" si="200"/>
        <v>1.6652079999999785</v>
      </c>
      <c r="Q332">
        <f t="shared" si="201"/>
        <v>1</v>
      </c>
      <c r="R332" s="3">
        <f t="shared" si="202"/>
        <v>0.12663299999999822</v>
      </c>
      <c r="S332" s="3">
        <f t="shared" si="203"/>
        <v>1.6652079999999785</v>
      </c>
      <c r="T332">
        <f t="shared" si="204"/>
        <v>1</v>
      </c>
      <c r="U332" s="3">
        <f t="shared" si="205"/>
        <v>0.12663299999999822</v>
      </c>
      <c r="V332" s="3">
        <f t="shared" si="206"/>
        <v>1.6652079999999785</v>
      </c>
      <c r="W332">
        <f t="shared" si="207"/>
        <v>1</v>
      </c>
      <c r="X332" s="3">
        <f t="shared" si="208"/>
        <v>0.12663299999999822</v>
      </c>
      <c r="Y332" s="3">
        <f t="shared" si="209"/>
        <v>1.6652079999999785</v>
      </c>
      <c r="Z332">
        <f t="shared" si="210"/>
        <v>1</v>
      </c>
      <c r="AA332" s="3">
        <f t="shared" si="211"/>
        <v>0.12663299999999822</v>
      </c>
      <c r="AB332" s="3">
        <f t="shared" si="212"/>
        <v>1.6652079999999785</v>
      </c>
      <c r="AC332">
        <f t="shared" si="213"/>
        <v>1</v>
      </c>
      <c r="AD332" s="3">
        <f t="shared" si="214"/>
        <v>0</v>
      </c>
      <c r="AE332" s="3">
        <f t="shared" si="215"/>
        <v>0</v>
      </c>
      <c r="AF332">
        <f t="shared" si="216"/>
        <v>0</v>
      </c>
      <c r="AG332" s="3">
        <f t="shared" si="217"/>
        <v>0</v>
      </c>
      <c r="AH332" s="3">
        <f t="shared" si="218"/>
        <v>0</v>
      </c>
      <c r="AI332">
        <f t="shared" si="219"/>
        <v>0</v>
      </c>
      <c r="AJ332" s="3">
        <f t="shared" si="220"/>
        <v>0</v>
      </c>
      <c r="AK332" s="3">
        <f t="shared" si="221"/>
        <v>0</v>
      </c>
      <c r="AL332">
        <f t="shared" si="222"/>
        <v>0</v>
      </c>
      <c r="AM332" s="3">
        <f t="shared" si="223"/>
        <v>0</v>
      </c>
      <c r="AN332" s="3">
        <f t="shared" si="224"/>
        <v>0</v>
      </c>
      <c r="AO332">
        <f t="shared" si="225"/>
        <v>0</v>
      </c>
      <c r="AP332" s="3">
        <f t="shared" si="226"/>
        <v>0</v>
      </c>
      <c r="AQ332" s="3">
        <f t="shared" si="227"/>
        <v>0</v>
      </c>
      <c r="AR332">
        <f t="shared" si="228"/>
        <v>0</v>
      </c>
    </row>
    <row r="333" spans="4:44" x14ac:dyDescent="0.25">
      <c r="D333" s="1">
        <v>42262</v>
      </c>
      <c r="E333" s="2">
        <v>113.26434</v>
      </c>
      <c r="F333" s="2">
        <v>192.13948500000001</v>
      </c>
      <c r="G333" s="2">
        <f t="shared" si="191"/>
        <v>0.94484500000000082</v>
      </c>
      <c r="H333" s="2">
        <f t="shared" si="192"/>
        <v>2.3719839999999976</v>
      </c>
      <c r="I333" s="4">
        <f t="shared" si="193"/>
        <v>0.88246573036450782</v>
      </c>
      <c r="J333" s="4">
        <f t="shared" si="194"/>
        <v>2.2707630610193146</v>
      </c>
      <c r="K333" s="4">
        <f t="shared" si="195"/>
        <v>6.2330363787839076</v>
      </c>
      <c r="L333" s="4">
        <f t="shared" si="196"/>
        <v>2.4966049705117364</v>
      </c>
      <c r="M333" s="4">
        <f t="shared" si="197"/>
        <v>0.80108788679934984</v>
      </c>
      <c r="N333" s="4">
        <f t="shared" si="198"/>
        <v>0.19252254071299438</v>
      </c>
      <c r="O333" s="3">
        <f t="shared" si="199"/>
        <v>0.94484500000000082</v>
      </c>
      <c r="P333" s="3">
        <f t="shared" si="200"/>
        <v>2.3719839999999976</v>
      </c>
      <c r="Q333">
        <f t="shared" si="201"/>
        <v>1</v>
      </c>
      <c r="R333" s="3">
        <f t="shared" si="202"/>
        <v>0.94484500000000082</v>
      </c>
      <c r="S333" s="3">
        <f t="shared" si="203"/>
        <v>2.3719839999999976</v>
      </c>
      <c r="T333">
        <f t="shared" si="204"/>
        <v>1</v>
      </c>
      <c r="U333" s="3">
        <f t="shared" si="205"/>
        <v>0.94484500000000082</v>
      </c>
      <c r="V333" s="3">
        <f t="shared" si="206"/>
        <v>2.3719839999999976</v>
      </c>
      <c r="W333">
        <f t="shared" si="207"/>
        <v>1</v>
      </c>
      <c r="X333" s="3">
        <f t="shared" si="208"/>
        <v>0.94484500000000082</v>
      </c>
      <c r="Y333" s="3">
        <f t="shared" si="209"/>
        <v>2.3719839999999976</v>
      </c>
      <c r="Z333">
        <f t="shared" si="210"/>
        <v>1</v>
      </c>
      <c r="AA333" s="3">
        <f t="shared" si="211"/>
        <v>0.94484500000000082</v>
      </c>
      <c r="AB333" s="3">
        <f t="shared" si="212"/>
        <v>2.3719839999999976</v>
      </c>
      <c r="AC333">
        <f t="shared" si="213"/>
        <v>1</v>
      </c>
      <c r="AD333" s="3">
        <f t="shared" si="214"/>
        <v>0.94484500000000082</v>
      </c>
      <c r="AE333" s="3">
        <f t="shared" si="215"/>
        <v>2.3719839999999976</v>
      </c>
      <c r="AF333">
        <f t="shared" si="216"/>
        <v>1</v>
      </c>
      <c r="AG333" s="3">
        <f t="shared" si="217"/>
        <v>0.94484500000000082</v>
      </c>
      <c r="AH333" s="3">
        <f t="shared" si="218"/>
        <v>2.3719839999999976</v>
      </c>
      <c r="AI333">
        <f t="shared" si="219"/>
        <v>1</v>
      </c>
      <c r="AJ333" s="3">
        <f t="shared" si="220"/>
        <v>0</v>
      </c>
      <c r="AK333" s="3">
        <f t="shared" si="221"/>
        <v>0</v>
      </c>
      <c r="AL333">
        <f t="shared" si="222"/>
        <v>0</v>
      </c>
      <c r="AM333" s="3">
        <f t="shared" si="223"/>
        <v>0</v>
      </c>
      <c r="AN333" s="3">
        <f t="shared" si="224"/>
        <v>0</v>
      </c>
      <c r="AO333">
        <f t="shared" si="225"/>
        <v>0</v>
      </c>
      <c r="AP333" s="3">
        <f t="shared" si="226"/>
        <v>0</v>
      </c>
      <c r="AQ333" s="3">
        <f t="shared" si="227"/>
        <v>0</v>
      </c>
      <c r="AR333">
        <f t="shared" si="228"/>
        <v>0</v>
      </c>
    </row>
    <row r="334" spans="4:44" x14ac:dyDescent="0.25">
      <c r="D334" s="1">
        <v>42261</v>
      </c>
      <c r="E334" s="2">
        <v>112.319495</v>
      </c>
      <c r="F334" s="2">
        <v>189.76750100000001</v>
      </c>
      <c r="G334" s="2">
        <f t="shared" si="191"/>
        <v>1.071470000000005</v>
      </c>
      <c r="H334" s="2">
        <f t="shared" si="192"/>
        <v>-0.70676100000000019</v>
      </c>
      <c r="I334" s="4">
        <f t="shared" si="193"/>
        <v>1.009090730364512</v>
      </c>
      <c r="J334" s="4">
        <f t="shared" si="194"/>
        <v>-0.80798193898068338</v>
      </c>
      <c r="K334" s="4">
        <f t="shared" si="195"/>
        <v>5.5204115016123492</v>
      </c>
      <c r="L334" s="4">
        <f t="shared" si="196"/>
        <v>2.3495555966208479</v>
      </c>
      <c r="M334" s="4">
        <f t="shared" si="197"/>
        <v>0.85122480305484927</v>
      </c>
      <c r="N334" s="4">
        <f t="shared" si="198"/>
        <v>0.21737509960073001</v>
      </c>
      <c r="O334" s="3">
        <f t="shared" si="199"/>
        <v>1.071470000000005</v>
      </c>
      <c r="P334" s="3">
        <f t="shared" si="200"/>
        <v>-0.70676100000000019</v>
      </c>
      <c r="Q334">
        <f t="shared" si="201"/>
        <v>1</v>
      </c>
      <c r="R334" s="3">
        <f t="shared" si="202"/>
        <v>1.071470000000005</v>
      </c>
      <c r="S334" s="3">
        <f t="shared" si="203"/>
        <v>-0.70676100000000019</v>
      </c>
      <c r="T334">
        <f t="shared" si="204"/>
        <v>1</v>
      </c>
      <c r="U334" s="3">
        <f t="shared" si="205"/>
        <v>1.071470000000005</v>
      </c>
      <c r="V334" s="3">
        <f t="shared" si="206"/>
        <v>-0.70676100000000019</v>
      </c>
      <c r="W334">
        <f t="shared" si="207"/>
        <v>1</v>
      </c>
      <c r="X334" s="3">
        <f t="shared" si="208"/>
        <v>1.071470000000005</v>
      </c>
      <c r="Y334" s="3">
        <f t="shared" si="209"/>
        <v>-0.70676100000000019</v>
      </c>
      <c r="Z334">
        <f t="shared" si="210"/>
        <v>1</v>
      </c>
      <c r="AA334" s="3">
        <f t="shared" si="211"/>
        <v>1.071470000000005</v>
      </c>
      <c r="AB334" s="3">
        <f t="shared" si="212"/>
        <v>-0.70676100000000019</v>
      </c>
      <c r="AC334">
        <f t="shared" si="213"/>
        <v>1</v>
      </c>
      <c r="AD334" s="3">
        <f t="shared" si="214"/>
        <v>1.071470000000005</v>
      </c>
      <c r="AE334" s="3">
        <f t="shared" si="215"/>
        <v>-0.70676100000000019</v>
      </c>
      <c r="AF334">
        <f t="shared" si="216"/>
        <v>1</v>
      </c>
      <c r="AG334" s="3">
        <f t="shared" si="217"/>
        <v>0</v>
      </c>
      <c r="AH334" s="3">
        <f t="shared" si="218"/>
        <v>0</v>
      </c>
      <c r="AI334">
        <f t="shared" si="219"/>
        <v>0</v>
      </c>
      <c r="AJ334" s="3">
        <f t="shared" si="220"/>
        <v>0</v>
      </c>
      <c r="AK334" s="3">
        <f t="shared" si="221"/>
        <v>0</v>
      </c>
      <c r="AL334">
        <f t="shared" si="222"/>
        <v>0</v>
      </c>
      <c r="AM334" s="3">
        <f t="shared" si="223"/>
        <v>0</v>
      </c>
      <c r="AN334" s="3">
        <f t="shared" si="224"/>
        <v>0</v>
      </c>
      <c r="AO334">
        <f t="shared" si="225"/>
        <v>0</v>
      </c>
      <c r="AP334" s="3">
        <f t="shared" si="226"/>
        <v>0</v>
      </c>
      <c r="AQ334" s="3">
        <f t="shared" si="227"/>
        <v>0</v>
      </c>
      <c r="AR334">
        <f t="shared" si="228"/>
        <v>0</v>
      </c>
    </row>
    <row r="335" spans="4:44" x14ac:dyDescent="0.25">
      <c r="D335" s="1">
        <v>42258</v>
      </c>
      <c r="E335" s="2">
        <v>111.248025</v>
      </c>
      <c r="F335" s="2">
        <v>190.47426200000001</v>
      </c>
      <c r="G335" s="2">
        <f t="shared" si="191"/>
        <v>1.5974669999999946</v>
      </c>
      <c r="H335" s="2">
        <f t="shared" si="192"/>
        <v>0.86165400000001569</v>
      </c>
      <c r="I335" s="4">
        <f t="shared" si="193"/>
        <v>1.5350877303645016</v>
      </c>
      <c r="J335" s="4">
        <f t="shared" si="194"/>
        <v>0.7604330610193325</v>
      </c>
      <c r="K335" s="4">
        <f t="shared" si="195"/>
        <v>3.0801803011952207</v>
      </c>
      <c r="L335" s="4">
        <f t="shared" si="196"/>
        <v>1.7550442447970422</v>
      </c>
      <c r="M335" s="4">
        <f t="shared" si="197"/>
        <v>1</v>
      </c>
      <c r="N335" s="4">
        <f t="shared" si="198"/>
        <v>0.38958758340684047</v>
      </c>
      <c r="O335" s="3">
        <f t="shared" si="199"/>
        <v>1.5974669999999946</v>
      </c>
      <c r="P335" s="3">
        <f t="shared" si="200"/>
        <v>0.86165400000001569</v>
      </c>
      <c r="Q335">
        <f t="shared" si="201"/>
        <v>1</v>
      </c>
      <c r="R335" s="3">
        <f t="shared" si="202"/>
        <v>1.5974669999999946</v>
      </c>
      <c r="S335" s="3">
        <f t="shared" si="203"/>
        <v>0.86165400000001569</v>
      </c>
      <c r="T335">
        <f t="shared" si="204"/>
        <v>1</v>
      </c>
      <c r="U335" s="3">
        <f t="shared" si="205"/>
        <v>1.5974669999999946</v>
      </c>
      <c r="V335" s="3">
        <f t="shared" si="206"/>
        <v>0.86165400000001569</v>
      </c>
      <c r="W335">
        <f t="shared" si="207"/>
        <v>1</v>
      </c>
      <c r="X335" s="3">
        <f t="shared" si="208"/>
        <v>1.5974669999999946</v>
      </c>
      <c r="Y335" s="3">
        <f t="shared" si="209"/>
        <v>0.86165400000001569</v>
      </c>
      <c r="Z335">
        <f t="shared" si="210"/>
        <v>1</v>
      </c>
      <c r="AA335" s="3">
        <f t="shared" si="211"/>
        <v>0</v>
      </c>
      <c r="AB335" s="3">
        <f t="shared" si="212"/>
        <v>0</v>
      </c>
      <c r="AC335">
        <f t="shared" si="213"/>
        <v>0</v>
      </c>
      <c r="AD335" s="3">
        <f t="shared" si="214"/>
        <v>0</v>
      </c>
      <c r="AE335" s="3">
        <f t="shared" si="215"/>
        <v>0</v>
      </c>
      <c r="AF335">
        <f t="shared" si="216"/>
        <v>0</v>
      </c>
      <c r="AG335" s="3">
        <f t="shared" si="217"/>
        <v>0</v>
      </c>
      <c r="AH335" s="3">
        <f t="shared" si="218"/>
        <v>0</v>
      </c>
      <c r="AI335">
        <f t="shared" si="219"/>
        <v>0</v>
      </c>
      <c r="AJ335" s="3">
        <f t="shared" si="220"/>
        <v>0</v>
      </c>
      <c r="AK335" s="3">
        <f t="shared" si="221"/>
        <v>0</v>
      </c>
      <c r="AL335">
        <f t="shared" si="222"/>
        <v>0</v>
      </c>
      <c r="AM335" s="3">
        <f t="shared" si="223"/>
        <v>0</v>
      </c>
      <c r="AN335" s="3">
        <f t="shared" si="224"/>
        <v>0</v>
      </c>
      <c r="AO335">
        <f t="shared" si="225"/>
        <v>0</v>
      </c>
      <c r="AP335" s="3">
        <f t="shared" si="226"/>
        <v>0</v>
      </c>
      <c r="AQ335" s="3">
        <f t="shared" si="227"/>
        <v>0</v>
      </c>
      <c r="AR335">
        <f t="shared" si="228"/>
        <v>0</v>
      </c>
    </row>
    <row r="336" spans="4:44" x14ac:dyDescent="0.25">
      <c r="D336" s="1">
        <v>42257</v>
      </c>
      <c r="E336" s="2">
        <v>109.650558</v>
      </c>
      <c r="F336" s="2">
        <v>189.61260799999999</v>
      </c>
      <c r="G336" s="2">
        <f t="shared" si="191"/>
        <v>2.3572369999999978</v>
      </c>
      <c r="H336" s="2">
        <f t="shared" si="192"/>
        <v>1.0262539999999944</v>
      </c>
      <c r="I336" s="4">
        <f t="shared" si="193"/>
        <v>2.2948577303645048</v>
      </c>
      <c r="J336" s="4">
        <f t="shared" si="194"/>
        <v>0.92503306101931126</v>
      </c>
      <c r="K336" s="4">
        <f t="shared" si="195"/>
        <v>7.3171112561192793</v>
      </c>
      <c r="L336" s="4">
        <f t="shared" si="196"/>
        <v>2.7050159437828234</v>
      </c>
      <c r="M336" s="4">
        <f t="shared" si="197"/>
        <v>0.73936717622562498</v>
      </c>
      <c r="N336" s="4">
        <f t="shared" si="198"/>
        <v>0.1639991463839563</v>
      </c>
      <c r="O336" s="3">
        <f t="shared" si="199"/>
        <v>2.3572369999999978</v>
      </c>
      <c r="P336" s="3">
        <f t="shared" si="200"/>
        <v>1.0262539999999944</v>
      </c>
      <c r="Q336">
        <f t="shared" si="201"/>
        <v>1</v>
      </c>
      <c r="R336" s="3">
        <f t="shared" si="202"/>
        <v>2.3572369999999978</v>
      </c>
      <c r="S336" s="3">
        <f t="shared" si="203"/>
        <v>1.0262539999999944</v>
      </c>
      <c r="T336">
        <f t="shared" si="204"/>
        <v>1</v>
      </c>
      <c r="U336" s="3">
        <f t="shared" si="205"/>
        <v>2.3572369999999978</v>
      </c>
      <c r="V336" s="3">
        <f t="shared" si="206"/>
        <v>1.0262539999999944</v>
      </c>
      <c r="W336">
        <f t="shared" si="207"/>
        <v>1</v>
      </c>
      <c r="X336" s="3">
        <f t="shared" si="208"/>
        <v>2.3572369999999978</v>
      </c>
      <c r="Y336" s="3">
        <f t="shared" si="209"/>
        <v>1.0262539999999944</v>
      </c>
      <c r="Z336">
        <f t="shared" si="210"/>
        <v>1</v>
      </c>
      <c r="AA336" s="3">
        <f t="shared" si="211"/>
        <v>2.3572369999999978</v>
      </c>
      <c r="AB336" s="3">
        <f t="shared" si="212"/>
        <v>1.0262539999999944</v>
      </c>
      <c r="AC336">
        <f t="shared" si="213"/>
        <v>1</v>
      </c>
      <c r="AD336" s="3">
        <f t="shared" si="214"/>
        <v>2.3572369999999978</v>
      </c>
      <c r="AE336" s="3">
        <f t="shared" si="215"/>
        <v>1.0262539999999944</v>
      </c>
      <c r="AF336">
        <f t="shared" si="216"/>
        <v>1</v>
      </c>
      <c r="AG336" s="3">
        <f t="shared" si="217"/>
        <v>2.3572369999999978</v>
      </c>
      <c r="AH336" s="3">
        <f t="shared" si="218"/>
        <v>1.0262539999999944</v>
      </c>
      <c r="AI336">
        <f t="shared" si="219"/>
        <v>1</v>
      </c>
      <c r="AJ336" s="3">
        <f t="shared" si="220"/>
        <v>2.3572369999999978</v>
      </c>
      <c r="AK336" s="3">
        <f t="shared" si="221"/>
        <v>1.0262539999999944</v>
      </c>
      <c r="AL336">
        <f t="shared" si="222"/>
        <v>1</v>
      </c>
      <c r="AM336" s="3">
        <f t="shared" si="223"/>
        <v>0</v>
      </c>
      <c r="AN336" s="3">
        <f t="shared" si="224"/>
        <v>0</v>
      </c>
      <c r="AO336">
        <f t="shared" si="225"/>
        <v>0</v>
      </c>
      <c r="AP336" s="3">
        <f t="shared" si="226"/>
        <v>0</v>
      </c>
      <c r="AQ336" s="3">
        <f t="shared" si="227"/>
        <v>0</v>
      </c>
      <c r="AR336">
        <f t="shared" si="228"/>
        <v>0</v>
      </c>
    </row>
    <row r="337" spans="4:44" x14ac:dyDescent="0.25">
      <c r="D337" s="1">
        <v>42256</v>
      </c>
      <c r="E337" s="2">
        <v>107.29332100000001</v>
      </c>
      <c r="F337" s="2">
        <v>188.586354</v>
      </c>
      <c r="G337" s="2">
        <f t="shared" si="191"/>
        <v>-2.1039779999999979</v>
      </c>
      <c r="H337" s="2">
        <f t="shared" si="192"/>
        <v>-2.5559210000000121</v>
      </c>
      <c r="I337" s="4">
        <f t="shared" si="193"/>
        <v>-2.1663572696354909</v>
      </c>
      <c r="J337" s="4">
        <f t="shared" si="194"/>
        <v>-2.6571419389806952</v>
      </c>
      <c r="K337" s="4">
        <f t="shared" si="195"/>
        <v>8.4318790957149083</v>
      </c>
      <c r="L337" s="4">
        <f t="shared" si="196"/>
        <v>2.9037698076319529</v>
      </c>
      <c r="M337" s="4">
        <f t="shared" si="197"/>
        <v>0.68875983032243715</v>
      </c>
      <c r="N337" s="4">
        <f t="shared" si="198"/>
        <v>0.14231703115973776</v>
      </c>
      <c r="O337" s="3">
        <f t="shared" si="199"/>
        <v>-2.1039779999999979</v>
      </c>
      <c r="P337" s="3">
        <f t="shared" si="200"/>
        <v>-2.5559210000000121</v>
      </c>
      <c r="Q337">
        <f t="shared" si="201"/>
        <v>1</v>
      </c>
      <c r="R337" s="3">
        <f t="shared" si="202"/>
        <v>-2.1039779999999979</v>
      </c>
      <c r="S337" s="3">
        <f t="shared" si="203"/>
        <v>-2.5559210000000121</v>
      </c>
      <c r="T337">
        <f t="shared" si="204"/>
        <v>1</v>
      </c>
      <c r="U337" s="3">
        <f t="shared" si="205"/>
        <v>-2.1039779999999979</v>
      </c>
      <c r="V337" s="3">
        <f t="shared" si="206"/>
        <v>-2.5559210000000121</v>
      </c>
      <c r="W337">
        <f t="shared" si="207"/>
        <v>1</v>
      </c>
      <c r="X337" s="3">
        <f t="shared" si="208"/>
        <v>-2.1039779999999979</v>
      </c>
      <c r="Y337" s="3">
        <f t="shared" si="209"/>
        <v>-2.5559210000000121</v>
      </c>
      <c r="Z337">
        <f t="shared" si="210"/>
        <v>1</v>
      </c>
      <c r="AA337" s="3">
        <f t="shared" si="211"/>
        <v>-2.1039779999999979</v>
      </c>
      <c r="AB337" s="3">
        <f t="shared" si="212"/>
        <v>-2.5559210000000121</v>
      </c>
      <c r="AC337">
        <f t="shared" si="213"/>
        <v>1</v>
      </c>
      <c r="AD337" s="3">
        <f t="shared" si="214"/>
        <v>-2.1039779999999979</v>
      </c>
      <c r="AE337" s="3">
        <f t="shared" si="215"/>
        <v>-2.5559210000000121</v>
      </c>
      <c r="AF337">
        <f t="shared" si="216"/>
        <v>1</v>
      </c>
      <c r="AG337" s="3">
        <f t="shared" si="217"/>
        <v>-2.1039779999999979</v>
      </c>
      <c r="AH337" s="3">
        <f t="shared" si="218"/>
        <v>-2.5559210000000121</v>
      </c>
      <c r="AI337">
        <f t="shared" si="219"/>
        <v>1</v>
      </c>
      <c r="AJ337" s="3">
        <f t="shared" si="220"/>
        <v>-2.1039779999999979</v>
      </c>
      <c r="AK337" s="3">
        <f t="shared" si="221"/>
        <v>-2.5559210000000121</v>
      </c>
      <c r="AL337">
        <f t="shared" si="222"/>
        <v>1</v>
      </c>
      <c r="AM337" s="3">
        <f t="shared" si="223"/>
        <v>-2.1039779999999979</v>
      </c>
      <c r="AN337" s="3">
        <f t="shared" si="224"/>
        <v>-2.5559210000000121</v>
      </c>
      <c r="AO337">
        <f t="shared" si="225"/>
        <v>1</v>
      </c>
      <c r="AP337" s="3">
        <f t="shared" si="226"/>
        <v>0</v>
      </c>
      <c r="AQ337" s="3">
        <f t="shared" si="227"/>
        <v>0</v>
      </c>
      <c r="AR337">
        <f t="shared" si="228"/>
        <v>0</v>
      </c>
    </row>
    <row r="338" spans="4:44" x14ac:dyDescent="0.25">
      <c r="D338" s="1">
        <v>42255</v>
      </c>
      <c r="E338" s="2">
        <v>109.397299</v>
      </c>
      <c r="F338" s="2">
        <v>191.14227500000001</v>
      </c>
      <c r="G338" s="2">
        <f t="shared" si="191"/>
        <v>2.9611600000000067</v>
      </c>
      <c r="H338" s="2">
        <f t="shared" si="192"/>
        <v>4.6858530000000087</v>
      </c>
      <c r="I338" s="4">
        <f t="shared" si="193"/>
        <v>2.8987807303645137</v>
      </c>
      <c r="J338" s="4">
        <f t="shared" si="194"/>
        <v>4.5846320610193256</v>
      </c>
      <c r="K338" s="4">
        <f t="shared" si="195"/>
        <v>23.238834887045765</v>
      </c>
      <c r="L338" s="4">
        <f t="shared" si="196"/>
        <v>4.8206674731872727</v>
      </c>
      <c r="M338" s="4">
        <f t="shared" si="197"/>
        <v>0.4148803067467467</v>
      </c>
      <c r="N338" s="4">
        <f t="shared" si="198"/>
        <v>5.1637700677882384E-2</v>
      </c>
      <c r="O338" s="3">
        <f t="shared" si="199"/>
        <v>2.9611600000000067</v>
      </c>
      <c r="P338" s="3">
        <f t="shared" si="200"/>
        <v>4.6858530000000087</v>
      </c>
      <c r="Q338">
        <f t="shared" si="201"/>
        <v>1</v>
      </c>
      <c r="R338" s="3">
        <f t="shared" si="202"/>
        <v>2.9611600000000067</v>
      </c>
      <c r="S338" s="3">
        <f t="shared" si="203"/>
        <v>4.6858530000000087</v>
      </c>
      <c r="T338">
        <f t="shared" si="204"/>
        <v>1</v>
      </c>
      <c r="U338" s="3">
        <f t="shared" si="205"/>
        <v>2.9611600000000067</v>
      </c>
      <c r="V338" s="3">
        <f t="shared" si="206"/>
        <v>4.6858530000000087</v>
      </c>
      <c r="W338">
        <f t="shared" si="207"/>
        <v>1</v>
      </c>
      <c r="X338" s="3">
        <f t="shared" si="208"/>
        <v>2.9611600000000067</v>
      </c>
      <c r="Y338" s="3">
        <f t="shared" si="209"/>
        <v>4.6858530000000087</v>
      </c>
      <c r="Z338">
        <f t="shared" si="210"/>
        <v>1</v>
      </c>
      <c r="AA338" s="3">
        <f t="shared" si="211"/>
        <v>2.9611600000000067</v>
      </c>
      <c r="AB338" s="3">
        <f t="shared" si="212"/>
        <v>4.6858530000000087</v>
      </c>
      <c r="AC338">
        <f t="shared" si="213"/>
        <v>1</v>
      </c>
      <c r="AD338" s="3">
        <f t="shared" si="214"/>
        <v>2.9611600000000067</v>
      </c>
      <c r="AE338" s="3">
        <f t="shared" si="215"/>
        <v>4.6858530000000087</v>
      </c>
      <c r="AF338">
        <f t="shared" si="216"/>
        <v>1</v>
      </c>
      <c r="AG338" s="3">
        <f t="shared" si="217"/>
        <v>2.9611600000000067</v>
      </c>
      <c r="AH338" s="3">
        <f t="shared" si="218"/>
        <v>4.6858530000000087</v>
      </c>
      <c r="AI338">
        <f t="shared" si="219"/>
        <v>1</v>
      </c>
      <c r="AJ338" s="3">
        <f t="shared" si="220"/>
        <v>2.9611600000000067</v>
      </c>
      <c r="AK338" s="3">
        <f t="shared" si="221"/>
        <v>4.6858530000000087</v>
      </c>
      <c r="AL338">
        <f t="shared" si="222"/>
        <v>1</v>
      </c>
      <c r="AM338" s="3">
        <f t="shared" si="223"/>
        <v>2.9611600000000067</v>
      </c>
      <c r="AN338" s="3">
        <f t="shared" si="224"/>
        <v>4.6858530000000087</v>
      </c>
      <c r="AO338">
        <f t="shared" si="225"/>
        <v>1</v>
      </c>
      <c r="AP338" s="3">
        <f t="shared" si="226"/>
        <v>2.9611600000000067</v>
      </c>
      <c r="AQ338" s="3">
        <f t="shared" si="227"/>
        <v>4.6858530000000087</v>
      </c>
      <c r="AR338">
        <f t="shared" si="228"/>
        <v>1</v>
      </c>
    </row>
    <row r="339" spans="4:44" x14ac:dyDescent="0.25">
      <c r="D339" s="1">
        <v>42251</v>
      </c>
      <c r="E339" s="2">
        <v>106.436139</v>
      </c>
      <c r="F339" s="2">
        <v>186.456422</v>
      </c>
      <c r="G339" s="2">
        <f t="shared" si="191"/>
        <v>-1.071477999999999</v>
      </c>
      <c r="H339" s="2">
        <f t="shared" si="192"/>
        <v>-2.8657369999999958</v>
      </c>
      <c r="I339" s="4">
        <f t="shared" si="193"/>
        <v>-1.133857269635492</v>
      </c>
      <c r="J339" s="4">
        <f t="shared" si="194"/>
        <v>-2.9669579389806788</v>
      </c>
      <c r="K339" s="4">
        <f t="shared" si="195"/>
        <v>10.695246677808694</v>
      </c>
      <c r="L339" s="4">
        <f t="shared" si="196"/>
        <v>3.2703587995522287</v>
      </c>
      <c r="M339" s="4">
        <f t="shared" si="197"/>
        <v>0.61155369260211945</v>
      </c>
      <c r="N339" s="4">
        <f t="shared" si="198"/>
        <v>0.11219937568058629</v>
      </c>
      <c r="O339" s="3">
        <f t="shared" si="199"/>
        <v>-1.071477999999999</v>
      </c>
      <c r="P339" s="3">
        <f t="shared" si="200"/>
        <v>-2.8657369999999958</v>
      </c>
      <c r="Q339">
        <f t="shared" si="201"/>
        <v>1</v>
      </c>
      <c r="R339" s="3">
        <f t="shared" si="202"/>
        <v>-1.071477999999999</v>
      </c>
      <c r="S339" s="3">
        <f t="shared" si="203"/>
        <v>-2.8657369999999958</v>
      </c>
      <c r="T339">
        <f t="shared" si="204"/>
        <v>1</v>
      </c>
      <c r="U339" s="3">
        <f t="shared" si="205"/>
        <v>-1.071477999999999</v>
      </c>
      <c r="V339" s="3">
        <f t="shared" si="206"/>
        <v>-2.8657369999999958</v>
      </c>
      <c r="W339">
        <f t="shared" si="207"/>
        <v>1</v>
      </c>
      <c r="X339" s="3">
        <f t="shared" si="208"/>
        <v>-1.071477999999999</v>
      </c>
      <c r="Y339" s="3">
        <f t="shared" si="209"/>
        <v>-2.8657369999999958</v>
      </c>
      <c r="Z339">
        <f t="shared" si="210"/>
        <v>1</v>
      </c>
      <c r="AA339" s="3">
        <f t="shared" si="211"/>
        <v>-1.071477999999999</v>
      </c>
      <c r="AB339" s="3">
        <f t="shared" si="212"/>
        <v>-2.8657369999999958</v>
      </c>
      <c r="AC339">
        <f t="shared" si="213"/>
        <v>1</v>
      </c>
      <c r="AD339" s="3">
        <f t="shared" si="214"/>
        <v>-1.071477999999999</v>
      </c>
      <c r="AE339" s="3">
        <f t="shared" si="215"/>
        <v>-2.8657369999999958</v>
      </c>
      <c r="AF339">
        <f t="shared" si="216"/>
        <v>1</v>
      </c>
      <c r="AG339" s="3">
        <f t="shared" si="217"/>
        <v>-1.071477999999999</v>
      </c>
      <c r="AH339" s="3">
        <f t="shared" si="218"/>
        <v>-2.8657369999999958</v>
      </c>
      <c r="AI339">
        <f t="shared" si="219"/>
        <v>1</v>
      </c>
      <c r="AJ339" s="3">
        <f t="shared" si="220"/>
        <v>-1.071477999999999</v>
      </c>
      <c r="AK339" s="3">
        <f t="shared" si="221"/>
        <v>-2.8657369999999958</v>
      </c>
      <c r="AL339">
        <f t="shared" si="222"/>
        <v>1</v>
      </c>
      <c r="AM339" s="3">
        <f t="shared" si="223"/>
        <v>-1.071477999999999</v>
      </c>
      <c r="AN339" s="3">
        <f t="shared" si="224"/>
        <v>-2.8657369999999958</v>
      </c>
      <c r="AO339">
        <f t="shared" si="225"/>
        <v>1</v>
      </c>
      <c r="AP339" s="3">
        <f t="shared" si="226"/>
        <v>-1.071477999999999</v>
      </c>
      <c r="AQ339" s="3">
        <f t="shared" si="227"/>
        <v>-2.8657369999999958</v>
      </c>
      <c r="AR339">
        <f t="shared" si="228"/>
        <v>1</v>
      </c>
    </row>
    <row r="340" spans="4:44" x14ac:dyDescent="0.25">
      <c r="D340" s="1">
        <v>42250</v>
      </c>
      <c r="E340" s="2">
        <v>107.507617</v>
      </c>
      <c r="F340" s="2">
        <v>189.322159</v>
      </c>
      <c r="G340" s="2">
        <f t="shared" si="191"/>
        <v>-1.9189020000000028</v>
      </c>
      <c r="H340" s="2">
        <f t="shared" si="192"/>
        <v>0.13554099999998925</v>
      </c>
      <c r="I340" s="4">
        <f t="shared" si="193"/>
        <v>-1.9812812696354958</v>
      </c>
      <c r="J340" s="4">
        <f t="shared" si="194"/>
        <v>3.4320061019306042E-2</v>
      </c>
      <c r="K340" s="4">
        <f t="shared" si="195"/>
        <v>8.5302575598641042</v>
      </c>
      <c r="L340" s="4">
        <f t="shared" si="196"/>
        <v>2.9206604663781279</v>
      </c>
      <c r="M340" s="4">
        <f t="shared" si="197"/>
        <v>0.68477661920085264</v>
      </c>
      <c r="N340" s="4">
        <f t="shared" si="198"/>
        <v>0.14067570546124486</v>
      </c>
      <c r="O340" s="3">
        <f t="shared" si="199"/>
        <v>-1.9189020000000028</v>
      </c>
      <c r="P340" s="3">
        <f t="shared" si="200"/>
        <v>0.13554099999998925</v>
      </c>
      <c r="Q340">
        <f t="shared" si="201"/>
        <v>1</v>
      </c>
      <c r="R340" s="3">
        <f t="shared" si="202"/>
        <v>-1.9189020000000028</v>
      </c>
      <c r="S340" s="3">
        <f t="shared" si="203"/>
        <v>0.13554099999998925</v>
      </c>
      <c r="T340">
        <f t="shared" si="204"/>
        <v>1</v>
      </c>
      <c r="U340" s="3">
        <f t="shared" si="205"/>
        <v>-1.9189020000000028</v>
      </c>
      <c r="V340" s="3">
        <f t="shared" si="206"/>
        <v>0.13554099999998925</v>
      </c>
      <c r="W340">
        <f t="shared" si="207"/>
        <v>1</v>
      </c>
      <c r="X340" s="3">
        <f t="shared" si="208"/>
        <v>-1.9189020000000028</v>
      </c>
      <c r="Y340" s="3">
        <f t="shared" si="209"/>
        <v>0.13554099999998925</v>
      </c>
      <c r="Z340">
        <f t="shared" si="210"/>
        <v>1</v>
      </c>
      <c r="AA340" s="3">
        <f t="shared" si="211"/>
        <v>-1.9189020000000028</v>
      </c>
      <c r="AB340" s="3">
        <f t="shared" si="212"/>
        <v>0.13554099999998925</v>
      </c>
      <c r="AC340">
        <f t="shared" si="213"/>
        <v>1</v>
      </c>
      <c r="AD340" s="3">
        <f t="shared" si="214"/>
        <v>-1.9189020000000028</v>
      </c>
      <c r="AE340" s="3">
        <f t="shared" si="215"/>
        <v>0.13554099999998925</v>
      </c>
      <c r="AF340">
        <f t="shared" si="216"/>
        <v>1</v>
      </c>
      <c r="AG340" s="3">
        <f t="shared" si="217"/>
        <v>-1.9189020000000028</v>
      </c>
      <c r="AH340" s="3">
        <f t="shared" si="218"/>
        <v>0.13554099999998925</v>
      </c>
      <c r="AI340">
        <f t="shared" si="219"/>
        <v>1</v>
      </c>
      <c r="AJ340" s="3">
        <f t="shared" si="220"/>
        <v>-1.9189020000000028</v>
      </c>
      <c r="AK340" s="3">
        <f t="shared" si="221"/>
        <v>0.13554099999998925</v>
      </c>
      <c r="AL340">
        <f t="shared" si="222"/>
        <v>1</v>
      </c>
      <c r="AM340" s="3">
        <f t="shared" si="223"/>
        <v>-1.9189020000000028</v>
      </c>
      <c r="AN340" s="3">
        <f t="shared" si="224"/>
        <v>0.13554099999998925</v>
      </c>
      <c r="AO340">
        <f t="shared" si="225"/>
        <v>1</v>
      </c>
      <c r="AP340" s="3">
        <f t="shared" si="226"/>
        <v>0</v>
      </c>
      <c r="AQ340" s="3">
        <f t="shared" si="227"/>
        <v>0</v>
      </c>
      <c r="AR340">
        <f t="shared" si="228"/>
        <v>0</v>
      </c>
    </row>
    <row r="341" spans="4:44" x14ac:dyDescent="0.25">
      <c r="D341" s="1">
        <v>42249</v>
      </c>
      <c r="E341" s="2">
        <v>109.426519</v>
      </c>
      <c r="F341" s="2">
        <v>189.18661800000001</v>
      </c>
      <c r="G341" s="2">
        <f t="shared" si="191"/>
        <v>4.5001780000000053</v>
      </c>
      <c r="H341" s="2">
        <f t="shared" si="192"/>
        <v>3.5240730000000156</v>
      </c>
      <c r="I341" s="4">
        <f t="shared" si="193"/>
        <v>4.4377987303645119</v>
      </c>
      <c r="J341" s="4">
        <f t="shared" si="194"/>
        <v>3.4228520610193325</v>
      </c>
      <c r="K341" s="4">
        <f t="shared" si="195"/>
        <v>24.689601447197848</v>
      </c>
      <c r="L341" s="4">
        <f t="shared" si="196"/>
        <v>4.9688631946550759</v>
      </c>
      <c r="M341" s="4">
        <f t="shared" si="197"/>
        <v>0.40250655364216248</v>
      </c>
      <c r="N341" s="4">
        <f t="shared" si="198"/>
        <v>4.8603457717467297E-2</v>
      </c>
      <c r="O341" s="3">
        <f t="shared" si="199"/>
        <v>4.5001780000000053</v>
      </c>
      <c r="P341" s="3">
        <f t="shared" si="200"/>
        <v>3.5240730000000156</v>
      </c>
      <c r="Q341">
        <f t="shared" si="201"/>
        <v>1</v>
      </c>
      <c r="R341" s="3">
        <f t="shared" si="202"/>
        <v>4.5001780000000053</v>
      </c>
      <c r="S341" s="3">
        <f t="shared" si="203"/>
        <v>3.5240730000000156</v>
      </c>
      <c r="T341">
        <f t="shared" si="204"/>
        <v>1</v>
      </c>
      <c r="U341" s="3">
        <f t="shared" si="205"/>
        <v>4.5001780000000053</v>
      </c>
      <c r="V341" s="3">
        <f t="shared" si="206"/>
        <v>3.5240730000000156</v>
      </c>
      <c r="W341">
        <f t="shared" si="207"/>
        <v>1</v>
      </c>
      <c r="X341" s="3">
        <f t="shared" si="208"/>
        <v>4.5001780000000053</v>
      </c>
      <c r="Y341" s="3">
        <f t="shared" si="209"/>
        <v>3.5240730000000156</v>
      </c>
      <c r="Z341">
        <f t="shared" si="210"/>
        <v>1</v>
      </c>
      <c r="AA341" s="3">
        <f t="shared" si="211"/>
        <v>4.5001780000000053</v>
      </c>
      <c r="AB341" s="3">
        <f t="shared" si="212"/>
        <v>3.5240730000000156</v>
      </c>
      <c r="AC341">
        <f t="shared" si="213"/>
        <v>1</v>
      </c>
      <c r="AD341" s="3">
        <f t="shared" si="214"/>
        <v>4.5001780000000053</v>
      </c>
      <c r="AE341" s="3">
        <f t="shared" si="215"/>
        <v>3.5240730000000156</v>
      </c>
      <c r="AF341">
        <f t="shared" si="216"/>
        <v>1</v>
      </c>
      <c r="AG341" s="3">
        <f t="shared" si="217"/>
        <v>4.5001780000000053</v>
      </c>
      <c r="AH341" s="3">
        <f t="shared" si="218"/>
        <v>3.5240730000000156</v>
      </c>
      <c r="AI341">
        <f t="shared" si="219"/>
        <v>1</v>
      </c>
      <c r="AJ341" s="3">
        <f t="shared" si="220"/>
        <v>4.5001780000000053</v>
      </c>
      <c r="AK341" s="3">
        <f t="shared" si="221"/>
        <v>3.5240730000000156</v>
      </c>
      <c r="AL341">
        <f t="shared" si="222"/>
        <v>1</v>
      </c>
      <c r="AM341" s="3">
        <f t="shared" si="223"/>
        <v>4.5001780000000053</v>
      </c>
      <c r="AN341" s="3">
        <f t="shared" si="224"/>
        <v>3.5240730000000156</v>
      </c>
      <c r="AO341">
        <f t="shared" si="225"/>
        <v>1</v>
      </c>
      <c r="AP341" s="3">
        <f t="shared" si="226"/>
        <v>4.5001780000000053</v>
      </c>
      <c r="AQ341" s="3">
        <f t="shared" si="227"/>
        <v>3.5240730000000156</v>
      </c>
      <c r="AR341">
        <f t="shared" si="228"/>
        <v>1</v>
      </c>
    </row>
    <row r="342" spans="4:44" x14ac:dyDescent="0.25">
      <c r="D342" s="1">
        <v>42248</v>
      </c>
      <c r="E342" s="2">
        <v>104.92634099999999</v>
      </c>
      <c r="F342" s="2">
        <v>185.66254499999999</v>
      </c>
      <c r="G342" s="2">
        <f t="shared" si="191"/>
        <v>-4.9092920000000078</v>
      </c>
      <c r="H342" s="2">
        <f t="shared" si="192"/>
        <v>-5.7120920000000126</v>
      </c>
      <c r="I342" s="4">
        <f t="shared" si="193"/>
        <v>-4.9716712696355012</v>
      </c>
      <c r="J342" s="4">
        <f t="shared" si="194"/>
        <v>-5.8133129389806957</v>
      </c>
      <c r="K342" s="4">
        <f t="shared" si="195"/>
        <v>41.652572697026194</v>
      </c>
      <c r="L342" s="4">
        <f t="shared" si="196"/>
        <v>6.453880437149901</v>
      </c>
      <c r="M342" s="4">
        <f t="shared" si="197"/>
        <v>0.30989108327566417</v>
      </c>
      <c r="N342" s="4">
        <f t="shared" si="198"/>
        <v>2.8809745048129394E-2</v>
      </c>
      <c r="O342" s="3">
        <f t="shared" si="199"/>
        <v>-4.9092920000000078</v>
      </c>
      <c r="P342" s="3">
        <f t="shared" si="200"/>
        <v>-5.7120920000000126</v>
      </c>
      <c r="Q342">
        <f t="shared" si="201"/>
        <v>1</v>
      </c>
      <c r="R342" s="3">
        <f t="shared" si="202"/>
        <v>-4.9092920000000078</v>
      </c>
      <c r="S342" s="3">
        <f t="shared" si="203"/>
        <v>-5.7120920000000126</v>
      </c>
      <c r="T342">
        <f t="shared" si="204"/>
        <v>1</v>
      </c>
      <c r="U342" s="3">
        <f t="shared" si="205"/>
        <v>-4.9092920000000078</v>
      </c>
      <c r="V342" s="3">
        <f t="shared" si="206"/>
        <v>-5.7120920000000126</v>
      </c>
      <c r="W342">
        <f t="shared" si="207"/>
        <v>1</v>
      </c>
      <c r="X342" s="3">
        <f t="shared" si="208"/>
        <v>-4.9092920000000078</v>
      </c>
      <c r="Y342" s="3">
        <f t="shared" si="209"/>
        <v>-5.7120920000000126</v>
      </c>
      <c r="Z342">
        <f t="shared" si="210"/>
        <v>1</v>
      </c>
      <c r="AA342" s="3">
        <f t="shared" si="211"/>
        <v>-4.9092920000000078</v>
      </c>
      <c r="AB342" s="3">
        <f t="shared" si="212"/>
        <v>-5.7120920000000126</v>
      </c>
      <c r="AC342">
        <f t="shared" si="213"/>
        <v>1</v>
      </c>
      <c r="AD342" s="3">
        <f t="shared" si="214"/>
        <v>-4.9092920000000078</v>
      </c>
      <c r="AE342" s="3">
        <f t="shared" si="215"/>
        <v>-5.7120920000000126</v>
      </c>
      <c r="AF342">
        <f t="shared" si="216"/>
        <v>1</v>
      </c>
      <c r="AG342" s="3">
        <f t="shared" si="217"/>
        <v>-4.9092920000000078</v>
      </c>
      <c r="AH342" s="3">
        <f t="shared" si="218"/>
        <v>-5.7120920000000126</v>
      </c>
      <c r="AI342">
        <f t="shared" si="219"/>
        <v>1</v>
      </c>
      <c r="AJ342" s="3">
        <f t="shared" si="220"/>
        <v>-4.9092920000000078</v>
      </c>
      <c r="AK342" s="3">
        <f t="shared" si="221"/>
        <v>-5.7120920000000126</v>
      </c>
      <c r="AL342">
        <f t="shared" si="222"/>
        <v>1</v>
      </c>
      <c r="AM342" s="3">
        <f t="shared" si="223"/>
        <v>-4.9092920000000078</v>
      </c>
      <c r="AN342" s="3">
        <f t="shared" si="224"/>
        <v>-5.7120920000000126</v>
      </c>
      <c r="AO342">
        <f t="shared" si="225"/>
        <v>1</v>
      </c>
      <c r="AP342" s="3">
        <f t="shared" si="226"/>
        <v>-4.9092920000000078</v>
      </c>
      <c r="AQ342" s="3">
        <f t="shared" si="227"/>
        <v>-5.7120920000000126</v>
      </c>
      <c r="AR342">
        <f t="shared" si="228"/>
        <v>1</v>
      </c>
    </row>
    <row r="343" spans="4:44" x14ac:dyDescent="0.25">
      <c r="D343" s="1">
        <v>42247</v>
      </c>
      <c r="E343" s="2">
        <v>109.835633</v>
      </c>
      <c r="F343" s="2">
        <v>191.37463700000001</v>
      </c>
      <c r="G343" s="2">
        <f t="shared" si="191"/>
        <v>-0.51625299999999186</v>
      </c>
      <c r="H343" s="2">
        <f t="shared" si="192"/>
        <v>-1.5587249999999813</v>
      </c>
      <c r="I343" s="4">
        <f t="shared" si="193"/>
        <v>-0.57863226963548486</v>
      </c>
      <c r="J343" s="4">
        <f t="shared" si="194"/>
        <v>-1.6599459389806646</v>
      </c>
      <c r="K343" s="4">
        <f t="shared" si="195"/>
        <v>3.4440640008176144</v>
      </c>
      <c r="L343" s="4">
        <f t="shared" si="196"/>
        <v>1.8558189569076005</v>
      </c>
      <c r="M343" s="4">
        <f t="shared" si="197"/>
        <v>1</v>
      </c>
      <c r="N343" s="4">
        <f t="shared" si="198"/>
        <v>0.34842558085886971</v>
      </c>
      <c r="O343" s="3">
        <f t="shared" si="199"/>
        <v>-0.51625299999999186</v>
      </c>
      <c r="P343" s="3">
        <f t="shared" si="200"/>
        <v>-1.5587249999999813</v>
      </c>
      <c r="Q343">
        <f t="shared" si="201"/>
        <v>1</v>
      </c>
      <c r="R343" s="3">
        <f t="shared" si="202"/>
        <v>-0.51625299999999186</v>
      </c>
      <c r="S343" s="3">
        <f t="shared" si="203"/>
        <v>-1.5587249999999813</v>
      </c>
      <c r="T343">
        <f t="shared" si="204"/>
        <v>1</v>
      </c>
      <c r="U343" s="3">
        <f t="shared" si="205"/>
        <v>-0.51625299999999186</v>
      </c>
      <c r="V343" s="3">
        <f t="shared" si="206"/>
        <v>-1.5587249999999813</v>
      </c>
      <c r="W343">
        <f t="shared" si="207"/>
        <v>1</v>
      </c>
      <c r="X343" s="3">
        <f t="shared" si="208"/>
        <v>-0.51625299999999186</v>
      </c>
      <c r="Y343" s="3">
        <f t="shared" si="209"/>
        <v>-1.5587249999999813</v>
      </c>
      <c r="Z343">
        <f t="shared" si="210"/>
        <v>1</v>
      </c>
      <c r="AA343" s="3">
        <f t="shared" si="211"/>
        <v>0</v>
      </c>
      <c r="AB343" s="3">
        <f t="shared" si="212"/>
        <v>0</v>
      </c>
      <c r="AC343">
        <f t="shared" si="213"/>
        <v>0</v>
      </c>
      <c r="AD343" s="3">
        <f t="shared" si="214"/>
        <v>0</v>
      </c>
      <c r="AE343" s="3">
        <f t="shared" si="215"/>
        <v>0</v>
      </c>
      <c r="AF343">
        <f t="shared" si="216"/>
        <v>0</v>
      </c>
      <c r="AG343" s="3">
        <f t="shared" si="217"/>
        <v>0</v>
      </c>
      <c r="AH343" s="3">
        <f t="shared" si="218"/>
        <v>0</v>
      </c>
      <c r="AI343">
        <f t="shared" si="219"/>
        <v>0</v>
      </c>
      <c r="AJ343" s="3">
        <f t="shared" si="220"/>
        <v>0</v>
      </c>
      <c r="AK343" s="3">
        <f t="shared" si="221"/>
        <v>0</v>
      </c>
      <c r="AL343">
        <f t="shared" si="222"/>
        <v>0</v>
      </c>
      <c r="AM343" s="3">
        <f t="shared" si="223"/>
        <v>0</v>
      </c>
      <c r="AN343" s="3">
        <f t="shared" si="224"/>
        <v>0</v>
      </c>
      <c r="AO343">
        <f t="shared" si="225"/>
        <v>0</v>
      </c>
      <c r="AP343" s="3">
        <f t="shared" si="226"/>
        <v>0</v>
      </c>
      <c r="AQ343" s="3">
        <f t="shared" si="227"/>
        <v>0</v>
      </c>
      <c r="AR343">
        <f t="shared" si="228"/>
        <v>0</v>
      </c>
    </row>
    <row r="344" spans="4:44" x14ac:dyDescent="0.25">
      <c r="D344" s="1">
        <v>42244</v>
      </c>
      <c r="E344" s="2">
        <v>110.35188599999999</v>
      </c>
      <c r="F344" s="2">
        <v>192.93336199999999</v>
      </c>
      <c r="G344" s="2">
        <f t="shared" si="191"/>
        <v>0.36040699999999504</v>
      </c>
      <c r="H344" s="2">
        <f t="shared" si="192"/>
        <v>9.6759999999846968E-3</v>
      </c>
      <c r="I344" s="4">
        <f t="shared" si="193"/>
        <v>0.29802773036450203</v>
      </c>
      <c r="J344" s="4">
        <f t="shared" si="194"/>
        <v>-9.1544938980698515E-2</v>
      </c>
      <c r="K344" s="4">
        <f t="shared" si="195"/>
        <v>0.27567043962684923</v>
      </c>
      <c r="L344" s="4">
        <f t="shared" si="196"/>
        <v>0.52504327405162443</v>
      </c>
      <c r="M344" s="4">
        <f t="shared" si="197"/>
        <v>1</v>
      </c>
      <c r="N344" s="4">
        <f t="shared" si="198"/>
        <v>1</v>
      </c>
      <c r="O344" s="3">
        <f t="shared" si="199"/>
        <v>0.36040699999999504</v>
      </c>
      <c r="P344" s="3">
        <f t="shared" si="200"/>
        <v>9.6759999999846968E-3</v>
      </c>
      <c r="Q344">
        <f t="shared" si="201"/>
        <v>1</v>
      </c>
      <c r="R344" s="3">
        <f t="shared" si="202"/>
        <v>0</v>
      </c>
      <c r="S344" s="3">
        <f t="shared" si="203"/>
        <v>0</v>
      </c>
      <c r="T344">
        <f t="shared" si="204"/>
        <v>0</v>
      </c>
      <c r="U344" s="3">
        <f t="shared" si="205"/>
        <v>0</v>
      </c>
      <c r="V344" s="3">
        <f t="shared" si="206"/>
        <v>0</v>
      </c>
      <c r="W344">
        <f t="shared" si="207"/>
        <v>0</v>
      </c>
      <c r="X344" s="3">
        <f t="shared" si="208"/>
        <v>0</v>
      </c>
      <c r="Y344" s="3">
        <f t="shared" si="209"/>
        <v>0</v>
      </c>
      <c r="Z344">
        <f t="shared" si="210"/>
        <v>0</v>
      </c>
      <c r="AA344" s="3">
        <f t="shared" si="211"/>
        <v>0</v>
      </c>
      <c r="AB344" s="3">
        <f t="shared" si="212"/>
        <v>0</v>
      </c>
      <c r="AC344">
        <f t="shared" si="213"/>
        <v>0</v>
      </c>
      <c r="AD344" s="3">
        <f t="shared" si="214"/>
        <v>0</v>
      </c>
      <c r="AE344" s="3">
        <f t="shared" si="215"/>
        <v>0</v>
      </c>
      <c r="AF344">
        <f t="shared" si="216"/>
        <v>0</v>
      </c>
      <c r="AG344" s="3">
        <f t="shared" si="217"/>
        <v>0</v>
      </c>
      <c r="AH344" s="3">
        <f t="shared" si="218"/>
        <v>0</v>
      </c>
      <c r="AI344">
        <f t="shared" si="219"/>
        <v>0</v>
      </c>
      <c r="AJ344" s="3">
        <f t="shared" si="220"/>
        <v>0</v>
      </c>
      <c r="AK344" s="3">
        <f t="shared" si="221"/>
        <v>0</v>
      </c>
      <c r="AL344">
        <f t="shared" si="222"/>
        <v>0</v>
      </c>
      <c r="AM344" s="3">
        <f t="shared" si="223"/>
        <v>0</v>
      </c>
      <c r="AN344" s="3">
        <f t="shared" si="224"/>
        <v>0</v>
      </c>
      <c r="AO344">
        <f t="shared" si="225"/>
        <v>0</v>
      </c>
      <c r="AP344" s="3">
        <f t="shared" si="226"/>
        <v>0</v>
      </c>
      <c r="AQ344" s="3">
        <f t="shared" si="227"/>
        <v>0</v>
      </c>
      <c r="AR344">
        <f t="shared" si="228"/>
        <v>0</v>
      </c>
    </row>
    <row r="345" spans="4:44" x14ac:dyDescent="0.25">
      <c r="D345" s="1">
        <v>42243</v>
      </c>
      <c r="E345" s="2">
        <v>109.991479</v>
      </c>
      <c r="F345" s="2">
        <v>192.923686</v>
      </c>
      <c r="G345" s="2">
        <f t="shared" si="191"/>
        <v>3.1462269999999961</v>
      </c>
      <c r="H345" s="2">
        <f t="shared" si="192"/>
        <v>4.6568090000000097</v>
      </c>
      <c r="I345" s="4">
        <f t="shared" si="193"/>
        <v>3.0838477303645031</v>
      </c>
      <c r="J345" s="4">
        <f t="shared" si="194"/>
        <v>4.5555880610193267</v>
      </c>
      <c r="K345" s="4">
        <f t="shared" si="195"/>
        <v>23.121335942927022</v>
      </c>
      <c r="L345" s="4">
        <f t="shared" si="196"/>
        <v>4.8084650298122185</v>
      </c>
      <c r="M345" s="4">
        <f t="shared" si="197"/>
        <v>0.41593314864517267</v>
      </c>
      <c r="N345" s="4">
        <f t="shared" si="198"/>
        <v>5.1900115242566179E-2</v>
      </c>
      <c r="O345" s="3">
        <f t="shared" si="199"/>
        <v>3.1462269999999961</v>
      </c>
      <c r="P345" s="3">
        <f t="shared" si="200"/>
        <v>4.6568090000000097</v>
      </c>
      <c r="Q345">
        <f t="shared" si="201"/>
        <v>1</v>
      </c>
      <c r="R345" s="3">
        <f t="shared" si="202"/>
        <v>3.1462269999999961</v>
      </c>
      <c r="S345" s="3">
        <f t="shared" si="203"/>
        <v>4.6568090000000097</v>
      </c>
      <c r="T345">
        <f t="shared" si="204"/>
        <v>1</v>
      </c>
      <c r="U345" s="3">
        <f t="shared" si="205"/>
        <v>3.1462269999999961</v>
      </c>
      <c r="V345" s="3">
        <f t="shared" si="206"/>
        <v>4.6568090000000097</v>
      </c>
      <c r="W345">
        <f t="shared" si="207"/>
        <v>1</v>
      </c>
      <c r="X345" s="3">
        <f t="shared" si="208"/>
        <v>3.1462269999999961</v>
      </c>
      <c r="Y345" s="3">
        <f t="shared" si="209"/>
        <v>4.6568090000000097</v>
      </c>
      <c r="Z345">
        <f t="shared" si="210"/>
        <v>1</v>
      </c>
      <c r="AA345" s="3">
        <f t="shared" si="211"/>
        <v>3.1462269999999961</v>
      </c>
      <c r="AB345" s="3">
        <f t="shared" si="212"/>
        <v>4.6568090000000097</v>
      </c>
      <c r="AC345">
        <f t="shared" si="213"/>
        <v>1</v>
      </c>
      <c r="AD345" s="3">
        <f t="shared" si="214"/>
        <v>3.1462269999999961</v>
      </c>
      <c r="AE345" s="3">
        <f t="shared" si="215"/>
        <v>4.6568090000000097</v>
      </c>
      <c r="AF345">
        <f t="shared" si="216"/>
        <v>1</v>
      </c>
      <c r="AG345" s="3">
        <f t="shared" si="217"/>
        <v>3.1462269999999961</v>
      </c>
      <c r="AH345" s="3">
        <f t="shared" si="218"/>
        <v>4.6568090000000097</v>
      </c>
      <c r="AI345">
        <f t="shared" si="219"/>
        <v>1</v>
      </c>
      <c r="AJ345" s="3">
        <f t="shared" si="220"/>
        <v>3.1462269999999961</v>
      </c>
      <c r="AK345" s="3">
        <f t="shared" si="221"/>
        <v>4.6568090000000097</v>
      </c>
      <c r="AL345">
        <f t="shared" si="222"/>
        <v>1</v>
      </c>
      <c r="AM345" s="3">
        <f t="shared" si="223"/>
        <v>3.1462269999999961</v>
      </c>
      <c r="AN345" s="3">
        <f t="shared" si="224"/>
        <v>4.6568090000000097</v>
      </c>
      <c r="AO345">
        <f t="shared" si="225"/>
        <v>1</v>
      </c>
      <c r="AP345" s="3">
        <f t="shared" si="226"/>
        <v>3.1462269999999961</v>
      </c>
      <c r="AQ345" s="3">
        <f t="shared" si="227"/>
        <v>4.6568090000000097</v>
      </c>
      <c r="AR345">
        <f t="shared" si="228"/>
        <v>1</v>
      </c>
    </row>
    <row r="346" spans="4:44" x14ac:dyDescent="0.25">
      <c r="D346" s="1">
        <v>42242</v>
      </c>
      <c r="E346" s="2">
        <v>106.845252</v>
      </c>
      <c r="F346" s="2">
        <v>188.26687699999999</v>
      </c>
      <c r="G346" s="2">
        <f t="shared" si="191"/>
        <v>5.7956950000000091</v>
      </c>
      <c r="H346" s="2">
        <f t="shared" si="192"/>
        <v>6.9610169999999982</v>
      </c>
      <c r="I346" s="4">
        <f t="shared" si="193"/>
        <v>5.7333157303645157</v>
      </c>
      <c r="J346" s="4">
        <f t="shared" si="194"/>
        <v>6.8597960610193152</v>
      </c>
      <c r="K346" s="4">
        <f t="shared" si="195"/>
        <v>57.08189397554991</v>
      </c>
      <c r="L346" s="4">
        <f t="shared" si="196"/>
        <v>7.5552560496352408</v>
      </c>
      <c r="M346" s="4">
        <f t="shared" si="197"/>
        <v>0.2647163758396458</v>
      </c>
      <c r="N346" s="4">
        <f t="shared" si="198"/>
        <v>2.1022427891302979E-2</v>
      </c>
      <c r="O346" s="3">
        <f t="shared" si="199"/>
        <v>5.7956950000000091</v>
      </c>
      <c r="P346" s="3">
        <f t="shared" si="200"/>
        <v>6.9610169999999982</v>
      </c>
      <c r="Q346">
        <f t="shared" si="201"/>
        <v>1</v>
      </c>
      <c r="R346" s="3">
        <f t="shared" si="202"/>
        <v>5.7956950000000091</v>
      </c>
      <c r="S346" s="3">
        <f t="shared" si="203"/>
        <v>6.9610169999999982</v>
      </c>
      <c r="T346">
        <f t="shared" si="204"/>
        <v>1</v>
      </c>
      <c r="U346" s="3">
        <f t="shared" si="205"/>
        <v>5.7956950000000091</v>
      </c>
      <c r="V346" s="3">
        <f t="shared" si="206"/>
        <v>6.9610169999999982</v>
      </c>
      <c r="W346">
        <f t="shared" si="207"/>
        <v>1</v>
      </c>
      <c r="X346" s="3">
        <f t="shared" si="208"/>
        <v>5.7956950000000091</v>
      </c>
      <c r="Y346" s="3">
        <f t="shared" si="209"/>
        <v>6.9610169999999982</v>
      </c>
      <c r="Z346">
        <f t="shared" si="210"/>
        <v>1</v>
      </c>
      <c r="AA346" s="3">
        <f t="shared" si="211"/>
        <v>5.7956950000000091</v>
      </c>
      <c r="AB346" s="3">
        <f t="shared" si="212"/>
        <v>6.9610169999999982</v>
      </c>
      <c r="AC346">
        <f t="shared" si="213"/>
        <v>1</v>
      </c>
      <c r="AD346" s="3">
        <f t="shared" si="214"/>
        <v>5.7956950000000091</v>
      </c>
      <c r="AE346" s="3">
        <f t="shared" si="215"/>
        <v>6.9610169999999982</v>
      </c>
      <c r="AF346">
        <f t="shared" si="216"/>
        <v>1</v>
      </c>
      <c r="AG346" s="3">
        <f t="shared" si="217"/>
        <v>5.7956950000000091</v>
      </c>
      <c r="AH346" s="3">
        <f t="shared" si="218"/>
        <v>6.9610169999999982</v>
      </c>
      <c r="AI346">
        <f t="shared" si="219"/>
        <v>1</v>
      </c>
      <c r="AJ346" s="3">
        <f t="shared" si="220"/>
        <v>5.7956950000000091</v>
      </c>
      <c r="AK346" s="3">
        <f t="shared" si="221"/>
        <v>6.9610169999999982</v>
      </c>
      <c r="AL346">
        <f t="shared" si="222"/>
        <v>1</v>
      </c>
      <c r="AM346" s="3">
        <f t="shared" si="223"/>
        <v>5.7956950000000091</v>
      </c>
      <c r="AN346" s="3">
        <f t="shared" si="224"/>
        <v>6.9610169999999982</v>
      </c>
      <c r="AO346">
        <f t="shared" si="225"/>
        <v>1</v>
      </c>
      <c r="AP346" s="3">
        <f t="shared" si="226"/>
        <v>5.7956950000000091</v>
      </c>
      <c r="AQ346" s="3">
        <f t="shared" si="227"/>
        <v>6.9610169999999982</v>
      </c>
      <c r="AR346">
        <f t="shared" si="228"/>
        <v>1</v>
      </c>
    </row>
    <row r="347" spans="4:44" x14ac:dyDescent="0.25">
      <c r="D347" s="1">
        <v>42241</v>
      </c>
      <c r="E347" s="2">
        <v>101.04955699999999</v>
      </c>
      <c r="F347" s="2">
        <v>181.30586</v>
      </c>
      <c r="G347" s="2">
        <f t="shared" si="191"/>
        <v>0.60391599999999812</v>
      </c>
      <c r="H347" s="2">
        <f t="shared" si="192"/>
        <v>-2.1589749999999981</v>
      </c>
      <c r="I347" s="4">
        <f t="shared" si="193"/>
        <v>0.54153673036450511</v>
      </c>
      <c r="J347" s="4">
        <f t="shared" si="194"/>
        <v>-2.2601959389806812</v>
      </c>
      <c r="K347" s="4">
        <f t="shared" si="195"/>
        <v>13.487172307260773</v>
      </c>
      <c r="L347" s="4">
        <f t="shared" si="196"/>
        <v>3.6724885714268427</v>
      </c>
      <c r="M347" s="4">
        <f t="shared" si="197"/>
        <v>0.54458984993463322</v>
      </c>
      <c r="N347" s="4">
        <f t="shared" si="198"/>
        <v>8.8973431395547906E-2</v>
      </c>
      <c r="O347" s="3">
        <f t="shared" si="199"/>
        <v>0.60391599999999812</v>
      </c>
      <c r="P347" s="3">
        <f t="shared" si="200"/>
        <v>-2.1589749999999981</v>
      </c>
      <c r="Q347">
        <f t="shared" si="201"/>
        <v>1</v>
      </c>
      <c r="R347" s="3">
        <f t="shared" si="202"/>
        <v>0.60391599999999812</v>
      </c>
      <c r="S347" s="3">
        <f t="shared" si="203"/>
        <v>-2.1589749999999981</v>
      </c>
      <c r="T347">
        <f t="shared" si="204"/>
        <v>1</v>
      </c>
      <c r="U347" s="3">
        <f t="shared" si="205"/>
        <v>0.60391599999999812</v>
      </c>
      <c r="V347" s="3">
        <f t="shared" si="206"/>
        <v>-2.1589749999999981</v>
      </c>
      <c r="W347">
        <f t="shared" si="207"/>
        <v>1</v>
      </c>
      <c r="X347" s="3">
        <f t="shared" si="208"/>
        <v>0.60391599999999812</v>
      </c>
      <c r="Y347" s="3">
        <f t="shared" si="209"/>
        <v>-2.1589749999999981</v>
      </c>
      <c r="Z347">
        <f t="shared" si="210"/>
        <v>1</v>
      </c>
      <c r="AA347" s="3">
        <f t="shared" si="211"/>
        <v>0.60391599999999812</v>
      </c>
      <c r="AB347" s="3">
        <f t="shared" si="212"/>
        <v>-2.1589749999999981</v>
      </c>
      <c r="AC347">
        <f t="shared" si="213"/>
        <v>1</v>
      </c>
      <c r="AD347" s="3">
        <f t="shared" si="214"/>
        <v>0.60391599999999812</v>
      </c>
      <c r="AE347" s="3">
        <f t="shared" si="215"/>
        <v>-2.1589749999999981</v>
      </c>
      <c r="AF347">
        <f t="shared" si="216"/>
        <v>1</v>
      </c>
      <c r="AG347" s="3">
        <f t="shared" si="217"/>
        <v>0.60391599999999812</v>
      </c>
      <c r="AH347" s="3">
        <f t="shared" si="218"/>
        <v>-2.1589749999999981</v>
      </c>
      <c r="AI347">
        <f t="shared" si="219"/>
        <v>1</v>
      </c>
      <c r="AJ347" s="3">
        <f t="shared" si="220"/>
        <v>0.60391599999999812</v>
      </c>
      <c r="AK347" s="3">
        <f t="shared" si="221"/>
        <v>-2.1589749999999981</v>
      </c>
      <c r="AL347">
        <f t="shared" si="222"/>
        <v>1</v>
      </c>
      <c r="AM347" s="3">
        <f t="shared" si="223"/>
        <v>0.60391599999999812</v>
      </c>
      <c r="AN347" s="3">
        <f t="shared" si="224"/>
        <v>-2.1589749999999981</v>
      </c>
      <c r="AO347">
        <f t="shared" si="225"/>
        <v>1</v>
      </c>
      <c r="AP347" s="3">
        <f t="shared" si="226"/>
        <v>0.60391599999999812</v>
      </c>
      <c r="AQ347" s="3">
        <f t="shared" si="227"/>
        <v>-2.1589749999999981</v>
      </c>
      <c r="AR347">
        <f t="shared" si="228"/>
        <v>1</v>
      </c>
    </row>
    <row r="348" spans="4:44" x14ac:dyDescent="0.25">
      <c r="D348" s="1">
        <v>42240</v>
      </c>
      <c r="E348" s="2">
        <v>100.44564099999999</v>
      </c>
      <c r="F348" s="2">
        <v>183.46483499999999</v>
      </c>
      <c r="G348" s="2">
        <f t="shared" si="191"/>
        <v>-2.5715330000000023</v>
      </c>
      <c r="H348" s="2">
        <f t="shared" si="192"/>
        <v>-8.0647100000000194</v>
      </c>
      <c r="I348" s="4">
        <f t="shared" si="193"/>
        <v>-2.6339122696354953</v>
      </c>
      <c r="J348" s="4">
        <f t="shared" si="194"/>
        <v>-8.1659309389807024</v>
      </c>
      <c r="K348" s="4">
        <f t="shared" si="195"/>
        <v>85.375077667331155</v>
      </c>
      <c r="L348" s="4">
        <f t="shared" si="196"/>
        <v>9.2398635091288632</v>
      </c>
      <c r="M348" s="4">
        <f t="shared" si="197"/>
        <v>0.21645341384361647</v>
      </c>
      <c r="N348" s="4">
        <f t="shared" si="198"/>
        <v>1.4055624109366767E-2</v>
      </c>
      <c r="O348" s="3">
        <f t="shared" si="199"/>
        <v>-2.5715330000000023</v>
      </c>
      <c r="P348" s="3">
        <f t="shared" si="200"/>
        <v>-8.0647100000000194</v>
      </c>
      <c r="Q348">
        <f t="shared" si="201"/>
        <v>1</v>
      </c>
      <c r="R348" s="3">
        <f t="shared" si="202"/>
        <v>-2.5715330000000023</v>
      </c>
      <c r="S348" s="3">
        <f t="shared" si="203"/>
        <v>-8.0647100000000194</v>
      </c>
      <c r="T348">
        <f t="shared" si="204"/>
        <v>1</v>
      </c>
      <c r="U348" s="3">
        <f t="shared" si="205"/>
        <v>-2.5715330000000023</v>
      </c>
      <c r="V348" s="3">
        <f t="shared" si="206"/>
        <v>-8.0647100000000194</v>
      </c>
      <c r="W348">
        <f t="shared" si="207"/>
        <v>1</v>
      </c>
      <c r="X348" s="3">
        <f t="shared" si="208"/>
        <v>-2.5715330000000023</v>
      </c>
      <c r="Y348" s="3">
        <f t="shared" si="209"/>
        <v>-8.0647100000000194</v>
      </c>
      <c r="Z348">
        <f t="shared" si="210"/>
        <v>1</v>
      </c>
      <c r="AA348" s="3">
        <f t="shared" si="211"/>
        <v>-2.5715330000000023</v>
      </c>
      <c r="AB348" s="3">
        <f t="shared" si="212"/>
        <v>-8.0647100000000194</v>
      </c>
      <c r="AC348">
        <f t="shared" si="213"/>
        <v>1</v>
      </c>
      <c r="AD348" s="3">
        <f t="shared" si="214"/>
        <v>-2.5715330000000023</v>
      </c>
      <c r="AE348" s="3">
        <f t="shared" si="215"/>
        <v>-8.0647100000000194</v>
      </c>
      <c r="AF348">
        <f t="shared" si="216"/>
        <v>1</v>
      </c>
      <c r="AG348" s="3">
        <f t="shared" si="217"/>
        <v>-2.5715330000000023</v>
      </c>
      <c r="AH348" s="3">
        <f t="shared" si="218"/>
        <v>-8.0647100000000194</v>
      </c>
      <c r="AI348">
        <f t="shared" si="219"/>
        <v>1</v>
      </c>
      <c r="AJ348" s="3">
        <f t="shared" si="220"/>
        <v>-2.5715330000000023</v>
      </c>
      <c r="AK348" s="3">
        <f t="shared" si="221"/>
        <v>-8.0647100000000194</v>
      </c>
      <c r="AL348">
        <f t="shared" si="222"/>
        <v>1</v>
      </c>
      <c r="AM348" s="3">
        <f t="shared" si="223"/>
        <v>-2.5715330000000023</v>
      </c>
      <c r="AN348" s="3">
        <f t="shared" si="224"/>
        <v>-8.0647100000000194</v>
      </c>
      <c r="AO348">
        <f t="shared" si="225"/>
        <v>1</v>
      </c>
      <c r="AP348" s="3">
        <f t="shared" si="226"/>
        <v>-2.5715330000000023</v>
      </c>
      <c r="AQ348" s="3">
        <f t="shared" si="227"/>
        <v>-8.0647100000000194</v>
      </c>
      <c r="AR348">
        <f t="shared" si="228"/>
        <v>1</v>
      </c>
    </row>
    <row r="349" spans="4:44" x14ac:dyDescent="0.25">
      <c r="D349" s="1">
        <v>42237</v>
      </c>
      <c r="E349" s="2">
        <v>103.017174</v>
      </c>
      <c r="F349" s="2">
        <v>191.52954500000001</v>
      </c>
      <c r="G349" s="2">
        <f t="shared" si="191"/>
        <v>-6.7113110000000091</v>
      </c>
      <c r="H349" s="2">
        <f t="shared" si="192"/>
        <v>-5.9444529999999816</v>
      </c>
      <c r="I349" s="4">
        <f t="shared" si="193"/>
        <v>-6.7736902696355026</v>
      </c>
      <c r="J349" s="4">
        <f t="shared" si="194"/>
        <v>-6.0456739389806646</v>
      </c>
      <c r="K349" s="4">
        <f t="shared" si="195"/>
        <v>60.632795441941397</v>
      </c>
      <c r="L349" s="4">
        <f t="shared" si="196"/>
        <v>7.7867063282200002</v>
      </c>
      <c r="M349" s="4">
        <f t="shared" si="197"/>
        <v>0.25684800680767289</v>
      </c>
      <c r="N349" s="4">
        <f t="shared" si="198"/>
        <v>1.9791269580322311E-2</v>
      </c>
      <c r="O349" s="3">
        <f t="shared" si="199"/>
        <v>-6.7113110000000091</v>
      </c>
      <c r="P349" s="3">
        <f t="shared" si="200"/>
        <v>-5.9444529999999816</v>
      </c>
      <c r="Q349">
        <f t="shared" si="201"/>
        <v>1</v>
      </c>
      <c r="R349" s="3">
        <f t="shared" si="202"/>
        <v>-6.7113110000000091</v>
      </c>
      <c r="S349" s="3">
        <f t="shared" si="203"/>
        <v>-5.9444529999999816</v>
      </c>
      <c r="T349">
        <f t="shared" si="204"/>
        <v>1</v>
      </c>
      <c r="U349" s="3">
        <f t="shared" si="205"/>
        <v>-6.7113110000000091</v>
      </c>
      <c r="V349" s="3">
        <f t="shared" si="206"/>
        <v>-5.9444529999999816</v>
      </c>
      <c r="W349">
        <f t="shared" si="207"/>
        <v>1</v>
      </c>
      <c r="X349" s="3">
        <f t="shared" si="208"/>
        <v>-6.7113110000000091</v>
      </c>
      <c r="Y349" s="3">
        <f t="shared" si="209"/>
        <v>-5.9444529999999816</v>
      </c>
      <c r="Z349">
        <f t="shared" si="210"/>
        <v>1</v>
      </c>
      <c r="AA349" s="3">
        <f t="shared" si="211"/>
        <v>-6.7113110000000091</v>
      </c>
      <c r="AB349" s="3">
        <f t="shared" si="212"/>
        <v>-5.9444529999999816</v>
      </c>
      <c r="AC349">
        <f t="shared" si="213"/>
        <v>1</v>
      </c>
      <c r="AD349" s="3">
        <f t="shared" si="214"/>
        <v>-6.7113110000000091</v>
      </c>
      <c r="AE349" s="3">
        <f t="shared" si="215"/>
        <v>-5.9444529999999816</v>
      </c>
      <c r="AF349">
        <f t="shared" si="216"/>
        <v>1</v>
      </c>
      <c r="AG349" s="3">
        <f t="shared" si="217"/>
        <v>-6.7113110000000091</v>
      </c>
      <c r="AH349" s="3">
        <f t="shared" si="218"/>
        <v>-5.9444529999999816</v>
      </c>
      <c r="AI349">
        <f t="shared" si="219"/>
        <v>1</v>
      </c>
      <c r="AJ349" s="3">
        <f t="shared" si="220"/>
        <v>-6.7113110000000091</v>
      </c>
      <c r="AK349" s="3">
        <f t="shared" si="221"/>
        <v>-5.9444529999999816</v>
      </c>
      <c r="AL349">
        <f t="shared" si="222"/>
        <v>1</v>
      </c>
      <c r="AM349" s="3">
        <f t="shared" si="223"/>
        <v>-6.7113110000000091</v>
      </c>
      <c r="AN349" s="3">
        <f t="shared" si="224"/>
        <v>-5.9444529999999816</v>
      </c>
      <c r="AO349">
        <f t="shared" si="225"/>
        <v>1</v>
      </c>
      <c r="AP349" s="3">
        <f t="shared" si="226"/>
        <v>-6.7113110000000091</v>
      </c>
      <c r="AQ349" s="3">
        <f t="shared" si="227"/>
        <v>-5.9444529999999816</v>
      </c>
      <c r="AR349">
        <f t="shared" si="228"/>
        <v>1</v>
      </c>
    </row>
    <row r="350" spans="4:44" x14ac:dyDescent="0.25">
      <c r="D350" s="1">
        <v>42236</v>
      </c>
      <c r="E350" s="2">
        <v>109.72848500000001</v>
      </c>
      <c r="F350" s="2">
        <v>197.47399799999999</v>
      </c>
      <c r="G350" s="2">
        <f t="shared" si="191"/>
        <v>-2.2987949999999984</v>
      </c>
      <c r="H350" s="2">
        <f t="shared" si="192"/>
        <v>-4.2114679999999964</v>
      </c>
      <c r="I350" s="4">
        <f t="shared" si="193"/>
        <v>-2.3611742696354914</v>
      </c>
      <c r="J350" s="4">
        <f t="shared" si="194"/>
        <v>-4.3126889389806795</v>
      </c>
      <c r="K350" s="4">
        <f t="shared" si="195"/>
        <v>20.698506529071441</v>
      </c>
      <c r="L350" s="4">
        <f t="shared" si="196"/>
        <v>4.5495611358757939</v>
      </c>
      <c r="M350" s="4">
        <f t="shared" si="197"/>
        <v>0.43960284086060503</v>
      </c>
      <c r="N350" s="4">
        <f t="shared" si="198"/>
        <v>5.7975197307814329E-2</v>
      </c>
      <c r="O350" s="3">
        <f t="shared" si="199"/>
        <v>-2.2987949999999984</v>
      </c>
      <c r="P350" s="3">
        <f t="shared" si="200"/>
        <v>-4.2114679999999964</v>
      </c>
      <c r="Q350">
        <f t="shared" si="201"/>
        <v>1</v>
      </c>
      <c r="R350" s="3">
        <f t="shared" si="202"/>
        <v>-2.2987949999999984</v>
      </c>
      <c r="S350" s="3">
        <f t="shared" si="203"/>
        <v>-4.2114679999999964</v>
      </c>
      <c r="T350">
        <f t="shared" si="204"/>
        <v>1</v>
      </c>
      <c r="U350" s="3">
        <f t="shared" si="205"/>
        <v>-2.2987949999999984</v>
      </c>
      <c r="V350" s="3">
        <f t="shared" si="206"/>
        <v>-4.2114679999999964</v>
      </c>
      <c r="W350">
        <f t="shared" si="207"/>
        <v>1</v>
      </c>
      <c r="X350" s="3">
        <f t="shared" si="208"/>
        <v>-2.2987949999999984</v>
      </c>
      <c r="Y350" s="3">
        <f t="shared" si="209"/>
        <v>-4.2114679999999964</v>
      </c>
      <c r="Z350">
        <f t="shared" si="210"/>
        <v>1</v>
      </c>
      <c r="AA350" s="3">
        <f t="shared" si="211"/>
        <v>-2.2987949999999984</v>
      </c>
      <c r="AB350" s="3">
        <f t="shared" si="212"/>
        <v>-4.2114679999999964</v>
      </c>
      <c r="AC350">
        <f t="shared" si="213"/>
        <v>1</v>
      </c>
      <c r="AD350" s="3">
        <f t="shared" si="214"/>
        <v>-2.2987949999999984</v>
      </c>
      <c r="AE350" s="3">
        <f t="shared" si="215"/>
        <v>-4.2114679999999964</v>
      </c>
      <c r="AF350">
        <f t="shared" si="216"/>
        <v>1</v>
      </c>
      <c r="AG350" s="3">
        <f t="shared" si="217"/>
        <v>-2.2987949999999984</v>
      </c>
      <c r="AH350" s="3">
        <f t="shared" si="218"/>
        <v>-4.2114679999999964</v>
      </c>
      <c r="AI350">
        <f t="shared" si="219"/>
        <v>1</v>
      </c>
      <c r="AJ350" s="3">
        <f t="shared" si="220"/>
        <v>-2.2987949999999984</v>
      </c>
      <c r="AK350" s="3">
        <f t="shared" si="221"/>
        <v>-4.2114679999999964</v>
      </c>
      <c r="AL350">
        <f t="shared" si="222"/>
        <v>1</v>
      </c>
      <c r="AM350" s="3">
        <f t="shared" si="223"/>
        <v>-2.2987949999999984</v>
      </c>
      <c r="AN350" s="3">
        <f t="shared" si="224"/>
        <v>-4.2114679999999964</v>
      </c>
      <c r="AO350">
        <f t="shared" si="225"/>
        <v>1</v>
      </c>
      <c r="AP350" s="3">
        <f t="shared" si="226"/>
        <v>-2.2987949999999984</v>
      </c>
      <c r="AQ350" s="3">
        <f t="shared" si="227"/>
        <v>-4.2114679999999964</v>
      </c>
      <c r="AR350">
        <f t="shared" si="228"/>
        <v>1</v>
      </c>
    </row>
    <row r="351" spans="4:44" x14ac:dyDescent="0.25">
      <c r="D351" s="1">
        <v>42235</v>
      </c>
      <c r="E351" s="2">
        <v>112.02728</v>
      </c>
      <c r="F351" s="2">
        <v>201.68546599999999</v>
      </c>
      <c r="G351" s="2">
        <f t="shared" si="191"/>
        <v>-1.4513559999999899</v>
      </c>
      <c r="H351" s="2">
        <f t="shared" si="192"/>
        <v>-1.6071220000000039</v>
      </c>
      <c r="I351" s="4">
        <f t="shared" si="193"/>
        <v>-1.5137352696354829</v>
      </c>
      <c r="J351" s="4">
        <f t="shared" si="194"/>
        <v>-1.7083429389806872</v>
      </c>
      <c r="K351" s="4">
        <f t="shared" si="195"/>
        <v>3.696938528497975</v>
      </c>
      <c r="L351" s="4">
        <f t="shared" si="196"/>
        <v>1.9227424498611287</v>
      </c>
      <c r="M351" s="4">
        <f t="shared" si="197"/>
        <v>1</v>
      </c>
      <c r="N351" s="4">
        <f t="shared" si="198"/>
        <v>0.32459290051748485</v>
      </c>
      <c r="O351" s="3">
        <f t="shared" si="199"/>
        <v>-1.4513559999999899</v>
      </c>
      <c r="P351" s="3">
        <f t="shared" si="200"/>
        <v>-1.6071220000000039</v>
      </c>
      <c r="Q351">
        <f t="shared" si="201"/>
        <v>1</v>
      </c>
      <c r="R351" s="3">
        <f t="shared" si="202"/>
        <v>-1.4513559999999899</v>
      </c>
      <c r="S351" s="3">
        <f t="shared" si="203"/>
        <v>-1.6071220000000039</v>
      </c>
      <c r="T351">
        <f t="shared" si="204"/>
        <v>1</v>
      </c>
      <c r="U351" s="3">
        <f t="shared" si="205"/>
        <v>-1.4513559999999899</v>
      </c>
      <c r="V351" s="3">
        <f t="shared" si="206"/>
        <v>-1.6071220000000039</v>
      </c>
      <c r="W351">
        <f t="shared" si="207"/>
        <v>1</v>
      </c>
      <c r="X351" s="3">
        <f t="shared" si="208"/>
        <v>-1.4513559999999899</v>
      </c>
      <c r="Y351" s="3">
        <f t="shared" si="209"/>
        <v>-1.6071220000000039</v>
      </c>
      <c r="Z351">
        <f t="shared" si="210"/>
        <v>1</v>
      </c>
      <c r="AA351" s="3">
        <f t="shared" si="211"/>
        <v>0</v>
      </c>
      <c r="AB351" s="3">
        <f t="shared" si="212"/>
        <v>0</v>
      </c>
      <c r="AC351">
        <f t="shared" si="213"/>
        <v>0</v>
      </c>
      <c r="AD351" s="3">
        <f t="shared" si="214"/>
        <v>0</v>
      </c>
      <c r="AE351" s="3">
        <f t="shared" si="215"/>
        <v>0</v>
      </c>
      <c r="AF351">
        <f t="shared" si="216"/>
        <v>0</v>
      </c>
      <c r="AG351" s="3">
        <f t="shared" si="217"/>
        <v>0</v>
      </c>
      <c r="AH351" s="3">
        <f t="shared" si="218"/>
        <v>0</v>
      </c>
      <c r="AI351">
        <f t="shared" si="219"/>
        <v>0</v>
      </c>
      <c r="AJ351" s="3">
        <f t="shared" si="220"/>
        <v>0</v>
      </c>
      <c r="AK351" s="3">
        <f t="shared" si="221"/>
        <v>0</v>
      </c>
      <c r="AL351">
        <f t="shared" si="222"/>
        <v>0</v>
      </c>
      <c r="AM351" s="3">
        <f t="shared" si="223"/>
        <v>0</v>
      </c>
      <c r="AN351" s="3">
        <f t="shared" si="224"/>
        <v>0</v>
      </c>
      <c r="AO351">
        <f t="shared" si="225"/>
        <v>0</v>
      </c>
      <c r="AP351" s="3">
        <f t="shared" si="226"/>
        <v>0</v>
      </c>
      <c r="AQ351" s="3">
        <f t="shared" si="227"/>
        <v>0</v>
      </c>
      <c r="AR351">
        <f t="shared" si="228"/>
        <v>0</v>
      </c>
    </row>
    <row r="352" spans="4:44" x14ac:dyDescent="0.25">
      <c r="D352" s="1">
        <v>42234</v>
      </c>
      <c r="E352" s="2">
        <v>113.47863599999999</v>
      </c>
      <c r="F352" s="2">
        <v>203.29258799999999</v>
      </c>
      <c r="G352" s="2">
        <f t="shared" si="191"/>
        <v>-0.64288600000000429</v>
      </c>
      <c r="H352" s="2">
        <f t="shared" si="192"/>
        <v>-0.59057300000000623</v>
      </c>
      <c r="I352" s="4">
        <f t="shared" si="193"/>
        <v>-0.70526526963549729</v>
      </c>
      <c r="J352" s="4">
        <f t="shared" si="194"/>
        <v>-0.69179393898068942</v>
      </c>
      <c r="K352" s="4">
        <f t="shared" si="195"/>
        <v>0.699357039422416</v>
      </c>
      <c r="L352" s="4">
        <f t="shared" si="196"/>
        <v>0.83627569582190775</v>
      </c>
      <c r="M352" s="4">
        <f t="shared" si="197"/>
        <v>1</v>
      </c>
      <c r="N352" s="4">
        <f t="shared" si="198"/>
        <v>1</v>
      </c>
      <c r="O352" s="3">
        <f t="shared" si="199"/>
        <v>-0.64288600000000429</v>
      </c>
      <c r="P352" s="3">
        <f t="shared" si="200"/>
        <v>-0.59057300000000623</v>
      </c>
      <c r="Q352">
        <f t="shared" si="201"/>
        <v>1</v>
      </c>
      <c r="R352" s="3">
        <f t="shared" si="202"/>
        <v>0</v>
      </c>
      <c r="S352" s="3">
        <f t="shared" si="203"/>
        <v>0</v>
      </c>
      <c r="T352">
        <f t="shared" si="204"/>
        <v>0</v>
      </c>
      <c r="U352" s="3">
        <f t="shared" si="205"/>
        <v>0</v>
      </c>
      <c r="V352" s="3">
        <f t="shared" si="206"/>
        <v>0</v>
      </c>
      <c r="W352">
        <f t="shared" si="207"/>
        <v>0</v>
      </c>
      <c r="X352" s="3">
        <f t="shared" si="208"/>
        <v>0</v>
      </c>
      <c r="Y352" s="3">
        <f t="shared" si="209"/>
        <v>0</v>
      </c>
      <c r="Z352">
        <f t="shared" si="210"/>
        <v>0</v>
      </c>
      <c r="AA352" s="3">
        <f t="shared" si="211"/>
        <v>0</v>
      </c>
      <c r="AB352" s="3">
        <f t="shared" si="212"/>
        <v>0</v>
      </c>
      <c r="AC352">
        <f t="shared" si="213"/>
        <v>0</v>
      </c>
      <c r="AD352" s="3">
        <f t="shared" si="214"/>
        <v>0</v>
      </c>
      <c r="AE352" s="3">
        <f t="shared" si="215"/>
        <v>0</v>
      </c>
      <c r="AF352">
        <f t="shared" si="216"/>
        <v>0</v>
      </c>
      <c r="AG352" s="3">
        <f t="shared" si="217"/>
        <v>0</v>
      </c>
      <c r="AH352" s="3">
        <f t="shared" si="218"/>
        <v>0</v>
      </c>
      <c r="AI352">
        <f t="shared" si="219"/>
        <v>0</v>
      </c>
      <c r="AJ352" s="3">
        <f t="shared" si="220"/>
        <v>0</v>
      </c>
      <c r="AK352" s="3">
        <f t="shared" si="221"/>
        <v>0</v>
      </c>
      <c r="AL352">
        <f t="shared" si="222"/>
        <v>0</v>
      </c>
      <c r="AM352" s="3">
        <f t="shared" si="223"/>
        <v>0</v>
      </c>
      <c r="AN352" s="3">
        <f t="shared" si="224"/>
        <v>0</v>
      </c>
      <c r="AO352">
        <f t="shared" si="225"/>
        <v>0</v>
      </c>
      <c r="AP352" s="3">
        <f t="shared" si="226"/>
        <v>0</v>
      </c>
      <c r="AQ352" s="3">
        <f t="shared" si="227"/>
        <v>0</v>
      </c>
      <c r="AR352">
        <f t="shared" si="228"/>
        <v>0</v>
      </c>
    </row>
    <row r="353" spans="4:44" x14ac:dyDescent="0.25">
      <c r="D353" s="1">
        <v>42233</v>
      </c>
      <c r="E353" s="2">
        <v>114.121522</v>
      </c>
      <c r="F353" s="2">
        <v>203.883161</v>
      </c>
      <c r="G353" s="2">
        <f t="shared" si="191"/>
        <v>1.1688829999999939</v>
      </c>
      <c r="H353" s="2">
        <f t="shared" si="192"/>
        <v>1.1327359999999942</v>
      </c>
      <c r="I353" s="4">
        <f t="shared" si="193"/>
        <v>1.1065037303645009</v>
      </c>
      <c r="J353" s="4">
        <f t="shared" si="194"/>
        <v>1.0315150610193109</v>
      </c>
      <c r="K353" s="4">
        <f t="shared" si="195"/>
        <v>1.6599694065868646</v>
      </c>
      <c r="L353" s="4">
        <f t="shared" si="196"/>
        <v>1.2883980000709658</v>
      </c>
      <c r="M353" s="4">
        <f t="shared" si="197"/>
        <v>1</v>
      </c>
      <c r="N353" s="4">
        <f t="shared" si="198"/>
        <v>1</v>
      </c>
      <c r="O353" s="3">
        <f t="shared" si="199"/>
        <v>1.1688829999999939</v>
      </c>
      <c r="P353" s="3">
        <f t="shared" si="200"/>
        <v>1.1327359999999942</v>
      </c>
      <c r="Q353">
        <f t="shared" si="201"/>
        <v>1</v>
      </c>
      <c r="R353" s="3">
        <f t="shared" si="202"/>
        <v>1.1688829999999939</v>
      </c>
      <c r="S353" s="3">
        <f t="shared" si="203"/>
        <v>1.1327359999999942</v>
      </c>
      <c r="T353">
        <f t="shared" si="204"/>
        <v>1</v>
      </c>
      <c r="U353" s="3">
        <f t="shared" si="205"/>
        <v>0</v>
      </c>
      <c r="V353" s="3">
        <f t="shared" si="206"/>
        <v>0</v>
      </c>
      <c r="W353">
        <f t="shared" si="207"/>
        <v>0</v>
      </c>
      <c r="X353" s="3">
        <f t="shared" si="208"/>
        <v>0</v>
      </c>
      <c r="Y353" s="3">
        <f t="shared" si="209"/>
        <v>0</v>
      </c>
      <c r="Z353">
        <f t="shared" si="210"/>
        <v>0</v>
      </c>
      <c r="AA353" s="3">
        <f t="shared" si="211"/>
        <v>0</v>
      </c>
      <c r="AB353" s="3">
        <f t="shared" si="212"/>
        <v>0</v>
      </c>
      <c r="AC353">
        <f t="shared" si="213"/>
        <v>0</v>
      </c>
      <c r="AD353" s="3">
        <f t="shared" si="214"/>
        <v>0</v>
      </c>
      <c r="AE353" s="3">
        <f t="shared" si="215"/>
        <v>0</v>
      </c>
      <c r="AF353">
        <f t="shared" si="216"/>
        <v>0</v>
      </c>
      <c r="AG353" s="3">
        <f t="shared" si="217"/>
        <v>0</v>
      </c>
      <c r="AH353" s="3">
        <f t="shared" si="218"/>
        <v>0</v>
      </c>
      <c r="AI353">
        <f t="shared" si="219"/>
        <v>0</v>
      </c>
      <c r="AJ353" s="3">
        <f t="shared" si="220"/>
        <v>0</v>
      </c>
      <c r="AK353" s="3">
        <f t="shared" si="221"/>
        <v>0</v>
      </c>
      <c r="AL353">
        <f t="shared" si="222"/>
        <v>0</v>
      </c>
      <c r="AM353" s="3">
        <f t="shared" si="223"/>
        <v>0</v>
      </c>
      <c r="AN353" s="3">
        <f t="shared" si="224"/>
        <v>0</v>
      </c>
      <c r="AO353">
        <f t="shared" si="225"/>
        <v>0</v>
      </c>
      <c r="AP353" s="3">
        <f t="shared" si="226"/>
        <v>0</v>
      </c>
      <c r="AQ353" s="3">
        <f t="shared" si="227"/>
        <v>0</v>
      </c>
      <c r="AR353">
        <f t="shared" si="228"/>
        <v>0</v>
      </c>
    </row>
    <row r="354" spans="4:44" x14ac:dyDescent="0.25">
      <c r="D354" s="1">
        <v>42230</v>
      </c>
      <c r="E354" s="2">
        <v>112.952639</v>
      </c>
      <c r="F354" s="2">
        <v>202.75042500000001</v>
      </c>
      <c r="G354" s="2">
        <f t="shared" si="191"/>
        <v>0.7889899999999983</v>
      </c>
      <c r="H354" s="2">
        <f t="shared" si="192"/>
        <v>0.73579100000000608</v>
      </c>
      <c r="I354" s="4">
        <f t="shared" si="193"/>
        <v>0.7266107303645053</v>
      </c>
      <c r="J354" s="4">
        <f t="shared" si="194"/>
        <v>0.6345700610193229</v>
      </c>
      <c r="K354" s="4">
        <f t="shared" si="195"/>
        <v>0.69005768890477515</v>
      </c>
      <c r="L354" s="4">
        <f t="shared" si="196"/>
        <v>0.83069711020610582</v>
      </c>
      <c r="M354" s="4">
        <f t="shared" si="197"/>
        <v>1</v>
      </c>
      <c r="N354" s="4">
        <f t="shared" si="198"/>
        <v>1</v>
      </c>
      <c r="O354" s="3">
        <f t="shared" si="199"/>
        <v>0.7889899999999983</v>
      </c>
      <c r="P354" s="3">
        <f t="shared" si="200"/>
        <v>0.73579100000000608</v>
      </c>
      <c r="Q354">
        <f t="shared" si="201"/>
        <v>1</v>
      </c>
      <c r="R354" s="3">
        <f t="shared" si="202"/>
        <v>0</v>
      </c>
      <c r="S354" s="3">
        <f t="shared" si="203"/>
        <v>0</v>
      </c>
      <c r="T354">
        <f t="shared" si="204"/>
        <v>0</v>
      </c>
      <c r="U354" s="3">
        <f t="shared" si="205"/>
        <v>0</v>
      </c>
      <c r="V354" s="3">
        <f t="shared" si="206"/>
        <v>0</v>
      </c>
      <c r="W354">
        <f t="shared" si="207"/>
        <v>0</v>
      </c>
      <c r="X354" s="3">
        <f t="shared" si="208"/>
        <v>0</v>
      </c>
      <c r="Y354" s="3">
        <f t="shared" si="209"/>
        <v>0</v>
      </c>
      <c r="Z354">
        <f t="shared" si="210"/>
        <v>0</v>
      </c>
      <c r="AA354" s="3">
        <f t="shared" si="211"/>
        <v>0</v>
      </c>
      <c r="AB354" s="3">
        <f t="shared" si="212"/>
        <v>0</v>
      </c>
      <c r="AC354">
        <f t="shared" si="213"/>
        <v>0</v>
      </c>
      <c r="AD354" s="3">
        <f t="shared" si="214"/>
        <v>0</v>
      </c>
      <c r="AE354" s="3">
        <f t="shared" si="215"/>
        <v>0</v>
      </c>
      <c r="AF354">
        <f t="shared" si="216"/>
        <v>0</v>
      </c>
      <c r="AG354" s="3">
        <f t="shared" si="217"/>
        <v>0</v>
      </c>
      <c r="AH354" s="3">
        <f t="shared" si="218"/>
        <v>0</v>
      </c>
      <c r="AI354">
        <f t="shared" si="219"/>
        <v>0</v>
      </c>
      <c r="AJ354" s="3">
        <f t="shared" si="220"/>
        <v>0</v>
      </c>
      <c r="AK354" s="3">
        <f t="shared" si="221"/>
        <v>0</v>
      </c>
      <c r="AL354">
        <f t="shared" si="222"/>
        <v>0</v>
      </c>
      <c r="AM354" s="3">
        <f t="shared" si="223"/>
        <v>0</v>
      </c>
      <c r="AN354" s="3">
        <f t="shared" si="224"/>
        <v>0</v>
      </c>
      <c r="AO354">
        <f t="shared" si="225"/>
        <v>0</v>
      </c>
      <c r="AP354" s="3">
        <f t="shared" si="226"/>
        <v>0</v>
      </c>
      <c r="AQ354" s="3">
        <f t="shared" si="227"/>
        <v>0</v>
      </c>
      <c r="AR354">
        <f t="shared" si="228"/>
        <v>0</v>
      </c>
    </row>
    <row r="355" spans="4:44" x14ac:dyDescent="0.25">
      <c r="D355" s="1">
        <v>42229</v>
      </c>
      <c r="E355" s="2">
        <v>112.16364900000001</v>
      </c>
      <c r="F355" s="2">
        <v>202.014634</v>
      </c>
      <c r="G355" s="2">
        <f t="shared" si="191"/>
        <v>-8.7661999999994578E-2</v>
      </c>
      <c r="H355" s="2">
        <f t="shared" si="192"/>
        <v>-0.25171499999999014</v>
      </c>
      <c r="I355" s="4">
        <f t="shared" si="193"/>
        <v>-0.15004126963548758</v>
      </c>
      <c r="J355" s="4">
        <f t="shared" si="194"/>
        <v>-0.35293593898067332</v>
      </c>
      <c r="K355" s="4">
        <f t="shared" si="195"/>
        <v>0.1466437526384558</v>
      </c>
      <c r="L355" s="4">
        <f t="shared" si="196"/>
        <v>0.38294092578158295</v>
      </c>
      <c r="M355" s="4">
        <f t="shared" si="197"/>
        <v>1</v>
      </c>
      <c r="N355" s="4">
        <f t="shared" si="198"/>
        <v>1</v>
      </c>
      <c r="O355" s="3">
        <f t="shared" si="199"/>
        <v>-8.7661999999994578E-2</v>
      </c>
      <c r="P355" s="3">
        <f t="shared" si="200"/>
        <v>-0.25171499999999014</v>
      </c>
      <c r="Q355">
        <f t="shared" si="201"/>
        <v>1</v>
      </c>
      <c r="R355" s="3">
        <f t="shared" si="202"/>
        <v>0</v>
      </c>
      <c r="S355" s="3">
        <f t="shared" si="203"/>
        <v>0</v>
      </c>
      <c r="T355">
        <f t="shared" si="204"/>
        <v>0</v>
      </c>
      <c r="U355" s="3">
        <f t="shared" si="205"/>
        <v>0</v>
      </c>
      <c r="V355" s="3">
        <f t="shared" si="206"/>
        <v>0</v>
      </c>
      <c r="W355">
        <f t="shared" si="207"/>
        <v>0</v>
      </c>
      <c r="X355" s="3">
        <f t="shared" si="208"/>
        <v>0</v>
      </c>
      <c r="Y355" s="3">
        <f t="shared" si="209"/>
        <v>0</v>
      </c>
      <c r="Z355">
        <f t="shared" si="210"/>
        <v>0</v>
      </c>
      <c r="AA355" s="3">
        <f t="shared" si="211"/>
        <v>0</v>
      </c>
      <c r="AB355" s="3">
        <f t="shared" si="212"/>
        <v>0</v>
      </c>
      <c r="AC355">
        <f t="shared" si="213"/>
        <v>0</v>
      </c>
      <c r="AD355" s="3">
        <f t="shared" si="214"/>
        <v>0</v>
      </c>
      <c r="AE355" s="3">
        <f t="shared" si="215"/>
        <v>0</v>
      </c>
      <c r="AF355">
        <f t="shared" si="216"/>
        <v>0</v>
      </c>
      <c r="AG355" s="3">
        <f t="shared" si="217"/>
        <v>0</v>
      </c>
      <c r="AH355" s="3">
        <f t="shared" si="218"/>
        <v>0</v>
      </c>
      <c r="AI355">
        <f t="shared" si="219"/>
        <v>0</v>
      </c>
      <c r="AJ355" s="3">
        <f t="shared" si="220"/>
        <v>0</v>
      </c>
      <c r="AK355" s="3">
        <f t="shared" si="221"/>
        <v>0</v>
      </c>
      <c r="AL355">
        <f t="shared" si="222"/>
        <v>0</v>
      </c>
      <c r="AM355" s="3">
        <f t="shared" si="223"/>
        <v>0</v>
      </c>
      <c r="AN355" s="3">
        <f t="shared" si="224"/>
        <v>0</v>
      </c>
      <c r="AO355">
        <f t="shared" si="225"/>
        <v>0</v>
      </c>
      <c r="AP355" s="3">
        <f t="shared" si="226"/>
        <v>0</v>
      </c>
      <c r="AQ355" s="3">
        <f t="shared" si="227"/>
        <v>0</v>
      </c>
      <c r="AR355">
        <f t="shared" si="228"/>
        <v>0</v>
      </c>
    </row>
    <row r="356" spans="4:44" x14ac:dyDescent="0.25">
      <c r="D356" s="1">
        <v>42228</v>
      </c>
      <c r="E356" s="2">
        <v>112.251311</v>
      </c>
      <c r="F356" s="2">
        <v>202.26634899999999</v>
      </c>
      <c r="G356" s="2">
        <f t="shared" si="191"/>
        <v>1.704615000000004</v>
      </c>
      <c r="H356" s="2">
        <f t="shared" si="192"/>
        <v>0.24203799999997955</v>
      </c>
      <c r="I356" s="4">
        <f t="shared" si="193"/>
        <v>1.642235730364511</v>
      </c>
      <c r="J356" s="4">
        <f t="shared" si="194"/>
        <v>0.14081706101929634</v>
      </c>
      <c r="K356" s="4">
        <f t="shared" si="195"/>
        <v>5.1751807950734658</v>
      </c>
      <c r="L356" s="4">
        <f t="shared" si="196"/>
        <v>2.2749023704487774</v>
      </c>
      <c r="M356" s="4">
        <f t="shared" si="197"/>
        <v>0.87915860741111873</v>
      </c>
      <c r="N356" s="4">
        <f t="shared" si="198"/>
        <v>0.23187595709551728</v>
      </c>
      <c r="O356" s="3">
        <f t="shared" si="199"/>
        <v>1.704615000000004</v>
      </c>
      <c r="P356" s="3">
        <f t="shared" si="200"/>
        <v>0.24203799999997955</v>
      </c>
      <c r="Q356">
        <f t="shared" si="201"/>
        <v>1</v>
      </c>
      <c r="R356" s="3">
        <f t="shared" si="202"/>
        <v>1.704615000000004</v>
      </c>
      <c r="S356" s="3">
        <f t="shared" si="203"/>
        <v>0.24203799999997955</v>
      </c>
      <c r="T356">
        <f t="shared" si="204"/>
        <v>1</v>
      </c>
      <c r="U356" s="3">
        <f t="shared" si="205"/>
        <v>1.704615000000004</v>
      </c>
      <c r="V356" s="3">
        <f t="shared" si="206"/>
        <v>0.24203799999997955</v>
      </c>
      <c r="W356">
        <f t="shared" si="207"/>
        <v>1</v>
      </c>
      <c r="X356" s="3">
        <f t="shared" si="208"/>
        <v>1.704615000000004</v>
      </c>
      <c r="Y356" s="3">
        <f t="shared" si="209"/>
        <v>0.24203799999997955</v>
      </c>
      <c r="Z356">
        <f t="shared" si="210"/>
        <v>1</v>
      </c>
      <c r="AA356" s="3">
        <f t="shared" si="211"/>
        <v>1.704615000000004</v>
      </c>
      <c r="AB356" s="3">
        <f t="shared" si="212"/>
        <v>0.24203799999997955</v>
      </c>
      <c r="AC356">
        <f t="shared" si="213"/>
        <v>1</v>
      </c>
      <c r="AD356" s="3">
        <f t="shared" si="214"/>
        <v>1.704615000000004</v>
      </c>
      <c r="AE356" s="3">
        <f t="shared" si="215"/>
        <v>0.24203799999997955</v>
      </c>
      <c r="AF356">
        <f t="shared" si="216"/>
        <v>1</v>
      </c>
      <c r="AG356" s="3">
        <f t="shared" si="217"/>
        <v>0</v>
      </c>
      <c r="AH356" s="3">
        <f t="shared" si="218"/>
        <v>0</v>
      </c>
      <c r="AI356">
        <f t="shared" si="219"/>
        <v>0</v>
      </c>
      <c r="AJ356" s="3">
        <f t="shared" si="220"/>
        <v>0</v>
      </c>
      <c r="AK356" s="3">
        <f t="shared" si="221"/>
        <v>0</v>
      </c>
      <c r="AL356">
        <f t="shared" si="222"/>
        <v>0</v>
      </c>
      <c r="AM356" s="3">
        <f t="shared" si="223"/>
        <v>0</v>
      </c>
      <c r="AN356" s="3">
        <f t="shared" si="224"/>
        <v>0</v>
      </c>
      <c r="AO356">
        <f t="shared" si="225"/>
        <v>0</v>
      </c>
      <c r="AP356" s="3">
        <f t="shared" si="226"/>
        <v>0</v>
      </c>
      <c r="AQ356" s="3">
        <f t="shared" si="227"/>
        <v>0</v>
      </c>
      <c r="AR356">
        <f t="shared" si="228"/>
        <v>0</v>
      </c>
    </row>
    <row r="357" spans="4:44" x14ac:dyDescent="0.25">
      <c r="D357" s="1">
        <v>42227</v>
      </c>
      <c r="E357" s="2">
        <v>110.546696</v>
      </c>
      <c r="F357" s="2">
        <v>202.02431100000001</v>
      </c>
      <c r="G357" s="2">
        <f t="shared" si="191"/>
        <v>-6.0684320000000014</v>
      </c>
      <c r="H357" s="2">
        <f t="shared" si="192"/>
        <v>-1.8394979999999919</v>
      </c>
      <c r="I357" s="4">
        <f t="shared" si="193"/>
        <v>-6.1308112696354948</v>
      </c>
      <c r="J357" s="4">
        <f t="shared" si="194"/>
        <v>-1.9407189389806752</v>
      </c>
      <c r="K357" s="4">
        <f t="shared" si="195"/>
        <v>56.227080726545722</v>
      </c>
      <c r="L357" s="4">
        <f t="shared" si="196"/>
        <v>7.4984718927622662</v>
      </c>
      <c r="M357" s="4">
        <f t="shared" si="197"/>
        <v>0.26672101044086804</v>
      </c>
      <c r="N357" s="4">
        <f t="shared" si="198"/>
        <v>2.1342029223179293E-2</v>
      </c>
      <c r="O357" s="3">
        <f t="shared" si="199"/>
        <v>-6.0684320000000014</v>
      </c>
      <c r="P357" s="3">
        <f t="shared" si="200"/>
        <v>-1.8394979999999919</v>
      </c>
      <c r="Q357">
        <f t="shared" si="201"/>
        <v>1</v>
      </c>
      <c r="R357" s="3">
        <f t="shared" si="202"/>
        <v>-6.0684320000000014</v>
      </c>
      <c r="S357" s="3">
        <f t="shared" si="203"/>
        <v>-1.8394979999999919</v>
      </c>
      <c r="T357">
        <f t="shared" si="204"/>
        <v>1</v>
      </c>
      <c r="U357" s="3">
        <f t="shared" si="205"/>
        <v>-6.0684320000000014</v>
      </c>
      <c r="V357" s="3">
        <f t="shared" si="206"/>
        <v>-1.8394979999999919</v>
      </c>
      <c r="W357">
        <f t="shared" si="207"/>
        <v>1</v>
      </c>
      <c r="X357" s="3">
        <f t="shared" si="208"/>
        <v>-6.0684320000000014</v>
      </c>
      <c r="Y357" s="3">
        <f t="shared" si="209"/>
        <v>-1.8394979999999919</v>
      </c>
      <c r="Z357">
        <f t="shared" si="210"/>
        <v>1</v>
      </c>
      <c r="AA357" s="3">
        <f t="shared" si="211"/>
        <v>-6.0684320000000014</v>
      </c>
      <c r="AB357" s="3">
        <f t="shared" si="212"/>
        <v>-1.8394979999999919</v>
      </c>
      <c r="AC357">
        <f t="shared" si="213"/>
        <v>1</v>
      </c>
      <c r="AD357" s="3">
        <f t="shared" si="214"/>
        <v>-6.0684320000000014</v>
      </c>
      <c r="AE357" s="3">
        <f t="shared" si="215"/>
        <v>-1.8394979999999919</v>
      </c>
      <c r="AF357">
        <f t="shared" si="216"/>
        <v>1</v>
      </c>
      <c r="AG357" s="3">
        <f t="shared" si="217"/>
        <v>-6.0684320000000014</v>
      </c>
      <c r="AH357" s="3">
        <f t="shared" si="218"/>
        <v>-1.8394979999999919</v>
      </c>
      <c r="AI357">
        <f t="shared" si="219"/>
        <v>1</v>
      </c>
      <c r="AJ357" s="3">
        <f t="shared" si="220"/>
        <v>-6.0684320000000014</v>
      </c>
      <c r="AK357" s="3">
        <f t="shared" si="221"/>
        <v>-1.8394979999999919</v>
      </c>
      <c r="AL357">
        <f t="shared" si="222"/>
        <v>1</v>
      </c>
      <c r="AM357" s="3">
        <f t="shared" si="223"/>
        <v>-6.0684320000000014</v>
      </c>
      <c r="AN357" s="3">
        <f t="shared" si="224"/>
        <v>-1.8394979999999919</v>
      </c>
      <c r="AO357">
        <f t="shared" si="225"/>
        <v>1</v>
      </c>
      <c r="AP357" s="3">
        <f t="shared" si="226"/>
        <v>-6.0684320000000014</v>
      </c>
      <c r="AQ357" s="3">
        <f t="shared" si="227"/>
        <v>-1.8394979999999919</v>
      </c>
      <c r="AR357">
        <f t="shared" si="228"/>
        <v>1</v>
      </c>
    </row>
    <row r="358" spans="4:44" x14ac:dyDescent="0.25">
      <c r="D358" s="1">
        <v>42226</v>
      </c>
      <c r="E358" s="2">
        <v>116.615128</v>
      </c>
      <c r="F358" s="2">
        <v>203.863809</v>
      </c>
      <c r="G358" s="2">
        <f t="shared" si="191"/>
        <v>4.0910800000000052</v>
      </c>
      <c r="H358" s="2">
        <f t="shared" si="192"/>
        <v>2.5365690000000143</v>
      </c>
      <c r="I358" s="4">
        <f t="shared" si="193"/>
        <v>4.0287007303645117</v>
      </c>
      <c r="J358" s="4">
        <f t="shared" si="194"/>
        <v>2.4353480610193312</v>
      </c>
      <c r="K358" s="4">
        <f t="shared" si="195"/>
        <v>20.311565551170492</v>
      </c>
      <c r="L358" s="4">
        <f t="shared" si="196"/>
        <v>4.5068354253478677</v>
      </c>
      <c r="M358" s="4">
        <f t="shared" si="197"/>
        <v>0.44377036462245051</v>
      </c>
      <c r="N358" s="4">
        <f t="shared" si="198"/>
        <v>5.9079640955142808E-2</v>
      </c>
      <c r="O358" s="3">
        <f t="shared" si="199"/>
        <v>4.0910800000000052</v>
      </c>
      <c r="P358" s="3">
        <f t="shared" si="200"/>
        <v>2.5365690000000143</v>
      </c>
      <c r="Q358">
        <f t="shared" si="201"/>
        <v>1</v>
      </c>
      <c r="R358" s="3">
        <f t="shared" si="202"/>
        <v>4.0910800000000052</v>
      </c>
      <c r="S358" s="3">
        <f t="shared" si="203"/>
        <v>2.5365690000000143</v>
      </c>
      <c r="T358">
        <f t="shared" si="204"/>
        <v>1</v>
      </c>
      <c r="U358" s="3">
        <f t="shared" si="205"/>
        <v>4.0910800000000052</v>
      </c>
      <c r="V358" s="3">
        <f t="shared" si="206"/>
        <v>2.5365690000000143</v>
      </c>
      <c r="W358">
        <f t="shared" si="207"/>
        <v>1</v>
      </c>
      <c r="X358" s="3">
        <f t="shared" si="208"/>
        <v>4.0910800000000052</v>
      </c>
      <c r="Y358" s="3">
        <f t="shared" si="209"/>
        <v>2.5365690000000143</v>
      </c>
      <c r="Z358">
        <f t="shared" si="210"/>
        <v>1</v>
      </c>
      <c r="AA358" s="3">
        <f t="shared" si="211"/>
        <v>4.0910800000000052</v>
      </c>
      <c r="AB358" s="3">
        <f t="shared" si="212"/>
        <v>2.5365690000000143</v>
      </c>
      <c r="AC358">
        <f t="shared" si="213"/>
        <v>1</v>
      </c>
      <c r="AD358" s="3">
        <f t="shared" si="214"/>
        <v>4.0910800000000052</v>
      </c>
      <c r="AE358" s="3">
        <f t="shared" si="215"/>
        <v>2.5365690000000143</v>
      </c>
      <c r="AF358">
        <f t="shared" si="216"/>
        <v>1</v>
      </c>
      <c r="AG358" s="3">
        <f t="shared" si="217"/>
        <v>4.0910800000000052</v>
      </c>
      <c r="AH358" s="3">
        <f t="shared" si="218"/>
        <v>2.5365690000000143</v>
      </c>
      <c r="AI358">
        <f t="shared" si="219"/>
        <v>1</v>
      </c>
      <c r="AJ358" s="3">
        <f t="shared" si="220"/>
        <v>4.0910800000000052</v>
      </c>
      <c r="AK358" s="3">
        <f t="shared" si="221"/>
        <v>2.5365690000000143</v>
      </c>
      <c r="AL358">
        <f t="shared" si="222"/>
        <v>1</v>
      </c>
      <c r="AM358" s="3">
        <f t="shared" si="223"/>
        <v>4.0910800000000052</v>
      </c>
      <c r="AN358" s="3">
        <f t="shared" si="224"/>
        <v>2.5365690000000143</v>
      </c>
      <c r="AO358">
        <f t="shared" si="225"/>
        <v>1</v>
      </c>
      <c r="AP358" s="3">
        <f t="shared" si="226"/>
        <v>4.0910800000000052</v>
      </c>
      <c r="AQ358" s="3">
        <f t="shared" si="227"/>
        <v>2.5365690000000143</v>
      </c>
      <c r="AR358">
        <f t="shared" si="228"/>
        <v>1</v>
      </c>
    </row>
    <row r="359" spans="4:44" x14ac:dyDescent="0.25">
      <c r="D359" s="1">
        <v>42223</v>
      </c>
      <c r="E359" s="2">
        <v>112.52404799999999</v>
      </c>
      <c r="F359" s="2">
        <v>201.32723999999999</v>
      </c>
      <c r="G359" s="2">
        <f t="shared" si="191"/>
        <v>0.37988499999998737</v>
      </c>
      <c r="H359" s="2">
        <f t="shared" si="192"/>
        <v>-0.38727000000000089</v>
      </c>
      <c r="I359" s="4">
        <f t="shared" si="193"/>
        <v>0.31750573036449437</v>
      </c>
      <c r="J359" s="4">
        <f t="shared" si="194"/>
        <v>-0.48849093898068408</v>
      </c>
      <c r="K359" s="4">
        <f t="shared" si="195"/>
        <v>1.069495149485973</v>
      </c>
      <c r="L359" s="4">
        <f t="shared" si="196"/>
        <v>1.0341639857807721</v>
      </c>
      <c r="M359" s="4">
        <f t="shared" si="197"/>
        <v>1</v>
      </c>
      <c r="N359" s="4">
        <f t="shared" si="198"/>
        <v>1</v>
      </c>
      <c r="O359" s="3">
        <f t="shared" si="199"/>
        <v>0.37988499999998737</v>
      </c>
      <c r="P359" s="3">
        <f t="shared" si="200"/>
        <v>-0.38727000000000089</v>
      </c>
      <c r="Q359">
        <f t="shared" si="201"/>
        <v>1</v>
      </c>
      <c r="R359" s="3">
        <f t="shared" si="202"/>
        <v>0.37988499999998737</v>
      </c>
      <c r="S359" s="3">
        <f t="shared" si="203"/>
        <v>-0.38727000000000089</v>
      </c>
      <c r="T359">
        <f t="shared" si="204"/>
        <v>1</v>
      </c>
      <c r="U359" s="3">
        <f t="shared" si="205"/>
        <v>0</v>
      </c>
      <c r="V359" s="3">
        <f t="shared" si="206"/>
        <v>0</v>
      </c>
      <c r="W359">
        <f t="shared" si="207"/>
        <v>0</v>
      </c>
      <c r="X359" s="3">
        <f t="shared" si="208"/>
        <v>0</v>
      </c>
      <c r="Y359" s="3">
        <f t="shared" si="209"/>
        <v>0</v>
      </c>
      <c r="Z359">
        <f t="shared" si="210"/>
        <v>0</v>
      </c>
      <c r="AA359" s="3">
        <f t="shared" si="211"/>
        <v>0</v>
      </c>
      <c r="AB359" s="3">
        <f t="shared" si="212"/>
        <v>0</v>
      </c>
      <c r="AC359">
        <f t="shared" si="213"/>
        <v>0</v>
      </c>
      <c r="AD359" s="3">
        <f t="shared" si="214"/>
        <v>0</v>
      </c>
      <c r="AE359" s="3">
        <f t="shared" si="215"/>
        <v>0</v>
      </c>
      <c r="AF359">
        <f t="shared" si="216"/>
        <v>0</v>
      </c>
      <c r="AG359" s="3">
        <f t="shared" si="217"/>
        <v>0</v>
      </c>
      <c r="AH359" s="3">
        <f t="shared" si="218"/>
        <v>0</v>
      </c>
      <c r="AI359">
        <f t="shared" si="219"/>
        <v>0</v>
      </c>
      <c r="AJ359" s="3">
        <f t="shared" si="220"/>
        <v>0</v>
      </c>
      <c r="AK359" s="3">
        <f t="shared" si="221"/>
        <v>0</v>
      </c>
      <c r="AL359">
        <f t="shared" si="222"/>
        <v>0</v>
      </c>
      <c r="AM359" s="3">
        <f t="shared" si="223"/>
        <v>0</v>
      </c>
      <c r="AN359" s="3">
        <f t="shared" si="224"/>
        <v>0</v>
      </c>
      <c r="AO359">
        <f t="shared" si="225"/>
        <v>0</v>
      </c>
      <c r="AP359" s="3">
        <f t="shared" si="226"/>
        <v>0</v>
      </c>
      <c r="AQ359" s="3">
        <f t="shared" si="227"/>
        <v>0</v>
      </c>
      <c r="AR359">
        <f t="shared" si="228"/>
        <v>0</v>
      </c>
    </row>
    <row r="360" spans="4:44" x14ac:dyDescent="0.25">
      <c r="D360" s="1">
        <v>42222</v>
      </c>
      <c r="E360" s="2">
        <v>112.14416300000001</v>
      </c>
      <c r="F360" s="2">
        <v>201.71450999999999</v>
      </c>
      <c r="G360" s="2">
        <f t="shared" si="191"/>
        <v>0.24350800000000561</v>
      </c>
      <c r="H360" s="2">
        <f t="shared" si="192"/>
        <v>-1.665222</v>
      </c>
      <c r="I360" s="4">
        <f t="shared" si="193"/>
        <v>0.1811287303645126</v>
      </c>
      <c r="J360" s="4">
        <f t="shared" si="194"/>
        <v>-1.7664429389806833</v>
      </c>
      <c r="K360" s="4">
        <f t="shared" si="195"/>
        <v>6.8168198175234345</v>
      </c>
      <c r="L360" s="4">
        <f t="shared" si="196"/>
        <v>2.6109040230394212</v>
      </c>
      <c r="M360" s="4">
        <f t="shared" si="197"/>
        <v>0.76601819996115683</v>
      </c>
      <c r="N360" s="4">
        <f t="shared" si="198"/>
        <v>0.17603516480151921</v>
      </c>
      <c r="O360" s="3">
        <f t="shared" si="199"/>
        <v>0.24350800000000561</v>
      </c>
      <c r="P360" s="3">
        <f t="shared" si="200"/>
        <v>-1.665222</v>
      </c>
      <c r="Q360">
        <f t="shared" si="201"/>
        <v>1</v>
      </c>
      <c r="R360" s="3">
        <f t="shared" si="202"/>
        <v>0.24350800000000561</v>
      </c>
      <c r="S360" s="3">
        <f t="shared" si="203"/>
        <v>-1.665222</v>
      </c>
      <c r="T360">
        <f t="shared" si="204"/>
        <v>1</v>
      </c>
      <c r="U360" s="3">
        <f t="shared" si="205"/>
        <v>0.24350800000000561</v>
      </c>
      <c r="V360" s="3">
        <f t="shared" si="206"/>
        <v>-1.665222</v>
      </c>
      <c r="W360">
        <f t="shared" si="207"/>
        <v>1</v>
      </c>
      <c r="X360" s="3">
        <f t="shared" si="208"/>
        <v>0.24350800000000561</v>
      </c>
      <c r="Y360" s="3">
        <f t="shared" si="209"/>
        <v>-1.665222</v>
      </c>
      <c r="Z360">
        <f t="shared" si="210"/>
        <v>1</v>
      </c>
      <c r="AA360" s="3">
        <f t="shared" si="211"/>
        <v>0.24350800000000561</v>
      </c>
      <c r="AB360" s="3">
        <f t="shared" si="212"/>
        <v>-1.665222</v>
      </c>
      <c r="AC360">
        <f t="shared" si="213"/>
        <v>1</v>
      </c>
      <c r="AD360" s="3">
        <f t="shared" si="214"/>
        <v>0.24350800000000561</v>
      </c>
      <c r="AE360" s="3">
        <f t="shared" si="215"/>
        <v>-1.665222</v>
      </c>
      <c r="AF360">
        <f t="shared" si="216"/>
        <v>1</v>
      </c>
      <c r="AG360" s="3">
        <f t="shared" si="217"/>
        <v>0.24350800000000561</v>
      </c>
      <c r="AH360" s="3">
        <f t="shared" si="218"/>
        <v>-1.665222</v>
      </c>
      <c r="AI360">
        <f t="shared" si="219"/>
        <v>1</v>
      </c>
      <c r="AJ360" s="3">
        <f t="shared" si="220"/>
        <v>0</v>
      </c>
      <c r="AK360" s="3">
        <f t="shared" si="221"/>
        <v>0</v>
      </c>
      <c r="AL360">
        <f t="shared" si="222"/>
        <v>0</v>
      </c>
      <c r="AM360" s="3">
        <f t="shared" si="223"/>
        <v>0</v>
      </c>
      <c r="AN360" s="3">
        <f t="shared" si="224"/>
        <v>0</v>
      </c>
      <c r="AO360">
        <f t="shared" si="225"/>
        <v>0</v>
      </c>
      <c r="AP360" s="3">
        <f t="shared" si="226"/>
        <v>0</v>
      </c>
      <c r="AQ360" s="3">
        <f t="shared" si="227"/>
        <v>0</v>
      </c>
      <c r="AR360">
        <f t="shared" si="228"/>
        <v>0</v>
      </c>
    </row>
    <row r="361" spans="4:44" x14ac:dyDescent="0.25">
      <c r="D361" s="1">
        <v>42221</v>
      </c>
      <c r="E361" s="2">
        <v>111.900655</v>
      </c>
      <c r="F361" s="2">
        <v>203.37973199999999</v>
      </c>
      <c r="G361" s="2">
        <f t="shared" si="191"/>
        <v>0.73695600000000638</v>
      </c>
      <c r="H361" s="2">
        <f t="shared" si="192"/>
        <v>0.66802699999999504</v>
      </c>
      <c r="I361" s="4">
        <f t="shared" si="193"/>
        <v>0.67457673036451338</v>
      </c>
      <c r="J361" s="4">
        <f t="shared" si="194"/>
        <v>0.56680606101931186</v>
      </c>
      <c r="K361" s="4">
        <f t="shared" si="195"/>
        <v>0.58492067661357394</v>
      </c>
      <c r="L361" s="4">
        <f t="shared" si="196"/>
        <v>0.76480106996105457</v>
      </c>
      <c r="M361" s="4">
        <f t="shared" si="197"/>
        <v>1</v>
      </c>
      <c r="N361" s="4">
        <f t="shared" si="198"/>
        <v>1</v>
      </c>
      <c r="O361" s="3">
        <f t="shared" si="199"/>
        <v>0.73695600000000638</v>
      </c>
      <c r="P361" s="3">
        <f t="shared" si="200"/>
        <v>0.66802699999999504</v>
      </c>
      <c r="Q361">
        <f t="shared" si="201"/>
        <v>1</v>
      </c>
      <c r="R361" s="3">
        <f t="shared" si="202"/>
        <v>0</v>
      </c>
      <c r="S361" s="3">
        <f t="shared" si="203"/>
        <v>0</v>
      </c>
      <c r="T361">
        <f t="shared" si="204"/>
        <v>0</v>
      </c>
      <c r="U361" s="3">
        <f t="shared" si="205"/>
        <v>0</v>
      </c>
      <c r="V361" s="3">
        <f t="shared" si="206"/>
        <v>0</v>
      </c>
      <c r="W361">
        <f t="shared" si="207"/>
        <v>0</v>
      </c>
      <c r="X361" s="3">
        <f t="shared" si="208"/>
        <v>0</v>
      </c>
      <c r="Y361" s="3">
        <f t="shared" si="209"/>
        <v>0</v>
      </c>
      <c r="Z361">
        <f t="shared" si="210"/>
        <v>0</v>
      </c>
      <c r="AA361" s="3">
        <f t="shared" si="211"/>
        <v>0</v>
      </c>
      <c r="AB361" s="3">
        <f t="shared" si="212"/>
        <v>0</v>
      </c>
      <c r="AC361">
        <f t="shared" si="213"/>
        <v>0</v>
      </c>
      <c r="AD361" s="3">
        <f t="shared" si="214"/>
        <v>0</v>
      </c>
      <c r="AE361" s="3">
        <f t="shared" si="215"/>
        <v>0</v>
      </c>
      <c r="AF361">
        <f t="shared" si="216"/>
        <v>0</v>
      </c>
      <c r="AG361" s="3">
        <f t="shared" si="217"/>
        <v>0</v>
      </c>
      <c r="AH361" s="3">
        <f t="shared" si="218"/>
        <v>0</v>
      </c>
      <c r="AI361">
        <f t="shared" si="219"/>
        <v>0</v>
      </c>
      <c r="AJ361" s="3">
        <f t="shared" si="220"/>
        <v>0</v>
      </c>
      <c r="AK361" s="3">
        <f t="shared" si="221"/>
        <v>0</v>
      </c>
      <c r="AL361">
        <f t="shared" si="222"/>
        <v>0</v>
      </c>
      <c r="AM361" s="3">
        <f t="shared" si="223"/>
        <v>0</v>
      </c>
      <c r="AN361" s="3">
        <f t="shared" si="224"/>
        <v>0</v>
      </c>
      <c r="AO361">
        <f t="shared" si="225"/>
        <v>0</v>
      </c>
      <c r="AP361" s="3">
        <f t="shared" si="226"/>
        <v>0</v>
      </c>
      <c r="AQ361" s="3">
        <f t="shared" si="227"/>
        <v>0</v>
      </c>
      <c r="AR361">
        <f t="shared" si="228"/>
        <v>0</v>
      </c>
    </row>
    <row r="362" spans="4:44" x14ac:dyDescent="0.25">
      <c r="D362" s="1">
        <v>42220</v>
      </c>
      <c r="E362" s="2">
        <v>111.16369899999999</v>
      </c>
      <c r="F362" s="2">
        <v>202.71170499999999</v>
      </c>
      <c r="G362" s="2">
        <f t="shared" si="191"/>
        <v>-3.684773000000007</v>
      </c>
      <c r="H362" s="2">
        <f t="shared" si="192"/>
        <v>-0.39693099999999504</v>
      </c>
      <c r="I362" s="4">
        <f t="shared" si="193"/>
        <v>-3.7471522696355</v>
      </c>
      <c r="J362" s="4">
        <f t="shared" si="194"/>
        <v>-0.49815193898067822</v>
      </c>
      <c r="K362" s="4">
        <f t="shared" si="195"/>
        <v>25.498559631795619</v>
      </c>
      <c r="L362" s="4">
        <f t="shared" si="196"/>
        <v>5.0496098494631863</v>
      </c>
      <c r="M362" s="4">
        <f t="shared" si="197"/>
        <v>0.39607020336682364</v>
      </c>
      <c r="N362" s="4">
        <f t="shared" si="198"/>
        <v>4.7061481798511121E-2</v>
      </c>
      <c r="O362" s="3">
        <f t="shared" si="199"/>
        <v>-3.684773000000007</v>
      </c>
      <c r="P362" s="3">
        <f t="shared" si="200"/>
        <v>-0.39693099999999504</v>
      </c>
      <c r="Q362">
        <f t="shared" si="201"/>
        <v>1</v>
      </c>
      <c r="R362" s="3">
        <f t="shared" si="202"/>
        <v>-3.684773000000007</v>
      </c>
      <c r="S362" s="3">
        <f t="shared" si="203"/>
        <v>-0.39693099999999504</v>
      </c>
      <c r="T362">
        <f t="shared" si="204"/>
        <v>1</v>
      </c>
      <c r="U362" s="3">
        <f t="shared" si="205"/>
        <v>-3.684773000000007</v>
      </c>
      <c r="V362" s="3">
        <f t="shared" si="206"/>
        <v>-0.39693099999999504</v>
      </c>
      <c r="W362">
        <f t="shared" si="207"/>
        <v>1</v>
      </c>
      <c r="X362" s="3">
        <f t="shared" si="208"/>
        <v>-3.684773000000007</v>
      </c>
      <c r="Y362" s="3">
        <f t="shared" si="209"/>
        <v>-0.39693099999999504</v>
      </c>
      <c r="Z362">
        <f t="shared" si="210"/>
        <v>1</v>
      </c>
      <c r="AA362" s="3">
        <f t="shared" si="211"/>
        <v>-3.684773000000007</v>
      </c>
      <c r="AB362" s="3">
        <f t="shared" si="212"/>
        <v>-0.39693099999999504</v>
      </c>
      <c r="AC362">
        <f t="shared" si="213"/>
        <v>1</v>
      </c>
      <c r="AD362" s="3">
        <f t="shared" si="214"/>
        <v>-3.684773000000007</v>
      </c>
      <c r="AE362" s="3">
        <f t="shared" si="215"/>
        <v>-0.39693099999999504</v>
      </c>
      <c r="AF362">
        <f t="shared" si="216"/>
        <v>1</v>
      </c>
      <c r="AG362" s="3">
        <f t="shared" si="217"/>
        <v>-3.684773000000007</v>
      </c>
      <c r="AH362" s="3">
        <f t="shared" si="218"/>
        <v>-0.39693099999999504</v>
      </c>
      <c r="AI362">
        <f t="shared" si="219"/>
        <v>1</v>
      </c>
      <c r="AJ362" s="3">
        <f t="shared" si="220"/>
        <v>-3.684773000000007</v>
      </c>
      <c r="AK362" s="3">
        <f t="shared" si="221"/>
        <v>-0.39693099999999504</v>
      </c>
      <c r="AL362">
        <f t="shared" si="222"/>
        <v>1</v>
      </c>
      <c r="AM362" s="3">
        <f t="shared" si="223"/>
        <v>-3.684773000000007</v>
      </c>
      <c r="AN362" s="3">
        <f t="shared" si="224"/>
        <v>-0.39693099999999504</v>
      </c>
      <c r="AO362">
        <f t="shared" si="225"/>
        <v>1</v>
      </c>
      <c r="AP362" s="3">
        <f t="shared" si="226"/>
        <v>-3.684773000000007</v>
      </c>
      <c r="AQ362" s="3">
        <f t="shared" si="227"/>
        <v>-0.39693099999999504</v>
      </c>
      <c r="AR362">
        <f t="shared" si="228"/>
        <v>1</v>
      </c>
    </row>
    <row r="363" spans="4:44" x14ac:dyDescent="0.25">
      <c r="D363" s="1">
        <v>42219</v>
      </c>
      <c r="E363" s="2">
        <v>114.848472</v>
      </c>
      <c r="F363" s="2">
        <v>203.10863599999999</v>
      </c>
      <c r="G363" s="2">
        <f t="shared" si="191"/>
        <v>-2.7732749999999982</v>
      </c>
      <c r="H363" s="2">
        <f t="shared" si="192"/>
        <v>-0.6873950000000093</v>
      </c>
      <c r="I363" s="4">
        <f t="shared" si="193"/>
        <v>-2.8356542696354912</v>
      </c>
      <c r="J363" s="4">
        <f t="shared" si="194"/>
        <v>-0.78861593898069249</v>
      </c>
      <c r="K363" s="4">
        <f t="shared" si="195"/>
        <v>12.482406457540488</v>
      </c>
      <c r="L363" s="4">
        <f t="shared" si="196"/>
        <v>3.5330449271896458</v>
      </c>
      <c r="M363" s="4">
        <f t="shared" si="197"/>
        <v>0.566083942100022</v>
      </c>
      <c r="N363" s="4">
        <f t="shared" si="198"/>
        <v>9.613530885105033E-2</v>
      </c>
      <c r="O363" s="3">
        <f t="shared" si="199"/>
        <v>-2.7732749999999982</v>
      </c>
      <c r="P363" s="3">
        <f t="shared" si="200"/>
        <v>-0.6873950000000093</v>
      </c>
      <c r="Q363">
        <f t="shared" si="201"/>
        <v>1</v>
      </c>
      <c r="R363" s="3">
        <f t="shared" si="202"/>
        <v>-2.7732749999999982</v>
      </c>
      <c r="S363" s="3">
        <f t="shared" si="203"/>
        <v>-0.6873950000000093</v>
      </c>
      <c r="T363">
        <f t="shared" si="204"/>
        <v>1</v>
      </c>
      <c r="U363" s="3">
        <f t="shared" si="205"/>
        <v>-2.7732749999999982</v>
      </c>
      <c r="V363" s="3">
        <f t="shared" si="206"/>
        <v>-0.6873950000000093</v>
      </c>
      <c r="W363">
        <f t="shared" si="207"/>
        <v>1</v>
      </c>
      <c r="X363" s="3">
        <f t="shared" si="208"/>
        <v>-2.7732749999999982</v>
      </c>
      <c r="Y363" s="3">
        <f t="shared" si="209"/>
        <v>-0.6873950000000093</v>
      </c>
      <c r="Z363">
        <f t="shared" si="210"/>
        <v>1</v>
      </c>
      <c r="AA363" s="3">
        <f t="shared" si="211"/>
        <v>-2.7732749999999982</v>
      </c>
      <c r="AB363" s="3">
        <f t="shared" si="212"/>
        <v>-0.6873950000000093</v>
      </c>
      <c r="AC363">
        <f t="shared" si="213"/>
        <v>1</v>
      </c>
      <c r="AD363" s="3">
        <f t="shared" si="214"/>
        <v>-2.7732749999999982</v>
      </c>
      <c r="AE363" s="3">
        <f t="shared" si="215"/>
        <v>-0.6873950000000093</v>
      </c>
      <c r="AF363">
        <f t="shared" si="216"/>
        <v>1</v>
      </c>
      <c r="AG363" s="3">
        <f t="shared" si="217"/>
        <v>-2.7732749999999982</v>
      </c>
      <c r="AH363" s="3">
        <f t="shared" si="218"/>
        <v>-0.6873950000000093</v>
      </c>
      <c r="AI363">
        <f t="shared" si="219"/>
        <v>1</v>
      </c>
      <c r="AJ363" s="3">
        <f t="shared" si="220"/>
        <v>-2.7732749999999982</v>
      </c>
      <c r="AK363" s="3">
        <f t="shared" si="221"/>
        <v>-0.6873950000000093</v>
      </c>
      <c r="AL363">
        <f t="shared" si="222"/>
        <v>1</v>
      </c>
      <c r="AM363" s="3">
        <f t="shared" si="223"/>
        <v>-2.7732749999999982</v>
      </c>
      <c r="AN363" s="3">
        <f t="shared" si="224"/>
        <v>-0.6873950000000093</v>
      </c>
      <c r="AO363">
        <f t="shared" si="225"/>
        <v>1</v>
      </c>
      <c r="AP363" s="3">
        <f t="shared" si="226"/>
        <v>-2.7732749999999982</v>
      </c>
      <c r="AQ363" s="3">
        <f t="shared" si="227"/>
        <v>-0.6873950000000093</v>
      </c>
      <c r="AR363">
        <f t="shared" si="228"/>
        <v>1</v>
      </c>
    </row>
    <row r="364" spans="4:44" x14ac:dyDescent="0.25">
      <c r="D364" s="1">
        <v>42216</v>
      </c>
      <c r="E364" s="2">
        <v>117.621747</v>
      </c>
      <c r="F364" s="2">
        <v>203.796031</v>
      </c>
      <c r="G364" s="2">
        <f t="shared" si="191"/>
        <v>-1.0375540000000001</v>
      </c>
      <c r="H364" s="2">
        <f t="shared" si="192"/>
        <v>-0.30981600000001208</v>
      </c>
      <c r="I364" s="4">
        <f t="shared" si="193"/>
        <v>-1.0999332696354931</v>
      </c>
      <c r="J364" s="4">
        <f t="shared" si="194"/>
        <v>-0.41103693898069527</v>
      </c>
      <c r="K364" s="4">
        <f t="shared" si="195"/>
        <v>1.7208988391195541</v>
      </c>
      <c r="L364" s="4">
        <f t="shared" si="196"/>
        <v>1.3118303393044217</v>
      </c>
      <c r="M364" s="4">
        <f t="shared" si="197"/>
        <v>1</v>
      </c>
      <c r="N364" s="4">
        <f t="shared" si="198"/>
        <v>1</v>
      </c>
      <c r="O364" s="3">
        <f t="shared" si="199"/>
        <v>-1.0375540000000001</v>
      </c>
      <c r="P364" s="3">
        <f t="shared" si="200"/>
        <v>-0.30981600000001208</v>
      </c>
      <c r="Q364">
        <f t="shared" si="201"/>
        <v>1</v>
      </c>
      <c r="R364" s="3">
        <f t="shared" si="202"/>
        <v>-1.0375540000000001</v>
      </c>
      <c r="S364" s="3">
        <f t="shared" si="203"/>
        <v>-0.30981600000001208</v>
      </c>
      <c r="T364">
        <f t="shared" si="204"/>
        <v>1</v>
      </c>
      <c r="U364" s="3">
        <f t="shared" si="205"/>
        <v>0</v>
      </c>
      <c r="V364" s="3">
        <f t="shared" si="206"/>
        <v>0</v>
      </c>
      <c r="W364">
        <f t="shared" si="207"/>
        <v>0</v>
      </c>
      <c r="X364" s="3">
        <f t="shared" si="208"/>
        <v>0</v>
      </c>
      <c r="Y364" s="3">
        <f t="shared" si="209"/>
        <v>0</v>
      </c>
      <c r="Z364">
        <f t="shared" si="210"/>
        <v>0</v>
      </c>
      <c r="AA364" s="3">
        <f t="shared" si="211"/>
        <v>0</v>
      </c>
      <c r="AB364" s="3">
        <f t="shared" si="212"/>
        <v>0</v>
      </c>
      <c r="AC364">
        <f t="shared" si="213"/>
        <v>0</v>
      </c>
      <c r="AD364" s="3">
        <f t="shared" si="214"/>
        <v>0</v>
      </c>
      <c r="AE364" s="3">
        <f t="shared" si="215"/>
        <v>0</v>
      </c>
      <c r="AF364">
        <f t="shared" si="216"/>
        <v>0</v>
      </c>
      <c r="AG364" s="3">
        <f t="shared" si="217"/>
        <v>0</v>
      </c>
      <c r="AH364" s="3">
        <f t="shared" si="218"/>
        <v>0</v>
      </c>
      <c r="AI364">
        <f t="shared" si="219"/>
        <v>0</v>
      </c>
      <c r="AJ364" s="3">
        <f t="shared" si="220"/>
        <v>0</v>
      </c>
      <c r="AK364" s="3">
        <f t="shared" si="221"/>
        <v>0</v>
      </c>
      <c r="AL364">
        <f t="shared" si="222"/>
        <v>0</v>
      </c>
      <c r="AM364" s="3">
        <f t="shared" si="223"/>
        <v>0</v>
      </c>
      <c r="AN364" s="3">
        <f t="shared" si="224"/>
        <v>0</v>
      </c>
      <c r="AO364">
        <f t="shared" si="225"/>
        <v>0</v>
      </c>
      <c r="AP364" s="3">
        <f t="shared" si="226"/>
        <v>0</v>
      </c>
      <c r="AQ364" s="3">
        <f t="shared" si="227"/>
        <v>0</v>
      </c>
      <c r="AR364">
        <f t="shared" si="228"/>
        <v>0</v>
      </c>
    </row>
    <row r="365" spans="4:44" x14ac:dyDescent="0.25">
      <c r="D365" s="1">
        <v>42215</v>
      </c>
      <c r="E365" s="2">
        <v>118.659301</v>
      </c>
      <c r="F365" s="2">
        <v>204.10584700000001</v>
      </c>
      <c r="G365" s="2">
        <f t="shared" si="191"/>
        <v>-0.60119400000000667</v>
      </c>
      <c r="H365" s="2">
        <f t="shared" si="192"/>
        <v>4.8411000000015747E-2</v>
      </c>
      <c r="I365" s="4">
        <f t="shared" si="193"/>
        <v>-0.66357326963549967</v>
      </c>
      <c r="J365" s="4">
        <f t="shared" si="194"/>
        <v>-5.2809938980667465E-2</v>
      </c>
      <c r="K365" s="4">
        <f t="shared" si="195"/>
        <v>0.85114521537950516</v>
      </c>
      <c r="L365" s="4">
        <f t="shared" si="196"/>
        <v>0.9225753169142914</v>
      </c>
      <c r="M365" s="4">
        <f t="shared" si="197"/>
        <v>1</v>
      </c>
      <c r="N365" s="4">
        <f t="shared" si="198"/>
        <v>1</v>
      </c>
      <c r="O365" s="3">
        <f t="shared" si="199"/>
        <v>-0.60119400000000667</v>
      </c>
      <c r="P365" s="3">
        <f t="shared" si="200"/>
        <v>4.8411000000015747E-2</v>
      </c>
      <c r="Q365">
        <f t="shared" si="201"/>
        <v>1</v>
      </c>
      <c r="R365" s="3">
        <f t="shared" si="202"/>
        <v>0</v>
      </c>
      <c r="S365" s="3">
        <f t="shared" si="203"/>
        <v>0</v>
      </c>
      <c r="T365">
        <f t="shared" si="204"/>
        <v>0</v>
      </c>
      <c r="U365" s="3">
        <f t="shared" si="205"/>
        <v>0</v>
      </c>
      <c r="V365" s="3">
        <f t="shared" si="206"/>
        <v>0</v>
      </c>
      <c r="W365">
        <f t="shared" si="207"/>
        <v>0</v>
      </c>
      <c r="X365" s="3">
        <f t="shared" si="208"/>
        <v>0</v>
      </c>
      <c r="Y365" s="3">
        <f t="shared" si="209"/>
        <v>0</v>
      </c>
      <c r="Z365">
        <f t="shared" si="210"/>
        <v>0</v>
      </c>
      <c r="AA365" s="3">
        <f t="shared" si="211"/>
        <v>0</v>
      </c>
      <c r="AB365" s="3">
        <f t="shared" si="212"/>
        <v>0</v>
      </c>
      <c r="AC365">
        <f t="shared" si="213"/>
        <v>0</v>
      </c>
      <c r="AD365" s="3">
        <f t="shared" si="214"/>
        <v>0</v>
      </c>
      <c r="AE365" s="3">
        <f t="shared" si="215"/>
        <v>0</v>
      </c>
      <c r="AF365">
        <f t="shared" si="216"/>
        <v>0</v>
      </c>
      <c r="AG365" s="3">
        <f t="shared" si="217"/>
        <v>0</v>
      </c>
      <c r="AH365" s="3">
        <f t="shared" si="218"/>
        <v>0</v>
      </c>
      <c r="AI365">
        <f t="shared" si="219"/>
        <v>0</v>
      </c>
      <c r="AJ365" s="3">
        <f t="shared" si="220"/>
        <v>0</v>
      </c>
      <c r="AK365" s="3">
        <f t="shared" si="221"/>
        <v>0</v>
      </c>
      <c r="AL365">
        <f t="shared" si="222"/>
        <v>0</v>
      </c>
      <c r="AM365" s="3">
        <f t="shared" si="223"/>
        <v>0</v>
      </c>
      <c r="AN365" s="3">
        <f t="shared" si="224"/>
        <v>0</v>
      </c>
      <c r="AO365">
        <f t="shared" si="225"/>
        <v>0</v>
      </c>
      <c r="AP365" s="3">
        <f t="shared" si="226"/>
        <v>0</v>
      </c>
      <c r="AQ365" s="3">
        <f t="shared" si="227"/>
        <v>0</v>
      </c>
      <c r="AR365">
        <f t="shared" si="228"/>
        <v>0</v>
      </c>
    </row>
    <row r="366" spans="4:44" x14ac:dyDescent="0.25">
      <c r="D366" s="1">
        <v>42214</v>
      </c>
      <c r="E366" s="2">
        <v>119.26049500000001</v>
      </c>
      <c r="F366" s="2">
        <v>204.057436</v>
      </c>
      <c r="G366" s="2">
        <f t="shared" si="191"/>
        <v>-0.37817399999998713</v>
      </c>
      <c r="H366" s="2">
        <f t="shared" si="192"/>
        <v>1.3941409999999905</v>
      </c>
      <c r="I366" s="4">
        <f t="shared" si="193"/>
        <v>-0.44055326963548014</v>
      </c>
      <c r="J366" s="4">
        <f t="shared" si="194"/>
        <v>1.2929200610193072</v>
      </c>
      <c r="K366" s="4">
        <f t="shared" si="195"/>
        <v>5.0609883744477999</v>
      </c>
      <c r="L366" s="4">
        <f t="shared" si="196"/>
        <v>2.2496640581313025</v>
      </c>
      <c r="M366" s="4">
        <f t="shared" si="197"/>
        <v>0.88902162648289473</v>
      </c>
      <c r="N366" s="4">
        <f t="shared" si="198"/>
        <v>0.23710783570628749</v>
      </c>
      <c r="O366" s="3">
        <f t="shared" si="199"/>
        <v>-0.37817399999998713</v>
      </c>
      <c r="P366" s="3">
        <f t="shared" si="200"/>
        <v>1.3941409999999905</v>
      </c>
      <c r="Q366">
        <f t="shared" si="201"/>
        <v>1</v>
      </c>
      <c r="R366" s="3">
        <f t="shared" si="202"/>
        <v>-0.37817399999998713</v>
      </c>
      <c r="S366" s="3">
        <f t="shared" si="203"/>
        <v>1.3941409999999905</v>
      </c>
      <c r="T366">
        <f t="shared" si="204"/>
        <v>1</v>
      </c>
      <c r="U366" s="3">
        <f t="shared" si="205"/>
        <v>-0.37817399999998713</v>
      </c>
      <c r="V366" s="3">
        <f t="shared" si="206"/>
        <v>1.3941409999999905</v>
      </c>
      <c r="W366">
        <f t="shared" si="207"/>
        <v>1</v>
      </c>
      <c r="X366" s="3">
        <f t="shared" si="208"/>
        <v>-0.37817399999998713</v>
      </c>
      <c r="Y366" s="3">
        <f t="shared" si="209"/>
        <v>1.3941409999999905</v>
      </c>
      <c r="Z366">
        <f t="shared" si="210"/>
        <v>1</v>
      </c>
      <c r="AA366" s="3">
        <f t="shared" si="211"/>
        <v>-0.37817399999998713</v>
      </c>
      <c r="AB366" s="3">
        <f t="shared" si="212"/>
        <v>1.3941409999999905</v>
      </c>
      <c r="AC366">
        <f t="shared" si="213"/>
        <v>1</v>
      </c>
      <c r="AD366" s="3">
        <f t="shared" si="214"/>
        <v>-0.37817399999998713</v>
      </c>
      <c r="AE366" s="3">
        <f t="shared" si="215"/>
        <v>1.3941409999999905</v>
      </c>
      <c r="AF366">
        <f t="shared" si="216"/>
        <v>1</v>
      </c>
      <c r="AG366" s="3">
        <f t="shared" si="217"/>
        <v>0</v>
      </c>
      <c r="AH366" s="3">
        <f t="shared" si="218"/>
        <v>0</v>
      </c>
      <c r="AI366">
        <f t="shared" si="219"/>
        <v>0</v>
      </c>
      <c r="AJ366" s="3">
        <f t="shared" si="220"/>
        <v>0</v>
      </c>
      <c r="AK366" s="3">
        <f t="shared" si="221"/>
        <v>0</v>
      </c>
      <c r="AL366">
        <f t="shared" si="222"/>
        <v>0</v>
      </c>
      <c r="AM366" s="3">
        <f t="shared" si="223"/>
        <v>0</v>
      </c>
      <c r="AN366" s="3">
        <f t="shared" si="224"/>
        <v>0</v>
      </c>
      <c r="AO366">
        <f t="shared" si="225"/>
        <v>0</v>
      </c>
      <c r="AP366" s="3">
        <f t="shared" si="226"/>
        <v>0</v>
      </c>
      <c r="AQ366" s="3">
        <f t="shared" si="227"/>
        <v>0</v>
      </c>
      <c r="AR366">
        <f t="shared" si="228"/>
        <v>0</v>
      </c>
    </row>
    <row r="367" spans="4:44" x14ac:dyDescent="0.25">
      <c r="D367" s="1">
        <v>42213</v>
      </c>
      <c r="E367" s="2">
        <v>119.63866899999999</v>
      </c>
      <c r="F367" s="2">
        <v>202.66329500000001</v>
      </c>
      <c r="G367" s="2">
        <f t="shared" si="191"/>
        <v>0.59150399999998626</v>
      </c>
      <c r="H367" s="2">
        <f t="shared" si="192"/>
        <v>2.4591149999999971</v>
      </c>
      <c r="I367" s="4">
        <f t="shared" si="193"/>
        <v>0.52912473036449326</v>
      </c>
      <c r="J367" s="4">
        <f t="shared" si="194"/>
        <v>2.357894061019314</v>
      </c>
      <c r="K367" s="4">
        <f t="shared" si="195"/>
        <v>7.8994300559558033</v>
      </c>
      <c r="L367" s="4">
        <f t="shared" si="196"/>
        <v>2.810592474186858</v>
      </c>
      <c r="M367" s="4">
        <f t="shared" si="197"/>
        <v>0.71159373632729406</v>
      </c>
      <c r="N367" s="4">
        <f t="shared" si="198"/>
        <v>0.15190969367407156</v>
      </c>
      <c r="O367" s="3">
        <f t="shared" si="199"/>
        <v>0.59150399999998626</v>
      </c>
      <c r="P367" s="3">
        <f t="shared" si="200"/>
        <v>2.4591149999999971</v>
      </c>
      <c r="Q367">
        <f t="shared" si="201"/>
        <v>1</v>
      </c>
      <c r="R367" s="3">
        <f t="shared" si="202"/>
        <v>0.59150399999998626</v>
      </c>
      <c r="S367" s="3">
        <f t="shared" si="203"/>
        <v>2.4591149999999971</v>
      </c>
      <c r="T367">
        <f t="shared" si="204"/>
        <v>1</v>
      </c>
      <c r="U367" s="3">
        <f t="shared" si="205"/>
        <v>0.59150399999998626</v>
      </c>
      <c r="V367" s="3">
        <f t="shared" si="206"/>
        <v>2.4591149999999971</v>
      </c>
      <c r="W367">
        <f t="shared" si="207"/>
        <v>1</v>
      </c>
      <c r="X367" s="3">
        <f t="shared" si="208"/>
        <v>0.59150399999998626</v>
      </c>
      <c r="Y367" s="3">
        <f t="shared" si="209"/>
        <v>2.4591149999999971</v>
      </c>
      <c r="Z367">
        <f t="shared" si="210"/>
        <v>1</v>
      </c>
      <c r="AA367" s="3">
        <f t="shared" si="211"/>
        <v>0.59150399999998626</v>
      </c>
      <c r="AB367" s="3">
        <f t="shared" si="212"/>
        <v>2.4591149999999971</v>
      </c>
      <c r="AC367">
        <f t="shared" si="213"/>
        <v>1</v>
      </c>
      <c r="AD367" s="3">
        <f t="shared" si="214"/>
        <v>0.59150399999998626</v>
      </c>
      <c r="AE367" s="3">
        <f t="shared" si="215"/>
        <v>2.4591149999999971</v>
      </c>
      <c r="AF367">
        <f t="shared" si="216"/>
        <v>1</v>
      </c>
      <c r="AG367" s="3">
        <f t="shared" si="217"/>
        <v>0.59150399999998626</v>
      </c>
      <c r="AH367" s="3">
        <f t="shared" si="218"/>
        <v>2.4591149999999971</v>
      </c>
      <c r="AI367">
        <f t="shared" si="219"/>
        <v>1</v>
      </c>
      <c r="AJ367" s="3">
        <f t="shared" si="220"/>
        <v>0.59150399999998626</v>
      </c>
      <c r="AK367" s="3">
        <f t="shared" si="221"/>
        <v>2.4591149999999971</v>
      </c>
      <c r="AL367">
        <f t="shared" si="222"/>
        <v>1</v>
      </c>
      <c r="AM367" s="3">
        <f t="shared" si="223"/>
        <v>0</v>
      </c>
      <c r="AN367" s="3">
        <f t="shared" si="224"/>
        <v>0</v>
      </c>
      <c r="AO367">
        <f t="shared" si="225"/>
        <v>0</v>
      </c>
      <c r="AP367" s="3">
        <f t="shared" si="226"/>
        <v>0</v>
      </c>
      <c r="AQ367" s="3">
        <f t="shared" si="227"/>
        <v>0</v>
      </c>
      <c r="AR367">
        <f t="shared" si="228"/>
        <v>0</v>
      </c>
    </row>
    <row r="368" spans="4:44" x14ac:dyDescent="0.25">
      <c r="D368" s="1">
        <v>42212</v>
      </c>
      <c r="E368" s="2">
        <v>119.04716500000001</v>
      </c>
      <c r="F368" s="2">
        <v>200.20418000000001</v>
      </c>
      <c r="G368" s="2">
        <f t="shared" si="191"/>
        <v>-1.6775439999999975</v>
      </c>
      <c r="H368" s="2">
        <f t="shared" si="192"/>
        <v>-1.1714699999999993</v>
      </c>
      <c r="I368" s="4">
        <f t="shared" si="193"/>
        <v>-1.7399232696354905</v>
      </c>
      <c r="J368" s="4">
        <f t="shared" si="194"/>
        <v>-1.2726909389806826</v>
      </c>
      <c r="K368" s="4">
        <f t="shared" si="195"/>
        <v>3.7646130645618907</v>
      </c>
      <c r="L368" s="4">
        <f t="shared" si="196"/>
        <v>1.940261081545958</v>
      </c>
      <c r="M368" s="4">
        <f t="shared" si="197"/>
        <v>1</v>
      </c>
      <c r="N368" s="4">
        <f t="shared" si="198"/>
        <v>0.31875785888759078</v>
      </c>
      <c r="O368" s="3">
        <f t="shared" si="199"/>
        <v>-1.6775439999999975</v>
      </c>
      <c r="P368" s="3">
        <f t="shared" si="200"/>
        <v>-1.1714699999999993</v>
      </c>
      <c r="Q368">
        <f t="shared" si="201"/>
        <v>1</v>
      </c>
      <c r="R368" s="3">
        <f t="shared" si="202"/>
        <v>-1.6775439999999975</v>
      </c>
      <c r="S368" s="3">
        <f t="shared" si="203"/>
        <v>-1.1714699999999993</v>
      </c>
      <c r="T368">
        <f t="shared" si="204"/>
        <v>1</v>
      </c>
      <c r="U368" s="3">
        <f t="shared" si="205"/>
        <v>-1.6775439999999975</v>
      </c>
      <c r="V368" s="3">
        <f t="shared" si="206"/>
        <v>-1.1714699999999993</v>
      </c>
      <c r="W368">
        <f t="shared" si="207"/>
        <v>1</v>
      </c>
      <c r="X368" s="3">
        <f t="shared" si="208"/>
        <v>-1.6775439999999975</v>
      </c>
      <c r="Y368" s="3">
        <f t="shared" si="209"/>
        <v>-1.1714699999999993</v>
      </c>
      <c r="Z368">
        <f t="shared" si="210"/>
        <v>1</v>
      </c>
      <c r="AA368" s="3">
        <f t="shared" si="211"/>
        <v>0</v>
      </c>
      <c r="AB368" s="3">
        <f t="shared" si="212"/>
        <v>0</v>
      </c>
      <c r="AC368">
        <f t="shared" si="213"/>
        <v>0</v>
      </c>
      <c r="AD368" s="3">
        <f t="shared" si="214"/>
        <v>0</v>
      </c>
      <c r="AE368" s="3">
        <f t="shared" si="215"/>
        <v>0</v>
      </c>
      <c r="AF368">
        <f t="shared" si="216"/>
        <v>0</v>
      </c>
      <c r="AG368" s="3">
        <f t="shared" si="217"/>
        <v>0</v>
      </c>
      <c r="AH368" s="3">
        <f t="shared" si="218"/>
        <v>0</v>
      </c>
      <c r="AI368">
        <f t="shared" si="219"/>
        <v>0</v>
      </c>
      <c r="AJ368" s="3">
        <f t="shared" si="220"/>
        <v>0</v>
      </c>
      <c r="AK368" s="3">
        <f t="shared" si="221"/>
        <v>0</v>
      </c>
      <c r="AL368">
        <f t="shared" si="222"/>
        <v>0</v>
      </c>
      <c r="AM368" s="3">
        <f t="shared" si="223"/>
        <v>0</v>
      </c>
      <c r="AN368" s="3">
        <f t="shared" si="224"/>
        <v>0</v>
      </c>
      <c r="AO368">
        <f t="shared" si="225"/>
        <v>0</v>
      </c>
      <c r="AP368" s="3">
        <f t="shared" si="226"/>
        <v>0</v>
      </c>
      <c r="AQ368" s="3">
        <f t="shared" si="227"/>
        <v>0</v>
      </c>
      <c r="AR368">
        <f t="shared" si="228"/>
        <v>0</v>
      </c>
    </row>
    <row r="369" spans="4:44" x14ac:dyDescent="0.25">
      <c r="D369" s="1">
        <v>42209</v>
      </c>
      <c r="E369" s="2">
        <v>120.724709</v>
      </c>
      <c r="F369" s="2">
        <v>201.37565000000001</v>
      </c>
      <c r="G369" s="2">
        <f t="shared" si="191"/>
        <v>-0.63998999999999739</v>
      </c>
      <c r="H369" s="2">
        <f t="shared" si="192"/>
        <v>-2.1105649999999798</v>
      </c>
      <c r="I369" s="4">
        <f t="shared" si="193"/>
        <v>-0.7023692696354904</v>
      </c>
      <c r="J369" s="4">
        <f t="shared" si="194"/>
        <v>-2.2117859389806629</v>
      </c>
      <c r="K369" s="4">
        <f t="shared" si="195"/>
        <v>6.2934613776705701</v>
      </c>
      <c r="L369" s="4">
        <f t="shared" si="196"/>
        <v>2.5086772167161264</v>
      </c>
      <c r="M369" s="4">
        <f t="shared" si="197"/>
        <v>0.79723289495888672</v>
      </c>
      <c r="N369" s="4">
        <f t="shared" si="198"/>
        <v>0.19067408664135821</v>
      </c>
      <c r="O369" s="3">
        <f t="shared" si="199"/>
        <v>-0.63998999999999739</v>
      </c>
      <c r="P369" s="3">
        <f t="shared" si="200"/>
        <v>-2.1105649999999798</v>
      </c>
      <c r="Q369">
        <f t="shared" si="201"/>
        <v>1</v>
      </c>
      <c r="R369" s="3">
        <f t="shared" si="202"/>
        <v>-0.63998999999999739</v>
      </c>
      <c r="S369" s="3">
        <f t="shared" si="203"/>
        <v>-2.1105649999999798</v>
      </c>
      <c r="T369">
        <f t="shared" si="204"/>
        <v>1</v>
      </c>
      <c r="U369" s="3">
        <f t="shared" si="205"/>
        <v>-0.63998999999999739</v>
      </c>
      <c r="V369" s="3">
        <f t="shared" si="206"/>
        <v>-2.1105649999999798</v>
      </c>
      <c r="W369">
        <f t="shared" si="207"/>
        <v>1</v>
      </c>
      <c r="X369" s="3">
        <f t="shared" si="208"/>
        <v>-0.63998999999999739</v>
      </c>
      <c r="Y369" s="3">
        <f t="shared" si="209"/>
        <v>-2.1105649999999798</v>
      </c>
      <c r="Z369">
        <f t="shared" si="210"/>
        <v>1</v>
      </c>
      <c r="AA369" s="3">
        <f t="shared" si="211"/>
        <v>-0.63998999999999739</v>
      </c>
      <c r="AB369" s="3">
        <f t="shared" si="212"/>
        <v>-2.1105649999999798</v>
      </c>
      <c r="AC369">
        <f t="shared" si="213"/>
        <v>1</v>
      </c>
      <c r="AD369" s="3">
        <f t="shared" si="214"/>
        <v>-0.63998999999999739</v>
      </c>
      <c r="AE369" s="3">
        <f t="shared" si="215"/>
        <v>-2.1105649999999798</v>
      </c>
      <c r="AF369">
        <f t="shared" si="216"/>
        <v>1</v>
      </c>
      <c r="AG369" s="3">
        <f t="shared" si="217"/>
        <v>-0.63998999999999739</v>
      </c>
      <c r="AH369" s="3">
        <f t="shared" si="218"/>
        <v>-2.1105649999999798</v>
      </c>
      <c r="AI369">
        <f t="shared" si="219"/>
        <v>1</v>
      </c>
      <c r="AJ369" s="3">
        <f t="shared" si="220"/>
        <v>0</v>
      </c>
      <c r="AK369" s="3">
        <f t="shared" si="221"/>
        <v>0</v>
      </c>
      <c r="AL369">
        <f t="shared" si="222"/>
        <v>0</v>
      </c>
      <c r="AM369" s="3">
        <f t="shared" si="223"/>
        <v>0</v>
      </c>
      <c r="AN369" s="3">
        <f t="shared" si="224"/>
        <v>0</v>
      </c>
      <c r="AO369">
        <f t="shared" si="225"/>
        <v>0</v>
      </c>
      <c r="AP369" s="3">
        <f t="shared" si="226"/>
        <v>0</v>
      </c>
      <c r="AQ369" s="3">
        <f t="shared" si="227"/>
        <v>0</v>
      </c>
      <c r="AR369">
        <f t="shared" si="228"/>
        <v>0</v>
      </c>
    </row>
    <row r="370" spans="4:44" x14ac:dyDescent="0.25">
      <c r="D370" s="1">
        <v>42208</v>
      </c>
      <c r="E370" s="2">
        <v>121.364699</v>
      </c>
      <c r="F370" s="2">
        <v>203.48621499999999</v>
      </c>
      <c r="G370" s="2">
        <f t="shared" si="191"/>
        <v>-5.8177999999998065E-2</v>
      </c>
      <c r="H370" s="2">
        <f t="shared" si="192"/>
        <v>-1.152103000000011</v>
      </c>
      <c r="I370" s="4">
        <f t="shared" si="193"/>
        <v>-0.12055726963549107</v>
      </c>
      <c r="J370" s="4">
        <f t="shared" si="194"/>
        <v>-1.2533239389806943</v>
      </c>
      <c r="K370" s="4">
        <f t="shared" si="195"/>
        <v>2.617261289441116</v>
      </c>
      <c r="L370" s="4">
        <f t="shared" si="196"/>
        <v>1.6177951939108721</v>
      </c>
      <c r="M370" s="4">
        <f t="shared" si="197"/>
        <v>1</v>
      </c>
      <c r="N370" s="4">
        <f t="shared" si="198"/>
        <v>0.45849453581160987</v>
      </c>
      <c r="O370" s="3">
        <f t="shared" si="199"/>
        <v>-5.8177999999998065E-2</v>
      </c>
      <c r="P370" s="3">
        <f t="shared" si="200"/>
        <v>-1.152103000000011</v>
      </c>
      <c r="Q370">
        <f t="shared" si="201"/>
        <v>1</v>
      </c>
      <c r="R370" s="3">
        <f t="shared" si="202"/>
        <v>-5.8177999999998065E-2</v>
      </c>
      <c r="S370" s="3">
        <f t="shared" si="203"/>
        <v>-1.152103000000011</v>
      </c>
      <c r="T370">
        <f t="shared" si="204"/>
        <v>1</v>
      </c>
      <c r="U370" s="3">
        <f t="shared" si="205"/>
        <v>-5.8177999999998065E-2</v>
      </c>
      <c r="V370" s="3">
        <f t="shared" si="206"/>
        <v>-1.152103000000011</v>
      </c>
      <c r="W370">
        <f t="shared" si="207"/>
        <v>1</v>
      </c>
      <c r="X370" s="3">
        <f t="shared" si="208"/>
        <v>0</v>
      </c>
      <c r="Y370" s="3">
        <f t="shared" si="209"/>
        <v>0</v>
      </c>
      <c r="Z370">
        <f t="shared" si="210"/>
        <v>0</v>
      </c>
      <c r="AA370" s="3">
        <f t="shared" si="211"/>
        <v>0</v>
      </c>
      <c r="AB370" s="3">
        <f t="shared" si="212"/>
        <v>0</v>
      </c>
      <c r="AC370">
        <f t="shared" si="213"/>
        <v>0</v>
      </c>
      <c r="AD370" s="3">
        <f t="shared" si="214"/>
        <v>0</v>
      </c>
      <c r="AE370" s="3">
        <f t="shared" si="215"/>
        <v>0</v>
      </c>
      <c r="AF370">
        <f t="shared" si="216"/>
        <v>0</v>
      </c>
      <c r="AG370" s="3">
        <f t="shared" si="217"/>
        <v>0</v>
      </c>
      <c r="AH370" s="3">
        <f t="shared" si="218"/>
        <v>0</v>
      </c>
      <c r="AI370">
        <f t="shared" si="219"/>
        <v>0</v>
      </c>
      <c r="AJ370" s="3">
        <f t="shared" si="220"/>
        <v>0</v>
      </c>
      <c r="AK370" s="3">
        <f t="shared" si="221"/>
        <v>0</v>
      </c>
      <c r="AL370">
        <f t="shared" si="222"/>
        <v>0</v>
      </c>
      <c r="AM370" s="3">
        <f t="shared" si="223"/>
        <v>0</v>
      </c>
      <c r="AN370" s="3">
        <f t="shared" si="224"/>
        <v>0</v>
      </c>
      <c r="AO370">
        <f t="shared" si="225"/>
        <v>0</v>
      </c>
      <c r="AP370" s="3">
        <f t="shared" si="226"/>
        <v>0</v>
      </c>
      <c r="AQ370" s="3">
        <f t="shared" si="227"/>
        <v>0</v>
      </c>
      <c r="AR370">
        <f t="shared" si="228"/>
        <v>0</v>
      </c>
    </row>
    <row r="371" spans="4:44" x14ac:dyDescent="0.25">
      <c r="D371" s="1">
        <v>42207</v>
      </c>
      <c r="E371" s="2">
        <v>121.422877</v>
      </c>
      <c r="F371" s="2">
        <v>204.638318</v>
      </c>
      <c r="G371" s="2">
        <f t="shared" si="191"/>
        <v>-5.3623089999999962</v>
      </c>
      <c r="H371" s="2">
        <f t="shared" si="192"/>
        <v>-0.36790300000001253</v>
      </c>
      <c r="I371" s="4">
        <f t="shared" si="193"/>
        <v>-5.4246882696354897</v>
      </c>
      <c r="J371" s="4">
        <f t="shared" si="194"/>
        <v>-0.46912393898069571</v>
      </c>
      <c r="K371" s="4">
        <f t="shared" si="195"/>
        <v>56.419329596230313</v>
      </c>
      <c r="L371" s="4">
        <f t="shared" si="196"/>
        <v>7.5112801569526289</v>
      </c>
      <c r="M371" s="4">
        <f t="shared" si="197"/>
        <v>0.26626619673462054</v>
      </c>
      <c r="N371" s="4">
        <f t="shared" si="198"/>
        <v>2.1269306257055889E-2</v>
      </c>
      <c r="O371" s="3">
        <f t="shared" si="199"/>
        <v>-5.3623089999999962</v>
      </c>
      <c r="P371" s="3">
        <f t="shared" si="200"/>
        <v>-0.36790300000001253</v>
      </c>
      <c r="Q371">
        <f t="shared" si="201"/>
        <v>1</v>
      </c>
      <c r="R371" s="3">
        <f t="shared" si="202"/>
        <v>-5.3623089999999962</v>
      </c>
      <c r="S371" s="3">
        <f t="shared" si="203"/>
        <v>-0.36790300000001253</v>
      </c>
      <c r="T371">
        <f t="shared" si="204"/>
        <v>1</v>
      </c>
      <c r="U371" s="3">
        <f t="shared" si="205"/>
        <v>-5.3623089999999962</v>
      </c>
      <c r="V371" s="3">
        <f t="shared" si="206"/>
        <v>-0.36790300000001253</v>
      </c>
      <c r="W371">
        <f t="shared" si="207"/>
        <v>1</v>
      </c>
      <c r="X371" s="3">
        <f t="shared" si="208"/>
        <v>-5.3623089999999962</v>
      </c>
      <c r="Y371" s="3">
        <f t="shared" si="209"/>
        <v>-0.36790300000001253</v>
      </c>
      <c r="Z371">
        <f t="shared" si="210"/>
        <v>1</v>
      </c>
      <c r="AA371" s="3">
        <f t="shared" si="211"/>
        <v>-5.3623089999999962</v>
      </c>
      <c r="AB371" s="3">
        <f t="shared" si="212"/>
        <v>-0.36790300000001253</v>
      </c>
      <c r="AC371">
        <f t="shared" si="213"/>
        <v>1</v>
      </c>
      <c r="AD371" s="3">
        <f t="shared" si="214"/>
        <v>-5.3623089999999962</v>
      </c>
      <c r="AE371" s="3">
        <f t="shared" si="215"/>
        <v>-0.36790300000001253</v>
      </c>
      <c r="AF371">
        <f t="shared" si="216"/>
        <v>1</v>
      </c>
      <c r="AG371" s="3">
        <f t="shared" si="217"/>
        <v>-5.3623089999999962</v>
      </c>
      <c r="AH371" s="3">
        <f t="shared" si="218"/>
        <v>-0.36790300000001253</v>
      </c>
      <c r="AI371">
        <f t="shared" si="219"/>
        <v>1</v>
      </c>
      <c r="AJ371" s="3">
        <f t="shared" si="220"/>
        <v>-5.3623089999999962</v>
      </c>
      <c r="AK371" s="3">
        <f t="shared" si="221"/>
        <v>-0.36790300000001253</v>
      </c>
      <c r="AL371">
        <f t="shared" si="222"/>
        <v>1</v>
      </c>
      <c r="AM371" s="3">
        <f t="shared" si="223"/>
        <v>-5.3623089999999962</v>
      </c>
      <c r="AN371" s="3">
        <f t="shared" si="224"/>
        <v>-0.36790300000001253</v>
      </c>
      <c r="AO371">
        <f t="shared" si="225"/>
        <v>1</v>
      </c>
      <c r="AP371" s="3">
        <f t="shared" si="226"/>
        <v>-5.3623089999999962</v>
      </c>
      <c r="AQ371" s="3">
        <f t="shared" si="227"/>
        <v>-0.36790300000001253</v>
      </c>
      <c r="AR371">
        <f t="shared" si="228"/>
        <v>1</v>
      </c>
    </row>
    <row r="372" spans="4:44" x14ac:dyDescent="0.25">
      <c r="D372" s="1">
        <v>42206</v>
      </c>
      <c r="E372" s="2">
        <v>126.785186</v>
      </c>
      <c r="F372" s="2">
        <v>205.00622100000001</v>
      </c>
      <c r="G372" s="2">
        <f t="shared" si="191"/>
        <v>-1.279980000000009</v>
      </c>
      <c r="H372" s="2">
        <f t="shared" si="192"/>
        <v>-0.81324399999999741</v>
      </c>
      <c r="I372" s="4">
        <f t="shared" si="193"/>
        <v>-1.342359269635502</v>
      </c>
      <c r="J372" s="4">
        <f t="shared" si="194"/>
        <v>-0.9144649389806806</v>
      </c>
      <c r="K372" s="4">
        <f t="shared" si="195"/>
        <v>2.2332406054776568</v>
      </c>
      <c r="L372" s="4">
        <f t="shared" si="196"/>
        <v>1.494403093371282</v>
      </c>
      <c r="M372" s="4">
        <f t="shared" si="197"/>
        <v>1</v>
      </c>
      <c r="N372" s="4">
        <f t="shared" si="198"/>
        <v>0.5373357429811455</v>
      </c>
      <c r="O372" s="3">
        <f t="shared" si="199"/>
        <v>-1.279980000000009</v>
      </c>
      <c r="P372" s="3">
        <f t="shared" si="200"/>
        <v>-0.81324399999999741</v>
      </c>
      <c r="Q372">
        <f t="shared" si="201"/>
        <v>1</v>
      </c>
      <c r="R372" s="3">
        <f t="shared" si="202"/>
        <v>-1.279980000000009</v>
      </c>
      <c r="S372" s="3">
        <f t="shared" si="203"/>
        <v>-0.81324399999999741</v>
      </c>
      <c r="T372">
        <f t="shared" si="204"/>
        <v>1</v>
      </c>
      <c r="U372" s="3">
        <f t="shared" si="205"/>
        <v>-1.279980000000009</v>
      </c>
      <c r="V372" s="3">
        <f t="shared" si="206"/>
        <v>-0.81324399999999741</v>
      </c>
      <c r="W372">
        <f t="shared" si="207"/>
        <v>1</v>
      </c>
      <c r="X372" s="3">
        <f t="shared" si="208"/>
        <v>0</v>
      </c>
      <c r="Y372" s="3">
        <f t="shared" si="209"/>
        <v>0</v>
      </c>
      <c r="Z372">
        <f t="shared" si="210"/>
        <v>0</v>
      </c>
      <c r="AA372" s="3">
        <f t="shared" si="211"/>
        <v>0</v>
      </c>
      <c r="AB372" s="3">
        <f t="shared" si="212"/>
        <v>0</v>
      </c>
      <c r="AC372">
        <f t="shared" si="213"/>
        <v>0</v>
      </c>
      <c r="AD372" s="3">
        <f t="shared" si="214"/>
        <v>0</v>
      </c>
      <c r="AE372" s="3">
        <f t="shared" si="215"/>
        <v>0</v>
      </c>
      <c r="AF372">
        <f t="shared" si="216"/>
        <v>0</v>
      </c>
      <c r="AG372" s="3">
        <f t="shared" si="217"/>
        <v>0</v>
      </c>
      <c r="AH372" s="3">
        <f t="shared" si="218"/>
        <v>0</v>
      </c>
      <c r="AI372">
        <f t="shared" si="219"/>
        <v>0</v>
      </c>
      <c r="AJ372" s="3">
        <f t="shared" si="220"/>
        <v>0</v>
      </c>
      <c r="AK372" s="3">
        <f t="shared" si="221"/>
        <v>0</v>
      </c>
      <c r="AL372">
        <f t="shared" si="222"/>
        <v>0</v>
      </c>
      <c r="AM372" s="3">
        <f t="shared" si="223"/>
        <v>0</v>
      </c>
      <c r="AN372" s="3">
        <f t="shared" si="224"/>
        <v>0</v>
      </c>
      <c r="AO372">
        <f t="shared" si="225"/>
        <v>0</v>
      </c>
      <c r="AP372" s="3">
        <f t="shared" si="226"/>
        <v>0</v>
      </c>
      <c r="AQ372" s="3">
        <f t="shared" si="227"/>
        <v>0</v>
      </c>
      <c r="AR372">
        <f t="shared" si="228"/>
        <v>0</v>
      </c>
    </row>
    <row r="373" spans="4:44" x14ac:dyDescent="0.25">
      <c r="D373" s="1">
        <v>42205</v>
      </c>
      <c r="E373" s="2">
        <v>128.065166</v>
      </c>
      <c r="F373" s="2">
        <v>205.81946500000001</v>
      </c>
      <c r="G373" s="2">
        <f t="shared" si="191"/>
        <v>2.3757190000000037</v>
      </c>
      <c r="H373" s="2">
        <f t="shared" si="192"/>
        <v>0.10649700000001872</v>
      </c>
      <c r="I373" s="4">
        <f t="shared" si="193"/>
        <v>2.3133397303645107</v>
      </c>
      <c r="J373" s="4">
        <f t="shared" si="194"/>
        <v>5.276061019335504E-3</v>
      </c>
      <c r="K373" s="4">
        <f t="shared" si="195"/>
        <v>11.353898173806282</v>
      </c>
      <c r="L373" s="4">
        <f t="shared" si="196"/>
        <v>3.3695545957598436</v>
      </c>
      <c r="M373" s="4">
        <f t="shared" si="197"/>
        <v>0.59355025810139594</v>
      </c>
      <c r="N373" s="4">
        <f t="shared" si="198"/>
        <v>0.10569057266767012</v>
      </c>
      <c r="O373" s="3">
        <f t="shared" si="199"/>
        <v>2.3757190000000037</v>
      </c>
      <c r="P373" s="3">
        <f t="shared" si="200"/>
        <v>0.10649700000001872</v>
      </c>
      <c r="Q373">
        <f t="shared" si="201"/>
        <v>1</v>
      </c>
      <c r="R373" s="3">
        <f t="shared" si="202"/>
        <v>2.3757190000000037</v>
      </c>
      <c r="S373" s="3">
        <f t="shared" si="203"/>
        <v>0.10649700000001872</v>
      </c>
      <c r="T373">
        <f t="shared" si="204"/>
        <v>1</v>
      </c>
      <c r="U373" s="3">
        <f t="shared" si="205"/>
        <v>2.3757190000000037</v>
      </c>
      <c r="V373" s="3">
        <f t="shared" si="206"/>
        <v>0.10649700000001872</v>
      </c>
      <c r="W373">
        <f t="shared" si="207"/>
        <v>1</v>
      </c>
      <c r="X373" s="3">
        <f t="shared" si="208"/>
        <v>2.3757190000000037</v>
      </c>
      <c r="Y373" s="3">
        <f t="shared" si="209"/>
        <v>0.10649700000001872</v>
      </c>
      <c r="Z373">
        <f t="shared" si="210"/>
        <v>1</v>
      </c>
      <c r="AA373" s="3">
        <f t="shared" si="211"/>
        <v>2.3757190000000037</v>
      </c>
      <c r="AB373" s="3">
        <f t="shared" si="212"/>
        <v>0.10649700000001872</v>
      </c>
      <c r="AC373">
        <f t="shared" si="213"/>
        <v>1</v>
      </c>
      <c r="AD373" s="3">
        <f t="shared" si="214"/>
        <v>2.3757190000000037</v>
      </c>
      <c r="AE373" s="3">
        <f t="shared" si="215"/>
        <v>0.10649700000001872</v>
      </c>
      <c r="AF373">
        <f t="shared" si="216"/>
        <v>1</v>
      </c>
      <c r="AG373" s="3">
        <f t="shared" si="217"/>
        <v>2.3757190000000037</v>
      </c>
      <c r="AH373" s="3">
        <f t="shared" si="218"/>
        <v>0.10649700000001872</v>
      </c>
      <c r="AI373">
        <f t="shared" si="219"/>
        <v>1</v>
      </c>
      <c r="AJ373" s="3">
        <f t="shared" si="220"/>
        <v>2.3757190000000037</v>
      </c>
      <c r="AK373" s="3">
        <f t="shared" si="221"/>
        <v>0.10649700000001872</v>
      </c>
      <c r="AL373">
        <f t="shared" si="222"/>
        <v>1</v>
      </c>
      <c r="AM373" s="3">
        <f t="shared" si="223"/>
        <v>2.3757190000000037</v>
      </c>
      <c r="AN373" s="3">
        <f t="shared" si="224"/>
        <v>0.10649700000001872</v>
      </c>
      <c r="AO373">
        <f t="shared" si="225"/>
        <v>1</v>
      </c>
      <c r="AP373" s="3">
        <f t="shared" si="226"/>
        <v>2.3757190000000037</v>
      </c>
      <c r="AQ373" s="3">
        <f t="shared" si="227"/>
        <v>0.10649700000001872</v>
      </c>
      <c r="AR373">
        <f t="shared" si="228"/>
        <v>1</v>
      </c>
    </row>
    <row r="374" spans="4:44" x14ac:dyDescent="0.25">
      <c r="D374" s="1">
        <v>42202</v>
      </c>
      <c r="E374" s="2">
        <v>125.689447</v>
      </c>
      <c r="F374" s="2">
        <v>205.71296799999999</v>
      </c>
      <c r="G374" s="2">
        <f t="shared" si="191"/>
        <v>1.0763409999999993</v>
      </c>
      <c r="H374" s="2">
        <f t="shared" si="192"/>
        <v>0.17425999999997543</v>
      </c>
      <c r="I374" s="4">
        <f t="shared" si="193"/>
        <v>1.0139617303645063</v>
      </c>
      <c r="J374" s="4">
        <f t="shared" si="194"/>
        <v>7.3039061019292223E-2</v>
      </c>
      <c r="K374" s="4">
        <f t="shared" si="195"/>
        <v>2.0052428215643596</v>
      </c>
      <c r="L374" s="4">
        <f t="shared" si="196"/>
        <v>1.4160659665299353</v>
      </c>
      <c r="M374" s="4">
        <f t="shared" si="197"/>
        <v>1</v>
      </c>
      <c r="N374" s="4">
        <f t="shared" si="198"/>
        <v>0.59843126582736661</v>
      </c>
      <c r="O374" s="3">
        <f t="shared" si="199"/>
        <v>1.0763409999999993</v>
      </c>
      <c r="P374" s="3">
        <f t="shared" si="200"/>
        <v>0.17425999999997543</v>
      </c>
      <c r="Q374">
        <f t="shared" si="201"/>
        <v>1</v>
      </c>
      <c r="R374" s="3">
        <f t="shared" si="202"/>
        <v>1.0763409999999993</v>
      </c>
      <c r="S374" s="3">
        <f t="shared" si="203"/>
        <v>0.17425999999997543</v>
      </c>
      <c r="T374">
        <f t="shared" si="204"/>
        <v>1</v>
      </c>
      <c r="U374" s="3">
        <f t="shared" si="205"/>
        <v>1.0763409999999993</v>
      </c>
      <c r="V374" s="3">
        <f t="shared" si="206"/>
        <v>0.17425999999997543</v>
      </c>
      <c r="W374">
        <f t="shared" si="207"/>
        <v>1</v>
      </c>
      <c r="X374" s="3">
        <f t="shared" si="208"/>
        <v>0</v>
      </c>
      <c r="Y374" s="3">
        <f t="shared" si="209"/>
        <v>0</v>
      </c>
      <c r="Z374">
        <f t="shared" si="210"/>
        <v>0</v>
      </c>
      <c r="AA374" s="3">
        <f t="shared" si="211"/>
        <v>0</v>
      </c>
      <c r="AB374" s="3">
        <f t="shared" si="212"/>
        <v>0</v>
      </c>
      <c r="AC374">
        <f t="shared" si="213"/>
        <v>0</v>
      </c>
      <c r="AD374" s="3">
        <f t="shared" si="214"/>
        <v>0</v>
      </c>
      <c r="AE374" s="3">
        <f t="shared" si="215"/>
        <v>0</v>
      </c>
      <c r="AF374">
        <f t="shared" si="216"/>
        <v>0</v>
      </c>
      <c r="AG374" s="3">
        <f t="shared" si="217"/>
        <v>0</v>
      </c>
      <c r="AH374" s="3">
        <f t="shared" si="218"/>
        <v>0</v>
      </c>
      <c r="AI374">
        <f t="shared" si="219"/>
        <v>0</v>
      </c>
      <c r="AJ374" s="3">
        <f t="shared" si="220"/>
        <v>0</v>
      </c>
      <c r="AK374" s="3">
        <f t="shared" si="221"/>
        <v>0</v>
      </c>
      <c r="AL374">
        <f t="shared" si="222"/>
        <v>0</v>
      </c>
      <c r="AM374" s="3">
        <f t="shared" si="223"/>
        <v>0</v>
      </c>
      <c r="AN374" s="3">
        <f t="shared" si="224"/>
        <v>0</v>
      </c>
      <c r="AO374">
        <f t="shared" si="225"/>
        <v>0</v>
      </c>
      <c r="AP374" s="3">
        <f t="shared" si="226"/>
        <v>0</v>
      </c>
      <c r="AQ374" s="3">
        <f t="shared" si="227"/>
        <v>0</v>
      </c>
      <c r="AR374">
        <f t="shared" si="228"/>
        <v>0</v>
      </c>
    </row>
    <row r="375" spans="4:44" x14ac:dyDescent="0.25">
      <c r="D375" s="1">
        <v>42201</v>
      </c>
      <c r="E375" s="2">
        <v>124.613106</v>
      </c>
      <c r="F375" s="2">
        <v>205.53870800000001</v>
      </c>
      <c r="G375" s="2">
        <f t="shared" si="191"/>
        <v>1.6387480000000068</v>
      </c>
      <c r="H375" s="2">
        <f t="shared" si="192"/>
        <v>1.6361800000000244</v>
      </c>
      <c r="I375" s="4">
        <f t="shared" si="193"/>
        <v>1.5763687303645137</v>
      </c>
      <c r="J375" s="4">
        <f t="shared" si="194"/>
        <v>1.5349590610193411</v>
      </c>
      <c r="K375" s="4">
        <f t="shared" si="195"/>
        <v>3.4741074788499402</v>
      </c>
      <c r="L375" s="4">
        <f t="shared" si="196"/>
        <v>1.8638957800397371</v>
      </c>
      <c r="M375" s="4">
        <f t="shared" si="197"/>
        <v>1</v>
      </c>
      <c r="N375" s="4">
        <f t="shared" si="198"/>
        <v>0.34541245695635325</v>
      </c>
      <c r="O375" s="3">
        <f t="shared" si="199"/>
        <v>1.6387480000000068</v>
      </c>
      <c r="P375" s="3">
        <f t="shared" si="200"/>
        <v>1.6361800000000244</v>
      </c>
      <c r="Q375">
        <f t="shared" si="201"/>
        <v>1</v>
      </c>
      <c r="R375" s="3">
        <f t="shared" si="202"/>
        <v>1.6387480000000068</v>
      </c>
      <c r="S375" s="3">
        <f t="shared" si="203"/>
        <v>1.6361800000000244</v>
      </c>
      <c r="T375">
        <f t="shared" si="204"/>
        <v>1</v>
      </c>
      <c r="U375" s="3">
        <f t="shared" si="205"/>
        <v>1.6387480000000068</v>
      </c>
      <c r="V375" s="3">
        <f t="shared" si="206"/>
        <v>1.6361800000000244</v>
      </c>
      <c r="W375">
        <f t="shared" si="207"/>
        <v>1</v>
      </c>
      <c r="X375" s="3">
        <f t="shared" si="208"/>
        <v>1.6387480000000068</v>
      </c>
      <c r="Y375" s="3">
        <f t="shared" si="209"/>
        <v>1.6361800000000244</v>
      </c>
      <c r="Z375">
        <f t="shared" si="210"/>
        <v>1</v>
      </c>
      <c r="AA375" s="3">
        <f t="shared" si="211"/>
        <v>0</v>
      </c>
      <c r="AB375" s="3">
        <f t="shared" si="212"/>
        <v>0</v>
      </c>
      <c r="AC375">
        <f t="shared" si="213"/>
        <v>0</v>
      </c>
      <c r="AD375" s="3">
        <f t="shared" si="214"/>
        <v>0</v>
      </c>
      <c r="AE375" s="3">
        <f t="shared" si="215"/>
        <v>0</v>
      </c>
      <c r="AF375">
        <f t="shared" si="216"/>
        <v>0</v>
      </c>
      <c r="AG375" s="3">
        <f t="shared" si="217"/>
        <v>0</v>
      </c>
      <c r="AH375" s="3">
        <f t="shared" si="218"/>
        <v>0</v>
      </c>
      <c r="AI375">
        <f t="shared" si="219"/>
        <v>0</v>
      </c>
      <c r="AJ375" s="3">
        <f t="shared" si="220"/>
        <v>0</v>
      </c>
      <c r="AK375" s="3">
        <f t="shared" si="221"/>
        <v>0</v>
      </c>
      <c r="AL375">
        <f t="shared" si="222"/>
        <v>0</v>
      </c>
      <c r="AM375" s="3">
        <f t="shared" si="223"/>
        <v>0</v>
      </c>
      <c r="AN375" s="3">
        <f t="shared" si="224"/>
        <v>0</v>
      </c>
      <c r="AO375">
        <f t="shared" si="225"/>
        <v>0</v>
      </c>
      <c r="AP375" s="3">
        <f t="shared" si="226"/>
        <v>0</v>
      </c>
      <c r="AQ375" s="3">
        <f t="shared" si="227"/>
        <v>0</v>
      </c>
      <c r="AR375">
        <f t="shared" si="228"/>
        <v>0</v>
      </c>
    </row>
    <row r="376" spans="4:44" x14ac:dyDescent="0.25">
      <c r="D376" s="1">
        <v>42200</v>
      </c>
      <c r="E376" s="2">
        <v>122.974358</v>
      </c>
      <c r="F376" s="2">
        <v>203.90252799999999</v>
      </c>
      <c r="G376" s="2">
        <f t="shared" si="191"/>
        <v>1.1733079999999916</v>
      </c>
      <c r="H376" s="2">
        <f t="shared" si="192"/>
        <v>-6.7763000000013562E-2</v>
      </c>
      <c r="I376" s="4">
        <f t="shared" si="193"/>
        <v>1.1109287303644986</v>
      </c>
      <c r="J376" s="4">
        <f t="shared" si="194"/>
        <v>-0.16898393898069677</v>
      </c>
      <c r="K376" s="4">
        <f t="shared" si="195"/>
        <v>3.1671005587693655</v>
      </c>
      <c r="L376" s="4">
        <f t="shared" si="196"/>
        <v>1.7796349509855569</v>
      </c>
      <c r="M376" s="4">
        <f t="shared" si="197"/>
        <v>1</v>
      </c>
      <c r="N376" s="4">
        <f t="shared" si="198"/>
        <v>0.3788954527122062</v>
      </c>
      <c r="O376" s="3">
        <f t="shared" si="199"/>
        <v>1.1733079999999916</v>
      </c>
      <c r="P376" s="3">
        <f t="shared" si="200"/>
        <v>-6.7763000000013562E-2</v>
      </c>
      <c r="Q376">
        <f t="shared" si="201"/>
        <v>1</v>
      </c>
      <c r="R376" s="3">
        <f t="shared" si="202"/>
        <v>1.1733079999999916</v>
      </c>
      <c r="S376" s="3">
        <f t="shared" si="203"/>
        <v>-6.7763000000013562E-2</v>
      </c>
      <c r="T376">
        <f t="shared" si="204"/>
        <v>1</v>
      </c>
      <c r="U376" s="3">
        <f t="shared" si="205"/>
        <v>1.1733079999999916</v>
      </c>
      <c r="V376" s="3">
        <f t="shared" si="206"/>
        <v>-6.7763000000013562E-2</v>
      </c>
      <c r="W376">
        <f t="shared" si="207"/>
        <v>1</v>
      </c>
      <c r="X376" s="3">
        <f t="shared" si="208"/>
        <v>1.1733079999999916</v>
      </c>
      <c r="Y376" s="3">
        <f t="shared" si="209"/>
        <v>-6.7763000000013562E-2</v>
      </c>
      <c r="Z376">
        <f t="shared" si="210"/>
        <v>1</v>
      </c>
      <c r="AA376" s="3">
        <f t="shared" si="211"/>
        <v>0</v>
      </c>
      <c r="AB376" s="3">
        <f t="shared" si="212"/>
        <v>0</v>
      </c>
      <c r="AC376">
        <f t="shared" si="213"/>
        <v>0</v>
      </c>
      <c r="AD376" s="3">
        <f t="shared" si="214"/>
        <v>0</v>
      </c>
      <c r="AE376" s="3">
        <f t="shared" si="215"/>
        <v>0</v>
      </c>
      <c r="AF376">
        <f t="shared" si="216"/>
        <v>0</v>
      </c>
      <c r="AG376" s="3">
        <f t="shared" si="217"/>
        <v>0</v>
      </c>
      <c r="AH376" s="3">
        <f t="shared" si="218"/>
        <v>0</v>
      </c>
      <c r="AI376">
        <f t="shared" si="219"/>
        <v>0</v>
      </c>
      <c r="AJ376" s="3">
        <f t="shared" si="220"/>
        <v>0</v>
      </c>
      <c r="AK376" s="3">
        <f t="shared" si="221"/>
        <v>0</v>
      </c>
      <c r="AL376">
        <f t="shared" si="222"/>
        <v>0</v>
      </c>
      <c r="AM376" s="3">
        <f t="shared" si="223"/>
        <v>0</v>
      </c>
      <c r="AN376" s="3">
        <f t="shared" si="224"/>
        <v>0</v>
      </c>
      <c r="AO376">
        <f t="shared" si="225"/>
        <v>0</v>
      </c>
      <c r="AP376" s="3">
        <f t="shared" si="226"/>
        <v>0</v>
      </c>
      <c r="AQ376" s="3">
        <f t="shared" si="227"/>
        <v>0</v>
      </c>
      <c r="AR376">
        <f t="shared" si="228"/>
        <v>0</v>
      </c>
    </row>
    <row r="377" spans="4:44" x14ac:dyDescent="0.25">
      <c r="D377" s="1">
        <v>42199</v>
      </c>
      <c r="E377" s="2">
        <v>121.80105</v>
      </c>
      <c r="F377" s="2">
        <v>203.970291</v>
      </c>
      <c r="G377" s="2">
        <f t="shared" si="191"/>
        <v>-4.8486999999994396E-2</v>
      </c>
      <c r="H377" s="2">
        <f t="shared" si="192"/>
        <v>0.88100700000001098</v>
      </c>
      <c r="I377" s="4">
        <f t="shared" si="193"/>
        <v>-0.1108662696354874</v>
      </c>
      <c r="J377" s="4">
        <f t="shared" si="194"/>
        <v>0.77978606101932779</v>
      </c>
      <c r="K377" s="4">
        <f t="shared" si="195"/>
        <v>1.4035176117285215</v>
      </c>
      <c r="L377" s="4">
        <f t="shared" si="196"/>
        <v>1.1847014863367571</v>
      </c>
      <c r="M377" s="4">
        <f t="shared" si="197"/>
        <v>1</v>
      </c>
      <c r="N377" s="4">
        <f t="shared" si="198"/>
        <v>1</v>
      </c>
      <c r="O377" s="3">
        <f t="shared" si="199"/>
        <v>-4.8486999999994396E-2</v>
      </c>
      <c r="P377" s="3">
        <f t="shared" si="200"/>
        <v>0.88100700000001098</v>
      </c>
      <c r="Q377">
        <f t="shared" si="201"/>
        <v>1</v>
      </c>
      <c r="R377" s="3">
        <f t="shared" si="202"/>
        <v>-4.8486999999994396E-2</v>
      </c>
      <c r="S377" s="3">
        <f t="shared" si="203"/>
        <v>0.88100700000001098</v>
      </c>
      <c r="T377">
        <f t="shared" si="204"/>
        <v>1</v>
      </c>
      <c r="U377" s="3">
        <f t="shared" si="205"/>
        <v>0</v>
      </c>
      <c r="V377" s="3">
        <f t="shared" si="206"/>
        <v>0</v>
      </c>
      <c r="W377">
        <f t="shared" si="207"/>
        <v>0</v>
      </c>
      <c r="X377" s="3">
        <f t="shared" si="208"/>
        <v>0</v>
      </c>
      <c r="Y377" s="3">
        <f t="shared" si="209"/>
        <v>0</v>
      </c>
      <c r="Z377">
        <f t="shared" si="210"/>
        <v>0</v>
      </c>
      <c r="AA377" s="3">
        <f t="shared" si="211"/>
        <v>0</v>
      </c>
      <c r="AB377" s="3">
        <f t="shared" si="212"/>
        <v>0</v>
      </c>
      <c r="AC377">
        <f t="shared" si="213"/>
        <v>0</v>
      </c>
      <c r="AD377" s="3">
        <f t="shared" si="214"/>
        <v>0</v>
      </c>
      <c r="AE377" s="3">
        <f t="shared" si="215"/>
        <v>0</v>
      </c>
      <c r="AF377">
        <f t="shared" si="216"/>
        <v>0</v>
      </c>
      <c r="AG377" s="3">
        <f t="shared" si="217"/>
        <v>0</v>
      </c>
      <c r="AH377" s="3">
        <f t="shared" si="218"/>
        <v>0</v>
      </c>
      <c r="AI377">
        <f t="shared" si="219"/>
        <v>0</v>
      </c>
      <c r="AJ377" s="3">
        <f t="shared" si="220"/>
        <v>0</v>
      </c>
      <c r="AK377" s="3">
        <f t="shared" si="221"/>
        <v>0</v>
      </c>
      <c r="AL377">
        <f t="shared" si="222"/>
        <v>0</v>
      </c>
      <c r="AM377" s="3">
        <f t="shared" si="223"/>
        <v>0</v>
      </c>
      <c r="AN377" s="3">
        <f t="shared" si="224"/>
        <v>0</v>
      </c>
      <c r="AO377">
        <f t="shared" si="225"/>
        <v>0</v>
      </c>
      <c r="AP377" s="3">
        <f t="shared" si="226"/>
        <v>0</v>
      </c>
      <c r="AQ377" s="3">
        <f t="shared" si="227"/>
        <v>0</v>
      </c>
      <c r="AR377">
        <f t="shared" si="228"/>
        <v>0</v>
      </c>
    </row>
    <row r="378" spans="4:44" x14ac:dyDescent="0.25">
      <c r="D378" s="1">
        <v>42198</v>
      </c>
      <c r="E378" s="2">
        <v>121.849537</v>
      </c>
      <c r="F378" s="2">
        <v>203.08928399999999</v>
      </c>
      <c r="G378" s="2">
        <f t="shared" si="191"/>
        <v>2.3078349999999972</v>
      </c>
      <c r="H378" s="2">
        <f t="shared" si="192"/>
        <v>2.2170769999999891</v>
      </c>
      <c r="I378" s="4">
        <f t="shared" si="193"/>
        <v>2.2454557303645042</v>
      </c>
      <c r="J378" s="4">
        <f t="shared" si="194"/>
        <v>2.115856061019306</v>
      </c>
      <c r="K378" s="4">
        <f t="shared" si="195"/>
        <v>6.8846302494208711</v>
      </c>
      <c r="L378" s="4">
        <f t="shared" si="196"/>
        <v>2.6238578942886503</v>
      </c>
      <c r="M378" s="4">
        <f t="shared" si="197"/>
        <v>0.76223640173250184</v>
      </c>
      <c r="N378" s="4">
        <f t="shared" si="198"/>
        <v>0.17430129963783356</v>
      </c>
      <c r="O378" s="3">
        <f t="shared" si="199"/>
        <v>2.3078349999999972</v>
      </c>
      <c r="P378" s="3">
        <f t="shared" si="200"/>
        <v>2.2170769999999891</v>
      </c>
      <c r="Q378">
        <f t="shared" si="201"/>
        <v>1</v>
      </c>
      <c r="R378" s="3">
        <f t="shared" si="202"/>
        <v>2.3078349999999972</v>
      </c>
      <c r="S378" s="3">
        <f t="shared" si="203"/>
        <v>2.2170769999999891</v>
      </c>
      <c r="T378">
        <f t="shared" si="204"/>
        <v>1</v>
      </c>
      <c r="U378" s="3">
        <f t="shared" si="205"/>
        <v>2.3078349999999972</v>
      </c>
      <c r="V378" s="3">
        <f t="shared" si="206"/>
        <v>2.2170769999999891</v>
      </c>
      <c r="W378">
        <f t="shared" si="207"/>
        <v>1</v>
      </c>
      <c r="X378" s="3">
        <f t="shared" si="208"/>
        <v>2.3078349999999972</v>
      </c>
      <c r="Y378" s="3">
        <f t="shared" si="209"/>
        <v>2.2170769999999891</v>
      </c>
      <c r="Z378">
        <f t="shared" si="210"/>
        <v>1</v>
      </c>
      <c r="AA378" s="3">
        <f t="shared" si="211"/>
        <v>2.3078349999999972</v>
      </c>
      <c r="AB378" s="3">
        <f t="shared" si="212"/>
        <v>2.2170769999999891</v>
      </c>
      <c r="AC378">
        <f t="shared" si="213"/>
        <v>1</v>
      </c>
      <c r="AD378" s="3">
        <f t="shared" si="214"/>
        <v>2.3078349999999972</v>
      </c>
      <c r="AE378" s="3">
        <f t="shared" si="215"/>
        <v>2.2170769999999891</v>
      </c>
      <c r="AF378">
        <f t="shared" si="216"/>
        <v>1</v>
      </c>
      <c r="AG378" s="3">
        <f t="shared" si="217"/>
        <v>2.3078349999999972</v>
      </c>
      <c r="AH378" s="3">
        <f t="shared" si="218"/>
        <v>2.2170769999999891</v>
      </c>
      <c r="AI378">
        <f t="shared" si="219"/>
        <v>1</v>
      </c>
      <c r="AJ378" s="3">
        <f t="shared" si="220"/>
        <v>0</v>
      </c>
      <c r="AK378" s="3">
        <f t="shared" si="221"/>
        <v>0</v>
      </c>
      <c r="AL378">
        <f t="shared" si="222"/>
        <v>0</v>
      </c>
      <c r="AM378" s="3">
        <f t="shared" si="223"/>
        <v>0</v>
      </c>
      <c r="AN378" s="3">
        <f t="shared" si="224"/>
        <v>0</v>
      </c>
      <c r="AO378">
        <f t="shared" si="225"/>
        <v>0</v>
      </c>
      <c r="AP378" s="3">
        <f t="shared" si="226"/>
        <v>0</v>
      </c>
      <c r="AQ378" s="3">
        <f t="shared" si="227"/>
        <v>0</v>
      </c>
      <c r="AR378">
        <f t="shared" si="228"/>
        <v>0</v>
      </c>
    </row>
    <row r="379" spans="4:44" x14ac:dyDescent="0.25">
      <c r="D379" s="1">
        <v>42195</v>
      </c>
      <c r="E379" s="2">
        <v>119.541702</v>
      </c>
      <c r="F379" s="2">
        <v>200.872207</v>
      </c>
      <c r="G379" s="2">
        <f t="shared" si="191"/>
        <v>3.1126600000000053</v>
      </c>
      <c r="H379" s="2">
        <f t="shared" si="192"/>
        <v>2.4978340000000117</v>
      </c>
      <c r="I379" s="4">
        <f t="shared" si="193"/>
        <v>3.0502807303645123</v>
      </c>
      <c r="J379" s="4">
        <f t="shared" si="194"/>
        <v>2.3966130610193286</v>
      </c>
      <c r="K379" s="4">
        <f t="shared" si="195"/>
        <v>11.712127269195614</v>
      </c>
      <c r="L379" s="4">
        <f t="shared" si="196"/>
        <v>3.4222985359543978</v>
      </c>
      <c r="M379" s="4">
        <f t="shared" si="197"/>
        <v>0.58440255255003559</v>
      </c>
      <c r="N379" s="4">
        <f t="shared" si="198"/>
        <v>0.10245790302809915</v>
      </c>
      <c r="O379" s="3">
        <f t="shared" si="199"/>
        <v>3.1126600000000053</v>
      </c>
      <c r="P379" s="3">
        <f t="shared" si="200"/>
        <v>2.4978340000000117</v>
      </c>
      <c r="Q379">
        <f t="shared" si="201"/>
        <v>1</v>
      </c>
      <c r="R379" s="3">
        <f t="shared" si="202"/>
        <v>3.1126600000000053</v>
      </c>
      <c r="S379" s="3">
        <f t="shared" si="203"/>
        <v>2.4978340000000117</v>
      </c>
      <c r="T379">
        <f t="shared" si="204"/>
        <v>1</v>
      </c>
      <c r="U379" s="3">
        <f t="shared" si="205"/>
        <v>3.1126600000000053</v>
      </c>
      <c r="V379" s="3">
        <f t="shared" si="206"/>
        <v>2.4978340000000117</v>
      </c>
      <c r="W379">
        <f t="shared" si="207"/>
        <v>1</v>
      </c>
      <c r="X379" s="3">
        <f t="shared" si="208"/>
        <v>3.1126600000000053</v>
      </c>
      <c r="Y379" s="3">
        <f t="shared" si="209"/>
        <v>2.4978340000000117</v>
      </c>
      <c r="Z379">
        <f t="shared" si="210"/>
        <v>1</v>
      </c>
      <c r="AA379" s="3">
        <f t="shared" si="211"/>
        <v>3.1126600000000053</v>
      </c>
      <c r="AB379" s="3">
        <f t="shared" si="212"/>
        <v>2.4978340000000117</v>
      </c>
      <c r="AC379">
        <f t="shared" si="213"/>
        <v>1</v>
      </c>
      <c r="AD379" s="3">
        <f t="shared" si="214"/>
        <v>3.1126600000000053</v>
      </c>
      <c r="AE379" s="3">
        <f t="shared" si="215"/>
        <v>2.4978340000000117</v>
      </c>
      <c r="AF379">
        <f t="shared" si="216"/>
        <v>1</v>
      </c>
      <c r="AG379" s="3">
        <f t="shared" si="217"/>
        <v>3.1126600000000053</v>
      </c>
      <c r="AH379" s="3">
        <f t="shared" si="218"/>
        <v>2.4978340000000117</v>
      </c>
      <c r="AI379">
        <f t="shared" si="219"/>
        <v>1</v>
      </c>
      <c r="AJ379" s="3">
        <f t="shared" si="220"/>
        <v>3.1126600000000053</v>
      </c>
      <c r="AK379" s="3">
        <f t="shared" si="221"/>
        <v>2.4978340000000117</v>
      </c>
      <c r="AL379">
        <f t="shared" si="222"/>
        <v>1</v>
      </c>
      <c r="AM379" s="3">
        <f t="shared" si="223"/>
        <v>3.1126600000000053</v>
      </c>
      <c r="AN379" s="3">
        <f t="shared" si="224"/>
        <v>2.4978340000000117</v>
      </c>
      <c r="AO379">
        <f t="shared" si="225"/>
        <v>1</v>
      </c>
      <c r="AP379" s="3">
        <f t="shared" si="226"/>
        <v>3.1126600000000053</v>
      </c>
      <c r="AQ379" s="3">
        <f t="shared" si="227"/>
        <v>2.4978340000000117</v>
      </c>
      <c r="AR379">
        <f t="shared" si="228"/>
        <v>1</v>
      </c>
    </row>
    <row r="380" spans="4:44" x14ac:dyDescent="0.25">
      <c r="D380" s="1">
        <v>42194</v>
      </c>
      <c r="E380" s="2">
        <v>116.429042</v>
      </c>
      <c r="F380" s="2">
        <v>198.37437299999999</v>
      </c>
      <c r="G380" s="2">
        <f t="shared" si="191"/>
        <v>-2.4241910000000075</v>
      </c>
      <c r="H380" s="2">
        <f t="shared" si="192"/>
        <v>0.35821199999998043</v>
      </c>
      <c r="I380" s="4">
        <f t="shared" si="193"/>
        <v>-2.4865702696355005</v>
      </c>
      <c r="J380" s="4">
        <f t="shared" si="194"/>
        <v>0.25699106101929725</v>
      </c>
      <c r="K380" s="4">
        <f t="shared" si="195"/>
        <v>14.938346025229624</v>
      </c>
      <c r="L380" s="4">
        <f t="shared" si="196"/>
        <v>3.865015656530983</v>
      </c>
      <c r="M380" s="4">
        <f t="shared" si="197"/>
        <v>0.51746232815912718</v>
      </c>
      <c r="N380" s="4">
        <f t="shared" si="198"/>
        <v>8.0330178319159284E-2</v>
      </c>
      <c r="O380" s="3">
        <f t="shared" si="199"/>
        <v>-2.4241910000000075</v>
      </c>
      <c r="P380" s="3">
        <f t="shared" si="200"/>
        <v>0.35821199999998043</v>
      </c>
      <c r="Q380">
        <f t="shared" si="201"/>
        <v>1</v>
      </c>
      <c r="R380" s="3">
        <f t="shared" si="202"/>
        <v>-2.4241910000000075</v>
      </c>
      <c r="S380" s="3">
        <f t="shared" si="203"/>
        <v>0.35821199999998043</v>
      </c>
      <c r="T380">
        <f t="shared" si="204"/>
        <v>1</v>
      </c>
      <c r="U380" s="3">
        <f t="shared" si="205"/>
        <v>-2.4241910000000075</v>
      </c>
      <c r="V380" s="3">
        <f t="shared" si="206"/>
        <v>0.35821199999998043</v>
      </c>
      <c r="W380">
        <f t="shared" si="207"/>
        <v>1</v>
      </c>
      <c r="X380" s="3">
        <f t="shared" si="208"/>
        <v>-2.4241910000000075</v>
      </c>
      <c r="Y380" s="3">
        <f t="shared" si="209"/>
        <v>0.35821199999998043</v>
      </c>
      <c r="Z380">
        <f t="shared" si="210"/>
        <v>1</v>
      </c>
      <c r="AA380" s="3">
        <f t="shared" si="211"/>
        <v>-2.4241910000000075</v>
      </c>
      <c r="AB380" s="3">
        <f t="shared" si="212"/>
        <v>0.35821199999998043</v>
      </c>
      <c r="AC380">
        <f t="shared" si="213"/>
        <v>1</v>
      </c>
      <c r="AD380" s="3">
        <f t="shared" si="214"/>
        <v>-2.4241910000000075</v>
      </c>
      <c r="AE380" s="3">
        <f t="shared" si="215"/>
        <v>0.35821199999998043</v>
      </c>
      <c r="AF380">
        <f t="shared" si="216"/>
        <v>1</v>
      </c>
      <c r="AG380" s="3">
        <f t="shared" si="217"/>
        <v>-2.4241910000000075</v>
      </c>
      <c r="AH380" s="3">
        <f t="shared" si="218"/>
        <v>0.35821199999998043</v>
      </c>
      <c r="AI380">
        <f t="shared" si="219"/>
        <v>1</v>
      </c>
      <c r="AJ380" s="3">
        <f t="shared" si="220"/>
        <v>-2.4241910000000075</v>
      </c>
      <c r="AK380" s="3">
        <f t="shared" si="221"/>
        <v>0.35821199999998043</v>
      </c>
      <c r="AL380">
        <f t="shared" si="222"/>
        <v>1</v>
      </c>
      <c r="AM380" s="3">
        <f t="shared" si="223"/>
        <v>-2.4241910000000075</v>
      </c>
      <c r="AN380" s="3">
        <f t="shared" si="224"/>
        <v>0.35821199999998043</v>
      </c>
      <c r="AO380">
        <f t="shared" si="225"/>
        <v>1</v>
      </c>
      <c r="AP380" s="3">
        <f t="shared" si="226"/>
        <v>-2.4241910000000075</v>
      </c>
      <c r="AQ380" s="3">
        <f t="shared" si="227"/>
        <v>0.35821199999998043</v>
      </c>
      <c r="AR380">
        <f t="shared" si="228"/>
        <v>1</v>
      </c>
    </row>
    <row r="381" spans="4:44" x14ac:dyDescent="0.25">
      <c r="D381" s="1">
        <v>42193</v>
      </c>
      <c r="E381" s="2">
        <v>118.853233</v>
      </c>
      <c r="F381" s="2">
        <v>198.01616100000001</v>
      </c>
      <c r="G381" s="2">
        <f t="shared" ref="G381:G444" si="229">E381-E382</f>
        <v>-3.025392999999994</v>
      </c>
      <c r="H381" s="2">
        <f t="shared" ref="H381:H444" si="230">F381-F382</f>
        <v>-3.3788569999999822</v>
      </c>
      <c r="I381" s="4">
        <f t="shared" si="193"/>
        <v>-3.087772269635487</v>
      </c>
      <c r="J381" s="4">
        <f t="shared" si="194"/>
        <v>-3.4800779389806653</v>
      </c>
      <c r="K381" s="4">
        <f t="shared" si="195"/>
        <v>15.358505249724477</v>
      </c>
      <c r="L381" s="4">
        <f t="shared" si="196"/>
        <v>3.9189928871745194</v>
      </c>
      <c r="M381" s="4">
        <f t="shared" si="197"/>
        <v>0.51033519518376624</v>
      </c>
      <c r="N381" s="4">
        <f t="shared" si="198"/>
        <v>7.8132603432975831E-2</v>
      </c>
      <c r="O381" s="3">
        <f t="shared" si="199"/>
        <v>-3.025392999999994</v>
      </c>
      <c r="P381" s="3">
        <f t="shared" si="200"/>
        <v>-3.3788569999999822</v>
      </c>
      <c r="Q381">
        <f t="shared" si="201"/>
        <v>1</v>
      </c>
      <c r="R381" s="3">
        <f t="shared" si="202"/>
        <v>-3.025392999999994</v>
      </c>
      <c r="S381" s="3">
        <f t="shared" si="203"/>
        <v>-3.3788569999999822</v>
      </c>
      <c r="T381">
        <f t="shared" si="204"/>
        <v>1</v>
      </c>
      <c r="U381" s="3">
        <f t="shared" si="205"/>
        <v>-3.025392999999994</v>
      </c>
      <c r="V381" s="3">
        <f t="shared" si="206"/>
        <v>-3.3788569999999822</v>
      </c>
      <c r="W381">
        <f t="shared" si="207"/>
        <v>1</v>
      </c>
      <c r="X381" s="3">
        <f t="shared" si="208"/>
        <v>-3.025392999999994</v>
      </c>
      <c r="Y381" s="3">
        <f t="shared" si="209"/>
        <v>-3.3788569999999822</v>
      </c>
      <c r="Z381">
        <f t="shared" si="210"/>
        <v>1</v>
      </c>
      <c r="AA381" s="3">
        <f t="shared" si="211"/>
        <v>-3.025392999999994</v>
      </c>
      <c r="AB381" s="3">
        <f t="shared" si="212"/>
        <v>-3.3788569999999822</v>
      </c>
      <c r="AC381">
        <f t="shared" si="213"/>
        <v>1</v>
      </c>
      <c r="AD381" s="3">
        <f t="shared" si="214"/>
        <v>-3.025392999999994</v>
      </c>
      <c r="AE381" s="3">
        <f t="shared" si="215"/>
        <v>-3.3788569999999822</v>
      </c>
      <c r="AF381">
        <f t="shared" si="216"/>
        <v>1</v>
      </c>
      <c r="AG381" s="3">
        <f t="shared" si="217"/>
        <v>-3.025392999999994</v>
      </c>
      <c r="AH381" s="3">
        <f t="shared" si="218"/>
        <v>-3.3788569999999822</v>
      </c>
      <c r="AI381">
        <f t="shared" si="219"/>
        <v>1</v>
      </c>
      <c r="AJ381" s="3">
        <f t="shared" si="220"/>
        <v>-3.025392999999994</v>
      </c>
      <c r="AK381" s="3">
        <f t="shared" si="221"/>
        <v>-3.3788569999999822</v>
      </c>
      <c r="AL381">
        <f t="shared" si="222"/>
        <v>1</v>
      </c>
      <c r="AM381" s="3">
        <f t="shared" si="223"/>
        <v>-3.025392999999994</v>
      </c>
      <c r="AN381" s="3">
        <f t="shared" si="224"/>
        <v>-3.3788569999999822</v>
      </c>
      <c r="AO381">
        <f t="shared" si="225"/>
        <v>1</v>
      </c>
      <c r="AP381" s="3">
        <f t="shared" si="226"/>
        <v>-3.025392999999994</v>
      </c>
      <c r="AQ381" s="3">
        <f t="shared" si="227"/>
        <v>-3.3788569999999822</v>
      </c>
      <c r="AR381">
        <f t="shared" si="228"/>
        <v>1</v>
      </c>
    </row>
    <row r="382" spans="4:44" x14ac:dyDescent="0.25">
      <c r="D382" s="1">
        <v>42192</v>
      </c>
      <c r="E382" s="2">
        <v>121.878626</v>
      </c>
      <c r="F382" s="2">
        <v>201.39501799999999</v>
      </c>
      <c r="G382" s="2">
        <f t="shared" si="229"/>
        <v>-0.30059699999999623</v>
      </c>
      <c r="H382" s="2">
        <f t="shared" si="230"/>
        <v>1.2586009999999987</v>
      </c>
      <c r="I382" s="4">
        <f t="shared" si="193"/>
        <v>-0.36297626963548923</v>
      </c>
      <c r="J382" s="4">
        <f t="shared" si="194"/>
        <v>1.1573800610193155</v>
      </c>
      <c r="K382" s="4">
        <f t="shared" si="195"/>
        <v>3.9106118162439252</v>
      </c>
      <c r="L382" s="4">
        <f t="shared" si="196"/>
        <v>1.977526691664091</v>
      </c>
      <c r="M382" s="4">
        <f t="shared" si="197"/>
        <v>1</v>
      </c>
      <c r="N382" s="4">
        <f t="shared" si="198"/>
        <v>0.30685735541825759</v>
      </c>
      <c r="O382" s="3">
        <f t="shared" si="199"/>
        <v>-0.30059699999999623</v>
      </c>
      <c r="P382" s="3">
        <f t="shared" si="200"/>
        <v>1.2586009999999987</v>
      </c>
      <c r="Q382">
        <f t="shared" si="201"/>
        <v>1</v>
      </c>
      <c r="R382" s="3">
        <f t="shared" si="202"/>
        <v>-0.30059699999999623</v>
      </c>
      <c r="S382" s="3">
        <f t="shared" si="203"/>
        <v>1.2586009999999987</v>
      </c>
      <c r="T382">
        <f t="shared" si="204"/>
        <v>1</v>
      </c>
      <c r="U382" s="3">
        <f t="shared" si="205"/>
        <v>-0.30059699999999623</v>
      </c>
      <c r="V382" s="3">
        <f t="shared" si="206"/>
        <v>1.2586009999999987</v>
      </c>
      <c r="W382">
        <f t="shared" si="207"/>
        <v>1</v>
      </c>
      <c r="X382" s="3">
        <f t="shared" si="208"/>
        <v>-0.30059699999999623</v>
      </c>
      <c r="Y382" s="3">
        <f t="shared" si="209"/>
        <v>1.2586009999999987</v>
      </c>
      <c r="Z382">
        <f t="shared" si="210"/>
        <v>1</v>
      </c>
      <c r="AA382" s="3">
        <f t="shared" si="211"/>
        <v>0</v>
      </c>
      <c r="AB382" s="3">
        <f t="shared" si="212"/>
        <v>0</v>
      </c>
      <c r="AC382">
        <f t="shared" si="213"/>
        <v>0</v>
      </c>
      <c r="AD382" s="3">
        <f t="shared" si="214"/>
        <v>0</v>
      </c>
      <c r="AE382" s="3">
        <f t="shared" si="215"/>
        <v>0</v>
      </c>
      <c r="AF382">
        <f t="shared" si="216"/>
        <v>0</v>
      </c>
      <c r="AG382" s="3">
        <f t="shared" si="217"/>
        <v>0</v>
      </c>
      <c r="AH382" s="3">
        <f t="shared" si="218"/>
        <v>0</v>
      </c>
      <c r="AI382">
        <f t="shared" si="219"/>
        <v>0</v>
      </c>
      <c r="AJ382" s="3">
        <f t="shared" si="220"/>
        <v>0</v>
      </c>
      <c r="AK382" s="3">
        <f t="shared" si="221"/>
        <v>0</v>
      </c>
      <c r="AL382">
        <f t="shared" si="222"/>
        <v>0</v>
      </c>
      <c r="AM382" s="3">
        <f t="shared" si="223"/>
        <v>0</v>
      </c>
      <c r="AN382" s="3">
        <f t="shared" si="224"/>
        <v>0</v>
      </c>
      <c r="AO382">
        <f t="shared" si="225"/>
        <v>0</v>
      </c>
      <c r="AP382" s="3">
        <f t="shared" si="226"/>
        <v>0</v>
      </c>
      <c r="AQ382" s="3">
        <f t="shared" si="227"/>
        <v>0</v>
      </c>
      <c r="AR382">
        <f t="shared" si="228"/>
        <v>0</v>
      </c>
    </row>
    <row r="383" spans="4:44" x14ac:dyDescent="0.25">
      <c r="D383" s="1">
        <v>42191</v>
      </c>
      <c r="E383" s="2">
        <v>122.17922299999999</v>
      </c>
      <c r="F383" s="2">
        <v>200.13641699999999</v>
      </c>
      <c r="G383" s="2">
        <f t="shared" si="229"/>
        <v>-0.42666000000001247</v>
      </c>
      <c r="H383" s="2">
        <f t="shared" si="230"/>
        <v>-0.57120600000001787</v>
      </c>
      <c r="I383" s="4">
        <f t="shared" si="193"/>
        <v>-0.48903926963550548</v>
      </c>
      <c r="J383" s="4">
        <f t="shared" si="194"/>
        <v>-0.67242693898070105</v>
      </c>
      <c r="K383" s="4">
        <f t="shared" si="195"/>
        <v>0.51267162929940446</v>
      </c>
      <c r="L383" s="4">
        <f t="shared" si="196"/>
        <v>0.71601091423204188</v>
      </c>
      <c r="M383" s="4">
        <f t="shared" si="197"/>
        <v>1</v>
      </c>
      <c r="N383" s="4">
        <f t="shared" si="198"/>
        <v>1</v>
      </c>
      <c r="O383" s="3">
        <f t="shared" si="199"/>
        <v>-0.42666000000001247</v>
      </c>
      <c r="P383" s="3">
        <f t="shared" si="200"/>
        <v>-0.57120600000001787</v>
      </c>
      <c r="Q383">
        <f t="shared" si="201"/>
        <v>1</v>
      </c>
      <c r="R383" s="3">
        <f t="shared" si="202"/>
        <v>0</v>
      </c>
      <c r="S383" s="3">
        <f t="shared" si="203"/>
        <v>0</v>
      </c>
      <c r="T383">
        <f t="shared" si="204"/>
        <v>0</v>
      </c>
      <c r="U383" s="3">
        <f t="shared" si="205"/>
        <v>0</v>
      </c>
      <c r="V383" s="3">
        <f t="shared" si="206"/>
        <v>0</v>
      </c>
      <c r="W383">
        <f t="shared" si="207"/>
        <v>0</v>
      </c>
      <c r="X383" s="3">
        <f t="shared" si="208"/>
        <v>0</v>
      </c>
      <c r="Y383" s="3">
        <f t="shared" si="209"/>
        <v>0</v>
      </c>
      <c r="Z383">
        <f t="shared" si="210"/>
        <v>0</v>
      </c>
      <c r="AA383" s="3">
        <f t="shared" si="211"/>
        <v>0</v>
      </c>
      <c r="AB383" s="3">
        <f t="shared" si="212"/>
        <v>0</v>
      </c>
      <c r="AC383">
        <f t="shared" si="213"/>
        <v>0</v>
      </c>
      <c r="AD383" s="3">
        <f t="shared" si="214"/>
        <v>0</v>
      </c>
      <c r="AE383" s="3">
        <f t="shared" si="215"/>
        <v>0</v>
      </c>
      <c r="AF383">
        <f t="shared" si="216"/>
        <v>0</v>
      </c>
      <c r="AG383" s="3">
        <f t="shared" si="217"/>
        <v>0</v>
      </c>
      <c r="AH383" s="3">
        <f t="shared" si="218"/>
        <v>0</v>
      </c>
      <c r="AI383">
        <f t="shared" si="219"/>
        <v>0</v>
      </c>
      <c r="AJ383" s="3">
        <f t="shared" si="220"/>
        <v>0</v>
      </c>
      <c r="AK383" s="3">
        <f t="shared" si="221"/>
        <v>0</v>
      </c>
      <c r="AL383">
        <f t="shared" si="222"/>
        <v>0</v>
      </c>
      <c r="AM383" s="3">
        <f t="shared" si="223"/>
        <v>0</v>
      </c>
      <c r="AN383" s="3">
        <f t="shared" si="224"/>
        <v>0</v>
      </c>
      <c r="AO383">
        <f t="shared" si="225"/>
        <v>0</v>
      </c>
      <c r="AP383" s="3">
        <f t="shared" si="226"/>
        <v>0</v>
      </c>
      <c r="AQ383" s="3">
        <f t="shared" si="227"/>
        <v>0</v>
      </c>
      <c r="AR383">
        <f t="shared" si="228"/>
        <v>0</v>
      </c>
    </row>
    <row r="384" spans="4:44" x14ac:dyDescent="0.25">
      <c r="D384" s="1">
        <v>42187</v>
      </c>
      <c r="E384" s="2">
        <v>122.60588300000001</v>
      </c>
      <c r="F384" s="2">
        <v>200.70762300000001</v>
      </c>
      <c r="G384" s="2">
        <f t="shared" si="229"/>
        <v>-0.15514499999999032</v>
      </c>
      <c r="H384" s="2">
        <f t="shared" si="230"/>
        <v>-0.1839509999999791</v>
      </c>
      <c r="I384" s="4">
        <f t="shared" si="193"/>
        <v>-0.21752426963548332</v>
      </c>
      <c r="J384" s="4">
        <f t="shared" si="194"/>
        <v>-0.28517193898066229</v>
      </c>
      <c r="K384" s="4">
        <f t="shared" si="195"/>
        <v>9.3866125731306788E-2</v>
      </c>
      <c r="L384" s="4">
        <f t="shared" si="196"/>
        <v>0.30637579168613632</v>
      </c>
      <c r="M384" s="4">
        <f t="shared" si="197"/>
        <v>1</v>
      </c>
      <c r="N384" s="4">
        <f t="shared" si="198"/>
        <v>1</v>
      </c>
      <c r="O384" s="3">
        <f t="shared" si="199"/>
        <v>-0.15514499999999032</v>
      </c>
      <c r="P384" s="3">
        <f t="shared" si="200"/>
        <v>-0.1839509999999791</v>
      </c>
      <c r="Q384">
        <f t="shared" si="201"/>
        <v>1</v>
      </c>
      <c r="R384" s="3">
        <f t="shared" si="202"/>
        <v>0</v>
      </c>
      <c r="S384" s="3">
        <f t="shared" si="203"/>
        <v>0</v>
      </c>
      <c r="T384">
        <f t="shared" si="204"/>
        <v>0</v>
      </c>
      <c r="U384" s="3">
        <f t="shared" si="205"/>
        <v>0</v>
      </c>
      <c r="V384" s="3">
        <f t="shared" si="206"/>
        <v>0</v>
      </c>
      <c r="W384">
        <f t="shared" si="207"/>
        <v>0</v>
      </c>
      <c r="X384" s="3">
        <f t="shared" si="208"/>
        <v>0</v>
      </c>
      <c r="Y384" s="3">
        <f t="shared" si="209"/>
        <v>0</v>
      </c>
      <c r="Z384">
        <f t="shared" si="210"/>
        <v>0</v>
      </c>
      <c r="AA384" s="3">
        <f t="shared" si="211"/>
        <v>0</v>
      </c>
      <c r="AB384" s="3">
        <f t="shared" si="212"/>
        <v>0</v>
      </c>
      <c r="AC384">
        <f t="shared" si="213"/>
        <v>0</v>
      </c>
      <c r="AD384" s="3">
        <f t="shared" si="214"/>
        <v>0</v>
      </c>
      <c r="AE384" s="3">
        <f t="shared" si="215"/>
        <v>0</v>
      </c>
      <c r="AF384">
        <f t="shared" si="216"/>
        <v>0</v>
      </c>
      <c r="AG384" s="3">
        <f t="shared" si="217"/>
        <v>0</v>
      </c>
      <c r="AH384" s="3">
        <f t="shared" si="218"/>
        <v>0</v>
      </c>
      <c r="AI384">
        <f t="shared" si="219"/>
        <v>0</v>
      </c>
      <c r="AJ384" s="3">
        <f t="shared" si="220"/>
        <v>0</v>
      </c>
      <c r="AK384" s="3">
        <f t="shared" si="221"/>
        <v>0</v>
      </c>
      <c r="AL384">
        <f t="shared" si="222"/>
        <v>0</v>
      </c>
      <c r="AM384" s="3">
        <f t="shared" si="223"/>
        <v>0</v>
      </c>
      <c r="AN384" s="3">
        <f t="shared" si="224"/>
        <v>0</v>
      </c>
      <c r="AO384">
        <f t="shared" si="225"/>
        <v>0</v>
      </c>
      <c r="AP384" s="3">
        <f t="shared" si="226"/>
        <v>0</v>
      </c>
      <c r="AQ384" s="3">
        <f t="shared" si="227"/>
        <v>0</v>
      </c>
      <c r="AR384">
        <f t="shared" si="228"/>
        <v>0</v>
      </c>
    </row>
    <row r="385" spans="4:44" x14ac:dyDescent="0.25">
      <c r="D385" s="1">
        <v>42186</v>
      </c>
      <c r="E385" s="2">
        <v>122.761028</v>
      </c>
      <c r="F385" s="2">
        <v>200.89157399999999</v>
      </c>
      <c r="G385" s="2">
        <f t="shared" si="229"/>
        <v>1.1345199999999949</v>
      </c>
      <c r="H385" s="2">
        <f t="shared" si="230"/>
        <v>1.5974449999999933</v>
      </c>
      <c r="I385" s="4">
        <f t="shared" si="193"/>
        <v>1.0721407303645019</v>
      </c>
      <c r="J385" s="4">
        <f t="shared" si="194"/>
        <v>1.49622406101931</v>
      </c>
      <c r="K385" s="4">
        <f t="shared" si="195"/>
        <v>2.5268751933145799</v>
      </c>
      <c r="L385" s="4">
        <f t="shared" si="196"/>
        <v>1.589614794003434</v>
      </c>
      <c r="M385" s="4">
        <f t="shared" si="197"/>
        <v>1</v>
      </c>
      <c r="N385" s="4">
        <f t="shared" si="198"/>
        <v>0.47489484370849477</v>
      </c>
      <c r="O385" s="3">
        <f t="shared" si="199"/>
        <v>1.1345199999999949</v>
      </c>
      <c r="P385" s="3">
        <f t="shared" si="200"/>
        <v>1.5974449999999933</v>
      </c>
      <c r="Q385">
        <f t="shared" si="201"/>
        <v>1</v>
      </c>
      <c r="R385" s="3">
        <f t="shared" si="202"/>
        <v>1.1345199999999949</v>
      </c>
      <c r="S385" s="3">
        <f t="shared" si="203"/>
        <v>1.5974449999999933</v>
      </c>
      <c r="T385">
        <f t="shared" si="204"/>
        <v>1</v>
      </c>
      <c r="U385" s="3">
        <f t="shared" si="205"/>
        <v>1.1345199999999949</v>
      </c>
      <c r="V385" s="3">
        <f t="shared" si="206"/>
        <v>1.5974449999999933</v>
      </c>
      <c r="W385">
        <f t="shared" si="207"/>
        <v>1</v>
      </c>
      <c r="X385" s="3">
        <f t="shared" si="208"/>
        <v>0</v>
      </c>
      <c r="Y385" s="3">
        <f t="shared" si="209"/>
        <v>0</v>
      </c>
      <c r="Z385">
        <f t="shared" si="210"/>
        <v>0</v>
      </c>
      <c r="AA385" s="3">
        <f t="shared" si="211"/>
        <v>0</v>
      </c>
      <c r="AB385" s="3">
        <f t="shared" si="212"/>
        <v>0</v>
      </c>
      <c r="AC385">
        <f t="shared" si="213"/>
        <v>0</v>
      </c>
      <c r="AD385" s="3">
        <f t="shared" si="214"/>
        <v>0</v>
      </c>
      <c r="AE385" s="3">
        <f t="shared" si="215"/>
        <v>0</v>
      </c>
      <c r="AF385">
        <f t="shared" si="216"/>
        <v>0</v>
      </c>
      <c r="AG385" s="3">
        <f t="shared" si="217"/>
        <v>0</v>
      </c>
      <c r="AH385" s="3">
        <f t="shared" si="218"/>
        <v>0</v>
      </c>
      <c r="AI385">
        <f t="shared" si="219"/>
        <v>0</v>
      </c>
      <c r="AJ385" s="3">
        <f t="shared" si="220"/>
        <v>0</v>
      </c>
      <c r="AK385" s="3">
        <f t="shared" si="221"/>
        <v>0</v>
      </c>
      <c r="AL385">
        <f t="shared" si="222"/>
        <v>0</v>
      </c>
      <c r="AM385" s="3">
        <f t="shared" si="223"/>
        <v>0</v>
      </c>
      <c r="AN385" s="3">
        <f t="shared" si="224"/>
        <v>0</v>
      </c>
      <c r="AO385">
        <f t="shared" si="225"/>
        <v>0</v>
      </c>
      <c r="AP385" s="3">
        <f t="shared" si="226"/>
        <v>0</v>
      </c>
      <c r="AQ385" s="3">
        <f t="shared" si="227"/>
        <v>0</v>
      </c>
      <c r="AR385">
        <f t="shared" si="228"/>
        <v>0</v>
      </c>
    </row>
    <row r="386" spans="4:44" x14ac:dyDescent="0.25">
      <c r="D386" s="1">
        <v>42185</v>
      </c>
      <c r="E386" s="2">
        <v>121.626508</v>
      </c>
      <c r="F386" s="2">
        <v>199.294129</v>
      </c>
      <c r="G386" s="2">
        <f t="shared" si="229"/>
        <v>0.87270999999999788</v>
      </c>
      <c r="H386" s="2">
        <f t="shared" si="230"/>
        <v>0.41631300000000238</v>
      </c>
      <c r="I386" s="4">
        <f t="shared" ref="I386:I449" si="231">G386-$A$14</f>
        <v>0.81033073036450487</v>
      </c>
      <c r="J386" s="4">
        <f t="shared" ref="J386:J449" si="232">H386-$B$14</f>
        <v>0.31509206101931919</v>
      </c>
      <c r="K386" s="4">
        <f t="shared" si="195"/>
        <v>0.92256381756229811</v>
      </c>
      <c r="L386" s="4">
        <f t="shared" si="196"/>
        <v>0.96050185713630876</v>
      </c>
      <c r="M386" s="4">
        <f t="shared" si="197"/>
        <v>1</v>
      </c>
      <c r="N386" s="4">
        <f t="shared" si="198"/>
        <v>1</v>
      </c>
      <c r="O386" s="3">
        <f t="shared" si="199"/>
        <v>0.87270999999999788</v>
      </c>
      <c r="P386" s="3">
        <f t="shared" si="200"/>
        <v>0.41631300000000238</v>
      </c>
      <c r="Q386">
        <f t="shared" si="201"/>
        <v>1</v>
      </c>
      <c r="R386" s="3">
        <f t="shared" si="202"/>
        <v>0</v>
      </c>
      <c r="S386" s="3">
        <f t="shared" si="203"/>
        <v>0</v>
      </c>
      <c r="T386">
        <f t="shared" si="204"/>
        <v>0</v>
      </c>
      <c r="U386" s="3">
        <f t="shared" si="205"/>
        <v>0</v>
      </c>
      <c r="V386" s="3">
        <f t="shared" si="206"/>
        <v>0</v>
      </c>
      <c r="W386">
        <f t="shared" si="207"/>
        <v>0</v>
      </c>
      <c r="X386" s="3">
        <f t="shared" si="208"/>
        <v>0</v>
      </c>
      <c r="Y386" s="3">
        <f t="shared" si="209"/>
        <v>0</v>
      </c>
      <c r="Z386">
        <f t="shared" si="210"/>
        <v>0</v>
      </c>
      <c r="AA386" s="3">
        <f t="shared" si="211"/>
        <v>0</v>
      </c>
      <c r="AB386" s="3">
        <f t="shared" si="212"/>
        <v>0</v>
      </c>
      <c r="AC386">
        <f t="shared" si="213"/>
        <v>0</v>
      </c>
      <c r="AD386" s="3">
        <f t="shared" si="214"/>
        <v>0</v>
      </c>
      <c r="AE386" s="3">
        <f t="shared" si="215"/>
        <v>0</v>
      </c>
      <c r="AF386">
        <f t="shared" si="216"/>
        <v>0</v>
      </c>
      <c r="AG386" s="3">
        <f t="shared" si="217"/>
        <v>0</v>
      </c>
      <c r="AH386" s="3">
        <f t="shared" si="218"/>
        <v>0</v>
      </c>
      <c r="AI386">
        <f t="shared" si="219"/>
        <v>0</v>
      </c>
      <c r="AJ386" s="3">
        <f t="shared" si="220"/>
        <v>0</v>
      </c>
      <c r="AK386" s="3">
        <f t="shared" si="221"/>
        <v>0</v>
      </c>
      <c r="AL386">
        <f t="shared" si="222"/>
        <v>0</v>
      </c>
      <c r="AM386" s="3">
        <f t="shared" si="223"/>
        <v>0</v>
      </c>
      <c r="AN386" s="3">
        <f t="shared" si="224"/>
        <v>0</v>
      </c>
      <c r="AO386">
        <f t="shared" si="225"/>
        <v>0</v>
      </c>
      <c r="AP386" s="3">
        <f t="shared" si="226"/>
        <v>0</v>
      </c>
      <c r="AQ386" s="3">
        <f t="shared" si="227"/>
        <v>0</v>
      </c>
      <c r="AR386">
        <f t="shared" si="228"/>
        <v>0</v>
      </c>
    </row>
    <row r="387" spans="4:44" x14ac:dyDescent="0.25">
      <c r="D387" s="1">
        <v>42184</v>
      </c>
      <c r="E387" s="2">
        <v>120.753798</v>
      </c>
      <c r="F387" s="2">
        <v>198.877816</v>
      </c>
      <c r="G387" s="2">
        <f t="shared" si="229"/>
        <v>-2.1526829999999961</v>
      </c>
      <c r="H387" s="2">
        <f t="shared" si="230"/>
        <v>-4.2598780000000147</v>
      </c>
      <c r="I387" s="4">
        <f t="shared" si="231"/>
        <v>-2.2150622696354891</v>
      </c>
      <c r="J387" s="4">
        <f t="shared" si="232"/>
        <v>-4.3610989389806978</v>
      </c>
      <c r="K387" s="4">
        <f t="shared" ref="K387:K450" si="233">SUMPRODUCT(MMULT(I387:J387,$A$19:$B$20),I387:J387)</f>
        <v>21.429326963366062</v>
      </c>
      <c r="L387" s="4">
        <f t="shared" ref="L387:L450" si="234">SQRT(K387)</f>
        <v>4.629182105228316</v>
      </c>
      <c r="M387" s="4">
        <f t="shared" ref="M387:M450" si="235">IF(L387&lt;$B$12,1,$B$12/L387)</f>
        <v>0.43204176343400902</v>
      </c>
      <c r="N387" s="4">
        <f t="shared" ref="N387:N450" si="236">IF(K387&lt;$B$12,1,$B$21/K387)</f>
        <v>5.5998025605350471E-2</v>
      </c>
      <c r="O387" s="3">
        <f t="shared" ref="O387:O450" si="237">IF($K387&gt;P$1,$G387,0)</f>
        <v>-2.1526829999999961</v>
      </c>
      <c r="P387" s="3">
        <f t="shared" ref="P387:P450" si="238">IF($K387&gt;P$1,$H387,0)</f>
        <v>-4.2598780000000147</v>
      </c>
      <c r="Q387">
        <f t="shared" ref="Q387:Q450" si="239">IF($K387&gt;P$1,1,0)</f>
        <v>1</v>
      </c>
      <c r="R387" s="3">
        <f t="shared" ref="R387:R450" si="240">IF($K387&gt;S$1,$G387,0)</f>
        <v>-2.1526829999999961</v>
      </c>
      <c r="S387" s="3">
        <f t="shared" ref="S387:S450" si="241">IF($K387&gt;S$1,$H387,0)</f>
        <v>-4.2598780000000147</v>
      </c>
      <c r="T387">
        <f t="shared" ref="T387:T450" si="242">IF($K387&gt;S$1,1,0)</f>
        <v>1</v>
      </c>
      <c r="U387" s="3">
        <f t="shared" ref="U387:U450" si="243">IF($K387&gt;V$1,$G387,0)</f>
        <v>-2.1526829999999961</v>
      </c>
      <c r="V387" s="3">
        <f t="shared" ref="V387:V450" si="244">IF($K387&gt;V$1,$H387,0)</f>
        <v>-4.2598780000000147</v>
      </c>
      <c r="W387">
        <f t="shared" ref="W387:W450" si="245">IF($K387&gt;V$1,1,0)</f>
        <v>1</v>
      </c>
      <c r="X387" s="3">
        <f t="shared" ref="X387:X450" si="246">IF($K387&gt;Y$1,$G387,0)</f>
        <v>-2.1526829999999961</v>
      </c>
      <c r="Y387" s="3">
        <f t="shared" ref="Y387:Y450" si="247">IF($K387&gt;Y$1,$H387,0)</f>
        <v>-4.2598780000000147</v>
      </c>
      <c r="Z387">
        <f t="shared" ref="Z387:Z450" si="248">IF($K387&gt;Y$1,1,0)</f>
        <v>1</v>
      </c>
      <c r="AA387" s="3">
        <f t="shared" ref="AA387:AA450" si="249">IF($K387&gt;AB$1,$G387,0)</f>
        <v>-2.1526829999999961</v>
      </c>
      <c r="AB387" s="3">
        <f t="shared" ref="AB387:AB450" si="250">IF($K387&gt;AB$1,$H387,0)</f>
        <v>-4.2598780000000147</v>
      </c>
      <c r="AC387">
        <f t="shared" ref="AC387:AC450" si="251">IF($K387&gt;AB$1,1,0)</f>
        <v>1</v>
      </c>
      <c r="AD387" s="3">
        <f t="shared" ref="AD387:AD450" si="252">IF($K387&gt;AE$1,$G387,0)</f>
        <v>-2.1526829999999961</v>
      </c>
      <c r="AE387" s="3">
        <f t="shared" ref="AE387:AE450" si="253">IF($K387&gt;AE$1,$H387,0)</f>
        <v>-4.2598780000000147</v>
      </c>
      <c r="AF387">
        <f t="shared" ref="AF387:AF450" si="254">IF($K387&gt;AE$1,1,0)</f>
        <v>1</v>
      </c>
      <c r="AG387" s="3">
        <f t="shared" ref="AG387:AG450" si="255">IF($K387&gt;AH$1,$G387,0)</f>
        <v>-2.1526829999999961</v>
      </c>
      <c r="AH387" s="3">
        <f t="shared" ref="AH387:AH450" si="256">IF($K387&gt;AH$1,$H387,0)</f>
        <v>-4.2598780000000147</v>
      </c>
      <c r="AI387">
        <f t="shared" ref="AI387:AI450" si="257">IF($K387&gt;AH$1,1,0)</f>
        <v>1</v>
      </c>
      <c r="AJ387" s="3">
        <f t="shared" ref="AJ387:AJ450" si="258">IF($K387&gt;AK$1,$G387,0)</f>
        <v>-2.1526829999999961</v>
      </c>
      <c r="AK387" s="3">
        <f t="shared" ref="AK387:AK450" si="259">IF($K387&gt;AK$1,$H387,0)</f>
        <v>-4.2598780000000147</v>
      </c>
      <c r="AL387">
        <f t="shared" ref="AL387:AL450" si="260">IF($K387&gt;AK$1,1,0)</f>
        <v>1</v>
      </c>
      <c r="AM387" s="3">
        <f t="shared" ref="AM387:AM450" si="261">IF($K387&gt;AN$1,$G387,0)</f>
        <v>-2.1526829999999961</v>
      </c>
      <c r="AN387" s="3">
        <f t="shared" ref="AN387:AN450" si="262">IF($K387&gt;AN$1,$H387,0)</f>
        <v>-4.2598780000000147</v>
      </c>
      <c r="AO387">
        <f t="shared" ref="AO387:AO450" si="263">IF($K387&gt;AN$1,1,0)</f>
        <v>1</v>
      </c>
      <c r="AP387" s="3">
        <f t="shared" ref="AP387:AP450" si="264">IF($K387&gt;AQ$1,$G387,0)</f>
        <v>-2.1526829999999961</v>
      </c>
      <c r="AQ387" s="3">
        <f t="shared" ref="AQ387:AQ450" si="265">IF($K387&gt;AQ$1,$H387,0)</f>
        <v>-4.2598780000000147</v>
      </c>
      <c r="AR387">
        <f t="shared" ref="AR387:AR450" si="266">IF($K387&gt;AQ$1,1,0)</f>
        <v>1</v>
      </c>
    </row>
    <row r="388" spans="4:44" x14ac:dyDescent="0.25">
      <c r="D388" s="1">
        <v>42181</v>
      </c>
      <c r="E388" s="2">
        <v>122.906481</v>
      </c>
      <c r="F388" s="2">
        <v>203.13769400000001</v>
      </c>
      <c r="G388" s="2">
        <f t="shared" si="229"/>
        <v>-0.72725699999999449</v>
      </c>
      <c r="H388" s="2">
        <f t="shared" si="230"/>
        <v>-3.8719999999983656E-2</v>
      </c>
      <c r="I388" s="4">
        <f t="shared" si="231"/>
        <v>-0.7896362696354875</v>
      </c>
      <c r="J388" s="4">
        <f t="shared" si="232"/>
        <v>-0.13994093898066687</v>
      </c>
      <c r="K388" s="4">
        <f t="shared" si="233"/>
        <v>1.0768914336205448</v>
      </c>
      <c r="L388" s="4">
        <f t="shared" si="234"/>
        <v>1.0377337970888993</v>
      </c>
      <c r="M388" s="4">
        <f t="shared" si="235"/>
        <v>1</v>
      </c>
      <c r="N388" s="4">
        <f t="shared" si="236"/>
        <v>1</v>
      </c>
      <c r="O388" s="3">
        <f t="shared" si="237"/>
        <v>-0.72725699999999449</v>
      </c>
      <c r="P388" s="3">
        <f t="shared" si="238"/>
        <v>-3.8719999999983656E-2</v>
      </c>
      <c r="Q388">
        <f t="shared" si="239"/>
        <v>1</v>
      </c>
      <c r="R388" s="3">
        <f t="shared" si="240"/>
        <v>-0.72725699999999449</v>
      </c>
      <c r="S388" s="3">
        <f t="shared" si="241"/>
        <v>-3.8719999999983656E-2</v>
      </c>
      <c r="T388">
        <f t="shared" si="242"/>
        <v>1</v>
      </c>
      <c r="U388" s="3">
        <f t="shared" si="243"/>
        <v>0</v>
      </c>
      <c r="V388" s="3">
        <f t="shared" si="244"/>
        <v>0</v>
      </c>
      <c r="W388">
        <f t="shared" si="245"/>
        <v>0</v>
      </c>
      <c r="X388" s="3">
        <f t="shared" si="246"/>
        <v>0</v>
      </c>
      <c r="Y388" s="3">
        <f t="shared" si="247"/>
        <v>0</v>
      </c>
      <c r="Z388">
        <f t="shared" si="248"/>
        <v>0</v>
      </c>
      <c r="AA388" s="3">
        <f t="shared" si="249"/>
        <v>0</v>
      </c>
      <c r="AB388" s="3">
        <f t="shared" si="250"/>
        <v>0</v>
      </c>
      <c r="AC388">
        <f t="shared" si="251"/>
        <v>0</v>
      </c>
      <c r="AD388" s="3">
        <f t="shared" si="252"/>
        <v>0</v>
      </c>
      <c r="AE388" s="3">
        <f t="shared" si="253"/>
        <v>0</v>
      </c>
      <c r="AF388">
        <f t="shared" si="254"/>
        <v>0</v>
      </c>
      <c r="AG388" s="3">
        <f t="shared" si="255"/>
        <v>0</v>
      </c>
      <c r="AH388" s="3">
        <f t="shared" si="256"/>
        <v>0</v>
      </c>
      <c r="AI388">
        <f t="shared" si="257"/>
        <v>0</v>
      </c>
      <c r="AJ388" s="3">
        <f t="shared" si="258"/>
        <v>0</v>
      </c>
      <c r="AK388" s="3">
        <f t="shared" si="259"/>
        <v>0</v>
      </c>
      <c r="AL388">
        <f t="shared" si="260"/>
        <v>0</v>
      </c>
      <c r="AM388" s="3">
        <f t="shared" si="261"/>
        <v>0</v>
      </c>
      <c r="AN388" s="3">
        <f t="shared" si="262"/>
        <v>0</v>
      </c>
      <c r="AO388">
        <f t="shared" si="263"/>
        <v>0</v>
      </c>
      <c r="AP388" s="3">
        <f t="shared" si="264"/>
        <v>0</v>
      </c>
      <c r="AQ388" s="3">
        <f t="shared" si="265"/>
        <v>0</v>
      </c>
      <c r="AR388">
        <f t="shared" si="266"/>
        <v>0</v>
      </c>
    </row>
    <row r="389" spans="4:44" x14ac:dyDescent="0.25">
      <c r="D389" s="1">
        <v>42180</v>
      </c>
      <c r="E389" s="2">
        <v>123.63373799999999</v>
      </c>
      <c r="F389" s="2">
        <v>203.17641399999999</v>
      </c>
      <c r="G389" s="2">
        <f t="shared" si="229"/>
        <v>-0.591503000000003</v>
      </c>
      <c r="H389" s="2">
        <f t="shared" si="230"/>
        <v>-0.61961700000000519</v>
      </c>
      <c r="I389" s="4">
        <f t="shared" si="231"/>
        <v>-0.65388226963549601</v>
      </c>
      <c r="J389" s="4">
        <f t="shared" si="232"/>
        <v>-0.72083793898068838</v>
      </c>
      <c r="K389" s="4">
        <f t="shared" si="233"/>
        <v>0.6715414528535637</v>
      </c>
      <c r="L389" s="4">
        <f t="shared" si="234"/>
        <v>0.81947632842783424</v>
      </c>
      <c r="M389" s="4">
        <f t="shared" si="235"/>
        <v>1</v>
      </c>
      <c r="N389" s="4">
        <f t="shared" si="236"/>
        <v>1</v>
      </c>
      <c r="O389" s="3">
        <f t="shared" si="237"/>
        <v>-0.591503000000003</v>
      </c>
      <c r="P389" s="3">
        <f t="shared" si="238"/>
        <v>-0.61961700000000519</v>
      </c>
      <c r="Q389">
        <f t="shared" si="239"/>
        <v>1</v>
      </c>
      <c r="R389" s="3">
        <f t="shared" si="240"/>
        <v>0</v>
      </c>
      <c r="S389" s="3">
        <f t="shared" si="241"/>
        <v>0</v>
      </c>
      <c r="T389">
        <f t="shared" si="242"/>
        <v>0</v>
      </c>
      <c r="U389" s="3">
        <f t="shared" si="243"/>
        <v>0</v>
      </c>
      <c r="V389" s="3">
        <f t="shared" si="244"/>
        <v>0</v>
      </c>
      <c r="W389">
        <f t="shared" si="245"/>
        <v>0</v>
      </c>
      <c r="X389" s="3">
        <f t="shared" si="246"/>
        <v>0</v>
      </c>
      <c r="Y389" s="3">
        <f t="shared" si="247"/>
        <v>0</v>
      </c>
      <c r="Z389">
        <f t="shared" si="248"/>
        <v>0</v>
      </c>
      <c r="AA389" s="3">
        <f t="shared" si="249"/>
        <v>0</v>
      </c>
      <c r="AB389" s="3">
        <f t="shared" si="250"/>
        <v>0</v>
      </c>
      <c r="AC389">
        <f t="shared" si="251"/>
        <v>0</v>
      </c>
      <c r="AD389" s="3">
        <f t="shared" si="252"/>
        <v>0</v>
      </c>
      <c r="AE389" s="3">
        <f t="shared" si="253"/>
        <v>0</v>
      </c>
      <c r="AF389">
        <f t="shared" si="254"/>
        <v>0</v>
      </c>
      <c r="AG389" s="3">
        <f t="shared" si="255"/>
        <v>0</v>
      </c>
      <c r="AH389" s="3">
        <f t="shared" si="256"/>
        <v>0</v>
      </c>
      <c r="AI389">
        <f t="shared" si="257"/>
        <v>0</v>
      </c>
      <c r="AJ389" s="3">
        <f t="shared" si="258"/>
        <v>0</v>
      </c>
      <c r="AK389" s="3">
        <f t="shared" si="259"/>
        <v>0</v>
      </c>
      <c r="AL389">
        <f t="shared" si="260"/>
        <v>0</v>
      </c>
      <c r="AM389" s="3">
        <f t="shared" si="261"/>
        <v>0</v>
      </c>
      <c r="AN389" s="3">
        <f t="shared" si="262"/>
        <v>0</v>
      </c>
      <c r="AO389">
        <f t="shared" si="263"/>
        <v>0</v>
      </c>
      <c r="AP389" s="3">
        <f t="shared" si="264"/>
        <v>0</v>
      </c>
      <c r="AQ389" s="3">
        <f t="shared" si="265"/>
        <v>0</v>
      </c>
      <c r="AR389">
        <f t="shared" si="266"/>
        <v>0</v>
      </c>
    </row>
    <row r="390" spans="4:44" x14ac:dyDescent="0.25">
      <c r="D390" s="1">
        <v>42179</v>
      </c>
      <c r="E390" s="2">
        <v>124.225241</v>
      </c>
      <c r="F390" s="2">
        <v>203.796031</v>
      </c>
      <c r="G390" s="2">
        <f t="shared" si="229"/>
        <v>1.0472520000000003</v>
      </c>
      <c r="H390" s="2">
        <f t="shared" si="230"/>
        <v>-1.490948000000003</v>
      </c>
      <c r="I390" s="4">
        <f t="shared" si="231"/>
        <v>0.98487273036450729</v>
      </c>
      <c r="J390" s="4">
        <f t="shared" si="232"/>
        <v>-1.5921689389806863</v>
      </c>
      <c r="K390" s="4">
        <f t="shared" si="233"/>
        <v>10.940301557963851</v>
      </c>
      <c r="L390" s="4">
        <f t="shared" si="234"/>
        <v>3.3076126674633248</v>
      </c>
      <c r="M390" s="4">
        <f t="shared" si="235"/>
        <v>0.60466572149569153</v>
      </c>
      <c r="N390" s="4">
        <f t="shared" si="236"/>
        <v>0.10968619042557154</v>
      </c>
      <c r="O390" s="3">
        <f t="shared" si="237"/>
        <v>1.0472520000000003</v>
      </c>
      <c r="P390" s="3">
        <f t="shared" si="238"/>
        <v>-1.490948000000003</v>
      </c>
      <c r="Q390">
        <f t="shared" si="239"/>
        <v>1</v>
      </c>
      <c r="R390" s="3">
        <f t="shared" si="240"/>
        <v>1.0472520000000003</v>
      </c>
      <c r="S390" s="3">
        <f t="shared" si="241"/>
        <v>-1.490948000000003</v>
      </c>
      <c r="T390">
        <f t="shared" si="242"/>
        <v>1</v>
      </c>
      <c r="U390" s="3">
        <f t="shared" si="243"/>
        <v>1.0472520000000003</v>
      </c>
      <c r="V390" s="3">
        <f t="shared" si="244"/>
        <v>-1.490948000000003</v>
      </c>
      <c r="W390">
        <f t="shared" si="245"/>
        <v>1</v>
      </c>
      <c r="X390" s="3">
        <f t="shared" si="246"/>
        <v>1.0472520000000003</v>
      </c>
      <c r="Y390" s="3">
        <f t="shared" si="247"/>
        <v>-1.490948000000003</v>
      </c>
      <c r="Z390">
        <f t="shared" si="248"/>
        <v>1</v>
      </c>
      <c r="AA390" s="3">
        <f t="shared" si="249"/>
        <v>1.0472520000000003</v>
      </c>
      <c r="AB390" s="3">
        <f t="shared" si="250"/>
        <v>-1.490948000000003</v>
      </c>
      <c r="AC390">
        <f t="shared" si="251"/>
        <v>1</v>
      </c>
      <c r="AD390" s="3">
        <f t="shared" si="252"/>
        <v>1.0472520000000003</v>
      </c>
      <c r="AE390" s="3">
        <f t="shared" si="253"/>
        <v>-1.490948000000003</v>
      </c>
      <c r="AF390">
        <f t="shared" si="254"/>
        <v>1</v>
      </c>
      <c r="AG390" s="3">
        <f t="shared" si="255"/>
        <v>1.0472520000000003</v>
      </c>
      <c r="AH390" s="3">
        <f t="shared" si="256"/>
        <v>-1.490948000000003</v>
      </c>
      <c r="AI390">
        <f t="shared" si="257"/>
        <v>1</v>
      </c>
      <c r="AJ390" s="3">
        <f t="shared" si="258"/>
        <v>1.0472520000000003</v>
      </c>
      <c r="AK390" s="3">
        <f t="shared" si="259"/>
        <v>-1.490948000000003</v>
      </c>
      <c r="AL390">
        <f t="shared" si="260"/>
        <v>1</v>
      </c>
      <c r="AM390" s="3">
        <f t="shared" si="261"/>
        <v>1.0472520000000003</v>
      </c>
      <c r="AN390" s="3">
        <f t="shared" si="262"/>
        <v>-1.490948000000003</v>
      </c>
      <c r="AO390">
        <f t="shared" si="263"/>
        <v>1</v>
      </c>
      <c r="AP390" s="3">
        <f t="shared" si="264"/>
        <v>1.0472520000000003</v>
      </c>
      <c r="AQ390" s="3">
        <f t="shared" si="265"/>
        <v>-1.490948000000003</v>
      </c>
      <c r="AR390">
        <f t="shared" si="266"/>
        <v>1</v>
      </c>
    </row>
    <row r="391" spans="4:44" x14ac:dyDescent="0.25">
      <c r="D391" s="1">
        <v>42178</v>
      </c>
      <c r="E391" s="2">
        <v>123.177989</v>
      </c>
      <c r="F391" s="2">
        <v>205.286979</v>
      </c>
      <c r="G391" s="2">
        <f t="shared" si="229"/>
        <v>-0.56241400000000397</v>
      </c>
      <c r="H391" s="2">
        <f t="shared" si="230"/>
        <v>0.14521700000000237</v>
      </c>
      <c r="I391" s="4">
        <f t="shared" si="231"/>
        <v>-0.62479326963549697</v>
      </c>
      <c r="J391" s="4">
        <f t="shared" si="232"/>
        <v>4.399606101931916E-2</v>
      </c>
      <c r="K391" s="4">
        <f t="shared" si="233"/>
        <v>0.9055296612521595</v>
      </c>
      <c r="L391" s="4">
        <f t="shared" si="234"/>
        <v>0.95159322257578083</v>
      </c>
      <c r="M391" s="4">
        <f t="shared" si="235"/>
        <v>1</v>
      </c>
      <c r="N391" s="4">
        <f t="shared" si="236"/>
        <v>1</v>
      </c>
      <c r="O391" s="3">
        <f t="shared" si="237"/>
        <v>-0.56241400000000397</v>
      </c>
      <c r="P391" s="3">
        <f t="shared" si="238"/>
        <v>0.14521700000000237</v>
      </c>
      <c r="Q391">
        <f t="shared" si="239"/>
        <v>1</v>
      </c>
      <c r="R391" s="3">
        <f t="shared" si="240"/>
        <v>0</v>
      </c>
      <c r="S391" s="3">
        <f t="shared" si="241"/>
        <v>0</v>
      </c>
      <c r="T391">
        <f t="shared" si="242"/>
        <v>0</v>
      </c>
      <c r="U391" s="3">
        <f t="shared" si="243"/>
        <v>0</v>
      </c>
      <c r="V391" s="3">
        <f t="shared" si="244"/>
        <v>0</v>
      </c>
      <c r="W391">
        <f t="shared" si="245"/>
        <v>0</v>
      </c>
      <c r="X391" s="3">
        <f t="shared" si="246"/>
        <v>0</v>
      </c>
      <c r="Y391" s="3">
        <f t="shared" si="247"/>
        <v>0</v>
      </c>
      <c r="Z391">
        <f t="shared" si="248"/>
        <v>0</v>
      </c>
      <c r="AA391" s="3">
        <f t="shared" si="249"/>
        <v>0</v>
      </c>
      <c r="AB391" s="3">
        <f t="shared" si="250"/>
        <v>0</v>
      </c>
      <c r="AC391">
        <f t="shared" si="251"/>
        <v>0</v>
      </c>
      <c r="AD391" s="3">
        <f t="shared" si="252"/>
        <v>0</v>
      </c>
      <c r="AE391" s="3">
        <f t="shared" si="253"/>
        <v>0</v>
      </c>
      <c r="AF391">
        <f t="shared" si="254"/>
        <v>0</v>
      </c>
      <c r="AG391" s="3">
        <f t="shared" si="255"/>
        <v>0</v>
      </c>
      <c r="AH391" s="3">
        <f t="shared" si="256"/>
        <v>0</v>
      </c>
      <c r="AI391">
        <f t="shared" si="257"/>
        <v>0</v>
      </c>
      <c r="AJ391" s="3">
        <f t="shared" si="258"/>
        <v>0</v>
      </c>
      <c r="AK391" s="3">
        <f t="shared" si="259"/>
        <v>0</v>
      </c>
      <c r="AL391">
        <f t="shared" si="260"/>
        <v>0</v>
      </c>
      <c r="AM391" s="3">
        <f t="shared" si="261"/>
        <v>0</v>
      </c>
      <c r="AN391" s="3">
        <f t="shared" si="262"/>
        <v>0</v>
      </c>
      <c r="AO391">
        <f t="shared" si="263"/>
        <v>0</v>
      </c>
      <c r="AP391" s="3">
        <f t="shared" si="264"/>
        <v>0</v>
      </c>
      <c r="AQ391" s="3">
        <f t="shared" si="265"/>
        <v>0</v>
      </c>
      <c r="AR391">
        <f t="shared" si="266"/>
        <v>0</v>
      </c>
    </row>
    <row r="392" spans="4:44" x14ac:dyDescent="0.25">
      <c r="D392" s="1">
        <v>42177</v>
      </c>
      <c r="E392" s="2">
        <v>123.740403</v>
      </c>
      <c r="F392" s="2">
        <v>205.141762</v>
      </c>
      <c r="G392" s="2">
        <f t="shared" si="229"/>
        <v>0.97937500000000455</v>
      </c>
      <c r="H392" s="2">
        <f t="shared" si="230"/>
        <v>1.0456059999999923</v>
      </c>
      <c r="I392" s="4">
        <f t="shared" si="231"/>
        <v>0.91699573036451154</v>
      </c>
      <c r="J392" s="4">
        <f t="shared" si="232"/>
        <v>0.94438506101930908</v>
      </c>
      <c r="K392" s="4">
        <f t="shared" si="233"/>
        <v>1.2324254517100843</v>
      </c>
      <c r="L392" s="4">
        <f t="shared" si="234"/>
        <v>1.11014659018982</v>
      </c>
      <c r="M392" s="4">
        <f t="shared" si="235"/>
        <v>1</v>
      </c>
      <c r="N392" s="4">
        <f t="shared" si="236"/>
        <v>1</v>
      </c>
      <c r="O392" s="3">
        <f t="shared" si="237"/>
        <v>0.97937500000000455</v>
      </c>
      <c r="P392" s="3">
        <f t="shared" si="238"/>
        <v>1.0456059999999923</v>
      </c>
      <c r="Q392">
        <f t="shared" si="239"/>
        <v>1</v>
      </c>
      <c r="R392" s="3">
        <f t="shared" si="240"/>
        <v>0.97937500000000455</v>
      </c>
      <c r="S392" s="3">
        <f t="shared" si="241"/>
        <v>1.0456059999999923</v>
      </c>
      <c r="T392">
        <f t="shared" si="242"/>
        <v>1</v>
      </c>
      <c r="U392" s="3">
        <f t="shared" si="243"/>
        <v>0</v>
      </c>
      <c r="V392" s="3">
        <f t="shared" si="244"/>
        <v>0</v>
      </c>
      <c r="W392">
        <f t="shared" si="245"/>
        <v>0</v>
      </c>
      <c r="X392" s="3">
        <f t="shared" si="246"/>
        <v>0</v>
      </c>
      <c r="Y392" s="3">
        <f t="shared" si="247"/>
        <v>0</v>
      </c>
      <c r="Z392">
        <f t="shared" si="248"/>
        <v>0</v>
      </c>
      <c r="AA392" s="3">
        <f t="shared" si="249"/>
        <v>0</v>
      </c>
      <c r="AB392" s="3">
        <f t="shared" si="250"/>
        <v>0</v>
      </c>
      <c r="AC392">
        <f t="shared" si="251"/>
        <v>0</v>
      </c>
      <c r="AD392" s="3">
        <f t="shared" si="252"/>
        <v>0</v>
      </c>
      <c r="AE392" s="3">
        <f t="shared" si="253"/>
        <v>0</v>
      </c>
      <c r="AF392">
        <f t="shared" si="254"/>
        <v>0</v>
      </c>
      <c r="AG392" s="3">
        <f t="shared" si="255"/>
        <v>0</v>
      </c>
      <c r="AH392" s="3">
        <f t="shared" si="256"/>
        <v>0</v>
      </c>
      <c r="AI392">
        <f t="shared" si="257"/>
        <v>0</v>
      </c>
      <c r="AJ392" s="3">
        <f t="shared" si="258"/>
        <v>0</v>
      </c>
      <c r="AK392" s="3">
        <f t="shared" si="259"/>
        <v>0</v>
      </c>
      <c r="AL392">
        <f t="shared" si="260"/>
        <v>0</v>
      </c>
      <c r="AM392" s="3">
        <f t="shared" si="261"/>
        <v>0</v>
      </c>
      <c r="AN392" s="3">
        <f t="shared" si="262"/>
        <v>0</v>
      </c>
      <c r="AO392">
        <f t="shared" si="263"/>
        <v>0</v>
      </c>
      <c r="AP392" s="3">
        <f t="shared" si="264"/>
        <v>0</v>
      </c>
      <c r="AQ392" s="3">
        <f t="shared" si="265"/>
        <v>0</v>
      </c>
      <c r="AR392">
        <f t="shared" si="266"/>
        <v>0</v>
      </c>
    </row>
    <row r="393" spans="4:44" x14ac:dyDescent="0.25">
      <c r="D393" s="1">
        <v>42174</v>
      </c>
      <c r="E393" s="2">
        <v>122.761028</v>
      </c>
      <c r="F393" s="2">
        <v>204.09615600000001</v>
      </c>
      <c r="G393" s="2">
        <f t="shared" si="229"/>
        <v>-1.2411840000000041</v>
      </c>
      <c r="H393" s="2">
        <f t="shared" si="230"/>
        <v>-0.91005999999998721</v>
      </c>
      <c r="I393" s="4">
        <f t="shared" si="231"/>
        <v>-1.3035632696354971</v>
      </c>
      <c r="J393" s="4">
        <f t="shared" si="232"/>
        <v>-1.0112809389806705</v>
      </c>
      <c r="K393" s="4">
        <f t="shared" si="233"/>
        <v>2.1328887022372913</v>
      </c>
      <c r="L393" s="4">
        <f t="shared" si="234"/>
        <v>1.4604412696980633</v>
      </c>
      <c r="M393" s="4">
        <f t="shared" si="235"/>
        <v>1</v>
      </c>
      <c r="N393" s="4">
        <f t="shared" si="236"/>
        <v>0.56261726115444333</v>
      </c>
      <c r="O393" s="3">
        <f t="shared" si="237"/>
        <v>-1.2411840000000041</v>
      </c>
      <c r="P393" s="3">
        <f t="shared" si="238"/>
        <v>-0.91005999999998721</v>
      </c>
      <c r="Q393">
        <f t="shared" si="239"/>
        <v>1</v>
      </c>
      <c r="R393" s="3">
        <f t="shared" si="240"/>
        <v>-1.2411840000000041</v>
      </c>
      <c r="S393" s="3">
        <f t="shared" si="241"/>
        <v>-0.91005999999998721</v>
      </c>
      <c r="T393">
        <f t="shared" si="242"/>
        <v>1</v>
      </c>
      <c r="U393" s="3">
        <f t="shared" si="243"/>
        <v>-1.2411840000000041</v>
      </c>
      <c r="V393" s="3">
        <f t="shared" si="244"/>
        <v>-0.91005999999998721</v>
      </c>
      <c r="W393">
        <f t="shared" si="245"/>
        <v>1</v>
      </c>
      <c r="X393" s="3">
        <f t="shared" si="246"/>
        <v>0</v>
      </c>
      <c r="Y393" s="3">
        <f t="shared" si="247"/>
        <v>0</v>
      </c>
      <c r="Z393">
        <f t="shared" si="248"/>
        <v>0</v>
      </c>
      <c r="AA393" s="3">
        <f t="shared" si="249"/>
        <v>0</v>
      </c>
      <c r="AB393" s="3">
        <f t="shared" si="250"/>
        <v>0</v>
      </c>
      <c r="AC393">
        <f t="shared" si="251"/>
        <v>0</v>
      </c>
      <c r="AD393" s="3">
        <f t="shared" si="252"/>
        <v>0</v>
      </c>
      <c r="AE393" s="3">
        <f t="shared" si="253"/>
        <v>0</v>
      </c>
      <c r="AF393">
        <f t="shared" si="254"/>
        <v>0</v>
      </c>
      <c r="AG393" s="3">
        <f t="shared" si="255"/>
        <v>0</v>
      </c>
      <c r="AH393" s="3">
        <f t="shared" si="256"/>
        <v>0</v>
      </c>
      <c r="AI393">
        <f t="shared" si="257"/>
        <v>0</v>
      </c>
      <c r="AJ393" s="3">
        <f t="shared" si="258"/>
        <v>0</v>
      </c>
      <c r="AK393" s="3">
        <f t="shared" si="259"/>
        <v>0</v>
      </c>
      <c r="AL393">
        <f t="shared" si="260"/>
        <v>0</v>
      </c>
      <c r="AM393" s="3">
        <f t="shared" si="261"/>
        <v>0</v>
      </c>
      <c r="AN393" s="3">
        <f t="shared" si="262"/>
        <v>0</v>
      </c>
      <c r="AO393">
        <f t="shared" si="263"/>
        <v>0</v>
      </c>
      <c r="AP393" s="3">
        <f t="shared" si="264"/>
        <v>0</v>
      </c>
      <c r="AQ393" s="3">
        <f t="shared" si="265"/>
        <v>0</v>
      </c>
      <c r="AR393">
        <f t="shared" si="266"/>
        <v>0</v>
      </c>
    </row>
    <row r="394" spans="4:44" x14ac:dyDescent="0.25">
      <c r="D394" s="1">
        <v>42173</v>
      </c>
      <c r="E394" s="2">
        <v>124.002212</v>
      </c>
      <c r="F394" s="2">
        <v>205.00621599999999</v>
      </c>
      <c r="G394" s="2">
        <f t="shared" si="229"/>
        <v>0.56240599999999574</v>
      </c>
      <c r="H394" s="2">
        <f t="shared" si="230"/>
        <v>2.1099920000000054</v>
      </c>
      <c r="I394" s="4">
        <f t="shared" si="231"/>
        <v>0.50002673036450274</v>
      </c>
      <c r="J394" s="4">
        <f t="shared" si="232"/>
        <v>2.0087710610193223</v>
      </c>
      <c r="K394" s="4">
        <f t="shared" si="233"/>
        <v>5.5762045046751059</v>
      </c>
      <c r="L394" s="4">
        <f t="shared" si="234"/>
        <v>2.3613988448957763</v>
      </c>
      <c r="M394" s="4">
        <f t="shared" si="235"/>
        <v>0.84695561036757971</v>
      </c>
      <c r="N394" s="4">
        <f t="shared" si="236"/>
        <v>0.21520014177993588</v>
      </c>
      <c r="O394" s="3">
        <f t="shared" si="237"/>
        <v>0.56240599999999574</v>
      </c>
      <c r="P394" s="3">
        <f t="shared" si="238"/>
        <v>2.1099920000000054</v>
      </c>
      <c r="Q394">
        <f t="shared" si="239"/>
        <v>1</v>
      </c>
      <c r="R394" s="3">
        <f t="shared" si="240"/>
        <v>0.56240599999999574</v>
      </c>
      <c r="S394" s="3">
        <f t="shared" si="241"/>
        <v>2.1099920000000054</v>
      </c>
      <c r="T394">
        <f t="shared" si="242"/>
        <v>1</v>
      </c>
      <c r="U394" s="3">
        <f t="shared" si="243"/>
        <v>0.56240599999999574</v>
      </c>
      <c r="V394" s="3">
        <f t="shared" si="244"/>
        <v>2.1099920000000054</v>
      </c>
      <c r="W394">
        <f t="shared" si="245"/>
        <v>1</v>
      </c>
      <c r="X394" s="3">
        <f t="shared" si="246"/>
        <v>0.56240599999999574</v>
      </c>
      <c r="Y394" s="3">
        <f t="shared" si="247"/>
        <v>2.1099920000000054</v>
      </c>
      <c r="Z394">
        <f t="shared" si="248"/>
        <v>1</v>
      </c>
      <c r="AA394" s="3">
        <f t="shared" si="249"/>
        <v>0.56240599999999574</v>
      </c>
      <c r="AB394" s="3">
        <f t="shared" si="250"/>
        <v>2.1099920000000054</v>
      </c>
      <c r="AC394">
        <f t="shared" si="251"/>
        <v>1</v>
      </c>
      <c r="AD394" s="3">
        <f t="shared" si="252"/>
        <v>0.56240599999999574</v>
      </c>
      <c r="AE394" s="3">
        <f t="shared" si="253"/>
        <v>2.1099920000000054</v>
      </c>
      <c r="AF394">
        <f t="shared" si="254"/>
        <v>1</v>
      </c>
      <c r="AG394" s="3">
        <f t="shared" si="255"/>
        <v>0</v>
      </c>
      <c r="AH394" s="3">
        <f t="shared" si="256"/>
        <v>0</v>
      </c>
      <c r="AI394">
        <f t="shared" si="257"/>
        <v>0</v>
      </c>
      <c r="AJ394" s="3">
        <f t="shared" si="258"/>
        <v>0</v>
      </c>
      <c r="AK394" s="3">
        <f t="shared" si="259"/>
        <v>0</v>
      </c>
      <c r="AL394">
        <f t="shared" si="260"/>
        <v>0</v>
      </c>
      <c r="AM394" s="3">
        <f t="shared" si="261"/>
        <v>0</v>
      </c>
      <c r="AN394" s="3">
        <f t="shared" si="262"/>
        <v>0</v>
      </c>
      <c r="AO394">
        <f t="shared" si="263"/>
        <v>0</v>
      </c>
      <c r="AP394" s="3">
        <f t="shared" si="264"/>
        <v>0</v>
      </c>
      <c r="AQ394" s="3">
        <f t="shared" si="265"/>
        <v>0</v>
      </c>
      <c r="AR394">
        <f t="shared" si="266"/>
        <v>0</v>
      </c>
    </row>
    <row r="395" spans="4:44" x14ac:dyDescent="0.25">
      <c r="D395" s="1">
        <v>42172</v>
      </c>
      <c r="E395" s="2">
        <v>123.439806</v>
      </c>
      <c r="F395" s="2">
        <v>202.89622399999999</v>
      </c>
      <c r="G395" s="2">
        <f t="shared" si="229"/>
        <v>-0.29089799999999855</v>
      </c>
      <c r="H395" s="2">
        <f t="shared" si="230"/>
        <v>0.32757499999999595</v>
      </c>
      <c r="I395" s="4">
        <f t="shared" si="231"/>
        <v>-0.35327726963549155</v>
      </c>
      <c r="J395" s="4">
        <f t="shared" si="232"/>
        <v>0.22635406101931274</v>
      </c>
      <c r="K395" s="4">
        <f t="shared" si="233"/>
        <v>0.57022544460028146</v>
      </c>
      <c r="L395" s="4">
        <f t="shared" si="234"/>
        <v>0.75513273310079831</v>
      </c>
      <c r="M395" s="4">
        <f t="shared" si="235"/>
        <v>1</v>
      </c>
      <c r="N395" s="4">
        <f t="shared" si="236"/>
        <v>1</v>
      </c>
      <c r="O395" s="3">
        <f t="shared" si="237"/>
        <v>-0.29089799999999855</v>
      </c>
      <c r="P395" s="3">
        <f t="shared" si="238"/>
        <v>0.32757499999999595</v>
      </c>
      <c r="Q395">
        <f t="shared" si="239"/>
        <v>1</v>
      </c>
      <c r="R395" s="3">
        <f t="shared" si="240"/>
        <v>0</v>
      </c>
      <c r="S395" s="3">
        <f t="shared" si="241"/>
        <v>0</v>
      </c>
      <c r="T395">
        <f t="shared" si="242"/>
        <v>0</v>
      </c>
      <c r="U395" s="3">
        <f t="shared" si="243"/>
        <v>0</v>
      </c>
      <c r="V395" s="3">
        <f t="shared" si="244"/>
        <v>0</v>
      </c>
      <c r="W395">
        <f t="shared" si="245"/>
        <v>0</v>
      </c>
      <c r="X395" s="3">
        <f t="shared" si="246"/>
        <v>0</v>
      </c>
      <c r="Y395" s="3">
        <f t="shared" si="247"/>
        <v>0</v>
      </c>
      <c r="Z395">
        <f t="shared" si="248"/>
        <v>0</v>
      </c>
      <c r="AA395" s="3">
        <f t="shared" si="249"/>
        <v>0</v>
      </c>
      <c r="AB395" s="3">
        <f t="shared" si="250"/>
        <v>0</v>
      </c>
      <c r="AC395">
        <f t="shared" si="251"/>
        <v>0</v>
      </c>
      <c r="AD395" s="3">
        <f t="shared" si="252"/>
        <v>0</v>
      </c>
      <c r="AE395" s="3">
        <f t="shared" si="253"/>
        <v>0</v>
      </c>
      <c r="AF395">
        <f t="shared" si="254"/>
        <v>0</v>
      </c>
      <c r="AG395" s="3">
        <f t="shared" si="255"/>
        <v>0</v>
      </c>
      <c r="AH395" s="3">
        <f t="shared" si="256"/>
        <v>0</v>
      </c>
      <c r="AI395">
        <f t="shared" si="257"/>
        <v>0</v>
      </c>
      <c r="AJ395" s="3">
        <f t="shared" si="258"/>
        <v>0</v>
      </c>
      <c r="AK395" s="3">
        <f t="shared" si="259"/>
        <v>0</v>
      </c>
      <c r="AL395">
        <f t="shared" si="260"/>
        <v>0</v>
      </c>
      <c r="AM395" s="3">
        <f t="shared" si="261"/>
        <v>0</v>
      </c>
      <c r="AN395" s="3">
        <f t="shared" si="262"/>
        <v>0</v>
      </c>
      <c r="AO395">
        <f t="shared" si="263"/>
        <v>0</v>
      </c>
      <c r="AP395" s="3">
        <f t="shared" si="264"/>
        <v>0</v>
      </c>
      <c r="AQ395" s="3">
        <f t="shared" si="265"/>
        <v>0</v>
      </c>
      <c r="AR395">
        <f t="shared" si="266"/>
        <v>0</v>
      </c>
    </row>
    <row r="396" spans="4:44" x14ac:dyDescent="0.25">
      <c r="D396" s="1">
        <v>42171</v>
      </c>
      <c r="E396" s="2">
        <v>123.730704</v>
      </c>
      <c r="F396" s="2">
        <v>202.56864899999999</v>
      </c>
      <c r="G396" s="2">
        <f t="shared" si="229"/>
        <v>0.65937999999999874</v>
      </c>
      <c r="H396" s="2">
        <f t="shared" si="230"/>
        <v>1.0983499999999822</v>
      </c>
      <c r="I396" s="4">
        <f t="shared" si="231"/>
        <v>0.59700073036450574</v>
      </c>
      <c r="J396" s="4">
        <f t="shared" si="232"/>
        <v>0.99712906101929899</v>
      </c>
      <c r="K396" s="4">
        <f t="shared" si="233"/>
        <v>1.0984949530568313</v>
      </c>
      <c r="L396" s="4">
        <f t="shared" si="234"/>
        <v>1.0480910995981367</v>
      </c>
      <c r="M396" s="4">
        <f t="shared" si="235"/>
        <v>1</v>
      </c>
      <c r="N396" s="4">
        <f t="shared" si="236"/>
        <v>1</v>
      </c>
      <c r="O396" s="3">
        <f t="shared" si="237"/>
        <v>0.65937999999999874</v>
      </c>
      <c r="P396" s="3">
        <f t="shared" si="238"/>
        <v>1.0983499999999822</v>
      </c>
      <c r="Q396">
        <f t="shared" si="239"/>
        <v>1</v>
      </c>
      <c r="R396" s="3">
        <f t="shared" si="240"/>
        <v>0.65937999999999874</v>
      </c>
      <c r="S396" s="3">
        <f t="shared" si="241"/>
        <v>1.0983499999999822</v>
      </c>
      <c r="T396">
        <f t="shared" si="242"/>
        <v>1</v>
      </c>
      <c r="U396" s="3">
        <f t="shared" si="243"/>
        <v>0</v>
      </c>
      <c r="V396" s="3">
        <f t="shared" si="244"/>
        <v>0</v>
      </c>
      <c r="W396">
        <f t="shared" si="245"/>
        <v>0</v>
      </c>
      <c r="X396" s="3">
        <f t="shared" si="246"/>
        <v>0</v>
      </c>
      <c r="Y396" s="3">
        <f t="shared" si="247"/>
        <v>0</v>
      </c>
      <c r="Z396">
        <f t="shared" si="248"/>
        <v>0</v>
      </c>
      <c r="AA396" s="3">
        <f t="shared" si="249"/>
        <v>0</v>
      </c>
      <c r="AB396" s="3">
        <f t="shared" si="250"/>
        <v>0</v>
      </c>
      <c r="AC396">
        <f t="shared" si="251"/>
        <v>0</v>
      </c>
      <c r="AD396" s="3">
        <f t="shared" si="252"/>
        <v>0</v>
      </c>
      <c r="AE396" s="3">
        <f t="shared" si="253"/>
        <v>0</v>
      </c>
      <c r="AF396">
        <f t="shared" si="254"/>
        <v>0</v>
      </c>
      <c r="AG396" s="3">
        <f t="shared" si="255"/>
        <v>0</v>
      </c>
      <c r="AH396" s="3">
        <f t="shared" si="256"/>
        <v>0</v>
      </c>
      <c r="AI396">
        <f t="shared" si="257"/>
        <v>0</v>
      </c>
      <c r="AJ396" s="3">
        <f t="shared" si="258"/>
        <v>0</v>
      </c>
      <c r="AK396" s="3">
        <f t="shared" si="259"/>
        <v>0</v>
      </c>
      <c r="AL396">
        <f t="shared" si="260"/>
        <v>0</v>
      </c>
      <c r="AM396" s="3">
        <f t="shared" si="261"/>
        <v>0</v>
      </c>
      <c r="AN396" s="3">
        <f t="shared" si="262"/>
        <v>0</v>
      </c>
      <c r="AO396">
        <f t="shared" si="263"/>
        <v>0</v>
      </c>
      <c r="AP396" s="3">
        <f t="shared" si="264"/>
        <v>0</v>
      </c>
      <c r="AQ396" s="3">
        <f t="shared" si="265"/>
        <v>0</v>
      </c>
      <c r="AR396">
        <f t="shared" si="266"/>
        <v>0</v>
      </c>
    </row>
    <row r="397" spans="4:44" x14ac:dyDescent="0.25">
      <c r="D397" s="1">
        <v>42170</v>
      </c>
      <c r="E397" s="2">
        <v>123.071324</v>
      </c>
      <c r="F397" s="2">
        <v>201.47029900000001</v>
      </c>
      <c r="G397" s="2">
        <f t="shared" si="229"/>
        <v>-0.24241899999999816</v>
      </c>
      <c r="H397" s="2">
        <f t="shared" si="230"/>
        <v>-0.86711299999998914</v>
      </c>
      <c r="I397" s="4">
        <f t="shared" si="231"/>
        <v>-0.30479826963549117</v>
      </c>
      <c r="J397" s="4">
        <f t="shared" si="232"/>
        <v>-0.96833393898067233</v>
      </c>
      <c r="K397" s="4">
        <f t="shared" si="233"/>
        <v>1.2095682767010454</v>
      </c>
      <c r="L397" s="4">
        <f t="shared" si="234"/>
        <v>1.0998037446294886</v>
      </c>
      <c r="M397" s="4">
        <f t="shared" si="235"/>
        <v>1</v>
      </c>
      <c r="N397" s="4">
        <f t="shared" si="236"/>
        <v>1</v>
      </c>
      <c r="O397" s="3">
        <f t="shared" si="237"/>
        <v>-0.24241899999999816</v>
      </c>
      <c r="P397" s="3">
        <f t="shared" si="238"/>
        <v>-0.86711299999998914</v>
      </c>
      <c r="Q397">
        <f t="shared" si="239"/>
        <v>1</v>
      </c>
      <c r="R397" s="3">
        <f t="shared" si="240"/>
        <v>-0.24241899999999816</v>
      </c>
      <c r="S397" s="3">
        <f t="shared" si="241"/>
        <v>-0.86711299999998914</v>
      </c>
      <c r="T397">
        <f t="shared" si="242"/>
        <v>1</v>
      </c>
      <c r="U397" s="3">
        <f t="shared" si="243"/>
        <v>0</v>
      </c>
      <c r="V397" s="3">
        <f t="shared" si="244"/>
        <v>0</v>
      </c>
      <c r="W397">
        <f t="shared" si="245"/>
        <v>0</v>
      </c>
      <c r="X397" s="3">
        <f t="shared" si="246"/>
        <v>0</v>
      </c>
      <c r="Y397" s="3">
        <f t="shared" si="247"/>
        <v>0</v>
      </c>
      <c r="Z397">
        <f t="shared" si="248"/>
        <v>0</v>
      </c>
      <c r="AA397" s="3">
        <f t="shared" si="249"/>
        <v>0</v>
      </c>
      <c r="AB397" s="3">
        <f t="shared" si="250"/>
        <v>0</v>
      </c>
      <c r="AC397">
        <f t="shared" si="251"/>
        <v>0</v>
      </c>
      <c r="AD397" s="3">
        <f t="shared" si="252"/>
        <v>0</v>
      </c>
      <c r="AE397" s="3">
        <f t="shared" si="253"/>
        <v>0</v>
      </c>
      <c r="AF397">
        <f t="shared" si="254"/>
        <v>0</v>
      </c>
      <c r="AG397" s="3">
        <f t="shared" si="255"/>
        <v>0</v>
      </c>
      <c r="AH397" s="3">
        <f t="shared" si="256"/>
        <v>0</v>
      </c>
      <c r="AI397">
        <f t="shared" si="257"/>
        <v>0</v>
      </c>
      <c r="AJ397" s="3">
        <f t="shared" si="258"/>
        <v>0</v>
      </c>
      <c r="AK397" s="3">
        <f t="shared" si="259"/>
        <v>0</v>
      </c>
      <c r="AL397">
        <f t="shared" si="260"/>
        <v>0</v>
      </c>
      <c r="AM397" s="3">
        <f t="shared" si="261"/>
        <v>0</v>
      </c>
      <c r="AN397" s="3">
        <f t="shared" si="262"/>
        <v>0</v>
      </c>
      <c r="AO397">
        <f t="shared" si="263"/>
        <v>0</v>
      </c>
      <c r="AP397" s="3">
        <f t="shared" si="264"/>
        <v>0</v>
      </c>
      <c r="AQ397" s="3">
        <f t="shared" si="265"/>
        <v>0</v>
      </c>
      <c r="AR397">
        <f t="shared" si="266"/>
        <v>0</v>
      </c>
    </row>
    <row r="398" spans="4:44" x14ac:dyDescent="0.25">
      <c r="D398" s="1">
        <v>42167</v>
      </c>
      <c r="E398" s="2">
        <v>123.313743</v>
      </c>
      <c r="F398" s="2">
        <v>202.337412</v>
      </c>
      <c r="G398" s="2">
        <f t="shared" si="229"/>
        <v>-1.376938999999993</v>
      </c>
      <c r="H398" s="2">
        <f t="shared" si="230"/>
        <v>-1.5608239999999967</v>
      </c>
      <c r="I398" s="4">
        <f t="shared" si="231"/>
        <v>-1.439318269635486</v>
      </c>
      <c r="J398" s="4">
        <f t="shared" si="232"/>
        <v>-1.66204493898068</v>
      </c>
      <c r="K398" s="4">
        <f t="shared" si="233"/>
        <v>3.4364385818892589</v>
      </c>
      <c r="L398" s="4">
        <f t="shared" si="234"/>
        <v>1.8537633564965241</v>
      </c>
      <c r="M398" s="4">
        <f t="shared" si="235"/>
        <v>1</v>
      </c>
      <c r="N398" s="4">
        <f t="shared" si="236"/>
        <v>0.3491987333410374</v>
      </c>
      <c r="O398" s="3">
        <f t="shared" si="237"/>
        <v>-1.376938999999993</v>
      </c>
      <c r="P398" s="3">
        <f t="shared" si="238"/>
        <v>-1.5608239999999967</v>
      </c>
      <c r="Q398">
        <f t="shared" si="239"/>
        <v>1</v>
      </c>
      <c r="R398" s="3">
        <f t="shared" si="240"/>
        <v>-1.376938999999993</v>
      </c>
      <c r="S398" s="3">
        <f t="shared" si="241"/>
        <v>-1.5608239999999967</v>
      </c>
      <c r="T398">
        <f t="shared" si="242"/>
        <v>1</v>
      </c>
      <c r="U398" s="3">
        <f t="shared" si="243"/>
        <v>-1.376938999999993</v>
      </c>
      <c r="V398" s="3">
        <f t="shared" si="244"/>
        <v>-1.5608239999999967</v>
      </c>
      <c r="W398">
        <f t="shared" si="245"/>
        <v>1</v>
      </c>
      <c r="X398" s="3">
        <f t="shared" si="246"/>
        <v>-1.376938999999993</v>
      </c>
      <c r="Y398" s="3">
        <f t="shared" si="247"/>
        <v>-1.5608239999999967</v>
      </c>
      <c r="Z398">
        <f t="shared" si="248"/>
        <v>1</v>
      </c>
      <c r="AA398" s="3">
        <f t="shared" si="249"/>
        <v>0</v>
      </c>
      <c r="AB398" s="3">
        <f t="shared" si="250"/>
        <v>0</v>
      </c>
      <c r="AC398">
        <f t="shared" si="251"/>
        <v>0</v>
      </c>
      <c r="AD398" s="3">
        <f t="shared" si="252"/>
        <v>0</v>
      </c>
      <c r="AE398" s="3">
        <f t="shared" si="253"/>
        <v>0</v>
      </c>
      <c r="AF398">
        <f t="shared" si="254"/>
        <v>0</v>
      </c>
      <c r="AG398" s="3">
        <f t="shared" si="255"/>
        <v>0</v>
      </c>
      <c r="AH398" s="3">
        <f t="shared" si="256"/>
        <v>0</v>
      </c>
      <c r="AI398">
        <f t="shared" si="257"/>
        <v>0</v>
      </c>
      <c r="AJ398" s="3">
        <f t="shared" si="258"/>
        <v>0</v>
      </c>
      <c r="AK398" s="3">
        <f t="shared" si="259"/>
        <v>0</v>
      </c>
      <c r="AL398">
        <f t="shared" si="260"/>
        <v>0</v>
      </c>
      <c r="AM398" s="3">
        <f t="shared" si="261"/>
        <v>0</v>
      </c>
      <c r="AN398" s="3">
        <f t="shared" si="262"/>
        <v>0</v>
      </c>
      <c r="AO398">
        <f t="shared" si="263"/>
        <v>0</v>
      </c>
      <c r="AP398" s="3">
        <f t="shared" si="264"/>
        <v>0</v>
      </c>
      <c r="AQ398" s="3">
        <f t="shared" si="265"/>
        <v>0</v>
      </c>
      <c r="AR398">
        <f t="shared" si="266"/>
        <v>0</v>
      </c>
    </row>
    <row r="399" spans="4:44" x14ac:dyDescent="0.25">
      <c r="D399" s="1">
        <v>42166</v>
      </c>
      <c r="E399" s="2">
        <v>124.690682</v>
      </c>
      <c r="F399" s="2">
        <v>203.898236</v>
      </c>
      <c r="G399" s="2">
        <f t="shared" si="229"/>
        <v>-0.28121400000000563</v>
      </c>
      <c r="H399" s="2">
        <f t="shared" si="230"/>
        <v>0.65516399999998498</v>
      </c>
      <c r="I399" s="4">
        <f t="shared" si="231"/>
        <v>-0.34359326963549863</v>
      </c>
      <c r="J399" s="4">
        <f t="shared" si="232"/>
        <v>0.5539430610193018</v>
      </c>
      <c r="K399" s="4">
        <f t="shared" si="233"/>
        <v>1.3270054816439498</v>
      </c>
      <c r="L399" s="4">
        <f t="shared" si="234"/>
        <v>1.1519572395032507</v>
      </c>
      <c r="M399" s="4">
        <f t="shared" si="235"/>
        <v>1</v>
      </c>
      <c r="N399" s="4">
        <f t="shared" si="236"/>
        <v>1</v>
      </c>
      <c r="O399" s="3">
        <f t="shared" si="237"/>
        <v>-0.28121400000000563</v>
      </c>
      <c r="P399" s="3">
        <f t="shared" si="238"/>
        <v>0.65516399999998498</v>
      </c>
      <c r="Q399">
        <f t="shared" si="239"/>
        <v>1</v>
      </c>
      <c r="R399" s="3">
        <f t="shared" si="240"/>
        <v>-0.28121400000000563</v>
      </c>
      <c r="S399" s="3">
        <f t="shared" si="241"/>
        <v>0.65516399999998498</v>
      </c>
      <c r="T399">
        <f t="shared" si="242"/>
        <v>1</v>
      </c>
      <c r="U399" s="3">
        <f t="shared" si="243"/>
        <v>0</v>
      </c>
      <c r="V399" s="3">
        <f t="shared" si="244"/>
        <v>0</v>
      </c>
      <c r="W399">
        <f t="shared" si="245"/>
        <v>0</v>
      </c>
      <c r="X399" s="3">
        <f t="shared" si="246"/>
        <v>0</v>
      </c>
      <c r="Y399" s="3">
        <f t="shared" si="247"/>
        <v>0</v>
      </c>
      <c r="Z399">
        <f t="shared" si="248"/>
        <v>0</v>
      </c>
      <c r="AA399" s="3">
        <f t="shared" si="249"/>
        <v>0</v>
      </c>
      <c r="AB399" s="3">
        <f t="shared" si="250"/>
        <v>0</v>
      </c>
      <c r="AC399">
        <f t="shared" si="251"/>
        <v>0</v>
      </c>
      <c r="AD399" s="3">
        <f t="shared" si="252"/>
        <v>0</v>
      </c>
      <c r="AE399" s="3">
        <f t="shared" si="253"/>
        <v>0</v>
      </c>
      <c r="AF399">
        <f t="shared" si="254"/>
        <v>0</v>
      </c>
      <c r="AG399" s="3">
        <f t="shared" si="255"/>
        <v>0</v>
      </c>
      <c r="AH399" s="3">
        <f t="shared" si="256"/>
        <v>0</v>
      </c>
      <c r="AI399">
        <f t="shared" si="257"/>
        <v>0</v>
      </c>
      <c r="AJ399" s="3">
        <f t="shared" si="258"/>
        <v>0</v>
      </c>
      <c r="AK399" s="3">
        <f t="shared" si="259"/>
        <v>0</v>
      </c>
      <c r="AL399">
        <f t="shared" si="260"/>
        <v>0</v>
      </c>
      <c r="AM399" s="3">
        <f t="shared" si="261"/>
        <v>0</v>
      </c>
      <c r="AN399" s="3">
        <f t="shared" si="262"/>
        <v>0</v>
      </c>
      <c r="AO399">
        <f t="shared" si="263"/>
        <v>0</v>
      </c>
      <c r="AP399" s="3">
        <f t="shared" si="264"/>
        <v>0</v>
      </c>
      <c r="AQ399" s="3">
        <f t="shared" si="265"/>
        <v>0</v>
      </c>
      <c r="AR399">
        <f t="shared" si="266"/>
        <v>0</v>
      </c>
    </row>
    <row r="400" spans="4:44" x14ac:dyDescent="0.25">
      <c r="D400" s="1">
        <v>42165</v>
      </c>
      <c r="E400" s="2">
        <v>124.971896</v>
      </c>
      <c r="F400" s="2">
        <v>203.24307200000001</v>
      </c>
      <c r="G400" s="2">
        <f t="shared" si="229"/>
        <v>1.4157340000000005</v>
      </c>
      <c r="H400" s="2">
        <f t="shared" si="230"/>
        <v>2.4086640000000159</v>
      </c>
      <c r="I400" s="4">
        <f t="shared" si="231"/>
        <v>1.3533547303645075</v>
      </c>
      <c r="J400" s="4">
        <f t="shared" si="232"/>
        <v>2.3074430610193328</v>
      </c>
      <c r="K400" s="4">
        <f t="shared" si="233"/>
        <v>5.8872356919735527</v>
      </c>
      <c r="L400" s="4">
        <f t="shared" si="234"/>
        <v>2.4263626464264472</v>
      </c>
      <c r="M400" s="4">
        <f t="shared" si="235"/>
        <v>0.82427909238777841</v>
      </c>
      <c r="N400" s="4">
        <f t="shared" si="236"/>
        <v>0.20383080664428591</v>
      </c>
      <c r="O400" s="3">
        <f t="shared" si="237"/>
        <v>1.4157340000000005</v>
      </c>
      <c r="P400" s="3">
        <f t="shared" si="238"/>
        <v>2.4086640000000159</v>
      </c>
      <c r="Q400">
        <f t="shared" si="239"/>
        <v>1</v>
      </c>
      <c r="R400" s="3">
        <f t="shared" si="240"/>
        <v>1.4157340000000005</v>
      </c>
      <c r="S400" s="3">
        <f t="shared" si="241"/>
        <v>2.4086640000000159</v>
      </c>
      <c r="T400">
        <f t="shared" si="242"/>
        <v>1</v>
      </c>
      <c r="U400" s="3">
        <f t="shared" si="243"/>
        <v>1.4157340000000005</v>
      </c>
      <c r="V400" s="3">
        <f t="shared" si="244"/>
        <v>2.4086640000000159</v>
      </c>
      <c r="W400">
        <f t="shared" si="245"/>
        <v>1</v>
      </c>
      <c r="X400" s="3">
        <f t="shared" si="246"/>
        <v>1.4157340000000005</v>
      </c>
      <c r="Y400" s="3">
        <f t="shared" si="247"/>
        <v>2.4086640000000159</v>
      </c>
      <c r="Z400">
        <f t="shared" si="248"/>
        <v>1</v>
      </c>
      <c r="AA400" s="3">
        <f t="shared" si="249"/>
        <v>1.4157340000000005</v>
      </c>
      <c r="AB400" s="3">
        <f t="shared" si="250"/>
        <v>2.4086640000000159</v>
      </c>
      <c r="AC400">
        <f t="shared" si="251"/>
        <v>1</v>
      </c>
      <c r="AD400" s="3">
        <f t="shared" si="252"/>
        <v>1.4157340000000005</v>
      </c>
      <c r="AE400" s="3">
        <f t="shared" si="253"/>
        <v>2.4086640000000159</v>
      </c>
      <c r="AF400">
        <f t="shared" si="254"/>
        <v>1</v>
      </c>
      <c r="AG400" s="3">
        <f t="shared" si="255"/>
        <v>0</v>
      </c>
      <c r="AH400" s="3">
        <f t="shared" si="256"/>
        <v>0</v>
      </c>
      <c r="AI400">
        <f t="shared" si="257"/>
        <v>0</v>
      </c>
      <c r="AJ400" s="3">
        <f t="shared" si="258"/>
        <v>0</v>
      </c>
      <c r="AK400" s="3">
        <f t="shared" si="259"/>
        <v>0</v>
      </c>
      <c r="AL400">
        <f t="shared" si="260"/>
        <v>0</v>
      </c>
      <c r="AM400" s="3">
        <f t="shared" si="261"/>
        <v>0</v>
      </c>
      <c r="AN400" s="3">
        <f t="shared" si="262"/>
        <v>0</v>
      </c>
      <c r="AO400">
        <f t="shared" si="263"/>
        <v>0</v>
      </c>
      <c r="AP400" s="3">
        <f t="shared" si="264"/>
        <v>0</v>
      </c>
      <c r="AQ400" s="3">
        <f t="shared" si="265"/>
        <v>0</v>
      </c>
      <c r="AR400">
        <f t="shared" si="266"/>
        <v>0</v>
      </c>
    </row>
    <row r="401" spans="4:44" x14ac:dyDescent="0.25">
      <c r="D401" s="1">
        <v>42164</v>
      </c>
      <c r="E401" s="2">
        <v>123.556162</v>
      </c>
      <c r="F401" s="2">
        <v>200.834408</v>
      </c>
      <c r="G401" s="2">
        <f t="shared" si="229"/>
        <v>-0.3684820000000002</v>
      </c>
      <c r="H401" s="2">
        <f t="shared" si="230"/>
        <v>-2.890300000001389E-2</v>
      </c>
      <c r="I401" s="4">
        <f t="shared" si="231"/>
        <v>-0.4308612696354932</v>
      </c>
      <c r="J401" s="4">
        <f t="shared" si="232"/>
        <v>-0.1301239389806971</v>
      </c>
      <c r="K401" s="4">
        <f t="shared" si="233"/>
        <v>0.28154619172667178</v>
      </c>
      <c r="L401" s="4">
        <f t="shared" si="234"/>
        <v>0.53060926464458924</v>
      </c>
      <c r="M401" s="4">
        <f t="shared" si="235"/>
        <v>1</v>
      </c>
      <c r="N401" s="4">
        <f t="shared" si="236"/>
        <v>1</v>
      </c>
      <c r="O401" s="3">
        <f t="shared" si="237"/>
        <v>-0.3684820000000002</v>
      </c>
      <c r="P401" s="3">
        <f t="shared" si="238"/>
        <v>-2.890300000001389E-2</v>
      </c>
      <c r="Q401">
        <f t="shared" si="239"/>
        <v>1</v>
      </c>
      <c r="R401" s="3">
        <f t="shared" si="240"/>
        <v>0</v>
      </c>
      <c r="S401" s="3">
        <f t="shared" si="241"/>
        <v>0</v>
      </c>
      <c r="T401">
        <f t="shared" si="242"/>
        <v>0</v>
      </c>
      <c r="U401" s="3">
        <f t="shared" si="243"/>
        <v>0</v>
      </c>
      <c r="V401" s="3">
        <f t="shared" si="244"/>
        <v>0</v>
      </c>
      <c r="W401">
        <f t="shared" si="245"/>
        <v>0</v>
      </c>
      <c r="X401" s="3">
        <f t="shared" si="246"/>
        <v>0</v>
      </c>
      <c r="Y401" s="3">
        <f t="shared" si="247"/>
        <v>0</v>
      </c>
      <c r="Z401">
        <f t="shared" si="248"/>
        <v>0</v>
      </c>
      <c r="AA401" s="3">
        <f t="shared" si="249"/>
        <v>0</v>
      </c>
      <c r="AB401" s="3">
        <f t="shared" si="250"/>
        <v>0</v>
      </c>
      <c r="AC401">
        <f t="shared" si="251"/>
        <v>0</v>
      </c>
      <c r="AD401" s="3">
        <f t="shared" si="252"/>
        <v>0</v>
      </c>
      <c r="AE401" s="3">
        <f t="shared" si="253"/>
        <v>0</v>
      </c>
      <c r="AF401">
        <f t="shared" si="254"/>
        <v>0</v>
      </c>
      <c r="AG401" s="3">
        <f t="shared" si="255"/>
        <v>0</v>
      </c>
      <c r="AH401" s="3">
        <f t="shared" si="256"/>
        <v>0</v>
      </c>
      <c r="AI401">
        <f t="shared" si="257"/>
        <v>0</v>
      </c>
      <c r="AJ401" s="3">
        <f t="shared" si="258"/>
        <v>0</v>
      </c>
      <c r="AK401" s="3">
        <f t="shared" si="259"/>
        <v>0</v>
      </c>
      <c r="AL401">
        <f t="shared" si="260"/>
        <v>0</v>
      </c>
      <c r="AM401" s="3">
        <f t="shared" si="261"/>
        <v>0</v>
      </c>
      <c r="AN401" s="3">
        <f t="shared" si="262"/>
        <v>0</v>
      </c>
      <c r="AO401">
        <f t="shared" si="263"/>
        <v>0</v>
      </c>
      <c r="AP401" s="3">
        <f t="shared" si="264"/>
        <v>0</v>
      </c>
      <c r="AQ401" s="3">
        <f t="shared" si="265"/>
        <v>0</v>
      </c>
      <c r="AR401">
        <f t="shared" si="266"/>
        <v>0</v>
      </c>
    </row>
    <row r="402" spans="4:44" x14ac:dyDescent="0.25">
      <c r="D402" s="1">
        <v>42163</v>
      </c>
      <c r="E402" s="2">
        <v>123.924644</v>
      </c>
      <c r="F402" s="2">
        <v>200.86331100000001</v>
      </c>
      <c r="G402" s="2">
        <f t="shared" si="229"/>
        <v>-0.82421599999999273</v>
      </c>
      <c r="H402" s="2">
        <f t="shared" si="230"/>
        <v>-1.2428789999999879</v>
      </c>
      <c r="I402" s="4">
        <f t="shared" si="231"/>
        <v>-0.88659526963548574</v>
      </c>
      <c r="J402" s="4">
        <f t="shared" si="232"/>
        <v>-1.3440999389806711</v>
      </c>
      <c r="K402" s="4">
        <f t="shared" si="233"/>
        <v>2.0049761926869967</v>
      </c>
      <c r="L402" s="4">
        <f t="shared" si="234"/>
        <v>1.4159718191711996</v>
      </c>
      <c r="M402" s="4">
        <f t="shared" si="235"/>
        <v>1</v>
      </c>
      <c r="N402" s="4">
        <f t="shared" si="236"/>
        <v>0.59851084734916637</v>
      </c>
      <c r="O402" s="3">
        <f t="shared" si="237"/>
        <v>-0.82421599999999273</v>
      </c>
      <c r="P402" s="3">
        <f t="shared" si="238"/>
        <v>-1.2428789999999879</v>
      </c>
      <c r="Q402">
        <f t="shared" si="239"/>
        <v>1</v>
      </c>
      <c r="R402" s="3">
        <f t="shared" si="240"/>
        <v>-0.82421599999999273</v>
      </c>
      <c r="S402" s="3">
        <f t="shared" si="241"/>
        <v>-1.2428789999999879</v>
      </c>
      <c r="T402">
        <f t="shared" si="242"/>
        <v>1</v>
      </c>
      <c r="U402" s="3">
        <f t="shared" si="243"/>
        <v>-0.82421599999999273</v>
      </c>
      <c r="V402" s="3">
        <f t="shared" si="244"/>
        <v>-1.2428789999999879</v>
      </c>
      <c r="W402">
        <f t="shared" si="245"/>
        <v>1</v>
      </c>
      <c r="X402" s="3">
        <f t="shared" si="246"/>
        <v>0</v>
      </c>
      <c r="Y402" s="3">
        <f t="shared" si="247"/>
        <v>0</v>
      </c>
      <c r="Z402">
        <f t="shared" si="248"/>
        <v>0</v>
      </c>
      <c r="AA402" s="3">
        <f t="shared" si="249"/>
        <v>0</v>
      </c>
      <c r="AB402" s="3">
        <f t="shared" si="250"/>
        <v>0</v>
      </c>
      <c r="AC402">
        <f t="shared" si="251"/>
        <v>0</v>
      </c>
      <c r="AD402" s="3">
        <f t="shared" si="252"/>
        <v>0</v>
      </c>
      <c r="AE402" s="3">
        <f t="shared" si="253"/>
        <v>0</v>
      </c>
      <c r="AF402">
        <f t="shared" si="254"/>
        <v>0</v>
      </c>
      <c r="AG402" s="3">
        <f t="shared" si="255"/>
        <v>0</v>
      </c>
      <c r="AH402" s="3">
        <f t="shared" si="256"/>
        <v>0</v>
      </c>
      <c r="AI402">
        <f t="shared" si="257"/>
        <v>0</v>
      </c>
      <c r="AJ402" s="3">
        <f t="shared" si="258"/>
        <v>0</v>
      </c>
      <c r="AK402" s="3">
        <f t="shared" si="259"/>
        <v>0</v>
      </c>
      <c r="AL402">
        <f t="shared" si="260"/>
        <v>0</v>
      </c>
      <c r="AM402" s="3">
        <f t="shared" si="261"/>
        <v>0</v>
      </c>
      <c r="AN402" s="3">
        <f t="shared" si="262"/>
        <v>0</v>
      </c>
      <c r="AO402">
        <f t="shared" si="263"/>
        <v>0</v>
      </c>
      <c r="AP402" s="3">
        <f t="shared" si="264"/>
        <v>0</v>
      </c>
      <c r="AQ402" s="3">
        <f t="shared" si="265"/>
        <v>0</v>
      </c>
      <c r="AR402">
        <f t="shared" si="266"/>
        <v>0</v>
      </c>
    </row>
    <row r="403" spans="4:44" x14ac:dyDescent="0.25">
      <c r="D403" s="1">
        <v>42160</v>
      </c>
      <c r="E403" s="2">
        <v>124.74885999999999</v>
      </c>
      <c r="F403" s="2">
        <v>202.10619</v>
      </c>
      <c r="G403" s="2">
        <f t="shared" si="229"/>
        <v>-0.688477000000006</v>
      </c>
      <c r="H403" s="2">
        <f t="shared" si="230"/>
        <v>-0.34684799999999427</v>
      </c>
      <c r="I403" s="4">
        <f t="shared" si="231"/>
        <v>-0.75085626963549901</v>
      </c>
      <c r="J403" s="4">
        <f t="shared" si="232"/>
        <v>-0.44806893898067746</v>
      </c>
      <c r="K403" s="4">
        <f t="shared" si="233"/>
        <v>0.70693803812913947</v>
      </c>
      <c r="L403" s="4">
        <f t="shared" si="234"/>
        <v>0.84079607404479439</v>
      </c>
      <c r="M403" s="4">
        <f t="shared" si="235"/>
        <v>1</v>
      </c>
      <c r="N403" s="4">
        <f t="shared" si="236"/>
        <v>1</v>
      </c>
      <c r="O403" s="3">
        <f t="shared" si="237"/>
        <v>-0.688477000000006</v>
      </c>
      <c r="P403" s="3">
        <f t="shared" si="238"/>
        <v>-0.34684799999999427</v>
      </c>
      <c r="Q403">
        <f t="shared" si="239"/>
        <v>1</v>
      </c>
      <c r="R403" s="3">
        <f t="shared" si="240"/>
        <v>0</v>
      </c>
      <c r="S403" s="3">
        <f t="shared" si="241"/>
        <v>0</v>
      </c>
      <c r="T403">
        <f t="shared" si="242"/>
        <v>0</v>
      </c>
      <c r="U403" s="3">
        <f t="shared" si="243"/>
        <v>0</v>
      </c>
      <c r="V403" s="3">
        <f t="shared" si="244"/>
        <v>0</v>
      </c>
      <c r="W403">
        <f t="shared" si="245"/>
        <v>0</v>
      </c>
      <c r="X403" s="3">
        <f t="shared" si="246"/>
        <v>0</v>
      </c>
      <c r="Y403" s="3">
        <f t="shared" si="247"/>
        <v>0</v>
      </c>
      <c r="Z403">
        <f t="shared" si="248"/>
        <v>0</v>
      </c>
      <c r="AA403" s="3">
        <f t="shared" si="249"/>
        <v>0</v>
      </c>
      <c r="AB403" s="3">
        <f t="shared" si="250"/>
        <v>0</v>
      </c>
      <c r="AC403">
        <f t="shared" si="251"/>
        <v>0</v>
      </c>
      <c r="AD403" s="3">
        <f t="shared" si="252"/>
        <v>0</v>
      </c>
      <c r="AE403" s="3">
        <f t="shared" si="253"/>
        <v>0</v>
      </c>
      <c r="AF403">
        <f t="shared" si="254"/>
        <v>0</v>
      </c>
      <c r="AG403" s="3">
        <f t="shared" si="255"/>
        <v>0</v>
      </c>
      <c r="AH403" s="3">
        <f t="shared" si="256"/>
        <v>0</v>
      </c>
      <c r="AI403">
        <f t="shared" si="257"/>
        <v>0</v>
      </c>
      <c r="AJ403" s="3">
        <f t="shared" si="258"/>
        <v>0</v>
      </c>
      <c r="AK403" s="3">
        <f t="shared" si="259"/>
        <v>0</v>
      </c>
      <c r="AL403">
        <f t="shared" si="260"/>
        <v>0</v>
      </c>
      <c r="AM403" s="3">
        <f t="shared" si="261"/>
        <v>0</v>
      </c>
      <c r="AN403" s="3">
        <f t="shared" si="262"/>
        <v>0</v>
      </c>
      <c r="AO403">
        <f t="shared" si="263"/>
        <v>0</v>
      </c>
      <c r="AP403" s="3">
        <f t="shared" si="264"/>
        <v>0</v>
      </c>
      <c r="AQ403" s="3">
        <f t="shared" si="265"/>
        <v>0</v>
      </c>
      <c r="AR403">
        <f t="shared" si="266"/>
        <v>0</v>
      </c>
    </row>
    <row r="404" spans="4:44" x14ac:dyDescent="0.25">
      <c r="D404" s="1">
        <v>42159</v>
      </c>
      <c r="E404" s="2">
        <v>125.437337</v>
      </c>
      <c r="F404" s="2">
        <v>202.45303799999999</v>
      </c>
      <c r="G404" s="2">
        <f t="shared" si="229"/>
        <v>-0.73694799999999816</v>
      </c>
      <c r="H404" s="2">
        <f t="shared" si="230"/>
        <v>-1.724597000000017</v>
      </c>
      <c r="I404" s="4">
        <f t="shared" si="231"/>
        <v>-0.79932726963549117</v>
      </c>
      <c r="J404" s="4">
        <f t="shared" si="232"/>
        <v>-1.8258179389807003</v>
      </c>
      <c r="K404" s="4">
        <f t="shared" si="233"/>
        <v>3.8924432798813338</v>
      </c>
      <c r="L404" s="4">
        <f t="shared" si="234"/>
        <v>1.9729275911399622</v>
      </c>
      <c r="M404" s="4">
        <f t="shared" si="235"/>
        <v>1</v>
      </c>
      <c r="N404" s="4">
        <f t="shared" si="236"/>
        <v>0.30828965606316644</v>
      </c>
      <c r="O404" s="3">
        <f t="shared" si="237"/>
        <v>-0.73694799999999816</v>
      </c>
      <c r="P404" s="3">
        <f t="shared" si="238"/>
        <v>-1.724597000000017</v>
      </c>
      <c r="Q404">
        <f t="shared" si="239"/>
        <v>1</v>
      </c>
      <c r="R404" s="3">
        <f t="shared" si="240"/>
        <v>-0.73694799999999816</v>
      </c>
      <c r="S404" s="3">
        <f t="shared" si="241"/>
        <v>-1.724597000000017</v>
      </c>
      <c r="T404">
        <f t="shared" si="242"/>
        <v>1</v>
      </c>
      <c r="U404" s="3">
        <f t="shared" si="243"/>
        <v>-0.73694799999999816</v>
      </c>
      <c r="V404" s="3">
        <f t="shared" si="244"/>
        <v>-1.724597000000017</v>
      </c>
      <c r="W404">
        <f t="shared" si="245"/>
        <v>1</v>
      </c>
      <c r="X404" s="3">
        <f t="shared" si="246"/>
        <v>-0.73694799999999816</v>
      </c>
      <c r="Y404" s="3">
        <f t="shared" si="247"/>
        <v>-1.724597000000017</v>
      </c>
      <c r="Z404">
        <f t="shared" si="248"/>
        <v>1</v>
      </c>
      <c r="AA404" s="3">
        <f t="shared" si="249"/>
        <v>0</v>
      </c>
      <c r="AB404" s="3">
        <f t="shared" si="250"/>
        <v>0</v>
      </c>
      <c r="AC404">
        <f t="shared" si="251"/>
        <v>0</v>
      </c>
      <c r="AD404" s="3">
        <f t="shared" si="252"/>
        <v>0</v>
      </c>
      <c r="AE404" s="3">
        <f t="shared" si="253"/>
        <v>0</v>
      </c>
      <c r="AF404">
        <f t="shared" si="254"/>
        <v>0</v>
      </c>
      <c r="AG404" s="3">
        <f t="shared" si="255"/>
        <v>0</v>
      </c>
      <c r="AH404" s="3">
        <f t="shared" si="256"/>
        <v>0</v>
      </c>
      <c r="AI404">
        <f t="shared" si="257"/>
        <v>0</v>
      </c>
      <c r="AJ404" s="3">
        <f t="shared" si="258"/>
        <v>0</v>
      </c>
      <c r="AK404" s="3">
        <f t="shared" si="259"/>
        <v>0</v>
      </c>
      <c r="AL404">
        <f t="shared" si="260"/>
        <v>0</v>
      </c>
      <c r="AM404" s="3">
        <f t="shared" si="261"/>
        <v>0</v>
      </c>
      <c r="AN404" s="3">
        <f t="shared" si="262"/>
        <v>0</v>
      </c>
      <c r="AO404">
        <f t="shared" si="263"/>
        <v>0</v>
      </c>
      <c r="AP404" s="3">
        <f t="shared" si="264"/>
        <v>0</v>
      </c>
      <c r="AQ404" s="3">
        <f t="shared" si="265"/>
        <v>0</v>
      </c>
      <c r="AR404">
        <f t="shared" si="266"/>
        <v>0</v>
      </c>
    </row>
    <row r="405" spans="4:44" x14ac:dyDescent="0.25">
      <c r="D405" s="1">
        <v>42158</v>
      </c>
      <c r="E405" s="2">
        <v>126.174285</v>
      </c>
      <c r="F405" s="2">
        <v>204.17763500000001</v>
      </c>
      <c r="G405" s="2">
        <f t="shared" si="229"/>
        <v>0.15513699999999631</v>
      </c>
      <c r="H405" s="2">
        <f t="shared" si="230"/>
        <v>0.53953900000001909</v>
      </c>
      <c r="I405" s="4">
        <f t="shared" si="231"/>
        <v>9.2757730364503299E-2</v>
      </c>
      <c r="J405" s="4">
        <f t="shared" si="232"/>
        <v>0.4383180610193359</v>
      </c>
      <c r="K405" s="4">
        <f t="shared" si="233"/>
        <v>0.27707312167761922</v>
      </c>
      <c r="L405" s="4">
        <f t="shared" si="234"/>
        <v>0.52637735672957975</v>
      </c>
      <c r="M405" s="4">
        <f t="shared" si="235"/>
        <v>1</v>
      </c>
      <c r="N405" s="4">
        <f t="shared" si="236"/>
        <v>1</v>
      </c>
      <c r="O405" s="3">
        <f t="shared" si="237"/>
        <v>0.15513699999999631</v>
      </c>
      <c r="P405" s="3">
        <f t="shared" si="238"/>
        <v>0.53953900000001909</v>
      </c>
      <c r="Q405">
        <f t="shared" si="239"/>
        <v>1</v>
      </c>
      <c r="R405" s="3">
        <f t="shared" si="240"/>
        <v>0</v>
      </c>
      <c r="S405" s="3">
        <f t="shared" si="241"/>
        <v>0</v>
      </c>
      <c r="T405">
        <f t="shared" si="242"/>
        <v>0</v>
      </c>
      <c r="U405" s="3">
        <f t="shared" si="243"/>
        <v>0</v>
      </c>
      <c r="V405" s="3">
        <f t="shared" si="244"/>
        <v>0</v>
      </c>
      <c r="W405">
        <f t="shared" si="245"/>
        <v>0</v>
      </c>
      <c r="X405" s="3">
        <f t="shared" si="246"/>
        <v>0</v>
      </c>
      <c r="Y405" s="3">
        <f t="shared" si="247"/>
        <v>0</v>
      </c>
      <c r="Z405">
        <f t="shared" si="248"/>
        <v>0</v>
      </c>
      <c r="AA405" s="3">
        <f t="shared" si="249"/>
        <v>0</v>
      </c>
      <c r="AB405" s="3">
        <f t="shared" si="250"/>
        <v>0</v>
      </c>
      <c r="AC405">
        <f t="shared" si="251"/>
        <v>0</v>
      </c>
      <c r="AD405" s="3">
        <f t="shared" si="252"/>
        <v>0</v>
      </c>
      <c r="AE405" s="3">
        <f t="shared" si="253"/>
        <v>0</v>
      </c>
      <c r="AF405">
        <f t="shared" si="254"/>
        <v>0</v>
      </c>
      <c r="AG405" s="3">
        <f t="shared" si="255"/>
        <v>0</v>
      </c>
      <c r="AH405" s="3">
        <f t="shared" si="256"/>
        <v>0</v>
      </c>
      <c r="AI405">
        <f t="shared" si="257"/>
        <v>0</v>
      </c>
      <c r="AJ405" s="3">
        <f t="shared" si="258"/>
        <v>0</v>
      </c>
      <c r="AK405" s="3">
        <f t="shared" si="259"/>
        <v>0</v>
      </c>
      <c r="AL405">
        <f t="shared" si="260"/>
        <v>0</v>
      </c>
      <c r="AM405" s="3">
        <f t="shared" si="261"/>
        <v>0</v>
      </c>
      <c r="AN405" s="3">
        <f t="shared" si="262"/>
        <v>0</v>
      </c>
      <c r="AO405">
        <f t="shared" si="263"/>
        <v>0</v>
      </c>
      <c r="AP405" s="3">
        <f t="shared" si="264"/>
        <v>0</v>
      </c>
      <c r="AQ405" s="3">
        <f t="shared" si="265"/>
        <v>0</v>
      </c>
      <c r="AR405">
        <f t="shared" si="266"/>
        <v>0</v>
      </c>
    </row>
    <row r="406" spans="4:44" x14ac:dyDescent="0.25">
      <c r="D406" s="1">
        <v>42157</v>
      </c>
      <c r="E406" s="2">
        <v>126.019148</v>
      </c>
      <c r="F406" s="2">
        <v>203.63809599999999</v>
      </c>
      <c r="G406" s="2">
        <f t="shared" si="229"/>
        <v>-0.56239999999999668</v>
      </c>
      <c r="H406" s="2">
        <f t="shared" si="230"/>
        <v>-0.20233500000000504</v>
      </c>
      <c r="I406" s="4">
        <f t="shared" si="231"/>
        <v>-0.62477926963548969</v>
      </c>
      <c r="J406" s="4">
        <f t="shared" si="232"/>
        <v>-0.30355593898068822</v>
      </c>
      <c r="K406" s="4">
        <f t="shared" si="233"/>
        <v>0.51295368091895643</v>
      </c>
      <c r="L406" s="4">
        <f t="shared" si="234"/>
        <v>0.71620784756867639</v>
      </c>
      <c r="M406" s="4">
        <f t="shared" si="235"/>
        <v>1</v>
      </c>
      <c r="N406" s="4">
        <f t="shared" si="236"/>
        <v>1</v>
      </c>
      <c r="O406" s="3">
        <f t="shared" si="237"/>
        <v>-0.56239999999999668</v>
      </c>
      <c r="P406" s="3">
        <f t="shared" si="238"/>
        <v>-0.20233500000000504</v>
      </c>
      <c r="Q406">
        <f t="shared" si="239"/>
        <v>1</v>
      </c>
      <c r="R406" s="3">
        <f t="shared" si="240"/>
        <v>0</v>
      </c>
      <c r="S406" s="3">
        <f t="shared" si="241"/>
        <v>0</v>
      </c>
      <c r="T406">
        <f t="shared" si="242"/>
        <v>0</v>
      </c>
      <c r="U406" s="3">
        <f t="shared" si="243"/>
        <v>0</v>
      </c>
      <c r="V406" s="3">
        <f t="shared" si="244"/>
        <v>0</v>
      </c>
      <c r="W406">
        <f t="shared" si="245"/>
        <v>0</v>
      </c>
      <c r="X406" s="3">
        <f t="shared" si="246"/>
        <v>0</v>
      </c>
      <c r="Y406" s="3">
        <f t="shared" si="247"/>
        <v>0</v>
      </c>
      <c r="Z406">
        <f t="shared" si="248"/>
        <v>0</v>
      </c>
      <c r="AA406" s="3">
        <f t="shared" si="249"/>
        <v>0</v>
      </c>
      <c r="AB406" s="3">
        <f t="shared" si="250"/>
        <v>0</v>
      </c>
      <c r="AC406">
        <f t="shared" si="251"/>
        <v>0</v>
      </c>
      <c r="AD406" s="3">
        <f t="shared" si="252"/>
        <v>0</v>
      </c>
      <c r="AE406" s="3">
        <f t="shared" si="253"/>
        <v>0</v>
      </c>
      <c r="AF406">
        <f t="shared" si="254"/>
        <v>0</v>
      </c>
      <c r="AG406" s="3">
        <f t="shared" si="255"/>
        <v>0</v>
      </c>
      <c r="AH406" s="3">
        <f t="shared" si="256"/>
        <v>0</v>
      </c>
      <c r="AI406">
        <f t="shared" si="257"/>
        <v>0</v>
      </c>
      <c r="AJ406" s="3">
        <f t="shared" si="258"/>
        <v>0</v>
      </c>
      <c r="AK406" s="3">
        <f t="shared" si="259"/>
        <v>0</v>
      </c>
      <c r="AL406">
        <f t="shared" si="260"/>
        <v>0</v>
      </c>
      <c r="AM406" s="3">
        <f t="shared" si="261"/>
        <v>0</v>
      </c>
      <c r="AN406" s="3">
        <f t="shared" si="262"/>
        <v>0</v>
      </c>
      <c r="AO406">
        <f t="shared" si="263"/>
        <v>0</v>
      </c>
      <c r="AP406" s="3">
        <f t="shared" si="264"/>
        <v>0</v>
      </c>
      <c r="AQ406" s="3">
        <f t="shared" si="265"/>
        <v>0</v>
      </c>
      <c r="AR406">
        <f t="shared" si="266"/>
        <v>0</v>
      </c>
    </row>
    <row r="407" spans="4:44" x14ac:dyDescent="0.25">
      <c r="D407" s="1">
        <v>42156</v>
      </c>
      <c r="E407" s="2">
        <v>126.581548</v>
      </c>
      <c r="F407" s="2">
        <v>203.840431</v>
      </c>
      <c r="G407" s="2">
        <f t="shared" si="229"/>
        <v>0.25211099999999931</v>
      </c>
      <c r="H407" s="2">
        <f t="shared" si="230"/>
        <v>0.41429800000000228</v>
      </c>
      <c r="I407" s="4">
        <f t="shared" si="231"/>
        <v>0.1897317303645063</v>
      </c>
      <c r="J407" s="4">
        <f t="shared" si="232"/>
        <v>0.31307706101931909</v>
      </c>
      <c r="K407" s="4">
        <f t="shared" si="233"/>
        <v>0.10826919723742909</v>
      </c>
      <c r="L407" s="4">
        <f t="shared" si="234"/>
        <v>0.32904285015394136</v>
      </c>
      <c r="M407" s="4">
        <f t="shared" si="235"/>
        <v>1</v>
      </c>
      <c r="N407" s="4">
        <f t="shared" si="236"/>
        <v>1</v>
      </c>
      <c r="O407" s="3">
        <f t="shared" si="237"/>
        <v>0.25211099999999931</v>
      </c>
      <c r="P407" s="3">
        <f t="shared" si="238"/>
        <v>0.41429800000000228</v>
      </c>
      <c r="Q407">
        <f t="shared" si="239"/>
        <v>1</v>
      </c>
      <c r="R407" s="3">
        <f t="shared" si="240"/>
        <v>0</v>
      </c>
      <c r="S407" s="3">
        <f t="shared" si="241"/>
        <v>0</v>
      </c>
      <c r="T407">
        <f t="shared" si="242"/>
        <v>0</v>
      </c>
      <c r="U407" s="3">
        <f t="shared" si="243"/>
        <v>0</v>
      </c>
      <c r="V407" s="3">
        <f t="shared" si="244"/>
        <v>0</v>
      </c>
      <c r="W407">
        <f t="shared" si="245"/>
        <v>0</v>
      </c>
      <c r="X407" s="3">
        <f t="shared" si="246"/>
        <v>0</v>
      </c>
      <c r="Y407" s="3">
        <f t="shared" si="247"/>
        <v>0</v>
      </c>
      <c r="Z407">
        <f t="shared" si="248"/>
        <v>0</v>
      </c>
      <c r="AA407" s="3">
        <f t="shared" si="249"/>
        <v>0</v>
      </c>
      <c r="AB407" s="3">
        <f t="shared" si="250"/>
        <v>0</v>
      </c>
      <c r="AC407">
        <f t="shared" si="251"/>
        <v>0</v>
      </c>
      <c r="AD407" s="3">
        <f t="shared" si="252"/>
        <v>0</v>
      </c>
      <c r="AE407" s="3">
        <f t="shared" si="253"/>
        <v>0</v>
      </c>
      <c r="AF407">
        <f t="shared" si="254"/>
        <v>0</v>
      </c>
      <c r="AG407" s="3">
        <f t="shared" si="255"/>
        <v>0</v>
      </c>
      <c r="AH407" s="3">
        <f t="shared" si="256"/>
        <v>0</v>
      </c>
      <c r="AI407">
        <f t="shared" si="257"/>
        <v>0</v>
      </c>
      <c r="AJ407" s="3">
        <f t="shared" si="258"/>
        <v>0</v>
      </c>
      <c r="AK407" s="3">
        <f t="shared" si="259"/>
        <v>0</v>
      </c>
      <c r="AL407">
        <f t="shared" si="260"/>
        <v>0</v>
      </c>
      <c r="AM407" s="3">
        <f t="shared" si="261"/>
        <v>0</v>
      </c>
      <c r="AN407" s="3">
        <f t="shared" si="262"/>
        <v>0</v>
      </c>
      <c r="AO407">
        <f t="shared" si="263"/>
        <v>0</v>
      </c>
      <c r="AP407" s="3">
        <f t="shared" si="264"/>
        <v>0</v>
      </c>
      <c r="AQ407" s="3">
        <f t="shared" si="265"/>
        <v>0</v>
      </c>
      <c r="AR407">
        <f t="shared" si="266"/>
        <v>0</v>
      </c>
    </row>
    <row r="408" spans="4:44" x14ac:dyDescent="0.25">
      <c r="D408" s="1">
        <v>42153</v>
      </c>
      <c r="E408" s="2">
        <v>126.329437</v>
      </c>
      <c r="F408" s="2">
        <v>203.42613299999999</v>
      </c>
      <c r="G408" s="2">
        <f t="shared" si="229"/>
        <v>-1.4545150000000007</v>
      </c>
      <c r="H408" s="2">
        <f t="shared" si="230"/>
        <v>-1.2717810000000043</v>
      </c>
      <c r="I408" s="4">
        <f t="shared" si="231"/>
        <v>-1.5168942696354937</v>
      </c>
      <c r="J408" s="4">
        <f t="shared" si="232"/>
        <v>-1.3730019389806876</v>
      </c>
      <c r="K408" s="4">
        <f t="shared" si="233"/>
        <v>3.0642653643898385</v>
      </c>
      <c r="L408" s="4">
        <f t="shared" si="234"/>
        <v>1.7505043171582979</v>
      </c>
      <c r="M408" s="4">
        <f t="shared" si="235"/>
        <v>1</v>
      </c>
      <c r="N408" s="4">
        <f t="shared" si="236"/>
        <v>0.39161099229372581</v>
      </c>
      <c r="O408" s="3">
        <f t="shared" si="237"/>
        <v>-1.4545150000000007</v>
      </c>
      <c r="P408" s="3">
        <f t="shared" si="238"/>
        <v>-1.2717810000000043</v>
      </c>
      <c r="Q408">
        <f t="shared" si="239"/>
        <v>1</v>
      </c>
      <c r="R408" s="3">
        <f t="shared" si="240"/>
        <v>-1.4545150000000007</v>
      </c>
      <c r="S408" s="3">
        <f t="shared" si="241"/>
        <v>-1.2717810000000043</v>
      </c>
      <c r="T408">
        <f t="shared" si="242"/>
        <v>1</v>
      </c>
      <c r="U408" s="3">
        <f t="shared" si="243"/>
        <v>-1.4545150000000007</v>
      </c>
      <c r="V408" s="3">
        <f t="shared" si="244"/>
        <v>-1.2717810000000043</v>
      </c>
      <c r="W408">
        <f t="shared" si="245"/>
        <v>1</v>
      </c>
      <c r="X408" s="3">
        <f t="shared" si="246"/>
        <v>-1.4545150000000007</v>
      </c>
      <c r="Y408" s="3">
        <f t="shared" si="247"/>
        <v>-1.2717810000000043</v>
      </c>
      <c r="Z408">
        <f t="shared" si="248"/>
        <v>1</v>
      </c>
      <c r="AA408" s="3">
        <f t="shared" si="249"/>
        <v>0</v>
      </c>
      <c r="AB408" s="3">
        <f t="shared" si="250"/>
        <v>0</v>
      </c>
      <c r="AC408">
        <f t="shared" si="251"/>
        <v>0</v>
      </c>
      <c r="AD408" s="3">
        <f t="shared" si="252"/>
        <v>0</v>
      </c>
      <c r="AE408" s="3">
        <f t="shared" si="253"/>
        <v>0</v>
      </c>
      <c r="AF408">
        <f t="shared" si="254"/>
        <v>0</v>
      </c>
      <c r="AG408" s="3">
        <f t="shared" si="255"/>
        <v>0</v>
      </c>
      <c r="AH408" s="3">
        <f t="shared" si="256"/>
        <v>0</v>
      </c>
      <c r="AI408">
        <f t="shared" si="257"/>
        <v>0</v>
      </c>
      <c r="AJ408" s="3">
        <f t="shared" si="258"/>
        <v>0</v>
      </c>
      <c r="AK408" s="3">
        <f t="shared" si="259"/>
        <v>0</v>
      </c>
      <c r="AL408">
        <f t="shared" si="260"/>
        <v>0</v>
      </c>
      <c r="AM408" s="3">
        <f t="shared" si="261"/>
        <v>0</v>
      </c>
      <c r="AN408" s="3">
        <f t="shared" si="262"/>
        <v>0</v>
      </c>
      <c r="AO408">
        <f t="shared" si="263"/>
        <v>0</v>
      </c>
      <c r="AP408" s="3">
        <f t="shared" si="264"/>
        <v>0</v>
      </c>
      <c r="AQ408" s="3">
        <f t="shared" si="265"/>
        <v>0</v>
      </c>
      <c r="AR408">
        <f t="shared" si="266"/>
        <v>0</v>
      </c>
    </row>
    <row r="409" spans="4:44" x14ac:dyDescent="0.25">
      <c r="D409" s="1">
        <v>42152</v>
      </c>
      <c r="E409" s="2">
        <v>127.783952</v>
      </c>
      <c r="F409" s="2">
        <v>204.697914</v>
      </c>
      <c r="G409" s="2">
        <f t="shared" si="229"/>
        <v>-0.25210999999998762</v>
      </c>
      <c r="H409" s="2">
        <f t="shared" si="230"/>
        <v>-0.23122299999999996</v>
      </c>
      <c r="I409" s="4">
        <f t="shared" si="231"/>
        <v>-0.31448926963548063</v>
      </c>
      <c r="J409" s="4">
        <f t="shared" si="232"/>
        <v>-0.33244393898068314</v>
      </c>
      <c r="K409" s="4">
        <f t="shared" si="233"/>
        <v>0.14862283561594306</v>
      </c>
      <c r="L409" s="4">
        <f t="shared" si="234"/>
        <v>0.38551632341049197</v>
      </c>
      <c r="M409" s="4">
        <f t="shared" si="235"/>
        <v>1</v>
      </c>
      <c r="N409" s="4">
        <f t="shared" si="236"/>
        <v>1</v>
      </c>
      <c r="O409" s="3">
        <f t="shared" si="237"/>
        <v>-0.25210999999998762</v>
      </c>
      <c r="P409" s="3">
        <f t="shared" si="238"/>
        <v>-0.23122299999999996</v>
      </c>
      <c r="Q409">
        <f t="shared" si="239"/>
        <v>1</v>
      </c>
      <c r="R409" s="3">
        <f t="shared" si="240"/>
        <v>0</v>
      </c>
      <c r="S409" s="3">
        <f t="shared" si="241"/>
        <v>0</v>
      </c>
      <c r="T409">
        <f t="shared" si="242"/>
        <v>0</v>
      </c>
      <c r="U409" s="3">
        <f t="shared" si="243"/>
        <v>0</v>
      </c>
      <c r="V409" s="3">
        <f t="shared" si="244"/>
        <v>0</v>
      </c>
      <c r="W409">
        <f t="shared" si="245"/>
        <v>0</v>
      </c>
      <c r="X409" s="3">
        <f t="shared" si="246"/>
        <v>0</v>
      </c>
      <c r="Y409" s="3">
        <f t="shared" si="247"/>
        <v>0</v>
      </c>
      <c r="Z409">
        <f t="shared" si="248"/>
        <v>0</v>
      </c>
      <c r="AA409" s="3">
        <f t="shared" si="249"/>
        <v>0</v>
      </c>
      <c r="AB409" s="3">
        <f t="shared" si="250"/>
        <v>0</v>
      </c>
      <c r="AC409">
        <f t="shared" si="251"/>
        <v>0</v>
      </c>
      <c r="AD409" s="3">
        <f t="shared" si="252"/>
        <v>0</v>
      </c>
      <c r="AE409" s="3">
        <f t="shared" si="253"/>
        <v>0</v>
      </c>
      <c r="AF409">
        <f t="shared" si="254"/>
        <v>0</v>
      </c>
      <c r="AG409" s="3">
        <f t="shared" si="255"/>
        <v>0</v>
      </c>
      <c r="AH409" s="3">
        <f t="shared" si="256"/>
        <v>0</v>
      </c>
      <c r="AI409">
        <f t="shared" si="257"/>
        <v>0</v>
      </c>
      <c r="AJ409" s="3">
        <f t="shared" si="258"/>
        <v>0</v>
      </c>
      <c r="AK409" s="3">
        <f t="shared" si="259"/>
        <v>0</v>
      </c>
      <c r="AL409">
        <f t="shared" si="260"/>
        <v>0</v>
      </c>
      <c r="AM409" s="3">
        <f t="shared" si="261"/>
        <v>0</v>
      </c>
      <c r="AN409" s="3">
        <f t="shared" si="262"/>
        <v>0</v>
      </c>
      <c r="AO409">
        <f t="shared" si="263"/>
        <v>0</v>
      </c>
      <c r="AP409" s="3">
        <f t="shared" si="264"/>
        <v>0</v>
      </c>
      <c r="AQ409" s="3">
        <f t="shared" si="265"/>
        <v>0</v>
      </c>
      <c r="AR409">
        <f t="shared" si="266"/>
        <v>0</v>
      </c>
    </row>
    <row r="410" spans="4:44" x14ac:dyDescent="0.25">
      <c r="D410" s="1">
        <v>42151</v>
      </c>
      <c r="E410" s="2">
        <v>128.03606199999999</v>
      </c>
      <c r="F410" s="2">
        <v>204.929137</v>
      </c>
      <c r="G410" s="2">
        <f t="shared" si="229"/>
        <v>2.3466149999999857</v>
      </c>
      <c r="H410" s="2">
        <f t="shared" si="230"/>
        <v>1.9269309999999962</v>
      </c>
      <c r="I410" s="4">
        <f t="shared" si="231"/>
        <v>2.2842357303644927</v>
      </c>
      <c r="J410" s="4">
        <f t="shared" si="232"/>
        <v>1.8257100610193129</v>
      </c>
      <c r="K410" s="4">
        <f t="shared" si="233"/>
        <v>6.5970778226592044</v>
      </c>
      <c r="L410" s="4">
        <f t="shared" si="234"/>
        <v>2.5684777247738015</v>
      </c>
      <c r="M410" s="4">
        <f t="shared" si="235"/>
        <v>0.77867134322768339</v>
      </c>
      <c r="N410" s="4">
        <f t="shared" si="236"/>
        <v>0.18189871822920137</v>
      </c>
      <c r="O410" s="3">
        <f t="shared" si="237"/>
        <v>2.3466149999999857</v>
      </c>
      <c r="P410" s="3">
        <f t="shared" si="238"/>
        <v>1.9269309999999962</v>
      </c>
      <c r="Q410">
        <f t="shared" si="239"/>
        <v>1</v>
      </c>
      <c r="R410" s="3">
        <f t="shared" si="240"/>
        <v>2.3466149999999857</v>
      </c>
      <c r="S410" s="3">
        <f t="shared" si="241"/>
        <v>1.9269309999999962</v>
      </c>
      <c r="T410">
        <f t="shared" si="242"/>
        <v>1</v>
      </c>
      <c r="U410" s="3">
        <f t="shared" si="243"/>
        <v>2.3466149999999857</v>
      </c>
      <c r="V410" s="3">
        <f t="shared" si="244"/>
        <v>1.9269309999999962</v>
      </c>
      <c r="W410">
        <f t="shared" si="245"/>
        <v>1</v>
      </c>
      <c r="X410" s="3">
        <f t="shared" si="246"/>
        <v>2.3466149999999857</v>
      </c>
      <c r="Y410" s="3">
        <f t="shared" si="247"/>
        <v>1.9269309999999962</v>
      </c>
      <c r="Z410">
        <f t="shared" si="248"/>
        <v>1</v>
      </c>
      <c r="AA410" s="3">
        <f t="shared" si="249"/>
        <v>2.3466149999999857</v>
      </c>
      <c r="AB410" s="3">
        <f t="shared" si="250"/>
        <v>1.9269309999999962</v>
      </c>
      <c r="AC410">
        <f t="shared" si="251"/>
        <v>1</v>
      </c>
      <c r="AD410" s="3">
        <f t="shared" si="252"/>
        <v>2.3466149999999857</v>
      </c>
      <c r="AE410" s="3">
        <f t="shared" si="253"/>
        <v>1.9269309999999962</v>
      </c>
      <c r="AF410">
        <f t="shared" si="254"/>
        <v>1</v>
      </c>
      <c r="AG410" s="3">
        <f t="shared" si="255"/>
        <v>2.3466149999999857</v>
      </c>
      <c r="AH410" s="3">
        <f t="shared" si="256"/>
        <v>1.9269309999999962</v>
      </c>
      <c r="AI410">
        <f t="shared" si="257"/>
        <v>1</v>
      </c>
      <c r="AJ410" s="3">
        <f t="shared" si="258"/>
        <v>0</v>
      </c>
      <c r="AK410" s="3">
        <f t="shared" si="259"/>
        <v>0</v>
      </c>
      <c r="AL410">
        <f t="shared" si="260"/>
        <v>0</v>
      </c>
      <c r="AM410" s="3">
        <f t="shared" si="261"/>
        <v>0</v>
      </c>
      <c r="AN410" s="3">
        <f t="shared" si="262"/>
        <v>0</v>
      </c>
      <c r="AO410">
        <f t="shared" si="263"/>
        <v>0</v>
      </c>
      <c r="AP410" s="3">
        <f t="shared" si="264"/>
        <v>0</v>
      </c>
      <c r="AQ410" s="3">
        <f t="shared" si="265"/>
        <v>0</v>
      </c>
      <c r="AR410">
        <f t="shared" si="266"/>
        <v>0</v>
      </c>
    </row>
    <row r="411" spans="4:44" x14ac:dyDescent="0.25">
      <c r="D411" s="1">
        <v>42150</v>
      </c>
      <c r="E411" s="2">
        <v>125.689447</v>
      </c>
      <c r="F411" s="2">
        <v>203.002206</v>
      </c>
      <c r="G411" s="2">
        <f t="shared" si="229"/>
        <v>-2.8314530000000104</v>
      </c>
      <c r="H411" s="2">
        <f t="shared" si="230"/>
        <v>-2.2063440000000014</v>
      </c>
      <c r="I411" s="4">
        <f t="shared" si="231"/>
        <v>-2.8938322696355034</v>
      </c>
      <c r="J411" s="4">
        <f t="shared" si="232"/>
        <v>-2.3075649389806845</v>
      </c>
      <c r="K411" s="4">
        <f t="shared" si="233"/>
        <v>10.581342438131276</v>
      </c>
      <c r="L411" s="4">
        <f t="shared" si="234"/>
        <v>3.2528975449791337</v>
      </c>
      <c r="M411" s="4">
        <f t="shared" si="235"/>
        <v>0.614836456526893</v>
      </c>
      <c r="N411" s="4">
        <f t="shared" si="236"/>
        <v>0.11340716048236377</v>
      </c>
      <c r="O411" s="3">
        <f t="shared" si="237"/>
        <v>-2.8314530000000104</v>
      </c>
      <c r="P411" s="3">
        <f t="shared" si="238"/>
        <v>-2.2063440000000014</v>
      </c>
      <c r="Q411">
        <f t="shared" si="239"/>
        <v>1</v>
      </c>
      <c r="R411" s="3">
        <f t="shared" si="240"/>
        <v>-2.8314530000000104</v>
      </c>
      <c r="S411" s="3">
        <f t="shared" si="241"/>
        <v>-2.2063440000000014</v>
      </c>
      <c r="T411">
        <f t="shared" si="242"/>
        <v>1</v>
      </c>
      <c r="U411" s="3">
        <f t="shared" si="243"/>
        <v>-2.8314530000000104</v>
      </c>
      <c r="V411" s="3">
        <f t="shared" si="244"/>
        <v>-2.2063440000000014</v>
      </c>
      <c r="W411">
        <f t="shared" si="245"/>
        <v>1</v>
      </c>
      <c r="X411" s="3">
        <f t="shared" si="246"/>
        <v>-2.8314530000000104</v>
      </c>
      <c r="Y411" s="3">
        <f t="shared" si="247"/>
        <v>-2.2063440000000014</v>
      </c>
      <c r="Z411">
        <f t="shared" si="248"/>
        <v>1</v>
      </c>
      <c r="AA411" s="3">
        <f t="shared" si="249"/>
        <v>-2.8314530000000104</v>
      </c>
      <c r="AB411" s="3">
        <f t="shared" si="250"/>
        <v>-2.2063440000000014</v>
      </c>
      <c r="AC411">
        <f t="shared" si="251"/>
        <v>1</v>
      </c>
      <c r="AD411" s="3">
        <f t="shared" si="252"/>
        <v>-2.8314530000000104</v>
      </c>
      <c r="AE411" s="3">
        <f t="shared" si="253"/>
        <v>-2.2063440000000014</v>
      </c>
      <c r="AF411">
        <f t="shared" si="254"/>
        <v>1</v>
      </c>
      <c r="AG411" s="3">
        <f t="shared" si="255"/>
        <v>-2.8314530000000104</v>
      </c>
      <c r="AH411" s="3">
        <f t="shared" si="256"/>
        <v>-2.2063440000000014</v>
      </c>
      <c r="AI411">
        <f t="shared" si="257"/>
        <v>1</v>
      </c>
      <c r="AJ411" s="3">
        <f t="shared" si="258"/>
        <v>-2.8314530000000104</v>
      </c>
      <c r="AK411" s="3">
        <f t="shared" si="259"/>
        <v>-2.2063440000000014</v>
      </c>
      <c r="AL411">
        <f t="shared" si="260"/>
        <v>1</v>
      </c>
      <c r="AM411" s="3">
        <f t="shared" si="261"/>
        <v>-2.8314530000000104</v>
      </c>
      <c r="AN411" s="3">
        <f t="shared" si="262"/>
        <v>-2.2063440000000014</v>
      </c>
      <c r="AO411">
        <f t="shared" si="263"/>
        <v>1</v>
      </c>
      <c r="AP411" s="3">
        <f t="shared" si="264"/>
        <v>-2.8314530000000104</v>
      </c>
      <c r="AQ411" s="3">
        <f t="shared" si="265"/>
        <v>-2.2063440000000014</v>
      </c>
      <c r="AR411">
        <f t="shared" si="266"/>
        <v>1</v>
      </c>
    </row>
    <row r="412" spans="4:44" x14ac:dyDescent="0.25">
      <c r="D412" s="1">
        <v>42146</v>
      </c>
      <c r="E412" s="2">
        <v>128.52090000000001</v>
      </c>
      <c r="F412" s="2">
        <v>205.20855</v>
      </c>
      <c r="G412" s="2">
        <f t="shared" si="229"/>
        <v>1.1151220000000137</v>
      </c>
      <c r="H412" s="2">
        <f t="shared" si="230"/>
        <v>-0.4913620000000094</v>
      </c>
      <c r="I412" s="4">
        <f t="shared" si="231"/>
        <v>1.0527427303645207</v>
      </c>
      <c r="J412" s="4">
        <f t="shared" si="232"/>
        <v>-0.59258293898069259</v>
      </c>
      <c r="K412" s="4">
        <f t="shared" si="233"/>
        <v>4.6428582784036116</v>
      </c>
      <c r="L412" s="4">
        <f t="shared" si="234"/>
        <v>2.1547292819293129</v>
      </c>
      <c r="M412" s="4">
        <f t="shared" si="235"/>
        <v>0.92819084827641518</v>
      </c>
      <c r="N412" s="4">
        <f t="shared" si="236"/>
        <v>0.2584614752472274</v>
      </c>
      <c r="O412" s="3">
        <f t="shared" si="237"/>
        <v>1.1151220000000137</v>
      </c>
      <c r="P412" s="3">
        <f t="shared" si="238"/>
        <v>-0.4913620000000094</v>
      </c>
      <c r="Q412">
        <f t="shared" si="239"/>
        <v>1</v>
      </c>
      <c r="R412" s="3">
        <f t="shared" si="240"/>
        <v>1.1151220000000137</v>
      </c>
      <c r="S412" s="3">
        <f t="shared" si="241"/>
        <v>-0.4913620000000094</v>
      </c>
      <c r="T412">
        <f t="shared" si="242"/>
        <v>1</v>
      </c>
      <c r="U412" s="3">
        <f t="shared" si="243"/>
        <v>1.1151220000000137</v>
      </c>
      <c r="V412" s="3">
        <f t="shared" si="244"/>
        <v>-0.4913620000000094</v>
      </c>
      <c r="W412">
        <f t="shared" si="245"/>
        <v>1</v>
      </c>
      <c r="X412" s="3">
        <f t="shared" si="246"/>
        <v>1.1151220000000137</v>
      </c>
      <c r="Y412" s="3">
        <f t="shared" si="247"/>
        <v>-0.4913620000000094</v>
      </c>
      <c r="Z412">
        <f t="shared" si="248"/>
        <v>1</v>
      </c>
      <c r="AA412" s="3">
        <f t="shared" si="249"/>
        <v>1.1151220000000137</v>
      </c>
      <c r="AB412" s="3">
        <f t="shared" si="250"/>
        <v>-0.4913620000000094</v>
      </c>
      <c r="AC412">
        <f t="shared" si="251"/>
        <v>1</v>
      </c>
      <c r="AD412" s="3">
        <f t="shared" si="252"/>
        <v>0</v>
      </c>
      <c r="AE412" s="3">
        <f t="shared" si="253"/>
        <v>0</v>
      </c>
      <c r="AF412">
        <f t="shared" si="254"/>
        <v>0</v>
      </c>
      <c r="AG412" s="3">
        <f t="shared" si="255"/>
        <v>0</v>
      </c>
      <c r="AH412" s="3">
        <f t="shared" si="256"/>
        <v>0</v>
      </c>
      <c r="AI412">
        <f t="shared" si="257"/>
        <v>0</v>
      </c>
      <c r="AJ412" s="3">
        <f t="shared" si="258"/>
        <v>0</v>
      </c>
      <c r="AK412" s="3">
        <f t="shared" si="259"/>
        <v>0</v>
      </c>
      <c r="AL412">
        <f t="shared" si="260"/>
        <v>0</v>
      </c>
      <c r="AM412" s="3">
        <f t="shared" si="261"/>
        <v>0</v>
      </c>
      <c r="AN412" s="3">
        <f t="shared" si="262"/>
        <v>0</v>
      </c>
      <c r="AO412">
        <f t="shared" si="263"/>
        <v>0</v>
      </c>
      <c r="AP412" s="3">
        <f t="shared" si="264"/>
        <v>0</v>
      </c>
      <c r="AQ412" s="3">
        <f t="shared" si="265"/>
        <v>0</v>
      </c>
      <c r="AR412">
        <f t="shared" si="266"/>
        <v>0</v>
      </c>
    </row>
    <row r="413" spans="4:44" x14ac:dyDescent="0.25">
      <c r="D413" s="1">
        <v>42145</v>
      </c>
      <c r="E413" s="2">
        <v>127.405778</v>
      </c>
      <c r="F413" s="2">
        <v>205.69991200000001</v>
      </c>
      <c r="G413" s="2">
        <f t="shared" si="229"/>
        <v>1.2896709999999985</v>
      </c>
      <c r="H413" s="2">
        <f t="shared" si="230"/>
        <v>0.59734400000002097</v>
      </c>
      <c r="I413" s="4">
        <f t="shared" si="231"/>
        <v>1.2272917303645055</v>
      </c>
      <c r="J413" s="4">
        <f t="shared" si="232"/>
        <v>0.49612306101933779</v>
      </c>
      <c r="K413" s="4">
        <f t="shared" si="233"/>
        <v>2.0909323577246548</v>
      </c>
      <c r="L413" s="4">
        <f t="shared" si="234"/>
        <v>1.446005656186951</v>
      </c>
      <c r="M413" s="4">
        <f t="shared" si="235"/>
        <v>1</v>
      </c>
      <c r="N413" s="4">
        <f t="shared" si="236"/>
        <v>0.57390665727026946</v>
      </c>
      <c r="O413" s="3">
        <f t="shared" si="237"/>
        <v>1.2896709999999985</v>
      </c>
      <c r="P413" s="3">
        <f t="shared" si="238"/>
        <v>0.59734400000002097</v>
      </c>
      <c r="Q413">
        <f t="shared" si="239"/>
        <v>1</v>
      </c>
      <c r="R413" s="3">
        <f t="shared" si="240"/>
        <v>1.2896709999999985</v>
      </c>
      <c r="S413" s="3">
        <f t="shared" si="241"/>
        <v>0.59734400000002097</v>
      </c>
      <c r="T413">
        <f t="shared" si="242"/>
        <v>1</v>
      </c>
      <c r="U413" s="3">
        <f t="shared" si="243"/>
        <v>1.2896709999999985</v>
      </c>
      <c r="V413" s="3">
        <f t="shared" si="244"/>
        <v>0.59734400000002097</v>
      </c>
      <c r="W413">
        <f t="shared" si="245"/>
        <v>1</v>
      </c>
      <c r="X413" s="3">
        <f t="shared" si="246"/>
        <v>0</v>
      </c>
      <c r="Y413" s="3">
        <f t="shared" si="247"/>
        <v>0</v>
      </c>
      <c r="Z413">
        <f t="shared" si="248"/>
        <v>0</v>
      </c>
      <c r="AA413" s="3">
        <f t="shared" si="249"/>
        <v>0</v>
      </c>
      <c r="AB413" s="3">
        <f t="shared" si="250"/>
        <v>0</v>
      </c>
      <c r="AC413">
        <f t="shared" si="251"/>
        <v>0</v>
      </c>
      <c r="AD413" s="3">
        <f t="shared" si="252"/>
        <v>0</v>
      </c>
      <c r="AE413" s="3">
        <f t="shared" si="253"/>
        <v>0</v>
      </c>
      <c r="AF413">
        <f t="shared" si="254"/>
        <v>0</v>
      </c>
      <c r="AG413" s="3">
        <f t="shared" si="255"/>
        <v>0</v>
      </c>
      <c r="AH413" s="3">
        <f t="shared" si="256"/>
        <v>0</v>
      </c>
      <c r="AI413">
        <f t="shared" si="257"/>
        <v>0</v>
      </c>
      <c r="AJ413" s="3">
        <f t="shared" si="258"/>
        <v>0</v>
      </c>
      <c r="AK413" s="3">
        <f t="shared" si="259"/>
        <v>0</v>
      </c>
      <c r="AL413">
        <f t="shared" si="260"/>
        <v>0</v>
      </c>
      <c r="AM413" s="3">
        <f t="shared" si="261"/>
        <v>0</v>
      </c>
      <c r="AN413" s="3">
        <f t="shared" si="262"/>
        <v>0</v>
      </c>
      <c r="AO413">
        <f t="shared" si="263"/>
        <v>0</v>
      </c>
      <c r="AP413" s="3">
        <f t="shared" si="264"/>
        <v>0</v>
      </c>
      <c r="AQ413" s="3">
        <f t="shared" si="265"/>
        <v>0</v>
      </c>
      <c r="AR413">
        <f t="shared" si="266"/>
        <v>0</v>
      </c>
    </row>
    <row r="414" spans="4:44" x14ac:dyDescent="0.25">
      <c r="D414" s="1">
        <v>42144</v>
      </c>
      <c r="E414" s="2">
        <v>126.116107</v>
      </c>
      <c r="F414" s="2">
        <v>205.10256799999999</v>
      </c>
      <c r="G414" s="2">
        <f t="shared" si="229"/>
        <v>-9.7059999999942193E-3</v>
      </c>
      <c r="H414" s="2">
        <f t="shared" si="230"/>
        <v>-0.14451400000001513</v>
      </c>
      <c r="I414" s="4">
        <f t="shared" si="231"/>
        <v>-7.2085269635487226E-2</v>
      </c>
      <c r="J414" s="4">
        <f t="shared" si="232"/>
        <v>-0.24573493898069834</v>
      </c>
      <c r="K414" s="4">
        <f t="shared" si="233"/>
        <v>7.9579479338651019E-2</v>
      </c>
      <c r="L414" s="4">
        <f t="shared" si="234"/>
        <v>0.28209835047134008</v>
      </c>
      <c r="M414" s="4">
        <f t="shared" si="235"/>
        <v>1</v>
      </c>
      <c r="N414" s="4">
        <f t="shared" si="236"/>
        <v>1</v>
      </c>
      <c r="O414" s="3">
        <f t="shared" si="237"/>
        <v>-9.7059999999942193E-3</v>
      </c>
      <c r="P414" s="3">
        <f t="shared" si="238"/>
        <v>-0.14451400000001513</v>
      </c>
      <c r="Q414">
        <f t="shared" si="239"/>
        <v>1</v>
      </c>
      <c r="R414" s="3">
        <f t="shared" si="240"/>
        <v>0</v>
      </c>
      <c r="S414" s="3">
        <f t="shared" si="241"/>
        <v>0</v>
      </c>
      <c r="T414">
        <f t="shared" si="242"/>
        <v>0</v>
      </c>
      <c r="U414" s="3">
        <f t="shared" si="243"/>
        <v>0</v>
      </c>
      <c r="V414" s="3">
        <f t="shared" si="244"/>
        <v>0</v>
      </c>
      <c r="W414">
        <f t="shared" si="245"/>
        <v>0</v>
      </c>
      <c r="X414" s="3">
        <f t="shared" si="246"/>
        <v>0</v>
      </c>
      <c r="Y414" s="3">
        <f t="shared" si="247"/>
        <v>0</v>
      </c>
      <c r="Z414">
        <f t="shared" si="248"/>
        <v>0</v>
      </c>
      <c r="AA414" s="3">
        <f t="shared" si="249"/>
        <v>0</v>
      </c>
      <c r="AB414" s="3">
        <f t="shared" si="250"/>
        <v>0</v>
      </c>
      <c r="AC414">
        <f t="shared" si="251"/>
        <v>0</v>
      </c>
      <c r="AD414" s="3">
        <f t="shared" si="252"/>
        <v>0</v>
      </c>
      <c r="AE414" s="3">
        <f t="shared" si="253"/>
        <v>0</v>
      </c>
      <c r="AF414">
        <f t="shared" si="254"/>
        <v>0</v>
      </c>
      <c r="AG414" s="3">
        <f t="shared" si="255"/>
        <v>0</v>
      </c>
      <c r="AH414" s="3">
        <f t="shared" si="256"/>
        <v>0</v>
      </c>
      <c r="AI414">
        <f t="shared" si="257"/>
        <v>0</v>
      </c>
      <c r="AJ414" s="3">
        <f t="shared" si="258"/>
        <v>0</v>
      </c>
      <c r="AK414" s="3">
        <f t="shared" si="259"/>
        <v>0</v>
      </c>
      <c r="AL414">
        <f t="shared" si="260"/>
        <v>0</v>
      </c>
      <c r="AM414" s="3">
        <f t="shared" si="261"/>
        <v>0</v>
      </c>
      <c r="AN414" s="3">
        <f t="shared" si="262"/>
        <v>0</v>
      </c>
      <c r="AO414">
        <f t="shared" si="263"/>
        <v>0</v>
      </c>
      <c r="AP414" s="3">
        <f t="shared" si="264"/>
        <v>0</v>
      </c>
      <c r="AQ414" s="3">
        <f t="shared" si="265"/>
        <v>0</v>
      </c>
      <c r="AR414">
        <f t="shared" si="266"/>
        <v>0</v>
      </c>
    </row>
    <row r="415" spans="4:44" x14ac:dyDescent="0.25">
      <c r="D415" s="1">
        <v>42143</v>
      </c>
      <c r="E415" s="2">
        <v>126.12581299999999</v>
      </c>
      <c r="F415" s="2">
        <v>205.24708200000001</v>
      </c>
      <c r="G415" s="2">
        <f t="shared" si="229"/>
        <v>-0.11635700000000782</v>
      </c>
      <c r="H415" s="2">
        <f t="shared" si="230"/>
        <v>-6.7450000000008004E-2</v>
      </c>
      <c r="I415" s="4">
        <f t="shared" si="231"/>
        <v>-0.17873626963550082</v>
      </c>
      <c r="J415" s="4">
        <f t="shared" si="232"/>
        <v>-0.16867093898069122</v>
      </c>
      <c r="K415" s="4">
        <f t="shared" si="233"/>
        <v>4.3665077223978832E-2</v>
      </c>
      <c r="L415" s="4">
        <f t="shared" si="234"/>
        <v>0.20896190376233376</v>
      </c>
      <c r="M415" s="4">
        <f t="shared" si="235"/>
        <v>1</v>
      </c>
      <c r="N415" s="4">
        <f t="shared" si="236"/>
        <v>1</v>
      </c>
      <c r="O415" s="3">
        <f t="shared" si="237"/>
        <v>-0.11635700000000782</v>
      </c>
      <c r="P415" s="3">
        <f t="shared" si="238"/>
        <v>-6.7450000000008004E-2</v>
      </c>
      <c r="Q415">
        <f t="shared" si="239"/>
        <v>1</v>
      </c>
      <c r="R415" s="3">
        <f t="shared" si="240"/>
        <v>0</v>
      </c>
      <c r="S415" s="3">
        <f t="shared" si="241"/>
        <v>0</v>
      </c>
      <c r="T415">
        <f t="shared" si="242"/>
        <v>0</v>
      </c>
      <c r="U415" s="3">
        <f t="shared" si="243"/>
        <v>0</v>
      </c>
      <c r="V415" s="3">
        <f t="shared" si="244"/>
        <v>0</v>
      </c>
      <c r="W415">
        <f t="shared" si="245"/>
        <v>0</v>
      </c>
      <c r="X415" s="3">
        <f t="shared" si="246"/>
        <v>0</v>
      </c>
      <c r="Y415" s="3">
        <f t="shared" si="247"/>
        <v>0</v>
      </c>
      <c r="Z415">
        <f t="shared" si="248"/>
        <v>0</v>
      </c>
      <c r="AA415" s="3">
        <f t="shared" si="249"/>
        <v>0</v>
      </c>
      <c r="AB415" s="3">
        <f t="shared" si="250"/>
        <v>0</v>
      </c>
      <c r="AC415">
        <f t="shared" si="251"/>
        <v>0</v>
      </c>
      <c r="AD415" s="3">
        <f t="shared" si="252"/>
        <v>0</v>
      </c>
      <c r="AE415" s="3">
        <f t="shared" si="253"/>
        <v>0</v>
      </c>
      <c r="AF415">
        <f t="shared" si="254"/>
        <v>0</v>
      </c>
      <c r="AG415" s="3">
        <f t="shared" si="255"/>
        <v>0</v>
      </c>
      <c r="AH415" s="3">
        <f t="shared" si="256"/>
        <v>0</v>
      </c>
      <c r="AI415">
        <f t="shared" si="257"/>
        <v>0</v>
      </c>
      <c r="AJ415" s="3">
        <f t="shared" si="258"/>
        <v>0</v>
      </c>
      <c r="AK415" s="3">
        <f t="shared" si="259"/>
        <v>0</v>
      </c>
      <c r="AL415">
        <f t="shared" si="260"/>
        <v>0</v>
      </c>
      <c r="AM415" s="3">
        <f t="shared" si="261"/>
        <v>0</v>
      </c>
      <c r="AN415" s="3">
        <f t="shared" si="262"/>
        <v>0</v>
      </c>
      <c r="AO415">
        <f t="shared" si="263"/>
        <v>0</v>
      </c>
      <c r="AP415" s="3">
        <f t="shared" si="264"/>
        <v>0</v>
      </c>
      <c r="AQ415" s="3">
        <f t="shared" si="265"/>
        <v>0</v>
      </c>
      <c r="AR415">
        <f t="shared" si="266"/>
        <v>0</v>
      </c>
    </row>
    <row r="416" spans="4:44" x14ac:dyDescent="0.25">
      <c r="D416" s="1">
        <v>42142</v>
      </c>
      <c r="E416" s="2">
        <v>126.24217</v>
      </c>
      <c r="F416" s="2">
        <v>205.31453200000001</v>
      </c>
      <c r="G416" s="2">
        <f t="shared" si="229"/>
        <v>1.3769390000000072</v>
      </c>
      <c r="H416" s="2">
        <f t="shared" si="230"/>
        <v>0.63589100000001508</v>
      </c>
      <c r="I416" s="4">
        <f t="shared" si="231"/>
        <v>1.3145597303645142</v>
      </c>
      <c r="J416" s="4">
        <f t="shared" si="232"/>
        <v>0.5346700610193319</v>
      </c>
      <c r="K416" s="4">
        <f t="shared" si="233"/>
        <v>2.3943143252978842</v>
      </c>
      <c r="L416" s="4">
        <f t="shared" si="234"/>
        <v>1.5473572067554033</v>
      </c>
      <c r="M416" s="4">
        <f t="shared" si="235"/>
        <v>1</v>
      </c>
      <c r="N416" s="4">
        <f t="shared" si="236"/>
        <v>0.50118732838083158</v>
      </c>
      <c r="O416" s="3">
        <f t="shared" si="237"/>
        <v>1.3769390000000072</v>
      </c>
      <c r="P416" s="3">
        <f t="shared" si="238"/>
        <v>0.63589100000001508</v>
      </c>
      <c r="Q416">
        <f t="shared" si="239"/>
        <v>1</v>
      </c>
      <c r="R416" s="3">
        <f t="shared" si="240"/>
        <v>1.3769390000000072</v>
      </c>
      <c r="S416" s="3">
        <f t="shared" si="241"/>
        <v>0.63589100000001508</v>
      </c>
      <c r="T416">
        <f t="shared" si="242"/>
        <v>1</v>
      </c>
      <c r="U416" s="3">
        <f t="shared" si="243"/>
        <v>1.3769390000000072</v>
      </c>
      <c r="V416" s="3">
        <f t="shared" si="244"/>
        <v>0.63589100000001508</v>
      </c>
      <c r="W416">
        <f t="shared" si="245"/>
        <v>1</v>
      </c>
      <c r="X416" s="3">
        <f t="shared" si="246"/>
        <v>0</v>
      </c>
      <c r="Y416" s="3">
        <f t="shared" si="247"/>
        <v>0</v>
      </c>
      <c r="Z416">
        <f t="shared" si="248"/>
        <v>0</v>
      </c>
      <c r="AA416" s="3">
        <f t="shared" si="249"/>
        <v>0</v>
      </c>
      <c r="AB416" s="3">
        <f t="shared" si="250"/>
        <v>0</v>
      </c>
      <c r="AC416">
        <f t="shared" si="251"/>
        <v>0</v>
      </c>
      <c r="AD416" s="3">
        <f t="shared" si="252"/>
        <v>0</v>
      </c>
      <c r="AE416" s="3">
        <f t="shared" si="253"/>
        <v>0</v>
      </c>
      <c r="AF416">
        <f t="shared" si="254"/>
        <v>0</v>
      </c>
      <c r="AG416" s="3">
        <f t="shared" si="255"/>
        <v>0</v>
      </c>
      <c r="AH416" s="3">
        <f t="shared" si="256"/>
        <v>0</v>
      </c>
      <c r="AI416">
        <f t="shared" si="257"/>
        <v>0</v>
      </c>
      <c r="AJ416" s="3">
        <f t="shared" si="258"/>
        <v>0</v>
      </c>
      <c r="AK416" s="3">
        <f t="shared" si="259"/>
        <v>0</v>
      </c>
      <c r="AL416">
        <f t="shared" si="260"/>
        <v>0</v>
      </c>
      <c r="AM416" s="3">
        <f t="shared" si="261"/>
        <v>0</v>
      </c>
      <c r="AN416" s="3">
        <f t="shared" si="262"/>
        <v>0</v>
      </c>
      <c r="AO416">
        <f t="shared" si="263"/>
        <v>0</v>
      </c>
      <c r="AP416" s="3">
        <f t="shared" si="264"/>
        <v>0</v>
      </c>
      <c r="AQ416" s="3">
        <f t="shared" si="265"/>
        <v>0</v>
      </c>
      <c r="AR416">
        <f t="shared" si="266"/>
        <v>0</v>
      </c>
    </row>
    <row r="417" spans="4:44" x14ac:dyDescent="0.25">
      <c r="D417" s="1">
        <v>42139</v>
      </c>
      <c r="E417" s="2">
        <v>124.86523099999999</v>
      </c>
      <c r="F417" s="2">
        <v>204.678641</v>
      </c>
      <c r="G417" s="2">
        <f t="shared" si="229"/>
        <v>-0.17453500000000588</v>
      </c>
      <c r="H417" s="2">
        <f t="shared" si="230"/>
        <v>0.22159300000001281</v>
      </c>
      <c r="I417" s="4">
        <f t="shared" si="231"/>
        <v>-0.23691426963549889</v>
      </c>
      <c r="J417" s="4">
        <f t="shared" si="232"/>
        <v>0.1203720610193296</v>
      </c>
      <c r="K417" s="4">
        <f t="shared" si="233"/>
        <v>0.22090584754875514</v>
      </c>
      <c r="L417" s="4">
        <f t="shared" si="234"/>
        <v>0.47000622075538018</v>
      </c>
      <c r="M417" s="4">
        <f t="shared" si="235"/>
        <v>1</v>
      </c>
      <c r="N417" s="4">
        <f t="shared" si="236"/>
        <v>1</v>
      </c>
      <c r="O417" s="3">
        <f t="shared" si="237"/>
        <v>-0.17453500000000588</v>
      </c>
      <c r="P417" s="3">
        <f t="shared" si="238"/>
        <v>0.22159300000001281</v>
      </c>
      <c r="Q417">
        <f t="shared" si="239"/>
        <v>1</v>
      </c>
      <c r="R417" s="3">
        <f t="shared" si="240"/>
        <v>0</v>
      </c>
      <c r="S417" s="3">
        <f t="shared" si="241"/>
        <v>0</v>
      </c>
      <c r="T417">
        <f t="shared" si="242"/>
        <v>0</v>
      </c>
      <c r="U417" s="3">
        <f t="shared" si="243"/>
        <v>0</v>
      </c>
      <c r="V417" s="3">
        <f t="shared" si="244"/>
        <v>0</v>
      </c>
      <c r="W417">
        <f t="shared" si="245"/>
        <v>0</v>
      </c>
      <c r="X417" s="3">
        <f t="shared" si="246"/>
        <v>0</v>
      </c>
      <c r="Y417" s="3">
        <f t="shared" si="247"/>
        <v>0</v>
      </c>
      <c r="Z417">
        <f t="shared" si="248"/>
        <v>0</v>
      </c>
      <c r="AA417" s="3">
        <f t="shared" si="249"/>
        <v>0</v>
      </c>
      <c r="AB417" s="3">
        <f t="shared" si="250"/>
        <v>0</v>
      </c>
      <c r="AC417">
        <f t="shared" si="251"/>
        <v>0</v>
      </c>
      <c r="AD417" s="3">
        <f t="shared" si="252"/>
        <v>0</v>
      </c>
      <c r="AE417" s="3">
        <f t="shared" si="253"/>
        <v>0</v>
      </c>
      <c r="AF417">
        <f t="shared" si="254"/>
        <v>0</v>
      </c>
      <c r="AG417" s="3">
        <f t="shared" si="255"/>
        <v>0</v>
      </c>
      <c r="AH417" s="3">
        <f t="shared" si="256"/>
        <v>0</v>
      </c>
      <c r="AI417">
        <f t="shared" si="257"/>
        <v>0</v>
      </c>
      <c r="AJ417" s="3">
        <f t="shared" si="258"/>
        <v>0</v>
      </c>
      <c r="AK417" s="3">
        <f t="shared" si="259"/>
        <v>0</v>
      </c>
      <c r="AL417">
        <f t="shared" si="260"/>
        <v>0</v>
      </c>
      <c r="AM417" s="3">
        <f t="shared" si="261"/>
        <v>0</v>
      </c>
      <c r="AN417" s="3">
        <f t="shared" si="262"/>
        <v>0</v>
      </c>
      <c r="AO417">
        <f t="shared" si="263"/>
        <v>0</v>
      </c>
      <c r="AP417" s="3">
        <f t="shared" si="264"/>
        <v>0</v>
      </c>
      <c r="AQ417" s="3">
        <f t="shared" si="265"/>
        <v>0</v>
      </c>
      <c r="AR417">
        <f t="shared" si="266"/>
        <v>0</v>
      </c>
    </row>
    <row r="418" spans="4:44" x14ac:dyDescent="0.25">
      <c r="D418" s="1">
        <v>42138</v>
      </c>
      <c r="E418" s="2">
        <v>125.039766</v>
      </c>
      <c r="F418" s="2">
        <v>204.45704799999999</v>
      </c>
      <c r="G418" s="2">
        <f t="shared" si="229"/>
        <v>2.850843999999995</v>
      </c>
      <c r="H418" s="2">
        <f t="shared" si="230"/>
        <v>2.109991999999977</v>
      </c>
      <c r="I418" s="4">
        <f t="shared" si="231"/>
        <v>2.788464730364502</v>
      </c>
      <c r="J418" s="4">
        <f t="shared" si="232"/>
        <v>2.0087710610192939</v>
      </c>
      <c r="K418" s="4">
        <f t="shared" si="233"/>
        <v>9.6556362959185655</v>
      </c>
      <c r="L418" s="4">
        <f t="shared" si="234"/>
        <v>3.1073519749005851</v>
      </c>
      <c r="M418" s="4">
        <f t="shared" si="235"/>
        <v>0.64363484283559058</v>
      </c>
      <c r="N418" s="4">
        <f t="shared" si="236"/>
        <v>0.12427974327359861</v>
      </c>
      <c r="O418" s="3">
        <f t="shared" si="237"/>
        <v>2.850843999999995</v>
      </c>
      <c r="P418" s="3">
        <f t="shared" si="238"/>
        <v>2.109991999999977</v>
      </c>
      <c r="Q418">
        <f t="shared" si="239"/>
        <v>1</v>
      </c>
      <c r="R418" s="3">
        <f t="shared" si="240"/>
        <v>2.850843999999995</v>
      </c>
      <c r="S418" s="3">
        <f t="shared" si="241"/>
        <v>2.109991999999977</v>
      </c>
      <c r="T418">
        <f t="shared" si="242"/>
        <v>1</v>
      </c>
      <c r="U418" s="3">
        <f t="shared" si="243"/>
        <v>2.850843999999995</v>
      </c>
      <c r="V418" s="3">
        <f t="shared" si="244"/>
        <v>2.109991999999977</v>
      </c>
      <c r="W418">
        <f t="shared" si="245"/>
        <v>1</v>
      </c>
      <c r="X418" s="3">
        <f t="shared" si="246"/>
        <v>2.850843999999995</v>
      </c>
      <c r="Y418" s="3">
        <f t="shared" si="247"/>
        <v>2.109991999999977</v>
      </c>
      <c r="Z418">
        <f t="shared" si="248"/>
        <v>1</v>
      </c>
      <c r="AA418" s="3">
        <f t="shared" si="249"/>
        <v>2.850843999999995</v>
      </c>
      <c r="AB418" s="3">
        <f t="shared" si="250"/>
        <v>2.109991999999977</v>
      </c>
      <c r="AC418">
        <f t="shared" si="251"/>
        <v>1</v>
      </c>
      <c r="AD418" s="3">
        <f t="shared" si="252"/>
        <v>2.850843999999995</v>
      </c>
      <c r="AE418" s="3">
        <f t="shared" si="253"/>
        <v>2.109991999999977</v>
      </c>
      <c r="AF418">
        <f t="shared" si="254"/>
        <v>1</v>
      </c>
      <c r="AG418" s="3">
        <f t="shared" si="255"/>
        <v>2.850843999999995</v>
      </c>
      <c r="AH418" s="3">
        <f t="shared" si="256"/>
        <v>2.109991999999977</v>
      </c>
      <c r="AI418">
        <f t="shared" si="257"/>
        <v>1</v>
      </c>
      <c r="AJ418" s="3">
        <f t="shared" si="258"/>
        <v>2.850843999999995</v>
      </c>
      <c r="AK418" s="3">
        <f t="shared" si="259"/>
        <v>2.109991999999977</v>
      </c>
      <c r="AL418">
        <f t="shared" si="260"/>
        <v>1</v>
      </c>
      <c r="AM418" s="3">
        <f t="shared" si="261"/>
        <v>2.850843999999995</v>
      </c>
      <c r="AN418" s="3">
        <f t="shared" si="262"/>
        <v>2.109991999999977</v>
      </c>
      <c r="AO418">
        <f t="shared" si="263"/>
        <v>1</v>
      </c>
      <c r="AP418" s="3">
        <f t="shared" si="264"/>
        <v>2.850843999999995</v>
      </c>
      <c r="AQ418" s="3">
        <f t="shared" si="265"/>
        <v>2.109991999999977</v>
      </c>
      <c r="AR418">
        <f t="shared" si="266"/>
        <v>1</v>
      </c>
    </row>
    <row r="419" spans="4:44" x14ac:dyDescent="0.25">
      <c r="D419" s="1">
        <v>42137</v>
      </c>
      <c r="E419" s="2">
        <v>122.18892200000001</v>
      </c>
      <c r="F419" s="2">
        <v>202.34705600000001</v>
      </c>
      <c r="G419" s="2">
        <f t="shared" si="229"/>
        <v>0.1357540000000057</v>
      </c>
      <c r="H419" s="2">
        <f t="shared" si="230"/>
        <v>3.8547000000022535E-2</v>
      </c>
      <c r="I419" s="4">
        <f t="shared" si="231"/>
        <v>7.3374730364512697E-2</v>
      </c>
      <c r="J419" s="4">
        <f t="shared" si="232"/>
        <v>-6.2673938980660676E-2</v>
      </c>
      <c r="K419" s="4">
        <f t="shared" si="233"/>
        <v>3.0838139793729014E-2</v>
      </c>
      <c r="L419" s="4">
        <f t="shared" si="234"/>
        <v>0.17560791495182959</v>
      </c>
      <c r="M419" s="4">
        <f t="shared" si="235"/>
        <v>1</v>
      </c>
      <c r="N419" s="4">
        <f t="shared" si="236"/>
        <v>1</v>
      </c>
      <c r="O419" s="3">
        <f t="shared" si="237"/>
        <v>0.1357540000000057</v>
      </c>
      <c r="P419" s="3">
        <f t="shared" si="238"/>
        <v>3.8547000000022535E-2</v>
      </c>
      <c r="Q419">
        <f t="shared" si="239"/>
        <v>1</v>
      </c>
      <c r="R419" s="3">
        <f t="shared" si="240"/>
        <v>0</v>
      </c>
      <c r="S419" s="3">
        <f t="shared" si="241"/>
        <v>0</v>
      </c>
      <c r="T419">
        <f t="shared" si="242"/>
        <v>0</v>
      </c>
      <c r="U419" s="3">
        <f t="shared" si="243"/>
        <v>0</v>
      </c>
      <c r="V419" s="3">
        <f t="shared" si="244"/>
        <v>0</v>
      </c>
      <c r="W419">
        <f t="shared" si="245"/>
        <v>0</v>
      </c>
      <c r="X419" s="3">
        <f t="shared" si="246"/>
        <v>0</v>
      </c>
      <c r="Y419" s="3">
        <f t="shared" si="247"/>
        <v>0</v>
      </c>
      <c r="Z419">
        <f t="shared" si="248"/>
        <v>0</v>
      </c>
      <c r="AA419" s="3">
        <f t="shared" si="249"/>
        <v>0</v>
      </c>
      <c r="AB419" s="3">
        <f t="shared" si="250"/>
        <v>0</v>
      </c>
      <c r="AC419">
        <f t="shared" si="251"/>
        <v>0</v>
      </c>
      <c r="AD419" s="3">
        <f t="shared" si="252"/>
        <v>0</v>
      </c>
      <c r="AE419" s="3">
        <f t="shared" si="253"/>
        <v>0</v>
      </c>
      <c r="AF419">
        <f t="shared" si="254"/>
        <v>0</v>
      </c>
      <c r="AG419" s="3">
        <f t="shared" si="255"/>
        <v>0</v>
      </c>
      <c r="AH419" s="3">
        <f t="shared" si="256"/>
        <v>0</v>
      </c>
      <c r="AI419">
        <f t="shared" si="257"/>
        <v>0</v>
      </c>
      <c r="AJ419" s="3">
        <f t="shared" si="258"/>
        <v>0</v>
      </c>
      <c r="AK419" s="3">
        <f t="shared" si="259"/>
        <v>0</v>
      </c>
      <c r="AL419">
        <f t="shared" si="260"/>
        <v>0</v>
      </c>
      <c r="AM419" s="3">
        <f t="shared" si="261"/>
        <v>0</v>
      </c>
      <c r="AN419" s="3">
        <f t="shared" si="262"/>
        <v>0</v>
      </c>
      <c r="AO419">
        <f t="shared" si="263"/>
        <v>0</v>
      </c>
      <c r="AP419" s="3">
        <f t="shared" si="264"/>
        <v>0</v>
      </c>
      <c r="AQ419" s="3">
        <f t="shared" si="265"/>
        <v>0</v>
      </c>
      <c r="AR419">
        <f t="shared" si="266"/>
        <v>0</v>
      </c>
    </row>
    <row r="420" spans="4:44" x14ac:dyDescent="0.25">
      <c r="D420" s="1">
        <v>42136</v>
      </c>
      <c r="E420" s="2">
        <v>122.053168</v>
      </c>
      <c r="F420" s="2">
        <v>202.30850899999999</v>
      </c>
      <c r="G420" s="2">
        <f t="shared" si="229"/>
        <v>-0.43635100000000193</v>
      </c>
      <c r="H420" s="2">
        <f t="shared" si="230"/>
        <v>-0.60698800000000119</v>
      </c>
      <c r="I420" s="4">
        <f t="shared" si="231"/>
        <v>-0.49873026963549494</v>
      </c>
      <c r="J420" s="4">
        <f t="shared" si="232"/>
        <v>-0.70820893898068438</v>
      </c>
      <c r="K420" s="4">
        <f t="shared" si="233"/>
        <v>0.5634795436580613</v>
      </c>
      <c r="L420" s="4">
        <f t="shared" si="234"/>
        <v>0.75065274505463664</v>
      </c>
      <c r="M420" s="4">
        <f t="shared" si="235"/>
        <v>1</v>
      </c>
      <c r="N420" s="4">
        <f t="shared" si="236"/>
        <v>1</v>
      </c>
      <c r="O420" s="3">
        <f t="shared" si="237"/>
        <v>-0.43635100000000193</v>
      </c>
      <c r="P420" s="3">
        <f t="shared" si="238"/>
        <v>-0.60698800000000119</v>
      </c>
      <c r="Q420">
        <f t="shared" si="239"/>
        <v>1</v>
      </c>
      <c r="R420" s="3">
        <f t="shared" si="240"/>
        <v>0</v>
      </c>
      <c r="S420" s="3">
        <f t="shared" si="241"/>
        <v>0</v>
      </c>
      <c r="T420">
        <f t="shared" si="242"/>
        <v>0</v>
      </c>
      <c r="U420" s="3">
        <f t="shared" si="243"/>
        <v>0</v>
      </c>
      <c r="V420" s="3">
        <f t="shared" si="244"/>
        <v>0</v>
      </c>
      <c r="W420">
        <f t="shared" si="245"/>
        <v>0</v>
      </c>
      <c r="X420" s="3">
        <f t="shared" si="246"/>
        <v>0</v>
      </c>
      <c r="Y420" s="3">
        <f t="shared" si="247"/>
        <v>0</v>
      </c>
      <c r="Z420">
        <f t="shared" si="248"/>
        <v>0</v>
      </c>
      <c r="AA420" s="3">
        <f t="shared" si="249"/>
        <v>0</v>
      </c>
      <c r="AB420" s="3">
        <f t="shared" si="250"/>
        <v>0</v>
      </c>
      <c r="AC420">
        <f t="shared" si="251"/>
        <v>0</v>
      </c>
      <c r="AD420" s="3">
        <f t="shared" si="252"/>
        <v>0</v>
      </c>
      <c r="AE420" s="3">
        <f t="shared" si="253"/>
        <v>0</v>
      </c>
      <c r="AF420">
        <f t="shared" si="254"/>
        <v>0</v>
      </c>
      <c r="AG420" s="3">
        <f t="shared" si="255"/>
        <v>0</v>
      </c>
      <c r="AH420" s="3">
        <f t="shared" si="256"/>
        <v>0</v>
      </c>
      <c r="AI420">
        <f t="shared" si="257"/>
        <v>0</v>
      </c>
      <c r="AJ420" s="3">
        <f t="shared" si="258"/>
        <v>0</v>
      </c>
      <c r="AK420" s="3">
        <f t="shared" si="259"/>
        <v>0</v>
      </c>
      <c r="AL420">
        <f t="shared" si="260"/>
        <v>0</v>
      </c>
      <c r="AM420" s="3">
        <f t="shared" si="261"/>
        <v>0</v>
      </c>
      <c r="AN420" s="3">
        <f t="shared" si="262"/>
        <v>0</v>
      </c>
      <c r="AO420">
        <f t="shared" si="263"/>
        <v>0</v>
      </c>
      <c r="AP420" s="3">
        <f t="shared" si="264"/>
        <v>0</v>
      </c>
      <c r="AQ420" s="3">
        <f t="shared" si="265"/>
        <v>0</v>
      </c>
      <c r="AR420">
        <f t="shared" si="266"/>
        <v>0</v>
      </c>
    </row>
    <row r="421" spans="4:44" x14ac:dyDescent="0.25">
      <c r="D421" s="1">
        <v>42135</v>
      </c>
      <c r="E421" s="2">
        <v>122.489519</v>
      </c>
      <c r="F421" s="2">
        <v>202.91549699999999</v>
      </c>
      <c r="G421" s="2">
        <f t="shared" si="229"/>
        <v>-1.2605829999999969</v>
      </c>
      <c r="H421" s="2">
        <f t="shared" si="230"/>
        <v>-0.97309500000000071</v>
      </c>
      <c r="I421" s="4">
        <f t="shared" si="231"/>
        <v>-1.3229622696354899</v>
      </c>
      <c r="J421" s="4">
        <f t="shared" si="232"/>
        <v>-1.074315938980684</v>
      </c>
      <c r="K421" s="4">
        <f t="shared" si="233"/>
        <v>2.2232066491702982</v>
      </c>
      <c r="L421" s="4">
        <f t="shared" si="234"/>
        <v>1.4910421352766321</v>
      </c>
      <c r="M421" s="4">
        <f t="shared" si="235"/>
        <v>1</v>
      </c>
      <c r="N421" s="4">
        <f t="shared" si="236"/>
        <v>0.5397608901753872</v>
      </c>
      <c r="O421" s="3">
        <f t="shared" si="237"/>
        <v>-1.2605829999999969</v>
      </c>
      <c r="P421" s="3">
        <f t="shared" si="238"/>
        <v>-0.97309500000000071</v>
      </c>
      <c r="Q421">
        <f t="shared" si="239"/>
        <v>1</v>
      </c>
      <c r="R421" s="3">
        <f t="shared" si="240"/>
        <v>-1.2605829999999969</v>
      </c>
      <c r="S421" s="3">
        <f t="shared" si="241"/>
        <v>-0.97309500000000071</v>
      </c>
      <c r="T421">
        <f t="shared" si="242"/>
        <v>1</v>
      </c>
      <c r="U421" s="3">
        <f t="shared" si="243"/>
        <v>-1.2605829999999969</v>
      </c>
      <c r="V421" s="3">
        <f t="shared" si="244"/>
        <v>-0.97309500000000071</v>
      </c>
      <c r="W421">
        <f t="shared" si="245"/>
        <v>1</v>
      </c>
      <c r="X421" s="3">
        <f t="shared" si="246"/>
        <v>0</v>
      </c>
      <c r="Y421" s="3">
        <f t="shared" si="247"/>
        <v>0</v>
      </c>
      <c r="Z421">
        <f t="shared" si="248"/>
        <v>0</v>
      </c>
      <c r="AA421" s="3">
        <f t="shared" si="249"/>
        <v>0</v>
      </c>
      <c r="AB421" s="3">
        <f t="shared" si="250"/>
        <v>0</v>
      </c>
      <c r="AC421">
        <f t="shared" si="251"/>
        <v>0</v>
      </c>
      <c r="AD421" s="3">
        <f t="shared" si="252"/>
        <v>0</v>
      </c>
      <c r="AE421" s="3">
        <f t="shared" si="253"/>
        <v>0</v>
      </c>
      <c r="AF421">
        <f t="shared" si="254"/>
        <v>0</v>
      </c>
      <c r="AG421" s="3">
        <f t="shared" si="255"/>
        <v>0</v>
      </c>
      <c r="AH421" s="3">
        <f t="shared" si="256"/>
        <v>0</v>
      </c>
      <c r="AI421">
        <f t="shared" si="257"/>
        <v>0</v>
      </c>
      <c r="AJ421" s="3">
        <f t="shared" si="258"/>
        <v>0</v>
      </c>
      <c r="AK421" s="3">
        <f t="shared" si="259"/>
        <v>0</v>
      </c>
      <c r="AL421">
        <f t="shared" si="260"/>
        <v>0</v>
      </c>
      <c r="AM421" s="3">
        <f t="shared" si="261"/>
        <v>0</v>
      </c>
      <c r="AN421" s="3">
        <f t="shared" si="262"/>
        <v>0</v>
      </c>
      <c r="AO421">
        <f t="shared" si="263"/>
        <v>0</v>
      </c>
      <c r="AP421" s="3">
        <f t="shared" si="264"/>
        <v>0</v>
      </c>
      <c r="AQ421" s="3">
        <f t="shared" si="265"/>
        <v>0</v>
      </c>
      <c r="AR421">
        <f t="shared" si="266"/>
        <v>0</v>
      </c>
    </row>
    <row r="422" spans="4:44" x14ac:dyDescent="0.25">
      <c r="D422" s="1">
        <v>42132</v>
      </c>
      <c r="E422" s="2">
        <v>123.750102</v>
      </c>
      <c r="F422" s="2">
        <v>203.88859199999999</v>
      </c>
      <c r="G422" s="2">
        <f t="shared" si="229"/>
        <v>2.2884370000000018</v>
      </c>
      <c r="H422" s="2">
        <f t="shared" si="230"/>
        <v>2.6495299999999986</v>
      </c>
      <c r="I422" s="4">
        <f t="shared" si="231"/>
        <v>2.2260577303645088</v>
      </c>
      <c r="J422" s="4">
        <f t="shared" si="232"/>
        <v>2.5483090610193155</v>
      </c>
      <c r="K422" s="4">
        <f t="shared" si="233"/>
        <v>8.1326381043314111</v>
      </c>
      <c r="L422" s="4">
        <f t="shared" si="234"/>
        <v>2.8517780601462328</v>
      </c>
      <c r="M422" s="4">
        <f t="shared" si="235"/>
        <v>0.70131684788171922</v>
      </c>
      <c r="N422" s="4">
        <f t="shared" si="236"/>
        <v>0.14755359633682516</v>
      </c>
      <c r="O422" s="3">
        <f t="shared" si="237"/>
        <v>2.2884370000000018</v>
      </c>
      <c r="P422" s="3">
        <f t="shared" si="238"/>
        <v>2.6495299999999986</v>
      </c>
      <c r="Q422">
        <f t="shared" si="239"/>
        <v>1</v>
      </c>
      <c r="R422" s="3">
        <f t="shared" si="240"/>
        <v>2.2884370000000018</v>
      </c>
      <c r="S422" s="3">
        <f t="shared" si="241"/>
        <v>2.6495299999999986</v>
      </c>
      <c r="T422">
        <f t="shared" si="242"/>
        <v>1</v>
      </c>
      <c r="U422" s="3">
        <f t="shared" si="243"/>
        <v>2.2884370000000018</v>
      </c>
      <c r="V422" s="3">
        <f t="shared" si="244"/>
        <v>2.6495299999999986</v>
      </c>
      <c r="W422">
        <f t="shared" si="245"/>
        <v>1</v>
      </c>
      <c r="X422" s="3">
        <f t="shared" si="246"/>
        <v>2.2884370000000018</v>
      </c>
      <c r="Y422" s="3">
        <f t="shared" si="247"/>
        <v>2.6495299999999986</v>
      </c>
      <c r="Z422">
        <f t="shared" si="248"/>
        <v>1</v>
      </c>
      <c r="AA422" s="3">
        <f t="shared" si="249"/>
        <v>2.2884370000000018</v>
      </c>
      <c r="AB422" s="3">
        <f t="shared" si="250"/>
        <v>2.6495299999999986</v>
      </c>
      <c r="AC422">
        <f t="shared" si="251"/>
        <v>1</v>
      </c>
      <c r="AD422" s="3">
        <f t="shared" si="252"/>
        <v>2.2884370000000018</v>
      </c>
      <c r="AE422" s="3">
        <f t="shared" si="253"/>
        <v>2.6495299999999986</v>
      </c>
      <c r="AF422">
        <f t="shared" si="254"/>
        <v>1</v>
      </c>
      <c r="AG422" s="3">
        <f t="shared" si="255"/>
        <v>2.2884370000000018</v>
      </c>
      <c r="AH422" s="3">
        <f t="shared" si="256"/>
        <v>2.6495299999999986</v>
      </c>
      <c r="AI422">
        <f t="shared" si="257"/>
        <v>1</v>
      </c>
      <c r="AJ422" s="3">
        <f t="shared" si="258"/>
        <v>2.2884370000000018</v>
      </c>
      <c r="AK422" s="3">
        <f t="shared" si="259"/>
        <v>2.6495299999999986</v>
      </c>
      <c r="AL422">
        <f t="shared" si="260"/>
        <v>1</v>
      </c>
      <c r="AM422" s="3">
        <f t="shared" si="261"/>
        <v>2.2884370000000018</v>
      </c>
      <c r="AN422" s="3">
        <f t="shared" si="262"/>
        <v>2.6495299999999986</v>
      </c>
      <c r="AO422">
        <f t="shared" si="263"/>
        <v>1</v>
      </c>
      <c r="AP422" s="3">
        <f t="shared" si="264"/>
        <v>0</v>
      </c>
      <c r="AQ422" s="3">
        <f t="shared" si="265"/>
        <v>0</v>
      </c>
      <c r="AR422">
        <f t="shared" si="266"/>
        <v>0</v>
      </c>
    </row>
    <row r="423" spans="4:44" x14ac:dyDescent="0.25">
      <c r="D423" s="1">
        <v>42131</v>
      </c>
      <c r="E423" s="2">
        <v>121.461665</v>
      </c>
      <c r="F423" s="2">
        <v>201.23906199999999</v>
      </c>
      <c r="G423" s="2">
        <f t="shared" si="229"/>
        <v>0.74665499999998985</v>
      </c>
      <c r="H423" s="2">
        <f t="shared" si="230"/>
        <v>0.79967899999999759</v>
      </c>
      <c r="I423" s="4">
        <f t="shared" si="231"/>
        <v>0.68427573036449685</v>
      </c>
      <c r="J423" s="4">
        <f t="shared" si="232"/>
        <v>0.6984580610193144</v>
      </c>
      <c r="K423" s="4">
        <f t="shared" si="233"/>
        <v>0.68072533466886276</v>
      </c>
      <c r="L423" s="4">
        <f t="shared" si="234"/>
        <v>0.82506080664934189</v>
      </c>
      <c r="M423" s="4">
        <f t="shared" si="235"/>
        <v>1</v>
      </c>
      <c r="N423" s="4">
        <f t="shared" si="236"/>
        <v>1</v>
      </c>
      <c r="O423" s="3">
        <f t="shared" si="237"/>
        <v>0.74665499999998985</v>
      </c>
      <c r="P423" s="3">
        <f t="shared" si="238"/>
        <v>0.79967899999999759</v>
      </c>
      <c r="Q423">
        <f t="shared" si="239"/>
        <v>1</v>
      </c>
      <c r="R423" s="3">
        <f t="shared" si="240"/>
        <v>0</v>
      </c>
      <c r="S423" s="3">
        <f t="shared" si="241"/>
        <v>0</v>
      </c>
      <c r="T423">
        <f t="shared" si="242"/>
        <v>0</v>
      </c>
      <c r="U423" s="3">
        <f t="shared" si="243"/>
        <v>0</v>
      </c>
      <c r="V423" s="3">
        <f t="shared" si="244"/>
        <v>0</v>
      </c>
      <c r="W423">
        <f t="shared" si="245"/>
        <v>0</v>
      </c>
      <c r="X423" s="3">
        <f t="shared" si="246"/>
        <v>0</v>
      </c>
      <c r="Y423" s="3">
        <f t="shared" si="247"/>
        <v>0</v>
      </c>
      <c r="Z423">
        <f t="shared" si="248"/>
        <v>0</v>
      </c>
      <c r="AA423" s="3">
        <f t="shared" si="249"/>
        <v>0</v>
      </c>
      <c r="AB423" s="3">
        <f t="shared" si="250"/>
        <v>0</v>
      </c>
      <c r="AC423">
        <f t="shared" si="251"/>
        <v>0</v>
      </c>
      <c r="AD423" s="3">
        <f t="shared" si="252"/>
        <v>0</v>
      </c>
      <c r="AE423" s="3">
        <f t="shared" si="253"/>
        <v>0</v>
      </c>
      <c r="AF423">
        <f t="shared" si="254"/>
        <v>0</v>
      </c>
      <c r="AG423" s="3">
        <f t="shared" si="255"/>
        <v>0</v>
      </c>
      <c r="AH423" s="3">
        <f t="shared" si="256"/>
        <v>0</v>
      </c>
      <c r="AI423">
        <f t="shared" si="257"/>
        <v>0</v>
      </c>
      <c r="AJ423" s="3">
        <f t="shared" si="258"/>
        <v>0</v>
      </c>
      <c r="AK423" s="3">
        <f t="shared" si="259"/>
        <v>0</v>
      </c>
      <c r="AL423">
        <f t="shared" si="260"/>
        <v>0</v>
      </c>
      <c r="AM423" s="3">
        <f t="shared" si="261"/>
        <v>0</v>
      </c>
      <c r="AN423" s="3">
        <f t="shared" si="262"/>
        <v>0</v>
      </c>
      <c r="AO423">
        <f t="shared" si="263"/>
        <v>0</v>
      </c>
      <c r="AP423" s="3">
        <f t="shared" si="264"/>
        <v>0</v>
      </c>
      <c r="AQ423" s="3">
        <f t="shared" si="265"/>
        <v>0</v>
      </c>
      <c r="AR423">
        <f t="shared" si="266"/>
        <v>0</v>
      </c>
    </row>
    <row r="424" spans="4:44" x14ac:dyDescent="0.25">
      <c r="D424" s="1">
        <v>42130</v>
      </c>
      <c r="E424" s="2">
        <v>120.71501000000001</v>
      </c>
      <c r="F424" s="2">
        <v>200.43938299999999</v>
      </c>
      <c r="G424" s="2">
        <f t="shared" si="229"/>
        <v>-0.76285799999999426</v>
      </c>
      <c r="H424" s="2">
        <f t="shared" si="230"/>
        <v>-0.828581000000014</v>
      </c>
      <c r="I424" s="4">
        <f t="shared" si="231"/>
        <v>-0.82523726963548727</v>
      </c>
      <c r="J424" s="4">
        <f t="shared" si="232"/>
        <v>-0.92980193898069718</v>
      </c>
      <c r="K424" s="4">
        <f t="shared" si="233"/>
        <v>1.0966322355773763</v>
      </c>
      <c r="L424" s="4">
        <f t="shared" si="234"/>
        <v>1.0472020987265906</v>
      </c>
      <c r="M424" s="4">
        <f t="shared" si="235"/>
        <v>1</v>
      </c>
      <c r="N424" s="4">
        <f t="shared" si="236"/>
        <v>1</v>
      </c>
      <c r="O424" s="3">
        <f t="shared" si="237"/>
        <v>-0.76285799999999426</v>
      </c>
      <c r="P424" s="3">
        <f t="shared" si="238"/>
        <v>-0.828581000000014</v>
      </c>
      <c r="Q424">
        <f t="shared" si="239"/>
        <v>1</v>
      </c>
      <c r="R424" s="3">
        <f t="shared" si="240"/>
        <v>-0.76285799999999426</v>
      </c>
      <c r="S424" s="3">
        <f t="shared" si="241"/>
        <v>-0.828581000000014</v>
      </c>
      <c r="T424">
        <f t="shared" si="242"/>
        <v>1</v>
      </c>
      <c r="U424" s="3">
        <f t="shared" si="243"/>
        <v>0</v>
      </c>
      <c r="V424" s="3">
        <f t="shared" si="244"/>
        <v>0</v>
      </c>
      <c r="W424">
        <f t="shared" si="245"/>
        <v>0</v>
      </c>
      <c r="X424" s="3">
        <f t="shared" si="246"/>
        <v>0</v>
      </c>
      <c r="Y424" s="3">
        <f t="shared" si="247"/>
        <v>0</v>
      </c>
      <c r="Z424">
        <f t="shared" si="248"/>
        <v>0</v>
      </c>
      <c r="AA424" s="3">
        <f t="shared" si="249"/>
        <v>0</v>
      </c>
      <c r="AB424" s="3">
        <f t="shared" si="250"/>
        <v>0</v>
      </c>
      <c r="AC424">
        <f t="shared" si="251"/>
        <v>0</v>
      </c>
      <c r="AD424" s="3">
        <f t="shared" si="252"/>
        <v>0</v>
      </c>
      <c r="AE424" s="3">
        <f t="shared" si="253"/>
        <v>0</v>
      </c>
      <c r="AF424">
        <f t="shared" si="254"/>
        <v>0</v>
      </c>
      <c r="AG424" s="3">
        <f t="shared" si="255"/>
        <v>0</v>
      </c>
      <c r="AH424" s="3">
        <f t="shared" si="256"/>
        <v>0</v>
      </c>
      <c r="AI424">
        <f t="shared" si="257"/>
        <v>0</v>
      </c>
      <c r="AJ424" s="3">
        <f t="shared" si="258"/>
        <v>0</v>
      </c>
      <c r="AK424" s="3">
        <f t="shared" si="259"/>
        <v>0</v>
      </c>
      <c r="AL424">
        <f t="shared" si="260"/>
        <v>0</v>
      </c>
      <c r="AM424" s="3">
        <f t="shared" si="261"/>
        <v>0</v>
      </c>
      <c r="AN424" s="3">
        <f t="shared" si="262"/>
        <v>0</v>
      </c>
      <c r="AO424">
        <f t="shared" si="263"/>
        <v>0</v>
      </c>
      <c r="AP424" s="3">
        <f t="shared" si="264"/>
        <v>0</v>
      </c>
      <c r="AQ424" s="3">
        <f t="shared" si="265"/>
        <v>0</v>
      </c>
      <c r="AR424">
        <f t="shared" si="266"/>
        <v>0</v>
      </c>
    </row>
    <row r="425" spans="4:44" x14ac:dyDescent="0.25">
      <c r="D425" s="1">
        <v>42129</v>
      </c>
      <c r="E425" s="2">
        <v>121.477868</v>
      </c>
      <c r="F425" s="2">
        <v>201.26796400000001</v>
      </c>
      <c r="G425" s="2">
        <f t="shared" si="229"/>
        <v>-2.8003590000000003</v>
      </c>
      <c r="H425" s="2">
        <f t="shared" si="230"/>
        <v>-2.3315999999999804</v>
      </c>
      <c r="I425" s="4">
        <f t="shared" si="231"/>
        <v>-2.8627382696354933</v>
      </c>
      <c r="J425" s="4">
        <f t="shared" si="232"/>
        <v>-2.4328209389806634</v>
      </c>
      <c r="K425" s="4">
        <f t="shared" si="233"/>
        <v>10.581943658077869</v>
      </c>
      <c r="L425" s="4">
        <f t="shared" si="234"/>
        <v>3.2529899566518599</v>
      </c>
      <c r="M425" s="4">
        <f t="shared" si="235"/>
        <v>0.61481899011409802</v>
      </c>
      <c r="N425" s="4">
        <f t="shared" si="236"/>
        <v>0.11340071718147582</v>
      </c>
      <c r="O425" s="3">
        <f t="shared" si="237"/>
        <v>-2.8003590000000003</v>
      </c>
      <c r="P425" s="3">
        <f t="shared" si="238"/>
        <v>-2.3315999999999804</v>
      </c>
      <c r="Q425">
        <f t="shared" si="239"/>
        <v>1</v>
      </c>
      <c r="R425" s="3">
        <f t="shared" si="240"/>
        <v>-2.8003590000000003</v>
      </c>
      <c r="S425" s="3">
        <f t="shared" si="241"/>
        <v>-2.3315999999999804</v>
      </c>
      <c r="T425">
        <f t="shared" si="242"/>
        <v>1</v>
      </c>
      <c r="U425" s="3">
        <f t="shared" si="243"/>
        <v>-2.8003590000000003</v>
      </c>
      <c r="V425" s="3">
        <f t="shared" si="244"/>
        <v>-2.3315999999999804</v>
      </c>
      <c r="W425">
        <f t="shared" si="245"/>
        <v>1</v>
      </c>
      <c r="X425" s="3">
        <f t="shared" si="246"/>
        <v>-2.8003590000000003</v>
      </c>
      <c r="Y425" s="3">
        <f t="shared" si="247"/>
        <v>-2.3315999999999804</v>
      </c>
      <c r="Z425">
        <f t="shared" si="248"/>
        <v>1</v>
      </c>
      <c r="AA425" s="3">
        <f t="shared" si="249"/>
        <v>-2.8003590000000003</v>
      </c>
      <c r="AB425" s="3">
        <f t="shared" si="250"/>
        <v>-2.3315999999999804</v>
      </c>
      <c r="AC425">
        <f t="shared" si="251"/>
        <v>1</v>
      </c>
      <c r="AD425" s="3">
        <f t="shared" si="252"/>
        <v>-2.8003590000000003</v>
      </c>
      <c r="AE425" s="3">
        <f t="shared" si="253"/>
        <v>-2.3315999999999804</v>
      </c>
      <c r="AF425">
        <f t="shared" si="254"/>
        <v>1</v>
      </c>
      <c r="AG425" s="3">
        <f t="shared" si="255"/>
        <v>-2.8003590000000003</v>
      </c>
      <c r="AH425" s="3">
        <f t="shared" si="256"/>
        <v>-2.3315999999999804</v>
      </c>
      <c r="AI425">
        <f t="shared" si="257"/>
        <v>1</v>
      </c>
      <c r="AJ425" s="3">
        <f t="shared" si="258"/>
        <v>-2.8003590000000003</v>
      </c>
      <c r="AK425" s="3">
        <f t="shared" si="259"/>
        <v>-2.3315999999999804</v>
      </c>
      <c r="AL425">
        <f t="shared" si="260"/>
        <v>1</v>
      </c>
      <c r="AM425" s="3">
        <f t="shared" si="261"/>
        <v>-2.8003590000000003</v>
      </c>
      <c r="AN425" s="3">
        <f t="shared" si="262"/>
        <v>-2.3315999999999804</v>
      </c>
      <c r="AO425">
        <f t="shared" si="263"/>
        <v>1</v>
      </c>
      <c r="AP425" s="3">
        <f t="shared" si="264"/>
        <v>-2.8003590000000003</v>
      </c>
      <c r="AQ425" s="3">
        <f t="shared" si="265"/>
        <v>-2.3315999999999804</v>
      </c>
      <c r="AR425">
        <f t="shared" si="266"/>
        <v>1</v>
      </c>
    </row>
    <row r="426" spans="4:44" x14ac:dyDescent="0.25">
      <c r="D426" s="1">
        <v>42128</v>
      </c>
      <c r="E426" s="2">
        <v>124.278227</v>
      </c>
      <c r="F426" s="2">
        <v>203.59956399999999</v>
      </c>
      <c r="G426" s="2">
        <f t="shared" si="229"/>
        <v>-0.2414100000000019</v>
      </c>
      <c r="H426" s="2">
        <f t="shared" si="230"/>
        <v>0.5780849999999873</v>
      </c>
      <c r="I426" s="4">
        <f t="shared" si="231"/>
        <v>-0.30378926963549491</v>
      </c>
      <c r="J426" s="4">
        <f t="shared" si="232"/>
        <v>0.47686406101930412</v>
      </c>
      <c r="K426" s="4">
        <f t="shared" si="233"/>
        <v>1.0035238266127529</v>
      </c>
      <c r="L426" s="4">
        <f t="shared" si="234"/>
        <v>1.0017603638659063</v>
      </c>
      <c r="M426" s="4">
        <f t="shared" si="235"/>
        <v>1</v>
      </c>
      <c r="N426" s="4">
        <f t="shared" si="236"/>
        <v>1</v>
      </c>
      <c r="O426" s="3">
        <f t="shared" si="237"/>
        <v>-0.2414100000000019</v>
      </c>
      <c r="P426" s="3">
        <f t="shared" si="238"/>
        <v>0.5780849999999873</v>
      </c>
      <c r="Q426">
        <f t="shared" si="239"/>
        <v>1</v>
      </c>
      <c r="R426" s="3">
        <f t="shared" si="240"/>
        <v>-0.2414100000000019</v>
      </c>
      <c r="S426" s="3">
        <f t="shared" si="241"/>
        <v>0.5780849999999873</v>
      </c>
      <c r="T426">
        <f t="shared" si="242"/>
        <v>1</v>
      </c>
      <c r="U426" s="3">
        <f t="shared" si="243"/>
        <v>0</v>
      </c>
      <c r="V426" s="3">
        <f t="shared" si="244"/>
        <v>0</v>
      </c>
      <c r="W426">
        <f t="shared" si="245"/>
        <v>0</v>
      </c>
      <c r="X426" s="3">
        <f t="shared" si="246"/>
        <v>0</v>
      </c>
      <c r="Y426" s="3">
        <f t="shared" si="247"/>
        <v>0</v>
      </c>
      <c r="Z426">
        <f t="shared" si="248"/>
        <v>0</v>
      </c>
      <c r="AA426" s="3">
        <f t="shared" si="249"/>
        <v>0</v>
      </c>
      <c r="AB426" s="3">
        <f t="shared" si="250"/>
        <v>0</v>
      </c>
      <c r="AC426">
        <f t="shared" si="251"/>
        <v>0</v>
      </c>
      <c r="AD426" s="3">
        <f t="shared" si="252"/>
        <v>0</v>
      </c>
      <c r="AE426" s="3">
        <f t="shared" si="253"/>
        <v>0</v>
      </c>
      <c r="AF426">
        <f t="shared" si="254"/>
        <v>0</v>
      </c>
      <c r="AG426" s="3">
        <f t="shared" si="255"/>
        <v>0</v>
      </c>
      <c r="AH426" s="3">
        <f t="shared" si="256"/>
        <v>0</v>
      </c>
      <c r="AI426">
        <f t="shared" si="257"/>
        <v>0</v>
      </c>
      <c r="AJ426" s="3">
        <f t="shared" si="258"/>
        <v>0</v>
      </c>
      <c r="AK426" s="3">
        <f t="shared" si="259"/>
        <v>0</v>
      </c>
      <c r="AL426">
        <f t="shared" si="260"/>
        <v>0</v>
      </c>
      <c r="AM426" s="3">
        <f t="shared" si="261"/>
        <v>0</v>
      </c>
      <c r="AN426" s="3">
        <f t="shared" si="262"/>
        <v>0</v>
      </c>
      <c r="AO426">
        <f t="shared" si="263"/>
        <v>0</v>
      </c>
      <c r="AP426" s="3">
        <f t="shared" si="264"/>
        <v>0</v>
      </c>
      <c r="AQ426" s="3">
        <f t="shared" si="265"/>
        <v>0</v>
      </c>
      <c r="AR426">
        <f t="shared" si="266"/>
        <v>0</v>
      </c>
    </row>
    <row r="427" spans="4:44" x14ac:dyDescent="0.25">
      <c r="D427" s="1">
        <v>42125</v>
      </c>
      <c r="E427" s="2">
        <v>124.519637</v>
      </c>
      <c r="F427" s="2">
        <v>203.021479</v>
      </c>
      <c r="G427" s="2">
        <f t="shared" si="229"/>
        <v>3.6694379999999995</v>
      </c>
      <c r="H427" s="2">
        <f t="shared" si="230"/>
        <v>2.1774269999999945</v>
      </c>
      <c r="I427" s="4">
        <f t="shared" si="231"/>
        <v>3.6070587303645065</v>
      </c>
      <c r="J427" s="4">
        <f t="shared" si="232"/>
        <v>2.0762060610193114</v>
      </c>
      <c r="K427" s="4">
        <f t="shared" si="233"/>
        <v>16.417024935196448</v>
      </c>
      <c r="L427" s="4">
        <f t="shared" si="234"/>
        <v>4.0517928050674614</v>
      </c>
      <c r="M427" s="4">
        <f t="shared" si="235"/>
        <v>0.49360865577792062</v>
      </c>
      <c r="N427" s="4">
        <f t="shared" si="236"/>
        <v>7.3094851517665718E-2</v>
      </c>
      <c r="O427" s="3">
        <f t="shared" si="237"/>
        <v>3.6694379999999995</v>
      </c>
      <c r="P427" s="3">
        <f t="shared" si="238"/>
        <v>2.1774269999999945</v>
      </c>
      <c r="Q427">
        <f t="shared" si="239"/>
        <v>1</v>
      </c>
      <c r="R427" s="3">
        <f t="shared" si="240"/>
        <v>3.6694379999999995</v>
      </c>
      <c r="S427" s="3">
        <f t="shared" si="241"/>
        <v>2.1774269999999945</v>
      </c>
      <c r="T427">
        <f t="shared" si="242"/>
        <v>1</v>
      </c>
      <c r="U427" s="3">
        <f t="shared" si="243"/>
        <v>3.6694379999999995</v>
      </c>
      <c r="V427" s="3">
        <f t="shared" si="244"/>
        <v>2.1774269999999945</v>
      </c>
      <c r="W427">
        <f t="shared" si="245"/>
        <v>1</v>
      </c>
      <c r="X427" s="3">
        <f t="shared" si="246"/>
        <v>3.6694379999999995</v>
      </c>
      <c r="Y427" s="3">
        <f t="shared" si="247"/>
        <v>2.1774269999999945</v>
      </c>
      <c r="Z427">
        <f t="shared" si="248"/>
        <v>1</v>
      </c>
      <c r="AA427" s="3">
        <f t="shared" si="249"/>
        <v>3.6694379999999995</v>
      </c>
      <c r="AB427" s="3">
        <f t="shared" si="250"/>
        <v>2.1774269999999945</v>
      </c>
      <c r="AC427">
        <f t="shared" si="251"/>
        <v>1</v>
      </c>
      <c r="AD427" s="3">
        <f t="shared" si="252"/>
        <v>3.6694379999999995</v>
      </c>
      <c r="AE427" s="3">
        <f t="shared" si="253"/>
        <v>2.1774269999999945</v>
      </c>
      <c r="AF427">
        <f t="shared" si="254"/>
        <v>1</v>
      </c>
      <c r="AG427" s="3">
        <f t="shared" si="255"/>
        <v>3.6694379999999995</v>
      </c>
      <c r="AH427" s="3">
        <f t="shared" si="256"/>
        <v>2.1774269999999945</v>
      </c>
      <c r="AI427">
        <f t="shared" si="257"/>
        <v>1</v>
      </c>
      <c r="AJ427" s="3">
        <f t="shared" si="258"/>
        <v>3.6694379999999995</v>
      </c>
      <c r="AK427" s="3">
        <f t="shared" si="259"/>
        <v>2.1774269999999945</v>
      </c>
      <c r="AL427">
        <f t="shared" si="260"/>
        <v>1</v>
      </c>
      <c r="AM427" s="3">
        <f t="shared" si="261"/>
        <v>3.6694379999999995</v>
      </c>
      <c r="AN427" s="3">
        <f t="shared" si="262"/>
        <v>2.1774269999999945</v>
      </c>
      <c r="AO427">
        <f t="shared" si="263"/>
        <v>1</v>
      </c>
      <c r="AP427" s="3">
        <f t="shared" si="264"/>
        <v>3.6694379999999995</v>
      </c>
      <c r="AQ427" s="3">
        <f t="shared" si="265"/>
        <v>2.1774269999999945</v>
      </c>
      <c r="AR427">
        <f t="shared" si="266"/>
        <v>1</v>
      </c>
    </row>
    <row r="428" spans="4:44" x14ac:dyDescent="0.25">
      <c r="D428" s="1">
        <v>42124</v>
      </c>
      <c r="E428" s="2">
        <v>120.850199</v>
      </c>
      <c r="F428" s="2">
        <v>200.844052</v>
      </c>
      <c r="G428" s="2">
        <f t="shared" si="229"/>
        <v>-3.3700910000000022</v>
      </c>
      <c r="H428" s="2">
        <f t="shared" si="230"/>
        <v>-2.0329130000000077</v>
      </c>
      <c r="I428" s="4">
        <f t="shared" si="231"/>
        <v>-3.4324702696354952</v>
      </c>
      <c r="J428" s="4">
        <f t="shared" si="232"/>
        <v>-2.1341339389806908</v>
      </c>
      <c r="K428" s="4">
        <f t="shared" si="233"/>
        <v>14.689457625540955</v>
      </c>
      <c r="L428" s="4">
        <f t="shared" si="234"/>
        <v>3.8326828234985681</v>
      </c>
      <c r="M428" s="4">
        <f t="shared" si="235"/>
        <v>0.52182768366268051</v>
      </c>
      <c r="N428" s="4">
        <f t="shared" si="236"/>
        <v>8.1691239431027574E-2</v>
      </c>
      <c r="O428" s="3">
        <f t="shared" si="237"/>
        <v>-3.3700910000000022</v>
      </c>
      <c r="P428" s="3">
        <f t="shared" si="238"/>
        <v>-2.0329130000000077</v>
      </c>
      <c r="Q428">
        <f t="shared" si="239"/>
        <v>1</v>
      </c>
      <c r="R428" s="3">
        <f t="shared" si="240"/>
        <v>-3.3700910000000022</v>
      </c>
      <c r="S428" s="3">
        <f t="shared" si="241"/>
        <v>-2.0329130000000077</v>
      </c>
      <c r="T428">
        <f t="shared" si="242"/>
        <v>1</v>
      </c>
      <c r="U428" s="3">
        <f t="shared" si="243"/>
        <v>-3.3700910000000022</v>
      </c>
      <c r="V428" s="3">
        <f t="shared" si="244"/>
        <v>-2.0329130000000077</v>
      </c>
      <c r="W428">
        <f t="shared" si="245"/>
        <v>1</v>
      </c>
      <c r="X428" s="3">
        <f t="shared" si="246"/>
        <v>-3.3700910000000022</v>
      </c>
      <c r="Y428" s="3">
        <f t="shared" si="247"/>
        <v>-2.0329130000000077</v>
      </c>
      <c r="Z428">
        <f t="shared" si="248"/>
        <v>1</v>
      </c>
      <c r="AA428" s="3">
        <f t="shared" si="249"/>
        <v>-3.3700910000000022</v>
      </c>
      <c r="AB428" s="3">
        <f t="shared" si="250"/>
        <v>-2.0329130000000077</v>
      </c>
      <c r="AC428">
        <f t="shared" si="251"/>
        <v>1</v>
      </c>
      <c r="AD428" s="3">
        <f t="shared" si="252"/>
        <v>-3.3700910000000022</v>
      </c>
      <c r="AE428" s="3">
        <f t="shared" si="253"/>
        <v>-2.0329130000000077</v>
      </c>
      <c r="AF428">
        <f t="shared" si="254"/>
        <v>1</v>
      </c>
      <c r="AG428" s="3">
        <f t="shared" si="255"/>
        <v>-3.3700910000000022</v>
      </c>
      <c r="AH428" s="3">
        <f t="shared" si="256"/>
        <v>-2.0329130000000077</v>
      </c>
      <c r="AI428">
        <f t="shared" si="257"/>
        <v>1</v>
      </c>
      <c r="AJ428" s="3">
        <f t="shared" si="258"/>
        <v>-3.3700910000000022</v>
      </c>
      <c r="AK428" s="3">
        <f t="shared" si="259"/>
        <v>-2.0329130000000077</v>
      </c>
      <c r="AL428">
        <f t="shared" si="260"/>
        <v>1</v>
      </c>
      <c r="AM428" s="3">
        <f t="shared" si="261"/>
        <v>-3.3700910000000022</v>
      </c>
      <c r="AN428" s="3">
        <f t="shared" si="262"/>
        <v>-2.0329130000000077</v>
      </c>
      <c r="AO428">
        <f t="shared" si="263"/>
        <v>1</v>
      </c>
      <c r="AP428" s="3">
        <f t="shared" si="264"/>
        <v>-3.3700910000000022</v>
      </c>
      <c r="AQ428" s="3">
        <f t="shared" si="265"/>
        <v>-2.0329130000000077</v>
      </c>
      <c r="AR428">
        <f t="shared" si="266"/>
        <v>1</v>
      </c>
    </row>
    <row r="429" spans="4:44" x14ac:dyDescent="0.25">
      <c r="D429" s="1">
        <v>42123</v>
      </c>
      <c r="E429" s="2">
        <v>124.22029000000001</v>
      </c>
      <c r="F429" s="2">
        <v>202.87696500000001</v>
      </c>
      <c r="G429" s="2">
        <f t="shared" si="229"/>
        <v>-1.8540330000000012</v>
      </c>
      <c r="H429" s="2">
        <f t="shared" si="230"/>
        <v>-0.83820999999997525</v>
      </c>
      <c r="I429" s="4">
        <f t="shared" si="231"/>
        <v>-1.9164122696354942</v>
      </c>
      <c r="J429" s="4">
        <f t="shared" si="232"/>
        <v>-0.93943093898065844</v>
      </c>
      <c r="K429" s="4">
        <f t="shared" si="233"/>
        <v>4.814296993300557</v>
      </c>
      <c r="L429" s="4">
        <f t="shared" si="234"/>
        <v>2.1941506314062753</v>
      </c>
      <c r="M429" s="4">
        <f t="shared" si="235"/>
        <v>0.91151444726388708</v>
      </c>
      <c r="N429" s="4">
        <f t="shared" si="236"/>
        <v>0.24925757627123687</v>
      </c>
      <c r="O429" s="3">
        <f t="shared" si="237"/>
        <v>-1.8540330000000012</v>
      </c>
      <c r="P429" s="3">
        <f t="shared" si="238"/>
        <v>-0.83820999999997525</v>
      </c>
      <c r="Q429">
        <f t="shared" si="239"/>
        <v>1</v>
      </c>
      <c r="R429" s="3">
        <f t="shared" si="240"/>
        <v>-1.8540330000000012</v>
      </c>
      <c r="S429" s="3">
        <f t="shared" si="241"/>
        <v>-0.83820999999997525</v>
      </c>
      <c r="T429">
        <f t="shared" si="242"/>
        <v>1</v>
      </c>
      <c r="U429" s="3">
        <f t="shared" si="243"/>
        <v>-1.8540330000000012</v>
      </c>
      <c r="V429" s="3">
        <f t="shared" si="244"/>
        <v>-0.83820999999997525</v>
      </c>
      <c r="W429">
        <f t="shared" si="245"/>
        <v>1</v>
      </c>
      <c r="X429" s="3">
        <f t="shared" si="246"/>
        <v>-1.8540330000000012</v>
      </c>
      <c r="Y429" s="3">
        <f t="shared" si="247"/>
        <v>-0.83820999999997525</v>
      </c>
      <c r="Z429">
        <f t="shared" si="248"/>
        <v>1</v>
      </c>
      <c r="AA429" s="3">
        <f t="shared" si="249"/>
        <v>-1.8540330000000012</v>
      </c>
      <c r="AB429" s="3">
        <f t="shared" si="250"/>
        <v>-0.83820999999997525</v>
      </c>
      <c r="AC429">
        <f t="shared" si="251"/>
        <v>1</v>
      </c>
      <c r="AD429" s="3">
        <f t="shared" si="252"/>
        <v>0</v>
      </c>
      <c r="AE429" s="3">
        <f t="shared" si="253"/>
        <v>0</v>
      </c>
      <c r="AF429">
        <f t="shared" si="254"/>
        <v>0</v>
      </c>
      <c r="AG429" s="3">
        <f t="shared" si="255"/>
        <v>0</v>
      </c>
      <c r="AH429" s="3">
        <f t="shared" si="256"/>
        <v>0</v>
      </c>
      <c r="AI429">
        <f t="shared" si="257"/>
        <v>0</v>
      </c>
      <c r="AJ429" s="3">
        <f t="shared" si="258"/>
        <v>0</v>
      </c>
      <c r="AK429" s="3">
        <f t="shared" si="259"/>
        <v>0</v>
      </c>
      <c r="AL429">
        <f t="shared" si="260"/>
        <v>0</v>
      </c>
      <c r="AM429" s="3">
        <f t="shared" si="261"/>
        <v>0</v>
      </c>
      <c r="AN429" s="3">
        <f t="shared" si="262"/>
        <v>0</v>
      </c>
      <c r="AO429">
        <f t="shared" si="263"/>
        <v>0</v>
      </c>
      <c r="AP429" s="3">
        <f t="shared" si="264"/>
        <v>0</v>
      </c>
      <c r="AQ429" s="3">
        <f t="shared" si="265"/>
        <v>0</v>
      </c>
      <c r="AR429">
        <f t="shared" si="266"/>
        <v>0</v>
      </c>
    </row>
    <row r="430" spans="4:44" x14ac:dyDescent="0.25">
      <c r="D430" s="1">
        <v>42122</v>
      </c>
      <c r="E430" s="2">
        <v>126.07432300000001</v>
      </c>
      <c r="F430" s="2">
        <v>203.71517499999999</v>
      </c>
      <c r="G430" s="2">
        <f t="shared" si="229"/>
        <v>-2.0181899999999899</v>
      </c>
      <c r="H430" s="2">
        <f t="shared" si="230"/>
        <v>0.64551999999997633</v>
      </c>
      <c r="I430" s="4">
        <f t="shared" si="231"/>
        <v>-2.0805692696354829</v>
      </c>
      <c r="J430" s="4">
        <f t="shared" si="232"/>
        <v>0.54429906101929315</v>
      </c>
      <c r="K430" s="4">
        <f t="shared" si="233"/>
        <v>12.710557850660797</v>
      </c>
      <c r="L430" s="4">
        <f t="shared" si="234"/>
        <v>3.5651869306756971</v>
      </c>
      <c r="M430" s="4">
        <f t="shared" si="235"/>
        <v>0.56098040268002081</v>
      </c>
      <c r="N430" s="4">
        <f t="shared" si="236"/>
        <v>9.4409703657311494E-2</v>
      </c>
      <c r="O430" s="3">
        <f t="shared" si="237"/>
        <v>-2.0181899999999899</v>
      </c>
      <c r="P430" s="3">
        <f t="shared" si="238"/>
        <v>0.64551999999997633</v>
      </c>
      <c r="Q430">
        <f t="shared" si="239"/>
        <v>1</v>
      </c>
      <c r="R430" s="3">
        <f t="shared" si="240"/>
        <v>-2.0181899999999899</v>
      </c>
      <c r="S430" s="3">
        <f t="shared" si="241"/>
        <v>0.64551999999997633</v>
      </c>
      <c r="T430">
        <f t="shared" si="242"/>
        <v>1</v>
      </c>
      <c r="U430" s="3">
        <f t="shared" si="243"/>
        <v>-2.0181899999999899</v>
      </c>
      <c r="V430" s="3">
        <f t="shared" si="244"/>
        <v>0.64551999999997633</v>
      </c>
      <c r="W430">
        <f t="shared" si="245"/>
        <v>1</v>
      </c>
      <c r="X430" s="3">
        <f t="shared" si="246"/>
        <v>-2.0181899999999899</v>
      </c>
      <c r="Y430" s="3">
        <f t="shared" si="247"/>
        <v>0.64551999999997633</v>
      </c>
      <c r="Z430">
        <f t="shared" si="248"/>
        <v>1</v>
      </c>
      <c r="AA430" s="3">
        <f t="shared" si="249"/>
        <v>-2.0181899999999899</v>
      </c>
      <c r="AB430" s="3">
        <f t="shared" si="250"/>
        <v>0.64551999999997633</v>
      </c>
      <c r="AC430">
        <f t="shared" si="251"/>
        <v>1</v>
      </c>
      <c r="AD430" s="3">
        <f t="shared" si="252"/>
        <v>-2.0181899999999899</v>
      </c>
      <c r="AE430" s="3">
        <f t="shared" si="253"/>
        <v>0.64551999999997633</v>
      </c>
      <c r="AF430">
        <f t="shared" si="254"/>
        <v>1</v>
      </c>
      <c r="AG430" s="3">
        <f t="shared" si="255"/>
        <v>-2.0181899999999899</v>
      </c>
      <c r="AH430" s="3">
        <f t="shared" si="256"/>
        <v>0.64551999999997633</v>
      </c>
      <c r="AI430">
        <f t="shared" si="257"/>
        <v>1</v>
      </c>
      <c r="AJ430" s="3">
        <f t="shared" si="258"/>
        <v>-2.0181899999999899</v>
      </c>
      <c r="AK430" s="3">
        <f t="shared" si="259"/>
        <v>0.64551999999997633</v>
      </c>
      <c r="AL430">
        <f t="shared" si="260"/>
        <v>1</v>
      </c>
      <c r="AM430" s="3">
        <f t="shared" si="261"/>
        <v>-2.0181899999999899</v>
      </c>
      <c r="AN430" s="3">
        <f t="shared" si="262"/>
        <v>0.64551999999997633</v>
      </c>
      <c r="AO430">
        <f t="shared" si="263"/>
        <v>1</v>
      </c>
      <c r="AP430" s="3">
        <f t="shared" si="264"/>
        <v>-2.0181899999999899</v>
      </c>
      <c r="AQ430" s="3">
        <f t="shared" si="265"/>
        <v>0.64551999999997633</v>
      </c>
      <c r="AR430">
        <f t="shared" si="266"/>
        <v>1</v>
      </c>
    </row>
    <row r="431" spans="4:44" x14ac:dyDescent="0.25">
      <c r="D431" s="1">
        <v>42121</v>
      </c>
      <c r="E431" s="2">
        <v>128.092513</v>
      </c>
      <c r="F431" s="2">
        <v>203.06965500000001</v>
      </c>
      <c r="G431" s="2">
        <f t="shared" si="229"/>
        <v>2.2885689999999954</v>
      </c>
      <c r="H431" s="2">
        <f t="shared" si="230"/>
        <v>-0.84783999999999082</v>
      </c>
      <c r="I431" s="4">
        <f t="shared" si="231"/>
        <v>2.2261897303645024</v>
      </c>
      <c r="J431" s="4">
        <f t="shared" si="232"/>
        <v>-0.94906093898067401</v>
      </c>
      <c r="K431" s="4">
        <f t="shared" si="233"/>
        <v>17.735416123723738</v>
      </c>
      <c r="L431" s="4">
        <f t="shared" si="234"/>
        <v>4.2113437432396488</v>
      </c>
      <c r="M431" s="4">
        <f t="shared" si="235"/>
        <v>0.47490780186503262</v>
      </c>
      <c r="N431" s="4">
        <f t="shared" si="236"/>
        <v>6.7661226081683123E-2</v>
      </c>
      <c r="O431" s="3">
        <f t="shared" si="237"/>
        <v>2.2885689999999954</v>
      </c>
      <c r="P431" s="3">
        <f t="shared" si="238"/>
        <v>-0.84783999999999082</v>
      </c>
      <c r="Q431">
        <f t="shared" si="239"/>
        <v>1</v>
      </c>
      <c r="R431" s="3">
        <f t="shared" si="240"/>
        <v>2.2885689999999954</v>
      </c>
      <c r="S431" s="3">
        <f t="shared" si="241"/>
        <v>-0.84783999999999082</v>
      </c>
      <c r="T431">
        <f t="shared" si="242"/>
        <v>1</v>
      </c>
      <c r="U431" s="3">
        <f t="shared" si="243"/>
        <v>2.2885689999999954</v>
      </c>
      <c r="V431" s="3">
        <f t="shared" si="244"/>
        <v>-0.84783999999999082</v>
      </c>
      <c r="W431">
        <f t="shared" si="245"/>
        <v>1</v>
      </c>
      <c r="X431" s="3">
        <f t="shared" si="246"/>
        <v>2.2885689999999954</v>
      </c>
      <c r="Y431" s="3">
        <f t="shared" si="247"/>
        <v>-0.84783999999999082</v>
      </c>
      <c r="Z431">
        <f t="shared" si="248"/>
        <v>1</v>
      </c>
      <c r="AA431" s="3">
        <f t="shared" si="249"/>
        <v>2.2885689999999954</v>
      </c>
      <c r="AB431" s="3">
        <f t="shared" si="250"/>
        <v>-0.84783999999999082</v>
      </c>
      <c r="AC431">
        <f t="shared" si="251"/>
        <v>1</v>
      </c>
      <c r="AD431" s="3">
        <f t="shared" si="252"/>
        <v>2.2885689999999954</v>
      </c>
      <c r="AE431" s="3">
        <f t="shared" si="253"/>
        <v>-0.84783999999999082</v>
      </c>
      <c r="AF431">
        <f t="shared" si="254"/>
        <v>1</v>
      </c>
      <c r="AG431" s="3">
        <f t="shared" si="255"/>
        <v>2.2885689999999954</v>
      </c>
      <c r="AH431" s="3">
        <f t="shared" si="256"/>
        <v>-0.84783999999999082</v>
      </c>
      <c r="AI431">
        <f t="shared" si="257"/>
        <v>1</v>
      </c>
      <c r="AJ431" s="3">
        <f t="shared" si="258"/>
        <v>2.2885689999999954</v>
      </c>
      <c r="AK431" s="3">
        <f t="shared" si="259"/>
        <v>-0.84783999999999082</v>
      </c>
      <c r="AL431">
        <f t="shared" si="260"/>
        <v>1</v>
      </c>
      <c r="AM431" s="3">
        <f t="shared" si="261"/>
        <v>2.2885689999999954</v>
      </c>
      <c r="AN431" s="3">
        <f t="shared" si="262"/>
        <v>-0.84783999999999082</v>
      </c>
      <c r="AO431">
        <f t="shared" si="263"/>
        <v>1</v>
      </c>
      <c r="AP431" s="3">
        <f t="shared" si="264"/>
        <v>2.2885689999999954</v>
      </c>
      <c r="AQ431" s="3">
        <f t="shared" si="265"/>
        <v>-0.84783999999999082</v>
      </c>
      <c r="AR431">
        <f t="shared" si="266"/>
        <v>1</v>
      </c>
    </row>
    <row r="432" spans="4:44" x14ac:dyDescent="0.25">
      <c r="D432" s="1">
        <v>42118</v>
      </c>
      <c r="E432" s="2">
        <v>125.803944</v>
      </c>
      <c r="F432" s="2">
        <v>203.917495</v>
      </c>
      <c r="G432" s="2">
        <f t="shared" si="229"/>
        <v>0.58904300000000376</v>
      </c>
      <c r="H432" s="2">
        <f t="shared" si="230"/>
        <v>0.47208900000001108</v>
      </c>
      <c r="I432" s="4">
        <f t="shared" si="231"/>
        <v>0.52666373036451075</v>
      </c>
      <c r="J432" s="4">
        <f t="shared" si="232"/>
        <v>0.3708680610193279</v>
      </c>
      <c r="K432" s="4">
        <f t="shared" si="233"/>
        <v>0.34396791475099309</v>
      </c>
      <c r="L432" s="4">
        <f t="shared" si="234"/>
        <v>0.58648777885902537</v>
      </c>
      <c r="M432" s="4">
        <f t="shared" si="235"/>
        <v>1</v>
      </c>
      <c r="N432" s="4">
        <f t="shared" si="236"/>
        <v>1</v>
      </c>
      <c r="O432" s="3">
        <f t="shared" si="237"/>
        <v>0.58904300000000376</v>
      </c>
      <c r="P432" s="3">
        <f t="shared" si="238"/>
        <v>0.47208900000001108</v>
      </c>
      <c r="Q432">
        <f t="shared" si="239"/>
        <v>1</v>
      </c>
      <c r="R432" s="3">
        <f t="shared" si="240"/>
        <v>0</v>
      </c>
      <c r="S432" s="3">
        <f t="shared" si="241"/>
        <v>0</v>
      </c>
      <c r="T432">
        <f t="shared" si="242"/>
        <v>0</v>
      </c>
      <c r="U432" s="3">
        <f t="shared" si="243"/>
        <v>0</v>
      </c>
      <c r="V432" s="3">
        <f t="shared" si="244"/>
        <v>0</v>
      </c>
      <c r="W432">
        <f t="shared" si="245"/>
        <v>0</v>
      </c>
      <c r="X432" s="3">
        <f t="shared" si="246"/>
        <v>0</v>
      </c>
      <c r="Y432" s="3">
        <f t="shared" si="247"/>
        <v>0</v>
      </c>
      <c r="Z432">
        <f t="shared" si="248"/>
        <v>0</v>
      </c>
      <c r="AA432" s="3">
        <f t="shared" si="249"/>
        <v>0</v>
      </c>
      <c r="AB432" s="3">
        <f t="shared" si="250"/>
        <v>0</v>
      </c>
      <c r="AC432">
        <f t="shared" si="251"/>
        <v>0</v>
      </c>
      <c r="AD432" s="3">
        <f t="shared" si="252"/>
        <v>0</v>
      </c>
      <c r="AE432" s="3">
        <f t="shared" si="253"/>
        <v>0</v>
      </c>
      <c r="AF432">
        <f t="shared" si="254"/>
        <v>0</v>
      </c>
      <c r="AG432" s="3">
        <f t="shared" si="255"/>
        <v>0</v>
      </c>
      <c r="AH432" s="3">
        <f t="shared" si="256"/>
        <v>0</v>
      </c>
      <c r="AI432">
        <f t="shared" si="257"/>
        <v>0</v>
      </c>
      <c r="AJ432" s="3">
        <f t="shared" si="258"/>
        <v>0</v>
      </c>
      <c r="AK432" s="3">
        <f t="shared" si="259"/>
        <v>0</v>
      </c>
      <c r="AL432">
        <f t="shared" si="260"/>
        <v>0</v>
      </c>
      <c r="AM432" s="3">
        <f t="shared" si="261"/>
        <v>0</v>
      </c>
      <c r="AN432" s="3">
        <f t="shared" si="262"/>
        <v>0</v>
      </c>
      <c r="AO432">
        <f t="shared" si="263"/>
        <v>0</v>
      </c>
      <c r="AP432" s="3">
        <f t="shared" si="264"/>
        <v>0</v>
      </c>
      <c r="AQ432" s="3">
        <f t="shared" si="265"/>
        <v>0</v>
      </c>
      <c r="AR432">
        <f t="shared" si="266"/>
        <v>0</v>
      </c>
    </row>
    <row r="433" spans="4:44" x14ac:dyDescent="0.25">
      <c r="D433" s="1">
        <v>42117</v>
      </c>
      <c r="E433" s="2">
        <v>125.214901</v>
      </c>
      <c r="F433" s="2">
        <v>203.44540599999999</v>
      </c>
      <c r="G433" s="2">
        <f t="shared" si="229"/>
        <v>1.0139279999999928</v>
      </c>
      <c r="H433" s="2">
        <f t="shared" si="230"/>
        <v>0.5106349999999793</v>
      </c>
      <c r="I433" s="4">
        <f t="shared" si="231"/>
        <v>0.95154873036449983</v>
      </c>
      <c r="J433" s="4">
        <f t="shared" si="232"/>
        <v>0.40941406101929612</v>
      </c>
      <c r="K433" s="4">
        <f t="shared" si="233"/>
        <v>1.2330487427560206</v>
      </c>
      <c r="L433" s="4">
        <f t="shared" si="234"/>
        <v>1.1104272793641285</v>
      </c>
      <c r="M433" s="4">
        <f t="shared" si="235"/>
        <v>1</v>
      </c>
      <c r="N433" s="4">
        <f t="shared" si="236"/>
        <v>1</v>
      </c>
      <c r="O433" s="3">
        <f t="shared" si="237"/>
        <v>1.0139279999999928</v>
      </c>
      <c r="P433" s="3">
        <f t="shared" si="238"/>
        <v>0.5106349999999793</v>
      </c>
      <c r="Q433">
        <f t="shared" si="239"/>
        <v>1</v>
      </c>
      <c r="R433" s="3">
        <f t="shared" si="240"/>
        <v>1.0139279999999928</v>
      </c>
      <c r="S433" s="3">
        <f t="shared" si="241"/>
        <v>0.5106349999999793</v>
      </c>
      <c r="T433">
        <f t="shared" si="242"/>
        <v>1</v>
      </c>
      <c r="U433" s="3">
        <f t="shared" si="243"/>
        <v>0</v>
      </c>
      <c r="V433" s="3">
        <f t="shared" si="244"/>
        <v>0</v>
      </c>
      <c r="W433">
        <f t="shared" si="245"/>
        <v>0</v>
      </c>
      <c r="X433" s="3">
        <f t="shared" si="246"/>
        <v>0</v>
      </c>
      <c r="Y433" s="3">
        <f t="shared" si="247"/>
        <v>0</v>
      </c>
      <c r="Z433">
        <f t="shared" si="248"/>
        <v>0</v>
      </c>
      <c r="AA433" s="3">
        <f t="shared" si="249"/>
        <v>0</v>
      </c>
      <c r="AB433" s="3">
        <f t="shared" si="250"/>
        <v>0</v>
      </c>
      <c r="AC433">
        <f t="shared" si="251"/>
        <v>0</v>
      </c>
      <c r="AD433" s="3">
        <f t="shared" si="252"/>
        <v>0</v>
      </c>
      <c r="AE433" s="3">
        <f t="shared" si="253"/>
        <v>0</v>
      </c>
      <c r="AF433">
        <f t="shared" si="254"/>
        <v>0</v>
      </c>
      <c r="AG433" s="3">
        <f t="shared" si="255"/>
        <v>0</v>
      </c>
      <c r="AH433" s="3">
        <f t="shared" si="256"/>
        <v>0</v>
      </c>
      <c r="AI433">
        <f t="shared" si="257"/>
        <v>0</v>
      </c>
      <c r="AJ433" s="3">
        <f t="shared" si="258"/>
        <v>0</v>
      </c>
      <c r="AK433" s="3">
        <f t="shared" si="259"/>
        <v>0</v>
      </c>
      <c r="AL433">
        <f t="shared" si="260"/>
        <v>0</v>
      </c>
      <c r="AM433" s="3">
        <f t="shared" si="261"/>
        <v>0</v>
      </c>
      <c r="AN433" s="3">
        <f t="shared" si="262"/>
        <v>0</v>
      </c>
      <c r="AO433">
        <f t="shared" si="263"/>
        <v>0</v>
      </c>
      <c r="AP433" s="3">
        <f t="shared" si="264"/>
        <v>0</v>
      </c>
      <c r="AQ433" s="3">
        <f t="shared" si="265"/>
        <v>0</v>
      </c>
      <c r="AR433">
        <f t="shared" si="266"/>
        <v>0</v>
      </c>
    </row>
    <row r="434" spans="4:44" x14ac:dyDescent="0.25">
      <c r="D434" s="1">
        <v>42116</v>
      </c>
      <c r="E434" s="2">
        <v>124.200973</v>
      </c>
      <c r="F434" s="2">
        <v>202.93477100000001</v>
      </c>
      <c r="G434" s="2">
        <f t="shared" si="229"/>
        <v>1.6512400000000014</v>
      </c>
      <c r="H434" s="2">
        <f t="shared" si="230"/>
        <v>0.99236900000002493</v>
      </c>
      <c r="I434" s="4">
        <f t="shared" si="231"/>
        <v>1.5888607303645084</v>
      </c>
      <c r="J434" s="4">
        <f t="shared" si="232"/>
        <v>0.89114806101934174</v>
      </c>
      <c r="K434" s="4">
        <f t="shared" si="233"/>
        <v>3.2017433310059431</v>
      </c>
      <c r="L434" s="4">
        <f t="shared" si="234"/>
        <v>1.7893415914816106</v>
      </c>
      <c r="M434" s="4">
        <f t="shared" si="235"/>
        <v>1</v>
      </c>
      <c r="N434" s="4">
        <f t="shared" si="236"/>
        <v>0.37479581463607725</v>
      </c>
      <c r="O434" s="3">
        <f t="shared" si="237"/>
        <v>1.6512400000000014</v>
      </c>
      <c r="P434" s="3">
        <f t="shared" si="238"/>
        <v>0.99236900000002493</v>
      </c>
      <c r="Q434">
        <f t="shared" si="239"/>
        <v>1</v>
      </c>
      <c r="R434" s="3">
        <f t="shared" si="240"/>
        <v>1.6512400000000014</v>
      </c>
      <c r="S434" s="3">
        <f t="shared" si="241"/>
        <v>0.99236900000002493</v>
      </c>
      <c r="T434">
        <f t="shared" si="242"/>
        <v>1</v>
      </c>
      <c r="U434" s="3">
        <f t="shared" si="243"/>
        <v>1.6512400000000014</v>
      </c>
      <c r="V434" s="3">
        <f t="shared" si="244"/>
        <v>0.99236900000002493</v>
      </c>
      <c r="W434">
        <f t="shared" si="245"/>
        <v>1</v>
      </c>
      <c r="X434" s="3">
        <f t="shared" si="246"/>
        <v>1.6512400000000014</v>
      </c>
      <c r="Y434" s="3">
        <f t="shared" si="247"/>
        <v>0.99236900000002493</v>
      </c>
      <c r="Z434">
        <f t="shared" si="248"/>
        <v>1</v>
      </c>
      <c r="AA434" s="3">
        <f t="shared" si="249"/>
        <v>0</v>
      </c>
      <c r="AB434" s="3">
        <f t="shared" si="250"/>
        <v>0</v>
      </c>
      <c r="AC434">
        <f t="shared" si="251"/>
        <v>0</v>
      </c>
      <c r="AD434" s="3">
        <f t="shared" si="252"/>
        <v>0</v>
      </c>
      <c r="AE434" s="3">
        <f t="shared" si="253"/>
        <v>0</v>
      </c>
      <c r="AF434">
        <f t="shared" si="254"/>
        <v>0</v>
      </c>
      <c r="AG434" s="3">
        <f t="shared" si="255"/>
        <v>0</v>
      </c>
      <c r="AH434" s="3">
        <f t="shared" si="256"/>
        <v>0</v>
      </c>
      <c r="AI434">
        <f t="shared" si="257"/>
        <v>0</v>
      </c>
      <c r="AJ434" s="3">
        <f t="shared" si="258"/>
        <v>0</v>
      </c>
      <c r="AK434" s="3">
        <f t="shared" si="259"/>
        <v>0</v>
      </c>
      <c r="AL434">
        <f t="shared" si="260"/>
        <v>0</v>
      </c>
      <c r="AM434" s="3">
        <f t="shared" si="261"/>
        <v>0</v>
      </c>
      <c r="AN434" s="3">
        <f t="shared" si="262"/>
        <v>0</v>
      </c>
      <c r="AO434">
        <f t="shared" si="263"/>
        <v>0</v>
      </c>
      <c r="AP434" s="3">
        <f t="shared" si="264"/>
        <v>0</v>
      </c>
      <c r="AQ434" s="3">
        <f t="shared" si="265"/>
        <v>0</v>
      </c>
      <c r="AR434">
        <f t="shared" si="266"/>
        <v>0</v>
      </c>
    </row>
    <row r="435" spans="4:44" x14ac:dyDescent="0.25">
      <c r="D435" s="1">
        <v>42115</v>
      </c>
      <c r="E435" s="2">
        <v>122.549733</v>
      </c>
      <c r="F435" s="2">
        <v>201.94240199999999</v>
      </c>
      <c r="G435" s="2">
        <f t="shared" si="229"/>
        <v>-0.66628799999999444</v>
      </c>
      <c r="H435" s="2">
        <f t="shared" si="230"/>
        <v>-0.2408670000000086</v>
      </c>
      <c r="I435" s="4">
        <f t="shared" si="231"/>
        <v>-0.72866726963548745</v>
      </c>
      <c r="J435" s="4">
        <f t="shared" si="232"/>
        <v>-0.34208793898069179</v>
      </c>
      <c r="K435" s="4">
        <f t="shared" si="233"/>
        <v>0.70454668550218602</v>
      </c>
      <c r="L435" s="4">
        <f t="shared" si="234"/>
        <v>0.83937279292468492</v>
      </c>
      <c r="M435" s="4">
        <f t="shared" si="235"/>
        <v>1</v>
      </c>
      <c r="N435" s="4">
        <f t="shared" si="236"/>
        <v>1</v>
      </c>
      <c r="O435" s="3">
        <f t="shared" si="237"/>
        <v>-0.66628799999999444</v>
      </c>
      <c r="P435" s="3">
        <f t="shared" si="238"/>
        <v>-0.2408670000000086</v>
      </c>
      <c r="Q435">
        <f t="shared" si="239"/>
        <v>1</v>
      </c>
      <c r="R435" s="3">
        <f t="shared" si="240"/>
        <v>0</v>
      </c>
      <c r="S435" s="3">
        <f t="shared" si="241"/>
        <v>0</v>
      </c>
      <c r="T435">
        <f t="shared" si="242"/>
        <v>0</v>
      </c>
      <c r="U435" s="3">
        <f t="shared" si="243"/>
        <v>0</v>
      </c>
      <c r="V435" s="3">
        <f t="shared" si="244"/>
        <v>0</v>
      </c>
      <c r="W435">
        <f t="shared" si="245"/>
        <v>0</v>
      </c>
      <c r="X435" s="3">
        <f t="shared" si="246"/>
        <v>0</v>
      </c>
      <c r="Y435" s="3">
        <f t="shared" si="247"/>
        <v>0</v>
      </c>
      <c r="Z435">
        <f t="shared" si="248"/>
        <v>0</v>
      </c>
      <c r="AA435" s="3">
        <f t="shared" si="249"/>
        <v>0</v>
      </c>
      <c r="AB435" s="3">
        <f t="shared" si="250"/>
        <v>0</v>
      </c>
      <c r="AC435">
        <f t="shared" si="251"/>
        <v>0</v>
      </c>
      <c r="AD435" s="3">
        <f t="shared" si="252"/>
        <v>0</v>
      </c>
      <c r="AE435" s="3">
        <f t="shared" si="253"/>
        <v>0</v>
      </c>
      <c r="AF435">
        <f t="shared" si="254"/>
        <v>0</v>
      </c>
      <c r="AG435" s="3">
        <f t="shared" si="255"/>
        <v>0</v>
      </c>
      <c r="AH435" s="3">
        <f t="shared" si="256"/>
        <v>0</v>
      </c>
      <c r="AI435">
        <f t="shared" si="257"/>
        <v>0</v>
      </c>
      <c r="AJ435" s="3">
        <f t="shared" si="258"/>
        <v>0</v>
      </c>
      <c r="AK435" s="3">
        <f t="shared" si="259"/>
        <v>0</v>
      </c>
      <c r="AL435">
        <f t="shared" si="260"/>
        <v>0</v>
      </c>
      <c r="AM435" s="3">
        <f t="shared" si="261"/>
        <v>0</v>
      </c>
      <c r="AN435" s="3">
        <f t="shared" si="262"/>
        <v>0</v>
      </c>
      <c r="AO435">
        <f t="shared" si="263"/>
        <v>0</v>
      </c>
      <c r="AP435" s="3">
        <f t="shared" si="264"/>
        <v>0</v>
      </c>
      <c r="AQ435" s="3">
        <f t="shared" si="265"/>
        <v>0</v>
      </c>
      <c r="AR435">
        <f t="shared" si="266"/>
        <v>0</v>
      </c>
    </row>
    <row r="436" spans="4:44" x14ac:dyDescent="0.25">
      <c r="D436" s="1">
        <v>42114</v>
      </c>
      <c r="E436" s="2">
        <v>123.216021</v>
      </c>
      <c r="F436" s="2">
        <v>202.183269</v>
      </c>
      <c r="G436" s="2">
        <f t="shared" si="229"/>
        <v>2.7520799999999923</v>
      </c>
      <c r="H436" s="2">
        <f t="shared" si="230"/>
        <v>1.8305939999999907</v>
      </c>
      <c r="I436" s="4">
        <f t="shared" si="231"/>
        <v>2.6897007303644993</v>
      </c>
      <c r="J436" s="4">
        <f t="shared" si="232"/>
        <v>1.7293730610193074</v>
      </c>
      <c r="K436" s="4">
        <f t="shared" si="233"/>
        <v>8.9895738317872258</v>
      </c>
      <c r="L436" s="4">
        <f t="shared" si="234"/>
        <v>2.9982618017423404</v>
      </c>
      <c r="M436" s="4">
        <f t="shared" si="235"/>
        <v>0.66705315687835076</v>
      </c>
      <c r="N436" s="4">
        <f t="shared" si="236"/>
        <v>0.13348797423041209</v>
      </c>
      <c r="O436" s="3">
        <f t="shared" si="237"/>
        <v>2.7520799999999923</v>
      </c>
      <c r="P436" s="3">
        <f t="shared" si="238"/>
        <v>1.8305939999999907</v>
      </c>
      <c r="Q436">
        <f t="shared" si="239"/>
        <v>1</v>
      </c>
      <c r="R436" s="3">
        <f t="shared" si="240"/>
        <v>2.7520799999999923</v>
      </c>
      <c r="S436" s="3">
        <f t="shared" si="241"/>
        <v>1.8305939999999907</v>
      </c>
      <c r="T436">
        <f t="shared" si="242"/>
        <v>1</v>
      </c>
      <c r="U436" s="3">
        <f t="shared" si="243"/>
        <v>2.7520799999999923</v>
      </c>
      <c r="V436" s="3">
        <f t="shared" si="244"/>
        <v>1.8305939999999907</v>
      </c>
      <c r="W436">
        <f t="shared" si="245"/>
        <v>1</v>
      </c>
      <c r="X436" s="3">
        <f t="shared" si="246"/>
        <v>2.7520799999999923</v>
      </c>
      <c r="Y436" s="3">
        <f t="shared" si="247"/>
        <v>1.8305939999999907</v>
      </c>
      <c r="Z436">
        <f t="shared" si="248"/>
        <v>1</v>
      </c>
      <c r="AA436" s="3">
        <f t="shared" si="249"/>
        <v>2.7520799999999923</v>
      </c>
      <c r="AB436" s="3">
        <f t="shared" si="250"/>
        <v>1.8305939999999907</v>
      </c>
      <c r="AC436">
        <f t="shared" si="251"/>
        <v>1</v>
      </c>
      <c r="AD436" s="3">
        <f t="shared" si="252"/>
        <v>2.7520799999999923</v>
      </c>
      <c r="AE436" s="3">
        <f t="shared" si="253"/>
        <v>1.8305939999999907</v>
      </c>
      <c r="AF436">
        <f t="shared" si="254"/>
        <v>1</v>
      </c>
      <c r="AG436" s="3">
        <f t="shared" si="255"/>
        <v>2.7520799999999923</v>
      </c>
      <c r="AH436" s="3">
        <f t="shared" si="256"/>
        <v>1.8305939999999907</v>
      </c>
      <c r="AI436">
        <f t="shared" si="257"/>
        <v>1</v>
      </c>
      <c r="AJ436" s="3">
        <f t="shared" si="258"/>
        <v>2.7520799999999923</v>
      </c>
      <c r="AK436" s="3">
        <f t="shared" si="259"/>
        <v>1.8305939999999907</v>
      </c>
      <c r="AL436">
        <f t="shared" si="260"/>
        <v>1</v>
      </c>
      <c r="AM436" s="3">
        <f t="shared" si="261"/>
        <v>2.7520799999999923</v>
      </c>
      <c r="AN436" s="3">
        <f t="shared" si="262"/>
        <v>1.8305939999999907</v>
      </c>
      <c r="AO436">
        <f t="shared" si="263"/>
        <v>1</v>
      </c>
      <c r="AP436" s="3">
        <f t="shared" si="264"/>
        <v>0</v>
      </c>
      <c r="AQ436" s="3">
        <f t="shared" si="265"/>
        <v>0</v>
      </c>
      <c r="AR436">
        <f t="shared" si="266"/>
        <v>0</v>
      </c>
    </row>
    <row r="437" spans="4:44" x14ac:dyDescent="0.25">
      <c r="D437" s="1">
        <v>42111</v>
      </c>
      <c r="E437" s="2">
        <v>120.46394100000001</v>
      </c>
      <c r="F437" s="2">
        <v>200.352675</v>
      </c>
      <c r="G437" s="2">
        <f t="shared" si="229"/>
        <v>-1.3712109999999882</v>
      </c>
      <c r="H437" s="2">
        <f t="shared" si="230"/>
        <v>-2.3315849999999898</v>
      </c>
      <c r="I437" s="4">
        <f t="shared" si="231"/>
        <v>-1.4335902696354812</v>
      </c>
      <c r="J437" s="4">
        <f t="shared" si="232"/>
        <v>-2.4328059389806729</v>
      </c>
      <c r="K437" s="4">
        <f t="shared" si="233"/>
        <v>6.5427844284168239</v>
      </c>
      <c r="L437" s="4">
        <f t="shared" si="234"/>
        <v>2.5578867114117512</v>
      </c>
      <c r="M437" s="4">
        <f t="shared" si="235"/>
        <v>0.78189545732311116</v>
      </c>
      <c r="N437" s="4">
        <f t="shared" si="236"/>
        <v>0.18340815185475512</v>
      </c>
      <c r="O437" s="3">
        <f t="shared" si="237"/>
        <v>-1.3712109999999882</v>
      </c>
      <c r="P437" s="3">
        <f t="shared" si="238"/>
        <v>-2.3315849999999898</v>
      </c>
      <c r="Q437">
        <f t="shared" si="239"/>
        <v>1</v>
      </c>
      <c r="R437" s="3">
        <f t="shared" si="240"/>
        <v>-1.3712109999999882</v>
      </c>
      <c r="S437" s="3">
        <f t="shared" si="241"/>
        <v>-2.3315849999999898</v>
      </c>
      <c r="T437">
        <f t="shared" si="242"/>
        <v>1</v>
      </c>
      <c r="U437" s="3">
        <f t="shared" si="243"/>
        <v>-1.3712109999999882</v>
      </c>
      <c r="V437" s="3">
        <f t="shared" si="244"/>
        <v>-2.3315849999999898</v>
      </c>
      <c r="W437">
        <f t="shared" si="245"/>
        <v>1</v>
      </c>
      <c r="X437" s="3">
        <f t="shared" si="246"/>
        <v>-1.3712109999999882</v>
      </c>
      <c r="Y437" s="3">
        <f t="shared" si="247"/>
        <v>-2.3315849999999898</v>
      </c>
      <c r="Z437">
        <f t="shared" si="248"/>
        <v>1</v>
      </c>
      <c r="AA437" s="3">
        <f t="shared" si="249"/>
        <v>-1.3712109999999882</v>
      </c>
      <c r="AB437" s="3">
        <f t="shared" si="250"/>
        <v>-2.3315849999999898</v>
      </c>
      <c r="AC437">
        <f t="shared" si="251"/>
        <v>1</v>
      </c>
      <c r="AD437" s="3">
        <f t="shared" si="252"/>
        <v>-1.3712109999999882</v>
      </c>
      <c r="AE437" s="3">
        <f t="shared" si="253"/>
        <v>-2.3315849999999898</v>
      </c>
      <c r="AF437">
        <f t="shared" si="254"/>
        <v>1</v>
      </c>
      <c r="AG437" s="3">
        <f t="shared" si="255"/>
        <v>-1.3712109999999882</v>
      </c>
      <c r="AH437" s="3">
        <f t="shared" si="256"/>
        <v>-2.3315849999999898</v>
      </c>
      <c r="AI437">
        <f t="shared" si="257"/>
        <v>1</v>
      </c>
      <c r="AJ437" s="3">
        <f t="shared" si="258"/>
        <v>0</v>
      </c>
      <c r="AK437" s="3">
        <f t="shared" si="259"/>
        <v>0</v>
      </c>
      <c r="AL437">
        <f t="shared" si="260"/>
        <v>0</v>
      </c>
      <c r="AM437" s="3">
        <f t="shared" si="261"/>
        <v>0</v>
      </c>
      <c r="AN437" s="3">
        <f t="shared" si="262"/>
        <v>0</v>
      </c>
      <c r="AO437">
        <f t="shared" si="263"/>
        <v>0</v>
      </c>
      <c r="AP437" s="3">
        <f t="shared" si="264"/>
        <v>0</v>
      </c>
      <c r="AQ437" s="3">
        <f t="shared" si="265"/>
        <v>0</v>
      </c>
      <c r="AR437">
        <f t="shared" si="266"/>
        <v>0</v>
      </c>
    </row>
    <row r="438" spans="4:44" x14ac:dyDescent="0.25">
      <c r="D438" s="1">
        <v>42110</v>
      </c>
      <c r="E438" s="2">
        <v>121.83515199999999</v>
      </c>
      <c r="F438" s="2">
        <v>202.68425999999999</v>
      </c>
      <c r="G438" s="2">
        <f t="shared" si="229"/>
        <v>-0.58904200000000628</v>
      </c>
      <c r="H438" s="2">
        <f t="shared" si="230"/>
        <v>-5.7805999999999358E-2</v>
      </c>
      <c r="I438" s="4">
        <f t="shared" si="231"/>
        <v>-0.65142126963549929</v>
      </c>
      <c r="J438" s="4">
        <f t="shared" si="232"/>
        <v>-0.15902693898068257</v>
      </c>
      <c r="K438" s="4">
        <f t="shared" si="233"/>
        <v>0.68189198809698781</v>
      </c>
      <c r="L438" s="4">
        <f t="shared" si="234"/>
        <v>0.82576751455660191</v>
      </c>
      <c r="M438" s="4">
        <f t="shared" si="235"/>
        <v>1</v>
      </c>
      <c r="N438" s="4">
        <f t="shared" si="236"/>
        <v>1</v>
      </c>
      <c r="O438" s="3">
        <f t="shared" si="237"/>
        <v>-0.58904200000000628</v>
      </c>
      <c r="P438" s="3">
        <f t="shared" si="238"/>
        <v>-5.7805999999999358E-2</v>
      </c>
      <c r="Q438">
        <f t="shared" si="239"/>
        <v>1</v>
      </c>
      <c r="R438" s="3">
        <f t="shared" si="240"/>
        <v>0</v>
      </c>
      <c r="S438" s="3">
        <f t="shared" si="241"/>
        <v>0</v>
      </c>
      <c r="T438">
        <f t="shared" si="242"/>
        <v>0</v>
      </c>
      <c r="U438" s="3">
        <f t="shared" si="243"/>
        <v>0</v>
      </c>
      <c r="V438" s="3">
        <f t="shared" si="244"/>
        <v>0</v>
      </c>
      <c r="W438">
        <f t="shared" si="245"/>
        <v>0</v>
      </c>
      <c r="X438" s="3">
        <f t="shared" si="246"/>
        <v>0</v>
      </c>
      <c r="Y438" s="3">
        <f t="shared" si="247"/>
        <v>0</v>
      </c>
      <c r="Z438">
        <f t="shared" si="248"/>
        <v>0</v>
      </c>
      <c r="AA438" s="3">
        <f t="shared" si="249"/>
        <v>0</v>
      </c>
      <c r="AB438" s="3">
        <f t="shared" si="250"/>
        <v>0</v>
      </c>
      <c r="AC438">
        <f t="shared" si="251"/>
        <v>0</v>
      </c>
      <c r="AD438" s="3">
        <f t="shared" si="252"/>
        <v>0</v>
      </c>
      <c r="AE438" s="3">
        <f t="shared" si="253"/>
        <v>0</v>
      </c>
      <c r="AF438">
        <f t="shared" si="254"/>
        <v>0</v>
      </c>
      <c r="AG438" s="3">
        <f t="shared" si="255"/>
        <v>0</v>
      </c>
      <c r="AH438" s="3">
        <f t="shared" si="256"/>
        <v>0</v>
      </c>
      <c r="AI438">
        <f t="shared" si="257"/>
        <v>0</v>
      </c>
      <c r="AJ438" s="3">
        <f t="shared" si="258"/>
        <v>0</v>
      </c>
      <c r="AK438" s="3">
        <f t="shared" si="259"/>
        <v>0</v>
      </c>
      <c r="AL438">
        <f t="shared" si="260"/>
        <v>0</v>
      </c>
      <c r="AM438" s="3">
        <f t="shared" si="261"/>
        <v>0</v>
      </c>
      <c r="AN438" s="3">
        <f t="shared" si="262"/>
        <v>0</v>
      </c>
      <c r="AO438">
        <f t="shared" si="263"/>
        <v>0</v>
      </c>
      <c r="AP438" s="3">
        <f t="shared" si="264"/>
        <v>0</v>
      </c>
      <c r="AQ438" s="3">
        <f t="shared" si="265"/>
        <v>0</v>
      </c>
      <c r="AR438">
        <f t="shared" si="266"/>
        <v>0</v>
      </c>
    </row>
    <row r="439" spans="4:44" x14ac:dyDescent="0.25">
      <c r="D439" s="1">
        <v>42109</v>
      </c>
      <c r="E439" s="2">
        <v>122.424194</v>
      </c>
      <c r="F439" s="2">
        <v>202.74206599999999</v>
      </c>
      <c r="G439" s="2">
        <f t="shared" si="229"/>
        <v>0.46350400000000036</v>
      </c>
      <c r="H439" s="2">
        <f t="shared" si="230"/>
        <v>0.90564599999999018</v>
      </c>
      <c r="I439" s="4">
        <f t="shared" si="231"/>
        <v>0.40112473036450735</v>
      </c>
      <c r="J439" s="4">
        <f t="shared" si="232"/>
        <v>0.804425061019307</v>
      </c>
      <c r="K439" s="4">
        <f t="shared" si="233"/>
        <v>0.73182340027301318</v>
      </c>
      <c r="L439" s="4">
        <f t="shared" si="234"/>
        <v>0.85546677333080168</v>
      </c>
      <c r="M439" s="4">
        <f t="shared" si="235"/>
        <v>1</v>
      </c>
      <c r="N439" s="4">
        <f t="shared" si="236"/>
        <v>1</v>
      </c>
      <c r="O439" s="3">
        <f t="shared" si="237"/>
        <v>0.46350400000000036</v>
      </c>
      <c r="P439" s="3">
        <f t="shared" si="238"/>
        <v>0.90564599999999018</v>
      </c>
      <c r="Q439">
        <f t="shared" si="239"/>
        <v>1</v>
      </c>
      <c r="R439" s="3">
        <f t="shared" si="240"/>
        <v>0</v>
      </c>
      <c r="S439" s="3">
        <f t="shared" si="241"/>
        <v>0</v>
      </c>
      <c r="T439">
        <f t="shared" si="242"/>
        <v>0</v>
      </c>
      <c r="U439" s="3">
        <f t="shared" si="243"/>
        <v>0</v>
      </c>
      <c r="V439" s="3">
        <f t="shared" si="244"/>
        <v>0</v>
      </c>
      <c r="W439">
        <f t="shared" si="245"/>
        <v>0</v>
      </c>
      <c r="X439" s="3">
        <f t="shared" si="246"/>
        <v>0</v>
      </c>
      <c r="Y439" s="3">
        <f t="shared" si="247"/>
        <v>0</v>
      </c>
      <c r="Z439">
        <f t="shared" si="248"/>
        <v>0</v>
      </c>
      <c r="AA439" s="3">
        <f t="shared" si="249"/>
        <v>0</v>
      </c>
      <c r="AB439" s="3">
        <f t="shared" si="250"/>
        <v>0</v>
      </c>
      <c r="AC439">
        <f t="shared" si="251"/>
        <v>0</v>
      </c>
      <c r="AD439" s="3">
        <f t="shared" si="252"/>
        <v>0</v>
      </c>
      <c r="AE439" s="3">
        <f t="shared" si="253"/>
        <v>0</v>
      </c>
      <c r="AF439">
        <f t="shared" si="254"/>
        <v>0</v>
      </c>
      <c r="AG439" s="3">
        <f t="shared" si="255"/>
        <v>0</v>
      </c>
      <c r="AH439" s="3">
        <f t="shared" si="256"/>
        <v>0</v>
      </c>
      <c r="AI439">
        <f t="shared" si="257"/>
        <v>0</v>
      </c>
      <c r="AJ439" s="3">
        <f t="shared" si="258"/>
        <v>0</v>
      </c>
      <c r="AK439" s="3">
        <f t="shared" si="259"/>
        <v>0</v>
      </c>
      <c r="AL439">
        <f t="shared" si="260"/>
        <v>0</v>
      </c>
      <c r="AM439" s="3">
        <f t="shared" si="261"/>
        <v>0</v>
      </c>
      <c r="AN439" s="3">
        <f t="shared" si="262"/>
        <v>0</v>
      </c>
      <c r="AO439">
        <f t="shared" si="263"/>
        <v>0</v>
      </c>
      <c r="AP439" s="3">
        <f t="shared" si="264"/>
        <v>0</v>
      </c>
      <c r="AQ439" s="3">
        <f t="shared" si="265"/>
        <v>0</v>
      </c>
      <c r="AR439">
        <f t="shared" si="266"/>
        <v>0</v>
      </c>
    </row>
    <row r="440" spans="4:44" x14ac:dyDescent="0.25">
      <c r="D440" s="1">
        <v>42108</v>
      </c>
      <c r="E440" s="2">
        <v>121.96069</v>
      </c>
      <c r="F440" s="2">
        <v>201.83642</v>
      </c>
      <c r="G440" s="2">
        <f t="shared" si="229"/>
        <v>-0.53109899999999755</v>
      </c>
      <c r="H440" s="2">
        <f t="shared" si="230"/>
        <v>0.38539500000001681</v>
      </c>
      <c r="I440" s="4">
        <f t="shared" si="231"/>
        <v>-0.59347826963549055</v>
      </c>
      <c r="J440" s="4">
        <f t="shared" si="232"/>
        <v>0.28417406101933362</v>
      </c>
      <c r="K440" s="4">
        <f t="shared" si="233"/>
        <v>1.3402013226026179</v>
      </c>
      <c r="L440" s="4">
        <f t="shared" si="234"/>
        <v>1.1576706451329835</v>
      </c>
      <c r="M440" s="4">
        <f t="shared" si="235"/>
        <v>1</v>
      </c>
      <c r="N440" s="4">
        <f t="shared" si="236"/>
        <v>1</v>
      </c>
      <c r="O440" s="3">
        <f t="shared" si="237"/>
        <v>-0.53109899999999755</v>
      </c>
      <c r="P440" s="3">
        <f t="shared" si="238"/>
        <v>0.38539500000001681</v>
      </c>
      <c r="Q440">
        <f t="shared" si="239"/>
        <v>1</v>
      </c>
      <c r="R440" s="3">
        <f t="shared" si="240"/>
        <v>-0.53109899999999755</v>
      </c>
      <c r="S440" s="3">
        <f t="shared" si="241"/>
        <v>0.38539500000001681</v>
      </c>
      <c r="T440">
        <f t="shared" si="242"/>
        <v>1</v>
      </c>
      <c r="U440" s="3">
        <f t="shared" si="243"/>
        <v>0</v>
      </c>
      <c r="V440" s="3">
        <f t="shared" si="244"/>
        <v>0</v>
      </c>
      <c r="W440">
        <f t="shared" si="245"/>
        <v>0</v>
      </c>
      <c r="X440" s="3">
        <f t="shared" si="246"/>
        <v>0</v>
      </c>
      <c r="Y440" s="3">
        <f t="shared" si="247"/>
        <v>0</v>
      </c>
      <c r="Z440">
        <f t="shared" si="248"/>
        <v>0</v>
      </c>
      <c r="AA440" s="3">
        <f t="shared" si="249"/>
        <v>0</v>
      </c>
      <c r="AB440" s="3">
        <f t="shared" si="250"/>
        <v>0</v>
      </c>
      <c r="AC440">
        <f t="shared" si="251"/>
        <v>0</v>
      </c>
      <c r="AD440" s="3">
        <f t="shared" si="252"/>
        <v>0</v>
      </c>
      <c r="AE440" s="3">
        <f t="shared" si="253"/>
        <v>0</v>
      </c>
      <c r="AF440">
        <f t="shared" si="254"/>
        <v>0</v>
      </c>
      <c r="AG440" s="3">
        <f t="shared" si="255"/>
        <v>0</v>
      </c>
      <c r="AH440" s="3">
        <f t="shared" si="256"/>
        <v>0</v>
      </c>
      <c r="AI440">
        <f t="shared" si="257"/>
        <v>0</v>
      </c>
      <c r="AJ440" s="3">
        <f t="shared" si="258"/>
        <v>0</v>
      </c>
      <c r="AK440" s="3">
        <f t="shared" si="259"/>
        <v>0</v>
      </c>
      <c r="AL440">
        <f t="shared" si="260"/>
        <v>0</v>
      </c>
      <c r="AM440" s="3">
        <f t="shared" si="261"/>
        <v>0</v>
      </c>
      <c r="AN440" s="3">
        <f t="shared" si="262"/>
        <v>0</v>
      </c>
      <c r="AO440">
        <f t="shared" si="263"/>
        <v>0</v>
      </c>
      <c r="AP440" s="3">
        <f t="shared" si="264"/>
        <v>0</v>
      </c>
      <c r="AQ440" s="3">
        <f t="shared" si="265"/>
        <v>0</v>
      </c>
      <c r="AR440">
        <f t="shared" si="266"/>
        <v>0</v>
      </c>
    </row>
    <row r="441" spans="4:44" x14ac:dyDescent="0.25">
      <c r="D441" s="1">
        <v>42107</v>
      </c>
      <c r="E441" s="2">
        <v>122.491789</v>
      </c>
      <c r="F441" s="2">
        <v>201.45102499999999</v>
      </c>
      <c r="G441" s="2">
        <f t="shared" si="229"/>
        <v>-0.24141099999999938</v>
      </c>
      <c r="H441" s="2">
        <f t="shared" si="230"/>
        <v>-0.91528999999999883</v>
      </c>
      <c r="I441" s="4">
        <f t="shared" si="231"/>
        <v>-0.30379026963549238</v>
      </c>
      <c r="J441" s="4">
        <f t="shared" si="232"/>
        <v>-1.0165109389806821</v>
      </c>
      <c r="K441" s="4">
        <f t="shared" si="233"/>
        <v>1.3541269493427626</v>
      </c>
      <c r="L441" s="4">
        <f t="shared" si="234"/>
        <v>1.1636696048891035</v>
      </c>
      <c r="M441" s="4">
        <f t="shared" si="235"/>
        <v>1</v>
      </c>
      <c r="N441" s="4">
        <f t="shared" si="236"/>
        <v>1</v>
      </c>
      <c r="O441" s="3">
        <f t="shared" si="237"/>
        <v>-0.24141099999999938</v>
      </c>
      <c r="P441" s="3">
        <f t="shared" si="238"/>
        <v>-0.91528999999999883</v>
      </c>
      <c r="Q441">
        <f t="shared" si="239"/>
        <v>1</v>
      </c>
      <c r="R441" s="3">
        <f t="shared" si="240"/>
        <v>-0.24141099999999938</v>
      </c>
      <c r="S441" s="3">
        <f t="shared" si="241"/>
        <v>-0.91528999999999883</v>
      </c>
      <c r="T441">
        <f t="shared" si="242"/>
        <v>1</v>
      </c>
      <c r="U441" s="3">
        <f t="shared" si="243"/>
        <v>0</v>
      </c>
      <c r="V441" s="3">
        <f t="shared" si="244"/>
        <v>0</v>
      </c>
      <c r="W441">
        <f t="shared" si="245"/>
        <v>0</v>
      </c>
      <c r="X441" s="3">
        <f t="shared" si="246"/>
        <v>0</v>
      </c>
      <c r="Y441" s="3">
        <f t="shared" si="247"/>
        <v>0</v>
      </c>
      <c r="Z441">
        <f t="shared" si="248"/>
        <v>0</v>
      </c>
      <c r="AA441" s="3">
        <f t="shared" si="249"/>
        <v>0</v>
      </c>
      <c r="AB441" s="3">
        <f t="shared" si="250"/>
        <v>0</v>
      </c>
      <c r="AC441">
        <f t="shared" si="251"/>
        <v>0</v>
      </c>
      <c r="AD441" s="3">
        <f t="shared" si="252"/>
        <v>0</v>
      </c>
      <c r="AE441" s="3">
        <f t="shared" si="253"/>
        <v>0</v>
      </c>
      <c r="AF441">
        <f t="shared" si="254"/>
        <v>0</v>
      </c>
      <c r="AG441" s="3">
        <f t="shared" si="255"/>
        <v>0</v>
      </c>
      <c r="AH441" s="3">
        <f t="shared" si="256"/>
        <v>0</v>
      </c>
      <c r="AI441">
        <f t="shared" si="257"/>
        <v>0</v>
      </c>
      <c r="AJ441" s="3">
        <f t="shared" si="258"/>
        <v>0</v>
      </c>
      <c r="AK441" s="3">
        <f t="shared" si="259"/>
        <v>0</v>
      </c>
      <c r="AL441">
        <f t="shared" si="260"/>
        <v>0</v>
      </c>
      <c r="AM441" s="3">
        <f t="shared" si="261"/>
        <v>0</v>
      </c>
      <c r="AN441" s="3">
        <f t="shared" si="262"/>
        <v>0</v>
      </c>
      <c r="AO441">
        <f t="shared" si="263"/>
        <v>0</v>
      </c>
      <c r="AP441" s="3">
        <f t="shared" si="264"/>
        <v>0</v>
      </c>
      <c r="AQ441" s="3">
        <f t="shared" si="265"/>
        <v>0</v>
      </c>
      <c r="AR441">
        <f t="shared" si="266"/>
        <v>0</v>
      </c>
    </row>
    <row r="442" spans="4:44" x14ac:dyDescent="0.25">
      <c r="D442" s="1">
        <v>42104</v>
      </c>
      <c r="E442" s="2">
        <v>122.7332</v>
      </c>
      <c r="F442" s="2">
        <v>202.36631499999999</v>
      </c>
      <c r="G442" s="2">
        <f t="shared" si="229"/>
        <v>0.52144799999999236</v>
      </c>
      <c r="H442" s="2">
        <f t="shared" si="230"/>
        <v>1.0983509999999796</v>
      </c>
      <c r="I442" s="4">
        <f t="shared" si="231"/>
        <v>0.45906873036449936</v>
      </c>
      <c r="J442" s="4">
        <f t="shared" si="232"/>
        <v>0.99713006101929647</v>
      </c>
      <c r="K442" s="4">
        <f t="shared" si="233"/>
        <v>1.1455614250645672</v>
      </c>
      <c r="L442" s="4">
        <f t="shared" si="234"/>
        <v>1.0703090325062978</v>
      </c>
      <c r="M442" s="4">
        <f t="shared" si="235"/>
        <v>1</v>
      </c>
      <c r="N442" s="4">
        <f t="shared" si="236"/>
        <v>1</v>
      </c>
      <c r="O442" s="3">
        <f t="shared" si="237"/>
        <v>0.52144799999999236</v>
      </c>
      <c r="P442" s="3">
        <f t="shared" si="238"/>
        <v>1.0983509999999796</v>
      </c>
      <c r="Q442">
        <f t="shared" si="239"/>
        <v>1</v>
      </c>
      <c r="R442" s="3">
        <f t="shared" si="240"/>
        <v>0.52144799999999236</v>
      </c>
      <c r="S442" s="3">
        <f t="shared" si="241"/>
        <v>1.0983509999999796</v>
      </c>
      <c r="T442">
        <f t="shared" si="242"/>
        <v>1</v>
      </c>
      <c r="U442" s="3">
        <f t="shared" si="243"/>
        <v>0</v>
      </c>
      <c r="V442" s="3">
        <f t="shared" si="244"/>
        <v>0</v>
      </c>
      <c r="W442">
        <f t="shared" si="245"/>
        <v>0</v>
      </c>
      <c r="X442" s="3">
        <f t="shared" si="246"/>
        <v>0</v>
      </c>
      <c r="Y442" s="3">
        <f t="shared" si="247"/>
        <v>0</v>
      </c>
      <c r="Z442">
        <f t="shared" si="248"/>
        <v>0</v>
      </c>
      <c r="AA442" s="3">
        <f t="shared" si="249"/>
        <v>0</v>
      </c>
      <c r="AB442" s="3">
        <f t="shared" si="250"/>
        <v>0</v>
      </c>
      <c r="AC442">
        <f t="shared" si="251"/>
        <v>0</v>
      </c>
      <c r="AD442" s="3">
        <f t="shared" si="252"/>
        <v>0</v>
      </c>
      <c r="AE442" s="3">
        <f t="shared" si="253"/>
        <v>0</v>
      </c>
      <c r="AF442">
        <f t="shared" si="254"/>
        <v>0</v>
      </c>
      <c r="AG442" s="3">
        <f t="shared" si="255"/>
        <v>0</v>
      </c>
      <c r="AH442" s="3">
        <f t="shared" si="256"/>
        <v>0</v>
      </c>
      <c r="AI442">
        <f t="shared" si="257"/>
        <v>0</v>
      </c>
      <c r="AJ442" s="3">
        <f t="shared" si="258"/>
        <v>0</v>
      </c>
      <c r="AK442" s="3">
        <f t="shared" si="259"/>
        <v>0</v>
      </c>
      <c r="AL442">
        <f t="shared" si="260"/>
        <v>0</v>
      </c>
      <c r="AM442" s="3">
        <f t="shared" si="261"/>
        <v>0</v>
      </c>
      <c r="AN442" s="3">
        <f t="shared" si="262"/>
        <v>0</v>
      </c>
      <c r="AO442">
        <f t="shared" si="263"/>
        <v>0</v>
      </c>
      <c r="AP442" s="3">
        <f t="shared" si="264"/>
        <v>0</v>
      </c>
      <c r="AQ442" s="3">
        <f t="shared" si="265"/>
        <v>0</v>
      </c>
      <c r="AR442">
        <f t="shared" si="266"/>
        <v>0</v>
      </c>
    </row>
    <row r="443" spans="4:44" x14ac:dyDescent="0.25">
      <c r="D443" s="1">
        <v>42103</v>
      </c>
      <c r="E443" s="2">
        <v>122.211752</v>
      </c>
      <c r="F443" s="2">
        <v>201.26796400000001</v>
      </c>
      <c r="G443" s="2">
        <f t="shared" si="229"/>
        <v>0.92701700000000642</v>
      </c>
      <c r="H443" s="2">
        <f t="shared" si="230"/>
        <v>0.88638600000001588</v>
      </c>
      <c r="I443" s="4">
        <f t="shared" si="231"/>
        <v>0.86463773036451341</v>
      </c>
      <c r="J443" s="4">
        <f t="shared" si="232"/>
        <v>0.7851650610193327</v>
      </c>
      <c r="K443" s="4">
        <f t="shared" si="233"/>
        <v>0.99745378303324617</v>
      </c>
      <c r="L443" s="4">
        <f t="shared" si="234"/>
        <v>0.99872608008064256</v>
      </c>
      <c r="M443" s="4">
        <f t="shared" si="235"/>
        <v>1</v>
      </c>
      <c r="N443" s="4">
        <f t="shared" si="236"/>
        <v>1</v>
      </c>
      <c r="O443" s="3">
        <f t="shared" si="237"/>
        <v>0.92701700000000642</v>
      </c>
      <c r="P443" s="3">
        <f t="shared" si="238"/>
        <v>0.88638600000001588</v>
      </c>
      <c r="Q443">
        <f t="shared" si="239"/>
        <v>1</v>
      </c>
      <c r="R443" s="3">
        <f t="shared" si="240"/>
        <v>0</v>
      </c>
      <c r="S443" s="3">
        <f t="shared" si="241"/>
        <v>0</v>
      </c>
      <c r="T443">
        <f t="shared" si="242"/>
        <v>0</v>
      </c>
      <c r="U443" s="3">
        <f t="shared" si="243"/>
        <v>0</v>
      </c>
      <c r="V443" s="3">
        <f t="shared" si="244"/>
        <v>0</v>
      </c>
      <c r="W443">
        <f t="shared" si="245"/>
        <v>0</v>
      </c>
      <c r="X443" s="3">
        <f t="shared" si="246"/>
        <v>0</v>
      </c>
      <c r="Y443" s="3">
        <f t="shared" si="247"/>
        <v>0</v>
      </c>
      <c r="Z443">
        <f t="shared" si="248"/>
        <v>0</v>
      </c>
      <c r="AA443" s="3">
        <f t="shared" si="249"/>
        <v>0</v>
      </c>
      <c r="AB443" s="3">
        <f t="shared" si="250"/>
        <v>0</v>
      </c>
      <c r="AC443">
        <f t="shared" si="251"/>
        <v>0</v>
      </c>
      <c r="AD443" s="3">
        <f t="shared" si="252"/>
        <v>0</v>
      </c>
      <c r="AE443" s="3">
        <f t="shared" si="253"/>
        <v>0</v>
      </c>
      <c r="AF443">
        <f t="shared" si="254"/>
        <v>0</v>
      </c>
      <c r="AG443" s="3">
        <f t="shared" si="255"/>
        <v>0</v>
      </c>
      <c r="AH443" s="3">
        <f t="shared" si="256"/>
        <v>0</v>
      </c>
      <c r="AI443">
        <f t="shared" si="257"/>
        <v>0</v>
      </c>
      <c r="AJ443" s="3">
        <f t="shared" si="258"/>
        <v>0</v>
      </c>
      <c r="AK443" s="3">
        <f t="shared" si="259"/>
        <v>0</v>
      </c>
      <c r="AL443">
        <f t="shared" si="260"/>
        <v>0</v>
      </c>
      <c r="AM443" s="3">
        <f t="shared" si="261"/>
        <v>0</v>
      </c>
      <c r="AN443" s="3">
        <f t="shared" si="262"/>
        <v>0</v>
      </c>
      <c r="AO443">
        <f t="shared" si="263"/>
        <v>0</v>
      </c>
      <c r="AP443" s="3">
        <f t="shared" si="264"/>
        <v>0</v>
      </c>
      <c r="AQ443" s="3">
        <f t="shared" si="265"/>
        <v>0</v>
      </c>
      <c r="AR443">
        <f t="shared" si="266"/>
        <v>0</v>
      </c>
    </row>
    <row r="444" spans="4:44" x14ac:dyDescent="0.25">
      <c r="D444" s="1">
        <v>42102</v>
      </c>
      <c r="E444" s="2">
        <v>121.284735</v>
      </c>
      <c r="F444" s="2">
        <v>200.38157799999999</v>
      </c>
      <c r="G444" s="2">
        <f t="shared" si="229"/>
        <v>-0.39591800000000887</v>
      </c>
      <c r="H444" s="2">
        <f t="shared" si="230"/>
        <v>0.67442299999999022</v>
      </c>
      <c r="I444" s="4">
        <f t="shared" si="231"/>
        <v>-0.45829726963550188</v>
      </c>
      <c r="J444" s="4">
        <f t="shared" si="232"/>
        <v>0.57320206101930704</v>
      </c>
      <c r="K444" s="4">
        <f t="shared" si="233"/>
        <v>1.7516797409408029</v>
      </c>
      <c r="L444" s="4">
        <f t="shared" si="234"/>
        <v>1.3235103856565702</v>
      </c>
      <c r="M444" s="4">
        <f t="shared" si="235"/>
        <v>1</v>
      </c>
      <c r="N444" s="4">
        <f t="shared" si="236"/>
        <v>1</v>
      </c>
      <c r="O444" s="3">
        <f t="shared" si="237"/>
        <v>-0.39591800000000887</v>
      </c>
      <c r="P444" s="3">
        <f t="shared" si="238"/>
        <v>0.67442299999999022</v>
      </c>
      <c r="Q444">
        <f t="shared" si="239"/>
        <v>1</v>
      </c>
      <c r="R444" s="3">
        <f t="shared" si="240"/>
        <v>-0.39591800000000887</v>
      </c>
      <c r="S444" s="3">
        <f t="shared" si="241"/>
        <v>0.67442299999999022</v>
      </c>
      <c r="T444">
        <f t="shared" si="242"/>
        <v>1</v>
      </c>
      <c r="U444" s="3">
        <f t="shared" si="243"/>
        <v>0</v>
      </c>
      <c r="V444" s="3">
        <f t="shared" si="244"/>
        <v>0</v>
      </c>
      <c r="W444">
        <f t="shared" si="245"/>
        <v>0</v>
      </c>
      <c r="X444" s="3">
        <f t="shared" si="246"/>
        <v>0</v>
      </c>
      <c r="Y444" s="3">
        <f t="shared" si="247"/>
        <v>0</v>
      </c>
      <c r="Z444">
        <f t="shared" si="248"/>
        <v>0</v>
      </c>
      <c r="AA444" s="3">
        <f t="shared" si="249"/>
        <v>0</v>
      </c>
      <c r="AB444" s="3">
        <f t="shared" si="250"/>
        <v>0</v>
      </c>
      <c r="AC444">
        <f t="shared" si="251"/>
        <v>0</v>
      </c>
      <c r="AD444" s="3">
        <f t="shared" si="252"/>
        <v>0</v>
      </c>
      <c r="AE444" s="3">
        <f t="shared" si="253"/>
        <v>0</v>
      </c>
      <c r="AF444">
        <f t="shared" si="254"/>
        <v>0</v>
      </c>
      <c r="AG444" s="3">
        <f t="shared" si="255"/>
        <v>0</v>
      </c>
      <c r="AH444" s="3">
        <f t="shared" si="256"/>
        <v>0</v>
      </c>
      <c r="AI444">
        <f t="shared" si="257"/>
        <v>0</v>
      </c>
      <c r="AJ444" s="3">
        <f t="shared" si="258"/>
        <v>0</v>
      </c>
      <c r="AK444" s="3">
        <f t="shared" si="259"/>
        <v>0</v>
      </c>
      <c r="AL444">
        <f t="shared" si="260"/>
        <v>0</v>
      </c>
      <c r="AM444" s="3">
        <f t="shared" si="261"/>
        <v>0</v>
      </c>
      <c r="AN444" s="3">
        <f t="shared" si="262"/>
        <v>0</v>
      </c>
      <c r="AO444">
        <f t="shared" si="263"/>
        <v>0</v>
      </c>
      <c r="AP444" s="3">
        <f t="shared" si="264"/>
        <v>0</v>
      </c>
      <c r="AQ444" s="3">
        <f t="shared" si="265"/>
        <v>0</v>
      </c>
      <c r="AR444">
        <f t="shared" si="266"/>
        <v>0</v>
      </c>
    </row>
    <row r="445" spans="4:44" x14ac:dyDescent="0.25">
      <c r="D445" s="1">
        <v>42101</v>
      </c>
      <c r="E445" s="2">
        <v>121.68065300000001</v>
      </c>
      <c r="F445" s="2">
        <v>199.707155</v>
      </c>
      <c r="G445" s="2">
        <f t="shared" ref="G445:G505" si="267">E445-E446</f>
        <v>-1.2939569999999918</v>
      </c>
      <c r="H445" s="2">
        <f t="shared" ref="H445:H505" si="268">F445-F446</f>
        <v>-0.52990900000000352</v>
      </c>
      <c r="I445" s="4">
        <f t="shared" si="231"/>
        <v>-1.3563362696354848</v>
      </c>
      <c r="J445" s="4">
        <f t="shared" si="232"/>
        <v>-0.6311299389806867</v>
      </c>
      <c r="K445" s="4">
        <f t="shared" si="233"/>
        <v>2.4473870241340383</v>
      </c>
      <c r="L445" s="4">
        <f t="shared" si="234"/>
        <v>1.5644126770561655</v>
      </c>
      <c r="M445" s="4">
        <f t="shared" si="235"/>
        <v>1</v>
      </c>
      <c r="N445" s="4">
        <f t="shared" si="236"/>
        <v>0.49031885360452843</v>
      </c>
      <c r="O445" s="3">
        <f t="shared" si="237"/>
        <v>-1.2939569999999918</v>
      </c>
      <c r="P445" s="3">
        <f t="shared" si="238"/>
        <v>-0.52990900000000352</v>
      </c>
      <c r="Q445">
        <f t="shared" si="239"/>
        <v>1</v>
      </c>
      <c r="R445" s="3">
        <f t="shared" si="240"/>
        <v>-1.2939569999999918</v>
      </c>
      <c r="S445" s="3">
        <f t="shared" si="241"/>
        <v>-0.52990900000000352</v>
      </c>
      <c r="T445">
        <f t="shared" si="242"/>
        <v>1</v>
      </c>
      <c r="U445" s="3">
        <f t="shared" si="243"/>
        <v>-1.2939569999999918</v>
      </c>
      <c r="V445" s="3">
        <f t="shared" si="244"/>
        <v>-0.52990900000000352</v>
      </c>
      <c r="W445">
        <f t="shared" si="245"/>
        <v>1</v>
      </c>
      <c r="X445" s="3">
        <f t="shared" si="246"/>
        <v>0</v>
      </c>
      <c r="Y445" s="3">
        <f t="shared" si="247"/>
        <v>0</v>
      </c>
      <c r="Z445">
        <f t="shared" si="248"/>
        <v>0</v>
      </c>
      <c r="AA445" s="3">
        <f t="shared" si="249"/>
        <v>0</v>
      </c>
      <c r="AB445" s="3">
        <f t="shared" si="250"/>
        <v>0</v>
      </c>
      <c r="AC445">
        <f t="shared" si="251"/>
        <v>0</v>
      </c>
      <c r="AD445" s="3">
        <f t="shared" si="252"/>
        <v>0</v>
      </c>
      <c r="AE445" s="3">
        <f t="shared" si="253"/>
        <v>0</v>
      </c>
      <c r="AF445">
        <f t="shared" si="254"/>
        <v>0</v>
      </c>
      <c r="AG445" s="3">
        <f t="shared" si="255"/>
        <v>0</v>
      </c>
      <c r="AH445" s="3">
        <f t="shared" si="256"/>
        <v>0</v>
      </c>
      <c r="AI445">
        <f t="shared" si="257"/>
        <v>0</v>
      </c>
      <c r="AJ445" s="3">
        <f t="shared" si="258"/>
        <v>0</v>
      </c>
      <c r="AK445" s="3">
        <f t="shared" si="259"/>
        <v>0</v>
      </c>
      <c r="AL445">
        <f t="shared" si="260"/>
        <v>0</v>
      </c>
      <c r="AM445" s="3">
        <f t="shared" si="261"/>
        <v>0</v>
      </c>
      <c r="AN445" s="3">
        <f t="shared" si="262"/>
        <v>0</v>
      </c>
      <c r="AO445">
        <f t="shared" si="263"/>
        <v>0</v>
      </c>
      <c r="AP445" s="3">
        <f t="shared" si="264"/>
        <v>0</v>
      </c>
      <c r="AQ445" s="3">
        <f t="shared" si="265"/>
        <v>0</v>
      </c>
      <c r="AR445">
        <f t="shared" si="266"/>
        <v>0</v>
      </c>
    </row>
    <row r="446" spans="4:44" x14ac:dyDescent="0.25">
      <c r="D446" s="1">
        <v>42100</v>
      </c>
      <c r="E446" s="2">
        <v>122.97461</v>
      </c>
      <c r="F446" s="2">
        <v>200.237064</v>
      </c>
      <c r="G446" s="2">
        <f t="shared" si="267"/>
        <v>1.9602529999999945</v>
      </c>
      <c r="H446" s="2">
        <f t="shared" si="268"/>
        <v>1.3392169999999908</v>
      </c>
      <c r="I446" s="4">
        <f t="shared" si="231"/>
        <v>1.8978737303645015</v>
      </c>
      <c r="J446" s="4">
        <f t="shared" si="232"/>
        <v>1.2379960610193075</v>
      </c>
      <c r="K446" s="4">
        <f t="shared" si="233"/>
        <v>4.4710555195916157</v>
      </c>
      <c r="L446" s="4">
        <f t="shared" si="234"/>
        <v>2.1144870582700701</v>
      </c>
      <c r="M446" s="4">
        <f t="shared" si="235"/>
        <v>0.94585587184263231</v>
      </c>
      <c r="N446" s="4">
        <f t="shared" si="236"/>
        <v>0.26839299908975578</v>
      </c>
      <c r="O446" s="3">
        <f t="shared" si="237"/>
        <v>1.9602529999999945</v>
      </c>
      <c r="P446" s="3">
        <f t="shared" si="238"/>
        <v>1.3392169999999908</v>
      </c>
      <c r="Q446">
        <f t="shared" si="239"/>
        <v>1</v>
      </c>
      <c r="R446" s="3">
        <f t="shared" si="240"/>
        <v>1.9602529999999945</v>
      </c>
      <c r="S446" s="3">
        <f t="shared" si="241"/>
        <v>1.3392169999999908</v>
      </c>
      <c r="T446">
        <f t="shared" si="242"/>
        <v>1</v>
      </c>
      <c r="U446" s="3">
        <f t="shared" si="243"/>
        <v>1.9602529999999945</v>
      </c>
      <c r="V446" s="3">
        <f t="shared" si="244"/>
        <v>1.3392169999999908</v>
      </c>
      <c r="W446">
        <f t="shared" si="245"/>
        <v>1</v>
      </c>
      <c r="X446" s="3">
        <f t="shared" si="246"/>
        <v>1.9602529999999945</v>
      </c>
      <c r="Y446" s="3">
        <f t="shared" si="247"/>
        <v>1.3392169999999908</v>
      </c>
      <c r="Z446">
        <f t="shared" si="248"/>
        <v>1</v>
      </c>
      <c r="AA446" s="3">
        <f t="shared" si="249"/>
        <v>1.9602529999999945</v>
      </c>
      <c r="AB446" s="3">
        <f t="shared" si="250"/>
        <v>1.3392169999999908</v>
      </c>
      <c r="AC446">
        <f t="shared" si="251"/>
        <v>1</v>
      </c>
      <c r="AD446" s="3">
        <f t="shared" si="252"/>
        <v>0</v>
      </c>
      <c r="AE446" s="3">
        <f t="shared" si="253"/>
        <v>0</v>
      </c>
      <c r="AF446">
        <f t="shared" si="254"/>
        <v>0</v>
      </c>
      <c r="AG446" s="3">
        <f t="shared" si="255"/>
        <v>0</v>
      </c>
      <c r="AH446" s="3">
        <f t="shared" si="256"/>
        <v>0</v>
      </c>
      <c r="AI446">
        <f t="shared" si="257"/>
        <v>0</v>
      </c>
      <c r="AJ446" s="3">
        <f t="shared" si="258"/>
        <v>0</v>
      </c>
      <c r="AK446" s="3">
        <f t="shared" si="259"/>
        <v>0</v>
      </c>
      <c r="AL446">
        <f t="shared" si="260"/>
        <v>0</v>
      </c>
      <c r="AM446" s="3">
        <f t="shared" si="261"/>
        <v>0</v>
      </c>
      <c r="AN446" s="3">
        <f t="shared" si="262"/>
        <v>0</v>
      </c>
      <c r="AO446">
        <f t="shared" si="263"/>
        <v>0</v>
      </c>
      <c r="AP446" s="3">
        <f t="shared" si="264"/>
        <v>0</v>
      </c>
      <c r="AQ446" s="3">
        <f t="shared" si="265"/>
        <v>0</v>
      </c>
      <c r="AR446">
        <f t="shared" si="266"/>
        <v>0</v>
      </c>
    </row>
    <row r="447" spans="4:44" x14ac:dyDescent="0.25">
      <c r="D447" s="1">
        <v>42096</v>
      </c>
      <c r="E447" s="2">
        <v>121.014357</v>
      </c>
      <c r="F447" s="2">
        <v>198.89784700000001</v>
      </c>
      <c r="G447" s="2">
        <f t="shared" si="267"/>
        <v>1.0332379999999972</v>
      </c>
      <c r="H447" s="2">
        <f t="shared" si="268"/>
        <v>0.71297000000001276</v>
      </c>
      <c r="I447" s="4">
        <f t="shared" si="231"/>
        <v>0.97085873036450421</v>
      </c>
      <c r="J447" s="4">
        <f t="shared" si="232"/>
        <v>0.61174906101932958</v>
      </c>
      <c r="K447" s="4">
        <f t="shared" si="233"/>
        <v>1.1734316812761518</v>
      </c>
      <c r="L447" s="4">
        <f t="shared" si="234"/>
        <v>1.0832505163978237</v>
      </c>
      <c r="M447" s="4">
        <f t="shared" si="235"/>
        <v>1</v>
      </c>
      <c r="N447" s="4">
        <f t="shared" si="236"/>
        <v>1</v>
      </c>
      <c r="O447" s="3">
        <f t="shared" si="237"/>
        <v>1.0332379999999972</v>
      </c>
      <c r="P447" s="3">
        <f t="shared" si="238"/>
        <v>0.71297000000001276</v>
      </c>
      <c r="Q447">
        <f t="shared" si="239"/>
        <v>1</v>
      </c>
      <c r="R447" s="3">
        <f t="shared" si="240"/>
        <v>1.0332379999999972</v>
      </c>
      <c r="S447" s="3">
        <f t="shared" si="241"/>
        <v>0.71297000000001276</v>
      </c>
      <c r="T447">
        <f t="shared" si="242"/>
        <v>1</v>
      </c>
      <c r="U447" s="3">
        <f t="shared" si="243"/>
        <v>0</v>
      </c>
      <c r="V447" s="3">
        <f t="shared" si="244"/>
        <v>0</v>
      </c>
      <c r="W447">
        <f t="shared" si="245"/>
        <v>0</v>
      </c>
      <c r="X447" s="3">
        <f t="shared" si="246"/>
        <v>0</v>
      </c>
      <c r="Y447" s="3">
        <f t="shared" si="247"/>
        <v>0</v>
      </c>
      <c r="Z447">
        <f t="shared" si="248"/>
        <v>0</v>
      </c>
      <c r="AA447" s="3">
        <f t="shared" si="249"/>
        <v>0</v>
      </c>
      <c r="AB447" s="3">
        <f t="shared" si="250"/>
        <v>0</v>
      </c>
      <c r="AC447">
        <f t="shared" si="251"/>
        <v>0</v>
      </c>
      <c r="AD447" s="3">
        <f t="shared" si="252"/>
        <v>0</v>
      </c>
      <c r="AE447" s="3">
        <f t="shared" si="253"/>
        <v>0</v>
      </c>
      <c r="AF447">
        <f t="shared" si="254"/>
        <v>0</v>
      </c>
      <c r="AG447" s="3">
        <f t="shared" si="255"/>
        <v>0</v>
      </c>
      <c r="AH447" s="3">
        <f t="shared" si="256"/>
        <v>0</v>
      </c>
      <c r="AI447">
        <f t="shared" si="257"/>
        <v>0</v>
      </c>
      <c r="AJ447" s="3">
        <f t="shared" si="258"/>
        <v>0</v>
      </c>
      <c r="AK447" s="3">
        <f t="shared" si="259"/>
        <v>0</v>
      </c>
      <c r="AL447">
        <f t="shared" si="260"/>
        <v>0</v>
      </c>
      <c r="AM447" s="3">
        <f t="shared" si="261"/>
        <v>0</v>
      </c>
      <c r="AN447" s="3">
        <f t="shared" si="262"/>
        <v>0</v>
      </c>
      <c r="AO447">
        <f t="shared" si="263"/>
        <v>0</v>
      </c>
      <c r="AP447" s="3">
        <f t="shared" si="264"/>
        <v>0</v>
      </c>
      <c r="AQ447" s="3">
        <f t="shared" si="265"/>
        <v>0</v>
      </c>
      <c r="AR447">
        <f t="shared" si="266"/>
        <v>0</v>
      </c>
    </row>
    <row r="448" spans="4:44" x14ac:dyDescent="0.25">
      <c r="D448" s="1">
        <v>42095</v>
      </c>
      <c r="E448" s="2">
        <v>119.98111900000001</v>
      </c>
      <c r="F448" s="2">
        <v>198.184877</v>
      </c>
      <c r="G448" s="2">
        <f t="shared" si="267"/>
        <v>-0.17381599999998798</v>
      </c>
      <c r="H448" s="2">
        <f t="shared" si="268"/>
        <v>-0.70332600000000411</v>
      </c>
      <c r="I448" s="4">
        <f t="shared" si="231"/>
        <v>-0.23619526963548099</v>
      </c>
      <c r="J448" s="4">
        <f t="shared" si="232"/>
        <v>-0.8045469389806873</v>
      </c>
      <c r="K448" s="4">
        <f t="shared" si="233"/>
        <v>0.85284088394904844</v>
      </c>
      <c r="L448" s="4">
        <f t="shared" si="234"/>
        <v>0.92349384618905206</v>
      </c>
      <c r="M448" s="4">
        <f t="shared" si="235"/>
        <v>1</v>
      </c>
      <c r="N448" s="4">
        <f t="shared" si="236"/>
        <v>1</v>
      </c>
      <c r="O448" s="3">
        <f t="shared" si="237"/>
        <v>-0.17381599999998798</v>
      </c>
      <c r="P448" s="3">
        <f t="shared" si="238"/>
        <v>-0.70332600000000411</v>
      </c>
      <c r="Q448">
        <f t="shared" si="239"/>
        <v>1</v>
      </c>
      <c r="R448" s="3">
        <f t="shared" si="240"/>
        <v>0</v>
      </c>
      <c r="S448" s="3">
        <f t="shared" si="241"/>
        <v>0</v>
      </c>
      <c r="T448">
        <f t="shared" si="242"/>
        <v>0</v>
      </c>
      <c r="U448" s="3">
        <f t="shared" si="243"/>
        <v>0</v>
      </c>
      <c r="V448" s="3">
        <f t="shared" si="244"/>
        <v>0</v>
      </c>
      <c r="W448">
        <f t="shared" si="245"/>
        <v>0</v>
      </c>
      <c r="X448" s="3">
        <f t="shared" si="246"/>
        <v>0</v>
      </c>
      <c r="Y448" s="3">
        <f t="shared" si="247"/>
        <v>0</v>
      </c>
      <c r="Z448">
        <f t="shared" si="248"/>
        <v>0</v>
      </c>
      <c r="AA448" s="3">
        <f t="shared" si="249"/>
        <v>0</v>
      </c>
      <c r="AB448" s="3">
        <f t="shared" si="250"/>
        <v>0</v>
      </c>
      <c r="AC448">
        <f t="shared" si="251"/>
        <v>0</v>
      </c>
      <c r="AD448" s="3">
        <f t="shared" si="252"/>
        <v>0</v>
      </c>
      <c r="AE448" s="3">
        <f t="shared" si="253"/>
        <v>0</v>
      </c>
      <c r="AF448">
        <f t="shared" si="254"/>
        <v>0</v>
      </c>
      <c r="AG448" s="3">
        <f t="shared" si="255"/>
        <v>0</v>
      </c>
      <c r="AH448" s="3">
        <f t="shared" si="256"/>
        <v>0</v>
      </c>
      <c r="AI448">
        <f t="shared" si="257"/>
        <v>0</v>
      </c>
      <c r="AJ448" s="3">
        <f t="shared" si="258"/>
        <v>0</v>
      </c>
      <c r="AK448" s="3">
        <f t="shared" si="259"/>
        <v>0</v>
      </c>
      <c r="AL448">
        <f t="shared" si="260"/>
        <v>0</v>
      </c>
      <c r="AM448" s="3">
        <f t="shared" si="261"/>
        <v>0</v>
      </c>
      <c r="AN448" s="3">
        <f t="shared" si="262"/>
        <v>0</v>
      </c>
      <c r="AO448">
        <f t="shared" si="263"/>
        <v>0</v>
      </c>
      <c r="AP448" s="3">
        <f t="shared" si="264"/>
        <v>0</v>
      </c>
      <c r="AQ448" s="3">
        <f t="shared" si="265"/>
        <v>0</v>
      </c>
      <c r="AR448">
        <f t="shared" si="266"/>
        <v>0</v>
      </c>
    </row>
    <row r="449" spans="4:44" x14ac:dyDescent="0.25">
      <c r="D449" s="1">
        <v>42094</v>
      </c>
      <c r="E449" s="2">
        <v>120.15493499999999</v>
      </c>
      <c r="F449" s="2">
        <v>198.888203</v>
      </c>
      <c r="G449" s="2">
        <f t="shared" si="267"/>
        <v>-1.8733500000000021</v>
      </c>
      <c r="H449" s="2">
        <f t="shared" si="268"/>
        <v>-1.7535149999999931</v>
      </c>
      <c r="I449" s="4">
        <f t="shared" si="231"/>
        <v>-1.9357292696354951</v>
      </c>
      <c r="J449" s="4">
        <f t="shared" si="232"/>
        <v>-1.8547359389806763</v>
      </c>
      <c r="K449" s="4">
        <f t="shared" si="233"/>
        <v>5.1763208803995182</v>
      </c>
      <c r="L449" s="4">
        <f t="shared" si="234"/>
        <v>2.2751529356066413</v>
      </c>
      <c r="M449" s="4">
        <f t="shared" si="235"/>
        <v>0.87906178468249863</v>
      </c>
      <c r="N449" s="4">
        <f t="shared" si="236"/>
        <v>0.23182488638675386</v>
      </c>
      <c r="O449" s="3">
        <f t="shared" si="237"/>
        <v>-1.8733500000000021</v>
      </c>
      <c r="P449" s="3">
        <f t="shared" si="238"/>
        <v>-1.7535149999999931</v>
      </c>
      <c r="Q449">
        <f t="shared" si="239"/>
        <v>1</v>
      </c>
      <c r="R449" s="3">
        <f t="shared" si="240"/>
        <v>-1.8733500000000021</v>
      </c>
      <c r="S449" s="3">
        <f t="shared" si="241"/>
        <v>-1.7535149999999931</v>
      </c>
      <c r="T449">
        <f t="shared" si="242"/>
        <v>1</v>
      </c>
      <c r="U449" s="3">
        <f t="shared" si="243"/>
        <v>-1.8733500000000021</v>
      </c>
      <c r="V449" s="3">
        <f t="shared" si="244"/>
        <v>-1.7535149999999931</v>
      </c>
      <c r="W449">
        <f t="shared" si="245"/>
        <v>1</v>
      </c>
      <c r="X449" s="3">
        <f t="shared" si="246"/>
        <v>-1.8733500000000021</v>
      </c>
      <c r="Y449" s="3">
        <f t="shared" si="247"/>
        <v>-1.7535149999999931</v>
      </c>
      <c r="Z449">
        <f t="shared" si="248"/>
        <v>1</v>
      </c>
      <c r="AA449" s="3">
        <f t="shared" si="249"/>
        <v>-1.8733500000000021</v>
      </c>
      <c r="AB449" s="3">
        <f t="shared" si="250"/>
        <v>-1.7535149999999931</v>
      </c>
      <c r="AC449">
        <f t="shared" si="251"/>
        <v>1</v>
      </c>
      <c r="AD449" s="3">
        <f t="shared" si="252"/>
        <v>-1.8733500000000021</v>
      </c>
      <c r="AE449" s="3">
        <f t="shared" si="253"/>
        <v>-1.7535149999999931</v>
      </c>
      <c r="AF449">
        <f t="shared" si="254"/>
        <v>1</v>
      </c>
      <c r="AG449" s="3">
        <f t="shared" si="255"/>
        <v>0</v>
      </c>
      <c r="AH449" s="3">
        <f t="shared" si="256"/>
        <v>0</v>
      </c>
      <c r="AI449">
        <f t="shared" si="257"/>
        <v>0</v>
      </c>
      <c r="AJ449" s="3">
        <f t="shared" si="258"/>
        <v>0</v>
      </c>
      <c r="AK449" s="3">
        <f t="shared" si="259"/>
        <v>0</v>
      </c>
      <c r="AL449">
        <f t="shared" si="260"/>
        <v>0</v>
      </c>
      <c r="AM449" s="3">
        <f t="shared" si="261"/>
        <v>0</v>
      </c>
      <c r="AN449" s="3">
        <f t="shared" si="262"/>
        <v>0</v>
      </c>
      <c r="AO449">
        <f t="shared" si="263"/>
        <v>0</v>
      </c>
      <c r="AP449" s="3">
        <f t="shared" si="264"/>
        <v>0</v>
      </c>
      <c r="AQ449" s="3">
        <f t="shared" si="265"/>
        <v>0</v>
      </c>
      <c r="AR449">
        <f t="shared" si="266"/>
        <v>0</v>
      </c>
    </row>
    <row r="450" spans="4:44" x14ac:dyDescent="0.25">
      <c r="D450" s="1">
        <v>42093</v>
      </c>
      <c r="E450" s="2">
        <v>122.028285</v>
      </c>
      <c r="F450" s="2">
        <v>200.641718</v>
      </c>
      <c r="G450" s="2">
        <f t="shared" si="267"/>
        <v>3.0128089999999901</v>
      </c>
      <c r="H450" s="2">
        <f t="shared" si="268"/>
        <v>2.4182940000000031</v>
      </c>
      <c r="I450" s="4">
        <f t="shared" ref="I450:I505" si="269">G450-$A$14</f>
        <v>2.9504297303644971</v>
      </c>
      <c r="J450" s="4">
        <f t="shared" ref="J450:J505" si="270">H450-$B$14</f>
        <v>2.31707306101932</v>
      </c>
      <c r="K450" s="4">
        <f t="shared" si="233"/>
        <v>10.95665478249961</v>
      </c>
      <c r="L450" s="4">
        <f t="shared" si="234"/>
        <v>3.3100838029420965</v>
      </c>
      <c r="M450" s="4">
        <f t="shared" si="235"/>
        <v>0.60421430968676482</v>
      </c>
      <c r="N450" s="4">
        <f t="shared" si="236"/>
        <v>0.10952247960907613</v>
      </c>
      <c r="O450" s="3">
        <f t="shared" si="237"/>
        <v>3.0128089999999901</v>
      </c>
      <c r="P450" s="3">
        <f t="shared" si="238"/>
        <v>2.4182940000000031</v>
      </c>
      <c r="Q450">
        <f t="shared" si="239"/>
        <v>1</v>
      </c>
      <c r="R450" s="3">
        <f t="shared" si="240"/>
        <v>3.0128089999999901</v>
      </c>
      <c r="S450" s="3">
        <f t="shared" si="241"/>
        <v>2.4182940000000031</v>
      </c>
      <c r="T450">
        <f t="shared" si="242"/>
        <v>1</v>
      </c>
      <c r="U450" s="3">
        <f t="shared" si="243"/>
        <v>3.0128089999999901</v>
      </c>
      <c r="V450" s="3">
        <f t="shared" si="244"/>
        <v>2.4182940000000031</v>
      </c>
      <c r="W450">
        <f t="shared" si="245"/>
        <v>1</v>
      </c>
      <c r="X450" s="3">
        <f t="shared" si="246"/>
        <v>3.0128089999999901</v>
      </c>
      <c r="Y450" s="3">
        <f t="shared" si="247"/>
        <v>2.4182940000000031</v>
      </c>
      <c r="Z450">
        <f t="shared" si="248"/>
        <v>1</v>
      </c>
      <c r="AA450" s="3">
        <f t="shared" si="249"/>
        <v>3.0128089999999901</v>
      </c>
      <c r="AB450" s="3">
        <f t="shared" si="250"/>
        <v>2.4182940000000031</v>
      </c>
      <c r="AC450">
        <f t="shared" si="251"/>
        <v>1</v>
      </c>
      <c r="AD450" s="3">
        <f t="shared" si="252"/>
        <v>3.0128089999999901</v>
      </c>
      <c r="AE450" s="3">
        <f t="shared" si="253"/>
        <v>2.4182940000000031</v>
      </c>
      <c r="AF450">
        <f t="shared" si="254"/>
        <v>1</v>
      </c>
      <c r="AG450" s="3">
        <f t="shared" si="255"/>
        <v>3.0128089999999901</v>
      </c>
      <c r="AH450" s="3">
        <f t="shared" si="256"/>
        <v>2.4182940000000031</v>
      </c>
      <c r="AI450">
        <f t="shared" si="257"/>
        <v>1</v>
      </c>
      <c r="AJ450" s="3">
        <f t="shared" si="258"/>
        <v>3.0128089999999901</v>
      </c>
      <c r="AK450" s="3">
        <f t="shared" si="259"/>
        <v>2.4182940000000031</v>
      </c>
      <c r="AL450">
        <f t="shared" si="260"/>
        <v>1</v>
      </c>
      <c r="AM450" s="3">
        <f t="shared" si="261"/>
        <v>3.0128089999999901</v>
      </c>
      <c r="AN450" s="3">
        <f t="shared" si="262"/>
        <v>2.4182940000000031</v>
      </c>
      <c r="AO450">
        <f t="shared" si="263"/>
        <v>1</v>
      </c>
      <c r="AP450" s="3">
        <f t="shared" si="264"/>
        <v>3.0128089999999901</v>
      </c>
      <c r="AQ450" s="3">
        <f t="shared" si="265"/>
        <v>2.4182940000000031</v>
      </c>
      <c r="AR450">
        <f t="shared" si="266"/>
        <v>1</v>
      </c>
    </row>
    <row r="451" spans="4:44" x14ac:dyDescent="0.25">
      <c r="D451" s="1">
        <v>42090</v>
      </c>
      <c r="E451" s="2">
        <v>119.01547600000001</v>
      </c>
      <c r="F451" s="2">
        <v>198.22342399999999</v>
      </c>
      <c r="G451" s="2">
        <f t="shared" si="267"/>
        <v>-0.95598499999999831</v>
      </c>
      <c r="H451" s="2">
        <f t="shared" si="268"/>
        <v>0.45283000000000584</v>
      </c>
      <c r="I451" s="4">
        <f t="shared" si="269"/>
        <v>-1.0183642696354913</v>
      </c>
      <c r="J451" s="4">
        <f t="shared" si="270"/>
        <v>0.35160906101932266</v>
      </c>
      <c r="K451" s="4">
        <f t="shared" ref="K451:K505" si="271">SUMPRODUCT(MMULT(I451:J451,$A$19:$B$20),I451:J451)</f>
        <v>3.3701509064068569</v>
      </c>
      <c r="L451" s="4">
        <f t="shared" ref="L451:L505" si="272">SQRT(K451)</f>
        <v>1.8357970765874034</v>
      </c>
      <c r="M451" s="4">
        <f t="shared" ref="M451:M505" si="273">IF(L451&lt;$B$12,1,$B$12/L451)</f>
        <v>1</v>
      </c>
      <c r="N451" s="4">
        <f t="shared" ref="N451:N505" si="274">IF(K451&lt;$B$12,1,$B$21/K451)</f>
        <v>0.35606714159853459</v>
      </c>
      <c r="O451" s="3">
        <f t="shared" ref="O451:O505" si="275">IF($K451&gt;P$1,$G451,0)</f>
        <v>-0.95598499999999831</v>
      </c>
      <c r="P451" s="3">
        <f t="shared" ref="P451:P505" si="276">IF($K451&gt;P$1,$H451,0)</f>
        <v>0.45283000000000584</v>
      </c>
      <c r="Q451">
        <f t="shared" ref="Q451:Q505" si="277">IF($K451&gt;P$1,1,0)</f>
        <v>1</v>
      </c>
      <c r="R451" s="3">
        <f t="shared" ref="R451:R505" si="278">IF($K451&gt;S$1,$G451,0)</f>
        <v>-0.95598499999999831</v>
      </c>
      <c r="S451" s="3">
        <f t="shared" ref="S451:S505" si="279">IF($K451&gt;S$1,$H451,0)</f>
        <v>0.45283000000000584</v>
      </c>
      <c r="T451">
        <f t="shared" ref="T451:T505" si="280">IF($K451&gt;S$1,1,0)</f>
        <v>1</v>
      </c>
      <c r="U451" s="3">
        <f t="shared" ref="U451:U505" si="281">IF($K451&gt;V$1,$G451,0)</f>
        <v>-0.95598499999999831</v>
      </c>
      <c r="V451" s="3">
        <f t="shared" ref="V451:V505" si="282">IF($K451&gt;V$1,$H451,0)</f>
        <v>0.45283000000000584</v>
      </c>
      <c r="W451">
        <f t="shared" ref="W451:W505" si="283">IF($K451&gt;V$1,1,0)</f>
        <v>1</v>
      </c>
      <c r="X451" s="3">
        <f t="shared" ref="X451:X505" si="284">IF($K451&gt;Y$1,$G451,0)</f>
        <v>-0.95598499999999831</v>
      </c>
      <c r="Y451" s="3">
        <f t="shared" ref="Y451:Y505" si="285">IF($K451&gt;Y$1,$H451,0)</f>
        <v>0.45283000000000584</v>
      </c>
      <c r="Z451">
        <f t="shared" ref="Z451:Z505" si="286">IF($K451&gt;Y$1,1,0)</f>
        <v>1</v>
      </c>
      <c r="AA451" s="3">
        <f t="shared" ref="AA451:AA505" si="287">IF($K451&gt;AB$1,$G451,0)</f>
        <v>0</v>
      </c>
      <c r="AB451" s="3">
        <f t="shared" ref="AB451:AB505" si="288">IF($K451&gt;AB$1,$H451,0)</f>
        <v>0</v>
      </c>
      <c r="AC451">
        <f t="shared" ref="AC451:AC505" si="289">IF($K451&gt;AB$1,1,0)</f>
        <v>0</v>
      </c>
      <c r="AD451" s="3">
        <f t="shared" ref="AD451:AD505" si="290">IF($K451&gt;AE$1,$G451,0)</f>
        <v>0</v>
      </c>
      <c r="AE451" s="3">
        <f t="shared" ref="AE451:AE505" si="291">IF($K451&gt;AE$1,$H451,0)</f>
        <v>0</v>
      </c>
      <c r="AF451">
        <f t="shared" ref="AF451:AF505" si="292">IF($K451&gt;AE$1,1,0)</f>
        <v>0</v>
      </c>
      <c r="AG451" s="3">
        <f t="shared" ref="AG451:AG505" si="293">IF($K451&gt;AH$1,$G451,0)</f>
        <v>0</v>
      </c>
      <c r="AH451" s="3">
        <f t="shared" ref="AH451:AH505" si="294">IF($K451&gt;AH$1,$H451,0)</f>
        <v>0</v>
      </c>
      <c r="AI451">
        <f t="shared" ref="AI451:AI505" si="295">IF($K451&gt;AH$1,1,0)</f>
        <v>0</v>
      </c>
      <c r="AJ451" s="3">
        <f t="shared" ref="AJ451:AJ505" si="296">IF($K451&gt;AK$1,$G451,0)</f>
        <v>0</v>
      </c>
      <c r="AK451" s="3">
        <f t="shared" ref="AK451:AK505" si="297">IF($K451&gt;AK$1,$H451,0)</f>
        <v>0</v>
      </c>
      <c r="AL451">
        <f t="shared" ref="AL451:AL505" si="298">IF($K451&gt;AK$1,1,0)</f>
        <v>0</v>
      </c>
      <c r="AM451" s="3">
        <f t="shared" ref="AM451:AM505" si="299">IF($K451&gt;AN$1,$G451,0)</f>
        <v>0</v>
      </c>
      <c r="AN451" s="3">
        <f t="shared" ref="AN451:AN505" si="300">IF($K451&gt;AN$1,$H451,0)</f>
        <v>0</v>
      </c>
      <c r="AO451">
        <f t="shared" ref="AO451:AO505" si="301">IF($K451&gt;AN$1,1,0)</f>
        <v>0</v>
      </c>
      <c r="AP451" s="3">
        <f t="shared" ref="AP451:AP505" si="302">IF($K451&gt;AQ$1,$G451,0)</f>
        <v>0</v>
      </c>
      <c r="AQ451" s="3">
        <f t="shared" ref="AQ451:AQ505" si="303">IF($K451&gt;AQ$1,$H451,0)</f>
        <v>0</v>
      </c>
      <c r="AR451">
        <f t="shared" ref="AR451:AR505" si="304">IF($K451&gt;AQ$1,1,0)</f>
        <v>0</v>
      </c>
    </row>
    <row r="452" spans="4:44" x14ac:dyDescent="0.25">
      <c r="D452" s="1">
        <v>42089</v>
      </c>
      <c r="E452" s="2">
        <v>119.97146100000001</v>
      </c>
      <c r="F452" s="2">
        <v>197.77059399999999</v>
      </c>
      <c r="G452" s="2">
        <f t="shared" si="267"/>
        <v>0.83045400000000313</v>
      </c>
      <c r="H452" s="2">
        <f t="shared" si="268"/>
        <v>-0.47208900000001108</v>
      </c>
      <c r="I452" s="4">
        <f t="shared" si="269"/>
        <v>0.76807473036451013</v>
      </c>
      <c r="J452" s="4">
        <f t="shared" si="270"/>
        <v>-0.57330993898069427</v>
      </c>
      <c r="K452" s="4">
        <f t="shared" si="271"/>
        <v>3.0212458083134432</v>
      </c>
      <c r="L452" s="4">
        <f t="shared" si="272"/>
        <v>1.7381731238036799</v>
      </c>
      <c r="M452" s="4">
        <f t="shared" si="273"/>
        <v>1</v>
      </c>
      <c r="N452" s="4">
        <f t="shared" si="274"/>
        <v>0.39718714601043292</v>
      </c>
      <c r="O452" s="3">
        <f t="shared" si="275"/>
        <v>0.83045400000000313</v>
      </c>
      <c r="P452" s="3">
        <f t="shared" si="276"/>
        <v>-0.47208900000001108</v>
      </c>
      <c r="Q452">
        <f t="shared" si="277"/>
        <v>1</v>
      </c>
      <c r="R452" s="3">
        <f t="shared" si="278"/>
        <v>0.83045400000000313</v>
      </c>
      <c r="S452" s="3">
        <f t="shared" si="279"/>
        <v>-0.47208900000001108</v>
      </c>
      <c r="T452">
        <f t="shared" si="280"/>
        <v>1</v>
      </c>
      <c r="U452" s="3">
        <f t="shared" si="281"/>
        <v>0.83045400000000313</v>
      </c>
      <c r="V452" s="3">
        <f t="shared" si="282"/>
        <v>-0.47208900000001108</v>
      </c>
      <c r="W452">
        <f t="shared" si="283"/>
        <v>1</v>
      </c>
      <c r="X452" s="3">
        <f t="shared" si="284"/>
        <v>0.83045400000000313</v>
      </c>
      <c r="Y452" s="3">
        <f t="shared" si="285"/>
        <v>-0.47208900000001108</v>
      </c>
      <c r="Z452">
        <f t="shared" si="286"/>
        <v>1</v>
      </c>
      <c r="AA452" s="3">
        <f t="shared" si="287"/>
        <v>0</v>
      </c>
      <c r="AB452" s="3">
        <f t="shared" si="288"/>
        <v>0</v>
      </c>
      <c r="AC452">
        <f t="shared" si="289"/>
        <v>0</v>
      </c>
      <c r="AD452" s="3">
        <f t="shared" si="290"/>
        <v>0</v>
      </c>
      <c r="AE452" s="3">
        <f t="shared" si="291"/>
        <v>0</v>
      </c>
      <c r="AF452">
        <f t="shared" si="292"/>
        <v>0</v>
      </c>
      <c r="AG452" s="3">
        <f t="shared" si="293"/>
        <v>0</v>
      </c>
      <c r="AH452" s="3">
        <f t="shared" si="294"/>
        <v>0</v>
      </c>
      <c r="AI452">
        <f t="shared" si="295"/>
        <v>0</v>
      </c>
      <c r="AJ452" s="3">
        <f t="shared" si="296"/>
        <v>0</v>
      </c>
      <c r="AK452" s="3">
        <f t="shared" si="297"/>
        <v>0</v>
      </c>
      <c r="AL452">
        <f t="shared" si="298"/>
        <v>0</v>
      </c>
      <c r="AM452" s="3">
        <f t="shared" si="299"/>
        <v>0</v>
      </c>
      <c r="AN452" s="3">
        <f t="shared" si="300"/>
        <v>0</v>
      </c>
      <c r="AO452">
        <f t="shared" si="301"/>
        <v>0</v>
      </c>
      <c r="AP452" s="3">
        <f t="shared" si="302"/>
        <v>0</v>
      </c>
      <c r="AQ452" s="3">
        <f t="shared" si="303"/>
        <v>0</v>
      </c>
      <c r="AR452">
        <f t="shared" si="304"/>
        <v>0</v>
      </c>
    </row>
    <row r="453" spans="4:44" x14ac:dyDescent="0.25">
      <c r="D453" s="1">
        <v>42088</v>
      </c>
      <c r="E453" s="2">
        <v>119.141007</v>
      </c>
      <c r="F453" s="2">
        <v>198.242683</v>
      </c>
      <c r="G453" s="2">
        <f t="shared" si="267"/>
        <v>-3.196282999999994</v>
      </c>
      <c r="H453" s="2">
        <f t="shared" si="268"/>
        <v>-2.9482169999999996</v>
      </c>
      <c r="I453" s="4">
        <f t="shared" si="269"/>
        <v>-3.258662269635487</v>
      </c>
      <c r="J453" s="4">
        <f t="shared" si="270"/>
        <v>-3.0494379389806827</v>
      </c>
      <c r="K453" s="4">
        <f t="shared" si="271"/>
        <v>14.432869980105647</v>
      </c>
      <c r="L453" s="4">
        <f t="shared" si="272"/>
        <v>3.7990617236504129</v>
      </c>
      <c r="M453" s="4">
        <f t="shared" si="273"/>
        <v>0.52644577674254145</v>
      </c>
      <c r="N453" s="4">
        <f t="shared" si="274"/>
        <v>8.3143546755017339E-2</v>
      </c>
      <c r="O453" s="3">
        <f t="shared" si="275"/>
        <v>-3.196282999999994</v>
      </c>
      <c r="P453" s="3">
        <f t="shared" si="276"/>
        <v>-2.9482169999999996</v>
      </c>
      <c r="Q453">
        <f t="shared" si="277"/>
        <v>1</v>
      </c>
      <c r="R453" s="3">
        <f t="shared" si="278"/>
        <v>-3.196282999999994</v>
      </c>
      <c r="S453" s="3">
        <f t="shared" si="279"/>
        <v>-2.9482169999999996</v>
      </c>
      <c r="T453">
        <f t="shared" si="280"/>
        <v>1</v>
      </c>
      <c r="U453" s="3">
        <f t="shared" si="281"/>
        <v>-3.196282999999994</v>
      </c>
      <c r="V453" s="3">
        <f t="shared" si="282"/>
        <v>-2.9482169999999996</v>
      </c>
      <c r="W453">
        <f t="shared" si="283"/>
        <v>1</v>
      </c>
      <c r="X453" s="3">
        <f t="shared" si="284"/>
        <v>-3.196282999999994</v>
      </c>
      <c r="Y453" s="3">
        <f t="shared" si="285"/>
        <v>-2.9482169999999996</v>
      </c>
      <c r="Z453">
        <f t="shared" si="286"/>
        <v>1</v>
      </c>
      <c r="AA453" s="3">
        <f t="shared" si="287"/>
        <v>-3.196282999999994</v>
      </c>
      <c r="AB453" s="3">
        <f t="shared" si="288"/>
        <v>-2.9482169999999996</v>
      </c>
      <c r="AC453">
        <f t="shared" si="289"/>
        <v>1</v>
      </c>
      <c r="AD453" s="3">
        <f t="shared" si="290"/>
        <v>-3.196282999999994</v>
      </c>
      <c r="AE453" s="3">
        <f t="shared" si="291"/>
        <v>-2.9482169999999996</v>
      </c>
      <c r="AF453">
        <f t="shared" si="292"/>
        <v>1</v>
      </c>
      <c r="AG453" s="3">
        <f t="shared" si="293"/>
        <v>-3.196282999999994</v>
      </c>
      <c r="AH453" s="3">
        <f t="shared" si="294"/>
        <v>-2.9482169999999996</v>
      </c>
      <c r="AI453">
        <f t="shared" si="295"/>
        <v>1</v>
      </c>
      <c r="AJ453" s="3">
        <f t="shared" si="296"/>
        <v>-3.196282999999994</v>
      </c>
      <c r="AK453" s="3">
        <f t="shared" si="297"/>
        <v>-2.9482169999999996</v>
      </c>
      <c r="AL453">
        <f t="shared" si="298"/>
        <v>1</v>
      </c>
      <c r="AM453" s="3">
        <f t="shared" si="299"/>
        <v>-3.196282999999994</v>
      </c>
      <c r="AN453" s="3">
        <f t="shared" si="300"/>
        <v>-2.9482169999999996</v>
      </c>
      <c r="AO453">
        <f t="shared" si="301"/>
        <v>1</v>
      </c>
      <c r="AP453" s="3">
        <f t="shared" si="302"/>
        <v>-3.196282999999994</v>
      </c>
      <c r="AQ453" s="3">
        <f t="shared" si="303"/>
        <v>-2.9482169999999996</v>
      </c>
      <c r="AR453">
        <f t="shared" si="304"/>
        <v>1</v>
      </c>
    </row>
    <row r="454" spans="4:44" x14ac:dyDescent="0.25">
      <c r="D454" s="1">
        <v>42087</v>
      </c>
      <c r="E454" s="2">
        <v>122.33729</v>
      </c>
      <c r="F454" s="2">
        <v>201.1909</v>
      </c>
      <c r="G454" s="2">
        <f t="shared" si="267"/>
        <v>-0.50213100000000566</v>
      </c>
      <c r="H454" s="2">
        <f t="shared" si="268"/>
        <v>-1.1368830000000116</v>
      </c>
      <c r="I454" s="4">
        <f t="shared" si="269"/>
        <v>-0.56451026963549866</v>
      </c>
      <c r="J454" s="4">
        <f t="shared" si="270"/>
        <v>-1.2381039389806949</v>
      </c>
      <c r="K454" s="4">
        <f t="shared" si="271"/>
        <v>1.7705545958058644</v>
      </c>
      <c r="L454" s="4">
        <f t="shared" si="272"/>
        <v>1.3306218831079941</v>
      </c>
      <c r="M454" s="4">
        <f t="shared" si="273"/>
        <v>1</v>
      </c>
      <c r="N454" s="4">
        <f t="shared" si="274"/>
        <v>1</v>
      </c>
      <c r="O454" s="3">
        <f t="shared" si="275"/>
        <v>-0.50213100000000566</v>
      </c>
      <c r="P454" s="3">
        <f t="shared" si="276"/>
        <v>-1.1368830000000116</v>
      </c>
      <c r="Q454">
        <f t="shared" si="277"/>
        <v>1</v>
      </c>
      <c r="R454" s="3">
        <f t="shared" si="278"/>
        <v>-0.50213100000000566</v>
      </c>
      <c r="S454" s="3">
        <f t="shared" si="279"/>
        <v>-1.1368830000000116</v>
      </c>
      <c r="T454">
        <f t="shared" si="280"/>
        <v>1</v>
      </c>
      <c r="U454" s="3">
        <f t="shared" si="281"/>
        <v>0</v>
      </c>
      <c r="V454" s="3">
        <f t="shared" si="282"/>
        <v>0</v>
      </c>
      <c r="W454">
        <f t="shared" si="283"/>
        <v>0</v>
      </c>
      <c r="X454" s="3">
        <f t="shared" si="284"/>
        <v>0</v>
      </c>
      <c r="Y454" s="3">
        <f t="shared" si="285"/>
        <v>0</v>
      </c>
      <c r="Z454">
        <f t="shared" si="286"/>
        <v>0</v>
      </c>
      <c r="AA454" s="3">
        <f t="shared" si="287"/>
        <v>0</v>
      </c>
      <c r="AB454" s="3">
        <f t="shared" si="288"/>
        <v>0</v>
      </c>
      <c r="AC454">
        <f t="shared" si="289"/>
        <v>0</v>
      </c>
      <c r="AD454" s="3">
        <f t="shared" si="290"/>
        <v>0</v>
      </c>
      <c r="AE454" s="3">
        <f t="shared" si="291"/>
        <v>0</v>
      </c>
      <c r="AF454">
        <f t="shared" si="292"/>
        <v>0</v>
      </c>
      <c r="AG454" s="3">
        <f t="shared" si="293"/>
        <v>0</v>
      </c>
      <c r="AH454" s="3">
        <f t="shared" si="294"/>
        <v>0</v>
      </c>
      <c r="AI454">
        <f t="shared" si="295"/>
        <v>0</v>
      </c>
      <c r="AJ454" s="3">
        <f t="shared" si="296"/>
        <v>0</v>
      </c>
      <c r="AK454" s="3">
        <f t="shared" si="297"/>
        <v>0</v>
      </c>
      <c r="AL454">
        <f t="shared" si="298"/>
        <v>0</v>
      </c>
      <c r="AM454" s="3">
        <f t="shared" si="299"/>
        <v>0</v>
      </c>
      <c r="AN454" s="3">
        <f t="shared" si="300"/>
        <v>0</v>
      </c>
      <c r="AO454">
        <f t="shared" si="301"/>
        <v>0</v>
      </c>
      <c r="AP454" s="3">
        <f t="shared" si="302"/>
        <v>0</v>
      </c>
      <c r="AQ454" s="3">
        <f t="shared" si="303"/>
        <v>0</v>
      </c>
      <c r="AR454">
        <f t="shared" si="304"/>
        <v>0</v>
      </c>
    </row>
    <row r="455" spans="4:44" x14ac:dyDescent="0.25">
      <c r="D455" s="1">
        <v>42086</v>
      </c>
      <c r="E455" s="2">
        <v>122.839421</v>
      </c>
      <c r="F455" s="2">
        <v>202.32778300000001</v>
      </c>
      <c r="G455" s="2">
        <f t="shared" si="267"/>
        <v>1.2649899999999974</v>
      </c>
      <c r="H455" s="2">
        <f t="shared" si="268"/>
        <v>-0.39502399999997806</v>
      </c>
      <c r="I455" s="4">
        <f t="shared" si="269"/>
        <v>1.2026107303645044</v>
      </c>
      <c r="J455" s="4">
        <f t="shared" si="270"/>
        <v>-0.49624493898066124</v>
      </c>
      <c r="K455" s="4">
        <f t="shared" si="271"/>
        <v>5.0928727404024698</v>
      </c>
      <c r="L455" s="4">
        <f t="shared" si="272"/>
        <v>2.2567394046283833</v>
      </c>
      <c r="M455" s="4">
        <f t="shared" si="273"/>
        <v>0.88623435913697779</v>
      </c>
      <c r="N455" s="4">
        <f t="shared" si="274"/>
        <v>0.23562340179447888</v>
      </c>
      <c r="O455" s="3">
        <f t="shared" si="275"/>
        <v>1.2649899999999974</v>
      </c>
      <c r="P455" s="3">
        <f t="shared" si="276"/>
        <v>-0.39502399999997806</v>
      </c>
      <c r="Q455">
        <f t="shared" si="277"/>
        <v>1</v>
      </c>
      <c r="R455" s="3">
        <f t="shared" si="278"/>
        <v>1.2649899999999974</v>
      </c>
      <c r="S455" s="3">
        <f t="shared" si="279"/>
        <v>-0.39502399999997806</v>
      </c>
      <c r="T455">
        <f t="shared" si="280"/>
        <v>1</v>
      </c>
      <c r="U455" s="3">
        <f t="shared" si="281"/>
        <v>1.2649899999999974</v>
      </c>
      <c r="V455" s="3">
        <f t="shared" si="282"/>
        <v>-0.39502399999997806</v>
      </c>
      <c r="W455">
        <f t="shared" si="283"/>
        <v>1</v>
      </c>
      <c r="X455" s="3">
        <f t="shared" si="284"/>
        <v>1.2649899999999974</v>
      </c>
      <c r="Y455" s="3">
        <f t="shared" si="285"/>
        <v>-0.39502399999997806</v>
      </c>
      <c r="Z455">
        <f t="shared" si="286"/>
        <v>1</v>
      </c>
      <c r="AA455" s="3">
        <f t="shared" si="287"/>
        <v>1.2649899999999974</v>
      </c>
      <c r="AB455" s="3">
        <f t="shared" si="288"/>
        <v>-0.39502399999997806</v>
      </c>
      <c r="AC455">
        <f t="shared" si="289"/>
        <v>1</v>
      </c>
      <c r="AD455" s="3">
        <f t="shared" si="290"/>
        <v>1.2649899999999974</v>
      </c>
      <c r="AE455" s="3">
        <f t="shared" si="291"/>
        <v>-0.39502399999997806</v>
      </c>
      <c r="AF455">
        <f t="shared" si="292"/>
        <v>1</v>
      </c>
      <c r="AG455" s="3">
        <f t="shared" si="293"/>
        <v>0</v>
      </c>
      <c r="AH455" s="3">
        <f t="shared" si="294"/>
        <v>0</v>
      </c>
      <c r="AI455">
        <f t="shared" si="295"/>
        <v>0</v>
      </c>
      <c r="AJ455" s="3">
        <f t="shared" si="296"/>
        <v>0</v>
      </c>
      <c r="AK455" s="3">
        <f t="shared" si="297"/>
        <v>0</v>
      </c>
      <c r="AL455">
        <f t="shared" si="298"/>
        <v>0</v>
      </c>
      <c r="AM455" s="3">
        <f t="shared" si="299"/>
        <v>0</v>
      </c>
      <c r="AN455" s="3">
        <f t="shared" si="300"/>
        <v>0</v>
      </c>
      <c r="AO455">
        <f t="shared" si="301"/>
        <v>0</v>
      </c>
      <c r="AP455" s="3">
        <f t="shared" si="302"/>
        <v>0</v>
      </c>
      <c r="AQ455" s="3">
        <f t="shared" si="303"/>
        <v>0</v>
      </c>
      <c r="AR455">
        <f t="shared" si="304"/>
        <v>0</v>
      </c>
    </row>
    <row r="456" spans="4:44" x14ac:dyDescent="0.25">
      <c r="D456" s="1">
        <v>42083</v>
      </c>
      <c r="E456" s="2">
        <v>121.574431</v>
      </c>
      <c r="F456" s="2">
        <v>202.72280699999999</v>
      </c>
      <c r="G456" s="2">
        <f t="shared" si="267"/>
        <v>-1.5450269999999904</v>
      </c>
      <c r="H456" s="2">
        <f t="shared" si="268"/>
        <v>1.7737359999999853</v>
      </c>
      <c r="I456" s="4">
        <f t="shared" si="269"/>
        <v>-1.6074062696354834</v>
      </c>
      <c r="J456" s="4">
        <f t="shared" si="270"/>
        <v>1.672515061019302</v>
      </c>
      <c r="K456" s="4">
        <f t="shared" si="271"/>
        <v>17.77880545730099</v>
      </c>
      <c r="L456" s="4">
        <f t="shared" si="272"/>
        <v>4.2164920795966152</v>
      </c>
      <c r="M456" s="4">
        <f t="shared" si="273"/>
        <v>0.47432793949214219</v>
      </c>
      <c r="N456" s="4">
        <f t="shared" si="274"/>
        <v>6.7496098254858375E-2</v>
      </c>
      <c r="O456" s="3">
        <f t="shared" si="275"/>
        <v>-1.5450269999999904</v>
      </c>
      <c r="P456" s="3">
        <f t="shared" si="276"/>
        <v>1.7737359999999853</v>
      </c>
      <c r="Q456">
        <f t="shared" si="277"/>
        <v>1</v>
      </c>
      <c r="R456" s="3">
        <f t="shared" si="278"/>
        <v>-1.5450269999999904</v>
      </c>
      <c r="S456" s="3">
        <f t="shared" si="279"/>
        <v>1.7737359999999853</v>
      </c>
      <c r="T456">
        <f t="shared" si="280"/>
        <v>1</v>
      </c>
      <c r="U456" s="3">
        <f t="shared" si="281"/>
        <v>-1.5450269999999904</v>
      </c>
      <c r="V456" s="3">
        <f t="shared" si="282"/>
        <v>1.7737359999999853</v>
      </c>
      <c r="W456">
        <f t="shared" si="283"/>
        <v>1</v>
      </c>
      <c r="X456" s="3">
        <f t="shared" si="284"/>
        <v>-1.5450269999999904</v>
      </c>
      <c r="Y456" s="3">
        <f t="shared" si="285"/>
        <v>1.7737359999999853</v>
      </c>
      <c r="Z456">
        <f t="shared" si="286"/>
        <v>1</v>
      </c>
      <c r="AA456" s="3">
        <f t="shared" si="287"/>
        <v>-1.5450269999999904</v>
      </c>
      <c r="AB456" s="3">
        <f t="shared" si="288"/>
        <v>1.7737359999999853</v>
      </c>
      <c r="AC456">
        <f t="shared" si="289"/>
        <v>1</v>
      </c>
      <c r="AD456" s="3">
        <f t="shared" si="290"/>
        <v>-1.5450269999999904</v>
      </c>
      <c r="AE456" s="3">
        <f t="shared" si="291"/>
        <v>1.7737359999999853</v>
      </c>
      <c r="AF456">
        <f t="shared" si="292"/>
        <v>1</v>
      </c>
      <c r="AG456" s="3">
        <f t="shared" si="293"/>
        <v>-1.5450269999999904</v>
      </c>
      <c r="AH456" s="3">
        <f t="shared" si="294"/>
        <v>1.7737359999999853</v>
      </c>
      <c r="AI456">
        <f t="shared" si="295"/>
        <v>1</v>
      </c>
      <c r="AJ456" s="3">
        <f t="shared" si="296"/>
        <v>-1.5450269999999904</v>
      </c>
      <c r="AK456" s="3">
        <f t="shared" si="297"/>
        <v>1.7737359999999853</v>
      </c>
      <c r="AL456">
        <f t="shared" si="298"/>
        <v>1</v>
      </c>
      <c r="AM456" s="3">
        <f t="shared" si="299"/>
        <v>-1.5450269999999904</v>
      </c>
      <c r="AN456" s="3">
        <f t="shared" si="300"/>
        <v>1.7737359999999853</v>
      </c>
      <c r="AO456">
        <f t="shared" si="301"/>
        <v>1</v>
      </c>
      <c r="AP456" s="3">
        <f t="shared" si="302"/>
        <v>-1.5450269999999904</v>
      </c>
      <c r="AQ456" s="3">
        <f t="shared" si="303"/>
        <v>1.7737359999999853</v>
      </c>
      <c r="AR456">
        <f t="shared" si="304"/>
        <v>1</v>
      </c>
    </row>
    <row r="457" spans="4:44" x14ac:dyDescent="0.25">
      <c r="D457" s="1">
        <v>42082</v>
      </c>
      <c r="E457" s="2">
        <v>123.11945799999999</v>
      </c>
      <c r="F457" s="2">
        <v>200.949071</v>
      </c>
      <c r="G457" s="2">
        <f t="shared" si="267"/>
        <v>-0.93667500000000814</v>
      </c>
      <c r="H457" s="2">
        <f t="shared" si="268"/>
        <v>-0.9208229999999844</v>
      </c>
      <c r="I457" s="4">
        <f t="shared" si="269"/>
        <v>-0.99905426963550115</v>
      </c>
      <c r="J457" s="4">
        <f t="shared" si="270"/>
        <v>-1.0220439389806677</v>
      </c>
      <c r="K457" s="4">
        <f t="shared" si="271"/>
        <v>1.4539873234913958</v>
      </c>
      <c r="L457" s="4">
        <f t="shared" si="272"/>
        <v>1.2058139671986703</v>
      </c>
      <c r="M457" s="4">
        <f t="shared" si="273"/>
        <v>1</v>
      </c>
      <c r="N457" s="4">
        <f t="shared" si="274"/>
        <v>1</v>
      </c>
      <c r="O457" s="3">
        <f t="shared" si="275"/>
        <v>-0.93667500000000814</v>
      </c>
      <c r="P457" s="3">
        <f t="shared" si="276"/>
        <v>-0.9208229999999844</v>
      </c>
      <c r="Q457">
        <f t="shared" si="277"/>
        <v>1</v>
      </c>
      <c r="R457" s="3">
        <f t="shared" si="278"/>
        <v>-0.93667500000000814</v>
      </c>
      <c r="S457" s="3">
        <f t="shared" si="279"/>
        <v>-0.9208229999999844</v>
      </c>
      <c r="T457">
        <f t="shared" si="280"/>
        <v>1</v>
      </c>
      <c r="U457" s="3">
        <f t="shared" si="281"/>
        <v>0</v>
      </c>
      <c r="V457" s="3">
        <f t="shared" si="282"/>
        <v>0</v>
      </c>
      <c r="W457">
        <f t="shared" si="283"/>
        <v>0</v>
      </c>
      <c r="X457" s="3">
        <f t="shared" si="284"/>
        <v>0</v>
      </c>
      <c r="Y457" s="3">
        <f t="shared" si="285"/>
        <v>0</v>
      </c>
      <c r="Z457">
        <f t="shared" si="286"/>
        <v>0</v>
      </c>
      <c r="AA457" s="3">
        <f t="shared" si="287"/>
        <v>0</v>
      </c>
      <c r="AB457" s="3">
        <f t="shared" si="288"/>
        <v>0</v>
      </c>
      <c r="AC457">
        <f t="shared" si="289"/>
        <v>0</v>
      </c>
      <c r="AD457" s="3">
        <f t="shared" si="290"/>
        <v>0</v>
      </c>
      <c r="AE457" s="3">
        <f t="shared" si="291"/>
        <v>0</v>
      </c>
      <c r="AF457">
        <f t="shared" si="292"/>
        <v>0</v>
      </c>
      <c r="AG457" s="3">
        <f t="shared" si="293"/>
        <v>0</v>
      </c>
      <c r="AH457" s="3">
        <f t="shared" si="294"/>
        <v>0</v>
      </c>
      <c r="AI457">
        <f t="shared" si="295"/>
        <v>0</v>
      </c>
      <c r="AJ457" s="3">
        <f t="shared" si="296"/>
        <v>0</v>
      </c>
      <c r="AK457" s="3">
        <f t="shared" si="297"/>
        <v>0</v>
      </c>
      <c r="AL457">
        <f t="shared" si="298"/>
        <v>0</v>
      </c>
      <c r="AM457" s="3">
        <f t="shared" si="299"/>
        <v>0</v>
      </c>
      <c r="AN457" s="3">
        <f t="shared" si="300"/>
        <v>0</v>
      </c>
      <c r="AO457">
        <f t="shared" si="301"/>
        <v>0</v>
      </c>
      <c r="AP457" s="3">
        <f t="shared" si="302"/>
        <v>0</v>
      </c>
      <c r="AQ457" s="3">
        <f t="shared" si="303"/>
        <v>0</v>
      </c>
      <c r="AR457">
        <f t="shared" si="304"/>
        <v>0</v>
      </c>
    </row>
    <row r="458" spans="4:44" x14ac:dyDescent="0.25">
      <c r="D458" s="1">
        <v>42081</v>
      </c>
      <c r="E458" s="2">
        <v>124.056133</v>
      </c>
      <c r="F458" s="2">
        <v>201.86989399999999</v>
      </c>
      <c r="G458" s="2">
        <f t="shared" si="267"/>
        <v>1.3808700000000016</v>
      </c>
      <c r="H458" s="2">
        <f t="shared" si="268"/>
        <v>2.3979599999999834</v>
      </c>
      <c r="I458" s="4">
        <f t="shared" si="269"/>
        <v>1.3184907303645086</v>
      </c>
      <c r="J458" s="4">
        <f t="shared" si="270"/>
        <v>2.2967390610193004</v>
      </c>
      <c r="K458" s="4">
        <f t="shared" si="271"/>
        <v>5.841033730091695</v>
      </c>
      <c r="L458" s="4">
        <f t="shared" si="272"/>
        <v>2.4168230655328693</v>
      </c>
      <c r="M458" s="4">
        <f t="shared" si="273"/>
        <v>0.82753265165442857</v>
      </c>
      <c r="N458" s="4">
        <f t="shared" si="274"/>
        <v>0.20544308686626295</v>
      </c>
      <c r="O458" s="3">
        <f t="shared" si="275"/>
        <v>1.3808700000000016</v>
      </c>
      <c r="P458" s="3">
        <f t="shared" si="276"/>
        <v>2.3979599999999834</v>
      </c>
      <c r="Q458">
        <f t="shared" si="277"/>
        <v>1</v>
      </c>
      <c r="R458" s="3">
        <f t="shared" si="278"/>
        <v>1.3808700000000016</v>
      </c>
      <c r="S458" s="3">
        <f t="shared" si="279"/>
        <v>2.3979599999999834</v>
      </c>
      <c r="T458">
        <f t="shared" si="280"/>
        <v>1</v>
      </c>
      <c r="U458" s="3">
        <f t="shared" si="281"/>
        <v>1.3808700000000016</v>
      </c>
      <c r="V458" s="3">
        <f t="shared" si="282"/>
        <v>2.3979599999999834</v>
      </c>
      <c r="W458">
        <f t="shared" si="283"/>
        <v>1</v>
      </c>
      <c r="X458" s="3">
        <f t="shared" si="284"/>
        <v>1.3808700000000016</v>
      </c>
      <c r="Y458" s="3">
        <f t="shared" si="285"/>
        <v>2.3979599999999834</v>
      </c>
      <c r="Z458">
        <f t="shared" si="286"/>
        <v>1</v>
      </c>
      <c r="AA458" s="3">
        <f t="shared" si="287"/>
        <v>1.3808700000000016</v>
      </c>
      <c r="AB458" s="3">
        <f t="shared" si="288"/>
        <v>2.3979599999999834</v>
      </c>
      <c r="AC458">
        <f t="shared" si="289"/>
        <v>1</v>
      </c>
      <c r="AD458" s="3">
        <f t="shared" si="290"/>
        <v>1.3808700000000016</v>
      </c>
      <c r="AE458" s="3">
        <f t="shared" si="291"/>
        <v>2.3979599999999834</v>
      </c>
      <c r="AF458">
        <f t="shared" si="292"/>
        <v>1</v>
      </c>
      <c r="AG458" s="3">
        <f t="shared" si="293"/>
        <v>0</v>
      </c>
      <c r="AH458" s="3">
        <f t="shared" si="294"/>
        <v>0</v>
      </c>
      <c r="AI458">
        <f t="shared" si="295"/>
        <v>0</v>
      </c>
      <c r="AJ458" s="3">
        <f t="shared" si="296"/>
        <v>0</v>
      </c>
      <c r="AK458" s="3">
        <f t="shared" si="297"/>
        <v>0</v>
      </c>
      <c r="AL458">
        <f t="shared" si="298"/>
        <v>0</v>
      </c>
      <c r="AM458" s="3">
        <f t="shared" si="299"/>
        <v>0</v>
      </c>
      <c r="AN458" s="3">
        <f t="shared" si="300"/>
        <v>0</v>
      </c>
      <c r="AO458">
        <f t="shared" si="301"/>
        <v>0</v>
      </c>
      <c r="AP458" s="3">
        <f t="shared" si="302"/>
        <v>0</v>
      </c>
      <c r="AQ458" s="3">
        <f t="shared" si="303"/>
        <v>0</v>
      </c>
      <c r="AR458">
        <f t="shared" si="304"/>
        <v>0</v>
      </c>
    </row>
    <row r="459" spans="4:44" x14ac:dyDescent="0.25">
      <c r="D459" s="1">
        <v>42080</v>
      </c>
      <c r="E459" s="2">
        <v>122.675263</v>
      </c>
      <c r="F459" s="2">
        <v>199.471934</v>
      </c>
      <c r="G459" s="2">
        <f t="shared" si="267"/>
        <v>2.0181970000000007</v>
      </c>
      <c r="H459" s="2">
        <f t="shared" si="268"/>
        <v>-0.59468899999998825</v>
      </c>
      <c r="I459" s="4">
        <f t="shared" si="269"/>
        <v>1.9558177303645077</v>
      </c>
      <c r="J459" s="4">
        <f t="shared" si="270"/>
        <v>-0.69590993898067144</v>
      </c>
      <c r="K459" s="4">
        <f t="shared" si="271"/>
        <v>12.589164651669382</v>
      </c>
      <c r="L459" s="4">
        <f t="shared" si="272"/>
        <v>3.548121284802618</v>
      </c>
      <c r="M459" s="4">
        <f t="shared" si="273"/>
        <v>0.56367858916391578</v>
      </c>
      <c r="N459" s="4">
        <f t="shared" si="274"/>
        <v>9.5320065564546766E-2</v>
      </c>
      <c r="O459" s="3">
        <f t="shared" si="275"/>
        <v>2.0181970000000007</v>
      </c>
      <c r="P459" s="3">
        <f t="shared" si="276"/>
        <v>-0.59468899999998825</v>
      </c>
      <c r="Q459">
        <f t="shared" si="277"/>
        <v>1</v>
      </c>
      <c r="R459" s="3">
        <f t="shared" si="278"/>
        <v>2.0181970000000007</v>
      </c>
      <c r="S459" s="3">
        <f t="shared" si="279"/>
        <v>-0.59468899999998825</v>
      </c>
      <c r="T459">
        <f t="shared" si="280"/>
        <v>1</v>
      </c>
      <c r="U459" s="3">
        <f t="shared" si="281"/>
        <v>2.0181970000000007</v>
      </c>
      <c r="V459" s="3">
        <f t="shared" si="282"/>
        <v>-0.59468899999998825</v>
      </c>
      <c r="W459">
        <f t="shared" si="283"/>
        <v>1</v>
      </c>
      <c r="X459" s="3">
        <f t="shared" si="284"/>
        <v>2.0181970000000007</v>
      </c>
      <c r="Y459" s="3">
        <f t="shared" si="285"/>
        <v>-0.59468899999998825</v>
      </c>
      <c r="Z459">
        <f t="shared" si="286"/>
        <v>1</v>
      </c>
      <c r="AA459" s="3">
        <f t="shared" si="287"/>
        <v>2.0181970000000007</v>
      </c>
      <c r="AB459" s="3">
        <f t="shared" si="288"/>
        <v>-0.59468899999998825</v>
      </c>
      <c r="AC459">
        <f t="shared" si="289"/>
        <v>1</v>
      </c>
      <c r="AD459" s="3">
        <f t="shared" si="290"/>
        <v>2.0181970000000007</v>
      </c>
      <c r="AE459" s="3">
        <f t="shared" si="291"/>
        <v>-0.59468899999998825</v>
      </c>
      <c r="AF459">
        <f t="shared" si="292"/>
        <v>1</v>
      </c>
      <c r="AG459" s="3">
        <f t="shared" si="293"/>
        <v>2.0181970000000007</v>
      </c>
      <c r="AH459" s="3">
        <f t="shared" si="294"/>
        <v>-0.59468899999998825</v>
      </c>
      <c r="AI459">
        <f t="shared" si="295"/>
        <v>1</v>
      </c>
      <c r="AJ459" s="3">
        <f t="shared" si="296"/>
        <v>2.0181970000000007</v>
      </c>
      <c r="AK459" s="3">
        <f t="shared" si="297"/>
        <v>-0.59468899999998825</v>
      </c>
      <c r="AL459">
        <f t="shared" si="298"/>
        <v>1</v>
      </c>
      <c r="AM459" s="3">
        <f t="shared" si="299"/>
        <v>2.0181970000000007</v>
      </c>
      <c r="AN459" s="3">
        <f t="shared" si="300"/>
        <v>-0.59468899999998825</v>
      </c>
      <c r="AO459">
        <f t="shared" si="301"/>
        <v>1</v>
      </c>
      <c r="AP459" s="3">
        <f t="shared" si="302"/>
        <v>2.0181970000000007</v>
      </c>
      <c r="AQ459" s="3">
        <f t="shared" si="303"/>
        <v>-0.59468899999998825</v>
      </c>
      <c r="AR459">
        <f t="shared" si="304"/>
        <v>1</v>
      </c>
    </row>
    <row r="460" spans="4:44" x14ac:dyDescent="0.25">
      <c r="D460" s="1">
        <v>42079</v>
      </c>
      <c r="E460" s="2">
        <v>120.657066</v>
      </c>
      <c r="F460" s="2">
        <v>200.06662299999999</v>
      </c>
      <c r="G460" s="2">
        <f t="shared" si="267"/>
        <v>1.3132750000000044</v>
      </c>
      <c r="H460" s="2">
        <f t="shared" si="268"/>
        <v>2.637755999999996</v>
      </c>
      <c r="I460" s="4">
        <f t="shared" si="269"/>
        <v>1.2508957303645114</v>
      </c>
      <c r="J460" s="4">
        <f t="shared" si="270"/>
        <v>2.5365350610193129</v>
      </c>
      <c r="K460" s="4">
        <f t="shared" si="271"/>
        <v>7.2935702048139675</v>
      </c>
      <c r="L460" s="4">
        <f t="shared" si="272"/>
        <v>2.7006610681116516</v>
      </c>
      <c r="M460" s="4">
        <f t="shared" si="273"/>
        <v>0.74055942214119974</v>
      </c>
      <c r="N460" s="4">
        <f t="shared" si="274"/>
        <v>0.16452847731663228</v>
      </c>
      <c r="O460" s="3">
        <f t="shared" si="275"/>
        <v>1.3132750000000044</v>
      </c>
      <c r="P460" s="3">
        <f t="shared" si="276"/>
        <v>2.637755999999996</v>
      </c>
      <c r="Q460">
        <f t="shared" si="277"/>
        <v>1</v>
      </c>
      <c r="R460" s="3">
        <f t="shared" si="278"/>
        <v>1.3132750000000044</v>
      </c>
      <c r="S460" s="3">
        <f t="shared" si="279"/>
        <v>2.637755999999996</v>
      </c>
      <c r="T460">
        <f t="shared" si="280"/>
        <v>1</v>
      </c>
      <c r="U460" s="3">
        <f t="shared" si="281"/>
        <v>1.3132750000000044</v>
      </c>
      <c r="V460" s="3">
        <f t="shared" si="282"/>
        <v>2.637755999999996</v>
      </c>
      <c r="W460">
        <f t="shared" si="283"/>
        <v>1</v>
      </c>
      <c r="X460" s="3">
        <f t="shared" si="284"/>
        <v>1.3132750000000044</v>
      </c>
      <c r="Y460" s="3">
        <f t="shared" si="285"/>
        <v>2.637755999999996</v>
      </c>
      <c r="Z460">
        <f t="shared" si="286"/>
        <v>1</v>
      </c>
      <c r="AA460" s="3">
        <f t="shared" si="287"/>
        <v>1.3132750000000044</v>
      </c>
      <c r="AB460" s="3">
        <f t="shared" si="288"/>
        <v>2.637755999999996</v>
      </c>
      <c r="AC460">
        <f t="shared" si="289"/>
        <v>1</v>
      </c>
      <c r="AD460" s="3">
        <f t="shared" si="290"/>
        <v>1.3132750000000044</v>
      </c>
      <c r="AE460" s="3">
        <f t="shared" si="291"/>
        <v>2.637755999999996</v>
      </c>
      <c r="AF460">
        <f t="shared" si="292"/>
        <v>1</v>
      </c>
      <c r="AG460" s="3">
        <f t="shared" si="293"/>
        <v>1.3132750000000044</v>
      </c>
      <c r="AH460" s="3">
        <f t="shared" si="294"/>
        <v>2.637755999999996</v>
      </c>
      <c r="AI460">
        <f t="shared" si="295"/>
        <v>1</v>
      </c>
      <c r="AJ460" s="3">
        <f t="shared" si="296"/>
        <v>1.3132750000000044</v>
      </c>
      <c r="AK460" s="3">
        <f t="shared" si="297"/>
        <v>2.637755999999996</v>
      </c>
      <c r="AL460">
        <f t="shared" si="298"/>
        <v>1</v>
      </c>
      <c r="AM460" s="3">
        <f t="shared" si="299"/>
        <v>0</v>
      </c>
      <c r="AN460" s="3">
        <f t="shared" si="300"/>
        <v>0</v>
      </c>
      <c r="AO460">
        <f t="shared" si="301"/>
        <v>0</v>
      </c>
      <c r="AP460" s="3">
        <f t="shared" si="302"/>
        <v>0</v>
      </c>
      <c r="AQ460" s="3">
        <f t="shared" si="303"/>
        <v>0</v>
      </c>
      <c r="AR460">
        <f t="shared" si="304"/>
        <v>0</v>
      </c>
    </row>
    <row r="461" spans="4:44" x14ac:dyDescent="0.25">
      <c r="D461" s="1">
        <v>42076</v>
      </c>
      <c r="E461" s="2">
        <v>119.343791</v>
      </c>
      <c r="F461" s="2">
        <v>197.428867</v>
      </c>
      <c r="G461" s="2">
        <f t="shared" si="267"/>
        <v>-0.83045400000000313</v>
      </c>
      <c r="H461" s="2">
        <f t="shared" si="268"/>
        <v>-1.2181679999999915</v>
      </c>
      <c r="I461" s="4">
        <f t="shared" si="269"/>
        <v>-0.89283326963549614</v>
      </c>
      <c r="J461" s="4">
        <f t="shared" si="270"/>
        <v>-1.3193889389806748</v>
      </c>
      <c r="K461" s="4">
        <f t="shared" si="271"/>
        <v>1.9392938734734548</v>
      </c>
      <c r="L461" s="4">
        <f t="shared" si="272"/>
        <v>1.3925853199978286</v>
      </c>
      <c r="M461" s="4">
        <f t="shared" si="273"/>
        <v>1</v>
      </c>
      <c r="N461" s="4">
        <f t="shared" si="274"/>
        <v>1</v>
      </c>
      <c r="O461" s="3">
        <f t="shared" si="275"/>
        <v>-0.83045400000000313</v>
      </c>
      <c r="P461" s="3">
        <f t="shared" si="276"/>
        <v>-1.2181679999999915</v>
      </c>
      <c r="Q461">
        <f t="shared" si="277"/>
        <v>1</v>
      </c>
      <c r="R461" s="3">
        <f t="shared" si="278"/>
        <v>-0.83045400000000313</v>
      </c>
      <c r="S461" s="3">
        <f t="shared" si="279"/>
        <v>-1.2181679999999915</v>
      </c>
      <c r="T461">
        <f t="shared" si="280"/>
        <v>1</v>
      </c>
      <c r="U461" s="3">
        <f t="shared" si="281"/>
        <v>0</v>
      </c>
      <c r="V461" s="3">
        <f t="shared" si="282"/>
        <v>0</v>
      </c>
      <c r="W461">
        <f t="shared" si="283"/>
        <v>0</v>
      </c>
      <c r="X461" s="3">
        <f t="shared" si="284"/>
        <v>0</v>
      </c>
      <c r="Y461" s="3">
        <f t="shared" si="285"/>
        <v>0</v>
      </c>
      <c r="Z461">
        <f t="shared" si="286"/>
        <v>0</v>
      </c>
      <c r="AA461" s="3">
        <f t="shared" si="287"/>
        <v>0</v>
      </c>
      <c r="AB461" s="3">
        <f t="shared" si="288"/>
        <v>0</v>
      </c>
      <c r="AC461">
        <f t="shared" si="289"/>
        <v>0</v>
      </c>
      <c r="AD461" s="3">
        <f t="shared" si="290"/>
        <v>0</v>
      </c>
      <c r="AE461" s="3">
        <f t="shared" si="291"/>
        <v>0</v>
      </c>
      <c r="AF461">
        <f t="shared" si="292"/>
        <v>0</v>
      </c>
      <c r="AG461" s="3">
        <f t="shared" si="293"/>
        <v>0</v>
      </c>
      <c r="AH461" s="3">
        <f t="shared" si="294"/>
        <v>0</v>
      </c>
      <c r="AI461">
        <f t="shared" si="295"/>
        <v>0</v>
      </c>
      <c r="AJ461" s="3">
        <f t="shared" si="296"/>
        <v>0</v>
      </c>
      <c r="AK461" s="3">
        <f t="shared" si="297"/>
        <v>0</v>
      </c>
      <c r="AL461">
        <f t="shared" si="298"/>
        <v>0</v>
      </c>
      <c r="AM461" s="3">
        <f t="shared" si="299"/>
        <v>0</v>
      </c>
      <c r="AN461" s="3">
        <f t="shared" si="300"/>
        <v>0</v>
      </c>
      <c r="AO461">
        <f t="shared" si="301"/>
        <v>0</v>
      </c>
      <c r="AP461" s="3">
        <f t="shared" si="302"/>
        <v>0</v>
      </c>
      <c r="AQ461" s="3">
        <f t="shared" si="303"/>
        <v>0</v>
      </c>
      <c r="AR461">
        <f t="shared" si="304"/>
        <v>0</v>
      </c>
    </row>
    <row r="462" spans="4:44" x14ac:dyDescent="0.25">
      <c r="D462" s="1">
        <v>42075</v>
      </c>
      <c r="E462" s="2">
        <v>120.174245</v>
      </c>
      <c r="F462" s="2">
        <v>198.64703499999999</v>
      </c>
      <c r="G462" s="2">
        <f t="shared" si="267"/>
        <v>2.1340699999999941</v>
      </c>
      <c r="H462" s="2">
        <f t="shared" si="268"/>
        <v>2.49388399999998</v>
      </c>
      <c r="I462" s="4">
        <f t="shared" si="269"/>
        <v>2.0716907303645011</v>
      </c>
      <c r="J462" s="4">
        <f t="shared" si="270"/>
        <v>2.3926630610192969</v>
      </c>
      <c r="K462" s="4">
        <f t="shared" si="271"/>
        <v>7.1208617548583018</v>
      </c>
      <c r="L462" s="4">
        <f t="shared" si="272"/>
        <v>2.6684942860831278</v>
      </c>
      <c r="M462" s="4">
        <f t="shared" si="273"/>
        <v>0.74948633408379606</v>
      </c>
      <c r="N462" s="4">
        <f t="shared" si="274"/>
        <v>0.16851892949351027</v>
      </c>
      <c r="O462" s="3">
        <f t="shared" si="275"/>
        <v>2.1340699999999941</v>
      </c>
      <c r="P462" s="3">
        <f t="shared" si="276"/>
        <v>2.49388399999998</v>
      </c>
      <c r="Q462">
        <f t="shared" si="277"/>
        <v>1</v>
      </c>
      <c r="R462" s="3">
        <f t="shared" si="278"/>
        <v>2.1340699999999941</v>
      </c>
      <c r="S462" s="3">
        <f t="shared" si="279"/>
        <v>2.49388399999998</v>
      </c>
      <c r="T462">
        <f t="shared" si="280"/>
        <v>1</v>
      </c>
      <c r="U462" s="3">
        <f t="shared" si="281"/>
        <v>2.1340699999999941</v>
      </c>
      <c r="V462" s="3">
        <f t="shared" si="282"/>
        <v>2.49388399999998</v>
      </c>
      <c r="W462">
        <f t="shared" si="283"/>
        <v>1</v>
      </c>
      <c r="X462" s="3">
        <f t="shared" si="284"/>
        <v>2.1340699999999941</v>
      </c>
      <c r="Y462" s="3">
        <f t="shared" si="285"/>
        <v>2.49388399999998</v>
      </c>
      <c r="Z462">
        <f t="shared" si="286"/>
        <v>1</v>
      </c>
      <c r="AA462" s="3">
        <f t="shared" si="287"/>
        <v>2.1340699999999941</v>
      </c>
      <c r="AB462" s="3">
        <f t="shared" si="288"/>
        <v>2.49388399999998</v>
      </c>
      <c r="AC462">
        <f t="shared" si="289"/>
        <v>1</v>
      </c>
      <c r="AD462" s="3">
        <f t="shared" si="290"/>
        <v>2.1340699999999941</v>
      </c>
      <c r="AE462" s="3">
        <f t="shared" si="291"/>
        <v>2.49388399999998</v>
      </c>
      <c r="AF462">
        <f t="shared" si="292"/>
        <v>1</v>
      </c>
      <c r="AG462" s="3">
        <f t="shared" si="293"/>
        <v>2.1340699999999941</v>
      </c>
      <c r="AH462" s="3">
        <f t="shared" si="294"/>
        <v>2.49388399999998</v>
      </c>
      <c r="AI462">
        <f t="shared" si="295"/>
        <v>1</v>
      </c>
      <c r="AJ462" s="3">
        <f t="shared" si="296"/>
        <v>2.1340699999999941</v>
      </c>
      <c r="AK462" s="3">
        <f t="shared" si="297"/>
        <v>2.49388399999998</v>
      </c>
      <c r="AL462">
        <f t="shared" si="298"/>
        <v>1</v>
      </c>
      <c r="AM462" s="3">
        <f t="shared" si="299"/>
        <v>0</v>
      </c>
      <c r="AN462" s="3">
        <f t="shared" si="300"/>
        <v>0</v>
      </c>
      <c r="AO462">
        <f t="shared" si="301"/>
        <v>0</v>
      </c>
      <c r="AP462" s="3">
        <f t="shared" si="302"/>
        <v>0</v>
      </c>
      <c r="AQ462" s="3">
        <f t="shared" si="303"/>
        <v>0</v>
      </c>
      <c r="AR462">
        <f t="shared" si="304"/>
        <v>0</v>
      </c>
    </row>
    <row r="463" spans="4:44" x14ac:dyDescent="0.25">
      <c r="D463" s="1">
        <v>42074</v>
      </c>
      <c r="E463" s="2">
        <v>118.040175</v>
      </c>
      <c r="F463" s="2">
        <v>196.15315100000001</v>
      </c>
      <c r="G463" s="2">
        <f t="shared" si="267"/>
        <v>-2.1920129999999887</v>
      </c>
      <c r="H463" s="2">
        <f t="shared" si="268"/>
        <v>-0.46040399999998272</v>
      </c>
      <c r="I463" s="4">
        <f t="shared" si="269"/>
        <v>-2.2543922696354817</v>
      </c>
      <c r="J463" s="4">
        <f t="shared" si="270"/>
        <v>-0.5616249389806659</v>
      </c>
      <c r="K463" s="4">
        <f t="shared" si="271"/>
        <v>8.1245742188510039</v>
      </c>
      <c r="L463" s="4">
        <f t="shared" si="272"/>
        <v>2.8503638748151094</v>
      </c>
      <c r="M463" s="4">
        <f t="shared" si="273"/>
        <v>0.7016648006492614</v>
      </c>
      <c r="N463" s="4">
        <f t="shared" si="274"/>
        <v>0.14770004774105033</v>
      </c>
      <c r="O463" s="3">
        <f t="shared" si="275"/>
        <v>-2.1920129999999887</v>
      </c>
      <c r="P463" s="3">
        <f t="shared" si="276"/>
        <v>-0.46040399999998272</v>
      </c>
      <c r="Q463">
        <f t="shared" si="277"/>
        <v>1</v>
      </c>
      <c r="R463" s="3">
        <f t="shared" si="278"/>
        <v>-2.1920129999999887</v>
      </c>
      <c r="S463" s="3">
        <f t="shared" si="279"/>
        <v>-0.46040399999998272</v>
      </c>
      <c r="T463">
        <f t="shared" si="280"/>
        <v>1</v>
      </c>
      <c r="U463" s="3">
        <f t="shared" si="281"/>
        <v>-2.1920129999999887</v>
      </c>
      <c r="V463" s="3">
        <f t="shared" si="282"/>
        <v>-0.46040399999998272</v>
      </c>
      <c r="W463">
        <f t="shared" si="283"/>
        <v>1</v>
      </c>
      <c r="X463" s="3">
        <f t="shared" si="284"/>
        <v>-2.1920129999999887</v>
      </c>
      <c r="Y463" s="3">
        <f t="shared" si="285"/>
        <v>-0.46040399999998272</v>
      </c>
      <c r="Z463">
        <f t="shared" si="286"/>
        <v>1</v>
      </c>
      <c r="AA463" s="3">
        <f t="shared" si="287"/>
        <v>-2.1920129999999887</v>
      </c>
      <c r="AB463" s="3">
        <f t="shared" si="288"/>
        <v>-0.46040399999998272</v>
      </c>
      <c r="AC463">
        <f t="shared" si="289"/>
        <v>1</v>
      </c>
      <c r="AD463" s="3">
        <f t="shared" si="290"/>
        <v>-2.1920129999999887</v>
      </c>
      <c r="AE463" s="3">
        <f t="shared" si="291"/>
        <v>-0.46040399999998272</v>
      </c>
      <c r="AF463">
        <f t="shared" si="292"/>
        <v>1</v>
      </c>
      <c r="AG463" s="3">
        <f t="shared" si="293"/>
        <v>-2.1920129999999887</v>
      </c>
      <c r="AH463" s="3">
        <f t="shared" si="294"/>
        <v>-0.46040399999998272</v>
      </c>
      <c r="AI463">
        <f t="shared" si="295"/>
        <v>1</v>
      </c>
      <c r="AJ463" s="3">
        <f t="shared" si="296"/>
        <v>-2.1920129999999887</v>
      </c>
      <c r="AK463" s="3">
        <f t="shared" si="297"/>
        <v>-0.46040399999998272</v>
      </c>
      <c r="AL463">
        <f t="shared" si="298"/>
        <v>1</v>
      </c>
      <c r="AM463" s="3">
        <f t="shared" si="299"/>
        <v>-2.1920129999999887</v>
      </c>
      <c r="AN463" s="3">
        <f t="shared" si="300"/>
        <v>-0.46040399999998272</v>
      </c>
      <c r="AO463">
        <f t="shared" si="301"/>
        <v>1</v>
      </c>
      <c r="AP463" s="3">
        <f t="shared" si="302"/>
        <v>0</v>
      </c>
      <c r="AQ463" s="3">
        <f t="shared" si="303"/>
        <v>0</v>
      </c>
      <c r="AR463">
        <f t="shared" si="304"/>
        <v>0</v>
      </c>
    </row>
    <row r="464" spans="4:44" x14ac:dyDescent="0.25">
      <c r="D464" s="1">
        <v>42073</v>
      </c>
      <c r="E464" s="2">
        <v>120.23218799999999</v>
      </c>
      <c r="F464" s="2">
        <v>196.61355499999999</v>
      </c>
      <c r="G464" s="2">
        <f t="shared" si="267"/>
        <v>-2.5396380000000107</v>
      </c>
      <c r="H464" s="2">
        <f t="shared" si="268"/>
        <v>-3.2420470000000137</v>
      </c>
      <c r="I464" s="4">
        <f t="shared" si="269"/>
        <v>-2.6020172696355037</v>
      </c>
      <c r="J464" s="4">
        <f t="shared" si="270"/>
        <v>-3.3432679389806967</v>
      </c>
      <c r="K464" s="4">
        <f t="shared" si="271"/>
        <v>13.019807710374401</v>
      </c>
      <c r="L464" s="4">
        <f t="shared" si="272"/>
        <v>3.6082970651505955</v>
      </c>
      <c r="M464" s="4">
        <f t="shared" si="273"/>
        <v>0.55427808849672089</v>
      </c>
      <c r="N464" s="4">
        <f t="shared" si="274"/>
        <v>9.216725981627362E-2</v>
      </c>
      <c r="O464" s="3">
        <f t="shared" si="275"/>
        <v>-2.5396380000000107</v>
      </c>
      <c r="P464" s="3">
        <f t="shared" si="276"/>
        <v>-3.2420470000000137</v>
      </c>
      <c r="Q464">
        <f t="shared" si="277"/>
        <v>1</v>
      </c>
      <c r="R464" s="3">
        <f t="shared" si="278"/>
        <v>-2.5396380000000107</v>
      </c>
      <c r="S464" s="3">
        <f t="shared" si="279"/>
        <v>-3.2420470000000137</v>
      </c>
      <c r="T464">
        <f t="shared" si="280"/>
        <v>1</v>
      </c>
      <c r="U464" s="3">
        <f t="shared" si="281"/>
        <v>-2.5396380000000107</v>
      </c>
      <c r="V464" s="3">
        <f t="shared" si="282"/>
        <v>-3.2420470000000137</v>
      </c>
      <c r="W464">
        <f t="shared" si="283"/>
        <v>1</v>
      </c>
      <c r="X464" s="3">
        <f t="shared" si="284"/>
        <v>-2.5396380000000107</v>
      </c>
      <c r="Y464" s="3">
        <f t="shared" si="285"/>
        <v>-3.2420470000000137</v>
      </c>
      <c r="Z464">
        <f t="shared" si="286"/>
        <v>1</v>
      </c>
      <c r="AA464" s="3">
        <f t="shared" si="287"/>
        <v>-2.5396380000000107</v>
      </c>
      <c r="AB464" s="3">
        <f t="shared" si="288"/>
        <v>-3.2420470000000137</v>
      </c>
      <c r="AC464">
        <f t="shared" si="289"/>
        <v>1</v>
      </c>
      <c r="AD464" s="3">
        <f t="shared" si="290"/>
        <v>-2.5396380000000107</v>
      </c>
      <c r="AE464" s="3">
        <f t="shared" si="291"/>
        <v>-3.2420470000000137</v>
      </c>
      <c r="AF464">
        <f t="shared" si="292"/>
        <v>1</v>
      </c>
      <c r="AG464" s="3">
        <f t="shared" si="293"/>
        <v>-2.5396380000000107</v>
      </c>
      <c r="AH464" s="3">
        <f t="shared" si="294"/>
        <v>-3.2420470000000137</v>
      </c>
      <c r="AI464">
        <f t="shared" si="295"/>
        <v>1</v>
      </c>
      <c r="AJ464" s="3">
        <f t="shared" si="296"/>
        <v>-2.5396380000000107</v>
      </c>
      <c r="AK464" s="3">
        <f t="shared" si="297"/>
        <v>-3.2420470000000137</v>
      </c>
      <c r="AL464">
        <f t="shared" si="298"/>
        <v>1</v>
      </c>
      <c r="AM464" s="3">
        <f t="shared" si="299"/>
        <v>-2.5396380000000107</v>
      </c>
      <c r="AN464" s="3">
        <f t="shared" si="300"/>
        <v>-3.2420470000000137</v>
      </c>
      <c r="AO464">
        <f t="shared" si="301"/>
        <v>1</v>
      </c>
      <c r="AP464" s="3">
        <f t="shared" si="302"/>
        <v>-2.5396380000000107</v>
      </c>
      <c r="AQ464" s="3">
        <f t="shared" si="303"/>
        <v>-3.2420470000000137</v>
      </c>
      <c r="AR464">
        <f t="shared" si="304"/>
        <v>1</v>
      </c>
    </row>
    <row r="465" spans="4:44" x14ac:dyDescent="0.25">
      <c r="D465" s="1">
        <v>42072</v>
      </c>
      <c r="E465" s="2">
        <v>122.771826</v>
      </c>
      <c r="F465" s="2">
        <v>199.855602</v>
      </c>
      <c r="G465" s="2">
        <f t="shared" si="267"/>
        <v>0.52144800000000657</v>
      </c>
      <c r="H465" s="2">
        <f t="shared" si="268"/>
        <v>0.82489900000001626</v>
      </c>
      <c r="I465" s="4">
        <f t="shared" si="269"/>
        <v>0.45906873036451357</v>
      </c>
      <c r="J465" s="4">
        <f t="shared" si="270"/>
        <v>0.72367806101933307</v>
      </c>
      <c r="K465" s="4">
        <f t="shared" si="271"/>
        <v>0.57913132205702733</v>
      </c>
      <c r="L465" s="4">
        <f t="shared" si="272"/>
        <v>0.76100678187321524</v>
      </c>
      <c r="M465" s="4">
        <f t="shared" si="273"/>
        <v>1</v>
      </c>
      <c r="N465" s="4">
        <f t="shared" si="274"/>
        <v>1</v>
      </c>
      <c r="O465" s="3">
        <f t="shared" si="275"/>
        <v>0.52144800000000657</v>
      </c>
      <c r="P465" s="3">
        <f t="shared" si="276"/>
        <v>0.82489900000001626</v>
      </c>
      <c r="Q465">
        <f t="shared" si="277"/>
        <v>1</v>
      </c>
      <c r="R465" s="3">
        <f t="shared" si="278"/>
        <v>0</v>
      </c>
      <c r="S465" s="3">
        <f t="shared" si="279"/>
        <v>0</v>
      </c>
      <c r="T465">
        <f t="shared" si="280"/>
        <v>0</v>
      </c>
      <c r="U465" s="3">
        <f t="shared" si="281"/>
        <v>0</v>
      </c>
      <c r="V465" s="3">
        <f t="shared" si="282"/>
        <v>0</v>
      </c>
      <c r="W465">
        <f t="shared" si="283"/>
        <v>0</v>
      </c>
      <c r="X465" s="3">
        <f t="shared" si="284"/>
        <v>0</v>
      </c>
      <c r="Y465" s="3">
        <f t="shared" si="285"/>
        <v>0</v>
      </c>
      <c r="Z465">
        <f t="shared" si="286"/>
        <v>0</v>
      </c>
      <c r="AA465" s="3">
        <f t="shared" si="287"/>
        <v>0</v>
      </c>
      <c r="AB465" s="3">
        <f t="shared" si="288"/>
        <v>0</v>
      </c>
      <c r="AC465">
        <f t="shared" si="289"/>
        <v>0</v>
      </c>
      <c r="AD465" s="3">
        <f t="shared" si="290"/>
        <v>0</v>
      </c>
      <c r="AE465" s="3">
        <f t="shared" si="291"/>
        <v>0</v>
      </c>
      <c r="AF465">
        <f t="shared" si="292"/>
        <v>0</v>
      </c>
      <c r="AG465" s="3">
        <f t="shared" si="293"/>
        <v>0</v>
      </c>
      <c r="AH465" s="3">
        <f t="shared" si="294"/>
        <v>0</v>
      </c>
      <c r="AI465">
        <f t="shared" si="295"/>
        <v>0</v>
      </c>
      <c r="AJ465" s="3">
        <f t="shared" si="296"/>
        <v>0</v>
      </c>
      <c r="AK465" s="3">
        <f t="shared" si="297"/>
        <v>0</v>
      </c>
      <c r="AL465">
        <f t="shared" si="298"/>
        <v>0</v>
      </c>
      <c r="AM465" s="3">
        <f t="shared" si="299"/>
        <v>0</v>
      </c>
      <c r="AN465" s="3">
        <f t="shared" si="300"/>
        <v>0</v>
      </c>
      <c r="AO465">
        <f t="shared" si="301"/>
        <v>0</v>
      </c>
      <c r="AP465" s="3">
        <f t="shared" si="302"/>
        <v>0</v>
      </c>
      <c r="AQ465" s="3">
        <f t="shared" si="303"/>
        <v>0</v>
      </c>
      <c r="AR465">
        <f t="shared" si="304"/>
        <v>0</v>
      </c>
    </row>
    <row r="466" spans="4:44" x14ac:dyDescent="0.25">
      <c r="D466" s="1">
        <v>42069</v>
      </c>
      <c r="E466" s="2">
        <v>122.250378</v>
      </c>
      <c r="F466" s="2">
        <v>199.03070299999999</v>
      </c>
      <c r="G466" s="2">
        <f t="shared" si="267"/>
        <v>0.18346699999999316</v>
      </c>
      <c r="H466" s="2">
        <f t="shared" si="268"/>
        <v>-2.8391909999999996</v>
      </c>
      <c r="I466" s="4">
        <f t="shared" si="269"/>
        <v>0.12108773036450016</v>
      </c>
      <c r="J466" s="4">
        <f t="shared" si="270"/>
        <v>-2.9404119389806826</v>
      </c>
      <c r="K466" s="4">
        <f t="shared" si="271"/>
        <v>17.349444976014819</v>
      </c>
      <c r="L466" s="4">
        <f t="shared" si="272"/>
        <v>4.1652664951974945</v>
      </c>
      <c r="M466" s="4">
        <f t="shared" si="273"/>
        <v>0.48016135397482429</v>
      </c>
      <c r="N466" s="4">
        <f t="shared" si="274"/>
        <v>6.9166477755280953E-2</v>
      </c>
      <c r="O466" s="3">
        <f t="shared" si="275"/>
        <v>0.18346699999999316</v>
      </c>
      <c r="P466" s="3">
        <f t="shared" si="276"/>
        <v>-2.8391909999999996</v>
      </c>
      <c r="Q466">
        <f t="shared" si="277"/>
        <v>1</v>
      </c>
      <c r="R466" s="3">
        <f t="shared" si="278"/>
        <v>0.18346699999999316</v>
      </c>
      <c r="S466" s="3">
        <f t="shared" si="279"/>
        <v>-2.8391909999999996</v>
      </c>
      <c r="T466">
        <f t="shared" si="280"/>
        <v>1</v>
      </c>
      <c r="U466" s="3">
        <f t="shared" si="281"/>
        <v>0.18346699999999316</v>
      </c>
      <c r="V466" s="3">
        <f t="shared" si="282"/>
        <v>-2.8391909999999996</v>
      </c>
      <c r="W466">
        <f t="shared" si="283"/>
        <v>1</v>
      </c>
      <c r="X466" s="3">
        <f t="shared" si="284"/>
        <v>0.18346699999999316</v>
      </c>
      <c r="Y466" s="3">
        <f t="shared" si="285"/>
        <v>-2.8391909999999996</v>
      </c>
      <c r="Z466">
        <f t="shared" si="286"/>
        <v>1</v>
      </c>
      <c r="AA466" s="3">
        <f t="shared" si="287"/>
        <v>0.18346699999999316</v>
      </c>
      <c r="AB466" s="3">
        <f t="shared" si="288"/>
        <v>-2.8391909999999996</v>
      </c>
      <c r="AC466">
        <f t="shared" si="289"/>
        <v>1</v>
      </c>
      <c r="AD466" s="3">
        <f t="shared" si="290"/>
        <v>0.18346699999999316</v>
      </c>
      <c r="AE466" s="3">
        <f t="shared" si="291"/>
        <v>-2.8391909999999996</v>
      </c>
      <c r="AF466">
        <f t="shared" si="292"/>
        <v>1</v>
      </c>
      <c r="AG466" s="3">
        <f t="shared" si="293"/>
        <v>0.18346699999999316</v>
      </c>
      <c r="AH466" s="3">
        <f t="shared" si="294"/>
        <v>-2.8391909999999996</v>
      </c>
      <c r="AI466">
        <f t="shared" si="295"/>
        <v>1</v>
      </c>
      <c r="AJ466" s="3">
        <f t="shared" si="296"/>
        <v>0.18346699999999316</v>
      </c>
      <c r="AK466" s="3">
        <f t="shared" si="297"/>
        <v>-2.8391909999999996</v>
      </c>
      <c r="AL466">
        <f t="shared" si="298"/>
        <v>1</v>
      </c>
      <c r="AM466" s="3">
        <f t="shared" si="299"/>
        <v>0.18346699999999316</v>
      </c>
      <c r="AN466" s="3">
        <f t="shared" si="300"/>
        <v>-2.8391909999999996</v>
      </c>
      <c r="AO466">
        <f t="shared" si="301"/>
        <v>1</v>
      </c>
      <c r="AP466" s="3">
        <f t="shared" si="302"/>
        <v>0.18346699999999316</v>
      </c>
      <c r="AQ466" s="3">
        <f t="shared" si="303"/>
        <v>-2.8391909999999996</v>
      </c>
      <c r="AR466">
        <f t="shared" si="304"/>
        <v>1</v>
      </c>
    </row>
    <row r="467" spans="4:44" x14ac:dyDescent="0.25">
      <c r="D467" s="1">
        <v>42068</v>
      </c>
      <c r="E467" s="2">
        <v>122.066911</v>
      </c>
      <c r="F467" s="2">
        <v>201.86989399999999</v>
      </c>
      <c r="G467" s="2">
        <f t="shared" si="267"/>
        <v>-2.0568090000000012</v>
      </c>
      <c r="H467" s="2">
        <f t="shared" si="268"/>
        <v>0.22062299999998913</v>
      </c>
      <c r="I467" s="4">
        <f t="shared" si="269"/>
        <v>-2.1191882696354942</v>
      </c>
      <c r="J467" s="4">
        <f t="shared" si="270"/>
        <v>0.11940206101930592</v>
      </c>
      <c r="K467" s="4">
        <f t="shared" si="271"/>
        <v>10.238396752785526</v>
      </c>
      <c r="L467" s="4">
        <f t="shared" si="272"/>
        <v>3.1997494828166668</v>
      </c>
      <c r="M467" s="4">
        <f t="shared" si="273"/>
        <v>0.62504893296816644</v>
      </c>
      <c r="N467" s="4">
        <f t="shared" si="274"/>
        <v>0.11720585058139303</v>
      </c>
      <c r="O467" s="3">
        <f t="shared" si="275"/>
        <v>-2.0568090000000012</v>
      </c>
      <c r="P467" s="3">
        <f t="shared" si="276"/>
        <v>0.22062299999998913</v>
      </c>
      <c r="Q467">
        <f t="shared" si="277"/>
        <v>1</v>
      </c>
      <c r="R467" s="3">
        <f t="shared" si="278"/>
        <v>-2.0568090000000012</v>
      </c>
      <c r="S467" s="3">
        <f t="shared" si="279"/>
        <v>0.22062299999998913</v>
      </c>
      <c r="T467">
        <f t="shared" si="280"/>
        <v>1</v>
      </c>
      <c r="U467" s="3">
        <f t="shared" si="281"/>
        <v>-2.0568090000000012</v>
      </c>
      <c r="V467" s="3">
        <f t="shared" si="282"/>
        <v>0.22062299999998913</v>
      </c>
      <c r="W467">
        <f t="shared" si="283"/>
        <v>1</v>
      </c>
      <c r="X467" s="3">
        <f t="shared" si="284"/>
        <v>-2.0568090000000012</v>
      </c>
      <c r="Y467" s="3">
        <f t="shared" si="285"/>
        <v>0.22062299999998913</v>
      </c>
      <c r="Z467">
        <f t="shared" si="286"/>
        <v>1</v>
      </c>
      <c r="AA467" s="3">
        <f t="shared" si="287"/>
        <v>-2.0568090000000012</v>
      </c>
      <c r="AB467" s="3">
        <f t="shared" si="288"/>
        <v>0.22062299999998913</v>
      </c>
      <c r="AC467">
        <f t="shared" si="289"/>
        <v>1</v>
      </c>
      <c r="AD467" s="3">
        <f t="shared" si="290"/>
        <v>-2.0568090000000012</v>
      </c>
      <c r="AE467" s="3">
        <f t="shared" si="291"/>
        <v>0.22062299999998913</v>
      </c>
      <c r="AF467">
        <f t="shared" si="292"/>
        <v>1</v>
      </c>
      <c r="AG467" s="3">
        <f t="shared" si="293"/>
        <v>-2.0568090000000012</v>
      </c>
      <c r="AH467" s="3">
        <f t="shared" si="294"/>
        <v>0.22062299999998913</v>
      </c>
      <c r="AI467">
        <f t="shared" si="295"/>
        <v>1</v>
      </c>
      <c r="AJ467" s="3">
        <f t="shared" si="296"/>
        <v>-2.0568090000000012</v>
      </c>
      <c r="AK467" s="3">
        <f t="shared" si="297"/>
        <v>0.22062299999998913</v>
      </c>
      <c r="AL467">
        <f t="shared" si="298"/>
        <v>1</v>
      </c>
      <c r="AM467" s="3">
        <f t="shared" si="299"/>
        <v>-2.0568090000000012</v>
      </c>
      <c r="AN467" s="3">
        <f t="shared" si="300"/>
        <v>0.22062299999998913</v>
      </c>
      <c r="AO467">
        <f t="shared" si="301"/>
        <v>1</v>
      </c>
      <c r="AP467" s="3">
        <f t="shared" si="302"/>
        <v>-2.0568090000000012</v>
      </c>
      <c r="AQ467" s="3">
        <f t="shared" si="303"/>
        <v>0.22062299999998913</v>
      </c>
      <c r="AR467">
        <f t="shared" si="304"/>
        <v>1</v>
      </c>
    </row>
    <row r="468" spans="4:44" x14ac:dyDescent="0.25">
      <c r="D468" s="1">
        <v>42067</v>
      </c>
      <c r="E468" s="2">
        <v>124.12372000000001</v>
      </c>
      <c r="F468" s="2">
        <v>201.649271</v>
      </c>
      <c r="G468" s="2">
        <f t="shared" si="267"/>
        <v>-0.79183399999999438</v>
      </c>
      <c r="H468" s="2">
        <f t="shared" si="268"/>
        <v>-0.85367400000001226</v>
      </c>
      <c r="I468" s="4">
        <f t="shared" si="269"/>
        <v>-0.85421326963548738</v>
      </c>
      <c r="J468" s="4">
        <f t="shared" si="270"/>
        <v>-0.95489493898069544</v>
      </c>
      <c r="K468" s="4">
        <f t="shared" si="271"/>
        <v>1.1642789403873546</v>
      </c>
      <c r="L468" s="4">
        <f t="shared" si="272"/>
        <v>1.0790175811298695</v>
      </c>
      <c r="M468" s="4">
        <f t="shared" si="273"/>
        <v>1</v>
      </c>
      <c r="N468" s="4">
        <f t="shared" si="274"/>
        <v>1</v>
      </c>
      <c r="O468" s="3">
        <f t="shared" si="275"/>
        <v>-0.79183399999999438</v>
      </c>
      <c r="P468" s="3">
        <f t="shared" si="276"/>
        <v>-0.85367400000001226</v>
      </c>
      <c r="Q468">
        <f t="shared" si="277"/>
        <v>1</v>
      </c>
      <c r="R468" s="3">
        <f t="shared" si="278"/>
        <v>-0.79183399999999438</v>
      </c>
      <c r="S468" s="3">
        <f t="shared" si="279"/>
        <v>-0.85367400000001226</v>
      </c>
      <c r="T468">
        <f t="shared" si="280"/>
        <v>1</v>
      </c>
      <c r="U468" s="3">
        <f t="shared" si="281"/>
        <v>0</v>
      </c>
      <c r="V468" s="3">
        <f t="shared" si="282"/>
        <v>0</v>
      </c>
      <c r="W468">
        <f t="shared" si="283"/>
        <v>0</v>
      </c>
      <c r="X468" s="3">
        <f t="shared" si="284"/>
        <v>0</v>
      </c>
      <c r="Y468" s="3">
        <f t="shared" si="285"/>
        <v>0</v>
      </c>
      <c r="Z468">
        <f t="shared" si="286"/>
        <v>0</v>
      </c>
      <c r="AA468" s="3">
        <f t="shared" si="287"/>
        <v>0</v>
      </c>
      <c r="AB468" s="3">
        <f t="shared" si="288"/>
        <v>0</v>
      </c>
      <c r="AC468">
        <f t="shared" si="289"/>
        <v>0</v>
      </c>
      <c r="AD468" s="3">
        <f t="shared" si="290"/>
        <v>0</v>
      </c>
      <c r="AE468" s="3">
        <f t="shared" si="291"/>
        <v>0</v>
      </c>
      <c r="AF468">
        <f t="shared" si="292"/>
        <v>0</v>
      </c>
      <c r="AG468" s="3">
        <f t="shared" si="293"/>
        <v>0</v>
      </c>
      <c r="AH468" s="3">
        <f t="shared" si="294"/>
        <v>0</v>
      </c>
      <c r="AI468">
        <f t="shared" si="295"/>
        <v>0</v>
      </c>
      <c r="AJ468" s="3">
        <f t="shared" si="296"/>
        <v>0</v>
      </c>
      <c r="AK468" s="3">
        <f t="shared" si="297"/>
        <v>0</v>
      </c>
      <c r="AL468">
        <f t="shared" si="298"/>
        <v>0</v>
      </c>
      <c r="AM468" s="3">
        <f t="shared" si="299"/>
        <v>0</v>
      </c>
      <c r="AN468" s="3">
        <f t="shared" si="300"/>
        <v>0</v>
      </c>
      <c r="AO468">
        <f t="shared" si="301"/>
        <v>0</v>
      </c>
      <c r="AP468" s="3">
        <f t="shared" si="302"/>
        <v>0</v>
      </c>
      <c r="AQ468" s="3">
        <f t="shared" si="303"/>
        <v>0</v>
      </c>
      <c r="AR468">
        <f t="shared" si="304"/>
        <v>0</v>
      </c>
    </row>
    <row r="469" spans="4:44" x14ac:dyDescent="0.25">
      <c r="D469" s="1">
        <v>42066</v>
      </c>
      <c r="E469" s="2">
        <v>124.915554</v>
      </c>
      <c r="F469" s="2">
        <v>202.50294500000001</v>
      </c>
      <c r="G469" s="2">
        <f t="shared" si="267"/>
        <v>0.26072700000000282</v>
      </c>
      <c r="H469" s="2">
        <f t="shared" si="268"/>
        <v>-0.83449999999999136</v>
      </c>
      <c r="I469" s="4">
        <f t="shared" si="269"/>
        <v>0.19834773036450981</v>
      </c>
      <c r="J469" s="4">
        <f t="shared" si="270"/>
        <v>-0.93572093898067454</v>
      </c>
      <c r="K469" s="4">
        <f t="shared" si="271"/>
        <v>2.2256329679148887</v>
      </c>
      <c r="L469" s="4">
        <f t="shared" si="272"/>
        <v>1.4918555452572775</v>
      </c>
      <c r="M469" s="4">
        <f t="shared" si="273"/>
        <v>1</v>
      </c>
      <c r="N469" s="4">
        <f t="shared" si="274"/>
        <v>0.53917245893613563</v>
      </c>
      <c r="O469" s="3">
        <f t="shared" si="275"/>
        <v>0.26072700000000282</v>
      </c>
      <c r="P469" s="3">
        <f t="shared" si="276"/>
        <v>-0.83449999999999136</v>
      </c>
      <c r="Q469">
        <f t="shared" si="277"/>
        <v>1</v>
      </c>
      <c r="R469" s="3">
        <f t="shared" si="278"/>
        <v>0.26072700000000282</v>
      </c>
      <c r="S469" s="3">
        <f t="shared" si="279"/>
        <v>-0.83449999999999136</v>
      </c>
      <c r="T469">
        <f t="shared" si="280"/>
        <v>1</v>
      </c>
      <c r="U469" s="3">
        <f t="shared" si="281"/>
        <v>0.26072700000000282</v>
      </c>
      <c r="V469" s="3">
        <f t="shared" si="282"/>
        <v>-0.83449999999999136</v>
      </c>
      <c r="W469">
        <f t="shared" si="283"/>
        <v>1</v>
      </c>
      <c r="X469" s="3">
        <f t="shared" si="284"/>
        <v>0</v>
      </c>
      <c r="Y469" s="3">
        <f t="shared" si="285"/>
        <v>0</v>
      </c>
      <c r="Z469">
        <f t="shared" si="286"/>
        <v>0</v>
      </c>
      <c r="AA469" s="3">
        <f t="shared" si="287"/>
        <v>0</v>
      </c>
      <c r="AB469" s="3">
        <f t="shared" si="288"/>
        <v>0</v>
      </c>
      <c r="AC469">
        <f t="shared" si="289"/>
        <v>0</v>
      </c>
      <c r="AD469" s="3">
        <f t="shared" si="290"/>
        <v>0</v>
      </c>
      <c r="AE469" s="3">
        <f t="shared" si="291"/>
        <v>0</v>
      </c>
      <c r="AF469">
        <f t="shared" si="292"/>
        <v>0</v>
      </c>
      <c r="AG469" s="3">
        <f t="shared" si="293"/>
        <v>0</v>
      </c>
      <c r="AH469" s="3">
        <f t="shared" si="294"/>
        <v>0</v>
      </c>
      <c r="AI469">
        <f t="shared" si="295"/>
        <v>0</v>
      </c>
      <c r="AJ469" s="3">
        <f t="shared" si="296"/>
        <v>0</v>
      </c>
      <c r="AK469" s="3">
        <f t="shared" si="297"/>
        <v>0</v>
      </c>
      <c r="AL469">
        <f t="shared" si="298"/>
        <v>0</v>
      </c>
      <c r="AM469" s="3">
        <f t="shared" si="299"/>
        <v>0</v>
      </c>
      <c r="AN469" s="3">
        <f t="shared" si="300"/>
        <v>0</v>
      </c>
      <c r="AO469">
        <f t="shared" si="301"/>
        <v>0</v>
      </c>
      <c r="AP469" s="3">
        <f t="shared" si="302"/>
        <v>0</v>
      </c>
      <c r="AQ469" s="3">
        <f t="shared" si="303"/>
        <v>0</v>
      </c>
      <c r="AR469">
        <f t="shared" si="304"/>
        <v>0</v>
      </c>
    </row>
    <row r="470" spans="4:44" x14ac:dyDescent="0.25">
      <c r="D470" s="1">
        <v>42065</v>
      </c>
      <c r="E470" s="2">
        <v>124.654827</v>
      </c>
      <c r="F470" s="2">
        <v>203.337445</v>
      </c>
      <c r="G470" s="2">
        <f t="shared" si="267"/>
        <v>0.60834499999999991</v>
      </c>
      <c r="H470" s="2">
        <f t="shared" si="268"/>
        <v>1.2757170000000144</v>
      </c>
      <c r="I470" s="4">
        <f t="shared" si="269"/>
        <v>0.54596573036450691</v>
      </c>
      <c r="J470" s="4">
        <f t="shared" si="270"/>
        <v>1.1744960610193311</v>
      </c>
      <c r="K470" s="4">
        <f t="shared" si="271"/>
        <v>1.5854855403709021</v>
      </c>
      <c r="L470" s="4">
        <f t="shared" si="272"/>
        <v>1.2591606491512122</v>
      </c>
      <c r="M470" s="4">
        <f t="shared" si="273"/>
        <v>1</v>
      </c>
      <c r="N470" s="4">
        <f t="shared" si="274"/>
        <v>1</v>
      </c>
      <c r="O470" s="3">
        <f t="shared" si="275"/>
        <v>0.60834499999999991</v>
      </c>
      <c r="P470" s="3">
        <f t="shared" si="276"/>
        <v>1.2757170000000144</v>
      </c>
      <c r="Q470">
        <f t="shared" si="277"/>
        <v>1</v>
      </c>
      <c r="R470" s="3">
        <f t="shared" si="278"/>
        <v>0.60834499999999991</v>
      </c>
      <c r="S470" s="3">
        <f t="shared" si="279"/>
        <v>1.2757170000000144</v>
      </c>
      <c r="T470">
        <f t="shared" si="280"/>
        <v>1</v>
      </c>
      <c r="U470" s="3">
        <f t="shared" si="281"/>
        <v>0</v>
      </c>
      <c r="V470" s="3">
        <f t="shared" si="282"/>
        <v>0</v>
      </c>
      <c r="W470">
        <f t="shared" si="283"/>
        <v>0</v>
      </c>
      <c r="X470" s="3">
        <f t="shared" si="284"/>
        <v>0</v>
      </c>
      <c r="Y470" s="3">
        <f t="shared" si="285"/>
        <v>0</v>
      </c>
      <c r="Z470">
        <f t="shared" si="286"/>
        <v>0</v>
      </c>
      <c r="AA470" s="3">
        <f t="shared" si="287"/>
        <v>0</v>
      </c>
      <c r="AB470" s="3">
        <f t="shared" si="288"/>
        <v>0</v>
      </c>
      <c r="AC470">
        <f t="shared" si="289"/>
        <v>0</v>
      </c>
      <c r="AD470" s="3">
        <f t="shared" si="290"/>
        <v>0</v>
      </c>
      <c r="AE470" s="3">
        <f t="shared" si="291"/>
        <v>0</v>
      </c>
      <c r="AF470">
        <f t="shared" si="292"/>
        <v>0</v>
      </c>
      <c r="AG470" s="3">
        <f t="shared" si="293"/>
        <v>0</v>
      </c>
      <c r="AH470" s="3">
        <f t="shared" si="294"/>
        <v>0</v>
      </c>
      <c r="AI470">
        <f t="shared" si="295"/>
        <v>0</v>
      </c>
      <c r="AJ470" s="3">
        <f t="shared" si="296"/>
        <v>0</v>
      </c>
      <c r="AK470" s="3">
        <f t="shared" si="297"/>
        <v>0</v>
      </c>
      <c r="AL470">
        <f t="shared" si="298"/>
        <v>0</v>
      </c>
      <c r="AM470" s="3">
        <f t="shared" si="299"/>
        <v>0</v>
      </c>
      <c r="AN470" s="3">
        <f t="shared" si="300"/>
        <v>0</v>
      </c>
      <c r="AO470">
        <f t="shared" si="301"/>
        <v>0</v>
      </c>
      <c r="AP470" s="3">
        <f t="shared" si="302"/>
        <v>0</v>
      </c>
      <c r="AQ470" s="3">
        <f t="shared" si="303"/>
        <v>0</v>
      </c>
      <c r="AR470">
        <f t="shared" si="304"/>
        <v>0</v>
      </c>
    </row>
    <row r="471" spans="4:44" x14ac:dyDescent="0.25">
      <c r="D471" s="1">
        <v>42062</v>
      </c>
      <c r="E471" s="2">
        <v>124.046482</v>
      </c>
      <c r="F471" s="2">
        <v>202.06172799999999</v>
      </c>
      <c r="G471" s="2">
        <f t="shared" si="267"/>
        <v>-1.8926510000000007</v>
      </c>
      <c r="H471" s="2">
        <f t="shared" si="268"/>
        <v>-0.69061400000001072</v>
      </c>
      <c r="I471" s="4">
        <f t="shared" si="269"/>
        <v>-1.9550302696354938</v>
      </c>
      <c r="J471" s="4">
        <f t="shared" si="270"/>
        <v>-0.7918349389806939</v>
      </c>
      <c r="K471" s="4">
        <f t="shared" si="271"/>
        <v>5.3026335541310479</v>
      </c>
      <c r="L471" s="4">
        <f t="shared" si="272"/>
        <v>2.302744787016366</v>
      </c>
      <c r="M471" s="4">
        <f t="shared" si="273"/>
        <v>0.86852872766303024</v>
      </c>
      <c r="N471" s="4">
        <f t="shared" si="274"/>
        <v>0.2263026452327887</v>
      </c>
      <c r="O471" s="3">
        <f t="shared" si="275"/>
        <v>-1.8926510000000007</v>
      </c>
      <c r="P471" s="3">
        <f t="shared" si="276"/>
        <v>-0.69061400000001072</v>
      </c>
      <c r="Q471">
        <f t="shared" si="277"/>
        <v>1</v>
      </c>
      <c r="R471" s="3">
        <f t="shared" si="278"/>
        <v>-1.8926510000000007</v>
      </c>
      <c r="S471" s="3">
        <f t="shared" si="279"/>
        <v>-0.69061400000001072</v>
      </c>
      <c r="T471">
        <f t="shared" si="280"/>
        <v>1</v>
      </c>
      <c r="U471" s="3">
        <f t="shared" si="281"/>
        <v>-1.8926510000000007</v>
      </c>
      <c r="V471" s="3">
        <f t="shared" si="282"/>
        <v>-0.69061400000001072</v>
      </c>
      <c r="W471">
        <f t="shared" si="283"/>
        <v>1</v>
      </c>
      <c r="X471" s="3">
        <f t="shared" si="284"/>
        <v>-1.8926510000000007</v>
      </c>
      <c r="Y471" s="3">
        <f t="shared" si="285"/>
        <v>-0.69061400000001072</v>
      </c>
      <c r="Z471">
        <f t="shared" si="286"/>
        <v>1</v>
      </c>
      <c r="AA471" s="3">
        <f t="shared" si="287"/>
        <v>-1.8926510000000007</v>
      </c>
      <c r="AB471" s="3">
        <f t="shared" si="288"/>
        <v>-0.69061400000001072</v>
      </c>
      <c r="AC471">
        <f t="shared" si="289"/>
        <v>1</v>
      </c>
      <c r="AD471" s="3">
        <f t="shared" si="290"/>
        <v>-1.8926510000000007</v>
      </c>
      <c r="AE471" s="3">
        <f t="shared" si="291"/>
        <v>-0.69061400000001072</v>
      </c>
      <c r="AF471">
        <f t="shared" si="292"/>
        <v>1</v>
      </c>
      <c r="AG471" s="3">
        <f t="shared" si="293"/>
        <v>0</v>
      </c>
      <c r="AH471" s="3">
        <f t="shared" si="294"/>
        <v>0</v>
      </c>
      <c r="AI471">
        <f t="shared" si="295"/>
        <v>0</v>
      </c>
      <c r="AJ471" s="3">
        <f t="shared" si="296"/>
        <v>0</v>
      </c>
      <c r="AK471" s="3">
        <f t="shared" si="297"/>
        <v>0</v>
      </c>
      <c r="AL471">
        <f t="shared" si="298"/>
        <v>0</v>
      </c>
      <c r="AM471" s="3">
        <f t="shared" si="299"/>
        <v>0</v>
      </c>
      <c r="AN471" s="3">
        <f t="shared" si="300"/>
        <v>0</v>
      </c>
      <c r="AO471">
        <f t="shared" si="301"/>
        <v>0</v>
      </c>
      <c r="AP471" s="3">
        <f t="shared" si="302"/>
        <v>0</v>
      </c>
      <c r="AQ471" s="3">
        <f t="shared" si="303"/>
        <v>0</v>
      </c>
      <c r="AR471">
        <f t="shared" si="304"/>
        <v>0</v>
      </c>
    </row>
    <row r="472" spans="4:44" x14ac:dyDescent="0.25">
      <c r="D472" s="1">
        <v>42061</v>
      </c>
      <c r="E472" s="2">
        <v>125.939133</v>
      </c>
      <c r="F472" s="2">
        <v>202.752342</v>
      </c>
      <c r="G472" s="2">
        <f t="shared" si="267"/>
        <v>1.574001999999993</v>
      </c>
      <c r="H472" s="2">
        <f t="shared" si="268"/>
        <v>-0.23979600000001255</v>
      </c>
      <c r="I472" s="4">
        <f t="shared" si="269"/>
        <v>1.5116227303645</v>
      </c>
      <c r="J472" s="4">
        <f t="shared" si="270"/>
        <v>-0.34101693898069574</v>
      </c>
      <c r="K472" s="4">
        <f t="shared" si="271"/>
        <v>6.4198422096417795</v>
      </c>
      <c r="L472" s="4">
        <f t="shared" si="272"/>
        <v>2.5337407542291652</v>
      </c>
      <c r="M472" s="4">
        <f t="shared" si="273"/>
        <v>0.78934673828082935</v>
      </c>
      <c r="N472" s="4">
        <f t="shared" si="274"/>
        <v>0.1869204819703752</v>
      </c>
      <c r="O472" s="3">
        <f t="shared" si="275"/>
        <v>1.574001999999993</v>
      </c>
      <c r="P472" s="3">
        <f t="shared" si="276"/>
        <v>-0.23979600000001255</v>
      </c>
      <c r="Q472">
        <f t="shared" si="277"/>
        <v>1</v>
      </c>
      <c r="R472" s="3">
        <f t="shared" si="278"/>
        <v>1.574001999999993</v>
      </c>
      <c r="S472" s="3">
        <f t="shared" si="279"/>
        <v>-0.23979600000001255</v>
      </c>
      <c r="T472">
        <f t="shared" si="280"/>
        <v>1</v>
      </c>
      <c r="U472" s="3">
        <f t="shared" si="281"/>
        <v>1.574001999999993</v>
      </c>
      <c r="V472" s="3">
        <f t="shared" si="282"/>
        <v>-0.23979600000001255</v>
      </c>
      <c r="W472">
        <f t="shared" si="283"/>
        <v>1</v>
      </c>
      <c r="X472" s="3">
        <f t="shared" si="284"/>
        <v>1.574001999999993</v>
      </c>
      <c r="Y472" s="3">
        <f t="shared" si="285"/>
        <v>-0.23979600000001255</v>
      </c>
      <c r="Z472">
        <f t="shared" si="286"/>
        <v>1</v>
      </c>
      <c r="AA472" s="3">
        <f t="shared" si="287"/>
        <v>1.574001999999993</v>
      </c>
      <c r="AB472" s="3">
        <f t="shared" si="288"/>
        <v>-0.23979600000001255</v>
      </c>
      <c r="AC472">
        <f t="shared" si="289"/>
        <v>1</v>
      </c>
      <c r="AD472" s="3">
        <f t="shared" si="290"/>
        <v>1.574001999999993</v>
      </c>
      <c r="AE472" s="3">
        <f t="shared" si="291"/>
        <v>-0.23979600000001255</v>
      </c>
      <c r="AF472">
        <f t="shared" si="292"/>
        <v>1</v>
      </c>
      <c r="AG472" s="3">
        <f t="shared" si="293"/>
        <v>1.574001999999993</v>
      </c>
      <c r="AH472" s="3">
        <f t="shared" si="294"/>
        <v>-0.23979600000001255</v>
      </c>
      <c r="AI472">
        <f t="shared" si="295"/>
        <v>1</v>
      </c>
      <c r="AJ472" s="3">
        <f t="shared" si="296"/>
        <v>0</v>
      </c>
      <c r="AK472" s="3">
        <f t="shared" si="297"/>
        <v>0</v>
      </c>
      <c r="AL472">
        <f t="shared" si="298"/>
        <v>0</v>
      </c>
      <c r="AM472" s="3">
        <f t="shared" si="299"/>
        <v>0</v>
      </c>
      <c r="AN472" s="3">
        <f t="shared" si="300"/>
        <v>0</v>
      </c>
      <c r="AO472">
        <f t="shared" si="301"/>
        <v>0</v>
      </c>
      <c r="AP472" s="3">
        <f t="shared" si="302"/>
        <v>0</v>
      </c>
      <c r="AQ472" s="3">
        <f t="shared" si="303"/>
        <v>0</v>
      </c>
      <c r="AR472">
        <f t="shared" si="304"/>
        <v>0</v>
      </c>
    </row>
    <row r="473" spans="4:44" x14ac:dyDescent="0.25">
      <c r="D473" s="1">
        <v>42060</v>
      </c>
      <c r="E473" s="2">
        <v>124.36513100000001</v>
      </c>
      <c r="F473" s="2">
        <v>202.99213800000001</v>
      </c>
      <c r="G473" s="2">
        <f t="shared" si="267"/>
        <v>-3.2638769999999937</v>
      </c>
      <c r="H473" s="2">
        <f t="shared" si="268"/>
        <v>-0.17264599999998609</v>
      </c>
      <c r="I473" s="4">
        <f t="shared" si="269"/>
        <v>-3.3262562696354867</v>
      </c>
      <c r="J473" s="4">
        <f t="shared" si="270"/>
        <v>-0.27386693898066927</v>
      </c>
      <c r="K473" s="4">
        <f t="shared" si="271"/>
        <v>21.316735346049192</v>
      </c>
      <c r="L473" s="4">
        <f t="shared" si="272"/>
        <v>4.6170050190625949</v>
      </c>
      <c r="M473" s="4">
        <f t="shared" si="273"/>
        <v>0.43318124882741982</v>
      </c>
      <c r="N473" s="4">
        <f t="shared" si="274"/>
        <v>5.6293798300704891E-2</v>
      </c>
      <c r="O473" s="3">
        <f t="shared" si="275"/>
        <v>-3.2638769999999937</v>
      </c>
      <c r="P473" s="3">
        <f t="shared" si="276"/>
        <v>-0.17264599999998609</v>
      </c>
      <c r="Q473">
        <f t="shared" si="277"/>
        <v>1</v>
      </c>
      <c r="R473" s="3">
        <f t="shared" si="278"/>
        <v>-3.2638769999999937</v>
      </c>
      <c r="S473" s="3">
        <f t="shared" si="279"/>
        <v>-0.17264599999998609</v>
      </c>
      <c r="T473">
        <f t="shared" si="280"/>
        <v>1</v>
      </c>
      <c r="U473" s="3">
        <f t="shared" si="281"/>
        <v>-3.2638769999999937</v>
      </c>
      <c r="V473" s="3">
        <f t="shared" si="282"/>
        <v>-0.17264599999998609</v>
      </c>
      <c r="W473">
        <f t="shared" si="283"/>
        <v>1</v>
      </c>
      <c r="X473" s="3">
        <f t="shared" si="284"/>
        <v>-3.2638769999999937</v>
      </c>
      <c r="Y473" s="3">
        <f t="shared" si="285"/>
        <v>-0.17264599999998609</v>
      </c>
      <c r="Z473">
        <f t="shared" si="286"/>
        <v>1</v>
      </c>
      <c r="AA473" s="3">
        <f t="shared" si="287"/>
        <v>-3.2638769999999937</v>
      </c>
      <c r="AB473" s="3">
        <f t="shared" si="288"/>
        <v>-0.17264599999998609</v>
      </c>
      <c r="AC473">
        <f t="shared" si="289"/>
        <v>1</v>
      </c>
      <c r="AD473" s="3">
        <f t="shared" si="290"/>
        <v>-3.2638769999999937</v>
      </c>
      <c r="AE473" s="3">
        <f t="shared" si="291"/>
        <v>-0.17264599999998609</v>
      </c>
      <c r="AF473">
        <f t="shared" si="292"/>
        <v>1</v>
      </c>
      <c r="AG473" s="3">
        <f t="shared" si="293"/>
        <v>-3.2638769999999937</v>
      </c>
      <c r="AH473" s="3">
        <f t="shared" si="294"/>
        <v>-0.17264599999998609</v>
      </c>
      <c r="AI473">
        <f t="shared" si="295"/>
        <v>1</v>
      </c>
      <c r="AJ473" s="3">
        <f t="shared" si="296"/>
        <v>-3.2638769999999937</v>
      </c>
      <c r="AK473" s="3">
        <f t="shared" si="297"/>
        <v>-0.17264599999998609</v>
      </c>
      <c r="AL473">
        <f t="shared" si="298"/>
        <v>1</v>
      </c>
      <c r="AM473" s="3">
        <f t="shared" si="299"/>
        <v>-3.2638769999999937</v>
      </c>
      <c r="AN473" s="3">
        <f t="shared" si="300"/>
        <v>-0.17264599999998609</v>
      </c>
      <c r="AO473">
        <f t="shared" si="301"/>
        <v>1</v>
      </c>
      <c r="AP473" s="3">
        <f t="shared" si="302"/>
        <v>-3.2638769999999937</v>
      </c>
      <c r="AQ473" s="3">
        <f t="shared" si="303"/>
        <v>-0.17264599999998609</v>
      </c>
      <c r="AR473">
        <f t="shared" si="304"/>
        <v>1</v>
      </c>
    </row>
    <row r="474" spans="4:44" x14ac:dyDescent="0.25">
      <c r="D474" s="1">
        <v>42059</v>
      </c>
      <c r="E474" s="2">
        <v>127.629008</v>
      </c>
      <c r="F474" s="2">
        <v>203.164784</v>
      </c>
      <c r="G474" s="2">
        <f t="shared" si="267"/>
        <v>-0.80148600000001124</v>
      </c>
      <c r="H474" s="2">
        <f t="shared" si="268"/>
        <v>0.57550200000000018</v>
      </c>
      <c r="I474" s="4">
        <f t="shared" si="269"/>
        <v>-0.86386526963550425</v>
      </c>
      <c r="J474" s="4">
        <f t="shared" si="270"/>
        <v>0.474281061019317</v>
      </c>
      <c r="K474" s="4">
        <f t="shared" si="271"/>
        <v>3.0776205925988576</v>
      </c>
      <c r="L474" s="4">
        <f t="shared" si="272"/>
        <v>1.7543148499054717</v>
      </c>
      <c r="M474" s="4">
        <f t="shared" si="273"/>
        <v>1</v>
      </c>
      <c r="N474" s="4">
        <f t="shared" si="274"/>
        <v>0.38991160992547014</v>
      </c>
      <c r="O474" s="3">
        <f t="shared" si="275"/>
        <v>-0.80148600000001124</v>
      </c>
      <c r="P474" s="3">
        <f t="shared" si="276"/>
        <v>0.57550200000000018</v>
      </c>
      <c r="Q474">
        <f t="shared" si="277"/>
        <v>1</v>
      </c>
      <c r="R474" s="3">
        <f t="shared" si="278"/>
        <v>-0.80148600000001124</v>
      </c>
      <c r="S474" s="3">
        <f t="shared" si="279"/>
        <v>0.57550200000000018</v>
      </c>
      <c r="T474">
        <f t="shared" si="280"/>
        <v>1</v>
      </c>
      <c r="U474" s="3">
        <f t="shared" si="281"/>
        <v>-0.80148600000001124</v>
      </c>
      <c r="V474" s="3">
        <f t="shared" si="282"/>
        <v>0.57550200000000018</v>
      </c>
      <c r="W474">
        <f t="shared" si="283"/>
        <v>1</v>
      </c>
      <c r="X474" s="3">
        <f t="shared" si="284"/>
        <v>-0.80148600000001124</v>
      </c>
      <c r="Y474" s="3">
        <f t="shared" si="285"/>
        <v>0.57550200000000018</v>
      </c>
      <c r="Z474">
        <f t="shared" si="286"/>
        <v>1</v>
      </c>
      <c r="AA474" s="3">
        <f t="shared" si="287"/>
        <v>0</v>
      </c>
      <c r="AB474" s="3">
        <f t="shared" si="288"/>
        <v>0</v>
      </c>
      <c r="AC474">
        <f t="shared" si="289"/>
        <v>0</v>
      </c>
      <c r="AD474" s="3">
        <f t="shared" si="290"/>
        <v>0</v>
      </c>
      <c r="AE474" s="3">
        <f t="shared" si="291"/>
        <v>0</v>
      </c>
      <c r="AF474">
        <f t="shared" si="292"/>
        <v>0</v>
      </c>
      <c r="AG474" s="3">
        <f t="shared" si="293"/>
        <v>0</v>
      </c>
      <c r="AH474" s="3">
        <f t="shared" si="294"/>
        <v>0</v>
      </c>
      <c r="AI474">
        <f t="shared" si="295"/>
        <v>0</v>
      </c>
      <c r="AJ474" s="3">
        <f t="shared" si="296"/>
        <v>0</v>
      </c>
      <c r="AK474" s="3">
        <f t="shared" si="297"/>
        <v>0</v>
      </c>
      <c r="AL474">
        <f t="shared" si="298"/>
        <v>0</v>
      </c>
      <c r="AM474" s="3">
        <f t="shared" si="299"/>
        <v>0</v>
      </c>
      <c r="AN474" s="3">
        <f t="shared" si="300"/>
        <v>0</v>
      </c>
      <c r="AO474">
        <f t="shared" si="301"/>
        <v>0</v>
      </c>
      <c r="AP474" s="3">
        <f t="shared" si="302"/>
        <v>0</v>
      </c>
      <c r="AQ474" s="3">
        <f t="shared" si="303"/>
        <v>0</v>
      </c>
      <c r="AR474">
        <f t="shared" si="304"/>
        <v>0</v>
      </c>
    </row>
    <row r="475" spans="4:44" x14ac:dyDescent="0.25">
      <c r="D475" s="1">
        <v>42058</v>
      </c>
      <c r="E475" s="2">
        <v>128.43049400000001</v>
      </c>
      <c r="F475" s="2">
        <v>202.589282</v>
      </c>
      <c r="G475" s="2">
        <f t="shared" si="267"/>
        <v>3.3797500000000156</v>
      </c>
      <c r="H475" s="2">
        <f t="shared" si="268"/>
        <v>-2.8774999999995998E-2</v>
      </c>
      <c r="I475" s="4">
        <f t="shared" si="269"/>
        <v>3.3173707303645226</v>
      </c>
      <c r="J475" s="4">
        <f t="shared" si="270"/>
        <v>-0.12999593898067921</v>
      </c>
      <c r="K475" s="4">
        <f t="shared" si="271"/>
        <v>24.564604471359168</v>
      </c>
      <c r="L475" s="4">
        <f t="shared" si="272"/>
        <v>4.9562692089271305</v>
      </c>
      <c r="M475" s="4">
        <f t="shared" si="273"/>
        <v>0.40352933137643954</v>
      </c>
      <c r="N475" s="4">
        <f t="shared" si="274"/>
        <v>4.8850776384334903E-2</v>
      </c>
      <c r="O475" s="3">
        <f t="shared" si="275"/>
        <v>3.3797500000000156</v>
      </c>
      <c r="P475" s="3">
        <f t="shared" si="276"/>
        <v>-2.8774999999995998E-2</v>
      </c>
      <c r="Q475">
        <f t="shared" si="277"/>
        <v>1</v>
      </c>
      <c r="R475" s="3">
        <f t="shared" si="278"/>
        <v>3.3797500000000156</v>
      </c>
      <c r="S475" s="3">
        <f t="shared" si="279"/>
        <v>-2.8774999999995998E-2</v>
      </c>
      <c r="T475">
        <f t="shared" si="280"/>
        <v>1</v>
      </c>
      <c r="U475" s="3">
        <f t="shared" si="281"/>
        <v>3.3797500000000156</v>
      </c>
      <c r="V475" s="3">
        <f t="shared" si="282"/>
        <v>-2.8774999999995998E-2</v>
      </c>
      <c r="W475">
        <f t="shared" si="283"/>
        <v>1</v>
      </c>
      <c r="X475" s="3">
        <f t="shared" si="284"/>
        <v>3.3797500000000156</v>
      </c>
      <c r="Y475" s="3">
        <f t="shared" si="285"/>
        <v>-2.8774999999995998E-2</v>
      </c>
      <c r="Z475">
        <f t="shared" si="286"/>
        <v>1</v>
      </c>
      <c r="AA475" s="3">
        <f t="shared" si="287"/>
        <v>3.3797500000000156</v>
      </c>
      <c r="AB475" s="3">
        <f t="shared" si="288"/>
        <v>-2.8774999999995998E-2</v>
      </c>
      <c r="AC475">
        <f t="shared" si="289"/>
        <v>1</v>
      </c>
      <c r="AD475" s="3">
        <f t="shared" si="290"/>
        <v>3.3797500000000156</v>
      </c>
      <c r="AE475" s="3">
        <f t="shared" si="291"/>
        <v>-2.8774999999995998E-2</v>
      </c>
      <c r="AF475">
        <f t="shared" si="292"/>
        <v>1</v>
      </c>
      <c r="AG475" s="3">
        <f t="shared" si="293"/>
        <v>3.3797500000000156</v>
      </c>
      <c r="AH475" s="3">
        <f t="shared" si="294"/>
        <v>-2.8774999999995998E-2</v>
      </c>
      <c r="AI475">
        <f t="shared" si="295"/>
        <v>1</v>
      </c>
      <c r="AJ475" s="3">
        <f t="shared" si="296"/>
        <v>3.3797500000000156</v>
      </c>
      <c r="AK475" s="3">
        <f t="shared" si="297"/>
        <v>-2.8774999999995998E-2</v>
      </c>
      <c r="AL475">
        <f t="shared" si="298"/>
        <v>1</v>
      </c>
      <c r="AM475" s="3">
        <f t="shared" si="299"/>
        <v>3.3797500000000156</v>
      </c>
      <c r="AN475" s="3">
        <f t="shared" si="300"/>
        <v>-2.8774999999995998E-2</v>
      </c>
      <c r="AO475">
        <f t="shared" si="301"/>
        <v>1</v>
      </c>
      <c r="AP475" s="3">
        <f t="shared" si="302"/>
        <v>3.3797500000000156</v>
      </c>
      <c r="AQ475" s="3">
        <f t="shared" si="303"/>
        <v>-2.8774999999995998E-2</v>
      </c>
      <c r="AR475">
        <f t="shared" si="304"/>
        <v>1</v>
      </c>
    </row>
    <row r="476" spans="4:44" x14ac:dyDescent="0.25">
      <c r="D476" s="1">
        <v>42055</v>
      </c>
      <c r="E476" s="2">
        <v>125.05074399999999</v>
      </c>
      <c r="F476" s="2">
        <v>202.61805699999999</v>
      </c>
      <c r="G476" s="2">
        <f t="shared" si="267"/>
        <v>1.0139279999999928</v>
      </c>
      <c r="H476" s="2">
        <f t="shared" si="268"/>
        <v>1.2085820000000069</v>
      </c>
      <c r="I476" s="4">
        <f t="shared" si="269"/>
        <v>0.95154873036449983</v>
      </c>
      <c r="J476" s="4">
        <f t="shared" si="270"/>
        <v>1.1073610610193236</v>
      </c>
      <c r="K476" s="4">
        <f t="shared" si="271"/>
        <v>1.5166317417346524</v>
      </c>
      <c r="L476" s="4">
        <f t="shared" si="272"/>
        <v>1.2315160338926376</v>
      </c>
      <c r="M476" s="4">
        <f t="shared" si="273"/>
        <v>1</v>
      </c>
      <c r="N476" s="4">
        <f t="shared" si="274"/>
        <v>1</v>
      </c>
      <c r="O476" s="3">
        <f t="shared" si="275"/>
        <v>1.0139279999999928</v>
      </c>
      <c r="P476" s="3">
        <f t="shared" si="276"/>
        <v>1.2085820000000069</v>
      </c>
      <c r="Q476">
        <f t="shared" si="277"/>
        <v>1</v>
      </c>
      <c r="R476" s="3">
        <f t="shared" si="278"/>
        <v>1.0139279999999928</v>
      </c>
      <c r="S476" s="3">
        <f t="shared" si="279"/>
        <v>1.2085820000000069</v>
      </c>
      <c r="T476">
        <f t="shared" si="280"/>
        <v>1</v>
      </c>
      <c r="U476" s="3">
        <f t="shared" si="281"/>
        <v>0</v>
      </c>
      <c r="V476" s="3">
        <f t="shared" si="282"/>
        <v>0</v>
      </c>
      <c r="W476">
        <f t="shared" si="283"/>
        <v>0</v>
      </c>
      <c r="X476" s="3">
        <f t="shared" si="284"/>
        <v>0</v>
      </c>
      <c r="Y476" s="3">
        <f t="shared" si="285"/>
        <v>0</v>
      </c>
      <c r="Z476">
        <f t="shared" si="286"/>
        <v>0</v>
      </c>
      <c r="AA476" s="3">
        <f t="shared" si="287"/>
        <v>0</v>
      </c>
      <c r="AB476" s="3">
        <f t="shared" si="288"/>
        <v>0</v>
      </c>
      <c r="AC476">
        <f t="shared" si="289"/>
        <v>0</v>
      </c>
      <c r="AD476" s="3">
        <f t="shared" si="290"/>
        <v>0</v>
      </c>
      <c r="AE476" s="3">
        <f t="shared" si="291"/>
        <v>0</v>
      </c>
      <c r="AF476">
        <f t="shared" si="292"/>
        <v>0</v>
      </c>
      <c r="AG476" s="3">
        <f t="shared" si="293"/>
        <v>0</v>
      </c>
      <c r="AH476" s="3">
        <f t="shared" si="294"/>
        <v>0</v>
      </c>
      <c r="AI476">
        <f t="shared" si="295"/>
        <v>0</v>
      </c>
      <c r="AJ476" s="3">
        <f t="shared" si="296"/>
        <v>0</v>
      </c>
      <c r="AK476" s="3">
        <f t="shared" si="297"/>
        <v>0</v>
      </c>
      <c r="AL476">
        <f t="shared" si="298"/>
        <v>0</v>
      </c>
      <c r="AM476" s="3">
        <f t="shared" si="299"/>
        <v>0</v>
      </c>
      <c r="AN476" s="3">
        <f t="shared" si="300"/>
        <v>0</v>
      </c>
      <c r="AO476">
        <f t="shared" si="301"/>
        <v>0</v>
      </c>
      <c r="AP476" s="3">
        <f t="shared" si="302"/>
        <v>0</v>
      </c>
      <c r="AQ476" s="3">
        <f t="shared" si="303"/>
        <v>0</v>
      </c>
      <c r="AR476">
        <f t="shared" si="304"/>
        <v>0</v>
      </c>
    </row>
    <row r="477" spans="4:44" x14ac:dyDescent="0.25">
      <c r="D477" s="1">
        <v>42054</v>
      </c>
      <c r="E477" s="2">
        <v>124.036816</v>
      </c>
      <c r="F477" s="2">
        <v>201.40947499999999</v>
      </c>
      <c r="G477" s="2">
        <f t="shared" si="267"/>
        <v>-0.26072800000000029</v>
      </c>
      <c r="H477" s="2">
        <f t="shared" si="268"/>
        <v>-0.14388700000000654</v>
      </c>
      <c r="I477" s="4">
        <f t="shared" si="269"/>
        <v>-0.3231072696354933</v>
      </c>
      <c r="J477" s="4">
        <f t="shared" si="270"/>
        <v>-0.24510793898068975</v>
      </c>
      <c r="K477" s="4">
        <f t="shared" si="271"/>
        <v>0.13047479817070454</v>
      </c>
      <c r="L477" s="4">
        <f t="shared" si="272"/>
        <v>0.36121295404609249</v>
      </c>
      <c r="M477" s="4">
        <f t="shared" si="273"/>
        <v>1</v>
      </c>
      <c r="N477" s="4">
        <f t="shared" si="274"/>
        <v>1</v>
      </c>
      <c r="O477" s="3">
        <f t="shared" si="275"/>
        <v>-0.26072800000000029</v>
      </c>
      <c r="P477" s="3">
        <f t="shared" si="276"/>
        <v>-0.14388700000000654</v>
      </c>
      <c r="Q477">
        <f t="shared" si="277"/>
        <v>1</v>
      </c>
      <c r="R477" s="3">
        <f t="shared" si="278"/>
        <v>0</v>
      </c>
      <c r="S477" s="3">
        <f t="shared" si="279"/>
        <v>0</v>
      </c>
      <c r="T477">
        <f t="shared" si="280"/>
        <v>0</v>
      </c>
      <c r="U477" s="3">
        <f t="shared" si="281"/>
        <v>0</v>
      </c>
      <c r="V477" s="3">
        <f t="shared" si="282"/>
        <v>0</v>
      </c>
      <c r="W477">
        <f t="shared" si="283"/>
        <v>0</v>
      </c>
      <c r="X477" s="3">
        <f t="shared" si="284"/>
        <v>0</v>
      </c>
      <c r="Y477" s="3">
        <f t="shared" si="285"/>
        <v>0</v>
      </c>
      <c r="Z477">
        <f t="shared" si="286"/>
        <v>0</v>
      </c>
      <c r="AA477" s="3">
        <f t="shared" si="287"/>
        <v>0</v>
      </c>
      <c r="AB477" s="3">
        <f t="shared" si="288"/>
        <v>0</v>
      </c>
      <c r="AC477">
        <f t="shared" si="289"/>
        <v>0</v>
      </c>
      <c r="AD477" s="3">
        <f t="shared" si="290"/>
        <v>0</v>
      </c>
      <c r="AE477" s="3">
        <f t="shared" si="291"/>
        <v>0</v>
      </c>
      <c r="AF477">
        <f t="shared" si="292"/>
        <v>0</v>
      </c>
      <c r="AG477" s="3">
        <f t="shared" si="293"/>
        <v>0</v>
      </c>
      <c r="AH477" s="3">
        <f t="shared" si="294"/>
        <v>0</v>
      </c>
      <c r="AI477">
        <f t="shared" si="295"/>
        <v>0</v>
      </c>
      <c r="AJ477" s="3">
        <f t="shared" si="296"/>
        <v>0</v>
      </c>
      <c r="AK477" s="3">
        <f t="shared" si="297"/>
        <v>0</v>
      </c>
      <c r="AL477">
        <f t="shared" si="298"/>
        <v>0</v>
      </c>
      <c r="AM477" s="3">
        <f t="shared" si="299"/>
        <v>0</v>
      </c>
      <c r="AN477" s="3">
        <f t="shared" si="300"/>
        <v>0</v>
      </c>
      <c r="AO477">
        <f t="shared" si="301"/>
        <v>0</v>
      </c>
      <c r="AP477" s="3">
        <f t="shared" si="302"/>
        <v>0</v>
      </c>
      <c r="AQ477" s="3">
        <f t="shared" si="303"/>
        <v>0</v>
      </c>
      <c r="AR477">
        <f t="shared" si="304"/>
        <v>0</v>
      </c>
    </row>
    <row r="478" spans="4:44" x14ac:dyDescent="0.25">
      <c r="D478" s="1">
        <v>42053</v>
      </c>
      <c r="E478" s="2">
        <v>124.297544</v>
      </c>
      <c r="F478" s="2">
        <v>201.55336199999999</v>
      </c>
      <c r="G478" s="2">
        <f t="shared" si="267"/>
        <v>0.85942199999999502</v>
      </c>
      <c r="H478" s="2">
        <f t="shared" si="268"/>
        <v>1.918799999998555E-2</v>
      </c>
      <c r="I478" s="4">
        <f t="shared" si="269"/>
        <v>0.79704273036450202</v>
      </c>
      <c r="J478" s="4">
        <f t="shared" si="270"/>
        <v>-8.2032938980697662E-2</v>
      </c>
      <c r="K478" s="4">
        <f t="shared" si="271"/>
        <v>1.5340282187447256</v>
      </c>
      <c r="L478" s="4">
        <f t="shared" si="272"/>
        <v>1.2385589282487635</v>
      </c>
      <c r="M478" s="4">
        <f t="shared" si="273"/>
        <v>1</v>
      </c>
      <c r="N478" s="4">
        <f t="shared" si="274"/>
        <v>1</v>
      </c>
      <c r="O478" s="3">
        <f t="shared" si="275"/>
        <v>0.85942199999999502</v>
      </c>
      <c r="P478" s="3">
        <f t="shared" si="276"/>
        <v>1.918799999998555E-2</v>
      </c>
      <c r="Q478">
        <f t="shared" si="277"/>
        <v>1</v>
      </c>
      <c r="R478" s="3">
        <f t="shared" si="278"/>
        <v>0.85942199999999502</v>
      </c>
      <c r="S478" s="3">
        <f t="shared" si="279"/>
        <v>1.918799999998555E-2</v>
      </c>
      <c r="T478">
        <f t="shared" si="280"/>
        <v>1</v>
      </c>
      <c r="U478" s="3">
        <f t="shared" si="281"/>
        <v>0</v>
      </c>
      <c r="V478" s="3">
        <f t="shared" si="282"/>
        <v>0</v>
      </c>
      <c r="W478">
        <f t="shared" si="283"/>
        <v>0</v>
      </c>
      <c r="X478" s="3">
        <f t="shared" si="284"/>
        <v>0</v>
      </c>
      <c r="Y478" s="3">
        <f t="shared" si="285"/>
        <v>0</v>
      </c>
      <c r="Z478">
        <f t="shared" si="286"/>
        <v>0</v>
      </c>
      <c r="AA478" s="3">
        <f t="shared" si="287"/>
        <v>0</v>
      </c>
      <c r="AB478" s="3">
        <f t="shared" si="288"/>
        <v>0</v>
      </c>
      <c r="AC478">
        <f t="shared" si="289"/>
        <v>0</v>
      </c>
      <c r="AD478" s="3">
        <f t="shared" si="290"/>
        <v>0</v>
      </c>
      <c r="AE478" s="3">
        <f t="shared" si="291"/>
        <v>0</v>
      </c>
      <c r="AF478">
        <f t="shared" si="292"/>
        <v>0</v>
      </c>
      <c r="AG478" s="3">
        <f t="shared" si="293"/>
        <v>0</v>
      </c>
      <c r="AH478" s="3">
        <f t="shared" si="294"/>
        <v>0</v>
      </c>
      <c r="AI478">
        <f t="shared" si="295"/>
        <v>0</v>
      </c>
      <c r="AJ478" s="3">
        <f t="shared" si="296"/>
        <v>0</v>
      </c>
      <c r="AK478" s="3">
        <f t="shared" si="297"/>
        <v>0</v>
      </c>
      <c r="AL478">
        <f t="shared" si="298"/>
        <v>0</v>
      </c>
      <c r="AM478" s="3">
        <f t="shared" si="299"/>
        <v>0</v>
      </c>
      <c r="AN478" s="3">
        <f t="shared" si="300"/>
        <v>0</v>
      </c>
      <c r="AO478">
        <f t="shared" si="301"/>
        <v>0</v>
      </c>
      <c r="AP478" s="3">
        <f t="shared" si="302"/>
        <v>0</v>
      </c>
      <c r="AQ478" s="3">
        <f t="shared" si="303"/>
        <v>0</v>
      </c>
      <c r="AR478">
        <f t="shared" si="304"/>
        <v>0</v>
      </c>
    </row>
    <row r="479" spans="4:44" x14ac:dyDescent="0.25">
      <c r="D479" s="1">
        <v>42052</v>
      </c>
      <c r="E479" s="2">
        <v>123.43812200000001</v>
      </c>
      <c r="F479" s="2">
        <v>201.53417400000001</v>
      </c>
      <c r="G479" s="2">
        <f t="shared" si="267"/>
        <v>0.72423200000000065</v>
      </c>
      <c r="H479" s="2">
        <f t="shared" si="268"/>
        <v>0.31653300000002105</v>
      </c>
      <c r="I479" s="4">
        <f t="shared" si="269"/>
        <v>0.66185273036450765</v>
      </c>
      <c r="J479" s="4">
        <f t="shared" si="270"/>
        <v>0.21531206101933784</v>
      </c>
      <c r="K479" s="4">
        <f t="shared" si="271"/>
        <v>0.64999562019796553</v>
      </c>
      <c r="L479" s="4">
        <f t="shared" si="272"/>
        <v>0.80622305858736487</v>
      </c>
      <c r="M479" s="4">
        <f t="shared" si="273"/>
        <v>1</v>
      </c>
      <c r="N479" s="4">
        <f t="shared" si="274"/>
        <v>1</v>
      </c>
      <c r="O479" s="3">
        <f t="shared" si="275"/>
        <v>0.72423200000000065</v>
      </c>
      <c r="P479" s="3">
        <f t="shared" si="276"/>
        <v>0.31653300000002105</v>
      </c>
      <c r="Q479">
        <f t="shared" si="277"/>
        <v>1</v>
      </c>
      <c r="R479" s="3">
        <f t="shared" si="278"/>
        <v>0</v>
      </c>
      <c r="S479" s="3">
        <f t="shared" si="279"/>
        <v>0</v>
      </c>
      <c r="T479">
        <f t="shared" si="280"/>
        <v>0</v>
      </c>
      <c r="U479" s="3">
        <f t="shared" si="281"/>
        <v>0</v>
      </c>
      <c r="V479" s="3">
        <f t="shared" si="282"/>
        <v>0</v>
      </c>
      <c r="W479">
        <f t="shared" si="283"/>
        <v>0</v>
      </c>
      <c r="X479" s="3">
        <f t="shared" si="284"/>
        <v>0</v>
      </c>
      <c r="Y479" s="3">
        <f t="shared" si="285"/>
        <v>0</v>
      </c>
      <c r="Z479">
        <f t="shared" si="286"/>
        <v>0</v>
      </c>
      <c r="AA479" s="3">
        <f t="shared" si="287"/>
        <v>0</v>
      </c>
      <c r="AB479" s="3">
        <f t="shared" si="288"/>
        <v>0</v>
      </c>
      <c r="AC479">
        <f t="shared" si="289"/>
        <v>0</v>
      </c>
      <c r="AD479" s="3">
        <f t="shared" si="290"/>
        <v>0</v>
      </c>
      <c r="AE479" s="3">
        <f t="shared" si="291"/>
        <v>0</v>
      </c>
      <c r="AF479">
        <f t="shared" si="292"/>
        <v>0</v>
      </c>
      <c r="AG479" s="3">
        <f t="shared" si="293"/>
        <v>0</v>
      </c>
      <c r="AH479" s="3">
        <f t="shared" si="294"/>
        <v>0</v>
      </c>
      <c r="AI479">
        <f t="shared" si="295"/>
        <v>0</v>
      </c>
      <c r="AJ479" s="3">
        <f t="shared" si="296"/>
        <v>0</v>
      </c>
      <c r="AK479" s="3">
        <f t="shared" si="297"/>
        <v>0</v>
      </c>
      <c r="AL479">
        <f t="shared" si="298"/>
        <v>0</v>
      </c>
      <c r="AM479" s="3">
        <f t="shared" si="299"/>
        <v>0</v>
      </c>
      <c r="AN479" s="3">
        <f t="shared" si="300"/>
        <v>0</v>
      </c>
      <c r="AO479">
        <f t="shared" si="301"/>
        <v>0</v>
      </c>
      <c r="AP479" s="3">
        <f t="shared" si="302"/>
        <v>0</v>
      </c>
      <c r="AQ479" s="3">
        <f t="shared" si="303"/>
        <v>0</v>
      </c>
      <c r="AR479">
        <f t="shared" si="304"/>
        <v>0</v>
      </c>
    </row>
    <row r="480" spans="4:44" x14ac:dyDescent="0.25">
      <c r="D480" s="1">
        <v>42048</v>
      </c>
      <c r="E480" s="2">
        <v>122.71389000000001</v>
      </c>
      <c r="F480" s="2">
        <v>201.21764099999999</v>
      </c>
      <c r="G480" s="2">
        <f t="shared" si="267"/>
        <v>0.59870100000000548</v>
      </c>
      <c r="H480" s="2">
        <f t="shared" si="268"/>
        <v>0.82489799999999036</v>
      </c>
      <c r="I480" s="4">
        <f t="shared" si="269"/>
        <v>0.53632173036451247</v>
      </c>
      <c r="J480" s="4">
        <f t="shared" si="270"/>
        <v>0.72367706101930718</v>
      </c>
      <c r="K480" s="4">
        <f t="shared" si="271"/>
        <v>0.59762651845943848</v>
      </c>
      <c r="L480" s="4">
        <f t="shared" si="272"/>
        <v>0.77306307534342789</v>
      </c>
      <c r="M480" s="4">
        <f t="shared" si="273"/>
        <v>1</v>
      </c>
      <c r="N480" s="4">
        <f t="shared" si="274"/>
        <v>1</v>
      </c>
      <c r="O480" s="3">
        <f t="shared" si="275"/>
        <v>0.59870100000000548</v>
      </c>
      <c r="P480" s="3">
        <f t="shared" si="276"/>
        <v>0.82489799999999036</v>
      </c>
      <c r="Q480">
        <f t="shared" si="277"/>
        <v>1</v>
      </c>
      <c r="R480" s="3">
        <f t="shared" si="278"/>
        <v>0</v>
      </c>
      <c r="S480" s="3">
        <f t="shared" si="279"/>
        <v>0</v>
      </c>
      <c r="T480">
        <f t="shared" si="280"/>
        <v>0</v>
      </c>
      <c r="U480" s="3">
        <f t="shared" si="281"/>
        <v>0</v>
      </c>
      <c r="V480" s="3">
        <f t="shared" si="282"/>
        <v>0</v>
      </c>
      <c r="W480">
        <f t="shared" si="283"/>
        <v>0</v>
      </c>
      <c r="X480" s="3">
        <f t="shared" si="284"/>
        <v>0</v>
      </c>
      <c r="Y480" s="3">
        <f t="shared" si="285"/>
        <v>0</v>
      </c>
      <c r="Z480">
        <f t="shared" si="286"/>
        <v>0</v>
      </c>
      <c r="AA480" s="3">
        <f t="shared" si="287"/>
        <v>0</v>
      </c>
      <c r="AB480" s="3">
        <f t="shared" si="288"/>
        <v>0</v>
      </c>
      <c r="AC480">
        <f t="shared" si="289"/>
        <v>0</v>
      </c>
      <c r="AD480" s="3">
        <f t="shared" si="290"/>
        <v>0</v>
      </c>
      <c r="AE480" s="3">
        <f t="shared" si="291"/>
        <v>0</v>
      </c>
      <c r="AF480">
        <f t="shared" si="292"/>
        <v>0</v>
      </c>
      <c r="AG480" s="3">
        <f t="shared" si="293"/>
        <v>0</v>
      </c>
      <c r="AH480" s="3">
        <f t="shared" si="294"/>
        <v>0</v>
      </c>
      <c r="AI480">
        <f t="shared" si="295"/>
        <v>0</v>
      </c>
      <c r="AJ480" s="3">
        <f t="shared" si="296"/>
        <v>0</v>
      </c>
      <c r="AK480" s="3">
        <f t="shared" si="297"/>
        <v>0</v>
      </c>
      <c r="AL480">
        <f t="shared" si="298"/>
        <v>0</v>
      </c>
      <c r="AM480" s="3">
        <f t="shared" si="299"/>
        <v>0</v>
      </c>
      <c r="AN480" s="3">
        <f t="shared" si="300"/>
        <v>0</v>
      </c>
      <c r="AO480">
        <f t="shared" si="301"/>
        <v>0</v>
      </c>
      <c r="AP480" s="3">
        <f t="shared" si="302"/>
        <v>0</v>
      </c>
      <c r="AQ480" s="3">
        <f t="shared" si="303"/>
        <v>0</v>
      </c>
      <c r="AR480">
        <f t="shared" si="304"/>
        <v>0</v>
      </c>
    </row>
    <row r="481" spans="4:44" x14ac:dyDescent="0.25">
      <c r="D481" s="1">
        <v>42047</v>
      </c>
      <c r="E481" s="2">
        <v>122.115189</v>
      </c>
      <c r="F481" s="2">
        <v>200.392743</v>
      </c>
      <c r="G481" s="2">
        <f t="shared" si="267"/>
        <v>1.5257179999999977</v>
      </c>
      <c r="H481" s="2">
        <f t="shared" si="268"/>
        <v>1.9087820000000022</v>
      </c>
      <c r="I481" s="4">
        <f t="shared" si="269"/>
        <v>1.4633387303645047</v>
      </c>
      <c r="J481" s="4">
        <f t="shared" si="270"/>
        <v>1.8075610610193189</v>
      </c>
      <c r="K481" s="4">
        <f t="shared" si="271"/>
        <v>3.8858123046627253</v>
      </c>
      <c r="L481" s="4">
        <f t="shared" si="272"/>
        <v>1.9712463835509566</v>
      </c>
      <c r="M481" s="4">
        <f t="shared" si="273"/>
        <v>1</v>
      </c>
      <c r="N481" s="4">
        <f t="shared" si="274"/>
        <v>0.30881573939124052</v>
      </c>
      <c r="O481" s="3">
        <f t="shared" si="275"/>
        <v>1.5257179999999977</v>
      </c>
      <c r="P481" s="3">
        <f t="shared" si="276"/>
        <v>1.9087820000000022</v>
      </c>
      <c r="Q481">
        <f t="shared" si="277"/>
        <v>1</v>
      </c>
      <c r="R481" s="3">
        <f t="shared" si="278"/>
        <v>1.5257179999999977</v>
      </c>
      <c r="S481" s="3">
        <f t="shared" si="279"/>
        <v>1.9087820000000022</v>
      </c>
      <c r="T481">
        <f t="shared" si="280"/>
        <v>1</v>
      </c>
      <c r="U481" s="3">
        <f t="shared" si="281"/>
        <v>1.5257179999999977</v>
      </c>
      <c r="V481" s="3">
        <f t="shared" si="282"/>
        <v>1.9087820000000022</v>
      </c>
      <c r="W481">
        <f t="shared" si="283"/>
        <v>1</v>
      </c>
      <c r="X481" s="3">
        <f t="shared" si="284"/>
        <v>1.5257179999999977</v>
      </c>
      <c r="Y481" s="3">
        <f t="shared" si="285"/>
        <v>1.9087820000000022</v>
      </c>
      <c r="Z481">
        <f t="shared" si="286"/>
        <v>1</v>
      </c>
      <c r="AA481" s="3">
        <f t="shared" si="287"/>
        <v>0</v>
      </c>
      <c r="AB481" s="3">
        <f t="shared" si="288"/>
        <v>0</v>
      </c>
      <c r="AC481">
        <f t="shared" si="289"/>
        <v>0</v>
      </c>
      <c r="AD481" s="3">
        <f t="shared" si="290"/>
        <v>0</v>
      </c>
      <c r="AE481" s="3">
        <f t="shared" si="291"/>
        <v>0</v>
      </c>
      <c r="AF481">
        <f t="shared" si="292"/>
        <v>0</v>
      </c>
      <c r="AG481" s="3">
        <f t="shared" si="293"/>
        <v>0</v>
      </c>
      <c r="AH481" s="3">
        <f t="shared" si="294"/>
        <v>0</v>
      </c>
      <c r="AI481">
        <f t="shared" si="295"/>
        <v>0</v>
      </c>
      <c r="AJ481" s="3">
        <f t="shared" si="296"/>
        <v>0</v>
      </c>
      <c r="AK481" s="3">
        <f t="shared" si="297"/>
        <v>0</v>
      </c>
      <c r="AL481">
        <f t="shared" si="298"/>
        <v>0</v>
      </c>
      <c r="AM481" s="3">
        <f t="shared" si="299"/>
        <v>0</v>
      </c>
      <c r="AN481" s="3">
        <f t="shared" si="300"/>
        <v>0</v>
      </c>
      <c r="AO481">
        <f t="shared" si="301"/>
        <v>0</v>
      </c>
      <c r="AP481" s="3">
        <f t="shared" si="302"/>
        <v>0</v>
      </c>
      <c r="AQ481" s="3">
        <f t="shared" si="303"/>
        <v>0</v>
      </c>
      <c r="AR481">
        <f t="shared" si="304"/>
        <v>0</v>
      </c>
    </row>
    <row r="482" spans="4:44" x14ac:dyDescent="0.25">
      <c r="D482" s="1">
        <v>42046</v>
      </c>
      <c r="E482" s="2">
        <v>120.589471</v>
      </c>
      <c r="F482" s="2">
        <v>198.48396099999999</v>
      </c>
      <c r="G482" s="2">
        <f t="shared" si="267"/>
        <v>2.7617390000000057</v>
      </c>
      <c r="H482" s="2">
        <f t="shared" si="268"/>
        <v>0.11509799999998904</v>
      </c>
      <c r="I482" s="4">
        <f t="shared" si="269"/>
        <v>2.6993597303645127</v>
      </c>
      <c r="J482" s="4">
        <f t="shared" si="270"/>
        <v>1.3877061019305831E-2</v>
      </c>
      <c r="K482" s="4">
        <f t="shared" si="271"/>
        <v>15.405425883717369</v>
      </c>
      <c r="L482" s="4">
        <f t="shared" si="272"/>
        <v>3.9249746347864938</v>
      </c>
      <c r="M482" s="4">
        <f t="shared" si="273"/>
        <v>0.50955743312944846</v>
      </c>
      <c r="N482" s="4">
        <f t="shared" si="274"/>
        <v>7.7894633297241694E-2</v>
      </c>
      <c r="O482" s="3">
        <f t="shared" si="275"/>
        <v>2.7617390000000057</v>
      </c>
      <c r="P482" s="3">
        <f t="shared" si="276"/>
        <v>0.11509799999998904</v>
      </c>
      <c r="Q482">
        <f t="shared" si="277"/>
        <v>1</v>
      </c>
      <c r="R482" s="3">
        <f t="shared" si="278"/>
        <v>2.7617390000000057</v>
      </c>
      <c r="S482" s="3">
        <f t="shared" si="279"/>
        <v>0.11509799999998904</v>
      </c>
      <c r="T482">
        <f t="shared" si="280"/>
        <v>1</v>
      </c>
      <c r="U482" s="3">
        <f t="shared" si="281"/>
        <v>2.7617390000000057</v>
      </c>
      <c r="V482" s="3">
        <f t="shared" si="282"/>
        <v>0.11509799999998904</v>
      </c>
      <c r="W482">
        <f t="shared" si="283"/>
        <v>1</v>
      </c>
      <c r="X482" s="3">
        <f t="shared" si="284"/>
        <v>2.7617390000000057</v>
      </c>
      <c r="Y482" s="3">
        <f t="shared" si="285"/>
        <v>0.11509799999998904</v>
      </c>
      <c r="Z482">
        <f t="shared" si="286"/>
        <v>1</v>
      </c>
      <c r="AA482" s="3">
        <f t="shared" si="287"/>
        <v>2.7617390000000057</v>
      </c>
      <c r="AB482" s="3">
        <f t="shared" si="288"/>
        <v>0.11509799999998904</v>
      </c>
      <c r="AC482">
        <f t="shared" si="289"/>
        <v>1</v>
      </c>
      <c r="AD482" s="3">
        <f t="shared" si="290"/>
        <v>2.7617390000000057</v>
      </c>
      <c r="AE482" s="3">
        <f t="shared" si="291"/>
        <v>0.11509799999998904</v>
      </c>
      <c r="AF482">
        <f t="shared" si="292"/>
        <v>1</v>
      </c>
      <c r="AG482" s="3">
        <f t="shared" si="293"/>
        <v>2.7617390000000057</v>
      </c>
      <c r="AH482" s="3">
        <f t="shared" si="294"/>
        <v>0.11509799999998904</v>
      </c>
      <c r="AI482">
        <f t="shared" si="295"/>
        <v>1</v>
      </c>
      <c r="AJ482" s="3">
        <f t="shared" si="296"/>
        <v>2.7617390000000057</v>
      </c>
      <c r="AK482" s="3">
        <f t="shared" si="297"/>
        <v>0.11509799999998904</v>
      </c>
      <c r="AL482">
        <f t="shared" si="298"/>
        <v>1</v>
      </c>
      <c r="AM482" s="3">
        <f t="shared" si="299"/>
        <v>2.7617390000000057</v>
      </c>
      <c r="AN482" s="3">
        <f t="shared" si="300"/>
        <v>0.11509799999998904</v>
      </c>
      <c r="AO482">
        <f t="shared" si="301"/>
        <v>1</v>
      </c>
      <c r="AP482" s="3">
        <f t="shared" si="302"/>
        <v>2.7617390000000057</v>
      </c>
      <c r="AQ482" s="3">
        <f t="shared" si="303"/>
        <v>0.11509799999998904</v>
      </c>
      <c r="AR482">
        <f t="shared" si="304"/>
        <v>1</v>
      </c>
    </row>
    <row r="483" spans="4:44" x14ac:dyDescent="0.25">
      <c r="D483" s="1">
        <v>42045</v>
      </c>
      <c r="E483" s="2">
        <v>117.827732</v>
      </c>
      <c r="F483" s="2">
        <v>198.368863</v>
      </c>
      <c r="G483" s="2">
        <f t="shared" si="267"/>
        <v>2.2209739999999982</v>
      </c>
      <c r="H483" s="2">
        <f t="shared" si="268"/>
        <v>2.0910140000000013</v>
      </c>
      <c r="I483" s="4">
        <f t="shared" si="269"/>
        <v>2.1585947303645052</v>
      </c>
      <c r="J483" s="4">
        <f t="shared" si="270"/>
        <v>1.989793061019318</v>
      </c>
      <c r="K483" s="4">
        <f t="shared" si="271"/>
        <v>6.272664804857019</v>
      </c>
      <c r="L483" s="4">
        <f t="shared" si="272"/>
        <v>2.5045288588588912</v>
      </c>
      <c r="M483" s="4">
        <f t="shared" si="273"/>
        <v>0.79855338576982349</v>
      </c>
      <c r="N483" s="4">
        <f t="shared" si="274"/>
        <v>0.19130625297733458</v>
      </c>
      <c r="O483" s="3">
        <f t="shared" si="275"/>
        <v>2.2209739999999982</v>
      </c>
      <c r="P483" s="3">
        <f t="shared" si="276"/>
        <v>2.0910140000000013</v>
      </c>
      <c r="Q483">
        <f t="shared" si="277"/>
        <v>1</v>
      </c>
      <c r="R483" s="3">
        <f t="shared" si="278"/>
        <v>2.2209739999999982</v>
      </c>
      <c r="S483" s="3">
        <f t="shared" si="279"/>
        <v>2.0910140000000013</v>
      </c>
      <c r="T483">
        <f t="shared" si="280"/>
        <v>1</v>
      </c>
      <c r="U483" s="3">
        <f t="shared" si="281"/>
        <v>2.2209739999999982</v>
      </c>
      <c r="V483" s="3">
        <f t="shared" si="282"/>
        <v>2.0910140000000013</v>
      </c>
      <c r="W483">
        <f t="shared" si="283"/>
        <v>1</v>
      </c>
      <c r="X483" s="3">
        <f t="shared" si="284"/>
        <v>2.2209739999999982</v>
      </c>
      <c r="Y483" s="3">
        <f t="shared" si="285"/>
        <v>2.0910140000000013</v>
      </c>
      <c r="Z483">
        <f t="shared" si="286"/>
        <v>1</v>
      </c>
      <c r="AA483" s="3">
        <f t="shared" si="287"/>
        <v>2.2209739999999982</v>
      </c>
      <c r="AB483" s="3">
        <f t="shared" si="288"/>
        <v>2.0910140000000013</v>
      </c>
      <c r="AC483">
        <f t="shared" si="289"/>
        <v>1</v>
      </c>
      <c r="AD483" s="3">
        <f t="shared" si="290"/>
        <v>2.2209739999999982</v>
      </c>
      <c r="AE483" s="3">
        <f t="shared" si="291"/>
        <v>2.0910140000000013</v>
      </c>
      <c r="AF483">
        <f t="shared" si="292"/>
        <v>1</v>
      </c>
      <c r="AG483" s="3">
        <f t="shared" si="293"/>
        <v>2.2209739999999982</v>
      </c>
      <c r="AH483" s="3">
        <f t="shared" si="294"/>
        <v>2.0910140000000013</v>
      </c>
      <c r="AI483">
        <f t="shared" si="295"/>
        <v>1</v>
      </c>
      <c r="AJ483" s="3">
        <f t="shared" si="296"/>
        <v>0</v>
      </c>
      <c r="AK483" s="3">
        <f t="shared" si="297"/>
        <v>0</v>
      </c>
      <c r="AL483">
        <f t="shared" si="298"/>
        <v>0</v>
      </c>
      <c r="AM483" s="3">
        <f t="shared" si="299"/>
        <v>0</v>
      </c>
      <c r="AN483" s="3">
        <f t="shared" si="300"/>
        <v>0</v>
      </c>
      <c r="AO483">
        <f t="shared" si="301"/>
        <v>0</v>
      </c>
      <c r="AP483" s="3">
        <f t="shared" si="302"/>
        <v>0</v>
      </c>
      <c r="AQ483" s="3">
        <f t="shared" si="303"/>
        <v>0</v>
      </c>
      <c r="AR483">
        <f t="shared" si="304"/>
        <v>0</v>
      </c>
    </row>
    <row r="484" spans="4:44" x14ac:dyDescent="0.25">
      <c r="D484" s="1">
        <v>42044</v>
      </c>
      <c r="E484" s="2">
        <v>115.606758</v>
      </c>
      <c r="F484" s="2">
        <v>196.277849</v>
      </c>
      <c r="G484" s="2">
        <f t="shared" si="267"/>
        <v>0.76285799999999426</v>
      </c>
      <c r="H484" s="2">
        <f t="shared" si="268"/>
        <v>-0.88244800000001078</v>
      </c>
      <c r="I484" s="4">
        <f t="shared" si="269"/>
        <v>0.70047873036450126</v>
      </c>
      <c r="J484" s="4">
        <f t="shared" si="270"/>
        <v>-0.98366893898069396</v>
      </c>
      <c r="K484" s="4">
        <f t="shared" si="271"/>
        <v>4.667017144817593</v>
      </c>
      <c r="L484" s="4">
        <f t="shared" si="272"/>
        <v>2.160328017875432</v>
      </c>
      <c r="M484" s="4">
        <f t="shared" si="273"/>
        <v>0.92578533604674251</v>
      </c>
      <c r="N484" s="4">
        <f t="shared" si="274"/>
        <v>0.25712354653175395</v>
      </c>
      <c r="O484" s="3">
        <f t="shared" si="275"/>
        <v>0.76285799999999426</v>
      </c>
      <c r="P484" s="3">
        <f t="shared" si="276"/>
        <v>-0.88244800000001078</v>
      </c>
      <c r="Q484">
        <f t="shared" si="277"/>
        <v>1</v>
      </c>
      <c r="R484" s="3">
        <f t="shared" si="278"/>
        <v>0.76285799999999426</v>
      </c>
      <c r="S484" s="3">
        <f t="shared" si="279"/>
        <v>-0.88244800000001078</v>
      </c>
      <c r="T484">
        <f t="shared" si="280"/>
        <v>1</v>
      </c>
      <c r="U484" s="3">
        <f t="shared" si="281"/>
        <v>0.76285799999999426</v>
      </c>
      <c r="V484" s="3">
        <f t="shared" si="282"/>
        <v>-0.88244800000001078</v>
      </c>
      <c r="W484">
        <f t="shared" si="283"/>
        <v>1</v>
      </c>
      <c r="X484" s="3">
        <f t="shared" si="284"/>
        <v>0.76285799999999426</v>
      </c>
      <c r="Y484" s="3">
        <f t="shared" si="285"/>
        <v>-0.88244800000001078</v>
      </c>
      <c r="Z484">
        <f t="shared" si="286"/>
        <v>1</v>
      </c>
      <c r="AA484" s="3">
        <f t="shared" si="287"/>
        <v>0.76285799999999426</v>
      </c>
      <c r="AB484" s="3">
        <f t="shared" si="288"/>
        <v>-0.88244800000001078</v>
      </c>
      <c r="AC484">
        <f t="shared" si="289"/>
        <v>1</v>
      </c>
      <c r="AD484" s="3">
        <f t="shared" si="290"/>
        <v>0</v>
      </c>
      <c r="AE484" s="3">
        <f t="shared" si="291"/>
        <v>0</v>
      </c>
      <c r="AF484">
        <f t="shared" si="292"/>
        <v>0</v>
      </c>
      <c r="AG484" s="3">
        <f t="shared" si="293"/>
        <v>0</v>
      </c>
      <c r="AH484" s="3">
        <f t="shared" si="294"/>
        <v>0</v>
      </c>
      <c r="AI484">
        <f t="shared" si="295"/>
        <v>0</v>
      </c>
      <c r="AJ484" s="3">
        <f t="shared" si="296"/>
        <v>0</v>
      </c>
      <c r="AK484" s="3">
        <f t="shared" si="297"/>
        <v>0</v>
      </c>
      <c r="AL484">
        <f t="shared" si="298"/>
        <v>0</v>
      </c>
      <c r="AM484" s="3">
        <f t="shared" si="299"/>
        <v>0</v>
      </c>
      <c r="AN484" s="3">
        <f t="shared" si="300"/>
        <v>0</v>
      </c>
      <c r="AO484">
        <f t="shared" si="301"/>
        <v>0</v>
      </c>
      <c r="AP484" s="3">
        <f t="shared" si="302"/>
        <v>0</v>
      </c>
      <c r="AQ484" s="3">
        <f t="shared" si="303"/>
        <v>0</v>
      </c>
      <c r="AR484">
        <f t="shared" si="304"/>
        <v>0</v>
      </c>
    </row>
    <row r="485" spans="4:44" x14ac:dyDescent="0.25">
      <c r="D485" s="1">
        <v>42041</v>
      </c>
      <c r="E485" s="2">
        <v>114.8439</v>
      </c>
      <c r="F485" s="2">
        <v>197.16029700000001</v>
      </c>
      <c r="G485" s="2">
        <f t="shared" si="267"/>
        <v>-0.97530100000000175</v>
      </c>
      <c r="H485" s="2">
        <f t="shared" si="268"/>
        <v>-0.54672699999997576</v>
      </c>
      <c r="I485" s="4">
        <f t="shared" si="269"/>
        <v>-1.0376802696354948</v>
      </c>
      <c r="J485" s="4">
        <f t="shared" si="270"/>
        <v>-0.64794793898065894</v>
      </c>
      <c r="K485" s="4">
        <f t="shared" si="271"/>
        <v>1.3418466775662172</v>
      </c>
      <c r="L485" s="4">
        <f t="shared" si="272"/>
        <v>1.1583810588775254</v>
      </c>
      <c r="M485" s="4">
        <f t="shared" si="273"/>
        <v>1</v>
      </c>
      <c r="N485" s="4">
        <f t="shared" si="274"/>
        <v>1</v>
      </c>
      <c r="O485" s="3">
        <f t="shared" si="275"/>
        <v>-0.97530100000000175</v>
      </c>
      <c r="P485" s="3">
        <f t="shared" si="276"/>
        <v>-0.54672699999997576</v>
      </c>
      <c r="Q485">
        <f t="shared" si="277"/>
        <v>1</v>
      </c>
      <c r="R485" s="3">
        <f t="shared" si="278"/>
        <v>-0.97530100000000175</v>
      </c>
      <c r="S485" s="3">
        <f t="shared" si="279"/>
        <v>-0.54672699999997576</v>
      </c>
      <c r="T485">
        <f t="shared" si="280"/>
        <v>1</v>
      </c>
      <c r="U485" s="3">
        <f t="shared" si="281"/>
        <v>0</v>
      </c>
      <c r="V485" s="3">
        <f t="shared" si="282"/>
        <v>0</v>
      </c>
      <c r="W485">
        <f t="shared" si="283"/>
        <v>0</v>
      </c>
      <c r="X485" s="3">
        <f t="shared" si="284"/>
        <v>0</v>
      </c>
      <c r="Y485" s="3">
        <f t="shared" si="285"/>
        <v>0</v>
      </c>
      <c r="Z485">
        <f t="shared" si="286"/>
        <v>0</v>
      </c>
      <c r="AA485" s="3">
        <f t="shared" si="287"/>
        <v>0</v>
      </c>
      <c r="AB485" s="3">
        <f t="shared" si="288"/>
        <v>0</v>
      </c>
      <c r="AC485">
        <f t="shared" si="289"/>
        <v>0</v>
      </c>
      <c r="AD485" s="3">
        <f t="shared" si="290"/>
        <v>0</v>
      </c>
      <c r="AE485" s="3">
        <f t="shared" si="291"/>
        <v>0</v>
      </c>
      <c r="AF485">
        <f t="shared" si="292"/>
        <v>0</v>
      </c>
      <c r="AG485" s="3">
        <f t="shared" si="293"/>
        <v>0</v>
      </c>
      <c r="AH485" s="3">
        <f t="shared" si="294"/>
        <v>0</v>
      </c>
      <c r="AI485">
        <f t="shared" si="295"/>
        <v>0</v>
      </c>
      <c r="AJ485" s="3">
        <f t="shared" si="296"/>
        <v>0</v>
      </c>
      <c r="AK485" s="3">
        <f t="shared" si="297"/>
        <v>0</v>
      </c>
      <c r="AL485">
        <f t="shared" si="298"/>
        <v>0</v>
      </c>
      <c r="AM485" s="3">
        <f t="shared" si="299"/>
        <v>0</v>
      </c>
      <c r="AN485" s="3">
        <f t="shared" si="300"/>
        <v>0</v>
      </c>
      <c r="AO485">
        <f t="shared" si="301"/>
        <v>0</v>
      </c>
      <c r="AP485" s="3">
        <f t="shared" si="302"/>
        <v>0</v>
      </c>
      <c r="AQ485" s="3">
        <f t="shared" si="303"/>
        <v>0</v>
      </c>
      <c r="AR485">
        <f t="shared" si="304"/>
        <v>0</v>
      </c>
    </row>
    <row r="486" spans="4:44" x14ac:dyDescent="0.25">
      <c r="D486" s="1">
        <v>42040</v>
      </c>
      <c r="E486" s="2">
        <v>115.81920100000001</v>
      </c>
      <c r="F486" s="2">
        <v>197.70702399999999</v>
      </c>
      <c r="G486" s="2">
        <f t="shared" si="267"/>
        <v>0.8207970000000131</v>
      </c>
      <c r="H486" s="2">
        <f t="shared" si="268"/>
        <v>1.9759169999999813</v>
      </c>
      <c r="I486" s="4">
        <f t="shared" si="269"/>
        <v>0.75841773036452009</v>
      </c>
      <c r="J486" s="4">
        <f t="shared" si="270"/>
        <v>1.874696061019298</v>
      </c>
      <c r="K486" s="4">
        <f t="shared" si="271"/>
        <v>4.197478021699296</v>
      </c>
      <c r="L486" s="4">
        <f t="shared" si="272"/>
        <v>2.048774761094859</v>
      </c>
      <c r="M486" s="4">
        <f t="shared" si="273"/>
        <v>0.97619320482609129</v>
      </c>
      <c r="N486" s="4">
        <f t="shared" si="274"/>
        <v>0.28588595194459054</v>
      </c>
      <c r="O486" s="3">
        <f t="shared" si="275"/>
        <v>0.8207970000000131</v>
      </c>
      <c r="P486" s="3">
        <f t="shared" si="276"/>
        <v>1.9759169999999813</v>
      </c>
      <c r="Q486">
        <f t="shared" si="277"/>
        <v>1</v>
      </c>
      <c r="R486" s="3">
        <f t="shared" si="278"/>
        <v>0.8207970000000131</v>
      </c>
      <c r="S486" s="3">
        <f t="shared" si="279"/>
        <v>1.9759169999999813</v>
      </c>
      <c r="T486">
        <f t="shared" si="280"/>
        <v>1</v>
      </c>
      <c r="U486" s="3">
        <f t="shared" si="281"/>
        <v>0.8207970000000131</v>
      </c>
      <c r="V486" s="3">
        <f t="shared" si="282"/>
        <v>1.9759169999999813</v>
      </c>
      <c r="W486">
        <f t="shared" si="283"/>
        <v>1</v>
      </c>
      <c r="X486" s="3">
        <f t="shared" si="284"/>
        <v>0.8207970000000131</v>
      </c>
      <c r="Y486" s="3">
        <f t="shared" si="285"/>
        <v>1.9759169999999813</v>
      </c>
      <c r="Z486">
        <f t="shared" si="286"/>
        <v>1</v>
      </c>
      <c r="AA486" s="3">
        <f t="shared" si="287"/>
        <v>0.8207970000000131</v>
      </c>
      <c r="AB486" s="3">
        <f t="shared" si="288"/>
        <v>1.9759169999999813</v>
      </c>
      <c r="AC486">
        <f t="shared" si="289"/>
        <v>1</v>
      </c>
      <c r="AD486" s="3">
        <f t="shared" si="290"/>
        <v>0</v>
      </c>
      <c r="AE486" s="3">
        <f t="shared" si="291"/>
        <v>0</v>
      </c>
      <c r="AF486">
        <f t="shared" si="292"/>
        <v>0</v>
      </c>
      <c r="AG486" s="3">
        <f t="shared" si="293"/>
        <v>0</v>
      </c>
      <c r="AH486" s="3">
        <f t="shared" si="294"/>
        <v>0</v>
      </c>
      <c r="AI486">
        <f t="shared" si="295"/>
        <v>0</v>
      </c>
      <c r="AJ486" s="3">
        <f t="shared" si="296"/>
        <v>0</v>
      </c>
      <c r="AK486" s="3">
        <f t="shared" si="297"/>
        <v>0</v>
      </c>
      <c r="AL486">
        <f t="shared" si="298"/>
        <v>0</v>
      </c>
      <c r="AM486" s="3">
        <f t="shared" si="299"/>
        <v>0</v>
      </c>
      <c r="AN486" s="3">
        <f t="shared" si="300"/>
        <v>0</v>
      </c>
      <c r="AO486">
        <f t="shared" si="301"/>
        <v>0</v>
      </c>
      <c r="AP486" s="3">
        <f t="shared" si="302"/>
        <v>0</v>
      </c>
      <c r="AQ486" s="3">
        <f t="shared" si="303"/>
        <v>0</v>
      </c>
      <c r="AR486">
        <f t="shared" si="304"/>
        <v>0</v>
      </c>
    </row>
    <row r="487" spans="4:44" x14ac:dyDescent="0.25">
      <c r="D487" s="1">
        <v>42039</v>
      </c>
      <c r="E487" s="2">
        <v>114.99840399999999</v>
      </c>
      <c r="F487" s="2">
        <v>195.73110700000001</v>
      </c>
      <c r="G487" s="2">
        <f t="shared" si="267"/>
        <v>0.8752759999999995</v>
      </c>
      <c r="H487" s="2">
        <f t="shared" si="268"/>
        <v>-0.74816300000000524</v>
      </c>
      <c r="I487" s="4">
        <f t="shared" si="269"/>
        <v>0.81289673036450649</v>
      </c>
      <c r="J487" s="4">
        <f t="shared" si="270"/>
        <v>-0.84938393898068842</v>
      </c>
      <c r="K487" s="4">
        <f t="shared" si="271"/>
        <v>4.5659256864829008</v>
      </c>
      <c r="L487" s="4">
        <f t="shared" si="272"/>
        <v>2.1368026784153238</v>
      </c>
      <c r="M487" s="4">
        <f t="shared" si="273"/>
        <v>0.93597786084919266</v>
      </c>
      <c r="N487" s="4">
        <f t="shared" si="274"/>
        <v>0.26281636679994919</v>
      </c>
      <c r="O487" s="3">
        <f t="shared" si="275"/>
        <v>0.8752759999999995</v>
      </c>
      <c r="P487" s="3">
        <f t="shared" si="276"/>
        <v>-0.74816300000000524</v>
      </c>
      <c r="Q487">
        <f t="shared" si="277"/>
        <v>1</v>
      </c>
      <c r="R487" s="3">
        <f t="shared" si="278"/>
        <v>0.8752759999999995</v>
      </c>
      <c r="S487" s="3">
        <f t="shared" si="279"/>
        <v>-0.74816300000000524</v>
      </c>
      <c r="T487">
        <f t="shared" si="280"/>
        <v>1</v>
      </c>
      <c r="U487" s="3">
        <f t="shared" si="281"/>
        <v>0.8752759999999995</v>
      </c>
      <c r="V487" s="3">
        <f t="shared" si="282"/>
        <v>-0.74816300000000524</v>
      </c>
      <c r="W487">
        <f t="shared" si="283"/>
        <v>1</v>
      </c>
      <c r="X487" s="3">
        <f t="shared" si="284"/>
        <v>0.8752759999999995</v>
      </c>
      <c r="Y487" s="3">
        <f t="shared" si="285"/>
        <v>-0.74816300000000524</v>
      </c>
      <c r="Z487">
        <f t="shared" si="286"/>
        <v>1</v>
      </c>
      <c r="AA487" s="3">
        <f t="shared" si="287"/>
        <v>0.8752759999999995</v>
      </c>
      <c r="AB487" s="3">
        <f t="shared" si="288"/>
        <v>-0.74816300000000524</v>
      </c>
      <c r="AC487">
        <f t="shared" si="289"/>
        <v>1</v>
      </c>
      <c r="AD487" s="3">
        <f t="shared" si="290"/>
        <v>0</v>
      </c>
      <c r="AE487" s="3">
        <f t="shared" si="291"/>
        <v>0</v>
      </c>
      <c r="AF487">
        <f t="shared" si="292"/>
        <v>0</v>
      </c>
      <c r="AG487" s="3">
        <f t="shared" si="293"/>
        <v>0</v>
      </c>
      <c r="AH487" s="3">
        <f t="shared" si="294"/>
        <v>0</v>
      </c>
      <c r="AI487">
        <f t="shared" si="295"/>
        <v>0</v>
      </c>
      <c r="AJ487" s="3">
        <f t="shared" si="296"/>
        <v>0</v>
      </c>
      <c r="AK487" s="3">
        <f t="shared" si="297"/>
        <v>0</v>
      </c>
      <c r="AL487">
        <f t="shared" si="298"/>
        <v>0</v>
      </c>
      <c r="AM487" s="3">
        <f t="shared" si="299"/>
        <v>0</v>
      </c>
      <c r="AN487" s="3">
        <f t="shared" si="300"/>
        <v>0</v>
      </c>
      <c r="AO487">
        <f t="shared" si="301"/>
        <v>0</v>
      </c>
      <c r="AP487" s="3">
        <f t="shared" si="302"/>
        <v>0</v>
      </c>
      <c r="AQ487" s="3">
        <f t="shared" si="303"/>
        <v>0</v>
      </c>
      <c r="AR487">
        <f t="shared" si="304"/>
        <v>0</v>
      </c>
    </row>
    <row r="488" spans="4:44" x14ac:dyDescent="0.25">
      <c r="D488" s="1">
        <v>42038</v>
      </c>
      <c r="E488" s="2">
        <v>114.12312799999999</v>
      </c>
      <c r="F488" s="2">
        <v>196.47927000000001</v>
      </c>
      <c r="G488" s="2">
        <f t="shared" si="267"/>
        <v>1.9240999999993846E-2</v>
      </c>
      <c r="H488" s="2">
        <f t="shared" si="268"/>
        <v>2.800816000000026</v>
      </c>
      <c r="I488" s="4">
        <f t="shared" si="269"/>
        <v>-4.3138269635499167E-2</v>
      </c>
      <c r="J488" s="4">
        <f t="shared" si="270"/>
        <v>2.6995950610193429</v>
      </c>
      <c r="K488" s="4">
        <f t="shared" si="271"/>
        <v>14.124990182011047</v>
      </c>
      <c r="L488" s="4">
        <f t="shared" si="272"/>
        <v>3.7583227884271793</v>
      </c>
      <c r="M488" s="4">
        <f t="shared" si="273"/>
        <v>0.53215226913412095</v>
      </c>
      <c r="N488" s="4">
        <f t="shared" si="274"/>
        <v>8.4955811263378159E-2</v>
      </c>
      <c r="O488" s="3">
        <f t="shared" si="275"/>
        <v>1.9240999999993846E-2</v>
      </c>
      <c r="P488" s="3">
        <f t="shared" si="276"/>
        <v>2.800816000000026</v>
      </c>
      <c r="Q488">
        <f t="shared" si="277"/>
        <v>1</v>
      </c>
      <c r="R488" s="3">
        <f t="shared" si="278"/>
        <v>1.9240999999993846E-2</v>
      </c>
      <c r="S488" s="3">
        <f t="shared" si="279"/>
        <v>2.800816000000026</v>
      </c>
      <c r="T488">
        <f t="shared" si="280"/>
        <v>1</v>
      </c>
      <c r="U488" s="3">
        <f t="shared" si="281"/>
        <v>1.9240999999993846E-2</v>
      </c>
      <c r="V488" s="3">
        <f t="shared" si="282"/>
        <v>2.800816000000026</v>
      </c>
      <c r="W488">
        <f t="shared" si="283"/>
        <v>1</v>
      </c>
      <c r="X488" s="3">
        <f t="shared" si="284"/>
        <v>1.9240999999993846E-2</v>
      </c>
      <c r="Y488" s="3">
        <f t="shared" si="285"/>
        <v>2.800816000000026</v>
      </c>
      <c r="Z488">
        <f t="shared" si="286"/>
        <v>1</v>
      </c>
      <c r="AA488" s="3">
        <f t="shared" si="287"/>
        <v>1.9240999999993846E-2</v>
      </c>
      <c r="AB488" s="3">
        <f t="shared" si="288"/>
        <v>2.800816000000026</v>
      </c>
      <c r="AC488">
        <f t="shared" si="289"/>
        <v>1</v>
      </c>
      <c r="AD488" s="3">
        <f t="shared" si="290"/>
        <v>1.9240999999993846E-2</v>
      </c>
      <c r="AE488" s="3">
        <f t="shared" si="291"/>
        <v>2.800816000000026</v>
      </c>
      <c r="AF488">
        <f t="shared" si="292"/>
        <v>1</v>
      </c>
      <c r="AG488" s="3">
        <f t="shared" si="293"/>
        <v>1.9240999999993846E-2</v>
      </c>
      <c r="AH488" s="3">
        <f t="shared" si="294"/>
        <v>2.800816000000026</v>
      </c>
      <c r="AI488">
        <f t="shared" si="295"/>
        <v>1</v>
      </c>
      <c r="AJ488" s="3">
        <f t="shared" si="296"/>
        <v>1.9240999999993846E-2</v>
      </c>
      <c r="AK488" s="3">
        <f t="shared" si="297"/>
        <v>2.800816000000026</v>
      </c>
      <c r="AL488">
        <f t="shared" si="298"/>
        <v>1</v>
      </c>
      <c r="AM488" s="3">
        <f t="shared" si="299"/>
        <v>1.9240999999993846E-2</v>
      </c>
      <c r="AN488" s="3">
        <f t="shared" si="300"/>
        <v>2.800816000000026</v>
      </c>
      <c r="AO488">
        <f t="shared" si="301"/>
        <v>1</v>
      </c>
      <c r="AP488" s="3">
        <f t="shared" si="302"/>
        <v>1.9240999999993846E-2</v>
      </c>
      <c r="AQ488" s="3">
        <f t="shared" si="303"/>
        <v>2.800816000000026</v>
      </c>
      <c r="AR488">
        <f t="shared" si="304"/>
        <v>1</v>
      </c>
    </row>
    <row r="489" spans="4:44" x14ac:dyDescent="0.25">
      <c r="D489" s="1">
        <v>42037</v>
      </c>
      <c r="E489" s="2">
        <v>114.103887</v>
      </c>
      <c r="F489" s="2">
        <v>193.67845399999999</v>
      </c>
      <c r="G489" s="2">
        <f t="shared" si="267"/>
        <v>1.4139090000000039</v>
      </c>
      <c r="H489" s="2">
        <f t="shared" si="268"/>
        <v>2.3691859999999849</v>
      </c>
      <c r="I489" s="4">
        <f t="shared" si="269"/>
        <v>1.3515297303645109</v>
      </c>
      <c r="J489" s="4">
        <f t="shared" si="270"/>
        <v>2.2679650610193018</v>
      </c>
      <c r="K489" s="4">
        <f t="shared" si="271"/>
        <v>5.6836490715704011</v>
      </c>
      <c r="L489" s="4">
        <f t="shared" si="272"/>
        <v>2.3840404928545995</v>
      </c>
      <c r="M489" s="4">
        <f t="shared" si="273"/>
        <v>0.83891192536131898</v>
      </c>
      <c r="N489" s="4">
        <f t="shared" si="274"/>
        <v>0.2111319655540306</v>
      </c>
      <c r="O489" s="3">
        <f t="shared" si="275"/>
        <v>1.4139090000000039</v>
      </c>
      <c r="P489" s="3">
        <f t="shared" si="276"/>
        <v>2.3691859999999849</v>
      </c>
      <c r="Q489">
        <f t="shared" si="277"/>
        <v>1</v>
      </c>
      <c r="R489" s="3">
        <f t="shared" si="278"/>
        <v>1.4139090000000039</v>
      </c>
      <c r="S489" s="3">
        <f t="shared" si="279"/>
        <v>2.3691859999999849</v>
      </c>
      <c r="T489">
        <f t="shared" si="280"/>
        <v>1</v>
      </c>
      <c r="U489" s="3">
        <f t="shared" si="281"/>
        <v>1.4139090000000039</v>
      </c>
      <c r="V489" s="3">
        <f t="shared" si="282"/>
        <v>2.3691859999999849</v>
      </c>
      <c r="W489">
        <f t="shared" si="283"/>
        <v>1</v>
      </c>
      <c r="X489" s="3">
        <f t="shared" si="284"/>
        <v>1.4139090000000039</v>
      </c>
      <c r="Y489" s="3">
        <f t="shared" si="285"/>
        <v>2.3691859999999849</v>
      </c>
      <c r="Z489">
        <f t="shared" si="286"/>
        <v>1</v>
      </c>
      <c r="AA489" s="3">
        <f t="shared" si="287"/>
        <v>1.4139090000000039</v>
      </c>
      <c r="AB489" s="3">
        <f t="shared" si="288"/>
        <v>2.3691859999999849</v>
      </c>
      <c r="AC489">
        <f t="shared" si="289"/>
        <v>1</v>
      </c>
      <c r="AD489" s="3">
        <f t="shared" si="290"/>
        <v>1.4139090000000039</v>
      </c>
      <c r="AE489" s="3">
        <f t="shared" si="291"/>
        <v>2.3691859999999849</v>
      </c>
      <c r="AF489">
        <f t="shared" si="292"/>
        <v>1</v>
      </c>
      <c r="AG489" s="3">
        <f t="shared" si="293"/>
        <v>0</v>
      </c>
      <c r="AH489" s="3">
        <f t="shared" si="294"/>
        <v>0</v>
      </c>
      <c r="AI489">
        <f t="shared" si="295"/>
        <v>0</v>
      </c>
      <c r="AJ489" s="3">
        <f t="shared" si="296"/>
        <v>0</v>
      </c>
      <c r="AK489" s="3">
        <f t="shared" si="297"/>
        <v>0</v>
      </c>
      <c r="AL489">
        <f t="shared" si="298"/>
        <v>0</v>
      </c>
      <c r="AM489" s="3">
        <f t="shared" si="299"/>
        <v>0</v>
      </c>
      <c r="AN489" s="3">
        <f t="shared" si="300"/>
        <v>0</v>
      </c>
      <c r="AO489">
        <f t="shared" si="301"/>
        <v>0</v>
      </c>
      <c r="AP489" s="3">
        <f t="shared" si="302"/>
        <v>0</v>
      </c>
      <c r="AQ489" s="3">
        <f t="shared" si="303"/>
        <v>0</v>
      </c>
      <c r="AR489">
        <f t="shared" si="304"/>
        <v>0</v>
      </c>
    </row>
    <row r="490" spans="4:44" x14ac:dyDescent="0.25">
      <c r="D490" s="1">
        <v>42034</v>
      </c>
      <c r="E490" s="2">
        <v>112.689978</v>
      </c>
      <c r="F490" s="2">
        <v>191.309268</v>
      </c>
      <c r="G490" s="2">
        <f t="shared" si="267"/>
        <v>-1.6736110000000082</v>
      </c>
      <c r="H490" s="2">
        <f t="shared" si="268"/>
        <v>-2.436335999999983</v>
      </c>
      <c r="I490" s="4">
        <f t="shared" si="269"/>
        <v>-1.7359902696355012</v>
      </c>
      <c r="J490" s="4">
        <f t="shared" si="270"/>
        <v>-2.537556938980666</v>
      </c>
      <c r="K490" s="4">
        <f t="shared" si="271"/>
        <v>7.1877871740752193</v>
      </c>
      <c r="L490" s="4">
        <f t="shared" si="272"/>
        <v>2.6810048813971261</v>
      </c>
      <c r="M490" s="4">
        <f t="shared" si="273"/>
        <v>0.74598894387605863</v>
      </c>
      <c r="N490" s="4">
        <f t="shared" si="274"/>
        <v>0.1669498513155952</v>
      </c>
      <c r="O490" s="3">
        <f t="shared" si="275"/>
        <v>-1.6736110000000082</v>
      </c>
      <c r="P490" s="3">
        <f t="shared" si="276"/>
        <v>-2.436335999999983</v>
      </c>
      <c r="Q490">
        <f t="shared" si="277"/>
        <v>1</v>
      </c>
      <c r="R490" s="3">
        <f t="shared" si="278"/>
        <v>-1.6736110000000082</v>
      </c>
      <c r="S490" s="3">
        <f t="shared" si="279"/>
        <v>-2.436335999999983</v>
      </c>
      <c r="T490">
        <f t="shared" si="280"/>
        <v>1</v>
      </c>
      <c r="U490" s="3">
        <f t="shared" si="281"/>
        <v>-1.6736110000000082</v>
      </c>
      <c r="V490" s="3">
        <f t="shared" si="282"/>
        <v>-2.436335999999983</v>
      </c>
      <c r="W490">
        <f t="shared" si="283"/>
        <v>1</v>
      </c>
      <c r="X490" s="3">
        <f t="shared" si="284"/>
        <v>-1.6736110000000082</v>
      </c>
      <c r="Y490" s="3">
        <f t="shared" si="285"/>
        <v>-2.436335999999983</v>
      </c>
      <c r="Z490">
        <f t="shared" si="286"/>
        <v>1</v>
      </c>
      <c r="AA490" s="3">
        <f t="shared" si="287"/>
        <v>-1.6736110000000082</v>
      </c>
      <c r="AB490" s="3">
        <f t="shared" si="288"/>
        <v>-2.436335999999983</v>
      </c>
      <c r="AC490">
        <f t="shared" si="289"/>
        <v>1</v>
      </c>
      <c r="AD490" s="3">
        <f t="shared" si="290"/>
        <v>-1.6736110000000082</v>
      </c>
      <c r="AE490" s="3">
        <f t="shared" si="291"/>
        <v>-2.436335999999983</v>
      </c>
      <c r="AF490">
        <f t="shared" si="292"/>
        <v>1</v>
      </c>
      <c r="AG490" s="3">
        <f t="shared" si="293"/>
        <v>-1.6736110000000082</v>
      </c>
      <c r="AH490" s="3">
        <f t="shared" si="294"/>
        <v>-2.436335999999983</v>
      </c>
      <c r="AI490">
        <f t="shared" si="295"/>
        <v>1</v>
      </c>
      <c r="AJ490" s="3">
        <f t="shared" si="296"/>
        <v>-1.6736110000000082</v>
      </c>
      <c r="AK490" s="3">
        <f t="shared" si="297"/>
        <v>-2.436335999999983</v>
      </c>
      <c r="AL490">
        <f t="shared" si="298"/>
        <v>1</v>
      </c>
      <c r="AM490" s="3">
        <f t="shared" si="299"/>
        <v>0</v>
      </c>
      <c r="AN490" s="3">
        <f t="shared" si="300"/>
        <v>0</v>
      </c>
      <c r="AO490">
        <f t="shared" si="301"/>
        <v>0</v>
      </c>
      <c r="AP490" s="3">
        <f t="shared" si="302"/>
        <v>0</v>
      </c>
      <c r="AQ490" s="3">
        <f t="shared" si="303"/>
        <v>0</v>
      </c>
      <c r="AR490">
        <f t="shared" si="304"/>
        <v>0</v>
      </c>
    </row>
    <row r="491" spans="4:44" x14ac:dyDescent="0.25">
      <c r="D491" s="1">
        <v>42033</v>
      </c>
      <c r="E491" s="2">
        <v>114.363589</v>
      </c>
      <c r="F491" s="2">
        <v>193.74560399999999</v>
      </c>
      <c r="G491" s="2">
        <f t="shared" si="267"/>
        <v>3.4530340000000024</v>
      </c>
      <c r="H491" s="2">
        <f t="shared" si="268"/>
        <v>1.7744969999999967</v>
      </c>
      <c r="I491" s="4">
        <f t="shared" si="269"/>
        <v>3.3906547303645094</v>
      </c>
      <c r="J491" s="4">
        <f t="shared" si="270"/>
        <v>1.6732760610193134</v>
      </c>
      <c r="K491" s="4">
        <f t="shared" si="271"/>
        <v>15.042658520748356</v>
      </c>
      <c r="L491" s="4">
        <f t="shared" si="272"/>
        <v>3.878486627635624</v>
      </c>
      <c r="M491" s="4">
        <f t="shared" si="273"/>
        <v>0.51566504980300165</v>
      </c>
      <c r="N491" s="4">
        <f t="shared" si="274"/>
        <v>7.977313307649965E-2</v>
      </c>
      <c r="O491" s="3">
        <f t="shared" si="275"/>
        <v>3.4530340000000024</v>
      </c>
      <c r="P491" s="3">
        <f t="shared" si="276"/>
        <v>1.7744969999999967</v>
      </c>
      <c r="Q491">
        <f t="shared" si="277"/>
        <v>1</v>
      </c>
      <c r="R491" s="3">
        <f t="shared" si="278"/>
        <v>3.4530340000000024</v>
      </c>
      <c r="S491" s="3">
        <f t="shared" si="279"/>
        <v>1.7744969999999967</v>
      </c>
      <c r="T491">
        <f t="shared" si="280"/>
        <v>1</v>
      </c>
      <c r="U491" s="3">
        <f t="shared" si="281"/>
        <v>3.4530340000000024</v>
      </c>
      <c r="V491" s="3">
        <f t="shared" si="282"/>
        <v>1.7744969999999967</v>
      </c>
      <c r="W491">
        <f t="shared" si="283"/>
        <v>1</v>
      </c>
      <c r="X491" s="3">
        <f t="shared" si="284"/>
        <v>3.4530340000000024</v>
      </c>
      <c r="Y491" s="3">
        <f t="shared" si="285"/>
        <v>1.7744969999999967</v>
      </c>
      <c r="Z491">
        <f t="shared" si="286"/>
        <v>1</v>
      </c>
      <c r="AA491" s="3">
        <f t="shared" si="287"/>
        <v>3.4530340000000024</v>
      </c>
      <c r="AB491" s="3">
        <f t="shared" si="288"/>
        <v>1.7744969999999967</v>
      </c>
      <c r="AC491">
        <f t="shared" si="289"/>
        <v>1</v>
      </c>
      <c r="AD491" s="3">
        <f t="shared" si="290"/>
        <v>3.4530340000000024</v>
      </c>
      <c r="AE491" s="3">
        <f t="shared" si="291"/>
        <v>1.7744969999999967</v>
      </c>
      <c r="AF491">
        <f t="shared" si="292"/>
        <v>1</v>
      </c>
      <c r="AG491" s="3">
        <f t="shared" si="293"/>
        <v>3.4530340000000024</v>
      </c>
      <c r="AH491" s="3">
        <f t="shared" si="294"/>
        <v>1.7744969999999967</v>
      </c>
      <c r="AI491">
        <f t="shared" si="295"/>
        <v>1</v>
      </c>
      <c r="AJ491" s="3">
        <f t="shared" si="296"/>
        <v>3.4530340000000024</v>
      </c>
      <c r="AK491" s="3">
        <f t="shared" si="297"/>
        <v>1.7744969999999967</v>
      </c>
      <c r="AL491">
        <f t="shared" si="298"/>
        <v>1</v>
      </c>
      <c r="AM491" s="3">
        <f t="shared" si="299"/>
        <v>3.4530340000000024</v>
      </c>
      <c r="AN491" s="3">
        <f t="shared" si="300"/>
        <v>1.7744969999999967</v>
      </c>
      <c r="AO491">
        <f t="shared" si="301"/>
        <v>1</v>
      </c>
      <c r="AP491" s="3">
        <f t="shared" si="302"/>
        <v>3.4530340000000024</v>
      </c>
      <c r="AQ491" s="3">
        <f t="shared" si="303"/>
        <v>1.7744969999999967</v>
      </c>
      <c r="AR491">
        <f t="shared" si="304"/>
        <v>1</v>
      </c>
    </row>
    <row r="492" spans="4:44" x14ac:dyDescent="0.25">
      <c r="D492" s="1">
        <v>42032</v>
      </c>
      <c r="E492" s="2">
        <v>110.910555</v>
      </c>
      <c r="F492" s="2">
        <v>191.97110699999999</v>
      </c>
      <c r="G492" s="2">
        <f t="shared" si="267"/>
        <v>5.9345930000000067</v>
      </c>
      <c r="H492" s="2">
        <f t="shared" si="268"/>
        <v>-2.4938850000000059</v>
      </c>
      <c r="I492" s="4">
        <f t="shared" si="269"/>
        <v>5.8722137303645132</v>
      </c>
      <c r="J492" s="4">
        <f t="shared" si="270"/>
        <v>-2.595105938980689</v>
      </c>
      <c r="K492" s="4">
        <f t="shared" si="271"/>
        <v>125.68535816630934</v>
      </c>
      <c r="L492" s="4">
        <f t="shared" si="272"/>
        <v>11.210948138596901</v>
      </c>
      <c r="M492" s="4">
        <f t="shared" si="273"/>
        <v>0.17839704325403369</v>
      </c>
      <c r="N492" s="4">
        <f t="shared" si="274"/>
        <v>9.5476515125344705E-3</v>
      </c>
      <c r="O492" s="3">
        <f t="shared" si="275"/>
        <v>5.9345930000000067</v>
      </c>
      <c r="P492" s="3">
        <f t="shared" si="276"/>
        <v>-2.4938850000000059</v>
      </c>
      <c r="Q492">
        <f t="shared" si="277"/>
        <v>1</v>
      </c>
      <c r="R492" s="3">
        <f t="shared" si="278"/>
        <v>5.9345930000000067</v>
      </c>
      <c r="S492" s="3">
        <f t="shared" si="279"/>
        <v>-2.4938850000000059</v>
      </c>
      <c r="T492">
        <f t="shared" si="280"/>
        <v>1</v>
      </c>
      <c r="U492" s="3">
        <f t="shared" si="281"/>
        <v>5.9345930000000067</v>
      </c>
      <c r="V492" s="3">
        <f t="shared" si="282"/>
        <v>-2.4938850000000059</v>
      </c>
      <c r="W492">
        <f t="shared" si="283"/>
        <v>1</v>
      </c>
      <c r="X492" s="3">
        <f t="shared" si="284"/>
        <v>5.9345930000000067</v>
      </c>
      <c r="Y492" s="3">
        <f t="shared" si="285"/>
        <v>-2.4938850000000059</v>
      </c>
      <c r="Z492">
        <f t="shared" si="286"/>
        <v>1</v>
      </c>
      <c r="AA492" s="3">
        <f t="shared" si="287"/>
        <v>5.9345930000000067</v>
      </c>
      <c r="AB492" s="3">
        <f t="shared" si="288"/>
        <v>-2.4938850000000059</v>
      </c>
      <c r="AC492">
        <f t="shared" si="289"/>
        <v>1</v>
      </c>
      <c r="AD492" s="3">
        <f t="shared" si="290"/>
        <v>5.9345930000000067</v>
      </c>
      <c r="AE492" s="3">
        <f t="shared" si="291"/>
        <v>-2.4938850000000059</v>
      </c>
      <c r="AF492">
        <f t="shared" si="292"/>
        <v>1</v>
      </c>
      <c r="AG492" s="3">
        <f t="shared" si="293"/>
        <v>5.9345930000000067</v>
      </c>
      <c r="AH492" s="3">
        <f t="shared" si="294"/>
        <v>-2.4938850000000059</v>
      </c>
      <c r="AI492">
        <f t="shared" si="295"/>
        <v>1</v>
      </c>
      <c r="AJ492" s="3">
        <f t="shared" si="296"/>
        <v>5.9345930000000067</v>
      </c>
      <c r="AK492" s="3">
        <f t="shared" si="297"/>
        <v>-2.4938850000000059</v>
      </c>
      <c r="AL492">
        <f t="shared" si="298"/>
        <v>1</v>
      </c>
      <c r="AM492" s="3">
        <f t="shared" si="299"/>
        <v>5.9345930000000067</v>
      </c>
      <c r="AN492" s="3">
        <f t="shared" si="300"/>
        <v>-2.4938850000000059</v>
      </c>
      <c r="AO492">
        <f t="shared" si="301"/>
        <v>1</v>
      </c>
      <c r="AP492" s="3">
        <f t="shared" si="302"/>
        <v>5.9345930000000067</v>
      </c>
      <c r="AQ492" s="3">
        <f t="shared" si="303"/>
        <v>-2.4938850000000059</v>
      </c>
      <c r="AR492">
        <f t="shared" si="304"/>
        <v>1</v>
      </c>
    </row>
    <row r="493" spans="4:44" x14ac:dyDescent="0.25">
      <c r="D493" s="1">
        <v>42031</v>
      </c>
      <c r="E493" s="2">
        <v>104.975962</v>
      </c>
      <c r="F493" s="2">
        <v>194.464992</v>
      </c>
      <c r="G493" s="2">
        <f t="shared" si="267"/>
        <v>-3.808913000000004</v>
      </c>
      <c r="H493" s="2">
        <f t="shared" si="268"/>
        <v>-2.5993809999999939</v>
      </c>
      <c r="I493" s="4">
        <f t="shared" si="269"/>
        <v>-3.871292269635497</v>
      </c>
      <c r="J493" s="4">
        <f t="shared" si="270"/>
        <v>-2.700601938980677</v>
      </c>
      <c r="K493" s="4">
        <f t="shared" si="271"/>
        <v>18.578849291576798</v>
      </c>
      <c r="L493" s="4">
        <f t="shared" si="272"/>
        <v>4.3103189315382222</v>
      </c>
      <c r="M493" s="4">
        <f t="shared" si="273"/>
        <v>0.46400278767452147</v>
      </c>
      <c r="N493" s="4">
        <f t="shared" si="274"/>
        <v>6.458957609091813E-2</v>
      </c>
      <c r="O493" s="3">
        <f t="shared" si="275"/>
        <v>-3.808913000000004</v>
      </c>
      <c r="P493" s="3">
        <f t="shared" si="276"/>
        <v>-2.5993809999999939</v>
      </c>
      <c r="Q493">
        <f t="shared" si="277"/>
        <v>1</v>
      </c>
      <c r="R493" s="3">
        <f t="shared" si="278"/>
        <v>-3.808913000000004</v>
      </c>
      <c r="S493" s="3">
        <f t="shared" si="279"/>
        <v>-2.5993809999999939</v>
      </c>
      <c r="T493">
        <f t="shared" si="280"/>
        <v>1</v>
      </c>
      <c r="U493" s="3">
        <f t="shared" si="281"/>
        <v>-3.808913000000004</v>
      </c>
      <c r="V493" s="3">
        <f t="shared" si="282"/>
        <v>-2.5993809999999939</v>
      </c>
      <c r="W493">
        <f t="shared" si="283"/>
        <v>1</v>
      </c>
      <c r="X493" s="3">
        <f t="shared" si="284"/>
        <v>-3.808913000000004</v>
      </c>
      <c r="Y493" s="3">
        <f t="shared" si="285"/>
        <v>-2.5993809999999939</v>
      </c>
      <c r="Z493">
        <f t="shared" si="286"/>
        <v>1</v>
      </c>
      <c r="AA493" s="3">
        <f t="shared" si="287"/>
        <v>-3.808913000000004</v>
      </c>
      <c r="AB493" s="3">
        <f t="shared" si="288"/>
        <v>-2.5993809999999939</v>
      </c>
      <c r="AC493">
        <f t="shared" si="289"/>
        <v>1</v>
      </c>
      <c r="AD493" s="3">
        <f t="shared" si="290"/>
        <v>-3.808913000000004</v>
      </c>
      <c r="AE493" s="3">
        <f t="shared" si="291"/>
        <v>-2.5993809999999939</v>
      </c>
      <c r="AF493">
        <f t="shared" si="292"/>
        <v>1</v>
      </c>
      <c r="AG493" s="3">
        <f t="shared" si="293"/>
        <v>-3.808913000000004</v>
      </c>
      <c r="AH493" s="3">
        <f t="shared" si="294"/>
        <v>-2.5993809999999939</v>
      </c>
      <c r="AI493">
        <f t="shared" si="295"/>
        <v>1</v>
      </c>
      <c r="AJ493" s="3">
        <f t="shared" si="296"/>
        <v>-3.808913000000004</v>
      </c>
      <c r="AK493" s="3">
        <f t="shared" si="297"/>
        <v>-2.5993809999999939</v>
      </c>
      <c r="AL493">
        <f t="shared" si="298"/>
        <v>1</v>
      </c>
      <c r="AM493" s="3">
        <f t="shared" si="299"/>
        <v>-3.808913000000004</v>
      </c>
      <c r="AN493" s="3">
        <f t="shared" si="300"/>
        <v>-2.5993809999999939</v>
      </c>
      <c r="AO493">
        <f t="shared" si="301"/>
        <v>1</v>
      </c>
      <c r="AP493" s="3">
        <f t="shared" si="302"/>
        <v>-3.808913000000004</v>
      </c>
      <c r="AQ493" s="3">
        <f t="shared" si="303"/>
        <v>-2.5993809999999939</v>
      </c>
      <c r="AR493">
        <f t="shared" si="304"/>
        <v>1</v>
      </c>
    </row>
    <row r="494" spans="4:44" x14ac:dyDescent="0.25">
      <c r="D494" s="1">
        <v>42030</v>
      </c>
      <c r="E494" s="2">
        <v>108.784875</v>
      </c>
      <c r="F494" s="2">
        <v>197.06437299999999</v>
      </c>
      <c r="G494" s="2">
        <f t="shared" si="267"/>
        <v>0.11541699999999366</v>
      </c>
      <c r="H494" s="2">
        <f t="shared" si="268"/>
        <v>0.46040499999998019</v>
      </c>
      <c r="I494" s="4">
        <f t="shared" si="269"/>
        <v>5.303773036450065E-2</v>
      </c>
      <c r="J494" s="4">
        <f t="shared" si="270"/>
        <v>0.35918406101929701</v>
      </c>
      <c r="K494" s="4">
        <f t="shared" si="271"/>
        <v>0.20116824803706493</v>
      </c>
      <c r="L494" s="4">
        <f t="shared" si="272"/>
        <v>0.44851783469229506</v>
      </c>
      <c r="M494" s="4">
        <f t="shared" si="273"/>
        <v>1</v>
      </c>
      <c r="N494" s="4">
        <f t="shared" si="274"/>
        <v>1</v>
      </c>
      <c r="O494" s="3">
        <f t="shared" si="275"/>
        <v>0.11541699999999366</v>
      </c>
      <c r="P494" s="3">
        <f t="shared" si="276"/>
        <v>0.46040499999998019</v>
      </c>
      <c r="Q494">
        <f t="shared" si="277"/>
        <v>1</v>
      </c>
      <c r="R494" s="3">
        <f t="shared" si="278"/>
        <v>0</v>
      </c>
      <c r="S494" s="3">
        <f t="shared" si="279"/>
        <v>0</v>
      </c>
      <c r="T494">
        <f t="shared" si="280"/>
        <v>0</v>
      </c>
      <c r="U494" s="3">
        <f t="shared" si="281"/>
        <v>0</v>
      </c>
      <c r="V494" s="3">
        <f t="shared" si="282"/>
        <v>0</v>
      </c>
      <c r="W494">
        <f t="shared" si="283"/>
        <v>0</v>
      </c>
      <c r="X494" s="3">
        <f t="shared" si="284"/>
        <v>0</v>
      </c>
      <c r="Y494" s="3">
        <f t="shared" si="285"/>
        <v>0</v>
      </c>
      <c r="Z494">
        <f t="shared" si="286"/>
        <v>0</v>
      </c>
      <c r="AA494" s="3">
        <f t="shared" si="287"/>
        <v>0</v>
      </c>
      <c r="AB494" s="3">
        <f t="shared" si="288"/>
        <v>0</v>
      </c>
      <c r="AC494">
        <f t="shared" si="289"/>
        <v>0</v>
      </c>
      <c r="AD494" s="3">
        <f t="shared" si="290"/>
        <v>0</v>
      </c>
      <c r="AE494" s="3">
        <f t="shared" si="291"/>
        <v>0</v>
      </c>
      <c r="AF494">
        <f t="shared" si="292"/>
        <v>0</v>
      </c>
      <c r="AG494" s="3">
        <f t="shared" si="293"/>
        <v>0</v>
      </c>
      <c r="AH494" s="3">
        <f t="shared" si="294"/>
        <v>0</v>
      </c>
      <c r="AI494">
        <f t="shared" si="295"/>
        <v>0</v>
      </c>
      <c r="AJ494" s="3">
        <f t="shared" si="296"/>
        <v>0</v>
      </c>
      <c r="AK494" s="3">
        <f t="shared" si="297"/>
        <v>0</v>
      </c>
      <c r="AL494">
        <f t="shared" si="298"/>
        <v>0</v>
      </c>
      <c r="AM494" s="3">
        <f t="shared" si="299"/>
        <v>0</v>
      </c>
      <c r="AN494" s="3">
        <f t="shared" si="300"/>
        <v>0</v>
      </c>
      <c r="AO494">
        <f t="shared" si="301"/>
        <v>0</v>
      </c>
      <c r="AP494" s="3">
        <f t="shared" si="302"/>
        <v>0</v>
      </c>
      <c r="AQ494" s="3">
        <f t="shared" si="303"/>
        <v>0</v>
      </c>
      <c r="AR494">
        <f t="shared" si="304"/>
        <v>0</v>
      </c>
    </row>
    <row r="495" spans="4:44" x14ac:dyDescent="0.25">
      <c r="D495" s="1">
        <v>42027</v>
      </c>
      <c r="E495" s="2">
        <v>108.66945800000001</v>
      </c>
      <c r="F495" s="2">
        <v>196.60396800000001</v>
      </c>
      <c r="G495" s="2">
        <f t="shared" si="267"/>
        <v>0.55787300000000073</v>
      </c>
      <c r="H495" s="2">
        <f t="shared" si="268"/>
        <v>-1.0838829999999859</v>
      </c>
      <c r="I495" s="4">
        <f t="shared" si="269"/>
        <v>0.49549373036450772</v>
      </c>
      <c r="J495" s="4">
        <f t="shared" si="270"/>
        <v>-1.1851039389806692</v>
      </c>
      <c r="K495" s="4">
        <f t="shared" si="271"/>
        <v>4.7095144901518973</v>
      </c>
      <c r="L495" s="4">
        <f t="shared" si="272"/>
        <v>2.1701415829737694</v>
      </c>
      <c r="M495" s="4">
        <f t="shared" si="273"/>
        <v>0.92159885589555757</v>
      </c>
      <c r="N495" s="4">
        <f t="shared" si="274"/>
        <v>0.25480333535640021</v>
      </c>
      <c r="O495" s="3">
        <f t="shared" si="275"/>
        <v>0.55787300000000073</v>
      </c>
      <c r="P495" s="3">
        <f t="shared" si="276"/>
        <v>-1.0838829999999859</v>
      </c>
      <c r="Q495">
        <f t="shared" si="277"/>
        <v>1</v>
      </c>
      <c r="R495" s="3">
        <f t="shared" si="278"/>
        <v>0.55787300000000073</v>
      </c>
      <c r="S495" s="3">
        <f t="shared" si="279"/>
        <v>-1.0838829999999859</v>
      </c>
      <c r="T495">
        <f t="shared" si="280"/>
        <v>1</v>
      </c>
      <c r="U495" s="3">
        <f t="shared" si="281"/>
        <v>0.55787300000000073</v>
      </c>
      <c r="V495" s="3">
        <f t="shared" si="282"/>
        <v>-1.0838829999999859</v>
      </c>
      <c r="W495">
        <f t="shared" si="283"/>
        <v>1</v>
      </c>
      <c r="X495" s="3">
        <f t="shared" si="284"/>
        <v>0.55787300000000073</v>
      </c>
      <c r="Y495" s="3">
        <f t="shared" si="285"/>
        <v>-1.0838829999999859</v>
      </c>
      <c r="Z495">
        <f t="shared" si="286"/>
        <v>1</v>
      </c>
      <c r="AA495" s="3">
        <f t="shared" si="287"/>
        <v>0.55787300000000073</v>
      </c>
      <c r="AB495" s="3">
        <f t="shared" si="288"/>
        <v>-1.0838829999999859</v>
      </c>
      <c r="AC495">
        <f t="shared" si="289"/>
        <v>1</v>
      </c>
      <c r="AD495" s="3">
        <f t="shared" si="290"/>
        <v>0</v>
      </c>
      <c r="AE495" s="3">
        <f t="shared" si="291"/>
        <v>0</v>
      </c>
      <c r="AF495">
        <f t="shared" si="292"/>
        <v>0</v>
      </c>
      <c r="AG495" s="3">
        <f t="shared" si="293"/>
        <v>0</v>
      </c>
      <c r="AH495" s="3">
        <f t="shared" si="294"/>
        <v>0</v>
      </c>
      <c r="AI495">
        <f t="shared" si="295"/>
        <v>0</v>
      </c>
      <c r="AJ495" s="3">
        <f t="shared" si="296"/>
        <v>0</v>
      </c>
      <c r="AK495" s="3">
        <f t="shared" si="297"/>
        <v>0</v>
      </c>
      <c r="AL495">
        <f t="shared" si="298"/>
        <v>0</v>
      </c>
      <c r="AM495" s="3">
        <f t="shared" si="299"/>
        <v>0</v>
      </c>
      <c r="AN495" s="3">
        <f t="shared" si="300"/>
        <v>0</v>
      </c>
      <c r="AO495">
        <f t="shared" si="301"/>
        <v>0</v>
      </c>
      <c r="AP495" s="3">
        <f t="shared" si="302"/>
        <v>0</v>
      </c>
      <c r="AQ495" s="3">
        <f t="shared" si="303"/>
        <v>0</v>
      </c>
      <c r="AR495">
        <f t="shared" si="304"/>
        <v>0</v>
      </c>
    </row>
    <row r="496" spans="4:44" x14ac:dyDescent="0.25">
      <c r="D496" s="1">
        <v>42026</v>
      </c>
      <c r="E496" s="2">
        <v>108.11158500000001</v>
      </c>
      <c r="F496" s="2">
        <v>197.68785099999999</v>
      </c>
      <c r="G496" s="2">
        <f t="shared" si="267"/>
        <v>2.7412620000000061</v>
      </c>
      <c r="H496" s="2">
        <f t="shared" si="268"/>
        <v>2.8967399999999941</v>
      </c>
      <c r="I496" s="4">
        <f t="shared" si="269"/>
        <v>2.6788827303645131</v>
      </c>
      <c r="J496" s="4">
        <f t="shared" si="270"/>
        <v>2.795519061019311</v>
      </c>
      <c r="K496" s="4">
        <f t="shared" si="271"/>
        <v>10.649077568699823</v>
      </c>
      <c r="L496" s="4">
        <f t="shared" si="272"/>
        <v>3.2632924430243491</v>
      </c>
      <c r="M496" s="4">
        <f t="shared" si="273"/>
        <v>0.61287795529181666</v>
      </c>
      <c r="N496" s="4">
        <f t="shared" si="274"/>
        <v>0.11268581642480339</v>
      </c>
      <c r="O496" s="3">
        <f t="shared" si="275"/>
        <v>2.7412620000000061</v>
      </c>
      <c r="P496" s="3">
        <f t="shared" si="276"/>
        <v>2.8967399999999941</v>
      </c>
      <c r="Q496">
        <f t="shared" si="277"/>
        <v>1</v>
      </c>
      <c r="R496" s="3">
        <f t="shared" si="278"/>
        <v>2.7412620000000061</v>
      </c>
      <c r="S496" s="3">
        <f t="shared" si="279"/>
        <v>2.8967399999999941</v>
      </c>
      <c r="T496">
        <f t="shared" si="280"/>
        <v>1</v>
      </c>
      <c r="U496" s="3">
        <f t="shared" si="281"/>
        <v>2.7412620000000061</v>
      </c>
      <c r="V496" s="3">
        <f t="shared" si="282"/>
        <v>2.8967399999999941</v>
      </c>
      <c r="W496">
        <f t="shared" si="283"/>
        <v>1</v>
      </c>
      <c r="X496" s="3">
        <f t="shared" si="284"/>
        <v>2.7412620000000061</v>
      </c>
      <c r="Y496" s="3">
        <f t="shared" si="285"/>
        <v>2.8967399999999941</v>
      </c>
      <c r="Z496">
        <f t="shared" si="286"/>
        <v>1</v>
      </c>
      <c r="AA496" s="3">
        <f t="shared" si="287"/>
        <v>2.7412620000000061</v>
      </c>
      <c r="AB496" s="3">
        <f t="shared" si="288"/>
        <v>2.8967399999999941</v>
      </c>
      <c r="AC496">
        <f t="shared" si="289"/>
        <v>1</v>
      </c>
      <c r="AD496" s="3">
        <f t="shared" si="290"/>
        <v>2.7412620000000061</v>
      </c>
      <c r="AE496" s="3">
        <f t="shared" si="291"/>
        <v>2.8967399999999941</v>
      </c>
      <c r="AF496">
        <f t="shared" si="292"/>
        <v>1</v>
      </c>
      <c r="AG496" s="3">
        <f t="shared" si="293"/>
        <v>2.7412620000000061</v>
      </c>
      <c r="AH496" s="3">
        <f t="shared" si="294"/>
        <v>2.8967399999999941</v>
      </c>
      <c r="AI496">
        <f t="shared" si="295"/>
        <v>1</v>
      </c>
      <c r="AJ496" s="3">
        <f t="shared" si="296"/>
        <v>2.7412620000000061</v>
      </c>
      <c r="AK496" s="3">
        <f t="shared" si="297"/>
        <v>2.8967399999999941</v>
      </c>
      <c r="AL496">
        <f t="shared" si="298"/>
        <v>1</v>
      </c>
      <c r="AM496" s="3">
        <f t="shared" si="299"/>
        <v>2.7412620000000061</v>
      </c>
      <c r="AN496" s="3">
        <f t="shared" si="300"/>
        <v>2.8967399999999941</v>
      </c>
      <c r="AO496">
        <f t="shared" si="301"/>
        <v>1</v>
      </c>
      <c r="AP496" s="3">
        <f t="shared" si="302"/>
        <v>2.7412620000000061</v>
      </c>
      <c r="AQ496" s="3">
        <f t="shared" si="303"/>
        <v>2.8967399999999941</v>
      </c>
      <c r="AR496">
        <f t="shared" si="304"/>
        <v>1</v>
      </c>
    </row>
    <row r="497" spans="4:44" x14ac:dyDescent="0.25">
      <c r="D497" s="1">
        <v>42025</v>
      </c>
      <c r="E497" s="2">
        <v>105.370323</v>
      </c>
      <c r="F497" s="2">
        <v>194.791111</v>
      </c>
      <c r="G497" s="2">
        <f t="shared" si="267"/>
        <v>0.79833499999999447</v>
      </c>
      <c r="H497" s="2">
        <f t="shared" si="268"/>
        <v>0.97837200000000735</v>
      </c>
      <c r="I497" s="4">
        <f t="shared" si="269"/>
        <v>0.73595573036450146</v>
      </c>
      <c r="J497" s="4">
        <f t="shared" si="270"/>
        <v>0.87715106101932416</v>
      </c>
      <c r="K497" s="4">
        <f t="shared" si="271"/>
        <v>0.93572322027138233</v>
      </c>
      <c r="L497" s="4">
        <f t="shared" si="272"/>
        <v>0.96732787630222994</v>
      </c>
      <c r="M497" s="4">
        <f t="shared" si="273"/>
        <v>1</v>
      </c>
      <c r="N497" s="4">
        <f t="shared" si="274"/>
        <v>1</v>
      </c>
      <c r="O497" s="3">
        <f t="shared" si="275"/>
        <v>0.79833499999999447</v>
      </c>
      <c r="P497" s="3">
        <f t="shared" si="276"/>
        <v>0.97837200000000735</v>
      </c>
      <c r="Q497">
        <f t="shared" si="277"/>
        <v>1</v>
      </c>
      <c r="R497" s="3">
        <f t="shared" si="278"/>
        <v>0</v>
      </c>
      <c r="S497" s="3">
        <f t="shared" si="279"/>
        <v>0</v>
      </c>
      <c r="T497">
        <f t="shared" si="280"/>
        <v>0</v>
      </c>
      <c r="U497" s="3">
        <f t="shared" si="281"/>
        <v>0</v>
      </c>
      <c r="V497" s="3">
        <f t="shared" si="282"/>
        <v>0</v>
      </c>
      <c r="W497">
        <f t="shared" si="283"/>
        <v>0</v>
      </c>
      <c r="X497" s="3">
        <f t="shared" si="284"/>
        <v>0</v>
      </c>
      <c r="Y497" s="3">
        <f t="shared" si="285"/>
        <v>0</v>
      </c>
      <c r="Z497">
        <f t="shared" si="286"/>
        <v>0</v>
      </c>
      <c r="AA497" s="3">
        <f t="shared" si="287"/>
        <v>0</v>
      </c>
      <c r="AB497" s="3">
        <f t="shared" si="288"/>
        <v>0</v>
      </c>
      <c r="AC497">
        <f t="shared" si="289"/>
        <v>0</v>
      </c>
      <c r="AD497" s="3">
        <f t="shared" si="290"/>
        <v>0</v>
      </c>
      <c r="AE497" s="3">
        <f t="shared" si="291"/>
        <v>0</v>
      </c>
      <c r="AF497">
        <f t="shared" si="292"/>
        <v>0</v>
      </c>
      <c r="AG497" s="3">
        <f t="shared" si="293"/>
        <v>0</v>
      </c>
      <c r="AH497" s="3">
        <f t="shared" si="294"/>
        <v>0</v>
      </c>
      <c r="AI497">
        <f t="shared" si="295"/>
        <v>0</v>
      </c>
      <c r="AJ497" s="3">
        <f t="shared" si="296"/>
        <v>0</v>
      </c>
      <c r="AK497" s="3">
        <f t="shared" si="297"/>
        <v>0</v>
      </c>
      <c r="AL497">
        <f t="shared" si="298"/>
        <v>0</v>
      </c>
      <c r="AM497" s="3">
        <f t="shared" si="299"/>
        <v>0</v>
      </c>
      <c r="AN497" s="3">
        <f t="shared" si="300"/>
        <v>0</v>
      </c>
      <c r="AO497">
        <f t="shared" si="301"/>
        <v>0</v>
      </c>
      <c r="AP497" s="3">
        <f t="shared" si="302"/>
        <v>0</v>
      </c>
      <c r="AQ497" s="3">
        <f t="shared" si="303"/>
        <v>0</v>
      </c>
      <c r="AR497">
        <f t="shared" si="304"/>
        <v>0</v>
      </c>
    </row>
    <row r="498" spans="4:44" x14ac:dyDescent="0.25">
      <c r="D498" s="1">
        <v>42024</v>
      </c>
      <c r="E498" s="2">
        <v>104.571988</v>
      </c>
      <c r="F498" s="2">
        <v>193.81273899999999</v>
      </c>
      <c r="G498" s="2">
        <f t="shared" si="267"/>
        <v>2.6258449999999982</v>
      </c>
      <c r="H498" s="2">
        <f t="shared" si="268"/>
        <v>0.41244199999999864</v>
      </c>
      <c r="I498" s="4">
        <f t="shared" si="269"/>
        <v>2.5634657303645052</v>
      </c>
      <c r="J498" s="4">
        <f t="shared" si="270"/>
        <v>0.31122106101931546</v>
      </c>
      <c r="K498" s="4">
        <f t="shared" si="271"/>
        <v>12.09368713349415</v>
      </c>
      <c r="L498" s="4">
        <f t="shared" si="272"/>
        <v>3.477597897039586</v>
      </c>
      <c r="M498" s="4">
        <f t="shared" si="273"/>
        <v>0.57510961853944143</v>
      </c>
      <c r="N498" s="4">
        <f t="shared" si="274"/>
        <v>9.9225322000974558E-2</v>
      </c>
      <c r="O498" s="3">
        <f t="shared" si="275"/>
        <v>2.6258449999999982</v>
      </c>
      <c r="P498" s="3">
        <f t="shared" si="276"/>
        <v>0.41244199999999864</v>
      </c>
      <c r="Q498">
        <f t="shared" si="277"/>
        <v>1</v>
      </c>
      <c r="R498" s="3">
        <f t="shared" si="278"/>
        <v>2.6258449999999982</v>
      </c>
      <c r="S498" s="3">
        <f t="shared" si="279"/>
        <v>0.41244199999999864</v>
      </c>
      <c r="T498">
        <f t="shared" si="280"/>
        <v>1</v>
      </c>
      <c r="U498" s="3">
        <f t="shared" si="281"/>
        <v>2.6258449999999982</v>
      </c>
      <c r="V498" s="3">
        <f t="shared" si="282"/>
        <v>0.41244199999999864</v>
      </c>
      <c r="W498">
        <f t="shared" si="283"/>
        <v>1</v>
      </c>
      <c r="X498" s="3">
        <f t="shared" si="284"/>
        <v>2.6258449999999982</v>
      </c>
      <c r="Y498" s="3">
        <f t="shared" si="285"/>
        <v>0.41244199999999864</v>
      </c>
      <c r="Z498">
        <f t="shared" si="286"/>
        <v>1</v>
      </c>
      <c r="AA498" s="3">
        <f t="shared" si="287"/>
        <v>2.6258449999999982</v>
      </c>
      <c r="AB498" s="3">
        <f t="shared" si="288"/>
        <v>0.41244199999999864</v>
      </c>
      <c r="AC498">
        <f t="shared" si="289"/>
        <v>1</v>
      </c>
      <c r="AD498" s="3">
        <f t="shared" si="290"/>
        <v>2.6258449999999982</v>
      </c>
      <c r="AE498" s="3">
        <f t="shared" si="291"/>
        <v>0.41244199999999864</v>
      </c>
      <c r="AF498">
        <f t="shared" si="292"/>
        <v>1</v>
      </c>
      <c r="AG498" s="3">
        <f t="shared" si="293"/>
        <v>2.6258449999999982</v>
      </c>
      <c r="AH498" s="3">
        <f t="shared" si="294"/>
        <v>0.41244199999999864</v>
      </c>
      <c r="AI498">
        <f t="shared" si="295"/>
        <v>1</v>
      </c>
      <c r="AJ498" s="3">
        <f t="shared" si="296"/>
        <v>2.6258449999999982</v>
      </c>
      <c r="AK498" s="3">
        <f t="shared" si="297"/>
        <v>0.41244199999999864</v>
      </c>
      <c r="AL498">
        <f t="shared" si="298"/>
        <v>1</v>
      </c>
      <c r="AM498" s="3">
        <f t="shared" si="299"/>
        <v>2.6258449999999982</v>
      </c>
      <c r="AN498" s="3">
        <f t="shared" si="300"/>
        <v>0.41244199999999864</v>
      </c>
      <c r="AO498">
        <f t="shared" si="301"/>
        <v>1</v>
      </c>
      <c r="AP498" s="3">
        <f t="shared" si="302"/>
        <v>2.6258449999999982</v>
      </c>
      <c r="AQ498" s="3">
        <f t="shared" si="303"/>
        <v>0.41244199999999864</v>
      </c>
      <c r="AR498">
        <f t="shared" si="304"/>
        <v>1</v>
      </c>
    </row>
    <row r="499" spans="4:44" x14ac:dyDescent="0.25">
      <c r="D499" s="1">
        <v>42020</v>
      </c>
      <c r="E499" s="2">
        <v>101.94614300000001</v>
      </c>
      <c r="F499" s="2">
        <v>193.40029699999999</v>
      </c>
      <c r="G499" s="2">
        <f t="shared" si="267"/>
        <v>-0.79833499999999447</v>
      </c>
      <c r="H499" s="2">
        <f t="shared" si="268"/>
        <v>2.5034709999999905</v>
      </c>
      <c r="I499" s="4">
        <f t="shared" si="269"/>
        <v>-0.86071426963548747</v>
      </c>
      <c r="J499" s="4">
        <f t="shared" si="270"/>
        <v>2.4022500610193074</v>
      </c>
      <c r="K499" s="4">
        <f t="shared" si="271"/>
        <v>17.88496549065248</v>
      </c>
      <c r="L499" s="4">
        <f t="shared" si="272"/>
        <v>4.2290620107362438</v>
      </c>
      <c r="M499" s="4">
        <f t="shared" si="273"/>
        <v>0.47291810688106156</v>
      </c>
      <c r="N499" s="4">
        <f t="shared" si="274"/>
        <v>6.7095460744790156E-2</v>
      </c>
      <c r="O499" s="3">
        <f t="shared" si="275"/>
        <v>-0.79833499999999447</v>
      </c>
      <c r="P499" s="3">
        <f t="shared" si="276"/>
        <v>2.5034709999999905</v>
      </c>
      <c r="Q499">
        <f t="shared" si="277"/>
        <v>1</v>
      </c>
      <c r="R499" s="3">
        <f t="shared" si="278"/>
        <v>-0.79833499999999447</v>
      </c>
      <c r="S499" s="3">
        <f t="shared" si="279"/>
        <v>2.5034709999999905</v>
      </c>
      <c r="T499">
        <f t="shared" si="280"/>
        <v>1</v>
      </c>
      <c r="U499" s="3">
        <f t="shared" si="281"/>
        <v>-0.79833499999999447</v>
      </c>
      <c r="V499" s="3">
        <f t="shared" si="282"/>
        <v>2.5034709999999905</v>
      </c>
      <c r="W499">
        <f t="shared" si="283"/>
        <v>1</v>
      </c>
      <c r="X499" s="3">
        <f t="shared" si="284"/>
        <v>-0.79833499999999447</v>
      </c>
      <c r="Y499" s="3">
        <f t="shared" si="285"/>
        <v>2.5034709999999905</v>
      </c>
      <c r="Z499">
        <f t="shared" si="286"/>
        <v>1</v>
      </c>
      <c r="AA499" s="3">
        <f t="shared" si="287"/>
        <v>-0.79833499999999447</v>
      </c>
      <c r="AB499" s="3">
        <f t="shared" si="288"/>
        <v>2.5034709999999905</v>
      </c>
      <c r="AC499">
        <f t="shared" si="289"/>
        <v>1</v>
      </c>
      <c r="AD499" s="3">
        <f t="shared" si="290"/>
        <v>-0.79833499999999447</v>
      </c>
      <c r="AE499" s="3">
        <f t="shared" si="291"/>
        <v>2.5034709999999905</v>
      </c>
      <c r="AF499">
        <f t="shared" si="292"/>
        <v>1</v>
      </c>
      <c r="AG499" s="3">
        <f t="shared" si="293"/>
        <v>-0.79833499999999447</v>
      </c>
      <c r="AH499" s="3">
        <f t="shared" si="294"/>
        <v>2.5034709999999905</v>
      </c>
      <c r="AI499">
        <f t="shared" si="295"/>
        <v>1</v>
      </c>
      <c r="AJ499" s="3">
        <f t="shared" si="296"/>
        <v>-0.79833499999999447</v>
      </c>
      <c r="AK499" s="3">
        <f t="shared" si="297"/>
        <v>2.5034709999999905</v>
      </c>
      <c r="AL499">
        <f t="shared" si="298"/>
        <v>1</v>
      </c>
      <c r="AM499" s="3">
        <f t="shared" si="299"/>
        <v>-0.79833499999999447</v>
      </c>
      <c r="AN499" s="3">
        <f t="shared" si="300"/>
        <v>2.5034709999999905</v>
      </c>
      <c r="AO499">
        <f t="shared" si="301"/>
        <v>1</v>
      </c>
      <c r="AP499" s="3">
        <f t="shared" si="302"/>
        <v>-0.79833499999999447</v>
      </c>
      <c r="AQ499" s="3">
        <f t="shared" si="303"/>
        <v>2.5034709999999905</v>
      </c>
      <c r="AR499">
        <f t="shared" si="304"/>
        <v>1</v>
      </c>
    </row>
    <row r="500" spans="4:44" x14ac:dyDescent="0.25">
      <c r="D500" s="1">
        <v>42019</v>
      </c>
      <c r="E500" s="2">
        <v>102.744478</v>
      </c>
      <c r="F500" s="2">
        <v>190.896826</v>
      </c>
      <c r="G500" s="2">
        <f t="shared" si="267"/>
        <v>-2.8663070000000062</v>
      </c>
      <c r="H500" s="2">
        <f t="shared" si="268"/>
        <v>-1.7648949999999957</v>
      </c>
      <c r="I500" s="4">
        <f t="shared" si="269"/>
        <v>-2.9286862696354992</v>
      </c>
      <c r="J500" s="4">
        <f t="shared" si="270"/>
        <v>-1.866115938980679</v>
      </c>
      <c r="K500" s="4">
        <f t="shared" si="271"/>
        <v>10.666357717672518</v>
      </c>
      <c r="L500" s="4">
        <f t="shared" si="272"/>
        <v>3.2659390254064018</v>
      </c>
      <c r="M500" s="4">
        <f t="shared" si="273"/>
        <v>0.61238130425632398</v>
      </c>
      <c r="N500" s="4">
        <f t="shared" si="274"/>
        <v>0.11250325854080293</v>
      </c>
      <c r="O500" s="3">
        <f t="shared" si="275"/>
        <v>-2.8663070000000062</v>
      </c>
      <c r="P500" s="3">
        <f t="shared" si="276"/>
        <v>-1.7648949999999957</v>
      </c>
      <c r="Q500">
        <f t="shared" si="277"/>
        <v>1</v>
      </c>
      <c r="R500" s="3">
        <f t="shared" si="278"/>
        <v>-2.8663070000000062</v>
      </c>
      <c r="S500" s="3">
        <f t="shared" si="279"/>
        <v>-1.7648949999999957</v>
      </c>
      <c r="T500">
        <f t="shared" si="280"/>
        <v>1</v>
      </c>
      <c r="U500" s="3">
        <f t="shared" si="281"/>
        <v>-2.8663070000000062</v>
      </c>
      <c r="V500" s="3">
        <f t="shared" si="282"/>
        <v>-1.7648949999999957</v>
      </c>
      <c r="W500">
        <f t="shared" si="283"/>
        <v>1</v>
      </c>
      <c r="X500" s="3">
        <f t="shared" si="284"/>
        <v>-2.8663070000000062</v>
      </c>
      <c r="Y500" s="3">
        <f t="shared" si="285"/>
        <v>-1.7648949999999957</v>
      </c>
      <c r="Z500">
        <f t="shared" si="286"/>
        <v>1</v>
      </c>
      <c r="AA500" s="3">
        <f t="shared" si="287"/>
        <v>-2.8663070000000062</v>
      </c>
      <c r="AB500" s="3">
        <f t="shared" si="288"/>
        <v>-1.7648949999999957</v>
      </c>
      <c r="AC500">
        <f t="shared" si="289"/>
        <v>1</v>
      </c>
      <c r="AD500" s="3">
        <f t="shared" si="290"/>
        <v>-2.8663070000000062</v>
      </c>
      <c r="AE500" s="3">
        <f t="shared" si="291"/>
        <v>-1.7648949999999957</v>
      </c>
      <c r="AF500">
        <f t="shared" si="292"/>
        <v>1</v>
      </c>
      <c r="AG500" s="3">
        <f t="shared" si="293"/>
        <v>-2.8663070000000062</v>
      </c>
      <c r="AH500" s="3">
        <f t="shared" si="294"/>
        <v>-1.7648949999999957</v>
      </c>
      <c r="AI500">
        <f t="shared" si="295"/>
        <v>1</v>
      </c>
      <c r="AJ500" s="3">
        <f t="shared" si="296"/>
        <v>-2.8663070000000062</v>
      </c>
      <c r="AK500" s="3">
        <f t="shared" si="297"/>
        <v>-1.7648949999999957</v>
      </c>
      <c r="AL500">
        <f t="shared" si="298"/>
        <v>1</v>
      </c>
      <c r="AM500" s="3">
        <f t="shared" si="299"/>
        <v>-2.8663070000000062</v>
      </c>
      <c r="AN500" s="3">
        <f t="shared" si="300"/>
        <v>-1.7648949999999957</v>
      </c>
      <c r="AO500">
        <f t="shared" si="301"/>
        <v>1</v>
      </c>
      <c r="AP500" s="3">
        <f t="shared" si="302"/>
        <v>-2.8663070000000062</v>
      </c>
      <c r="AQ500" s="3">
        <f t="shared" si="303"/>
        <v>-1.7648949999999957</v>
      </c>
      <c r="AR500">
        <f t="shared" si="304"/>
        <v>1</v>
      </c>
    </row>
    <row r="501" spans="4:44" x14ac:dyDescent="0.25">
      <c r="D501" s="1">
        <v>42018</v>
      </c>
      <c r="E501" s="2">
        <v>105.61078500000001</v>
      </c>
      <c r="F501" s="2">
        <v>192.661721</v>
      </c>
      <c r="G501" s="2">
        <f t="shared" si="267"/>
        <v>-0.40397399999999095</v>
      </c>
      <c r="H501" s="2">
        <f t="shared" si="268"/>
        <v>-1.1702060000000074</v>
      </c>
      <c r="I501" s="4">
        <f t="shared" si="269"/>
        <v>-0.46635326963548396</v>
      </c>
      <c r="J501" s="4">
        <f t="shared" si="270"/>
        <v>-1.2714269389806907</v>
      </c>
      <c r="K501" s="4">
        <f t="shared" si="271"/>
        <v>1.9889334544463817</v>
      </c>
      <c r="L501" s="4">
        <f t="shared" si="272"/>
        <v>1.4102955202532488</v>
      </c>
      <c r="M501" s="4">
        <f t="shared" si="273"/>
        <v>1</v>
      </c>
      <c r="N501" s="4">
        <f t="shared" si="274"/>
        <v>1</v>
      </c>
      <c r="O501" s="3">
        <f t="shared" si="275"/>
        <v>-0.40397399999999095</v>
      </c>
      <c r="P501" s="3">
        <f t="shared" si="276"/>
        <v>-1.1702060000000074</v>
      </c>
      <c r="Q501">
        <f t="shared" si="277"/>
        <v>1</v>
      </c>
      <c r="R501" s="3">
        <f t="shared" si="278"/>
        <v>-0.40397399999999095</v>
      </c>
      <c r="S501" s="3">
        <f t="shared" si="279"/>
        <v>-1.1702060000000074</v>
      </c>
      <c r="T501">
        <f t="shared" si="280"/>
        <v>1</v>
      </c>
      <c r="U501" s="3">
        <f t="shared" si="281"/>
        <v>0</v>
      </c>
      <c r="V501" s="3">
        <f t="shared" si="282"/>
        <v>0</v>
      </c>
      <c r="W501">
        <f t="shared" si="283"/>
        <v>0</v>
      </c>
      <c r="X501" s="3">
        <f t="shared" si="284"/>
        <v>0</v>
      </c>
      <c r="Y501" s="3">
        <f t="shared" si="285"/>
        <v>0</v>
      </c>
      <c r="Z501">
        <f t="shared" si="286"/>
        <v>0</v>
      </c>
      <c r="AA501" s="3">
        <f t="shared" si="287"/>
        <v>0</v>
      </c>
      <c r="AB501" s="3">
        <f t="shared" si="288"/>
        <v>0</v>
      </c>
      <c r="AC501">
        <f t="shared" si="289"/>
        <v>0</v>
      </c>
      <c r="AD501" s="3">
        <f t="shared" si="290"/>
        <v>0</v>
      </c>
      <c r="AE501" s="3">
        <f t="shared" si="291"/>
        <v>0</v>
      </c>
      <c r="AF501">
        <f t="shared" si="292"/>
        <v>0</v>
      </c>
      <c r="AG501" s="3">
        <f t="shared" si="293"/>
        <v>0</v>
      </c>
      <c r="AH501" s="3">
        <f t="shared" si="294"/>
        <v>0</v>
      </c>
      <c r="AI501">
        <f t="shared" si="295"/>
        <v>0</v>
      </c>
      <c r="AJ501" s="3">
        <f t="shared" si="296"/>
        <v>0</v>
      </c>
      <c r="AK501" s="3">
        <f t="shared" si="297"/>
        <v>0</v>
      </c>
      <c r="AL501">
        <f t="shared" si="298"/>
        <v>0</v>
      </c>
      <c r="AM501" s="3">
        <f t="shared" si="299"/>
        <v>0</v>
      </c>
      <c r="AN501" s="3">
        <f t="shared" si="300"/>
        <v>0</v>
      </c>
      <c r="AO501">
        <f t="shared" si="301"/>
        <v>0</v>
      </c>
      <c r="AP501" s="3">
        <f t="shared" si="302"/>
        <v>0</v>
      </c>
      <c r="AQ501" s="3">
        <f t="shared" si="303"/>
        <v>0</v>
      </c>
      <c r="AR501">
        <f t="shared" si="304"/>
        <v>0</v>
      </c>
    </row>
    <row r="502" spans="4:44" x14ac:dyDescent="0.25">
      <c r="D502" s="1">
        <v>42017</v>
      </c>
      <c r="E502" s="2">
        <v>106.014759</v>
      </c>
      <c r="F502" s="2">
        <v>193.83192700000001</v>
      </c>
      <c r="G502" s="2">
        <f t="shared" si="267"/>
        <v>0.93299299999999619</v>
      </c>
      <c r="H502" s="2">
        <f t="shared" si="268"/>
        <v>-0.54672700000000418</v>
      </c>
      <c r="I502" s="4">
        <f t="shared" si="269"/>
        <v>0.87061373036450318</v>
      </c>
      <c r="J502" s="4">
        <f t="shared" si="270"/>
        <v>-0.64794793898068737</v>
      </c>
      <c r="K502" s="4">
        <f t="shared" si="271"/>
        <v>3.8728057712217678</v>
      </c>
      <c r="L502" s="4">
        <f t="shared" si="272"/>
        <v>1.9679445549155514</v>
      </c>
      <c r="M502" s="4">
        <f t="shared" si="273"/>
        <v>1</v>
      </c>
      <c r="N502" s="4">
        <f t="shared" si="274"/>
        <v>0.30985287434681541</v>
      </c>
      <c r="O502" s="3">
        <f t="shared" si="275"/>
        <v>0.93299299999999619</v>
      </c>
      <c r="P502" s="3">
        <f t="shared" si="276"/>
        <v>-0.54672700000000418</v>
      </c>
      <c r="Q502">
        <f t="shared" si="277"/>
        <v>1</v>
      </c>
      <c r="R502" s="3">
        <f t="shared" si="278"/>
        <v>0.93299299999999619</v>
      </c>
      <c r="S502" s="3">
        <f t="shared" si="279"/>
        <v>-0.54672700000000418</v>
      </c>
      <c r="T502">
        <f t="shared" si="280"/>
        <v>1</v>
      </c>
      <c r="U502" s="3">
        <f t="shared" si="281"/>
        <v>0.93299299999999619</v>
      </c>
      <c r="V502" s="3">
        <f t="shared" si="282"/>
        <v>-0.54672700000000418</v>
      </c>
      <c r="W502">
        <f t="shared" si="283"/>
        <v>1</v>
      </c>
      <c r="X502" s="3">
        <f t="shared" si="284"/>
        <v>0.93299299999999619</v>
      </c>
      <c r="Y502" s="3">
        <f t="shared" si="285"/>
        <v>-0.54672700000000418</v>
      </c>
      <c r="Z502">
        <f t="shared" si="286"/>
        <v>1</v>
      </c>
      <c r="AA502" s="3">
        <f t="shared" si="287"/>
        <v>0</v>
      </c>
      <c r="AB502" s="3">
        <f t="shared" si="288"/>
        <v>0</v>
      </c>
      <c r="AC502">
        <f t="shared" si="289"/>
        <v>0</v>
      </c>
      <c r="AD502" s="3">
        <f t="shared" si="290"/>
        <v>0</v>
      </c>
      <c r="AE502" s="3">
        <f t="shared" si="291"/>
        <v>0</v>
      </c>
      <c r="AF502">
        <f t="shared" si="292"/>
        <v>0</v>
      </c>
      <c r="AG502" s="3">
        <f t="shared" si="293"/>
        <v>0</v>
      </c>
      <c r="AH502" s="3">
        <f t="shared" si="294"/>
        <v>0</v>
      </c>
      <c r="AI502">
        <f t="shared" si="295"/>
        <v>0</v>
      </c>
      <c r="AJ502" s="3">
        <f t="shared" si="296"/>
        <v>0</v>
      </c>
      <c r="AK502" s="3">
        <f t="shared" si="297"/>
        <v>0</v>
      </c>
      <c r="AL502">
        <f t="shared" si="298"/>
        <v>0</v>
      </c>
      <c r="AM502" s="3">
        <f t="shared" si="299"/>
        <v>0</v>
      </c>
      <c r="AN502" s="3">
        <f t="shared" si="300"/>
        <v>0</v>
      </c>
      <c r="AO502">
        <f t="shared" si="301"/>
        <v>0</v>
      </c>
      <c r="AP502" s="3">
        <f t="shared" si="302"/>
        <v>0</v>
      </c>
      <c r="AQ502" s="3">
        <f t="shared" si="303"/>
        <v>0</v>
      </c>
      <c r="AR502">
        <f t="shared" si="304"/>
        <v>0</v>
      </c>
    </row>
    <row r="503" spans="4:44" x14ac:dyDescent="0.25">
      <c r="D503" s="1">
        <v>42016</v>
      </c>
      <c r="E503" s="2">
        <v>105.081766</v>
      </c>
      <c r="F503" s="2">
        <v>194.37865400000001</v>
      </c>
      <c r="G503" s="2">
        <f t="shared" si="267"/>
        <v>-2.6546989999999937</v>
      </c>
      <c r="H503" s="2">
        <f t="shared" si="268"/>
        <v>-1.5347009999999841</v>
      </c>
      <c r="I503" s="4">
        <f t="shared" si="269"/>
        <v>-2.7170782696354867</v>
      </c>
      <c r="J503" s="4">
        <f t="shared" si="270"/>
        <v>-1.6359219389806674</v>
      </c>
      <c r="K503" s="4">
        <f t="shared" si="271"/>
        <v>9.244320120360431</v>
      </c>
      <c r="L503" s="4">
        <f t="shared" si="272"/>
        <v>3.0404473553015898</v>
      </c>
      <c r="M503" s="4">
        <f t="shared" si="273"/>
        <v>0.65779793769907746</v>
      </c>
      <c r="N503" s="4">
        <f t="shared" si="274"/>
        <v>0.12980943805234782</v>
      </c>
      <c r="O503" s="3">
        <f t="shared" si="275"/>
        <v>-2.6546989999999937</v>
      </c>
      <c r="P503" s="3">
        <f t="shared" si="276"/>
        <v>-1.5347009999999841</v>
      </c>
      <c r="Q503">
        <f t="shared" si="277"/>
        <v>1</v>
      </c>
      <c r="R503" s="3">
        <f t="shared" si="278"/>
        <v>-2.6546989999999937</v>
      </c>
      <c r="S503" s="3">
        <f t="shared" si="279"/>
        <v>-1.5347009999999841</v>
      </c>
      <c r="T503">
        <f t="shared" si="280"/>
        <v>1</v>
      </c>
      <c r="U503" s="3">
        <f t="shared" si="281"/>
        <v>-2.6546989999999937</v>
      </c>
      <c r="V503" s="3">
        <f t="shared" si="282"/>
        <v>-1.5347009999999841</v>
      </c>
      <c r="W503">
        <f t="shared" si="283"/>
        <v>1</v>
      </c>
      <c r="X503" s="3">
        <f t="shared" si="284"/>
        <v>-2.6546989999999937</v>
      </c>
      <c r="Y503" s="3">
        <f t="shared" si="285"/>
        <v>-1.5347009999999841</v>
      </c>
      <c r="Z503">
        <f t="shared" si="286"/>
        <v>1</v>
      </c>
      <c r="AA503" s="3">
        <f t="shared" si="287"/>
        <v>-2.6546989999999937</v>
      </c>
      <c r="AB503" s="3">
        <f t="shared" si="288"/>
        <v>-1.5347009999999841</v>
      </c>
      <c r="AC503">
        <f t="shared" si="289"/>
        <v>1</v>
      </c>
      <c r="AD503" s="3">
        <f t="shared" si="290"/>
        <v>-2.6546989999999937</v>
      </c>
      <c r="AE503" s="3">
        <f t="shared" si="291"/>
        <v>-1.5347009999999841</v>
      </c>
      <c r="AF503">
        <f t="shared" si="292"/>
        <v>1</v>
      </c>
      <c r="AG503" s="3">
        <f t="shared" si="293"/>
        <v>-2.6546989999999937</v>
      </c>
      <c r="AH503" s="3">
        <f t="shared" si="294"/>
        <v>-1.5347009999999841</v>
      </c>
      <c r="AI503">
        <f t="shared" si="295"/>
        <v>1</v>
      </c>
      <c r="AJ503" s="3">
        <f t="shared" si="296"/>
        <v>-2.6546989999999937</v>
      </c>
      <c r="AK503" s="3">
        <f t="shared" si="297"/>
        <v>-1.5347009999999841</v>
      </c>
      <c r="AL503">
        <f t="shared" si="298"/>
        <v>1</v>
      </c>
      <c r="AM503" s="3">
        <f t="shared" si="299"/>
        <v>-2.6546989999999937</v>
      </c>
      <c r="AN503" s="3">
        <f t="shared" si="300"/>
        <v>-1.5347009999999841</v>
      </c>
      <c r="AO503">
        <f t="shared" si="301"/>
        <v>1</v>
      </c>
      <c r="AP503" s="3">
        <f t="shared" si="302"/>
        <v>-2.6546989999999937</v>
      </c>
      <c r="AQ503" s="3">
        <f t="shared" si="303"/>
        <v>-1.5347009999999841</v>
      </c>
      <c r="AR503">
        <f t="shared" si="304"/>
        <v>1</v>
      </c>
    </row>
    <row r="504" spans="4:44" x14ac:dyDescent="0.25">
      <c r="D504" s="1">
        <v>42013</v>
      </c>
      <c r="E504" s="2">
        <v>107.736465</v>
      </c>
      <c r="F504" s="2">
        <v>195.913355</v>
      </c>
      <c r="G504" s="2">
        <f t="shared" si="267"/>
        <v>0.1154239999999902</v>
      </c>
      <c r="H504" s="2">
        <f t="shared" si="268"/>
        <v>-1.5826470000000086</v>
      </c>
      <c r="I504" s="4">
        <f t="shared" si="269"/>
        <v>5.3044730364497188E-2</v>
      </c>
      <c r="J504" s="4">
        <f t="shared" si="270"/>
        <v>-1.6838679389806919</v>
      </c>
      <c r="K504" s="4">
        <f t="shared" si="271"/>
        <v>5.61417418004502</v>
      </c>
      <c r="L504" s="4">
        <f t="shared" si="272"/>
        <v>2.3694248627135277</v>
      </c>
      <c r="M504" s="4">
        <f t="shared" si="273"/>
        <v>0.84408669440125117</v>
      </c>
      <c r="N504" s="4">
        <f t="shared" si="274"/>
        <v>0.21374470429956935</v>
      </c>
      <c r="O504" s="3">
        <f t="shared" si="275"/>
        <v>0.1154239999999902</v>
      </c>
      <c r="P504" s="3">
        <f t="shared" si="276"/>
        <v>-1.5826470000000086</v>
      </c>
      <c r="Q504">
        <f t="shared" si="277"/>
        <v>1</v>
      </c>
      <c r="R504" s="3">
        <f t="shared" si="278"/>
        <v>0.1154239999999902</v>
      </c>
      <c r="S504" s="3">
        <f t="shared" si="279"/>
        <v>-1.5826470000000086</v>
      </c>
      <c r="T504">
        <f t="shared" si="280"/>
        <v>1</v>
      </c>
      <c r="U504" s="3">
        <f t="shared" si="281"/>
        <v>0.1154239999999902</v>
      </c>
      <c r="V504" s="3">
        <f t="shared" si="282"/>
        <v>-1.5826470000000086</v>
      </c>
      <c r="W504">
        <f t="shared" si="283"/>
        <v>1</v>
      </c>
      <c r="X504" s="3">
        <f t="shared" si="284"/>
        <v>0.1154239999999902</v>
      </c>
      <c r="Y504" s="3">
        <f t="shared" si="285"/>
        <v>-1.5826470000000086</v>
      </c>
      <c r="Z504">
        <f t="shared" si="286"/>
        <v>1</v>
      </c>
      <c r="AA504" s="3">
        <f t="shared" si="287"/>
        <v>0.1154239999999902</v>
      </c>
      <c r="AB504" s="3">
        <f t="shared" si="288"/>
        <v>-1.5826470000000086</v>
      </c>
      <c r="AC504">
        <f t="shared" si="289"/>
        <v>1</v>
      </c>
      <c r="AD504" s="3">
        <f t="shared" si="290"/>
        <v>0.1154239999999902</v>
      </c>
      <c r="AE504" s="3">
        <f t="shared" si="291"/>
        <v>-1.5826470000000086</v>
      </c>
      <c r="AF504">
        <f t="shared" si="292"/>
        <v>1</v>
      </c>
      <c r="AG504" s="3">
        <f t="shared" si="293"/>
        <v>0</v>
      </c>
      <c r="AH504" s="3">
        <f t="shared" si="294"/>
        <v>0</v>
      </c>
      <c r="AI504">
        <f t="shared" si="295"/>
        <v>0</v>
      </c>
      <c r="AJ504" s="3">
        <f t="shared" si="296"/>
        <v>0</v>
      </c>
      <c r="AK504" s="3">
        <f t="shared" si="297"/>
        <v>0</v>
      </c>
      <c r="AL504">
        <f t="shared" si="298"/>
        <v>0</v>
      </c>
      <c r="AM504" s="3">
        <f t="shared" si="299"/>
        <v>0</v>
      </c>
      <c r="AN504" s="3">
        <f t="shared" si="300"/>
        <v>0</v>
      </c>
      <c r="AO504">
        <f t="shared" si="301"/>
        <v>0</v>
      </c>
      <c r="AP504" s="3">
        <f t="shared" si="302"/>
        <v>0</v>
      </c>
      <c r="AQ504" s="3">
        <f t="shared" si="303"/>
        <v>0</v>
      </c>
      <c r="AR504">
        <f t="shared" si="304"/>
        <v>0</v>
      </c>
    </row>
    <row r="505" spans="4:44" x14ac:dyDescent="0.25">
      <c r="D505" s="1">
        <v>42012</v>
      </c>
      <c r="E505" s="2">
        <v>107.62104100000001</v>
      </c>
      <c r="F505" s="2">
        <v>197.496002</v>
      </c>
      <c r="G505" s="2">
        <f t="shared" si="267"/>
        <v>3.9820449999999994</v>
      </c>
      <c r="H505" s="2">
        <f t="shared" si="268"/>
        <v>3.4434669999999983</v>
      </c>
      <c r="I505" s="4">
        <f t="shared" si="269"/>
        <v>3.9196657303645064</v>
      </c>
      <c r="J505" s="4">
        <f t="shared" si="270"/>
        <v>3.3422460610193152</v>
      </c>
      <c r="K505" s="4">
        <f t="shared" si="271"/>
        <v>19.865943010932135</v>
      </c>
      <c r="L505" s="4">
        <f t="shared" si="272"/>
        <v>4.4571227278292591</v>
      </c>
      <c r="M505" s="4">
        <f t="shared" si="273"/>
        <v>0.44871997522357993</v>
      </c>
      <c r="N505" s="4">
        <f t="shared" si="274"/>
        <v>6.0404884849395046E-2</v>
      </c>
      <c r="O505" s="3">
        <f t="shared" si="275"/>
        <v>3.9820449999999994</v>
      </c>
      <c r="P505" s="3">
        <f t="shared" si="276"/>
        <v>3.4434669999999983</v>
      </c>
      <c r="Q505">
        <f t="shared" si="277"/>
        <v>1</v>
      </c>
      <c r="R505" s="3">
        <f t="shared" si="278"/>
        <v>3.9820449999999994</v>
      </c>
      <c r="S505" s="3">
        <f t="shared" si="279"/>
        <v>3.4434669999999983</v>
      </c>
      <c r="T505">
        <f t="shared" si="280"/>
        <v>1</v>
      </c>
      <c r="U505" s="3">
        <f t="shared" si="281"/>
        <v>3.9820449999999994</v>
      </c>
      <c r="V505" s="3">
        <f t="shared" si="282"/>
        <v>3.4434669999999983</v>
      </c>
      <c r="W505">
        <f t="shared" si="283"/>
        <v>1</v>
      </c>
      <c r="X505" s="3">
        <f t="shared" si="284"/>
        <v>3.9820449999999994</v>
      </c>
      <c r="Y505" s="3">
        <f t="shared" si="285"/>
        <v>3.4434669999999983</v>
      </c>
      <c r="Z505">
        <f t="shared" si="286"/>
        <v>1</v>
      </c>
      <c r="AA505" s="3">
        <f t="shared" si="287"/>
        <v>3.9820449999999994</v>
      </c>
      <c r="AB505" s="3">
        <f t="shared" si="288"/>
        <v>3.4434669999999983</v>
      </c>
      <c r="AC505">
        <f t="shared" si="289"/>
        <v>1</v>
      </c>
      <c r="AD505" s="3">
        <f t="shared" si="290"/>
        <v>3.9820449999999994</v>
      </c>
      <c r="AE505" s="3">
        <f t="shared" si="291"/>
        <v>3.4434669999999983</v>
      </c>
      <c r="AF505">
        <f t="shared" si="292"/>
        <v>1</v>
      </c>
      <c r="AG505" s="3">
        <f t="shared" si="293"/>
        <v>3.9820449999999994</v>
      </c>
      <c r="AH505" s="3">
        <f t="shared" si="294"/>
        <v>3.4434669999999983</v>
      </c>
      <c r="AI505">
        <f t="shared" si="295"/>
        <v>1</v>
      </c>
      <c r="AJ505" s="3">
        <f t="shared" si="296"/>
        <v>3.9820449999999994</v>
      </c>
      <c r="AK505" s="3">
        <f t="shared" si="297"/>
        <v>3.4434669999999983</v>
      </c>
      <c r="AL505">
        <f t="shared" si="298"/>
        <v>1</v>
      </c>
      <c r="AM505" s="3">
        <f t="shared" si="299"/>
        <v>3.9820449999999994</v>
      </c>
      <c r="AN505" s="3">
        <f t="shared" si="300"/>
        <v>3.4434669999999983</v>
      </c>
      <c r="AO505">
        <f t="shared" si="301"/>
        <v>1</v>
      </c>
      <c r="AP505" s="3">
        <f t="shared" si="302"/>
        <v>3.9820449999999994</v>
      </c>
      <c r="AQ505" s="3">
        <f t="shared" si="303"/>
        <v>3.4434669999999983</v>
      </c>
      <c r="AR505">
        <f t="shared" si="304"/>
        <v>1</v>
      </c>
    </row>
    <row r="506" spans="4:44" x14ac:dyDescent="0.25">
      <c r="D506" s="1">
        <v>42011</v>
      </c>
      <c r="E506" s="2">
        <v>103.63899600000001</v>
      </c>
      <c r="F506" s="2">
        <v>194.05253500000001</v>
      </c>
    </row>
  </sheetData>
  <sortState ref="X2:X252">
    <sortCondition ref="X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Roy DeMeo</cp:lastModifiedBy>
  <dcterms:created xsi:type="dcterms:W3CDTF">2015-03-07T02:51:20Z</dcterms:created>
  <dcterms:modified xsi:type="dcterms:W3CDTF">2017-02-11T02:41:27Z</dcterms:modified>
</cp:coreProperties>
</file>