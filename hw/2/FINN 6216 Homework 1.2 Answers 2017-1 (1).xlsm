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95" windowHeight="10785"/>
  </bookViews>
  <sheets>
    <sheet name="Sheet1" sheetId="1" r:id="rId1"/>
    <sheet name="Sheet2" sheetId="2" r:id="rId2"/>
  </sheets>
  <functionGroups builtInGroupCount="17"/>
  <definedNames>
    <definedName name="solver_adj" localSheetId="0" hidden="1">Sheet1!#REF!</definedName>
    <definedName name="solver_adj" localSheetId="1" hidden="1">Sheet2!$B$27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Sheet1!#REF!</definedName>
    <definedName name="solver_opt" localSheetId="1" hidden="1">Sheet2!$B$28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456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" i="1" l="1"/>
  <c r="AH5" i="1"/>
  <c r="AH6" i="1"/>
  <c r="AH7" i="1"/>
  <c r="AH8" i="1"/>
  <c r="AH9" i="1"/>
  <c r="AH10" i="1"/>
  <c r="AH11" i="1"/>
  <c r="AH12" i="1"/>
  <c r="AH13" i="1"/>
  <c r="AH14" i="1"/>
  <c r="AH15" i="1"/>
  <c r="AH3" i="1"/>
  <c r="AR23" i="1" l="1"/>
  <c r="AH24" i="1"/>
  <c r="AR24" i="1" s="1"/>
  <c r="AK23" i="1"/>
  <c r="AI23" i="1"/>
  <c r="AG12" i="1"/>
  <c r="AL23" i="1"/>
  <c r="AJ23" i="1"/>
  <c r="AH25" i="1" l="1"/>
  <c r="AK24" i="1"/>
  <c r="AI24" i="1"/>
  <c r="AJ24" i="1"/>
  <c r="AL24" i="1"/>
  <c r="AO23" i="1"/>
  <c r="AM23" i="1"/>
  <c r="AN23" i="1"/>
  <c r="AN24" i="1"/>
  <c r="M3" i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N2" i="1"/>
  <c r="M2" i="1"/>
  <c r="P2" i="1" l="1"/>
  <c r="O2" i="1"/>
  <c r="O504" i="1"/>
  <c r="O500" i="1"/>
  <c r="O496" i="1"/>
  <c r="O492" i="1"/>
  <c r="O488" i="1"/>
  <c r="O484" i="1"/>
  <c r="O480" i="1"/>
  <c r="O476" i="1"/>
  <c r="O472" i="1"/>
  <c r="O468" i="1"/>
  <c r="O464" i="1"/>
  <c r="O460" i="1"/>
  <c r="O456" i="1"/>
  <c r="O452" i="1"/>
  <c r="O448" i="1"/>
  <c r="O444" i="1"/>
  <c r="O440" i="1"/>
  <c r="O436" i="1"/>
  <c r="O432" i="1"/>
  <c r="O505" i="1"/>
  <c r="O503" i="1"/>
  <c r="O501" i="1"/>
  <c r="O499" i="1"/>
  <c r="O497" i="1"/>
  <c r="O495" i="1"/>
  <c r="O493" i="1"/>
  <c r="O491" i="1"/>
  <c r="O489" i="1"/>
  <c r="O487" i="1"/>
  <c r="O485" i="1"/>
  <c r="O483" i="1"/>
  <c r="O481" i="1"/>
  <c r="O479" i="1"/>
  <c r="O477" i="1"/>
  <c r="O475" i="1"/>
  <c r="O473" i="1"/>
  <c r="O471" i="1"/>
  <c r="O469" i="1"/>
  <c r="O467" i="1"/>
  <c r="O465" i="1"/>
  <c r="O463" i="1"/>
  <c r="O461" i="1"/>
  <c r="O459" i="1"/>
  <c r="O457" i="1"/>
  <c r="O455" i="1"/>
  <c r="O453" i="1"/>
  <c r="O451" i="1"/>
  <c r="O449" i="1"/>
  <c r="O447" i="1"/>
  <c r="O445" i="1"/>
  <c r="O443" i="1"/>
  <c r="O441" i="1"/>
  <c r="O439" i="1"/>
  <c r="O437" i="1"/>
  <c r="O435" i="1"/>
  <c r="O433" i="1"/>
  <c r="O431" i="1"/>
  <c r="O429" i="1"/>
  <c r="O502" i="1"/>
  <c r="O498" i="1"/>
  <c r="O494" i="1"/>
  <c r="O490" i="1"/>
  <c r="O486" i="1"/>
  <c r="O482" i="1"/>
  <c r="O478" i="1"/>
  <c r="O474" i="1"/>
  <c r="O470" i="1"/>
  <c r="O466" i="1"/>
  <c r="O462" i="1"/>
  <c r="O458" i="1"/>
  <c r="O454" i="1"/>
  <c r="O450" i="1"/>
  <c r="O446" i="1"/>
  <c r="O442" i="1"/>
  <c r="O438" i="1"/>
  <c r="O434" i="1"/>
  <c r="O430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AR25" i="1"/>
  <c r="AH26" i="1"/>
  <c r="AP23" i="1"/>
  <c r="AS23" i="1" s="1"/>
  <c r="AO24" i="1"/>
  <c r="AM24" i="1"/>
  <c r="AK25" i="1"/>
  <c r="AI25" i="1"/>
  <c r="AL25" i="1"/>
  <c r="AJ25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B62" i="1"/>
  <c r="B5" i="1"/>
  <c r="G3" i="1"/>
  <c r="H3" i="1"/>
  <c r="G4" i="1"/>
  <c r="H4" i="1"/>
  <c r="G5" i="1"/>
  <c r="I5" i="1" s="1"/>
  <c r="H5" i="1"/>
  <c r="G6" i="1"/>
  <c r="H6" i="1"/>
  <c r="G7" i="1"/>
  <c r="H7" i="1"/>
  <c r="G8" i="1"/>
  <c r="H8" i="1"/>
  <c r="G9" i="1"/>
  <c r="I9" i="1" s="1"/>
  <c r="H9" i="1"/>
  <c r="G10" i="1"/>
  <c r="H10" i="1"/>
  <c r="G11" i="1"/>
  <c r="H11" i="1"/>
  <c r="G12" i="1"/>
  <c r="H12" i="1"/>
  <c r="G13" i="1"/>
  <c r="I13" i="1" s="1"/>
  <c r="H13" i="1"/>
  <c r="G14" i="1"/>
  <c r="H14" i="1"/>
  <c r="G15" i="1"/>
  <c r="H15" i="1"/>
  <c r="G16" i="1"/>
  <c r="H16" i="1"/>
  <c r="G17" i="1"/>
  <c r="I17" i="1" s="1"/>
  <c r="H17" i="1"/>
  <c r="G18" i="1"/>
  <c r="H18" i="1"/>
  <c r="G19" i="1"/>
  <c r="H19" i="1"/>
  <c r="G20" i="1"/>
  <c r="H20" i="1"/>
  <c r="G21" i="1"/>
  <c r="I21" i="1" s="1"/>
  <c r="H21" i="1"/>
  <c r="G22" i="1"/>
  <c r="H22" i="1"/>
  <c r="G23" i="1"/>
  <c r="H23" i="1"/>
  <c r="G24" i="1"/>
  <c r="H24" i="1"/>
  <c r="G25" i="1"/>
  <c r="I25" i="1" s="1"/>
  <c r="H25" i="1"/>
  <c r="G26" i="1"/>
  <c r="H26" i="1"/>
  <c r="G27" i="1"/>
  <c r="H27" i="1"/>
  <c r="G28" i="1"/>
  <c r="H28" i="1"/>
  <c r="G29" i="1"/>
  <c r="I29" i="1" s="1"/>
  <c r="H29" i="1"/>
  <c r="G30" i="1"/>
  <c r="H30" i="1"/>
  <c r="G31" i="1"/>
  <c r="H31" i="1"/>
  <c r="G32" i="1"/>
  <c r="H32" i="1"/>
  <c r="G33" i="1"/>
  <c r="I33" i="1" s="1"/>
  <c r="H33" i="1"/>
  <c r="G34" i="1"/>
  <c r="H34" i="1"/>
  <c r="G35" i="1"/>
  <c r="H35" i="1"/>
  <c r="G36" i="1"/>
  <c r="H36" i="1"/>
  <c r="G37" i="1"/>
  <c r="I37" i="1" s="1"/>
  <c r="H37" i="1"/>
  <c r="G38" i="1"/>
  <c r="H38" i="1"/>
  <c r="G39" i="1"/>
  <c r="H39" i="1"/>
  <c r="G40" i="1"/>
  <c r="H40" i="1"/>
  <c r="G41" i="1"/>
  <c r="I41" i="1" s="1"/>
  <c r="H41" i="1"/>
  <c r="G42" i="1"/>
  <c r="H42" i="1"/>
  <c r="G43" i="1"/>
  <c r="H43" i="1"/>
  <c r="G44" i="1"/>
  <c r="H44" i="1"/>
  <c r="G45" i="1"/>
  <c r="I45" i="1" s="1"/>
  <c r="H45" i="1"/>
  <c r="G46" i="1"/>
  <c r="H46" i="1"/>
  <c r="G47" i="1"/>
  <c r="H47" i="1"/>
  <c r="G48" i="1"/>
  <c r="H48" i="1"/>
  <c r="G49" i="1"/>
  <c r="I49" i="1" s="1"/>
  <c r="H49" i="1"/>
  <c r="G50" i="1"/>
  <c r="H50" i="1"/>
  <c r="G51" i="1"/>
  <c r="H51" i="1"/>
  <c r="G52" i="1"/>
  <c r="H52" i="1"/>
  <c r="G53" i="1"/>
  <c r="I53" i="1" s="1"/>
  <c r="H53" i="1"/>
  <c r="G54" i="1"/>
  <c r="H54" i="1"/>
  <c r="G55" i="1"/>
  <c r="H55" i="1"/>
  <c r="G56" i="1"/>
  <c r="H56" i="1"/>
  <c r="G57" i="1"/>
  <c r="I57" i="1" s="1"/>
  <c r="H57" i="1"/>
  <c r="G58" i="1"/>
  <c r="H58" i="1"/>
  <c r="G59" i="1"/>
  <c r="H59" i="1"/>
  <c r="G60" i="1"/>
  <c r="H60" i="1"/>
  <c r="G61" i="1"/>
  <c r="I61" i="1" s="1"/>
  <c r="H61" i="1"/>
  <c r="G62" i="1"/>
  <c r="H62" i="1"/>
  <c r="G63" i="1"/>
  <c r="H63" i="1"/>
  <c r="G64" i="1"/>
  <c r="H64" i="1"/>
  <c r="G65" i="1"/>
  <c r="I65" i="1" s="1"/>
  <c r="H65" i="1"/>
  <c r="G66" i="1"/>
  <c r="H66" i="1"/>
  <c r="G67" i="1"/>
  <c r="H67" i="1"/>
  <c r="G68" i="1"/>
  <c r="H68" i="1"/>
  <c r="G69" i="1"/>
  <c r="I69" i="1" s="1"/>
  <c r="H69" i="1"/>
  <c r="G70" i="1"/>
  <c r="H70" i="1"/>
  <c r="G71" i="1"/>
  <c r="H71" i="1"/>
  <c r="G72" i="1"/>
  <c r="H72" i="1"/>
  <c r="G73" i="1"/>
  <c r="I73" i="1" s="1"/>
  <c r="H73" i="1"/>
  <c r="G74" i="1"/>
  <c r="H74" i="1"/>
  <c r="G75" i="1"/>
  <c r="H75" i="1"/>
  <c r="G76" i="1"/>
  <c r="H76" i="1"/>
  <c r="G77" i="1"/>
  <c r="I77" i="1" s="1"/>
  <c r="H77" i="1"/>
  <c r="G78" i="1"/>
  <c r="H78" i="1"/>
  <c r="G79" i="1"/>
  <c r="H79" i="1"/>
  <c r="G80" i="1"/>
  <c r="H80" i="1"/>
  <c r="G81" i="1"/>
  <c r="I81" i="1" s="1"/>
  <c r="H81" i="1"/>
  <c r="G82" i="1"/>
  <c r="H82" i="1"/>
  <c r="G83" i="1"/>
  <c r="H83" i="1"/>
  <c r="G84" i="1"/>
  <c r="H84" i="1"/>
  <c r="G85" i="1"/>
  <c r="I85" i="1" s="1"/>
  <c r="H85" i="1"/>
  <c r="G86" i="1"/>
  <c r="H86" i="1"/>
  <c r="G87" i="1"/>
  <c r="H87" i="1"/>
  <c r="G88" i="1"/>
  <c r="H88" i="1"/>
  <c r="G89" i="1"/>
  <c r="I89" i="1" s="1"/>
  <c r="H89" i="1"/>
  <c r="G90" i="1"/>
  <c r="H90" i="1"/>
  <c r="G91" i="1"/>
  <c r="H91" i="1"/>
  <c r="G92" i="1"/>
  <c r="H92" i="1"/>
  <c r="G93" i="1"/>
  <c r="I93" i="1" s="1"/>
  <c r="H93" i="1"/>
  <c r="G94" i="1"/>
  <c r="H94" i="1"/>
  <c r="G95" i="1"/>
  <c r="H95" i="1"/>
  <c r="G96" i="1"/>
  <c r="H96" i="1"/>
  <c r="G97" i="1"/>
  <c r="I97" i="1" s="1"/>
  <c r="H97" i="1"/>
  <c r="G98" i="1"/>
  <c r="H98" i="1"/>
  <c r="G99" i="1"/>
  <c r="H99" i="1"/>
  <c r="G100" i="1"/>
  <c r="H100" i="1"/>
  <c r="G101" i="1"/>
  <c r="I101" i="1" s="1"/>
  <c r="H101" i="1"/>
  <c r="G102" i="1"/>
  <c r="H102" i="1"/>
  <c r="G103" i="1"/>
  <c r="H103" i="1"/>
  <c r="G104" i="1"/>
  <c r="H104" i="1"/>
  <c r="G105" i="1"/>
  <c r="I105" i="1" s="1"/>
  <c r="H105" i="1"/>
  <c r="G106" i="1"/>
  <c r="H106" i="1"/>
  <c r="G107" i="1"/>
  <c r="H107" i="1"/>
  <c r="G108" i="1"/>
  <c r="H108" i="1"/>
  <c r="G109" i="1"/>
  <c r="I109" i="1" s="1"/>
  <c r="H109" i="1"/>
  <c r="G110" i="1"/>
  <c r="H110" i="1"/>
  <c r="G111" i="1"/>
  <c r="H111" i="1"/>
  <c r="G112" i="1"/>
  <c r="H112" i="1"/>
  <c r="G113" i="1"/>
  <c r="I113" i="1" s="1"/>
  <c r="H113" i="1"/>
  <c r="G114" i="1"/>
  <c r="H114" i="1"/>
  <c r="G115" i="1"/>
  <c r="H115" i="1"/>
  <c r="G116" i="1"/>
  <c r="H116" i="1"/>
  <c r="G117" i="1"/>
  <c r="I117" i="1" s="1"/>
  <c r="H117" i="1"/>
  <c r="G118" i="1"/>
  <c r="H118" i="1"/>
  <c r="G119" i="1"/>
  <c r="H119" i="1"/>
  <c r="G120" i="1"/>
  <c r="H120" i="1"/>
  <c r="G121" i="1"/>
  <c r="I121" i="1" s="1"/>
  <c r="H121" i="1"/>
  <c r="G122" i="1"/>
  <c r="H122" i="1"/>
  <c r="G123" i="1"/>
  <c r="H123" i="1"/>
  <c r="G124" i="1"/>
  <c r="H124" i="1"/>
  <c r="G125" i="1"/>
  <c r="I125" i="1" s="1"/>
  <c r="H125" i="1"/>
  <c r="G126" i="1"/>
  <c r="H126" i="1"/>
  <c r="G127" i="1"/>
  <c r="H127" i="1"/>
  <c r="G128" i="1"/>
  <c r="H128" i="1"/>
  <c r="G129" i="1"/>
  <c r="I129" i="1" s="1"/>
  <c r="H129" i="1"/>
  <c r="G130" i="1"/>
  <c r="H130" i="1"/>
  <c r="G131" i="1"/>
  <c r="H131" i="1"/>
  <c r="G132" i="1"/>
  <c r="H132" i="1"/>
  <c r="G133" i="1"/>
  <c r="I133" i="1" s="1"/>
  <c r="H133" i="1"/>
  <c r="G134" i="1"/>
  <c r="H134" i="1"/>
  <c r="G135" i="1"/>
  <c r="H135" i="1"/>
  <c r="G136" i="1"/>
  <c r="H136" i="1"/>
  <c r="G137" i="1"/>
  <c r="I137" i="1" s="1"/>
  <c r="H137" i="1"/>
  <c r="G138" i="1"/>
  <c r="H138" i="1"/>
  <c r="G139" i="1"/>
  <c r="H139" i="1"/>
  <c r="G140" i="1"/>
  <c r="H140" i="1"/>
  <c r="G141" i="1"/>
  <c r="I141" i="1" s="1"/>
  <c r="H141" i="1"/>
  <c r="G142" i="1"/>
  <c r="H142" i="1"/>
  <c r="G143" i="1"/>
  <c r="H143" i="1"/>
  <c r="G144" i="1"/>
  <c r="H144" i="1"/>
  <c r="G145" i="1"/>
  <c r="I145" i="1" s="1"/>
  <c r="H145" i="1"/>
  <c r="G146" i="1"/>
  <c r="H146" i="1"/>
  <c r="G147" i="1"/>
  <c r="H147" i="1"/>
  <c r="G148" i="1"/>
  <c r="H148" i="1"/>
  <c r="G149" i="1"/>
  <c r="I149" i="1" s="1"/>
  <c r="H149" i="1"/>
  <c r="G150" i="1"/>
  <c r="H150" i="1"/>
  <c r="G151" i="1"/>
  <c r="H151" i="1"/>
  <c r="G152" i="1"/>
  <c r="H152" i="1"/>
  <c r="G153" i="1"/>
  <c r="I153" i="1" s="1"/>
  <c r="H153" i="1"/>
  <c r="G154" i="1"/>
  <c r="H154" i="1"/>
  <c r="G155" i="1"/>
  <c r="H155" i="1"/>
  <c r="G156" i="1"/>
  <c r="H156" i="1"/>
  <c r="G157" i="1"/>
  <c r="I157" i="1" s="1"/>
  <c r="H157" i="1"/>
  <c r="G158" i="1"/>
  <c r="H158" i="1"/>
  <c r="G159" i="1"/>
  <c r="H159" i="1"/>
  <c r="G160" i="1"/>
  <c r="H160" i="1"/>
  <c r="G161" i="1"/>
  <c r="I161" i="1" s="1"/>
  <c r="H161" i="1"/>
  <c r="G162" i="1"/>
  <c r="H162" i="1"/>
  <c r="G163" i="1"/>
  <c r="H163" i="1"/>
  <c r="G164" i="1"/>
  <c r="H164" i="1"/>
  <c r="G165" i="1"/>
  <c r="I165" i="1" s="1"/>
  <c r="H165" i="1"/>
  <c r="G166" i="1"/>
  <c r="H166" i="1"/>
  <c r="G167" i="1"/>
  <c r="H167" i="1"/>
  <c r="G168" i="1"/>
  <c r="H168" i="1"/>
  <c r="G169" i="1"/>
  <c r="I169" i="1" s="1"/>
  <c r="H169" i="1"/>
  <c r="G170" i="1"/>
  <c r="H170" i="1"/>
  <c r="G171" i="1"/>
  <c r="H171" i="1"/>
  <c r="G172" i="1"/>
  <c r="H172" i="1"/>
  <c r="G173" i="1"/>
  <c r="I173" i="1" s="1"/>
  <c r="H173" i="1"/>
  <c r="G174" i="1"/>
  <c r="H174" i="1"/>
  <c r="G175" i="1"/>
  <c r="H175" i="1"/>
  <c r="G176" i="1"/>
  <c r="H176" i="1"/>
  <c r="G177" i="1"/>
  <c r="I177" i="1" s="1"/>
  <c r="H177" i="1"/>
  <c r="G178" i="1"/>
  <c r="H178" i="1"/>
  <c r="G179" i="1"/>
  <c r="H179" i="1"/>
  <c r="G180" i="1"/>
  <c r="H180" i="1"/>
  <c r="G181" i="1"/>
  <c r="I181" i="1" s="1"/>
  <c r="H181" i="1"/>
  <c r="G182" i="1"/>
  <c r="H182" i="1"/>
  <c r="G183" i="1"/>
  <c r="H183" i="1"/>
  <c r="G184" i="1"/>
  <c r="H184" i="1"/>
  <c r="G185" i="1"/>
  <c r="I185" i="1" s="1"/>
  <c r="H185" i="1"/>
  <c r="G186" i="1"/>
  <c r="H186" i="1"/>
  <c r="G187" i="1"/>
  <c r="H187" i="1"/>
  <c r="G188" i="1"/>
  <c r="H188" i="1"/>
  <c r="G189" i="1"/>
  <c r="I189" i="1" s="1"/>
  <c r="H189" i="1"/>
  <c r="G190" i="1"/>
  <c r="H190" i="1"/>
  <c r="G191" i="1"/>
  <c r="H191" i="1"/>
  <c r="G192" i="1"/>
  <c r="H192" i="1"/>
  <c r="G193" i="1"/>
  <c r="I193" i="1" s="1"/>
  <c r="H193" i="1"/>
  <c r="G194" i="1"/>
  <c r="H194" i="1"/>
  <c r="G195" i="1"/>
  <c r="H195" i="1"/>
  <c r="G196" i="1"/>
  <c r="H196" i="1"/>
  <c r="G197" i="1"/>
  <c r="I197" i="1" s="1"/>
  <c r="H197" i="1"/>
  <c r="G198" i="1"/>
  <c r="H198" i="1"/>
  <c r="G199" i="1"/>
  <c r="H199" i="1"/>
  <c r="G200" i="1"/>
  <c r="H200" i="1"/>
  <c r="G201" i="1"/>
  <c r="I201" i="1" s="1"/>
  <c r="H201" i="1"/>
  <c r="G202" i="1"/>
  <c r="H202" i="1"/>
  <c r="G203" i="1"/>
  <c r="H203" i="1"/>
  <c r="G204" i="1"/>
  <c r="H204" i="1"/>
  <c r="G205" i="1"/>
  <c r="I205" i="1" s="1"/>
  <c r="H205" i="1"/>
  <c r="G206" i="1"/>
  <c r="H206" i="1"/>
  <c r="G207" i="1"/>
  <c r="H207" i="1"/>
  <c r="G208" i="1"/>
  <c r="H208" i="1"/>
  <c r="G209" i="1"/>
  <c r="I209" i="1" s="1"/>
  <c r="H209" i="1"/>
  <c r="G210" i="1"/>
  <c r="H210" i="1"/>
  <c r="G211" i="1"/>
  <c r="H211" i="1"/>
  <c r="G212" i="1"/>
  <c r="H212" i="1"/>
  <c r="G213" i="1"/>
  <c r="I213" i="1" s="1"/>
  <c r="H213" i="1"/>
  <c r="G214" i="1"/>
  <c r="H214" i="1"/>
  <c r="G215" i="1"/>
  <c r="H215" i="1"/>
  <c r="G216" i="1"/>
  <c r="H216" i="1"/>
  <c r="G217" i="1"/>
  <c r="I217" i="1" s="1"/>
  <c r="H217" i="1"/>
  <c r="G218" i="1"/>
  <c r="H218" i="1"/>
  <c r="G219" i="1"/>
  <c r="H219" i="1"/>
  <c r="G220" i="1"/>
  <c r="H220" i="1"/>
  <c r="G221" i="1"/>
  <c r="I221" i="1" s="1"/>
  <c r="H221" i="1"/>
  <c r="G222" i="1"/>
  <c r="H222" i="1"/>
  <c r="G223" i="1"/>
  <c r="H223" i="1"/>
  <c r="G224" i="1"/>
  <c r="H224" i="1"/>
  <c r="G225" i="1"/>
  <c r="I225" i="1" s="1"/>
  <c r="H225" i="1"/>
  <c r="G226" i="1"/>
  <c r="H226" i="1"/>
  <c r="G227" i="1"/>
  <c r="H227" i="1"/>
  <c r="G228" i="1"/>
  <c r="H228" i="1"/>
  <c r="G229" i="1"/>
  <c r="I229" i="1" s="1"/>
  <c r="H229" i="1"/>
  <c r="G230" i="1"/>
  <c r="H230" i="1"/>
  <c r="G231" i="1"/>
  <c r="H231" i="1"/>
  <c r="G232" i="1"/>
  <c r="H232" i="1"/>
  <c r="G233" i="1"/>
  <c r="I233" i="1" s="1"/>
  <c r="H233" i="1"/>
  <c r="G234" i="1"/>
  <c r="H234" i="1"/>
  <c r="G235" i="1"/>
  <c r="H235" i="1"/>
  <c r="G236" i="1"/>
  <c r="H236" i="1"/>
  <c r="G237" i="1"/>
  <c r="I237" i="1" s="1"/>
  <c r="H237" i="1"/>
  <c r="G238" i="1"/>
  <c r="H238" i="1"/>
  <c r="G239" i="1"/>
  <c r="H239" i="1"/>
  <c r="G240" i="1"/>
  <c r="H240" i="1"/>
  <c r="G241" i="1"/>
  <c r="I241" i="1" s="1"/>
  <c r="H241" i="1"/>
  <c r="G242" i="1"/>
  <c r="H242" i="1"/>
  <c r="G243" i="1"/>
  <c r="H243" i="1"/>
  <c r="G244" i="1"/>
  <c r="H244" i="1"/>
  <c r="G245" i="1"/>
  <c r="I245" i="1" s="1"/>
  <c r="H245" i="1"/>
  <c r="G246" i="1"/>
  <c r="H246" i="1"/>
  <c r="G247" i="1"/>
  <c r="H247" i="1"/>
  <c r="G248" i="1"/>
  <c r="H248" i="1"/>
  <c r="G249" i="1"/>
  <c r="I249" i="1" s="1"/>
  <c r="H249" i="1"/>
  <c r="G250" i="1"/>
  <c r="H250" i="1"/>
  <c r="G251" i="1"/>
  <c r="H251" i="1"/>
  <c r="G252" i="1"/>
  <c r="H252" i="1"/>
  <c r="G253" i="1"/>
  <c r="I253" i="1" s="1"/>
  <c r="H253" i="1"/>
  <c r="G254" i="1"/>
  <c r="H254" i="1"/>
  <c r="G255" i="1"/>
  <c r="H255" i="1"/>
  <c r="G256" i="1"/>
  <c r="H256" i="1"/>
  <c r="G257" i="1"/>
  <c r="I257" i="1" s="1"/>
  <c r="H257" i="1"/>
  <c r="G258" i="1"/>
  <c r="H258" i="1"/>
  <c r="G259" i="1"/>
  <c r="H259" i="1"/>
  <c r="G260" i="1"/>
  <c r="H260" i="1"/>
  <c r="G261" i="1"/>
  <c r="I261" i="1" s="1"/>
  <c r="H261" i="1"/>
  <c r="G262" i="1"/>
  <c r="H262" i="1"/>
  <c r="G263" i="1"/>
  <c r="H263" i="1"/>
  <c r="G264" i="1"/>
  <c r="H264" i="1"/>
  <c r="G265" i="1"/>
  <c r="I265" i="1" s="1"/>
  <c r="H265" i="1"/>
  <c r="G266" i="1"/>
  <c r="H266" i="1"/>
  <c r="G267" i="1"/>
  <c r="H267" i="1"/>
  <c r="G268" i="1"/>
  <c r="H268" i="1"/>
  <c r="G269" i="1"/>
  <c r="I269" i="1" s="1"/>
  <c r="H269" i="1"/>
  <c r="G270" i="1"/>
  <c r="H270" i="1"/>
  <c r="G271" i="1"/>
  <c r="H271" i="1"/>
  <c r="G272" i="1"/>
  <c r="H272" i="1"/>
  <c r="G273" i="1"/>
  <c r="I273" i="1" s="1"/>
  <c r="H273" i="1"/>
  <c r="G274" i="1"/>
  <c r="H274" i="1"/>
  <c r="G275" i="1"/>
  <c r="H275" i="1"/>
  <c r="G276" i="1"/>
  <c r="H276" i="1"/>
  <c r="G277" i="1"/>
  <c r="I277" i="1" s="1"/>
  <c r="H277" i="1"/>
  <c r="G278" i="1"/>
  <c r="H278" i="1"/>
  <c r="G279" i="1"/>
  <c r="H279" i="1"/>
  <c r="G280" i="1"/>
  <c r="H280" i="1"/>
  <c r="G281" i="1"/>
  <c r="I281" i="1" s="1"/>
  <c r="H281" i="1"/>
  <c r="G282" i="1"/>
  <c r="H282" i="1"/>
  <c r="G283" i="1"/>
  <c r="H283" i="1"/>
  <c r="G284" i="1"/>
  <c r="H284" i="1"/>
  <c r="G285" i="1"/>
  <c r="I285" i="1" s="1"/>
  <c r="H285" i="1"/>
  <c r="G286" i="1"/>
  <c r="H286" i="1"/>
  <c r="G287" i="1"/>
  <c r="H287" i="1"/>
  <c r="G288" i="1"/>
  <c r="H288" i="1"/>
  <c r="G289" i="1"/>
  <c r="I289" i="1" s="1"/>
  <c r="H289" i="1"/>
  <c r="G290" i="1"/>
  <c r="H290" i="1"/>
  <c r="G291" i="1"/>
  <c r="H291" i="1"/>
  <c r="G292" i="1"/>
  <c r="H292" i="1"/>
  <c r="G293" i="1"/>
  <c r="I293" i="1" s="1"/>
  <c r="H293" i="1"/>
  <c r="G294" i="1"/>
  <c r="H294" i="1"/>
  <c r="G295" i="1"/>
  <c r="H295" i="1"/>
  <c r="G296" i="1"/>
  <c r="H296" i="1"/>
  <c r="G297" i="1"/>
  <c r="I297" i="1" s="1"/>
  <c r="H297" i="1"/>
  <c r="G298" i="1"/>
  <c r="H298" i="1"/>
  <c r="G299" i="1"/>
  <c r="H299" i="1"/>
  <c r="G300" i="1"/>
  <c r="H300" i="1"/>
  <c r="G301" i="1"/>
  <c r="I301" i="1" s="1"/>
  <c r="H301" i="1"/>
  <c r="G302" i="1"/>
  <c r="H302" i="1"/>
  <c r="G303" i="1"/>
  <c r="H303" i="1"/>
  <c r="G304" i="1"/>
  <c r="H304" i="1"/>
  <c r="G305" i="1"/>
  <c r="I305" i="1" s="1"/>
  <c r="H305" i="1"/>
  <c r="G306" i="1"/>
  <c r="H306" i="1"/>
  <c r="G307" i="1"/>
  <c r="H307" i="1"/>
  <c r="G308" i="1"/>
  <c r="H308" i="1"/>
  <c r="G309" i="1"/>
  <c r="I309" i="1" s="1"/>
  <c r="H309" i="1"/>
  <c r="G310" i="1"/>
  <c r="H310" i="1"/>
  <c r="G311" i="1"/>
  <c r="H311" i="1"/>
  <c r="G312" i="1"/>
  <c r="H312" i="1"/>
  <c r="G313" i="1"/>
  <c r="I313" i="1" s="1"/>
  <c r="H313" i="1"/>
  <c r="G314" i="1"/>
  <c r="H314" i="1"/>
  <c r="G315" i="1"/>
  <c r="H315" i="1"/>
  <c r="G316" i="1"/>
  <c r="H316" i="1"/>
  <c r="G317" i="1"/>
  <c r="I317" i="1" s="1"/>
  <c r="H317" i="1"/>
  <c r="G318" i="1"/>
  <c r="H318" i="1"/>
  <c r="G319" i="1"/>
  <c r="H319" i="1"/>
  <c r="G320" i="1"/>
  <c r="H320" i="1"/>
  <c r="G321" i="1"/>
  <c r="I321" i="1" s="1"/>
  <c r="H321" i="1"/>
  <c r="G322" i="1"/>
  <c r="H322" i="1"/>
  <c r="G323" i="1"/>
  <c r="H323" i="1"/>
  <c r="G324" i="1"/>
  <c r="H324" i="1"/>
  <c r="G325" i="1"/>
  <c r="I325" i="1" s="1"/>
  <c r="H325" i="1"/>
  <c r="G326" i="1"/>
  <c r="H326" i="1"/>
  <c r="G327" i="1"/>
  <c r="H327" i="1"/>
  <c r="G328" i="1"/>
  <c r="H328" i="1"/>
  <c r="G329" i="1"/>
  <c r="I329" i="1" s="1"/>
  <c r="H329" i="1"/>
  <c r="G330" i="1"/>
  <c r="H330" i="1"/>
  <c r="G331" i="1"/>
  <c r="H331" i="1"/>
  <c r="G332" i="1"/>
  <c r="H332" i="1"/>
  <c r="G333" i="1"/>
  <c r="I333" i="1" s="1"/>
  <c r="H333" i="1"/>
  <c r="G334" i="1"/>
  <c r="H334" i="1"/>
  <c r="G335" i="1"/>
  <c r="H335" i="1"/>
  <c r="G336" i="1"/>
  <c r="H336" i="1"/>
  <c r="G337" i="1"/>
  <c r="I337" i="1" s="1"/>
  <c r="H337" i="1"/>
  <c r="G338" i="1"/>
  <c r="H338" i="1"/>
  <c r="G339" i="1"/>
  <c r="H339" i="1"/>
  <c r="G340" i="1"/>
  <c r="I340" i="1" s="1"/>
  <c r="H340" i="1"/>
  <c r="G341" i="1"/>
  <c r="H341" i="1"/>
  <c r="G342" i="1"/>
  <c r="I342" i="1" s="1"/>
  <c r="H342" i="1"/>
  <c r="G343" i="1"/>
  <c r="H343" i="1"/>
  <c r="G344" i="1"/>
  <c r="I344" i="1" s="1"/>
  <c r="H344" i="1"/>
  <c r="G345" i="1"/>
  <c r="H345" i="1"/>
  <c r="G346" i="1"/>
  <c r="I346" i="1" s="1"/>
  <c r="H346" i="1"/>
  <c r="G347" i="1"/>
  <c r="H347" i="1"/>
  <c r="G348" i="1"/>
  <c r="I348" i="1" s="1"/>
  <c r="H348" i="1"/>
  <c r="G349" i="1"/>
  <c r="H349" i="1"/>
  <c r="G350" i="1"/>
  <c r="I350" i="1" s="1"/>
  <c r="H350" i="1"/>
  <c r="G351" i="1"/>
  <c r="H351" i="1"/>
  <c r="G352" i="1"/>
  <c r="I352" i="1" s="1"/>
  <c r="H352" i="1"/>
  <c r="G353" i="1"/>
  <c r="H353" i="1"/>
  <c r="G354" i="1"/>
  <c r="I354" i="1" s="1"/>
  <c r="H354" i="1"/>
  <c r="G355" i="1"/>
  <c r="H355" i="1"/>
  <c r="G356" i="1"/>
  <c r="I356" i="1" s="1"/>
  <c r="H356" i="1"/>
  <c r="G357" i="1"/>
  <c r="H357" i="1"/>
  <c r="G358" i="1"/>
  <c r="I358" i="1" s="1"/>
  <c r="H358" i="1"/>
  <c r="G359" i="1"/>
  <c r="H359" i="1"/>
  <c r="G360" i="1"/>
  <c r="H360" i="1"/>
  <c r="G361" i="1"/>
  <c r="H361" i="1"/>
  <c r="G362" i="1"/>
  <c r="I362" i="1" s="1"/>
  <c r="H362" i="1"/>
  <c r="G363" i="1"/>
  <c r="H363" i="1"/>
  <c r="G364" i="1"/>
  <c r="I364" i="1" s="1"/>
  <c r="H364" i="1"/>
  <c r="G365" i="1"/>
  <c r="H365" i="1"/>
  <c r="G366" i="1"/>
  <c r="I366" i="1" s="1"/>
  <c r="H366" i="1"/>
  <c r="G367" i="1"/>
  <c r="H367" i="1"/>
  <c r="G368" i="1"/>
  <c r="I368" i="1" s="1"/>
  <c r="H368" i="1"/>
  <c r="G369" i="1"/>
  <c r="H369" i="1"/>
  <c r="G370" i="1"/>
  <c r="I370" i="1" s="1"/>
  <c r="H370" i="1"/>
  <c r="G371" i="1"/>
  <c r="H371" i="1"/>
  <c r="G372" i="1"/>
  <c r="I372" i="1" s="1"/>
  <c r="H372" i="1"/>
  <c r="G373" i="1"/>
  <c r="H373" i="1"/>
  <c r="G374" i="1"/>
  <c r="I374" i="1" s="1"/>
  <c r="H374" i="1"/>
  <c r="G375" i="1"/>
  <c r="H375" i="1"/>
  <c r="G376" i="1"/>
  <c r="I376" i="1" s="1"/>
  <c r="H376" i="1"/>
  <c r="G377" i="1"/>
  <c r="H377" i="1"/>
  <c r="G378" i="1"/>
  <c r="I378" i="1" s="1"/>
  <c r="H378" i="1"/>
  <c r="G379" i="1"/>
  <c r="H379" i="1"/>
  <c r="G380" i="1"/>
  <c r="I380" i="1" s="1"/>
  <c r="H380" i="1"/>
  <c r="G381" i="1"/>
  <c r="H381" i="1"/>
  <c r="G382" i="1"/>
  <c r="I382" i="1" s="1"/>
  <c r="H382" i="1"/>
  <c r="G383" i="1"/>
  <c r="H383" i="1"/>
  <c r="G384" i="1"/>
  <c r="I384" i="1" s="1"/>
  <c r="H384" i="1"/>
  <c r="G385" i="1"/>
  <c r="H385" i="1"/>
  <c r="G386" i="1"/>
  <c r="I386" i="1" s="1"/>
  <c r="H386" i="1"/>
  <c r="G387" i="1"/>
  <c r="H387" i="1"/>
  <c r="G388" i="1"/>
  <c r="I388" i="1" s="1"/>
  <c r="H388" i="1"/>
  <c r="G389" i="1"/>
  <c r="H389" i="1"/>
  <c r="G390" i="1"/>
  <c r="I390" i="1" s="1"/>
  <c r="H390" i="1"/>
  <c r="G391" i="1"/>
  <c r="H391" i="1"/>
  <c r="G392" i="1"/>
  <c r="I392" i="1" s="1"/>
  <c r="H392" i="1"/>
  <c r="G393" i="1"/>
  <c r="H393" i="1"/>
  <c r="G394" i="1"/>
  <c r="I394" i="1" s="1"/>
  <c r="H394" i="1"/>
  <c r="G395" i="1"/>
  <c r="H395" i="1"/>
  <c r="G396" i="1"/>
  <c r="H396" i="1"/>
  <c r="G397" i="1"/>
  <c r="H397" i="1"/>
  <c r="G398" i="1"/>
  <c r="H398" i="1"/>
  <c r="G399" i="1"/>
  <c r="H399" i="1"/>
  <c r="G400" i="1"/>
  <c r="I400" i="1" s="1"/>
  <c r="H400" i="1"/>
  <c r="G401" i="1"/>
  <c r="H401" i="1"/>
  <c r="G402" i="1"/>
  <c r="I402" i="1" s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I412" i="1" s="1"/>
  <c r="H412" i="1"/>
  <c r="G413" i="1"/>
  <c r="H413" i="1"/>
  <c r="G414" i="1"/>
  <c r="I414" i="1" s="1"/>
  <c r="H414" i="1"/>
  <c r="G415" i="1"/>
  <c r="H415" i="1"/>
  <c r="G416" i="1"/>
  <c r="I416" i="1" s="1"/>
  <c r="H416" i="1"/>
  <c r="G417" i="1"/>
  <c r="H417" i="1"/>
  <c r="G418" i="1"/>
  <c r="I418" i="1" s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I434" i="1" s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I444" i="1" s="1"/>
  <c r="H444" i="1"/>
  <c r="G445" i="1"/>
  <c r="H445" i="1"/>
  <c r="G446" i="1"/>
  <c r="I446" i="1" s="1"/>
  <c r="H446" i="1"/>
  <c r="G447" i="1"/>
  <c r="H447" i="1"/>
  <c r="G448" i="1"/>
  <c r="I448" i="1" s="1"/>
  <c r="H448" i="1"/>
  <c r="G449" i="1"/>
  <c r="H449" i="1"/>
  <c r="G450" i="1"/>
  <c r="H450" i="1"/>
  <c r="G451" i="1"/>
  <c r="H451" i="1"/>
  <c r="G452" i="1"/>
  <c r="H452" i="1"/>
  <c r="G453" i="1"/>
  <c r="H453" i="1"/>
  <c r="G454" i="1"/>
  <c r="I454" i="1" s="1"/>
  <c r="H454" i="1"/>
  <c r="G455" i="1"/>
  <c r="H455" i="1"/>
  <c r="G456" i="1"/>
  <c r="I456" i="1" s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I466" i="1" s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I482" i="1" s="1"/>
  <c r="H482" i="1"/>
  <c r="G483" i="1"/>
  <c r="H483" i="1"/>
  <c r="G484" i="1"/>
  <c r="I484" i="1" s="1"/>
  <c r="H484" i="1"/>
  <c r="G485" i="1"/>
  <c r="H485" i="1"/>
  <c r="G486" i="1"/>
  <c r="I486" i="1" s="1"/>
  <c r="H486" i="1"/>
  <c r="G487" i="1"/>
  <c r="H487" i="1"/>
  <c r="G488" i="1"/>
  <c r="I488" i="1" s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I498" i="1" s="1"/>
  <c r="H498" i="1"/>
  <c r="G499" i="1"/>
  <c r="H499" i="1"/>
  <c r="G500" i="1"/>
  <c r="I500" i="1" s="1"/>
  <c r="H500" i="1"/>
  <c r="G501" i="1"/>
  <c r="H501" i="1"/>
  <c r="G502" i="1"/>
  <c r="I502" i="1" s="1"/>
  <c r="H502" i="1"/>
  <c r="G503" i="1"/>
  <c r="H503" i="1"/>
  <c r="G504" i="1"/>
  <c r="I504" i="1" s="1"/>
  <c r="H504" i="1"/>
  <c r="G505" i="1"/>
  <c r="H505" i="1"/>
  <c r="H2" i="1"/>
  <c r="J2" i="1" s="1"/>
  <c r="G2" i="1"/>
  <c r="AH19" i="1" l="1"/>
  <c r="AH18" i="1"/>
  <c r="AH17" i="1"/>
  <c r="AH27" i="1"/>
  <c r="AR26" i="1"/>
  <c r="AP24" i="1"/>
  <c r="AS24" i="1" s="1"/>
  <c r="AI26" i="1"/>
  <c r="AJ26" i="1"/>
  <c r="AK26" i="1"/>
  <c r="AL26" i="1"/>
  <c r="AO25" i="1"/>
  <c r="AM25" i="1"/>
  <c r="AN25" i="1"/>
  <c r="B11" i="1"/>
  <c r="B13" i="1"/>
  <c r="B12" i="1"/>
  <c r="B15" i="1" s="1"/>
  <c r="I496" i="1"/>
  <c r="I494" i="1"/>
  <c r="I492" i="1"/>
  <c r="I490" i="1"/>
  <c r="I480" i="1"/>
  <c r="I478" i="1"/>
  <c r="I476" i="1"/>
  <c r="I474" i="1"/>
  <c r="I472" i="1"/>
  <c r="I470" i="1"/>
  <c r="I468" i="1"/>
  <c r="I464" i="1"/>
  <c r="I462" i="1"/>
  <c r="I460" i="1"/>
  <c r="I458" i="1"/>
  <c r="I452" i="1"/>
  <c r="I450" i="1"/>
  <c r="I442" i="1"/>
  <c r="I440" i="1"/>
  <c r="I438" i="1"/>
  <c r="I436" i="1"/>
  <c r="I432" i="1"/>
  <c r="I430" i="1"/>
  <c r="I428" i="1"/>
  <c r="I426" i="1"/>
  <c r="I424" i="1"/>
  <c r="I422" i="1"/>
  <c r="I420" i="1"/>
  <c r="I410" i="1"/>
  <c r="I408" i="1"/>
  <c r="I406" i="1"/>
  <c r="I404" i="1"/>
  <c r="I398" i="1"/>
  <c r="I396" i="1"/>
  <c r="I360" i="1"/>
  <c r="C20" i="1"/>
  <c r="C17" i="1"/>
  <c r="L2" i="1"/>
  <c r="I338" i="1"/>
  <c r="I336" i="1"/>
  <c r="I334" i="1"/>
  <c r="I332" i="1"/>
  <c r="I330" i="1"/>
  <c r="I328" i="1"/>
  <c r="I326" i="1"/>
  <c r="I324" i="1"/>
  <c r="I322" i="1"/>
  <c r="I320" i="1"/>
  <c r="I318" i="1"/>
  <c r="I316" i="1"/>
  <c r="I314" i="1"/>
  <c r="I312" i="1"/>
  <c r="I310" i="1"/>
  <c r="I308" i="1"/>
  <c r="I306" i="1"/>
  <c r="I304" i="1"/>
  <c r="I302" i="1"/>
  <c r="I300" i="1"/>
  <c r="I298" i="1"/>
  <c r="I296" i="1"/>
  <c r="I294" i="1"/>
  <c r="I292" i="1"/>
  <c r="I290" i="1"/>
  <c r="I288" i="1"/>
  <c r="I286" i="1"/>
  <c r="I284" i="1"/>
  <c r="I282" i="1"/>
  <c r="I280" i="1"/>
  <c r="I278" i="1"/>
  <c r="I276" i="1"/>
  <c r="I274" i="1"/>
  <c r="I272" i="1"/>
  <c r="I270" i="1"/>
  <c r="I268" i="1"/>
  <c r="I266" i="1"/>
  <c r="I264" i="1"/>
  <c r="I262" i="1"/>
  <c r="I260" i="1"/>
  <c r="I258" i="1"/>
  <c r="I256" i="1"/>
  <c r="I254" i="1"/>
  <c r="I252" i="1"/>
  <c r="I250" i="1"/>
  <c r="I248" i="1"/>
  <c r="I246" i="1"/>
  <c r="I244" i="1"/>
  <c r="I242" i="1"/>
  <c r="I240" i="1"/>
  <c r="I238" i="1"/>
  <c r="I236" i="1"/>
  <c r="I234" i="1"/>
  <c r="I232" i="1"/>
  <c r="I230" i="1"/>
  <c r="I228" i="1"/>
  <c r="I226" i="1"/>
  <c r="I224" i="1"/>
  <c r="I222" i="1"/>
  <c r="I220" i="1"/>
  <c r="I218" i="1"/>
  <c r="I216" i="1"/>
  <c r="I214" i="1"/>
  <c r="I212" i="1"/>
  <c r="I210" i="1"/>
  <c r="I208" i="1"/>
  <c r="I206" i="1"/>
  <c r="I204" i="1"/>
  <c r="I202" i="1"/>
  <c r="I200" i="1"/>
  <c r="I198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I134" i="1"/>
  <c r="I132" i="1"/>
  <c r="I130" i="1"/>
  <c r="I128" i="1"/>
  <c r="I126" i="1"/>
  <c r="I124" i="1"/>
  <c r="I122" i="1"/>
  <c r="I120" i="1"/>
  <c r="I118" i="1"/>
  <c r="I116" i="1"/>
  <c r="I114" i="1"/>
  <c r="I112" i="1"/>
  <c r="I110" i="1"/>
  <c r="I108" i="1"/>
  <c r="I106" i="1"/>
  <c r="I104" i="1"/>
  <c r="I102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I6" i="1"/>
  <c r="I4" i="1"/>
  <c r="B20" i="1"/>
  <c r="B16" i="1"/>
  <c r="I505" i="1"/>
  <c r="I503" i="1"/>
  <c r="I501" i="1"/>
  <c r="I499" i="1"/>
  <c r="I497" i="1"/>
  <c r="I495" i="1"/>
  <c r="I493" i="1"/>
  <c r="I491" i="1"/>
  <c r="I489" i="1"/>
  <c r="I487" i="1"/>
  <c r="I485" i="1"/>
  <c r="I483" i="1"/>
  <c r="I481" i="1"/>
  <c r="I479" i="1"/>
  <c r="I477" i="1"/>
  <c r="I475" i="1"/>
  <c r="I473" i="1"/>
  <c r="I471" i="1"/>
  <c r="I469" i="1"/>
  <c r="I467" i="1"/>
  <c r="I465" i="1"/>
  <c r="I463" i="1"/>
  <c r="I461" i="1"/>
  <c r="I459" i="1"/>
  <c r="I457" i="1"/>
  <c r="I455" i="1"/>
  <c r="I453" i="1"/>
  <c r="I451" i="1"/>
  <c r="I449" i="1"/>
  <c r="I447" i="1"/>
  <c r="I445" i="1"/>
  <c r="I443" i="1"/>
  <c r="I441" i="1"/>
  <c r="I439" i="1"/>
  <c r="I437" i="1"/>
  <c r="I435" i="1"/>
  <c r="I433" i="1"/>
  <c r="I431" i="1"/>
  <c r="I429" i="1"/>
  <c r="I427" i="1"/>
  <c r="I425" i="1"/>
  <c r="I423" i="1"/>
  <c r="I421" i="1"/>
  <c r="I419" i="1"/>
  <c r="I417" i="1"/>
  <c r="I415" i="1"/>
  <c r="I413" i="1"/>
  <c r="I411" i="1"/>
  <c r="I409" i="1"/>
  <c r="I407" i="1"/>
  <c r="I405" i="1"/>
  <c r="I403" i="1"/>
  <c r="I401" i="1"/>
  <c r="I399" i="1"/>
  <c r="I397" i="1"/>
  <c r="I395" i="1"/>
  <c r="I393" i="1"/>
  <c r="I391" i="1"/>
  <c r="I389" i="1"/>
  <c r="I387" i="1"/>
  <c r="I385" i="1"/>
  <c r="I383" i="1"/>
  <c r="I381" i="1"/>
  <c r="I379" i="1"/>
  <c r="I377" i="1"/>
  <c r="I375" i="1"/>
  <c r="I373" i="1"/>
  <c r="I371" i="1"/>
  <c r="I369" i="1"/>
  <c r="I367" i="1"/>
  <c r="I365" i="1"/>
  <c r="I363" i="1"/>
  <c r="I361" i="1"/>
  <c r="I359" i="1"/>
  <c r="I357" i="1"/>
  <c r="I355" i="1"/>
  <c r="I353" i="1"/>
  <c r="I351" i="1"/>
  <c r="I349" i="1"/>
  <c r="I347" i="1"/>
  <c r="I345" i="1"/>
  <c r="I343" i="1"/>
  <c r="I341" i="1"/>
  <c r="I339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267" i="1"/>
  <c r="I263" i="1"/>
  <c r="I259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L498" i="1"/>
  <c r="L490" i="1"/>
  <c r="L482" i="1"/>
  <c r="L474" i="1"/>
  <c r="L466" i="1"/>
  <c r="L458" i="1"/>
  <c r="L450" i="1"/>
  <c r="L442" i="1"/>
  <c r="L434" i="1"/>
  <c r="L426" i="1"/>
  <c r="L418" i="1"/>
  <c r="L410" i="1"/>
  <c r="L402" i="1"/>
  <c r="L394" i="1"/>
  <c r="L386" i="1"/>
  <c r="L378" i="1"/>
  <c r="L370" i="1"/>
  <c r="L362" i="1"/>
  <c r="L354" i="1"/>
  <c r="L346" i="1"/>
  <c r="L338" i="1"/>
  <c r="L333" i="1"/>
  <c r="L329" i="1"/>
  <c r="L325" i="1"/>
  <c r="L321" i="1"/>
  <c r="L317" i="1"/>
  <c r="L313" i="1"/>
  <c r="L309" i="1"/>
  <c r="L305" i="1"/>
  <c r="L301" i="1"/>
  <c r="L297" i="1"/>
  <c r="L293" i="1"/>
  <c r="L289" i="1"/>
  <c r="L285" i="1"/>
  <c r="L281" i="1"/>
  <c r="L277" i="1"/>
  <c r="L273" i="1"/>
  <c r="L269" i="1"/>
  <c r="L265" i="1"/>
  <c r="L261" i="1"/>
  <c r="L257" i="1"/>
  <c r="L253" i="1"/>
  <c r="L249" i="1"/>
  <c r="L245" i="1"/>
  <c r="L241" i="1"/>
  <c r="L237" i="1"/>
  <c r="L233" i="1"/>
  <c r="L229" i="1"/>
  <c r="L225" i="1"/>
  <c r="L221" i="1"/>
  <c r="L217" i="1"/>
  <c r="L213" i="1"/>
  <c r="L209" i="1"/>
  <c r="L205" i="1"/>
  <c r="L201" i="1"/>
  <c r="L197" i="1"/>
  <c r="L193" i="1"/>
  <c r="L189" i="1"/>
  <c r="L185" i="1"/>
  <c r="L181" i="1"/>
  <c r="L177" i="1"/>
  <c r="L173" i="1"/>
  <c r="L169" i="1"/>
  <c r="L165" i="1"/>
  <c r="L161" i="1"/>
  <c r="L157" i="1"/>
  <c r="L153" i="1"/>
  <c r="L149" i="1"/>
  <c r="L145" i="1"/>
  <c r="L141" i="1"/>
  <c r="L137" i="1"/>
  <c r="L133" i="1"/>
  <c r="L129" i="1"/>
  <c r="L125" i="1"/>
  <c r="L121" i="1"/>
  <c r="L117" i="1"/>
  <c r="L113" i="1"/>
  <c r="L109" i="1"/>
  <c r="L105" i="1"/>
  <c r="L101" i="1"/>
  <c r="L97" i="1"/>
  <c r="L93" i="1"/>
  <c r="L89" i="1"/>
  <c r="L85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3" i="1"/>
  <c r="I2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C16" i="1"/>
  <c r="B14" i="1"/>
  <c r="B10" i="1"/>
  <c r="B61" i="1" l="1"/>
  <c r="L505" i="1"/>
  <c r="L503" i="1"/>
  <c r="L501" i="1"/>
  <c r="L499" i="1"/>
  <c r="L497" i="1"/>
  <c r="L495" i="1"/>
  <c r="L493" i="1"/>
  <c r="L491" i="1"/>
  <c r="L489" i="1"/>
  <c r="L487" i="1"/>
  <c r="L485" i="1"/>
  <c r="L483" i="1"/>
  <c r="L481" i="1"/>
  <c r="L479" i="1"/>
  <c r="L477" i="1"/>
  <c r="L475" i="1"/>
  <c r="L473" i="1"/>
  <c r="L471" i="1"/>
  <c r="L469" i="1"/>
  <c r="L467" i="1"/>
  <c r="L465" i="1"/>
  <c r="L463" i="1"/>
  <c r="L461" i="1"/>
  <c r="L459" i="1"/>
  <c r="L457" i="1"/>
  <c r="L455" i="1"/>
  <c r="L453" i="1"/>
  <c r="L451" i="1"/>
  <c r="L449" i="1"/>
  <c r="L447" i="1"/>
  <c r="L445" i="1"/>
  <c r="L443" i="1"/>
  <c r="L441" i="1"/>
  <c r="L439" i="1"/>
  <c r="L437" i="1"/>
  <c r="L435" i="1"/>
  <c r="L433" i="1"/>
  <c r="L431" i="1"/>
  <c r="L429" i="1"/>
  <c r="L427" i="1"/>
  <c r="L425" i="1"/>
  <c r="L423" i="1"/>
  <c r="L421" i="1"/>
  <c r="L419" i="1"/>
  <c r="L417" i="1"/>
  <c r="L415" i="1"/>
  <c r="L413" i="1"/>
  <c r="L411" i="1"/>
  <c r="L409" i="1"/>
  <c r="L407" i="1"/>
  <c r="L405" i="1"/>
  <c r="L403" i="1"/>
  <c r="L401" i="1"/>
  <c r="L399" i="1"/>
  <c r="L397" i="1"/>
  <c r="L395" i="1"/>
  <c r="L393" i="1"/>
  <c r="L391" i="1"/>
  <c r="L389" i="1"/>
  <c r="L387" i="1"/>
  <c r="L385" i="1"/>
  <c r="L383" i="1"/>
  <c r="L381" i="1"/>
  <c r="L379" i="1"/>
  <c r="L377" i="1"/>
  <c r="L375" i="1"/>
  <c r="L373" i="1"/>
  <c r="L371" i="1"/>
  <c r="L369" i="1"/>
  <c r="L367" i="1"/>
  <c r="L365" i="1"/>
  <c r="L363" i="1"/>
  <c r="L361" i="1"/>
  <c r="L359" i="1"/>
  <c r="L357" i="1"/>
  <c r="L355" i="1"/>
  <c r="L353" i="1"/>
  <c r="L351" i="1"/>
  <c r="L349" i="1"/>
  <c r="L347" i="1"/>
  <c r="L345" i="1"/>
  <c r="L343" i="1"/>
  <c r="L341" i="1"/>
  <c r="L339" i="1"/>
  <c r="L337" i="1"/>
  <c r="L504" i="1"/>
  <c r="L500" i="1"/>
  <c r="L496" i="1"/>
  <c r="L492" i="1"/>
  <c r="L488" i="1"/>
  <c r="L484" i="1"/>
  <c r="L480" i="1"/>
  <c r="L476" i="1"/>
  <c r="L472" i="1"/>
  <c r="L468" i="1"/>
  <c r="L464" i="1"/>
  <c r="L460" i="1"/>
  <c r="L456" i="1"/>
  <c r="L452" i="1"/>
  <c r="L448" i="1"/>
  <c r="L444" i="1"/>
  <c r="L440" i="1"/>
  <c r="L436" i="1"/>
  <c r="L432" i="1"/>
  <c r="L428" i="1"/>
  <c r="L424" i="1"/>
  <c r="L420" i="1"/>
  <c r="L416" i="1"/>
  <c r="L412" i="1"/>
  <c r="L408" i="1"/>
  <c r="L404" i="1"/>
  <c r="L400" i="1"/>
  <c r="L396" i="1"/>
  <c r="L392" i="1"/>
  <c r="L388" i="1"/>
  <c r="L384" i="1"/>
  <c r="L380" i="1"/>
  <c r="L376" i="1"/>
  <c r="L372" i="1"/>
  <c r="L368" i="1"/>
  <c r="L364" i="1"/>
  <c r="L360" i="1"/>
  <c r="L356" i="1"/>
  <c r="L352" i="1"/>
  <c r="L348" i="1"/>
  <c r="L344" i="1"/>
  <c r="L340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L272" i="1"/>
  <c r="L270" i="1"/>
  <c r="L268" i="1"/>
  <c r="L266" i="1"/>
  <c r="L264" i="1"/>
  <c r="L262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8" i="1"/>
  <c r="L86" i="1"/>
  <c r="L84" i="1"/>
  <c r="L82" i="1"/>
  <c r="L4" i="1"/>
  <c r="L6" i="1"/>
  <c r="L8" i="1"/>
  <c r="L10" i="1"/>
  <c r="L12" i="1"/>
  <c r="L14" i="1"/>
  <c r="L16" i="1"/>
  <c r="L18" i="1"/>
  <c r="L20" i="1"/>
  <c r="L22" i="1"/>
  <c r="L24" i="1"/>
  <c r="L26" i="1"/>
  <c r="L28" i="1"/>
  <c r="L30" i="1"/>
  <c r="L32" i="1"/>
  <c r="L34" i="1"/>
  <c r="L36" i="1"/>
  <c r="L38" i="1"/>
  <c r="L40" i="1"/>
  <c r="L42" i="1"/>
  <c r="L44" i="1"/>
  <c r="L46" i="1"/>
  <c r="L48" i="1"/>
  <c r="L50" i="1"/>
  <c r="L52" i="1"/>
  <c r="L54" i="1"/>
  <c r="L56" i="1"/>
  <c r="L58" i="1"/>
  <c r="L60" i="1"/>
  <c r="L62" i="1"/>
  <c r="L64" i="1"/>
  <c r="L66" i="1"/>
  <c r="L68" i="1"/>
  <c r="L70" i="1"/>
  <c r="L72" i="1"/>
  <c r="L74" i="1"/>
  <c r="L76" i="1"/>
  <c r="L78" i="1"/>
  <c r="L80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35" i="1"/>
  <c r="L239" i="1"/>
  <c r="L243" i="1"/>
  <c r="L247" i="1"/>
  <c r="L251" i="1"/>
  <c r="L255" i="1"/>
  <c r="L259" i="1"/>
  <c r="L263" i="1"/>
  <c r="L267" i="1"/>
  <c r="L271" i="1"/>
  <c r="L275" i="1"/>
  <c r="L279" i="1"/>
  <c r="L283" i="1"/>
  <c r="L287" i="1"/>
  <c r="L291" i="1"/>
  <c r="L295" i="1"/>
  <c r="L299" i="1"/>
  <c r="L303" i="1"/>
  <c r="L307" i="1"/>
  <c r="L311" i="1"/>
  <c r="L315" i="1"/>
  <c r="L319" i="1"/>
  <c r="L323" i="1"/>
  <c r="L327" i="1"/>
  <c r="L331" i="1"/>
  <c r="L335" i="1"/>
  <c r="L342" i="1"/>
  <c r="L350" i="1"/>
  <c r="L358" i="1"/>
  <c r="L366" i="1"/>
  <c r="L374" i="1"/>
  <c r="L382" i="1"/>
  <c r="L390" i="1"/>
  <c r="L398" i="1"/>
  <c r="L406" i="1"/>
  <c r="L414" i="1"/>
  <c r="L422" i="1"/>
  <c r="L430" i="1"/>
  <c r="L438" i="1"/>
  <c r="L446" i="1"/>
  <c r="L454" i="1"/>
  <c r="L462" i="1"/>
  <c r="L470" i="1"/>
  <c r="L478" i="1"/>
  <c r="L486" i="1"/>
  <c r="L494" i="1"/>
  <c r="L502" i="1"/>
  <c r="AP25" i="1"/>
  <c r="K505" i="1"/>
  <c r="K2" i="1"/>
  <c r="AP14" i="1"/>
  <c r="AJ14" i="1"/>
  <c r="AL14" i="1"/>
  <c r="AI14" i="1"/>
  <c r="AK14" i="1"/>
  <c r="AJ6" i="1"/>
  <c r="AL6" i="1"/>
  <c r="AI6" i="1"/>
  <c r="AK6" i="1"/>
  <c r="AJ12" i="1"/>
  <c r="AL12" i="1"/>
  <c r="AI12" i="1"/>
  <c r="AK12" i="1"/>
  <c r="AJ4" i="1"/>
  <c r="AL4" i="1"/>
  <c r="AI4" i="1"/>
  <c r="AK4" i="1"/>
  <c r="AI15" i="1"/>
  <c r="AK15" i="1"/>
  <c r="AP15" i="1"/>
  <c r="AJ15" i="1"/>
  <c r="AL15" i="1"/>
  <c r="AI11" i="1"/>
  <c r="AK11" i="1"/>
  <c r="AJ11" i="1"/>
  <c r="AL11" i="1"/>
  <c r="AI7" i="1"/>
  <c r="AK7" i="1"/>
  <c r="AJ7" i="1"/>
  <c r="AL7" i="1"/>
  <c r="AH21" i="1"/>
  <c r="AI18" i="1"/>
  <c r="AK18" i="1"/>
  <c r="AJ18" i="1"/>
  <c r="AL18" i="1"/>
  <c r="AR18" i="1"/>
  <c r="B27" i="1"/>
  <c r="AJ10" i="1"/>
  <c r="AL10" i="1"/>
  <c r="AI10" i="1"/>
  <c r="AK10" i="1"/>
  <c r="AK3" i="1"/>
  <c r="AI3" i="1"/>
  <c r="AL3" i="1"/>
  <c r="AJ3" i="1"/>
  <c r="AJ8" i="1"/>
  <c r="AL8" i="1"/>
  <c r="AI8" i="1"/>
  <c r="AK8" i="1"/>
  <c r="AJ17" i="1"/>
  <c r="AL17" i="1"/>
  <c r="AI17" i="1"/>
  <c r="AR17" i="1"/>
  <c r="AK17" i="1"/>
  <c r="AI13" i="1"/>
  <c r="AK13" i="1"/>
  <c r="AP13" i="1"/>
  <c r="AJ13" i="1"/>
  <c r="AL13" i="1"/>
  <c r="AI9" i="1"/>
  <c r="AK9" i="1"/>
  <c r="AJ9" i="1"/>
  <c r="AL9" i="1"/>
  <c r="AI5" i="1"/>
  <c r="AK5" i="1"/>
  <c r="AJ5" i="1"/>
  <c r="AL5" i="1"/>
  <c r="AI19" i="1"/>
  <c r="AL19" i="1"/>
  <c r="AR19" i="1"/>
  <c r="AJ19" i="1"/>
  <c r="AK19" i="1"/>
  <c r="AH28" i="1"/>
  <c r="AR27" i="1"/>
  <c r="AS25" i="1"/>
  <c r="AO26" i="1"/>
  <c r="AM26" i="1"/>
  <c r="AN26" i="1"/>
  <c r="AK27" i="1"/>
  <c r="AL27" i="1"/>
  <c r="AI27" i="1"/>
  <c r="AJ27" i="1"/>
  <c r="B51" i="1"/>
  <c r="B48" i="1"/>
  <c r="B52" i="1"/>
  <c r="B47" i="1"/>
  <c r="B43" i="1"/>
  <c r="C23" i="1"/>
  <c r="C18" i="1"/>
  <c r="B19" i="1" s="1"/>
  <c r="B17" i="1"/>
  <c r="B59" i="1" s="1"/>
  <c r="B60" i="1" s="1"/>
  <c r="B63" i="1" s="1"/>
  <c r="C21" i="1"/>
  <c r="B22" i="1" s="1"/>
  <c r="B23" i="1"/>
  <c r="B21" i="1"/>
  <c r="W4" i="1"/>
  <c r="W6" i="1"/>
  <c r="W8" i="1"/>
  <c r="W10" i="1"/>
  <c r="W12" i="1"/>
  <c r="W14" i="1"/>
  <c r="W16" i="1"/>
  <c r="W18" i="1"/>
  <c r="W20" i="1"/>
  <c r="W22" i="1"/>
  <c r="W24" i="1"/>
  <c r="W26" i="1"/>
  <c r="W28" i="1"/>
  <c r="W30" i="1"/>
  <c r="W32" i="1"/>
  <c r="W34" i="1"/>
  <c r="W36" i="1"/>
  <c r="W38" i="1"/>
  <c r="W40" i="1"/>
  <c r="W42" i="1"/>
  <c r="W44" i="1"/>
  <c r="W46" i="1"/>
  <c r="W48" i="1"/>
  <c r="W50" i="1"/>
  <c r="W52" i="1"/>
  <c r="W54" i="1"/>
  <c r="W56" i="1"/>
  <c r="W58" i="1"/>
  <c r="W60" i="1"/>
  <c r="W62" i="1"/>
  <c r="W64" i="1"/>
  <c r="W66" i="1"/>
  <c r="W68" i="1"/>
  <c r="W70" i="1"/>
  <c r="W72" i="1"/>
  <c r="W74" i="1"/>
  <c r="W76" i="1"/>
  <c r="W78" i="1"/>
  <c r="W80" i="1"/>
  <c r="W82" i="1"/>
  <c r="W84" i="1"/>
  <c r="W86" i="1"/>
  <c r="W88" i="1"/>
  <c r="W90" i="1"/>
  <c r="W92" i="1"/>
  <c r="W94" i="1"/>
  <c r="W96" i="1"/>
  <c r="W98" i="1"/>
  <c r="W100" i="1"/>
  <c r="W102" i="1"/>
  <c r="W104" i="1"/>
  <c r="W106" i="1"/>
  <c r="W108" i="1"/>
  <c r="W110" i="1"/>
  <c r="W112" i="1"/>
  <c r="W114" i="1"/>
  <c r="W116" i="1"/>
  <c r="W118" i="1"/>
  <c r="W120" i="1"/>
  <c r="W122" i="1"/>
  <c r="W124" i="1"/>
  <c r="W126" i="1"/>
  <c r="W128" i="1"/>
  <c r="W130" i="1"/>
  <c r="W132" i="1"/>
  <c r="W134" i="1"/>
  <c r="W136" i="1"/>
  <c r="W138" i="1"/>
  <c r="W140" i="1"/>
  <c r="W142" i="1"/>
  <c r="W144" i="1"/>
  <c r="W146" i="1"/>
  <c r="W148" i="1"/>
  <c r="W150" i="1"/>
  <c r="W152" i="1"/>
  <c r="W154" i="1"/>
  <c r="W156" i="1"/>
  <c r="W158" i="1"/>
  <c r="W160" i="1"/>
  <c r="W162" i="1"/>
  <c r="W164" i="1"/>
  <c r="W166" i="1"/>
  <c r="W168" i="1"/>
  <c r="W170" i="1"/>
  <c r="W172" i="1"/>
  <c r="W174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W244" i="1"/>
  <c r="W246" i="1"/>
  <c r="W248" i="1"/>
  <c r="W250" i="1"/>
  <c r="W252" i="1"/>
  <c r="W254" i="1"/>
  <c r="W256" i="1"/>
  <c r="W258" i="1"/>
  <c r="W260" i="1"/>
  <c r="W262" i="1"/>
  <c r="W264" i="1"/>
  <c r="W266" i="1"/>
  <c r="W268" i="1"/>
  <c r="W270" i="1"/>
  <c r="W272" i="1"/>
  <c r="W274" i="1"/>
  <c r="W276" i="1"/>
  <c r="W278" i="1"/>
  <c r="W280" i="1"/>
  <c r="W282" i="1"/>
  <c r="W284" i="1"/>
  <c r="W286" i="1"/>
  <c r="W288" i="1"/>
  <c r="W290" i="1"/>
  <c r="W292" i="1"/>
  <c r="W294" i="1"/>
  <c r="W296" i="1"/>
  <c r="W298" i="1"/>
  <c r="W300" i="1"/>
  <c r="W302" i="1"/>
  <c r="W304" i="1"/>
  <c r="W306" i="1"/>
  <c r="W308" i="1"/>
  <c r="W310" i="1"/>
  <c r="W312" i="1"/>
  <c r="W314" i="1"/>
  <c r="W316" i="1"/>
  <c r="W318" i="1"/>
  <c r="W320" i="1"/>
  <c r="W322" i="1"/>
  <c r="W324" i="1"/>
  <c r="W326" i="1"/>
  <c r="W328" i="1"/>
  <c r="W330" i="1"/>
  <c r="W332" i="1"/>
  <c r="W334" i="1"/>
  <c r="W336" i="1"/>
  <c r="W338" i="1"/>
  <c r="W340" i="1"/>
  <c r="W342" i="1"/>
  <c r="W344" i="1"/>
  <c r="W346" i="1"/>
  <c r="W348" i="1"/>
  <c r="W350" i="1"/>
  <c r="W352" i="1"/>
  <c r="W354" i="1"/>
  <c r="W356" i="1"/>
  <c r="W358" i="1"/>
  <c r="W360" i="1"/>
  <c r="W362" i="1"/>
  <c r="W364" i="1"/>
  <c r="W366" i="1"/>
  <c r="W368" i="1"/>
  <c r="W370" i="1"/>
  <c r="W372" i="1"/>
  <c r="W374" i="1"/>
  <c r="W376" i="1"/>
  <c r="W378" i="1"/>
  <c r="W380" i="1"/>
  <c r="W382" i="1"/>
  <c r="W384" i="1"/>
  <c r="W386" i="1"/>
  <c r="W388" i="1"/>
  <c r="W390" i="1"/>
  <c r="W392" i="1"/>
  <c r="W394" i="1"/>
  <c r="W396" i="1"/>
  <c r="W398" i="1"/>
  <c r="W400" i="1"/>
  <c r="W402" i="1"/>
  <c r="W404" i="1"/>
  <c r="W406" i="1"/>
  <c r="W408" i="1"/>
  <c r="W410" i="1"/>
  <c r="W412" i="1"/>
  <c r="W414" i="1"/>
  <c r="W416" i="1"/>
  <c r="W418" i="1"/>
  <c r="W420" i="1"/>
  <c r="W422" i="1"/>
  <c r="W424" i="1"/>
  <c r="W426" i="1"/>
  <c r="W428" i="1"/>
  <c r="W430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W55" i="1"/>
  <c r="W59" i="1"/>
  <c r="W63" i="1"/>
  <c r="W67" i="1"/>
  <c r="W71" i="1"/>
  <c r="W75" i="1"/>
  <c r="W79" i="1"/>
  <c r="W83" i="1"/>
  <c r="W87" i="1"/>
  <c r="W91" i="1"/>
  <c r="W95" i="1"/>
  <c r="W99" i="1"/>
  <c r="W103" i="1"/>
  <c r="W107" i="1"/>
  <c r="W111" i="1"/>
  <c r="W115" i="1"/>
  <c r="W119" i="1"/>
  <c r="W123" i="1"/>
  <c r="W127" i="1"/>
  <c r="W131" i="1"/>
  <c r="W135" i="1"/>
  <c r="W139" i="1"/>
  <c r="W143" i="1"/>
  <c r="W147" i="1"/>
  <c r="W151" i="1"/>
  <c r="W155" i="1"/>
  <c r="W159" i="1"/>
  <c r="W163" i="1"/>
  <c r="W167" i="1"/>
  <c r="W171" i="1"/>
  <c r="W175" i="1"/>
  <c r="W179" i="1"/>
  <c r="W183" i="1"/>
  <c r="W187" i="1"/>
  <c r="W191" i="1"/>
  <c r="W195" i="1"/>
  <c r="W199" i="1"/>
  <c r="W203" i="1"/>
  <c r="W207" i="1"/>
  <c r="W211" i="1"/>
  <c r="W215" i="1"/>
  <c r="W219" i="1"/>
  <c r="W223" i="1"/>
  <c r="W227" i="1"/>
  <c r="W231" i="1"/>
  <c r="W235" i="1"/>
  <c r="W239" i="1"/>
  <c r="W243" i="1"/>
  <c r="W247" i="1"/>
  <c r="W251" i="1"/>
  <c r="W255" i="1"/>
  <c r="W259" i="1"/>
  <c r="W263" i="1"/>
  <c r="W267" i="1"/>
  <c r="W271" i="1"/>
  <c r="W275" i="1"/>
  <c r="W279" i="1"/>
  <c r="W283" i="1"/>
  <c r="W287" i="1"/>
  <c r="W291" i="1"/>
  <c r="W295" i="1"/>
  <c r="W299" i="1"/>
  <c r="W303" i="1"/>
  <c r="W307" i="1"/>
  <c r="W311" i="1"/>
  <c r="W315" i="1"/>
  <c r="W319" i="1"/>
  <c r="W323" i="1"/>
  <c r="W327" i="1"/>
  <c r="W331" i="1"/>
  <c r="W335" i="1"/>
  <c r="W339" i="1"/>
  <c r="W343" i="1"/>
  <c r="W347" i="1"/>
  <c r="W351" i="1"/>
  <c r="W355" i="1"/>
  <c r="W359" i="1"/>
  <c r="W363" i="1"/>
  <c r="W367" i="1"/>
  <c r="W371" i="1"/>
  <c r="W375" i="1"/>
  <c r="W379" i="1"/>
  <c r="W383" i="1"/>
  <c r="W387" i="1"/>
  <c r="W391" i="1"/>
  <c r="W395" i="1"/>
  <c r="W399" i="1"/>
  <c r="W403" i="1"/>
  <c r="W407" i="1"/>
  <c r="W411" i="1"/>
  <c r="W415" i="1"/>
  <c r="W419" i="1"/>
  <c r="W423" i="1"/>
  <c r="W427" i="1"/>
  <c r="W431" i="1"/>
  <c r="W433" i="1"/>
  <c r="W435" i="1"/>
  <c r="W437" i="1"/>
  <c r="W439" i="1"/>
  <c r="W441" i="1"/>
  <c r="W443" i="1"/>
  <c r="W445" i="1"/>
  <c r="W447" i="1"/>
  <c r="W449" i="1"/>
  <c r="W451" i="1"/>
  <c r="W453" i="1"/>
  <c r="W455" i="1"/>
  <c r="W457" i="1"/>
  <c r="W459" i="1"/>
  <c r="W461" i="1"/>
  <c r="W463" i="1"/>
  <c r="W465" i="1"/>
  <c r="W467" i="1"/>
  <c r="W469" i="1"/>
  <c r="W471" i="1"/>
  <c r="W473" i="1"/>
  <c r="W475" i="1"/>
  <c r="W477" i="1"/>
  <c r="W479" i="1"/>
  <c r="W481" i="1"/>
  <c r="W483" i="1"/>
  <c r="W485" i="1"/>
  <c r="W487" i="1"/>
  <c r="W489" i="1"/>
  <c r="W491" i="1"/>
  <c r="W493" i="1"/>
  <c r="W495" i="1"/>
  <c r="W497" i="1"/>
  <c r="W499" i="1"/>
  <c r="W501" i="1"/>
  <c r="W503" i="1"/>
  <c r="W505" i="1"/>
  <c r="W507" i="1"/>
  <c r="W509" i="1"/>
  <c r="W511" i="1"/>
  <c r="W513" i="1"/>
  <c r="W515" i="1"/>
  <c r="W517" i="1"/>
  <c r="W519" i="1"/>
  <c r="W521" i="1"/>
  <c r="W523" i="1"/>
  <c r="W525" i="1"/>
  <c r="W527" i="1"/>
  <c r="W529" i="1"/>
  <c r="W531" i="1"/>
  <c r="W533" i="1"/>
  <c r="W535" i="1"/>
  <c r="W537" i="1"/>
  <c r="W539" i="1"/>
  <c r="W541" i="1"/>
  <c r="W543" i="1"/>
  <c r="W545" i="1"/>
  <c r="W547" i="1"/>
  <c r="W549" i="1"/>
  <c r="W551" i="1"/>
  <c r="W553" i="1"/>
  <c r="W555" i="1"/>
  <c r="W557" i="1"/>
  <c r="W559" i="1"/>
  <c r="W561" i="1"/>
  <c r="W563" i="1"/>
  <c r="W565" i="1"/>
  <c r="W567" i="1"/>
  <c r="W569" i="1"/>
  <c r="W571" i="1"/>
  <c r="W573" i="1"/>
  <c r="W575" i="1"/>
  <c r="W577" i="1"/>
  <c r="W579" i="1"/>
  <c r="W581" i="1"/>
  <c r="W583" i="1"/>
  <c r="W585" i="1"/>
  <c r="W587" i="1"/>
  <c r="W589" i="1"/>
  <c r="W591" i="1"/>
  <c r="W593" i="1"/>
  <c r="W595" i="1"/>
  <c r="W597" i="1"/>
  <c r="W599" i="1"/>
  <c r="W601" i="1"/>
  <c r="W603" i="1"/>
  <c r="W605" i="1"/>
  <c r="W607" i="1"/>
  <c r="W609" i="1"/>
  <c r="W611" i="1"/>
  <c r="W613" i="1"/>
  <c r="W615" i="1"/>
  <c r="W617" i="1"/>
  <c r="W619" i="1"/>
  <c r="W621" i="1"/>
  <c r="W623" i="1"/>
  <c r="W625" i="1"/>
  <c r="W627" i="1"/>
  <c r="W629" i="1"/>
  <c r="W631" i="1"/>
  <c r="W633" i="1"/>
  <c r="W635" i="1"/>
  <c r="W637" i="1"/>
  <c r="W639" i="1"/>
  <c r="W641" i="1"/>
  <c r="W643" i="1"/>
  <c r="W645" i="1"/>
  <c r="W647" i="1"/>
  <c r="W649" i="1"/>
  <c r="W651" i="1"/>
  <c r="W653" i="1"/>
  <c r="W655" i="1"/>
  <c r="W657" i="1"/>
  <c r="W659" i="1"/>
  <c r="W661" i="1"/>
  <c r="W663" i="1"/>
  <c r="W665" i="1"/>
  <c r="W667" i="1"/>
  <c r="W669" i="1"/>
  <c r="W671" i="1"/>
  <c r="W673" i="1"/>
  <c r="W675" i="1"/>
  <c r="W677" i="1"/>
  <c r="W679" i="1"/>
  <c r="W681" i="1"/>
  <c r="W683" i="1"/>
  <c r="W685" i="1"/>
  <c r="W687" i="1"/>
  <c r="W689" i="1"/>
  <c r="W691" i="1"/>
  <c r="W693" i="1"/>
  <c r="W695" i="1"/>
  <c r="W697" i="1"/>
  <c r="W699" i="1"/>
  <c r="W701" i="1"/>
  <c r="W703" i="1"/>
  <c r="W705" i="1"/>
  <c r="W707" i="1"/>
  <c r="W709" i="1"/>
  <c r="W711" i="1"/>
  <c r="W713" i="1"/>
  <c r="W715" i="1"/>
  <c r="W717" i="1"/>
  <c r="W719" i="1"/>
  <c r="W721" i="1"/>
  <c r="W723" i="1"/>
  <c r="W725" i="1"/>
  <c r="W727" i="1"/>
  <c r="W729" i="1"/>
  <c r="W731" i="1"/>
  <c r="W733" i="1"/>
  <c r="W735" i="1"/>
  <c r="W737" i="1"/>
  <c r="W739" i="1"/>
  <c r="W741" i="1"/>
  <c r="W743" i="1"/>
  <c r="W745" i="1"/>
  <c r="W747" i="1"/>
  <c r="W749" i="1"/>
  <c r="W751" i="1"/>
  <c r="W753" i="1"/>
  <c r="W755" i="1"/>
  <c r="W757" i="1"/>
  <c r="W759" i="1"/>
  <c r="W761" i="1"/>
  <c r="W763" i="1"/>
  <c r="W765" i="1"/>
  <c r="W767" i="1"/>
  <c r="W769" i="1"/>
  <c r="W771" i="1"/>
  <c r="W773" i="1"/>
  <c r="W775" i="1"/>
  <c r="W777" i="1"/>
  <c r="W779" i="1"/>
  <c r="W781" i="1"/>
  <c r="W783" i="1"/>
  <c r="W785" i="1"/>
  <c r="W787" i="1"/>
  <c r="W789" i="1"/>
  <c r="W791" i="1"/>
  <c r="W793" i="1"/>
  <c r="W795" i="1"/>
  <c r="W797" i="1"/>
  <c r="W799" i="1"/>
  <c r="W801" i="1"/>
  <c r="W803" i="1"/>
  <c r="W805" i="1"/>
  <c r="W807" i="1"/>
  <c r="W809" i="1"/>
  <c r="W811" i="1"/>
  <c r="W813" i="1"/>
  <c r="W815" i="1"/>
  <c r="W817" i="1"/>
  <c r="W819" i="1"/>
  <c r="W821" i="1"/>
  <c r="W823" i="1"/>
  <c r="W825" i="1"/>
  <c r="W827" i="1"/>
  <c r="W829" i="1"/>
  <c r="W831" i="1"/>
  <c r="W833" i="1"/>
  <c r="W835" i="1"/>
  <c r="W837" i="1"/>
  <c r="W839" i="1"/>
  <c r="W841" i="1"/>
  <c r="W843" i="1"/>
  <c r="W845" i="1"/>
  <c r="W847" i="1"/>
  <c r="W849" i="1"/>
  <c r="W851" i="1"/>
  <c r="W853" i="1"/>
  <c r="W855" i="1"/>
  <c r="W857" i="1"/>
  <c r="W859" i="1"/>
  <c r="W861" i="1"/>
  <c r="W863" i="1"/>
  <c r="W865" i="1"/>
  <c r="W867" i="1"/>
  <c r="W869" i="1"/>
  <c r="W871" i="1"/>
  <c r="W873" i="1"/>
  <c r="W875" i="1"/>
  <c r="W877" i="1"/>
  <c r="W879" i="1"/>
  <c r="W881" i="1"/>
  <c r="W883" i="1"/>
  <c r="W885" i="1"/>
  <c r="W887" i="1"/>
  <c r="W889" i="1"/>
  <c r="W891" i="1"/>
  <c r="W893" i="1"/>
  <c r="W895" i="1"/>
  <c r="W897" i="1"/>
  <c r="W899" i="1"/>
  <c r="W901" i="1"/>
  <c r="W903" i="1"/>
  <c r="W905" i="1"/>
  <c r="W907" i="1"/>
  <c r="W909" i="1"/>
  <c r="W911" i="1"/>
  <c r="W913" i="1"/>
  <c r="W915" i="1"/>
  <c r="W917" i="1"/>
  <c r="W919" i="1"/>
  <c r="W921" i="1"/>
  <c r="W923" i="1"/>
  <c r="W925" i="1"/>
  <c r="W927" i="1"/>
  <c r="W929" i="1"/>
  <c r="W931" i="1"/>
  <c r="W933" i="1"/>
  <c r="W935" i="1"/>
  <c r="W937" i="1"/>
  <c r="W939" i="1"/>
  <c r="W941" i="1"/>
  <c r="W943" i="1"/>
  <c r="W945" i="1"/>
  <c r="W947" i="1"/>
  <c r="W949" i="1"/>
  <c r="W951" i="1"/>
  <c r="W953" i="1"/>
  <c r="W955" i="1"/>
  <c r="W957" i="1"/>
  <c r="W959" i="1"/>
  <c r="W961" i="1"/>
  <c r="W963" i="1"/>
  <c r="W965" i="1"/>
  <c r="W967" i="1"/>
  <c r="W969" i="1"/>
  <c r="W971" i="1"/>
  <c r="W973" i="1"/>
  <c r="W975" i="1"/>
  <c r="W977" i="1"/>
  <c r="W979" i="1"/>
  <c r="W981" i="1"/>
  <c r="W983" i="1"/>
  <c r="W985" i="1"/>
  <c r="W987" i="1"/>
  <c r="W989" i="1"/>
  <c r="W991" i="1"/>
  <c r="W993" i="1"/>
  <c r="W995" i="1"/>
  <c r="W997" i="1"/>
  <c r="W999" i="1"/>
  <c r="W1001" i="1"/>
  <c r="W1003" i="1"/>
  <c r="W1005" i="1"/>
  <c r="W1007" i="1"/>
  <c r="W1009" i="1"/>
  <c r="W1011" i="1"/>
  <c r="W1013" i="1"/>
  <c r="W1015" i="1"/>
  <c r="W1017" i="1"/>
  <c r="W1019" i="1"/>
  <c r="W1021" i="1"/>
  <c r="W1023" i="1"/>
  <c r="W1025" i="1"/>
  <c r="W1027" i="1"/>
  <c r="W1029" i="1"/>
  <c r="W1031" i="1"/>
  <c r="W1033" i="1"/>
  <c r="W1035" i="1"/>
  <c r="W1037" i="1"/>
  <c r="W1039" i="1"/>
  <c r="W1041" i="1"/>
  <c r="W1043" i="1"/>
  <c r="W1045" i="1"/>
  <c r="W1047" i="1"/>
  <c r="W1049" i="1"/>
  <c r="W1051" i="1"/>
  <c r="W1053" i="1"/>
  <c r="W1055" i="1"/>
  <c r="W1057" i="1"/>
  <c r="W1059" i="1"/>
  <c r="W1061" i="1"/>
  <c r="W1063" i="1"/>
  <c r="W1065" i="1"/>
  <c r="W1067" i="1"/>
  <c r="W1069" i="1"/>
  <c r="W1071" i="1"/>
  <c r="W1073" i="1"/>
  <c r="W1075" i="1"/>
  <c r="W1077" i="1"/>
  <c r="W1079" i="1"/>
  <c r="W1081" i="1"/>
  <c r="W1083" i="1"/>
  <c r="W1085" i="1"/>
  <c r="W1087" i="1"/>
  <c r="W1089" i="1"/>
  <c r="W1091" i="1"/>
  <c r="W1093" i="1"/>
  <c r="W1095" i="1"/>
  <c r="W1097" i="1"/>
  <c r="W1099" i="1"/>
  <c r="W1101" i="1"/>
  <c r="W1103" i="1"/>
  <c r="W1105" i="1"/>
  <c r="W1107" i="1"/>
  <c r="W1109" i="1"/>
  <c r="W1111" i="1"/>
  <c r="W1113" i="1"/>
  <c r="W1115" i="1"/>
  <c r="W1117" i="1"/>
  <c r="W1119" i="1"/>
  <c r="W1121" i="1"/>
  <c r="W1123" i="1"/>
  <c r="W1125" i="1"/>
  <c r="W1127" i="1"/>
  <c r="W1129" i="1"/>
  <c r="W1131" i="1"/>
  <c r="W1133" i="1"/>
  <c r="W1135" i="1"/>
  <c r="W1137" i="1"/>
  <c r="W1139" i="1"/>
  <c r="W1141" i="1"/>
  <c r="W1143" i="1"/>
  <c r="W1145" i="1"/>
  <c r="W1147" i="1"/>
  <c r="W1149" i="1"/>
  <c r="W1151" i="1"/>
  <c r="W1153" i="1"/>
  <c r="W1155" i="1"/>
  <c r="W1157" i="1"/>
  <c r="W1159" i="1"/>
  <c r="W1161" i="1"/>
  <c r="W1163" i="1"/>
  <c r="W1165" i="1"/>
  <c r="W1167" i="1"/>
  <c r="W1169" i="1"/>
  <c r="W1171" i="1"/>
  <c r="W1173" i="1"/>
  <c r="W1175" i="1"/>
  <c r="W1177" i="1"/>
  <c r="W1179" i="1"/>
  <c r="W1181" i="1"/>
  <c r="W1183" i="1"/>
  <c r="W1185" i="1"/>
  <c r="W1187" i="1"/>
  <c r="W1189" i="1"/>
  <c r="W1191" i="1"/>
  <c r="W1193" i="1"/>
  <c r="W1195" i="1"/>
  <c r="W1197" i="1"/>
  <c r="W1199" i="1"/>
  <c r="W1201" i="1"/>
  <c r="W1203" i="1"/>
  <c r="W1205" i="1"/>
  <c r="W1207" i="1"/>
  <c r="W1209" i="1"/>
  <c r="W1211" i="1"/>
  <c r="W1213" i="1"/>
  <c r="W1215" i="1"/>
  <c r="W1217" i="1"/>
  <c r="W1219" i="1"/>
  <c r="W1221" i="1"/>
  <c r="W1223" i="1"/>
  <c r="W1225" i="1"/>
  <c r="W1227" i="1"/>
  <c r="W1229" i="1"/>
  <c r="W1231" i="1"/>
  <c r="W1233" i="1"/>
  <c r="W1235" i="1"/>
  <c r="W1237" i="1"/>
  <c r="W1239" i="1"/>
  <c r="W1241" i="1"/>
  <c r="W1243" i="1"/>
  <c r="W1245" i="1"/>
  <c r="W1247" i="1"/>
  <c r="W1249" i="1"/>
  <c r="W1251" i="1"/>
  <c r="W1253" i="1"/>
  <c r="W1255" i="1"/>
  <c r="W1257" i="1"/>
  <c r="W1259" i="1"/>
  <c r="W1261" i="1"/>
  <c r="W1263" i="1"/>
  <c r="W1265" i="1"/>
  <c r="W1267" i="1"/>
  <c r="W1269" i="1"/>
  <c r="W1271" i="1"/>
  <c r="W1273" i="1"/>
  <c r="W1275" i="1"/>
  <c r="W1277" i="1"/>
  <c r="W1279" i="1"/>
  <c r="W1281" i="1"/>
  <c r="W1283" i="1"/>
  <c r="W1285" i="1"/>
  <c r="W1287" i="1"/>
  <c r="W1289" i="1"/>
  <c r="W1291" i="1"/>
  <c r="W1293" i="1"/>
  <c r="W1295" i="1"/>
  <c r="W1297" i="1"/>
  <c r="W1299" i="1"/>
  <c r="W1301" i="1"/>
  <c r="W1303" i="1"/>
  <c r="W1305" i="1"/>
  <c r="W1307" i="1"/>
  <c r="W1309" i="1"/>
  <c r="W1311" i="1"/>
  <c r="W1313" i="1"/>
  <c r="W1315" i="1"/>
  <c r="W1317" i="1"/>
  <c r="W1319" i="1"/>
  <c r="W1321" i="1"/>
  <c r="W1323" i="1"/>
  <c r="W1325" i="1"/>
  <c r="W1327" i="1"/>
  <c r="W1329" i="1"/>
  <c r="W1331" i="1"/>
  <c r="W1333" i="1"/>
  <c r="W1335" i="1"/>
  <c r="W1337" i="1"/>
  <c r="W1339" i="1"/>
  <c r="W1341" i="1"/>
  <c r="W1343" i="1"/>
  <c r="W1345" i="1"/>
  <c r="W1347" i="1"/>
  <c r="W1349" i="1"/>
  <c r="W1351" i="1"/>
  <c r="W1353" i="1"/>
  <c r="W1355" i="1"/>
  <c r="W1357" i="1"/>
  <c r="W1359" i="1"/>
  <c r="W1361" i="1"/>
  <c r="W1363" i="1"/>
  <c r="W1365" i="1"/>
  <c r="W1367" i="1"/>
  <c r="W1369" i="1"/>
  <c r="W1371" i="1"/>
  <c r="W1373" i="1"/>
  <c r="W1375" i="1"/>
  <c r="W1377" i="1"/>
  <c r="W1379" i="1"/>
  <c r="W1381" i="1"/>
  <c r="W1383" i="1"/>
  <c r="W1385" i="1"/>
  <c r="W1387" i="1"/>
  <c r="W1389" i="1"/>
  <c r="W1391" i="1"/>
  <c r="W1393" i="1"/>
  <c r="W1395" i="1"/>
  <c r="W1397" i="1"/>
  <c r="W1399" i="1"/>
  <c r="W1401" i="1"/>
  <c r="W1403" i="1"/>
  <c r="W1405" i="1"/>
  <c r="W1407" i="1"/>
  <c r="W1409" i="1"/>
  <c r="W1411" i="1"/>
  <c r="W1413" i="1"/>
  <c r="W1415" i="1"/>
  <c r="W1417" i="1"/>
  <c r="W1419" i="1"/>
  <c r="W1421" i="1"/>
  <c r="W1423" i="1"/>
  <c r="W1425" i="1"/>
  <c r="W1427" i="1"/>
  <c r="W1429" i="1"/>
  <c r="W1431" i="1"/>
  <c r="W1433" i="1"/>
  <c r="W1435" i="1"/>
  <c r="W1437" i="1"/>
  <c r="W1439" i="1"/>
  <c r="W1441" i="1"/>
  <c r="W1443" i="1"/>
  <c r="W1445" i="1"/>
  <c r="W1447" i="1"/>
  <c r="W1449" i="1"/>
  <c r="W1451" i="1"/>
  <c r="W5" i="1"/>
  <c r="W13" i="1"/>
  <c r="W21" i="1"/>
  <c r="W29" i="1"/>
  <c r="W37" i="1"/>
  <c r="W45" i="1"/>
  <c r="W53" i="1"/>
  <c r="W61" i="1"/>
  <c r="W69" i="1"/>
  <c r="W77" i="1"/>
  <c r="W85" i="1"/>
  <c r="W93" i="1"/>
  <c r="W101" i="1"/>
  <c r="W109" i="1"/>
  <c r="W117" i="1"/>
  <c r="W125" i="1"/>
  <c r="W133" i="1"/>
  <c r="W141" i="1"/>
  <c r="W149" i="1"/>
  <c r="W157" i="1"/>
  <c r="W165" i="1"/>
  <c r="W173" i="1"/>
  <c r="W181" i="1"/>
  <c r="W189" i="1"/>
  <c r="W197" i="1"/>
  <c r="W205" i="1"/>
  <c r="W213" i="1"/>
  <c r="W221" i="1"/>
  <c r="W229" i="1"/>
  <c r="W237" i="1"/>
  <c r="W245" i="1"/>
  <c r="W253" i="1"/>
  <c r="W261" i="1"/>
  <c r="W269" i="1"/>
  <c r="W277" i="1"/>
  <c r="W285" i="1"/>
  <c r="W293" i="1"/>
  <c r="W301" i="1"/>
  <c r="W309" i="1"/>
  <c r="W317" i="1"/>
  <c r="W325" i="1"/>
  <c r="W333" i="1"/>
  <c r="W341" i="1"/>
  <c r="W349" i="1"/>
  <c r="W357" i="1"/>
  <c r="W365" i="1"/>
  <c r="W373" i="1"/>
  <c r="W381" i="1"/>
  <c r="W389" i="1"/>
  <c r="W397" i="1"/>
  <c r="W405" i="1"/>
  <c r="W413" i="1"/>
  <c r="W421" i="1"/>
  <c r="W429" i="1"/>
  <c r="W434" i="1"/>
  <c r="W438" i="1"/>
  <c r="W442" i="1"/>
  <c r="W446" i="1"/>
  <c r="W450" i="1"/>
  <c r="W454" i="1"/>
  <c r="W458" i="1"/>
  <c r="W462" i="1"/>
  <c r="W466" i="1"/>
  <c r="W470" i="1"/>
  <c r="W474" i="1"/>
  <c r="W478" i="1"/>
  <c r="W482" i="1"/>
  <c r="W486" i="1"/>
  <c r="W490" i="1"/>
  <c r="W494" i="1"/>
  <c r="W498" i="1"/>
  <c r="W502" i="1"/>
  <c r="W506" i="1"/>
  <c r="W510" i="1"/>
  <c r="W514" i="1"/>
  <c r="W518" i="1"/>
  <c r="W522" i="1"/>
  <c r="W526" i="1"/>
  <c r="W530" i="1"/>
  <c r="W534" i="1"/>
  <c r="W538" i="1"/>
  <c r="W542" i="1"/>
  <c r="W546" i="1"/>
  <c r="W550" i="1"/>
  <c r="W554" i="1"/>
  <c r="W558" i="1"/>
  <c r="W562" i="1"/>
  <c r="W566" i="1"/>
  <c r="W570" i="1"/>
  <c r="W574" i="1"/>
  <c r="W578" i="1"/>
  <c r="W582" i="1"/>
  <c r="W586" i="1"/>
  <c r="W590" i="1"/>
  <c r="W594" i="1"/>
  <c r="W598" i="1"/>
  <c r="W602" i="1"/>
  <c r="W606" i="1"/>
  <c r="W610" i="1"/>
  <c r="W614" i="1"/>
  <c r="W618" i="1"/>
  <c r="W622" i="1"/>
  <c r="W626" i="1"/>
  <c r="W630" i="1"/>
  <c r="W634" i="1"/>
  <c r="W638" i="1"/>
  <c r="W642" i="1"/>
  <c r="W646" i="1"/>
  <c r="W650" i="1"/>
  <c r="W654" i="1"/>
  <c r="W658" i="1"/>
  <c r="W662" i="1"/>
  <c r="W666" i="1"/>
  <c r="W670" i="1"/>
  <c r="W674" i="1"/>
  <c r="W678" i="1"/>
  <c r="W682" i="1"/>
  <c r="W686" i="1"/>
  <c r="W690" i="1"/>
  <c r="W694" i="1"/>
  <c r="W698" i="1"/>
  <c r="W702" i="1"/>
  <c r="W706" i="1"/>
  <c r="W710" i="1"/>
  <c r="W714" i="1"/>
  <c r="W718" i="1"/>
  <c r="W722" i="1"/>
  <c r="W726" i="1"/>
  <c r="W730" i="1"/>
  <c r="W734" i="1"/>
  <c r="W738" i="1"/>
  <c r="W742" i="1"/>
  <c r="W746" i="1"/>
  <c r="W750" i="1"/>
  <c r="W754" i="1"/>
  <c r="W758" i="1"/>
  <c r="W762" i="1"/>
  <c r="W766" i="1"/>
  <c r="W770" i="1"/>
  <c r="W774" i="1"/>
  <c r="W778" i="1"/>
  <c r="W782" i="1"/>
  <c r="W786" i="1"/>
  <c r="W790" i="1"/>
  <c r="W794" i="1"/>
  <c r="W798" i="1"/>
  <c r="W802" i="1"/>
  <c r="W806" i="1"/>
  <c r="W810" i="1"/>
  <c r="W814" i="1"/>
  <c r="W818" i="1"/>
  <c r="W822" i="1"/>
  <c r="W826" i="1"/>
  <c r="W830" i="1"/>
  <c r="W834" i="1"/>
  <c r="W838" i="1"/>
  <c r="W842" i="1"/>
  <c r="W846" i="1"/>
  <c r="W850" i="1"/>
  <c r="W854" i="1"/>
  <c r="W858" i="1"/>
  <c r="W862" i="1"/>
  <c r="W866" i="1"/>
  <c r="W870" i="1"/>
  <c r="W874" i="1"/>
  <c r="W878" i="1"/>
  <c r="W882" i="1"/>
  <c r="W886" i="1"/>
  <c r="W890" i="1"/>
  <c r="W894" i="1"/>
  <c r="W898" i="1"/>
  <c r="W902" i="1"/>
  <c r="W906" i="1"/>
  <c r="W910" i="1"/>
  <c r="W914" i="1"/>
  <c r="W918" i="1"/>
  <c r="W922" i="1"/>
  <c r="W926" i="1"/>
  <c r="W930" i="1"/>
  <c r="W934" i="1"/>
  <c r="W938" i="1"/>
  <c r="W942" i="1"/>
  <c r="W946" i="1"/>
  <c r="W950" i="1"/>
  <c r="W954" i="1"/>
  <c r="W958" i="1"/>
  <c r="W962" i="1"/>
  <c r="W966" i="1"/>
  <c r="W970" i="1"/>
  <c r="W974" i="1"/>
  <c r="W978" i="1"/>
  <c r="W982" i="1"/>
  <c r="W986" i="1"/>
  <c r="W990" i="1"/>
  <c r="W994" i="1"/>
  <c r="W998" i="1"/>
  <c r="W1002" i="1"/>
  <c r="W1006" i="1"/>
  <c r="W1010" i="1"/>
  <c r="W1014" i="1"/>
  <c r="W1018" i="1"/>
  <c r="W1022" i="1"/>
  <c r="W1026" i="1"/>
  <c r="W1030" i="1"/>
  <c r="W1034" i="1"/>
  <c r="W1038" i="1"/>
  <c r="W1042" i="1"/>
  <c r="W1046" i="1"/>
  <c r="W1050" i="1"/>
  <c r="W1054" i="1"/>
  <c r="W1058" i="1"/>
  <c r="W1062" i="1"/>
  <c r="W1066" i="1"/>
  <c r="W1070" i="1"/>
  <c r="W1074" i="1"/>
  <c r="W1078" i="1"/>
  <c r="W1082" i="1"/>
  <c r="W1086" i="1"/>
  <c r="W1090" i="1"/>
  <c r="W1094" i="1"/>
  <c r="W1098" i="1"/>
  <c r="W1102" i="1"/>
  <c r="W1106" i="1"/>
  <c r="W1110" i="1"/>
  <c r="W1114" i="1"/>
  <c r="W1118" i="1"/>
  <c r="W1122" i="1"/>
  <c r="W1126" i="1"/>
  <c r="W1130" i="1"/>
  <c r="W1134" i="1"/>
  <c r="W1138" i="1"/>
  <c r="W1142" i="1"/>
  <c r="W1146" i="1"/>
  <c r="W1150" i="1"/>
  <c r="W1154" i="1"/>
  <c r="W1158" i="1"/>
  <c r="W1162" i="1"/>
  <c r="W1166" i="1"/>
  <c r="W1170" i="1"/>
  <c r="W1174" i="1"/>
  <c r="W1178" i="1"/>
  <c r="W1182" i="1"/>
  <c r="W1186" i="1"/>
  <c r="W1190" i="1"/>
  <c r="W1194" i="1"/>
  <c r="W1198" i="1"/>
  <c r="W1202" i="1"/>
  <c r="W1206" i="1"/>
  <c r="W1210" i="1"/>
  <c r="W1214" i="1"/>
  <c r="W1218" i="1"/>
  <c r="W1222" i="1"/>
  <c r="W1226" i="1"/>
  <c r="W1230" i="1"/>
  <c r="W1234" i="1"/>
  <c r="W1238" i="1"/>
  <c r="W1242" i="1"/>
  <c r="W1246" i="1"/>
  <c r="W1250" i="1"/>
  <c r="W1254" i="1"/>
  <c r="W1258" i="1"/>
  <c r="W1262" i="1"/>
  <c r="W1266" i="1"/>
  <c r="W1270" i="1"/>
  <c r="W1274" i="1"/>
  <c r="W1278" i="1"/>
  <c r="W1282" i="1"/>
  <c r="W1286" i="1"/>
  <c r="W1290" i="1"/>
  <c r="W1294" i="1"/>
  <c r="W1298" i="1"/>
  <c r="W1302" i="1"/>
  <c r="W1306" i="1"/>
  <c r="W1310" i="1"/>
  <c r="W1314" i="1"/>
  <c r="W1318" i="1"/>
  <c r="W1322" i="1"/>
  <c r="W1326" i="1"/>
  <c r="W1330" i="1"/>
  <c r="W1334" i="1"/>
  <c r="W1338" i="1"/>
  <c r="W1342" i="1"/>
  <c r="W1346" i="1"/>
  <c r="W1350" i="1"/>
  <c r="W1354" i="1"/>
  <c r="W1358" i="1"/>
  <c r="W1362" i="1"/>
  <c r="W1366" i="1"/>
  <c r="W1370" i="1"/>
  <c r="W1374" i="1"/>
  <c r="W1378" i="1"/>
  <c r="W1382" i="1"/>
  <c r="W1386" i="1"/>
  <c r="W1390" i="1"/>
  <c r="W1394" i="1"/>
  <c r="W1398" i="1"/>
  <c r="W1402" i="1"/>
  <c r="W1406" i="1"/>
  <c r="W1410" i="1"/>
  <c r="W1414" i="1"/>
  <c r="W1418" i="1"/>
  <c r="W1422" i="1"/>
  <c r="W1426" i="1"/>
  <c r="W1430" i="1"/>
  <c r="W1434" i="1"/>
  <c r="W1438" i="1"/>
  <c r="W1442" i="1"/>
  <c r="W1446" i="1"/>
  <c r="W1450" i="1"/>
  <c r="W1453" i="1"/>
  <c r="W1455" i="1"/>
  <c r="W1457" i="1"/>
  <c r="W1459" i="1"/>
  <c r="W1461" i="1"/>
  <c r="W1463" i="1"/>
  <c r="W1465" i="1"/>
  <c r="W1467" i="1"/>
  <c r="W1469" i="1"/>
  <c r="W1471" i="1"/>
  <c r="W1473" i="1"/>
  <c r="W1475" i="1"/>
  <c r="W1477" i="1"/>
  <c r="W1479" i="1"/>
  <c r="W1481" i="1"/>
  <c r="W1483" i="1"/>
  <c r="W1485" i="1"/>
  <c r="W1487" i="1"/>
  <c r="W1489" i="1"/>
  <c r="W1491" i="1"/>
  <c r="W1493" i="1"/>
  <c r="W1495" i="1"/>
  <c r="W1497" i="1"/>
  <c r="W1499" i="1"/>
  <c r="W1501" i="1"/>
  <c r="W1503" i="1"/>
  <c r="W1505" i="1"/>
  <c r="W1507" i="1"/>
  <c r="W1509" i="1"/>
  <c r="W1511" i="1"/>
  <c r="W1513" i="1"/>
  <c r="W1515" i="1"/>
  <c r="W1517" i="1"/>
  <c r="W1519" i="1"/>
  <c r="W1521" i="1"/>
  <c r="W1523" i="1"/>
  <c r="W1525" i="1"/>
  <c r="W1527" i="1"/>
  <c r="W1529" i="1"/>
  <c r="W1531" i="1"/>
  <c r="W1533" i="1"/>
  <c r="W1535" i="1"/>
  <c r="W1537" i="1"/>
  <c r="W1539" i="1"/>
  <c r="W1541" i="1"/>
  <c r="W1543" i="1"/>
  <c r="W1545" i="1"/>
  <c r="W1547" i="1"/>
  <c r="W1549" i="1"/>
  <c r="W1551" i="1"/>
  <c r="W1553" i="1"/>
  <c r="W1555" i="1"/>
  <c r="W1557" i="1"/>
  <c r="W1559" i="1"/>
  <c r="W1561" i="1"/>
  <c r="W1563" i="1"/>
  <c r="W1565" i="1"/>
  <c r="W1567" i="1"/>
  <c r="W1569" i="1"/>
  <c r="W1571" i="1"/>
  <c r="W1573" i="1"/>
  <c r="W1575" i="1"/>
  <c r="W1577" i="1"/>
  <c r="W1579" i="1"/>
  <c r="W1581" i="1"/>
  <c r="W1583" i="1"/>
  <c r="W1585" i="1"/>
  <c r="W1587" i="1"/>
  <c r="W1589" i="1"/>
  <c r="W1591" i="1"/>
  <c r="W1593" i="1"/>
  <c r="W1595" i="1"/>
  <c r="W1597" i="1"/>
  <c r="W1599" i="1"/>
  <c r="W1601" i="1"/>
  <c r="W1603" i="1"/>
  <c r="W1605" i="1"/>
  <c r="W1607" i="1"/>
  <c r="W1609" i="1"/>
  <c r="W1611" i="1"/>
  <c r="W1613" i="1"/>
  <c r="W1615" i="1"/>
  <c r="W1617" i="1"/>
  <c r="W1619" i="1"/>
  <c r="W1621" i="1"/>
  <c r="W1623" i="1"/>
  <c r="W1625" i="1"/>
  <c r="W1627" i="1"/>
  <c r="W1629" i="1"/>
  <c r="W1631" i="1"/>
  <c r="W1633" i="1"/>
  <c r="W1635" i="1"/>
  <c r="W1637" i="1"/>
  <c r="W1639" i="1"/>
  <c r="W1641" i="1"/>
  <c r="W1643" i="1"/>
  <c r="W1645" i="1"/>
  <c r="W1647" i="1"/>
  <c r="W1649" i="1"/>
  <c r="W1651" i="1"/>
  <c r="W1653" i="1"/>
  <c r="W1655" i="1"/>
  <c r="W1657" i="1"/>
  <c r="W1659" i="1"/>
  <c r="W1661" i="1"/>
  <c r="W1663" i="1"/>
  <c r="W1665" i="1"/>
  <c r="W1667" i="1"/>
  <c r="W1669" i="1"/>
  <c r="W1671" i="1"/>
  <c r="W1673" i="1"/>
  <c r="W1675" i="1"/>
  <c r="W1677" i="1"/>
  <c r="W1679" i="1"/>
  <c r="W1681" i="1"/>
  <c r="W1683" i="1"/>
  <c r="W1685" i="1"/>
  <c r="W1687" i="1"/>
  <c r="W1689" i="1"/>
  <c r="W1691" i="1"/>
  <c r="W1693" i="1"/>
  <c r="W1695" i="1"/>
  <c r="W1697" i="1"/>
  <c r="W1699" i="1"/>
  <c r="W1701" i="1"/>
  <c r="W1703" i="1"/>
  <c r="W1705" i="1"/>
  <c r="W1707" i="1"/>
  <c r="W1709" i="1"/>
  <c r="W1711" i="1"/>
  <c r="W1713" i="1"/>
  <c r="W1715" i="1"/>
  <c r="W1717" i="1"/>
  <c r="W1719" i="1"/>
  <c r="W1721" i="1"/>
  <c r="W1723" i="1"/>
  <c r="W1725" i="1"/>
  <c r="W1727" i="1"/>
  <c r="W1729" i="1"/>
  <c r="W1731" i="1"/>
  <c r="W1733" i="1"/>
  <c r="W1735" i="1"/>
  <c r="W1737" i="1"/>
  <c r="W1739" i="1"/>
  <c r="W1741" i="1"/>
  <c r="W1743" i="1"/>
  <c r="W1745" i="1"/>
  <c r="W1747" i="1"/>
  <c r="W1749" i="1"/>
  <c r="W1751" i="1"/>
  <c r="W1753" i="1"/>
  <c r="W1755" i="1"/>
  <c r="W1757" i="1"/>
  <c r="W1759" i="1"/>
  <c r="W1761" i="1"/>
  <c r="W1763" i="1"/>
  <c r="W1765" i="1"/>
  <c r="W1767" i="1"/>
  <c r="W1769" i="1"/>
  <c r="W1771" i="1"/>
  <c r="W1773" i="1"/>
  <c r="W1775" i="1"/>
  <c r="W1777" i="1"/>
  <c r="W1779" i="1"/>
  <c r="W1781" i="1"/>
  <c r="W1783" i="1"/>
  <c r="W1785" i="1"/>
  <c r="W1787" i="1"/>
  <c r="W1789" i="1"/>
  <c r="W1791" i="1"/>
  <c r="W1793" i="1"/>
  <c r="W1795" i="1"/>
  <c r="W1797" i="1"/>
  <c r="W1799" i="1"/>
  <c r="W1801" i="1"/>
  <c r="W1803" i="1"/>
  <c r="W1805" i="1"/>
  <c r="W1807" i="1"/>
  <c r="W1809" i="1"/>
  <c r="W1811" i="1"/>
  <c r="W1813" i="1"/>
  <c r="W1815" i="1"/>
  <c r="W1817" i="1"/>
  <c r="W1819" i="1"/>
  <c r="W1821" i="1"/>
  <c r="W1823" i="1"/>
  <c r="W1825" i="1"/>
  <c r="W1827" i="1"/>
  <c r="W1829" i="1"/>
  <c r="W1831" i="1"/>
  <c r="W1833" i="1"/>
  <c r="W1835" i="1"/>
  <c r="W1837" i="1"/>
  <c r="W1839" i="1"/>
  <c r="W1841" i="1"/>
  <c r="W1843" i="1"/>
  <c r="W1845" i="1"/>
  <c r="W1847" i="1"/>
  <c r="W1849" i="1"/>
  <c r="W1851" i="1"/>
  <c r="W1853" i="1"/>
  <c r="W1855" i="1"/>
  <c r="W1857" i="1"/>
  <c r="W1859" i="1"/>
  <c r="W1861" i="1"/>
  <c r="W1863" i="1"/>
  <c r="W1865" i="1"/>
  <c r="W1867" i="1"/>
  <c r="W1869" i="1"/>
  <c r="W1871" i="1"/>
  <c r="W1873" i="1"/>
  <c r="W1875" i="1"/>
  <c r="W1877" i="1"/>
  <c r="W1879" i="1"/>
  <c r="W1881" i="1"/>
  <c r="W1883" i="1"/>
  <c r="W1885" i="1"/>
  <c r="W1887" i="1"/>
  <c r="W1889" i="1"/>
  <c r="W1891" i="1"/>
  <c r="W1893" i="1"/>
  <c r="W1895" i="1"/>
  <c r="W1897" i="1"/>
  <c r="W1899" i="1"/>
  <c r="W1901" i="1"/>
  <c r="W1903" i="1"/>
  <c r="W1905" i="1"/>
  <c r="W1907" i="1"/>
  <c r="W1909" i="1"/>
  <c r="W1911" i="1"/>
  <c r="W1913" i="1"/>
  <c r="W1915" i="1"/>
  <c r="W1917" i="1"/>
  <c r="W1919" i="1"/>
  <c r="W1921" i="1"/>
  <c r="W1923" i="1"/>
  <c r="W1925" i="1"/>
  <c r="W1927" i="1"/>
  <c r="W1929" i="1"/>
  <c r="W1931" i="1"/>
  <c r="W1933" i="1"/>
  <c r="W1935" i="1"/>
  <c r="W1937" i="1"/>
  <c r="W1939" i="1"/>
  <c r="W1941" i="1"/>
  <c r="W1943" i="1"/>
  <c r="W1945" i="1"/>
  <c r="W1947" i="1"/>
  <c r="W1949" i="1"/>
  <c r="W1951" i="1"/>
  <c r="W1953" i="1"/>
  <c r="W1955" i="1"/>
  <c r="W1957" i="1"/>
  <c r="W1959" i="1"/>
  <c r="W1961" i="1"/>
  <c r="W1963" i="1"/>
  <c r="W1965" i="1"/>
  <c r="W1967" i="1"/>
  <c r="W1969" i="1"/>
  <c r="W1971" i="1"/>
  <c r="W1973" i="1"/>
  <c r="W1975" i="1"/>
  <c r="W1977" i="1"/>
  <c r="W1979" i="1"/>
  <c r="W1981" i="1"/>
  <c r="W1983" i="1"/>
  <c r="W1985" i="1"/>
  <c r="W1987" i="1"/>
  <c r="W1989" i="1"/>
  <c r="W1991" i="1"/>
  <c r="W1993" i="1"/>
  <c r="W1995" i="1"/>
  <c r="W1997" i="1"/>
  <c r="W1999" i="1"/>
  <c r="W2001" i="1"/>
  <c r="W2003" i="1"/>
  <c r="W2005" i="1"/>
  <c r="W2007" i="1"/>
  <c r="W2009" i="1"/>
  <c r="W2011" i="1"/>
  <c r="W2013" i="1"/>
  <c r="W2015" i="1"/>
  <c r="W2017" i="1"/>
  <c r="W2019" i="1"/>
  <c r="W2021" i="1"/>
  <c r="W2023" i="1"/>
  <c r="W2025" i="1"/>
  <c r="W2027" i="1"/>
  <c r="W2029" i="1"/>
  <c r="W2031" i="1"/>
  <c r="W2033" i="1"/>
  <c r="W2035" i="1"/>
  <c r="W2037" i="1"/>
  <c r="W2039" i="1"/>
  <c r="W2041" i="1"/>
  <c r="W2043" i="1"/>
  <c r="W2045" i="1"/>
  <c r="W2047" i="1"/>
  <c r="W2049" i="1"/>
  <c r="W2051" i="1"/>
  <c r="W2053" i="1"/>
  <c r="W2055" i="1"/>
  <c r="W2057" i="1"/>
  <c r="W2059" i="1"/>
  <c r="W2061" i="1"/>
  <c r="W2063" i="1"/>
  <c r="W2065" i="1"/>
  <c r="W2067" i="1"/>
  <c r="W2069" i="1"/>
  <c r="W2071" i="1"/>
  <c r="W2073" i="1"/>
  <c r="W2075" i="1"/>
  <c r="W2077" i="1"/>
  <c r="W2079" i="1"/>
  <c r="W2081" i="1"/>
  <c r="W2083" i="1"/>
  <c r="W2085" i="1"/>
  <c r="W2087" i="1"/>
  <c r="W2089" i="1"/>
  <c r="W2091" i="1"/>
  <c r="W2093" i="1"/>
  <c r="W2095" i="1"/>
  <c r="W2097" i="1"/>
  <c r="W2099" i="1"/>
  <c r="W2101" i="1"/>
  <c r="W2103" i="1"/>
  <c r="W2105" i="1"/>
  <c r="W2107" i="1"/>
  <c r="W2109" i="1"/>
  <c r="W2111" i="1"/>
  <c r="W2113" i="1"/>
  <c r="W2115" i="1"/>
  <c r="W2117" i="1"/>
  <c r="W2119" i="1"/>
  <c r="W2121" i="1"/>
  <c r="W2123" i="1"/>
  <c r="W2125" i="1"/>
  <c r="W2127" i="1"/>
  <c r="W2129" i="1"/>
  <c r="W2131" i="1"/>
  <c r="W2133" i="1"/>
  <c r="W2135" i="1"/>
  <c r="W2137" i="1"/>
  <c r="W2139" i="1"/>
  <c r="W2141" i="1"/>
  <c r="W2143" i="1"/>
  <c r="W2145" i="1"/>
  <c r="W2147" i="1"/>
  <c r="W2149" i="1"/>
  <c r="W2151" i="1"/>
  <c r="W2153" i="1"/>
  <c r="W2155" i="1"/>
  <c r="W2157" i="1"/>
  <c r="W2159" i="1"/>
  <c r="W2161" i="1"/>
  <c r="W2163" i="1"/>
  <c r="W2165" i="1"/>
  <c r="W2167" i="1"/>
  <c r="W2169" i="1"/>
  <c r="W2171" i="1"/>
  <c r="W2173" i="1"/>
  <c r="W2175" i="1"/>
  <c r="W2177" i="1"/>
  <c r="W2179" i="1"/>
  <c r="W2181" i="1"/>
  <c r="W2183" i="1"/>
  <c r="W2185" i="1"/>
  <c r="W2187" i="1"/>
  <c r="W2189" i="1"/>
  <c r="W2191" i="1"/>
  <c r="W2193" i="1"/>
  <c r="W2195" i="1"/>
  <c r="W2197" i="1"/>
  <c r="W2199" i="1"/>
  <c r="W2201" i="1"/>
  <c r="W2203" i="1"/>
  <c r="W2205" i="1"/>
  <c r="W2207" i="1"/>
  <c r="W2209" i="1"/>
  <c r="W2211" i="1"/>
  <c r="W2213" i="1"/>
  <c r="W2215" i="1"/>
  <c r="W2217" i="1"/>
  <c r="W2219" i="1"/>
  <c r="W2221" i="1"/>
  <c r="W2223" i="1"/>
  <c r="W2225" i="1"/>
  <c r="W2227" i="1"/>
  <c r="W2229" i="1"/>
  <c r="W2231" i="1"/>
  <c r="W2233" i="1"/>
  <c r="W2235" i="1"/>
  <c r="W2237" i="1"/>
  <c r="W2239" i="1"/>
  <c r="W2241" i="1"/>
  <c r="W2243" i="1"/>
  <c r="W2245" i="1"/>
  <c r="W2247" i="1"/>
  <c r="W2249" i="1"/>
  <c r="W2251" i="1"/>
  <c r="W2253" i="1"/>
  <c r="W2255" i="1"/>
  <c r="W2257" i="1"/>
  <c r="W2259" i="1"/>
  <c r="W2261" i="1"/>
  <c r="W2263" i="1"/>
  <c r="W2265" i="1"/>
  <c r="W2267" i="1"/>
  <c r="W2269" i="1"/>
  <c r="W2271" i="1"/>
  <c r="W2273" i="1"/>
  <c r="W2275" i="1"/>
  <c r="W2277" i="1"/>
  <c r="W2279" i="1"/>
  <c r="W2281" i="1"/>
  <c r="W2283" i="1"/>
  <c r="W2285" i="1"/>
  <c r="W2287" i="1"/>
  <c r="W2289" i="1"/>
  <c r="W2291" i="1"/>
  <c r="W2293" i="1"/>
  <c r="W2295" i="1"/>
  <c r="W2297" i="1"/>
  <c r="W2299" i="1"/>
  <c r="W2301" i="1"/>
  <c r="W2303" i="1"/>
  <c r="W2305" i="1"/>
  <c r="W2307" i="1"/>
  <c r="W2309" i="1"/>
  <c r="W2311" i="1"/>
  <c r="W2313" i="1"/>
  <c r="W2315" i="1"/>
  <c r="W2317" i="1"/>
  <c r="W2319" i="1"/>
  <c r="W2321" i="1"/>
  <c r="W2323" i="1"/>
  <c r="W2325" i="1"/>
  <c r="W2327" i="1"/>
  <c r="W2329" i="1"/>
  <c r="W2331" i="1"/>
  <c r="W2333" i="1"/>
  <c r="W2335" i="1"/>
  <c r="W2337" i="1"/>
  <c r="W2339" i="1"/>
  <c r="W2341" i="1"/>
  <c r="W2343" i="1"/>
  <c r="W2345" i="1"/>
  <c r="W2347" i="1"/>
  <c r="W2349" i="1"/>
  <c r="W2351" i="1"/>
  <c r="W2353" i="1"/>
  <c r="W2355" i="1"/>
  <c r="W2357" i="1"/>
  <c r="W2359" i="1"/>
  <c r="W2361" i="1"/>
  <c r="W2363" i="1"/>
  <c r="W2365" i="1"/>
  <c r="W2367" i="1"/>
  <c r="W2369" i="1"/>
  <c r="W2371" i="1"/>
  <c r="W2373" i="1"/>
  <c r="W2375" i="1"/>
  <c r="W2377" i="1"/>
  <c r="W2379" i="1"/>
  <c r="W2381" i="1"/>
  <c r="W2383" i="1"/>
  <c r="W2385" i="1"/>
  <c r="W2387" i="1"/>
  <c r="W2389" i="1"/>
  <c r="W2391" i="1"/>
  <c r="W2393" i="1"/>
  <c r="W2395" i="1"/>
  <c r="W2397" i="1"/>
  <c r="W2399" i="1"/>
  <c r="W2401" i="1"/>
  <c r="W2403" i="1"/>
  <c r="W2405" i="1"/>
  <c r="W2407" i="1"/>
  <c r="W2409" i="1"/>
  <c r="W2411" i="1"/>
  <c r="W2413" i="1"/>
  <c r="W2415" i="1"/>
  <c r="W2417" i="1"/>
  <c r="W2419" i="1"/>
  <c r="W2421" i="1"/>
  <c r="W2423" i="1"/>
  <c r="W2425" i="1"/>
  <c r="W2427" i="1"/>
  <c r="W2429" i="1"/>
  <c r="W2431" i="1"/>
  <c r="W2433" i="1"/>
  <c r="W2435" i="1"/>
  <c r="W2437" i="1"/>
  <c r="W2439" i="1"/>
  <c r="W2441" i="1"/>
  <c r="W2443" i="1"/>
  <c r="W2445" i="1"/>
  <c r="W2447" i="1"/>
  <c r="W2449" i="1"/>
  <c r="W2451" i="1"/>
  <c r="W2453" i="1"/>
  <c r="W2455" i="1"/>
  <c r="W2457" i="1"/>
  <c r="W2459" i="1"/>
  <c r="W2461" i="1"/>
  <c r="W2463" i="1"/>
  <c r="W2465" i="1"/>
  <c r="W2467" i="1"/>
  <c r="W2469" i="1"/>
  <c r="W2471" i="1"/>
  <c r="W2473" i="1"/>
  <c r="W2475" i="1"/>
  <c r="W2477" i="1"/>
  <c r="W2479" i="1"/>
  <c r="W2481" i="1"/>
  <c r="W2483" i="1"/>
  <c r="W2485" i="1"/>
  <c r="W2487" i="1"/>
  <c r="W2489" i="1"/>
  <c r="W2491" i="1"/>
  <c r="W2493" i="1"/>
  <c r="W2495" i="1"/>
  <c r="W2497" i="1"/>
  <c r="W2499" i="1"/>
  <c r="W2501" i="1"/>
  <c r="W2503" i="1"/>
  <c r="W2505" i="1"/>
  <c r="W2507" i="1"/>
  <c r="W2509" i="1"/>
  <c r="W2511" i="1"/>
  <c r="W2513" i="1"/>
  <c r="W2515" i="1"/>
  <c r="W2517" i="1"/>
  <c r="W2519" i="1"/>
  <c r="W2521" i="1"/>
  <c r="W2523" i="1"/>
  <c r="W2525" i="1"/>
  <c r="W2527" i="1"/>
  <c r="W2529" i="1"/>
  <c r="W2531" i="1"/>
  <c r="W2533" i="1"/>
  <c r="W2535" i="1"/>
  <c r="W2537" i="1"/>
  <c r="W2539" i="1"/>
  <c r="W2541" i="1"/>
  <c r="W2543" i="1"/>
  <c r="W2545" i="1"/>
  <c r="W2547" i="1"/>
  <c r="W2549" i="1"/>
  <c r="W2551" i="1"/>
  <c r="W2553" i="1"/>
  <c r="W2555" i="1"/>
  <c r="W2557" i="1"/>
  <c r="W2559" i="1"/>
  <c r="W2561" i="1"/>
  <c r="W2563" i="1"/>
  <c r="W2565" i="1"/>
  <c r="W2567" i="1"/>
  <c r="W2569" i="1"/>
  <c r="W2571" i="1"/>
  <c r="W2573" i="1"/>
  <c r="W2575" i="1"/>
  <c r="W2577" i="1"/>
  <c r="W2579" i="1"/>
  <c r="W2581" i="1"/>
  <c r="W2583" i="1"/>
  <c r="W2585" i="1"/>
  <c r="W2587" i="1"/>
  <c r="W2589" i="1"/>
  <c r="W2591" i="1"/>
  <c r="W2593" i="1"/>
  <c r="W2595" i="1"/>
  <c r="W2597" i="1"/>
  <c r="W2599" i="1"/>
  <c r="W2601" i="1"/>
  <c r="W2603" i="1"/>
  <c r="W2605" i="1"/>
  <c r="W2607" i="1"/>
  <c r="W2609" i="1"/>
  <c r="W2611" i="1"/>
  <c r="W2613" i="1"/>
  <c r="W2615" i="1"/>
  <c r="W2617" i="1"/>
  <c r="W2619" i="1"/>
  <c r="W2621" i="1"/>
  <c r="W2623" i="1"/>
  <c r="W2625" i="1"/>
  <c r="W2627" i="1"/>
  <c r="W2629" i="1"/>
  <c r="W2631" i="1"/>
  <c r="W2633" i="1"/>
  <c r="W2635" i="1"/>
  <c r="W2637" i="1"/>
  <c r="W2639" i="1"/>
  <c r="W2641" i="1"/>
  <c r="W2643" i="1"/>
  <c r="W2645" i="1"/>
  <c r="W2647" i="1"/>
  <c r="W2649" i="1"/>
  <c r="W2651" i="1"/>
  <c r="W2653" i="1"/>
  <c r="W2655" i="1"/>
  <c r="W2657" i="1"/>
  <c r="W2659" i="1"/>
  <c r="W2661" i="1"/>
  <c r="W2663" i="1"/>
  <c r="W2665" i="1"/>
  <c r="W2667" i="1"/>
  <c r="W2669" i="1"/>
  <c r="W2671" i="1"/>
  <c r="W2673" i="1"/>
  <c r="W2675" i="1"/>
  <c r="W2677" i="1"/>
  <c r="W2679" i="1"/>
  <c r="W2681" i="1"/>
  <c r="W2683" i="1"/>
  <c r="W2685" i="1"/>
  <c r="W2687" i="1"/>
  <c r="W2689" i="1"/>
  <c r="W2691" i="1"/>
  <c r="W2693" i="1"/>
  <c r="W2695" i="1"/>
  <c r="W2697" i="1"/>
  <c r="W2699" i="1"/>
  <c r="W2701" i="1"/>
  <c r="W2703" i="1"/>
  <c r="W2705" i="1"/>
  <c r="W2707" i="1"/>
  <c r="W2709" i="1"/>
  <c r="W2711" i="1"/>
  <c r="W2713" i="1"/>
  <c r="W2715" i="1"/>
  <c r="W2717" i="1"/>
  <c r="W2719" i="1"/>
  <c r="W2721" i="1"/>
  <c r="W2723" i="1"/>
  <c r="W2725" i="1"/>
  <c r="W2727" i="1"/>
  <c r="W2729" i="1"/>
  <c r="W2731" i="1"/>
  <c r="W2733" i="1"/>
  <c r="W2735" i="1"/>
  <c r="W2737" i="1"/>
  <c r="W2739" i="1"/>
  <c r="W2741" i="1"/>
  <c r="W2743" i="1"/>
  <c r="W2745" i="1"/>
  <c r="W2747" i="1"/>
  <c r="W2749" i="1"/>
  <c r="W2751" i="1"/>
  <c r="W2753" i="1"/>
  <c r="W2755" i="1"/>
  <c r="W2757" i="1"/>
  <c r="W2759" i="1"/>
  <c r="W2761" i="1"/>
  <c r="W2763" i="1"/>
  <c r="W2765" i="1"/>
  <c r="W2767" i="1"/>
  <c r="W2769" i="1"/>
  <c r="W2771" i="1"/>
  <c r="W2773" i="1"/>
  <c r="W2775" i="1"/>
  <c r="W2777" i="1"/>
  <c r="W2779" i="1"/>
  <c r="W2781" i="1"/>
  <c r="W2783" i="1"/>
  <c r="W2785" i="1"/>
  <c r="W2787" i="1"/>
  <c r="W2789" i="1"/>
  <c r="W2791" i="1"/>
  <c r="W2793" i="1"/>
  <c r="W2795" i="1"/>
  <c r="W2797" i="1"/>
  <c r="W2799" i="1"/>
  <c r="W2801" i="1"/>
  <c r="W2803" i="1"/>
  <c r="W2805" i="1"/>
  <c r="W2807" i="1"/>
  <c r="W2809" i="1"/>
  <c r="W2811" i="1"/>
  <c r="W2813" i="1"/>
  <c r="W2815" i="1"/>
  <c r="W2817" i="1"/>
  <c r="W2819" i="1"/>
  <c r="W2821" i="1"/>
  <c r="W2823" i="1"/>
  <c r="W2825" i="1"/>
  <c r="W2827" i="1"/>
  <c r="W2829" i="1"/>
  <c r="W2831" i="1"/>
  <c r="W2833" i="1"/>
  <c r="W2835" i="1"/>
  <c r="W2837" i="1"/>
  <c r="W2839" i="1"/>
  <c r="W2841" i="1"/>
  <c r="W2843" i="1"/>
  <c r="W2845" i="1"/>
  <c r="W2847" i="1"/>
  <c r="W2849" i="1"/>
  <c r="W2851" i="1"/>
  <c r="W2853" i="1"/>
  <c r="W2855" i="1"/>
  <c r="W2857" i="1"/>
  <c r="W2859" i="1"/>
  <c r="W2861" i="1"/>
  <c r="W2863" i="1"/>
  <c r="W2865" i="1"/>
  <c r="W2867" i="1"/>
  <c r="W2869" i="1"/>
  <c r="W2871" i="1"/>
  <c r="W2873" i="1"/>
  <c r="W2875" i="1"/>
  <c r="W2877" i="1"/>
  <c r="W2879" i="1"/>
  <c r="W2881" i="1"/>
  <c r="W2883" i="1"/>
  <c r="W2885" i="1"/>
  <c r="W2887" i="1"/>
  <c r="W2889" i="1"/>
  <c r="W2891" i="1"/>
  <c r="W2893" i="1"/>
  <c r="W2895" i="1"/>
  <c r="W2897" i="1"/>
  <c r="W2899" i="1"/>
  <c r="W2901" i="1"/>
  <c r="W2903" i="1"/>
  <c r="W2905" i="1"/>
  <c r="W2907" i="1"/>
  <c r="W2909" i="1"/>
  <c r="W2911" i="1"/>
  <c r="W2913" i="1"/>
  <c r="W2915" i="1"/>
  <c r="W2917" i="1"/>
  <c r="W2919" i="1"/>
  <c r="W2921" i="1"/>
  <c r="W2923" i="1"/>
  <c r="W2925" i="1"/>
  <c r="W2927" i="1"/>
  <c r="W2929" i="1"/>
  <c r="W2931" i="1"/>
  <c r="W2933" i="1"/>
  <c r="W2935" i="1"/>
  <c r="W2937" i="1"/>
  <c r="W2939" i="1"/>
  <c r="W2941" i="1"/>
  <c r="W2943" i="1"/>
  <c r="W2945" i="1"/>
  <c r="W2947" i="1"/>
  <c r="W2949" i="1"/>
  <c r="W2951" i="1"/>
  <c r="W2953" i="1"/>
  <c r="W2955" i="1"/>
  <c r="W2957" i="1"/>
  <c r="W2959" i="1"/>
  <c r="W2961" i="1"/>
  <c r="W2963" i="1"/>
  <c r="W2965" i="1"/>
  <c r="W2967" i="1"/>
  <c r="W2969" i="1"/>
  <c r="W2971" i="1"/>
  <c r="W2973" i="1"/>
  <c r="W2975" i="1"/>
  <c r="W2977" i="1"/>
  <c r="W2979" i="1"/>
  <c r="W2981" i="1"/>
  <c r="W2983" i="1"/>
  <c r="W2985" i="1"/>
  <c r="W2987" i="1"/>
  <c r="W2989" i="1"/>
  <c r="W2991" i="1"/>
  <c r="W2993" i="1"/>
  <c r="W2995" i="1"/>
  <c r="W2997" i="1"/>
  <c r="W2999" i="1"/>
  <c r="W3001" i="1"/>
  <c r="W3003" i="1"/>
  <c r="W3005" i="1"/>
  <c r="W3007" i="1"/>
  <c r="W3009" i="1"/>
  <c r="W3011" i="1"/>
  <c r="W3013" i="1"/>
  <c r="W3015" i="1"/>
  <c r="W3017" i="1"/>
  <c r="W3019" i="1"/>
  <c r="W3021" i="1"/>
  <c r="W3023" i="1"/>
  <c r="W3025" i="1"/>
  <c r="W3027" i="1"/>
  <c r="W3029" i="1"/>
  <c r="W3031" i="1"/>
  <c r="W3033" i="1"/>
  <c r="W3035" i="1"/>
  <c r="W3037" i="1"/>
  <c r="W3039" i="1"/>
  <c r="W3041" i="1"/>
  <c r="W3043" i="1"/>
  <c r="W3045" i="1"/>
  <c r="W3047" i="1"/>
  <c r="W3049" i="1"/>
  <c r="W3051" i="1"/>
  <c r="W3053" i="1"/>
  <c r="W3055" i="1"/>
  <c r="W3057" i="1"/>
  <c r="W3059" i="1"/>
  <c r="W3061" i="1"/>
  <c r="W3063" i="1"/>
  <c r="W3065" i="1"/>
  <c r="W3067" i="1"/>
  <c r="W3069" i="1"/>
  <c r="W3071" i="1"/>
  <c r="W3073" i="1"/>
  <c r="W3075" i="1"/>
  <c r="W3077" i="1"/>
  <c r="W3079" i="1"/>
  <c r="W3081" i="1"/>
  <c r="W3083" i="1"/>
  <c r="W3085" i="1"/>
  <c r="W3087" i="1"/>
  <c r="W3089" i="1"/>
  <c r="W3091" i="1"/>
  <c r="W3093" i="1"/>
  <c r="W3095" i="1"/>
  <c r="W3097" i="1"/>
  <c r="W3099" i="1"/>
  <c r="W3101" i="1"/>
  <c r="W3103" i="1"/>
  <c r="W3105" i="1"/>
  <c r="W3107" i="1"/>
  <c r="W3109" i="1"/>
  <c r="W3111" i="1"/>
  <c r="W3113" i="1"/>
  <c r="W3115" i="1"/>
  <c r="W3117" i="1"/>
  <c r="W3119" i="1"/>
  <c r="W3121" i="1"/>
  <c r="W3123" i="1"/>
  <c r="W3125" i="1"/>
  <c r="W3127" i="1"/>
  <c r="W3129" i="1"/>
  <c r="W3131" i="1"/>
  <c r="W3133" i="1"/>
  <c r="W3135" i="1"/>
  <c r="W3137" i="1"/>
  <c r="W3139" i="1"/>
  <c r="W3141" i="1"/>
  <c r="W3143" i="1"/>
  <c r="W3145" i="1"/>
  <c r="W3147" i="1"/>
  <c r="W3149" i="1"/>
  <c r="W3151" i="1"/>
  <c r="W3153" i="1"/>
  <c r="W3155" i="1"/>
  <c r="W3157" i="1"/>
  <c r="W3159" i="1"/>
  <c r="W3161" i="1"/>
  <c r="W3163" i="1"/>
  <c r="W3165" i="1"/>
  <c r="W3167" i="1"/>
  <c r="W3169" i="1"/>
  <c r="W3171" i="1"/>
  <c r="W3173" i="1"/>
  <c r="W3175" i="1"/>
  <c r="W3177" i="1"/>
  <c r="W3179" i="1"/>
  <c r="W3181" i="1"/>
  <c r="W3183" i="1"/>
  <c r="W3185" i="1"/>
  <c r="W3187" i="1"/>
  <c r="W3189" i="1"/>
  <c r="W3191" i="1"/>
  <c r="W3193" i="1"/>
  <c r="W3195" i="1"/>
  <c r="W3197" i="1"/>
  <c r="W3199" i="1"/>
  <c r="W3201" i="1"/>
  <c r="W3203" i="1"/>
  <c r="W3205" i="1"/>
  <c r="W3207" i="1"/>
  <c r="W3209" i="1"/>
  <c r="W3211" i="1"/>
  <c r="W3213" i="1"/>
  <c r="W3215" i="1"/>
  <c r="W3217" i="1"/>
  <c r="W3219" i="1"/>
  <c r="W3221" i="1"/>
  <c r="W3223" i="1"/>
  <c r="W3225" i="1"/>
  <c r="W3227" i="1"/>
  <c r="W3229" i="1"/>
  <c r="W3231" i="1"/>
  <c r="W3233" i="1"/>
  <c r="W3235" i="1"/>
  <c r="W3237" i="1"/>
  <c r="W3239" i="1"/>
  <c r="W3241" i="1"/>
  <c r="W3243" i="1"/>
  <c r="W3245" i="1"/>
  <c r="W3247" i="1"/>
  <c r="W3249" i="1"/>
  <c r="W3251" i="1"/>
  <c r="W3253" i="1"/>
  <c r="W3255" i="1"/>
  <c r="W3257" i="1"/>
  <c r="W3259" i="1"/>
  <c r="W3261" i="1"/>
  <c r="W3263" i="1"/>
  <c r="W3265" i="1"/>
  <c r="W3267" i="1"/>
  <c r="W3269" i="1"/>
  <c r="W3271" i="1"/>
  <c r="W3273" i="1"/>
  <c r="W3275" i="1"/>
  <c r="W3277" i="1"/>
  <c r="W3279" i="1"/>
  <c r="W3281" i="1"/>
  <c r="W3283" i="1"/>
  <c r="W3285" i="1"/>
  <c r="W3287" i="1"/>
  <c r="W3289" i="1"/>
  <c r="W3291" i="1"/>
  <c r="W3293" i="1"/>
  <c r="W3295" i="1"/>
  <c r="W3297" i="1"/>
  <c r="W3299" i="1"/>
  <c r="W3301" i="1"/>
  <c r="W3303" i="1"/>
  <c r="W3305" i="1"/>
  <c r="W3307" i="1"/>
  <c r="W3309" i="1"/>
  <c r="W3311" i="1"/>
  <c r="W3313" i="1"/>
  <c r="W3315" i="1"/>
  <c r="W3317" i="1"/>
  <c r="W3319" i="1"/>
  <c r="W3321" i="1"/>
  <c r="W3323" i="1"/>
  <c r="W3325" i="1"/>
  <c r="W3327" i="1"/>
  <c r="W3329" i="1"/>
  <c r="W3331" i="1"/>
  <c r="W3333" i="1"/>
  <c r="W3335" i="1"/>
  <c r="W3337" i="1"/>
  <c r="W3339" i="1"/>
  <c r="W3341" i="1"/>
  <c r="W3343" i="1"/>
  <c r="W3345" i="1"/>
  <c r="W3347" i="1"/>
  <c r="W3349" i="1"/>
  <c r="W3351" i="1"/>
  <c r="W3353" i="1"/>
  <c r="W3355" i="1"/>
  <c r="W3357" i="1"/>
  <c r="W3359" i="1"/>
  <c r="W3361" i="1"/>
  <c r="W3363" i="1"/>
  <c r="W3365" i="1"/>
  <c r="W3367" i="1"/>
  <c r="W3369" i="1"/>
  <c r="W3371" i="1"/>
  <c r="W3373" i="1"/>
  <c r="W3375" i="1"/>
  <c r="W3377" i="1"/>
  <c r="W3379" i="1"/>
  <c r="W3381" i="1"/>
  <c r="W3383" i="1"/>
  <c r="W3385" i="1"/>
  <c r="W3387" i="1"/>
  <c r="W3389" i="1"/>
  <c r="W3391" i="1"/>
  <c r="W3393" i="1"/>
  <c r="W3395" i="1"/>
  <c r="W3397" i="1"/>
  <c r="W3399" i="1"/>
  <c r="W3401" i="1"/>
  <c r="W3403" i="1"/>
  <c r="W3405" i="1"/>
  <c r="W3407" i="1"/>
  <c r="W3409" i="1"/>
  <c r="W3411" i="1"/>
  <c r="W3413" i="1"/>
  <c r="W3415" i="1"/>
  <c r="W3417" i="1"/>
  <c r="W3419" i="1"/>
  <c r="W3421" i="1"/>
  <c r="W3423" i="1"/>
  <c r="W3425" i="1"/>
  <c r="W3427" i="1"/>
  <c r="W3429" i="1"/>
  <c r="W3431" i="1"/>
  <c r="W3433" i="1"/>
  <c r="W3435" i="1"/>
  <c r="W3437" i="1"/>
  <c r="W3439" i="1"/>
  <c r="W3441" i="1"/>
  <c r="W3443" i="1"/>
  <c r="W3445" i="1"/>
  <c r="W3447" i="1"/>
  <c r="W3449" i="1"/>
  <c r="W3451" i="1"/>
  <c r="W3453" i="1"/>
  <c r="W3455" i="1"/>
  <c r="W3457" i="1"/>
  <c r="W3459" i="1"/>
  <c r="W3461" i="1"/>
  <c r="W3463" i="1"/>
  <c r="W3465" i="1"/>
  <c r="W3467" i="1"/>
  <c r="W3469" i="1"/>
  <c r="W3471" i="1"/>
  <c r="W3473" i="1"/>
  <c r="W3475" i="1"/>
  <c r="W3477" i="1"/>
  <c r="W3479" i="1"/>
  <c r="W3481" i="1"/>
  <c r="W3483" i="1"/>
  <c r="W3485" i="1"/>
  <c r="W3487" i="1"/>
  <c r="W3489" i="1"/>
  <c r="W3491" i="1"/>
  <c r="W3493" i="1"/>
  <c r="W3495" i="1"/>
  <c r="W9" i="1"/>
  <c r="W25" i="1"/>
  <c r="W41" i="1"/>
  <c r="W57" i="1"/>
  <c r="W73" i="1"/>
  <c r="W89" i="1"/>
  <c r="W105" i="1"/>
  <c r="W121" i="1"/>
  <c r="W137" i="1"/>
  <c r="W153" i="1"/>
  <c r="W169" i="1"/>
  <c r="W185" i="1"/>
  <c r="W201" i="1"/>
  <c r="W217" i="1"/>
  <c r="W233" i="1"/>
  <c r="W249" i="1"/>
  <c r="W265" i="1"/>
  <c r="W281" i="1"/>
  <c r="W297" i="1"/>
  <c r="W313" i="1"/>
  <c r="W329" i="1"/>
  <c r="W345" i="1"/>
  <c r="W361" i="1"/>
  <c r="W377" i="1"/>
  <c r="W393" i="1"/>
  <c r="W409" i="1"/>
  <c r="W425" i="1"/>
  <c r="W436" i="1"/>
  <c r="W444" i="1"/>
  <c r="W452" i="1"/>
  <c r="W460" i="1"/>
  <c r="W468" i="1"/>
  <c r="W476" i="1"/>
  <c r="W484" i="1"/>
  <c r="W492" i="1"/>
  <c r="W500" i="1"/>
  <c r="W508" i="1"/>
  <c r="W516" i="1"/>
  <c r="W524" i="1"/>
  <c r="W532" i="1"/>
  <c r="W540" i="1"/>
  <c r="W548" i="1"/>
  <c r="W556" i="1"/>
  <c r="W564" i="1"/>
  <c r="W572" i="1"/>
  <c r="W580" i="1"/>
  <c r="W588" i="1"/>
  <c r="W596" i="1"/>
  <c r="W604" i="1"/>
  <c r="W612" i="1"/>
  <c r="W620" i="1"/>
  <c r="W628" i="1"/>
  <c r="W636" i="1"/>
  <c r="W644" i="1"/>
  <c r="W652" i="1"/>
  <c r="W660" i="1"/>
  <c r="W668" i="1"/>
  <c r="W676" i="1"/>
  <c r="W684" i="1"/>
  <c r="W692" i="1"/>
  <c r="W700" i="1"/>
  <c r="W708" i="1"/>
  <c r="W716" i="1"/>
  <c r="W724" i="1"/>
  <c r="W732" i="1"/>
  <c r="W740" i="1"/>
  <c r="W748" i="1"/>
  <c r="W756" i="1"/>
  <c r="W764" i="1"/>
  <c r="W772" i="1"/>
  <c r="W780" i="1"/>
  <c r="W788" i="1"/>
  <c r="W796" i="1"/>
  <c r="W804" i="1"/>
  <c r="W812" i="1"/>
  <c r="W820" i="1"/>
  <c r="W828" i="1"/>
  <c r="W836" i="1"/>
  <c r="W844" i="1"/>
  <c r="W852" i="1"/>
  <c r="W860" i="1"/>
  <c r="W868" i="1"/>
  <c r="W876" i="1"/>
  <c r="W884" i="1"/>
  <c r="W892" i="1"/>
  <c r="W900" i="1"/>
  <c r="W908" i="1"/>
  <c r="W916" i="1"/>
  <c r="W924" i="1"/>
  <c r="W932" i="1"/>
  <c r="W940" i="1"/>
  <c r="W948" i="1"/>
  <c r="W956" i="1"/>
  <c r="W964" i="1"/>
  <c r="W972" i="1"/>
  <c r="W980" i="1"/>
  <c r="W988" i="1"/>
  <c r="W996" i="1"/>
  <c r="W1004" i="1"/>
  <c r="W1012" i="1"/>
  <c r="W1020" i="1"/>
  <c r="W1028" i="1"/>
  <c r="W1036" i="1"/>
  <c r="W1044" i="1"/>
  <c r="W1052" i="1"/>
  <c r="W1060" i="1"/>
  <c r="W1068" i="1"/>
  <c r="W1076" i="1"/>
  <c r="W1084" i="1"/>
  <c r="W1092" i="1"/>
  <c r="W1100" i="1"/>
  <c r="W1108" i="1"/>
  <c r="W1116" i="1"/>
  <c r="W1124" i="1"/>
  <c r="W1132" i="1"/>
  <c r="W1140" i="1"/>
  <c r="W1148" i="1"/>
  <c r="W1156" i="1"/>
  <c r="W1164" i="1"/>
  <c r="W1172" i="1"/>
  <c r="W1180" i="1"/>
  <c r="W1188" i="1"/>
  <c r="W1196" i="1"/>
  <c r="W1204" i="1"/>
  <c r="W1212" i="1"/>
  <c r="W1220" i="1"/>
  <c r="W1228" i="1"/>
  <c r="W1236" i="1"/>
  <c r="W1244" i="1"/>
  <c r="W1252" i="1"/>
  <c r="W1260" i="1"/>
  <c r="W1268" i="1"/>
  <c r="W1276" i="1"/>
  <c r="W1284" i="1"/>
  <c r="W1292" i="1"/>
  <c r="W1300" i="1"/>
  <c r="W1308" i="1"/>
  <c r="W1316" i="1"/>
  <c r="W1324" i="1"/>
  <c r="W1332" i="1"/>
  <c r="W1340" i="1"/>
  <c r="W1348" i="1"/>
  <c r="W1356" i="1"/>
  <c r="W1364" i="1"/>
  <c r="W1372" i="1"/>
  <c r="W1380" i="1"/>
  <c r="W1388" i="1"/>
  <c r="W1396" i="1"/>
  <c r="W1404" i="1"/>
  <c r="W1412" i="1"/>
  <c r="W1420" i="1"/>
  <c r="W1428" i="1"/>
  <c r="W1436" i="1"/>
  <c r="W1444" i="1"/>
  <c r="W1452" i="1"/>
  <c r="W1456" i="1"/>
  <c r="W1460" i="1"/>
  <c r="W1464" i="1"/>
  <c r="W1468" i="1"/>
  <c r="W1472" i="1"/>
  <c r="W1476" i="1"/>
  <c r="W1480" i="1"/>
  <c r="W1484" i="1"/>
  <c r="W1488" i="1"/>
  <c r="W1492" i="1"/>
  <c r="W1496" i="1"/>
  <c r="W1500" i="1"/>
  <c r="W1504" i="1"/>
  <c r="W1508" i="1"/>
  <c r="W1512" i="1"/>
  <c r="W1516" i="1"/>
  <c r="W1520" i="1"/>
  <c r="W1524" i="1"/>
  <c r="W1528" i="1"/>
  <c r="W1532" i="1"/>
  <c r="W1536" i="1"/>
  <c r="W1540" i="1"/>
  <c r="W1544" i="1"/>
  <c r="W1548" i="1"/>
  <c r="W1552" i="1"/>
  <c r="W1556" i="1"/>
  <c r="W1560" i="1"/>
  <c r="W1564" i="1"/>
  <c r="W1568" i="1"/>
  <c r="W1572" i="1"/>
  <c r="W1576" i="1"/>
  <c r="W1580" i="1"/>
  <c r="W1584" i="1"/>
  <c r="W1588" i="1"/>
  <c r="W1592" i="1"/>
  <c r="W1596" i="1"/>
  <c r="W1600" i="1"/>
  <c r="W1604" i="1"/>
  <c r="W1608" i="1"/>
  <c r="W1612" i="1"/>
  <c r="W1616" i="1"/>
  <c r="W1620" i="1"/>
  <c r="W1624" i="1"/>
  <c r="W1628" i="1"/>
  <c r="W1632" i="1"/>
  <c r="W1636" i="1"/>
  <c r="W1640" i="1"/>
  <c r="W1644" i="1"/>
  <c r="W1648" i="1"/>
  <c r="W1652" i="1"/>
  <c r="W1656" i="1"/>
  <c r="W1660" i="1"/>
  <c r="W1664" i="1"/>
  <c r="W1668" i="1"/>
  <c r="W1672" i="1"/>
  <c r="W1676" i="1"/>
  <c r="W1680" i="1"/>
  <c r="W1684" i="1"/>
  <c r="W1688" i="1"/>
  <c r="W1692" i="1"/>
  <c r="W1696" i="1"/>
  <c r="W1700" i="1"/>
  <c r="W1704" i="1"/>
  <c r="W1708" i="1"/>
  <c r="W1712" i="1"/>
  <c r="W1716" i="1"/>
  <c r="W1720" i="1"/>
  <c r="W1724" i="1"/>
  <c r="W1728" i="1"/>
  <c r="W1732" i="1"/>
  <c r="W1736" i="1"/>
  <c r="W1740" i="1"/>
  <c r="W1744" i="1"/>
  <c r="W1748" i="1"/>
  <c r="W1752" i="1"/>
  <c r="W1756" i="1"/>
  <c r="W1760" i="1"/>
  <c r="W1764" i="1"/>
  <c r="W1768" i="1"/>
  <c r="W1772" i="1"/>
  <c r="W1776" i="1"/>
  <c r="W1780" i="1"/>
  <c r="W1784" i="1"/>
  <c r="W1788" i="1"/>
  <c r="W1792" i="1"/>
  <c r="W1796" i="1"/>
  <c r="W1800" i="1"/>
  <c r="W1804" i="1"/>
  <c r="W1808" i="1"/>
  <c r="W1812" i="1"/>
  <c r="W1816" i="1"/>
  <c r="W1820" i="1"/>
  <c r="W1824" i="1"/>
  <c r="W1828" i="1"/>
  <c r="W1832" i="1"/>
  <c r="W1836" i="1"/>
  <c r="W1840" i="1"/>
  <c r="W1844" i="1"/>
  <c r="W1848" i="1"/>
  <c r="W1852" i="1"/>
  <c r="W1856" i="1"/>
  <c r="W1860" i="1"/>
  <c r="W1864" i="1"/>
  <c r="W1868" i="1"/>
  <c r="W1872" i="1"/>
  <c r="W1876" i="1"/>
  <c r="W1880" i="1"/>
  <c r="W1884" i="1"/>
  <c r="W1888" i="1"/>
  <c r="W1892" i="1"/>
  <c r="W1896" i="1"/>
  <c r="W1900" i="1"/>
  <c r="W1904" i="1"/>
  <c r="W1908" i="1"/>
  <c r="W1912" i="1"/>
  <c r="W1916" i="1"/>
  <c r="W1920" i="1"/>
  <c r="W1924" i="1"/>
  <c r="W1928" i="1"/>
  <c r="W1932" i="1"/>
  <c r="W1936" i="1"/>
  <c r="W1940" i="1"/>
  <c r="W1944" i="1"/>
  <c r="W1948" i="1"/>
  <c r="W1952" i="1"/>
  <c r="W1956" i="1"/>
  <c r="W1960" i="1"/>
  <c r="W1964" i="1"/>
  <c r="W1968" i="1"/>
  <c r="W1972" i="1"/>
  <c r="W1976" i="1"/>
  <c r="W1980" i="1"/>
  <c r="W1984" i="1"/>
  <c r="W1988" i="1"/>
  <c r="W1992" i="1"/>
  <c r="W1996" i="1"/>
  <c r="W2000" i="1"/>
  <c r="W2004" i="1"/>
  <c r="W2008" i="1"/>
  <c r="W2012" i="1"/>
  <c r="W2016" i="1"/>
  <c r="W2020" i="1"/>
  <c r="W2024" i="1"/>
  <c r="W2028" i="1"/>
  <c r="W2032" i="1"/>
  <c r="W2036" i="1"/>
  <c r="W2040" i="1"/>
  <c r="W2044" i="1"/>
  <c r="W2048" i="1"/>
  <c r="W2052" i="1"/>
  <c r="W2056" i="1"/>
  <c r="W2060" i="1"/>
  <c r="W2064" i="1"/>
  <c r="W2068" i="1"/>
  <c r="W2072" i="1"/>
  <c r="W2076" i="1"/>
  <c r="W2080" i="1"/>
  <c r="W2084" i="1"/>
  <c r="W2088" i="1"/>
  <c r="W2092" i="1"/>
  <c r="W2096" i="1"/>
  <c r="W2100" i="1"/>
  <c r="W2104" i="1"/>
  <c r="W2108" i="1"/>
  <c r="W2112" i="1"/>
  <c r="W2116" i="1"/>
  <c r="W2120" i="1"/>
  <c r="W2124" i="1"/>
  <c r="W2128" i="1"/>
  <c r="W2132" i="1"/>
  <c r="W2136" i="1"/>
  <c r="W2140" i="1"/>
  <c r="W2144" i="1"/>
  <c r="W2148" i="1"/>
  <c r="W2152" i="1"/>
  <c r="W2156" i="1"/>
  <c r="W2160" i="1"/>
  <c r="W2164" i="1"/>
  <c r="W2168" i="1"/>
  <c r="W2172" i="1"/>
  <c r="W2176" i="1"/>
  <c r="W2180" i="1"/>
  <c r="W2184" i="1"/>
  <c r="W2188" i="1"/>
  <c r="W2192" i="1"/>
  <c r="W2196" i="1"/>
  <c r="W2200" i="1"/>
  <c r="W2204" i="1"/>
  <c r="W2208" i="1"/>
  <c r="W2212" i="1"/>
  <c r="W2216" i="1"/>
  <c r="W2220" i="1"/>
  <c r="W2224" i="1"/>
  <c r="W2228" i="1"/>
  <c r="W2232" i="1"/>
  <c r="W2236" i="1"/>
  <c r="W2240" i="1"/>
  <c r="W2244" i="1"/>
  <c r="W2248" i="1"/>
  <c r="W2252" i="1"/>
  <c r="W2256" i="1"/>
  <c r="W2260" i="1"/>
  <c r="W2264" i="1"/>
  <c r="W2268" i="1"/>
  <c r="W2272" i="1"/>
  <c r="W2276" i="1"/>
  <c r="W2280" i="1"/>
  <c r="W2284" i="1"/>
  <c r="W2288" i="1"/>
  <c r="W2292" i="1"/>
  <c r="W2296" i="1"/>
  <c r="W2300" i="1"/>
  <c r="W2304" i="1"/>
  <c r="W2308" i="1"/>
  <c r="W2312" i="1"/>
  <c r="W2316" i="1"/>
  <c r="W2320" i="1"/>
  <c r="W2324" i="1"/>
  <c r="W2328" i="1"/>
  <c r="W2332" i="1"/>
  <c r="W2336" i="1"/>
  <c r="W2340" i="1"/>
  <c r="W2344" i="1"/>
  <c r="W2348" i="1"/>
  <c r="W2352" i="1"/>
  <c r="W2356" i="1"/>
  <c r="W2360" i="1"/>
  <c r="W2364" i="1"/>
  <c r="W2368" i="1"/>
  <c r="W2372" i="1"/>
  <c r="W2376" i="1"/>
  <c r="W2380" i="1"/>
  <c r="W2384" i="1"/>
  <c r="W2388" i="1"/>
  <c r="W2392" i="1"/>
  <c r="W2396" i="1"/>
  <c r="W2400" i="1"/>
  <c r="W2404" i="1"/>
  <c r="W2408" i="1"/>
  <c r="W2412" i="1"/>
  <c r="W2416" i="1"/>
  <c r="W2420" i="1"/>
  <c r="W2424" i="1"/>
  <c r="W2428" i="1"/>
  <c r="W2432" i="1"/>
  <c r="W2436" i="1"/>
  <c r="W2440" i="1"/>
  <c r="W2444" i="1"/>
  <c r="W2448" i="1"/>
  <c r="W2452" i="1"/>
  <c r="W2456" i="1"/>
  <c r="W2460" i="1"/>
  <c r="W2464" i="1"/>
  <c r="W2468" i="1"/>
  <c r="W2472" i="1"/>
  <c r="W2476" i="1"/>
  <c r="W2480" i="1"/>
  <c r="W2484" i="1"/>
  <c r="W2488" i="1"/>
  <c r="W2492" i="1"/>
  <c r="W2496" i="1"/>
  <c r="W2500" i="1"/>
  <c r="W2504" i="1"/>
  <c r="W2508" i="1"/>
  <c r="W2512" i="1"/>
  <c r="W2516" i="1"/>
  <c r="W2520" i="1"/>
  <c r="W2524" i="1"/>
  <c r="W2528" i="1"/>
  <c r="W2532" i="1"/>
  <c r="W2536" i="1"/>
  <c r="W2540" i="1"/>
  <c r="W2544" i="1"/>
  <c r="W2548" i="1"/>
  <c r="W2552" i="1"/>
  <c r="W2556" i="1"/>
  <c r="W2560" i="1"/>
  <c r="W2564" i="1"/>
  <c r="W2568" i="1"/>
  <c r="W2572" i="1"/>
  <c r="W2576" i="1"/>
  <c r="W2580" i="1"/>
  <c r="W2584" i="1"/>
  <c r="W2588" i="1"/>
  <c r="W2592" i="1"/>
  <c r="W2596" i="1"/>
  <c r="W2600" i="1"/>
  <c r="W2604" i="1"/>
  <c r="W2608" i="1"/>
  <c r="W2612" i="1"/>
  <c r="W2616" i="1"/>
  <c r="W2620" i="1"/>
  <c r="W2624" i="1"/>
  <c r="W2628" i="1"/>
  <c r="W2632" i="1"/>
  <c r="W2636" i="1"/>
  <c r="W2640" i="1"/>
  <c r="W2644" i="1"/>
  <c r="W2648" i="1"/>
  <c r="W2652" i="1"/>
  <c r="W2656" i="1"/>
  <c r="W2660" i="1"/>
  <c r="W2664" i="1"/>
  <c r="W2668" i="1"/>
  <c r="W2672" i="1"/>
  <c r="W2676" i="1"/>
  <c r="W2680" i="1"/>
  <c r="W2684" i="1"/>
  <c r="W2688" i="1"/>
  <c r="W2692" i="1"/>
  <c r="W2696" i="1"/>
  <c r="W2700" i="1"/>
  <c r="W2704" i="1"/>
  <c r="W2708" i="1"/>
  <c r="W2712" i="1"/>
  <c r="W2716" i="1"/>
  <c r="W2720" i="1"/>
  <c r="W2724" i="1"/>
  <c r="W2728" i="1"/>
  <c r="W2732" i="1"/>
  <c r="W2736" i="1"/>
  <c r="W2740" i="1"/>
  <c r="W2744" i="1"/>
  <c r="W2748" i="1"/>
  <c r="W2752" i="1"/>
  <c r="W2756" i="1"/>
  <c r="W2760" i="1"/>
  <c r="W2764" i="1"/>
  <c r="W2768" i="1"/>
  <c r="W2772" i="1"/>
  <c r="W2776" i="1"/>
  <c r="W2780" i="1"/>
  <c r="W2784" i="1"/>
  <c r="W2788" i="1"/>
  <c r="W2792" i="1"/>
  <c r="W2796" i="1"/>
  <c r="W2800" i="1"/>
  <c r="W2804" i="1"/>
  <c r="W2808" i="1"/>
  <c r="W2812" i="1"/>
  <c r="W2816" i="1"/>
  <c r="W2820" i="1"/>
  <c r="W2824" i="1"/>
  <c r="W2828" i="1"/>
  <c r="W2832" i="1"/>
  <c r="W2836" i="1"/>
  <c r="W2840" i="1"/>
  <c r="W2844" i="1"/>
  <c r="W2848" i="1"/>
  <c r="W2852" i="1"/>
  <c r="W2856" i="1"/>
  <c r="W2860" i="1"/>
  <c r="W2864" i="1"/>
  <c r="W2868" i="1"/>
  <c r="W2872" i="1"/>
  <c r="W2876" i="1"/>
  <c r="W2880" i="1"/>
  <c r="W2884" i="1"/>
  <c r="W2888" i="1"/>
  <c r="W2892" i="1"/>
  <c r="W2896" i="1"/>
  <c r="W2900" i="1"/>
  <c r="W2904" i="1"/>
  <c r="W2908" i="1"/>
  <c r="W2912" i="1"/>
  <c r="W2916" i="1"/>
  <c r="W2920" i="1"/>
  <c r="W2924" i="1"/>
  <c r="W2928" i="1"/>
  <c r="W2932" i="1"/>
  <c r="W2936" i="1"/>
  <c r="W2940" i="1"/>
  <c r="W2944" i="1"/>
  <c r="W2948" i="1"/>
  <c r="W2952" i="1"/>
  <c r="W2956" i="1"/>
  <c r="W2960" i="1"/>
  <c r="W2964" i="1"/>
  <c r="W2968" i="1"/>
  <c r="W2972" i="1"/>
  <c r="W2976" i="1"/>
  <c r="W2980" i="1"/>
  <c r="W2984" i="1"/>
  <c r="W2988" i="1"/>
  <c r="W2992" i="1"/>
  <c r="W2996" i="1"/>
  <c r="W3000" i="1"/>
  <c r="W3004" i="1"/>
  <c r="W3008" i="1"/>
  <c r="W3012" i="1"/>
  <c r="W3016" i="1"/>
  <c r="W3020" i="1"/>
  <c r="W3024" i="1"/>
  <c r="W3028" i="1"/>
  <c r="W3032" i="1"/>
  <c r="W3036" i="1"/>
  <c r="W3040" i="1"/>
  <c r="W3044" i="1"/>
  <c r="W3048" i="1"/>
  <c r="W3052" i="1"/>
  <c r="W3056" i="1"/>
  <c r="W3060" i="1"/>
  <c r="W3064" i="1"/>
  <c r="W3068" i="1"/>
  <c r="W3072" i="1"/>
  <c r="W3076" i="1"/>
  <c r="W3080" i="1"/>
  <c r="W3084" i="1"/>
  <c r="W3088" i="1"/>
  <c r="W3092" i="1"/>
  <c r="W3096" i="1"/>
  <c r="W3100" i="1"/>
  <c r="W3104" i="1"/>
  <c r="W3108" i="1"/>
  <c r="W3112" i="1"/>
  <c r="W3116" i="1"/>
  <c r="W3120" i="1"/>
  <c r="W3124" i="1"/>
  <c r="W3128" i="1"/>
  <c r="W3132" i="1"/>
  <c r="W3136" i="1"/>
  <c r="W3140" i="1"/>
  <c r="W3144" i="1"/>
  <c r="W3148" i="1"/>
  <c r="W3152" i="1"/>
  <c r="W3156" i="1"/>
  <c r="W3160" i="1"/>
  <c r="W3164" i="1"/>
  <c r="W3168" i="1"/>
  <c r="W3172" i="1"/>
  <c r="W3176" i="1"/>
  <c r="W3180" i="1"/>
  <c r="W3184" i="1"/>
  <c r="W3188" i="1"/>
  <c r="W3192" i="1"/>
  <c r="W3196" i="1"/>
  <c r="W3200" i="1"/>
  <c r="W3204" i="1"/>
  <c r="W3208" i="1"/>
  <c r="W3212" i="1"/>
  <c r="W3216" i="1"/>
  <c r="W3220" i="1"/>
  <c r="W3224" i="1"/>
  <c r="W3228" i="1"/>
  <c r="W3232" i="1"/>
  <c r="W3236" i="1"/>
  <c r="W3240" i="1"/>
  <c r="W3244" i="1"/>
  <c r="W3248" i="1"/>
  <c r="W3252" i="1"/>
  <c r="W3256" i="1"/>
  <c r="W3260" i="1"/>
  <c r="W3264" i="1"/>
  <c r="W3268" i="1"/>
  <c r="W3272" i="1"/>
  <c r="W3276" i="1"/>
  <c r="W3280" i="1"/>
  <c r="W3284" i="1"/>
  <c r="W3288" i="1"/>
  <c r="W3292" i="1"/>
  <c r="W3296" i="1"/>
  <c r="W3300" i="1"/>
  <c r="W3304" i="1"/>
  <c r="W3308" i="1"/>
  <c r="W3312" i="1"/>
  <c r="W3316" i="1"/>
  <c r="W3320" i="1"/>
  <c r="W3324" i="1"/>
  <c r="W3328" i="1"/>
  <c r="W3332" i="1"/>
  <c r="W3336" i="1"/>
  <c r="W3340" i="1"/>
  <c r="W3344" i="1"/>
  <c r="W3348" i="1"/>
  <c r="W3352" i="1"/>
  <c r="W3356" i="1"/>
  <c r="W3360" i="1"/>
  <c r="W3364" i="1"/>
  <c r="W3368" i="1"/>
  <c r="W3372" i="1"/>
  <c r="W3376" i="1"/>
  <c r="W3380" i="1"/>
  <c r="W3384" i="1"/>
  <c r="W3388" i="1"/>
  <c r="W3392" i="1"/>
  <c r="W3396" i="1"/>
  <c r="W3400" i="1"/>
  <c r="W3404" i="1"/>
  <c r="W3408" i="1"/>
  <c r="W3412" i="1"/>
  <c r="W3416" i="1"/>
  <c r="W3420" i="1"/>
  <c r="W3424" i="1"/>
  <c r="W3428" i="1"/>
  <c r="W3432" i="1"/>
  <c r="W3436" i="1"/>
  <c r="W3440" i="1"/>
  <c r="W3444" i="1"/>
  <c r="W3448" i="1"/>
  <c r="W3452" i="1"/>
  <c r="W3456" i="1"/>
  <c r="W3460" i="1"/>
  <c r="W3464" i="1"/>
  <c r="W3468" i="1"/>
  <c r="W3472" i="1"/>
  <c r="W3476" i="1"/>
  <c r="W3480" i="1"/>
  <c r="W3484" i="1"/>
  <c r="W3488" i="1"/>
  <c r="W3492" i="1"/>
  <c r="W3496" i="1"/>
  <c r="W3498" i="1"/>
  <c r="W3500" i="1"/>
  <c r="W3502" i="1"/>
  <c r="W3504" i="1"/>
  <c r="W3506" i="1"/>
  <c r="W3508" i="1"/>
  <c r="W3510" i="1"/>
  <c r="W3512" i="1"/>
  <c r="W3514" i="1"/>
  <c r="W3516" i="1"/>
  <c r="W3518" i="1"/>
  <c r="W3520" i="1"/>
  <c r="W3522" i="1"/>
  <c r="W3524" i="1"/>
  <c r="W3526" i="1"/>
  <c r="W3528" i="1"/>
  <c r="W3530" i="1"/>
  <c r="W3532" i="1"/>
  <c r="W3534" i="1"/>
  <c r="W3536" i="1"/>
  <c r="W3538" i="1"/>
  <c r="W3540" i="1"/>
  <c r="W3542" i="1"/>
  <c r="W3544" i="1"/>
  <c r="W3546" i="1"/>
  <c r="W3548" i="1"/>
  <c r="W3550" i="1"/>
  <c r="W3552" i="1"/>
  <c r="W3554" i="1"/>
  <c r="W3556" i="1"/>
  <c r="W3558" i="1"/>
  <c r="W3560" i="1"/>
  <c r="W3562" i="1"/>
  <c r="W3564" i="1"/>
  <c r="W3566" i="1"/>
  <c r="W3568" i="1"/>
  <c r="W3570" i="1"/>
  <c r="W3572" i="1"/>
  <c r="W3574" i="1"/>
  <c r="W3576" i="1"/>
  <c r="W3578" i="1"/>
  <c r="W3580" i="1"/>
  <c r="W3582" i="1"/>
  <c r="W3584" i="1"/>
  <c r="W3586" i="1"/>
  <c r="W3588" i="1"/>
  <c r="W3590" i="1"/>
  <c r="W3592" i="1"/>
  <c r="W3594" i="1"/>
  <c r="W3596" i="1"/>
  <c r="W3598" i="1"/>
  <c r="W3600" i="1"/>
  <c r="W3602" i="1"/>
  <c r="W3604" i="1"/>
  <c r="W3606" i="1"/>
  <c r="W3608" i="1"/>
  <c r="W3610" i="1"/>
  <c r="W3612" i="1"/>
  <c r="W3614" i="1"/>
  <c r="W3616" i="1"/>
  <c r="W3618" i="1"/>
  <c r="W3620" i="1"/>
  <c r="W3622" i="1"/>
  <c r="W3624" i="1"/>
  <c r="W3626" i="1"/>
  <c r="W3628" i="1"/>
  <c r="W3630" i="1"/>
  <c r="W3632" i="1"/>
  <c r="W3634" i="1"/>
  <c r="W3636" i="1"/>
  <c r="W3638" i="1"/>
  <c r="W3640" i="1"/>
  <c r="W3642" i="1"/>
  <c r="W3644" i="1"/>
  <c r="W3646" i="1"/>
  <c r="W3648" i="1"/>
  <c r="W3650" i="1"/>
  <c r="W3652" i="1"/>
  <c r="W3654" i="1"/>
  <c r="W3656" i="1"/>
  <c r="W3658" i="1"/>
  <c r="W3660" i="1"/>
  <c r="W3662" i="1"/>
  <c r="W3664" i="1"/>
  <c r="W3666" i="1"/>
  <c r="W3668" i="1"/>
  <c r="W3670" i="1"/>
  <c r="W3672" i="1"/>
  <c r="W3674" i="1"/>
  <c r="W3676" i="1"/>
  <c r="W3678" i="1"/>
  <c r="W3680" i="1"/>
  <c r="W3682" i="1"/>
  <c r="W3684" i="1"/>
  <c r="W3686" i="1"/>
  <c r="W3688" i="1"/>
  <c r="W3690" i="1"/>
  <c r="W3692" i="1"/>
  <c r="W3694" i="1"/>
  <c r="W3696" i="1"/>
  <c r="W3698" i="1"/>
  <c r="W3700" i="1"/>
  <c r="W3702" i="1"/>
  <c r="W3704" i="1"/>
  <c r="W3706" i="1"/>
  <c r="W3708" i="1"/>
  <c r="W3710" i="1"/>
  <c r="W3712" i="1"/>
  <c r="W3714" i="1"/>
  <c r="W3716" i="1"/>
  <c r="W3718" i="1"/>
  <c r="W3720" i="1"/>
  <c r="W3722" i="1"/>
  <c r="W3724" i="1"/>
  <c r="W3726" i="1"/>
  <c r="W3728" i="1"/>
  <c r="W3730" i="1"/>
  <c r="W3732" i="1"/>
  <c r="W3734" i="1"/>
  <c r="W3736" i="1"/>
  <c r="W3738" i="1"/>
  <c r="W3740" i="1"/>
  <c r="W3742" i="1"/>
  <c r="W3744" i="1"/>
  <c r="W3746" i="1"/>
  <c r="W3748" i="1"/>
  <c r="W3750" i="1"/>
  <c r="W3752" i="1"/>
  <c r="W3754" i="1"/>
  <c r="W3756" i="1"/>
  <c r="W3758" i="1"/>
  <c r="W3760" i="1"/>
  <c r="W3762" i="1"/>
  <c r="W3764" i="1"/>
  <c r="W3766" i="1"/>
  <c r="W3768" i="1"/>
  <c r="W3770" i="1"/>
  <c r="W3772" i="1"/>
  <c r="W3774" i="1"/>
  <c r="W3776" i="1"/>
  <c r="W3778" i="1"/>
  <c r="W3780" i="1"/>
  <c r="W3782" i="1"/>
  <c r="W3784" i="1"/>
  <c r="W3786" i="1"/>
  <c r="W3788" i="1"/>
  <c r="W3790" i="1"/>
  <c r="W3792" i="1"/>
  <c r="W3794" i="1"/>
  <c r="W3796" i="1"/>
  <c r="W3798" i="1"/>
  <c r="W3800" i="1"/>
  <c r="W3802" i="1"/>
  <c r="W3804" i="1"/>
  <c r="W3806" i="1"/>
  <c r="W3808" i="1"/>
  <c r="W3810" i="1"/>
  <c r="W3812" i="1"/>
  <c r="W3814" i="1"/>
  <c r="W3816" i="1"/>
  <c r="W3818" i="1"/>
  <c r="W3820" i="1"/>
  <c r="W3822" i="1"/>
  <c r="W3824" i="1"/>
  <c r="W3826" i="1"/>
  <c r="W3828" i="1"/>
  <c r="W3830" i="1"/>
  <c r="W3832" i="1"/>
  <c r="W3834" i="1"/>
  <c r="W3836" i="1"/>
  <c r="W3838" i="1"/>
  <c r="W3840" i="1"/>
  <c r="W3842" i="1"/>
  <c r="W3844" i="1"/>
  <c r="W3846" i="1"/>
  <c r="W3848" i="1"/>
  <c r="W3850" i="1"/>
  <c r="W3852" i="1"/>
  <c r="W3854" i="1"/>
  <c r="W3856" i="1"/>
  <c r="W3858" i="1"/>
  <c r="W3860" i="1"/>
  <c r="W3862" i="1"/>
  <c r="W3864" i="1"/>
  <c r="W3866" i="1"/>
  <c r="W3868" i="1"/>
  <c r="W3870" i="1"/>
  <c r="W3872" i="1"/>
  <c r="W3874" i="1"/>
  <c r="W3876" i="1"/>
  <c r="W3878" i="1"/>
  <c r="W3880" i="1"/>
  <c r="W3882" i="1"/>
  <c r="W3884" i="1"/>
  <c r="W3886" i="1"/>
  <c r="W3888" i="1"/>
  <c r="W3890" i="1"/>
  <c r="W3892" i="1"/>
  <c r="W3894" i="1"/>
  <c r="W3896" i="1"/>
  <c r="W3898" i="1"/>
  <c r="W3900" i="1"/>
  <c r="W3902" i="1"/>
  <c r="W3904" i="1"/>
  <c r="W3906" i="1"/>
  <c r="W3908" i="1"/>
  <c r="W3910" i="1"/>
  <c r="W3912" i="1"/>
  <c r="W3914" i="1"/>
  <c r="W3916" i="1"/>
  <c r="W3918" i="1"/>
  <c r="W3920" i="1"/>
  <c r="W3922" i="1"/>
  <c r="W3924" i="1"/>
  <c r="W3926" i="1"/>
  <c r="W3928" i="1"/>
  <c r="W3930" i="1"/>
  <c r="W3932" i="1"/>
  <c r="W3934" i="1"/>
  <c r="W3936" i="1"/>
  <c r="W3938" i="1"/>
  <c r="W3940" i="1"/>
  <c r="W3942" i="1"/>
  <c r="W3944" i="1"/>
  <c r="W3946" i="1"/>
  <c r="W3948" i="1"/>
  <c r="W3950" i="1"/>
  <c r="W3952" i="1"/>
  <c r="W3954" i="1"/>
  <c r="W3956" i="1"/>
  <c r="W3958" i="1"/>
  <c r="W3960" i="1"/>
  <c r="W3962" i="1"/>
  <c r="W3964" i="1"/>
  <c r="W3966" i="1"/>
  <c r="W3968" i="1"/>
  <c r="W3970" i="1"/>
  <c r="W3972" i="1"/>
  <c r="W3974" i="1"/>
  <c r="W3976" i="1"/>
  <c r="W3978" i="1"/>
  <c r="W3980" i="1"/>
  <c r="W3982" i="1"/>
  <c r="W3984" i="1"/>
  <c r="W3986" i="1"/>
  <c r="W3988" i="1"/>
  <c r="W3990" i="1"/>
  <c r="W3992" i="1"/>
  <c r="W3994" i="1"/>
  <c r="W3996" i="1"/>
  <c r="W3998" i="1"/>
  <c r="W4000" i="1"/>
  <c r="W4002" i="1"/>
  <c r="W4004" i="1"/>
  <c r="W4006" i="1"/>
  <c r="W4008" i="1"/>
  <c r="W4010" i="1"/>
  <c r="W4012" i="1"/>
  <c r="W4014" i="1"/>
  <c r="W4016" i="1"/>
  <c r="W4018" i="1"/>
  <c r="W4020" i="1"/>
  <c r="W4022" i="1"/>
  <c r="W4024" i="1"/>
  <c r="W4026" i="1"/>
  <c r="W4028" i="1"/>
  <c r="W4030" i="1"/>
  <c r="W4032" i="1"/>
  <c r="W4034" i="1"/>
  <c r="W4036" i="1"/>
  <c r="W4038" i="1"/>
  <c r="W4040" i="1"/>
  <c r="W4042" i="1"/>
  <c r="W4044" i="1"/>
  <c r="W4046" i="1"/>
  <c r="W4048" i="1"/>
  <c r="W4050" i="1"/>
  <c r="W4052" i="1"/>
  <c r="W4054" i="1"/>
  <c r="W4056" i="1"/>
  <c r="W4058" i="1"/>
  <c r="W4060" i="1"/>
  <c r="W4062" i="1"/>
  <c r="W4064" i="1"/>
  <c r="W4066" i="1"/>
  <c r="W4068" i="1"/>
  <c r="W4070" i="1"/>
  <c r="W4072" i="1"/>
  <c r="W4074" i="1"/>
  <c r="W4076" i="1"/>
  <c r="W4078" i="1"/>
  <c r="W4080" i="1"/>
  <c r="W4082" i="1"/>
  <c r="W4084" i="1"/>
  <c r="W4086" i="1"/>
  <c r="W4088" i="1"/>
  <c r="W4090" i="1"/>
  <c r="W4092" i="1"/>
  <c r="W4094" i="1"/>
  <c r="W4096" i="1"/>
  <c r="W4098" i="1"/>
  <c r="W4100" i="1"/>
  <c r="W4102" i="1"/>
  <c r="W4104" i="1"/>
  <c r="W4106" i="1"/>
  <c r="W4108" i="1"/>
  <c r="W4110" i="1"/>
  <c r="W4112" i="1"/>
  <c r="W4114" i="1"/>
  <c r="W4116" i="1"/>
  <c r="W4118" i="1"/>
  <c r="W4120" i="1"/>
  <c r="W4122" i="1"/>
  <c r="W4124" i="1"/>
  <c r="W4126" i="1"/>
  <c r="W4128" i="1"/>
  <c r="W4130" i="1"/>
  <c r="W4132" i="1"/>
  <c r="W4134" i="1"/>
  <c r="W4136" i="1"/>
  <c r="W4138" i="1"/>
  <c r="W4140" i="1"/>
  <c r="W4142" i="1"/>
  <c r="W4144" i="1"/>
  <c r="W4146" i="1"/>
  <c r="W4148" i="1"/>
  <c r="W4150" i="1"/>
  <c r="W4152" i="1"/>
  <c r="W4154" i="1"/>
  <c r="W4156" i="1"/>
  <c r="W4158" i="1"/>
  <c r="W4160" i="1"/>
  <c r="W4162" i="1"/>
  <c r="W4164" i="1"/>
  <c r="W4166" i="1"/>
  <c r="W4168" i="1"/>
  <c r="W4170" i="1"/>
  <c r="W4172" i="1"/>
  <c r="W4174" i="1"/>
  <c r="W4176" i="1"/>
  <c r="W4178" i="1"/>
  <c r="W4180" i="1"/>
  <c r="W4182" i="1"/>
  <c r="W4184" i="1"/>
  <c r="W4186" i="1"/>
  <c r="W4188" i="1"/>
  <c r="W4190" i="1"/>
  <c r="W4192" i="1"/>
  <c r="W4194" i="1"/>
  <c r="W4196" i="1"/>
  <c r="W4198" i="1"/>
  <c r="W4200" i="1"/>
  <c r="W4202" i="1"/>
  <c r="W4204" i="1"/>
  <c r="W4206" i="1"/>
  <c r="W4208" i="1"/>
  <c r="W4210" i="1"/>
  <c r="W4212" i="1"/>
  <c r="W4214" i="1"/>
  <c r="W4216" i="1"/>
  <c r="W4218" i="1"/>
  <c r="W4220" i="1"/>
  <c r="W4222" i="1"/>
  <c r="W4224" i="1"/>
  <c r="W4226" i="1"/>
  <c r="W4228" i="1"/>
  <c r="W4230" i="1"/>
  <c r="W4232" i="1"/>
  <c r="W4234" i="1"/>
  <c r="W4236" i="1"/>
  <c r="W4238" i="1"/>
  <c r="W4240" i="1"/>
  <c r="W4242" i="1"/>
  <c r="W4244" i="1"/>
  <c r="W4246" i="1"/>
  <c r="W4248" i="1"/>
  <c r="W4250" i="1"/>
  <c r="W4252" i="1"/>
  <c r="W4254" i="1"/>
  <c r="W4256" i="1"/>
  <c r="W4258" i="1"/>
  <c r="W4260" i="1"/>
  <c r="W4262" i="1"/>
  <c r="W4264" i="1"/>
  <c r="W4266" i="1"/>
  <c r="W4268" i="1"/>
  <c r="W4270" i="1"/>
  <c r="W4272" i="1"/>
  <c r="W4274" i="1"/>
  <c r="W4276" i="1"/>
  <c r="W4278" i="1"/>
  <c r="W4280" i="1"/>
  <c r="W4282" i="1"/>
  <c r="W4284" i="1"/>
  <c r="W4286" i="1"/>
  <c r="W4288" i="1"/>
  <c r="W4290" i="1"/>
  <c r="W4292" i="1"/>
  <c r="W4294" i="1"/>
  <c r="W4296" i="1"/>
  <c r="W4298" i="1"/>
  <c r="W4300" i="1"/>
  <c r="W4302" i="1"/>
  <c r="W4304" i="1"/>
  <c r="W4306" i="1"/>
  <c r="W4308" i="1"/>
  <c r="W4310" i="1"/>
  <c r="W4312" i="1"/>
  <c r="W4314" i="1"/>
  <c r="W4316" i="1"/>
  <c r="W4318" i="1"/>
  <c r="W4320" i="1"/>
  <c r="W4322" i="1"/>
  <c r="W4324" i="1"/>
  <c r="W4326" i="1"/>
  <c r="W4328" i="1"/>
  <c r="W4330" i="1"/>
  <c r="W4332" i="1"/>
  <c r="W4334" i="1"/>
  <c r="W4336" i="1"/>
  <c r="W4338" i="1"/>
  <c r="W4340" i="1"/>
  <c r="W4342" i="1"/>
  <c r="W4344" i="1"/>
  <c r="W4346" i="1"/>
  <c r="W4348" i="1"/>
  <c r="W4350" i="1"/>
  <c r="W4352" i="1"/>
  <c r="W4354" i="1"/>
  <c r="W4356" i="1"/>
  <c r="W4358" i="1"/>
  <c r="W4360" i="1"/>
  <c r="W4362" i="1"/>
  <c r="W4364" i="1"/>
  <c r="W4366" i="1"/>
  <c r="W4368" i="1"/>
  <c r="W4370" i="1"/>
  <c r="W4372" i="1"/>
  <c r="W4374" i="1"/>
  <c r="W4376" i="1"/>
  <c r="W4378" i="1"/>
  <c r="W4380" i="1"/>
  <c r="W4382" i="1"/>
  <c r="W4384" i="1"/>
  <c r="W4386" i="1"/>
  <c r="W4388" i="1"/>
  <c r="W4390" i="1"/>
  <c r="W4392" i="1"/>
  <c r="W4394" i="1"/>
  <c r="W4396" i="1"/>
  <c r="W4398" i="1"/>
  <c r="W4400" i="1"/>
  <c r="W4402" i="1"/>
  <c r="W4404" i="1"/>
  <c r="W4406" i="1"/>
  <c r="W4408" i="1"/>
  <c r="W4410" i="1"/>
  <c r="W4412" i="1"/>
  <c r="W4414" i="1"/>
  <c r="W4416" i="1"/>
  <c r="W4418" i="1"/>
  <c r="W4420" i="1"/>
  <c r="W4422" i="1"/>
  <c r="W4424" i="1"/>
  <c r="W4426" i="1"/>
  <c r="W4428" i="1"/>
  <c r="W4430" i="1"/>
  <c r="W4432" i="1"/>
  <c r="W4434" i="1"/>
  <c r="W4436" i="1"/>
  <c r="W4438" i="1"/>
  <c r="W4440" i="1"/>
  <c r="W4442" i="1"/>
  <c r="W4444" i="1"/>
  <c r="W4446" i="1"/>
  <c r="W4448" i="1"/>
  <c r="W4450" i="1"/>
  <c r="W4452" i="1"/>
  <c r="W4454" i="1"/>
  <c r="W4456" i="1"/>
  <c r="W4458" i="1"/>
  <c r="W4460" i="1"/>
  <c r="W4462" i="1"/>
  <c r="W4464" i="1"/>
  <c r="W4466" i="1"/>
  <c r="W4468" i="1"/>
  <c r="W4470" i="1"/>
  <c r="W4472" i="1"/>
  <c r="W4474" i="1"/>
  <c r="W4476" i="1"/>
  <c r="W4478" i="1"/>
  <c r="W4480" i="1"/>
  <c r="W4482" i="1"/>
  <c r="W4484" i="1"/>
  <c r="W4486" i="1"/>
  <c r="W4488" i="1"/>
  <c r="W4490" i="1"/>
  <c r="W4492" i="1"/>
  <c r="W4494" i="1"/>
  <c r="W4496" i="1"/>
  <c r="W4498" i="1"/>
  <c r="W4500" i="1"/>
  <c r="W4502" i="1"/>
  <c r="W4504" i="1"/>
  <c r="W4506" i="1"/>
  <c r="W4508" i="1"/>
  <c r="W4510" i="1"/>
  <c r="W4512" i="1"/>
  <c r="W4514" i="1"/>
  <c r="W4516" i="1"/>
  <c r="W4518" i="1"/>
  <c r="W4520" i="1"/>
  <c r="W4522" i="1"/>
  <c r="W4524" i="1"/>
  <c r="W4526" i="1"/>
  <c r="W4528" i="1"/>
  <c r="W4530" i="1"/>
  <c r="W4532" i="1"/>
  <c r="W4534" i="1"/>
  <c r="W4536" i="1"/>
  <c r="W4538" i="1"/>
  <c r="W4540" i="1"/>
  <c r="W4542" i="1"/>
  <c r="W4544" i="1"/>
  <c r="W4546" i="1"/>
  <c r="W4548" i="1"/>
  <c r="W4550" i="1"/>
  <c r="W4552" i="1"/>
  <c r="W4554" i="1"/>
  <c r="W4556" i="1"/>
  <c r="W4558" i="1"/>
  <c r="W4560" i="1"/>
  <c r="W4562" i="1"/>
  <c r="W4564" i="1"/>
  <c r="W4566" i="1"/>
  <c r="W4568" i="1"/>
  <c r="W4570" i="1"/>
  <c r="W4572" i="1"/>
  <c r="W4574" i="1"/>
  <c r="W4576" i="1"/>
  <c r="W4578" i="1"/>
  <c r="W4580" i="1"/>
  <c r="W4582" i="1"/>
  <c r="W4584" i="1"/>
  <c r="W4586" i="1"/>
  <c r="W4588" i="1"/>
  <c r="W4590" i="1"/>
  <c r="W4592" i="1"/>
  <c r="W4594" i="1"/>
  <c r="W4596" i="1"/>
  <c r="W4598" i="1"/>
  <c r="W4600" i="1"/>
  <c r="W4602" i="1"/>
  <c r="W4604" i="1"/>
  <c r="W4606" i="1"/>
  <c r="W4608" i="1"/>
  <c r="W4610" i="1"/>
  <c r="W4612" i="1"/>
  <c r="W4614" i="1"/>
  <c r="W4616" i="1"/>
  <c r="W4618" i="1"/>
  <c r="W4620" i="1"/>
  <c r="W4622" i="1"/>
  <c r="W4624" i="1"/>
  <c r="W4626" i="1"/>
  <c r="W4628" i="1"/>
  <c r="W4630" i="1"/>
  <c r="W4632" i="1"/>
  <c r="W4634" i="1"/>
  <c r="W4636" i="1"/>
  <c r="W4638" i="1"/>
  <c r="W4640" i="1"/>
  <c r="W4642" i="1"/>
  <c r="W4644" i="1"/>
  <c r="W4646" i="1"/>
  <c r="W4648" i="1"/>
  <c r="W4650" i="1"/>
  <c r="W4652" i="1"/>
  <c r="W4654" i="1"/>
  <c r="W4656" i="1"/>
  <c r="W4658" i="1"/>
  <c r="W4660" i="1"/>
  <c r="W4662" i="1"/>
  <c r="W4664" i="1"/>
  <c r="W4666" i="1"/>
  <c r="W4668" i="1"/>
  <c r="W4670" i="1"/>
  <c r="W4672" i="1"/>
  <c r="W4674" i="1"/>
  <c r="W4676" i="1"/>
  <c r="W4678" i="1"/>
  <c r="W4680" i="1"/>
  <c r="W4682" i="1"/>
  <c r="W4684" i="1"/>
  <c r="W4686" i="1"/>
  <c r="W4688" i="1"/>
  <c r="W4690" i="1"/>
  <c r="W4692" i="1"/>
  <c r="W4694" i="1"/>
  <c r="W4696" i="1"/>
  <c r="W4698" i="1"/>
  <c r="W4700" i="1"/>
  <c r="W4702" i="1"/>
  <c r="W4704" i="1"/>
  <c r="W4706" i="1"/>
  <c r="W4708" i="1"/>
  <c r="W4710" i="1"/>
  <c r="W4712" i="1"/>
  <c r="W4714" i="1"/>
  <c r="W4716" i="1"/>
  <c r="W4718" i="1"/>
  <c r="W4720" i="1"/>
  <c r="W4722" i="1"/>
  <c r="W4724" i="1"/>
  <c r="W4726" i="1"/>
  <c r="W4728" i="1"/>
  <c r="W4730" i="1"/>
  <c r="W4732" i="1"/>
  <c r="W4734" i="1"/>
  <c r="W4736" i="1"/>
  <c r="W4738" i="1"/>
  <c r="W4740" i="1"/>
  <c r="W4742" i="1"/>
  <c r="W4744" i="1"/>
  <c r="W4746" i="1"/>
  <c r="W4748" i="1"/>
  <c r="W4750" i="1"/>
  <c r="W4752" i="1"/>
  <c r="W4754" i="1"/>
  <c r="W4756" i="1"/>
  <c r="W4758" i="1"/>
  <c r="W4760" i="1"/>
  <c r="W4762" i="1"/>
  <c r="W4764" i="1"/>
  <c r="W4766" i="1"/>
  <c r="W4768" i="1"/>
  <c r="W4770" i="1"/>
  <c r="W4772" i="1"/>
  <c r="W4774" i="1"/>
  <c r="W4776" i="1"/>
  <c r="W4778" i="1"/>
  <c r="W4780" i="1"/>
  <c r="W4782" i="1"/>
  <c r="W4784" i="1"/>
  <c r="W4786" i="1"/>
  <c r="W4788" i="1"/>
  <c r="W4790" i="1"/>
  <c r="W4792" i="1"/>
  <c r="W4794" i="1"/>
  <c r="W4796" i="1"/>
  <c r="W4798" i="1"/>
  <c r="W4800" i="1"/>
  <c r="W4802" i="1"/>
  <c r="W4804" i="1"/>
  <c r="W4806" i="1"/>
  <c r="W4808" i="1"/>
  <c r="W4810" i="1"/>
  <c r="W4812" i="1"/>
  <c r="W4814" i="1"/>
  <c r="W4816" i="1"/>
  <c r="W4818" i="1"/>
  <c r="W4820" i="1"/>
  <c r="W4822" i="1"/>
  <c r="W4824" i="1"/>
  <c r="W4826" i="1"/>
  <c r="W4828" i="1"/>
  <c r="W4830" i="1"/>
  <c r="W4832" i="1"/>
  <c r="W4834" i="1"/>
  <c r="W4836" i="1"/>
  <c r="W4838" i="1"/>
  <c r="W4840" i="1"/>
  <c r="W4842" i="1"/>
  <c r="W4844" i="1"/>
  <c r="W4846" i="1"/>
  <c r="W4848" i="1"/>
  <c r="W4850" i="1"/>
  <c r="W4852" i="1"/>
  <c r="W4854" i="1"/>
  <c r="W4856" i="1"/>
  <c r="W4858" i="1"/>
  <c r="W4860" i="1"/>
  <c r="W4862" i="1"/>
  <c r="W4864" i="1"/>
  <c r="W4866" i="1"/>
  <c r="W4868" i="1"/>
  <c r="W4870" i="1"/>
  <c r="W4872" i="1"/>
  <c r="W4874" i="1"/>
  <c r="W4876" i="1"/>
  <c r="W4878" i="1"/>
  <c r="W4880" i="1"/>
  <c r="W4882" i="1"/>
  <c r="W4884" i="1"/>
  <c r="W4886" i="1"/>
  <c r="W4888" i="1"/>
  <c r="W4890" i="1"/>
  <c r="W4892" i="1"/>
  <c r="W4894" i="1"/>
  <c r="W4896" i="1"/>
  <c r="W4898" i="1"/>
  <c r="W4900" i="1"/>
  <c r="W4902" i="1"/>
  <c r="W4904" i="1"/>
  <c r="W4906" i="1"/>
  <c r="W4908" i="1"/>
  <c r="W4910" i="1"/>
  <c r="W4912" i="1"/>
  <c r="W4914" i="1"/>
  <c r="W4916" i="1"/>
  <c r="W4918" i="1"/>
  <c r="W4920" i="1"/>
  <c r="W4922" i="1"/>
  <c r="W4924" i="1"/>
  <c r="W4926" i="1"/>
  <c r="W4928" i="1"/>
  <c r="W4930" i="1"/>
  <c r="W4932" i="1"/>
  <c r="W4934" i="1"/>
  <c r="W4936" i="1"/>
  <c r="W4938" i="1"/>
  <c r="W4940" i="1"/>
  <c r="W4942" i="1"/>
  <c r="W4944" i="1"/>
  <c r="W4946" i="1"/>
  <c r="W4948" i="1"/>
  <c r="W4950" i="1"/>
  <c r="W4952" i="1"/>
  <c r="W4954" i="1"/>
  <c r="W4956" i="1"/>
  <c r="W4958" i="1"/>
  <c r="W4960" i="1"/>
  <c r="W4962" i="1"/>
  <c r="W4964" i="1"/>
  <c r="W4966" i="1"/>
  <c r="W4968" i="1"/>
  <c r="W4970" i="1"/>
  <c r="W4972" i="1"/>
  <c r="W4974" i="1"/>
  <c r="W4976" i="1"/>
  <c r="W4978" i="1"/>
  <c r="W4980" i="1"/>
  <c r="W4982" i="1"/>
  <c r="W4984" i="1"/>
  <c r="W4986" i="1"/>
  <c r="W4988" i="1"/>
  <c r="W4990" i="1"/>
  <c r="W4992" i="1"/>
  <c r="W4994" i="1"/>
  <c r="W4996" i="1"/>
  <c r="W4998" i="1"/>
  <c r="W5000" i="1"/>
  <c r="W2" i="1"/>
  <c r="W17" i="1"/>
  <c r="W49" i="1"/>
  <c r="W81" i="1"/>
  <c r="W113" i="1"/>
  <c r="W145" i="1"/>
  <c r="W177" i="1"/>
  <c r="W209" i="1"/>
  <c r="W241" i="1"/>
  <c r="W273" i="1"/>
  <c r="W305" i="1"/>
  <c r="W337" i="1"/>
  <c r="W369" i="1"/>
  <c r="W401" i="1"/>
  <c r="W432" i="1"/>
  <c r="W448" i="1"/>
  <c r="W464" i="1"/>
  <c r="W480" i="1"/>
  <c r="W496" i="1"/>
  <c r="W512" i="1"/>
  <c r="W528" i="1"/>
  <c r="W544" i="1"/>
  <c r="W560" i="1"/>
  <c r="W576" i="1"/>
  <c r="W592" i="1"/>
  <c r="W608" i="1"/>
  <c r="W624" i="1"/>
  <c r="W640" i="1"/>
  <c r="W656" i="1"/>
  <c r="W672" i="1"/>
  <c r="W688" i="1"/>
  <c r="W704" i="1"/>
  <c r="W720" i="1"/>
  <c r="W736" i="1"/>
  <c r="W752" i="1"/>
  <c r="W768" i="1"/>
  <c r="W784" i="1"/>
  <c r="W800" i="1"/>
  <c r="W816" i="1"/>
  <c r="W832" i="1"/>
  <c r="W848" i="1"/>
  <c r="W864" i="1"/>
  <c r="W880" i="1"/>
  <c r="W896" i="1"/>
  <c r="W912" i="1"/>
  <c r="W928" i="1"/>
  <c r="W944" i="1"/>
  <c r="W960" i="1"/>
  <c r="W976" i="1"/>
  <c r="W992" i="1"/>
  <c r="W1008" i="1"/>
  <c r="W1024" i="1"/>
  <c r="W1040" i="1"/>
  <c r="W1056" i="1"/>
  <c r="W1072" i="1"/>
  <c r="W1088" i="1"/>
  <c r="W1104" i="1"/>
  <c r="W1120" i="1"/>
  <c r="W1136" i="1"/>
  <c r="W1152" i="1"/>
  <c r="W1168" i="1"/>
  <c r="W1184" i="1"/>
  <c r="W1200" i="1"/>
  <c r="W1216" i="1"/>
  <c r="W1232" i="1"/>
  <c r="W1248" i="1"/>
  <c r="W1264" i="1"/>
  <c r="W1280" i="1"/>
  <c r="W1296" i="1"/>
  <c r="W1312" i="1"/>
  <c r="W1328" i="1"/>
  <c r="W1344" i="1"/>
  <c r="W1360" i="1"/>
  <c r="W1376" i="1"/>
  <c r="W1392" i="1"/>
  <c r="W1408" i="1"/>
  <c r="W1424" i="1"/>
  <c r="W1440" i="1"/>
  <c r="W1454" i="1"/>
  <c r="W1462" i="1"/>
  <c r="W1470" i="1"/>
  <c r="W1478" i="1"/>
  <c r="W1486" i="1"/>
  <c r="W1494" i="1"/>
  <c r="W1502" i="1"/>
  <c r="W1510" i="1"/>
  <c r="W1518" i="1"/>
  <c r="W1526" i="1"/>
  <c r="W1534" i="1"/>
  <c r="W1542" i="1"/>
  <c r="W1550" i="1"/>
  <c r="W1558" i="1"/>
  <c r="W1566" i="1"/>
  <c r="W1574" i="1"/>
  <c r="W1582" i="1"/>
  <c r="W1590" i="1"/>
  <c r="W1598" i="1"/>
  <c r="W1606" i="1"/>
  <c r="W1614" i="1"/>
  <c r="W1622" i="1"/>
  <c r="W1630" i="1"/>
  <c r="W1638" i="1"/>
  <c r="W1646" i="1"/>
  <c r="W1654" i="1"/>
  <c r="W1662" i="1"/>
  <c r="W1670" i="1"/>
  <c r="W1678" i="1"/>
  <c r="W1686" i="1"/>
  <c r="W1694" i="1"/>
  <c r="W1702" i="1"/>
  <c r="W1710" i="1"/>
  <c r="W1718" i="1"/>
  <c r="W1726" i="1"/>
  <c r="W1734" i="1"/>
  <c r="W1742" i="1"/>
  <c r="W1750" i="1"/>
  <c r="W1758" i="1"/>
  <c r="W1766" i="1"/>
  <c r="W1774" i="1"/>
  <c r="W1782" i="1"/>
  <c r="W1790" i="1"/>
  <c r="W1798" i="1"/>
  <c r="W1806" i="1"/>
  <c r="W1814" i="1"/>
  <c r="W1822" i="1"/>
  <c r="W1830" i="1"/>
  <c r="W1838" i="1"/>
  <c r="W1846" i="1"/>
  <c r="W1854" i="1"/>
  <c r="W1862" i="1"/>
  <c r="W1870" i="1"/>
  <c r="W1878" i="1"/>
  <c r="W1886" i="1"/>
  <c r="W1894" i="1"/>
  <c r="W1902" i="1"/>
  <c r="W1910" i="1"/>
  <c r="W1918" i="1"/>
  <c r="W1926" i="1"/>
  <c r="W1934" i="1"/>
  <c r="W1942" i="1"/>
  <c r="W1950" i="1"/>
  <c r="W1958" i="1"/>
  <c r="W1966" i="1"/>
  <c r="W1974" i="1"/>
  <c r="W1982" i="1"/>
  <c r="W1990" i="1"/>
  <c r="W1998" i="1"/>
  <c r="W2006" i="1"/>
  <c r="W2014" i="1"/>
  <c r="W2022" i="1"/>
  <c r="W2030" i="1"/>
  <c r="W2038" i="1"/>
  <c r="W2046" i="1"/>
  <c r="W2054" i="1"/>
  <c r="W2062" i="1"/>
  <c r="W2070" i="1"/>
  <c r="W2078" i="1"/>
  <c r="W2086" i="1"/>
  <c r="W2094" i="1"/>
  <c r="W2102" i="1"/>
  <c r="W2110" i="1"/>
  <c r="W2118" i="1"/>
  <c r="W2126" i="1"/>
  <c r="W2134" i="1"/>
  <c r="W2142" i="1"/>
  <c r="W2150" i="1"/>
  <c r="W2158" i="1"/>
  <c r="W2166" i="1"/>
  <c r="W2174" i="1"/>
  <c r="W2182" i="1"/>
  <c r="W2190" i="1"/>
  <c r="W2198" i="1"/>
  <c r="W2206" i="1"/>
  <c r="W2214" i="1"/>
  <c r="W2222" i="1"/>
  <c r="W2230" i="1"/>
  <c r="W2238" i="1"/>
  <c r="W2246" i="1"/>
  <c r="W2254" i="1"/>
  <c r="W2262" i="1"/>
  <c r="W2270" i="1"/>
  <c r="W2278" i="1"/>
  <c r="W2286" i="1"/>
  <c r="W2294" i="1"/>
  <c r="W2302" i="1"/>
  <c r="W2310" i="1"/>
  <c r="W2318" i="1"/>
  <c r="W2326" i="1"/>
  <c r="W2334" i="1"/>
  <c r="W2342" i="1"/>
  <c r="W2350" i="1"/>
  <c r="W2358" i="1"/>
  <c r="W2366" i="1"/>
  <c r="W2374" i="1"/>
  <c r="W2382" i="1"/>
  <c r="W2390" i="1"/>
  <c r="W2398" i="1"/>
  <c r="W2406" i="1"/>
  <c r="W2414" i="1"/>
  <c r="W2422" i="1"/>
  <c r="W2430" i="1"/>
  <c r="W2438" i="1"/>
  <c r="W2446" i="1"/>
  <c r="W2454" i="1"/>
  <c r="W2462" i="1"/>
  <c r="W2470" i="1"/>
  <c r="W2478" i="1"/>
  <c r="W2486" i="1"/>
  <c r="W2494" i="1"/>
  <c r="W2502" i="1"/>
  <c r="W2510" i="1"/>
  <c r="W2518" i="1"/>
  <c r="W2526" i="1"/>
  <c r="W2534" i="1"/>
  <c r="W2542" i="1"/>
  <c r="W2550" i="1"/>
  <c r="W2558" i="1"/>
  <c r="W2566" i="1"/>
  <c r="W2574" i="1"/>
  <c r="W2582" i="1"/>
  <c r="W2590" i="1"/>
  <c r="W2598" i="1"/>
  <c r="W2606" i="1"/>
  <c r="W2614" i="1"/>
  <c r="W2622" i="1"/>
  <c r="W2630" i="1"/>
  <c r="W2638" i="1"/>
  <c r="W2646" i="1"/>
  <c r="W2654" i="1"/>
  <c r="W2662" i="1"/>
  <c r="W2670" i="1"/>
  <c r="W2678" i="1"/>
  <c r="W2686" i="1"/>
  <c r="W2694" i="1"/>
  <c r="W2702" i="1"/>
  <c r="W2710" i="1"/>
  <c r="W2718" i="1"/>
  <c r="W2726" i="1"/>
  <c r="W2734" i="1"/>
  <c r="W2742" i="1"/>
  <c r="W2750" i="1"/>
  <c r="W2758" i="1"/>
  <c r="W2766" i="1"/>
  <c r="W2774" i="1"/>
  <c r="W2782" i="1"/>
  <c r="W2790" i="1"/>
  <c r="W2798" i="1"/>
  <c r="W2806" i="1"/>
  <c r="W2814" i="1"/>
  <c r="W2822" i="1"/>
  <c r="W2830" i="1"/>
  <c r="W2838" i="1"/>
  <c r="W2846" i="1"/>
  <c r="W2854" i="1"/>
  <c r="W2862" i="1"/>
  <c r="W2870" i="1"/>
  <c r="W2878" i="1"/>
  <c r="W2886" i="1"/>
  <c r="W2894" i="1"/>
  <c r="W2902" i="1"/>
  <c r="W2910" i="1"/>
  <c r="W2918" i="1"/>
  <c r="W2926" i="1"/>
  <c r="W2934" i="1"/>
  <c r="W2942" i="1"/>
  <c r="W2950" i="1"/>
  <c r="W2958" i="1"/>
  <c r="W2966" i="1"/>
  <c r="W2974" i="1"/>
  <c r="W2982" i="1"/>
  <c r="W2990" i="1"/>
  <c r="W2998" i="1"/>
  <c r="W3006" i="1"/>
  <c r="W3014" i="1"/>
  <c r="W3022" i="1"/>
  <c r="W3030" i="1"/>
  <c r="W3038" i="1"/>
  <c r="W3046" i="1"/>
  <c r="W3054" i="1"/>
  <c r="W3062" i="1"/>
  <c r="W3070" i="1"/>
  <c r="W3078" i="1"/>
  <c r="W3086" i="1"/>
  <c r="W3094" i="1"/>
  <c r="W3102" i="1"/>
  <c r="W3110" i="1"/>
  <c r="W3118" i="1"/>
  <c r="W3126" i="1"/>
  <c r="W3134" i="1"/>
  <c r="W3142" i="1"/>
  <c r="W3150" i="1"/>
  <c r="W3158" i="1"/>
  <c r="W3166" i="1"/>
  <c r="W3174" i="1"/>
  <c r="W3182" i="1"/>
  <c r="W3190" i="1"/>
  <c r="W3198" i="1"/>
  <c r="W3206" i="1"/>
  <c r="W3214" i="1"/>
  <c r="W3222" i="1"/>
  <c r="W3230" i="1"/>
  <c r="W3238" i="1"/>
  <c r="W3246" i="1"/>
  <c r="W3254" i="1"/>
  <c r="W3262" i="1"/>
  <c r="W3270" i="1"/>
  <c r="W3278" i="1"/>
  <c r="W3286" i="1"/>
  <c r="W3294" i="1"/>
  <c r="W3302" i="1"/>
  <c r="W3310" i="1"/>
  <c r="W3318" i="1"/>
  <c r="W3326" i="1"/>
  <c r="W3334" i="1"/>
  <c r="W3342" i="1"/>
  <c r="W3350" i="1"/>
  <c r="W3358" i="1"/>
  <c r="W3366" i="1"/>
  <c r="W3374" i="1"/>
  <c r="W3382" i="1"/>
  <c r="W3390" i="1"/>
  <c r="W3398" i="1"/>
  <c r="W3406" i="1"/>
  <c r="W3414" i="1"/>
  <c r="W3422" i="1"/>
  <c r="W3430" i="1"/>
  <c r="W3438" i="1"/>
  <c r="W3446" i="1"/>
  <c r="W3454" i="1"/>
  <c r="W3462" i="1"/>
  <c r="W3470" i="1"/>
  <c r="W3478" i="1"/>
  <c r="W3486" i="1"/>
  <c r="W3494" i="1"/>
  <c r="W3499" i="1"/>
  <c r="W3503" i="1"/>
  <c r="W3507" i="1"/>
  <c r="W3511" i="1"/>
  <c r="W3515" i="1"/>
  <c r="W3519" i="1"/>
  <c r="W3523" i="1"/>
  <c r="W3527" i="1"/>
  <c r="W3531" i="1"/>
  <c r="W3535" i="1"/>
  <c r="W3539" i="1"/>
  <c r="W3543" i="1"/>
  <c r="W3547" i="1"/>
  <c r="W3551" i="1"/>
  <c r="W3555" i="1"/>
  <c r="W3559" i="1"/>
  <c r="W3563" i="1"/>
  <c r="W3567" i="1"/>
  <c r="W3571" i="1"/>
  <c r="W3575" i="1"/>
  <c r="W3579" i="1"/>
  <c r="W3583" i="1"/>
  <c r="W3587" i="1"/>
  <c r="W3591" i="1"/>
  <c r="W3595" i="1"/>
  <c r="W3599" i="1"/>
  <c r="W3603" i="1"/>
  <c r="W3607" i="1"/>
  <c r="W3611" i="1"/>
  <c r="W3615" i="1"/>
  <c r="W3619" i="1"/>
  <c r="W3623" i="1"/>
  <c r="W3627" i="1"/>
  <c r="W3631" i="1"/>
  <c r="W3635" i="1"/>
  <c r="W3639" i="1"/>
  <c r="W3643" i="1"/>
  <c r="W3647" i="1"/>
  <c r="W3651" i="1"/>
  <c r="W3655" i="1"/>
  <c r="W3659" i="1"/>
  <c r="W3663" i="1"/>
  <c r="W3667" i="1"/>
  <c r="W3671" i="1"/>
  <c r="W3675" i="1"/>
  <c r="W3679" i="1"/>
  <c r="W3683" i="1"/>
  <c r="W3687" i="1"/>
  <c r="W3691" i="1"/>
  <c r="W3695" i="1"/>
  <c r="W3699" i="1"/>
  <c r="W3703" i="1"/>
  <c r="W3707" i="1"/>
  <c r="W3711" i="1"/>
  <c r="W3715" i="1"/>
  <c r="W3719" i="1"/>
  <c r="W3723" i="1"/>
  <c r="W3727" i="1"/>
  <c r="W3731" i="1"/>
  <c r="W3735" i="1"/>
  <c r="W3739" i="1"/>
  <c r="W3743" i="1"/>
  <c r="W3747" i="1"/>
  <c r="W3751" i="1"/>
  <c r="W3755" i="1"/>
  <c r="W3759" i="1"/>
  <c r="W3763" i="1"/>
  <c r="W3767" i="1"/>
  <c r="W3771" i="1"/>
  <c r="W3775" i="1"/>
  <c r="W3779" i="1"/>
  <c r="W3783" i="1"/>
  <c r="W3787" i="1"/>
  <c r="W3791" i="1"/>
  <c r="W3795" i="1"/>
  <c r="W3799" i="1"/>
  <c r="W3803" i="1"/>
  <c r="W3807" i="1"/>
  <c r="W3811" i="1"/>
  <c r="W3815" i="1"/>
  <c r="W3819" i="1"/>
  <c r="W3823" i="1"/>
  <c r="W3827" i="1"/>
  <c r="W3831" i="1"/>
  <c r="W3835" i="1"/>
  <c r="W3839" i="1"/>
  <c r="W3843" i="1"/>
  <c r="W3847" i="1"/>
  <c r="W3851" i="1"/>
  <c r="W3855" i="1"/>
  <c r="W3859" i="1"/>
  <c r="W3863" i="1"/>
  <c r="W3867" i="1"/>
  <c r="W3871" i="1"/>
  <c r="W3875" i="1"/>
  <c r="W3879" i="1"/>
  <c r="W3883" i="1"/>
  <c r="W3887" i="1"/>
  <c r="W3891" i="1"/>
  <c r="W3895" i="1"/>
  <c r="W3899" i="1"/>
  <c r="W3903" i="1"/>
  <c r="W3907" i="1"/>
  <c r="W3911" i="1"/>
  <c r="W3915" i="1"/>
  <c r="W3919" i="1"/>
  <c r="W3923" i="1"/>
  <c r="W3927" i="1"/>
  <c r="W3931" i="1"/>
  <c r="W3935" i="1"/>
  <c r="W3939" i="1"/>
  <c r="W3943" i="1"/>
  <c r="W3947" i="1"/>
  <c r="W3951" i="1"/>
  <c r="W3955" i="1"/>
  <c r="W3959" i="1"/>
  <c r="W3963" i="1"/>
  <c r="W3967" i="1"/>
  <c r="W3971" i="1"/>
  <c r="W3975" i="1"/>
  <c r="W3979" i="1"/>
  <c r="W3983" i="1"/>
  <c r="W3987" i="1"/>
  <c r="W3991" i="1"/>
  <c r="W3995" i="1"/>
  <c r="W3999" i="1"/>
  <c r="W4003" i="1"/>
  <c r="W4007" i="1"/>
  <c r="W4011" i="1"/>
  <c r="W4015" i="1"/>
  <c r="W4019" i="1"/>
  <c r="W4023" i="1"/>
  <c r="W4027" i="1"/>
  <c r="W4031" i="1"/>
  <c r="W4035" i="1"/>
  <c r="W4039" i="1"/>
  <c r="W4043" i="1"/>
  <c r="W4047" i="1"/>
  <c r="W4051" i="1"/>
  <c r="W4055" i="1"/>
  <c r="W4059" i="1"/>
  <c r="W4063" i="1"/>
  <c r="W4067" i="1"/>
  <c r="W4071" i="1"/>
  <c r="W4075" i="1"/>
  <c r="W4079" i="1"/>
  <c r="W4083" i="1"/>
  <c r="W4087" i="1"/>
  <c r="W4091" i="1"/>
  <c r="W4095" i="1"/>
  <c r="W4099" i="1"/>
  <c r="W4103" i="1"/>
  <c r="W4107" i="1"/>
  <c r="W4111" i="1"/>
  <c r="W4115" i="1"/>
  <c r="W4119" i="1"/>
  <c r="W4123" i="1"/>
  <c r="W4127" i="1"/>
  <c r="W4131" i="1"/>
  <c r="W4135" i="1"/>
  <c r="W4139" i="1"/>
  <c r="W4143" i="1"/>
  <c r="W4147" i="1"/>
  <c r="W4151" i="1"/>
  <c r="W4155" i="1"/>
  <c r="W4159" i="1"/>
  <c r="W4163" i="1"/>
  <c r="W4167" i="1"/>
  <c r="W4171" i="1"/>
  <c r="W4175" i="1"/>
  <c r="W4179" i="1"/>
  <c r="W4183" i="1"/>
  <c r="W4187" i="1"/>
  <c r="W4191" i="1"/>
  <c r="W4195" i="1"/>
  <c r="W4199" i="1"/>
  <c r="W4203" i="1"/>
  <c r="W4207" i="1"/>
  <c r="W4211" i="1"/>
  <c r="W4215" i="1"/>
  <c r="W4219" i="1"/>
  <c r="W4223" i="1"/>
  <c r="W4227" i="1"/>
  <c r="W4231" i="1"/>
  <c r="W4235" i="1"/>
  <c r="W4239" i="1"/>
  <c r="W4243" i="1"/>
  <c r="W4247" i="1"/>
  <c r="W4251" i="1"/>
  <c r="W4255" i="1"/>
  <c r="W4259" i="1"/>
  <c r="W4263" i="1"/>
  <c r="W4267" i="1"/>
  <c r="W4271" i="1"/>
  <c r="W4275" i="1"/>
  <c r="W4279" i="1"/>
  <c r="W4283" i="1"/>
  <c r="W4287" i="1"/>
  <c r="W4291" i="1"/>
  <c r="W4295" i="1"/>
  <c r="W4299" i="1"/>
  <c r="W4303" i="1"/>
  <c r="W4307" i="1"/>
  <c r="W4311" i="1"/>
  <c r="W4315" i="1"/>
  <c r="W4319" i="1"/>
  <c r="W4323" i="1"/>
  <c r="W4327" i="1"/>
  <c r="W4331" i="1"/>
  <c r="W4335" i="1"/>
  <c r="W4339" i="1"/>
  <c r="W4343" i="1"/>
  <c r="W4347" i="1"/>
  <c r="W4351" i="1"/>
  <c r="W4355" i="1"/>
  <c r="W4359" i="1"/>
  <c r="W4363" i="1"/>
  <c r="W4367" i="1"/>
  <c r="W4371" i="1"/>
  <c r="W4375" i="1"/>
  <c r="W4379" i="1"/>
  <c r="W4383" i="1"/>
  <c r="W4387" i="1"/>
  <c r="W4391" i="1"/>
  <c r="W4395" i="1"/>
  <c r="W4399" i="1"/>
  <c r="W4403" i="1"/>
  <c r="W4407" i="1"/>
  <c r="W4411" i="1"/>
  <c r="W4415" i="1"/>
  <c r="W4419" i="1"/>
  <c r="W4423" i="1"/>
  <c r="W4427" i="1"/>
  <c r="W4431" i="1"/>
  <c r="W4435" i="1"/>
  <c r="W4439" i="1"/>
  <c r="W4443" i="1"/>
  <c r="W4447" i="1"/>
  <c r="W4451" i="1"/>
  <c r="W4455" i="1"/>
  <c r="W4459" i="1"/>
  <c r="W4463" i="1"/>
  <c r="W4467" i="1"/>
  <c r="W4471" i="1"/>
  <c r="W4475" i="1"/>
  <c r="W4479" i="1"/>
  <c r="W4483" i="1"/>
  <c r="W4487" i="1"/>
  <c r="W4491" i="1"/>
  <c r="W4495" i="1"/>
  <c r="W4499" i="1"/>
  <c r="W4503" i="1"/>
  <c r="W4507" i="1"/>
  <c r="W4511" i="1"/>
  <c r="W4515" i="1"/>
  <c r="W4519" i="1"/>
  <c r="W4523" i="1"/>
  <c r="W4527" i="1"/>
  <c r="W4531" i="1"/>
  <c r="W4535" i="1"/>
  <c r="W4539" i="1"/>
  <c r="W4543" i="1"/>
  <c r="W4547" i="1"/>
  <c r="W4551" i="1"/>
  <c r="W4555" i="1"/>
  <c r="W4559" i="1"/>
  <c r="W4563" i="1"/>
  <c r="W4567" i="1"/>
  <c r="W4571" i="1"/>
  <c r="W4575" i="1"/>
  <c r="W4579" i="1"/>
  <c r="W4583" i="1"/>
  <c r="W4587" i="1"/>
  <c r="W4591" i="1"/>
  <c r="W4595" i="1"/>
  <c r="W4599" i="1"/>
  <c r="W4603" i="1"/>
  <c r="W4607" i="1"/>
  <c r="W4611" i="1"/>
  <c r="W4615" i="1"/>
  <c r="W4619" i="1"/>
  <c r="W4623" i="1"/>
  <c r="W4627" i="1"/>
  <c r="W4631" i="1"/>
  <c r="W4635" i="1"/>
  <c r="W4639" i="1"/>
  <c r="W4643" i="1"/>
  <c r="W4647" i="1"/>
  <c r="W4651" i="1"/>
  <c r="W4655" i="1"/>
  <c r="W4659" i="1"/>
  <c r="W4663" i="1"/>
  <c r="W4667" i="1"/>
  <c r="W4671" i="1"/>
  <c r="W4675" i="1"/>
  <c r="W4679" i="1"/>
  <c r="W4683" i="1"/>
  <c r="W4687" i="1"/>
  <c r="W4691" i="1"/>
  <c r="W4695" i="1"/>
  <c r="W4699" i="1"/>
  <c r="W4703" i="1"/>
  <c r="W4707" i="1"/>
  <c r="W4711" i="1"/>
  <c r="W4715" i="1"/>
  <c r="W4719" i="1"/>
  <c r="W4723" i="1"/>
  <c r="W4727" i="1"/>
  <c r="W4731" i="1"/>
  <c r="W4735" i="1"/>
  <c r="W4739" i="1"/>
  <c r="W4743" i="1"/>
  <c r="W4747" i="1"/>
  <c r="W4751" i="1"/>
  <c r="W4755" i="1"/>
  <c r="W4759" i="1"/>
  <c r="W4763" i="1"/>
  <c r="W4767" i="1"/>
  <c r="W4771" i="1"/>
  <c r="W4775" i="1"/>
  <c r="W4779" i="1"/>
  <c r="W4783" i="1"/>
  <c r="W4787" i="1"/>
  <c r="W4791" i="1"/>
  <c r="W4795" i="1"/>
  <c r="W4799" i="1"/>
  <c r="W4803" i="1"/>
  <c r="W4807" i="1"/>
  <c r="W4811" i="1"/>
  <c r="W4815" i="1"/>
  <c r="W4819" i="1"/>
  <c r="W4823" i="1"/>
  <c r="W4827" i="1"/>
  <c r="W4831" i="1"/>
  <c r="W4835" i="1"/>
  <c r="W4839" i="1"/>
  <c r="W4843" i="1"/>
  <c r="W4847" i="1"/>
  <c r="W4851" i="1"/>
  <c r="W4855" i="1"/>
  <c r="W4859" i="1"/>
  <c r="W4863" i="1"/>
  <c r="W4867" i="1"/>
  <c r="W4871" i="1"/>
  <c r="W4875" i="1"/>
  <c r="W4879" i="1"/>
  <c r="W4883" i="1"/>
  <c r="W4887" i="1"/>
  <c r="W4891" i="1"/>
  <c r="W4895" i="1"/>
  <c r="W4899" i="1"/>
  <c r="W4903" i="1"/>
  <c r="W4907" i="1"/>
  <c r="W4911" i="1"/>
  <c r="W4915" i="1"/>
  <c r="W4919" i="1"/>
  <c r="W4923" i="1"/>
  <c r="W4927" i="1"/>
  <c r="W4931" i="1"/>
  <c r="W4935" i="1"/>
  <c r="W4939" i="1"/>
  <c r="W4943" i="1"/>
  <c r="W4947" i="1"/>
  <c r="W4951" i="1"/>
  <c r="W4955" i="1"/>
  <c r="W4959" i="1"/>
  <c r="W4963" i="1"/>
  <c r="W4967" i="1"/>
  <c r="W4971" i="1"/>
  <c r="W4975" i="1"/>
  <c r="W4979" i="1"/>
  <c r="W4983" i="1"/>
  <c r="W4987" i="1"/>
  <c r="W4991" i="1"/>
  <c r="W4995" i="1"/>
  <c r="W4999" i="1"/>
  <c r="W33" i="1"/>
  <c r="W65" i="1"/>
  <c r="W97" i="1"/>
  <c r="W129" i="1"/>
  <c r="W161" i="1"/>
  <c r="W193" i="1"/>
  <c r="W225" i="1"/>
  <c r="W257" i="1"/>
  <c r="W289" i="1"/>
  <c r="W321" i="1"/>
  <c r="W353" i="1"/>
  <c r="W385" i="1"/>
  <c r="W417" i="1"/>
  <c r="W440" i="1"/>
  <c r="W456" i="1"/>
  <c r="W472" i="1"/>
  <c r="W488" i="1"/>
  <c r="W504" i="1"/>
  <c r="W520" i="1"/>
  <c r="W536" i="1"/>
  <c r="W552" i="1"/>
  <c r="W568" i="1"/>
  <c r="W584" i="1"/>
  <c r="W600" i="1"/>
  <c r="W616" i="1"/>
  <c r="W632" i="1"/>
  <c r="W648" i="1"/>
  <c r="W664" i="1"/>
  <c r="W680" i="1"/>
  <c r="W696" i="1"/>
  <c r="W712" i="1"/>
  <c r="W728" i="1"/>
  <c r="W744" i="1"/>
  <c r="W760" i="1"/>
  <c r="W776" i="1"/>
  <c r="W792" i="1"/>
  <c r="W808" i="1"/>
  <c r="W824" i="1"/>
  <c r="W840" i="1"/>
  <c r="W856" i="1"/>
  <c r="W872" i="1"/>
  <c r="W888" i="1"/>
  <c r="W904" i="1"/>
  <c r="W920" i="1"/>
  <c r="W936" i="1"/>
  <c r="W952" i="1"/>
  <c r="W968" i="1"/>
  <c r="W984" i="1"/>
  <c r="W1000" i="1"/>
  <c r="W1016" i="1"/>
  <c r="W1032" i="1"/>
  <c r="W1048" i="1"/>
  <c r="W1064" i="1"/>
  <c r="W1080" i="1"/>
  <c r="W1096" i="1"/>
  <c r="W1112" i="1"/>
  <c r="W1128" i="1"/>
  <c r="W1144" i="1"/>
  <c r="W1160" i="1"/>
  <c r="W1176" i="1"/>
  <c r="W1192" i="1"/>
  <c r="W1208" i="1"/>
  <c r="W1224" i="1"/>
  <c r="W1240" i="1"/>
  <c r="W1256" i="1"/>
  <c r="W1272" i="1"/>
  <c r="W1288" i="1"/>
  <c r="W1304" i="1"/>
  <c r="W1320" i="1"/>
  <c r="W1336" i="1"/>
  <c r="W1352" i="1"/>
  <c r="W1368" i="1"/>
  <c r="W1384" i="1"/>
  <c r="W1400" i="1"/>
  <c r="W1416" i="1"/>
  <c r="W1432" i="1"/>
  <c r="W1448" i="1"/>
  <c r="W1458" i="1"/>
  <c r="W1466" i="1"/>
  <c r="W1474" i="1"/>
  <c r="W1482" i="1"/>
  <c r="W1490" i="1"/>
  <c r="W1498" i="1"/>
  <c r="W1506" i="1"/>
  <c r="W1514" i="1"/>
  <c r="W1522" i="1"/>
  <c r="W1530" i="1"/>
  <c r="W1538" i="1"/>
  <c r="W1546" i="1"/>
  <c r="W1554" i="1"/>
  <c r="W1562" i="1"/>
  <c r="W1570" i="1"/>
  <c r="W1578" i="1"/>
  <c r="W1586" i="1"/>
  <c r="W1594" i="1"/>
  <c r="W1602" i="1"/>
  <c r="W1610" i="1"/>
  <c r="W1618" i="1"/>
  <c r="W1626" i="1"/>
  <c r="W1634" i="1"/>
  <c r="W1642" i="1"/>
  <c r="W1650" i="1"/>
  <c r="W1658" i="1"/>
  <c r="W1666" i="1"/>
  <c r="W1674" i="1"/>
  <c r="W1682" i="1"/>
  <c r="W1690" i="1"/>
  <c r="W1698" i="1"/>
  <c r="W1706" i="1"/>
  <c r="W1714" i="1"/>
  <c r="W1722" i="1"/>
  <c r="W1730" i="1"/>
  <c r="W1738" i="1"/>
  <c r="W1746" i="1"/>
  <c r="W1754" i="1"/>
  <c r="W1762" i="1"/>
  <c r="W1770" i="1"/>
  <c r="W1778" i="1"/>
  <c r="W1786" i="1"/>
  <c r="W1794" i="1"/>
  <c r="W1802" i="1"/>
  <c r="W1810" i="1"/>
  <c r="W1818" i="1"/>
  <c r="W1826" i="1"/>
  <c r="W1834" i="1"/>
  <c r="W1842" i="1"/>
  <c r="W1850" i="1"/>
  <c r="W1858" i="1"/>
  <c r="W1866" i="1"/>
  <c r="W1874" i="1"/>
  <c r="W1882" i="1"/>
  <c r="W1890" i="1"/>
  <c r="W1898" i="1"/>
  <c r="W1906" i="1"/>
  <c r="W1914" i="1"/>
  <c r="W1922" i="1"/>
  <c r="W1930" i="1"/>
  <c r="W1938" i="1"/>
  <c r="W1946" i="1"/>
  <c r="W1954" i="1"/>
  <c r="W1962" i="1"/>
  <c r="W1970" i="1"/>
  <c r="W1978" i="1"/>
  <c r="W1986" i="1"/>
  <c r="W1994" i="1"/>
  <c r="W2002" i="1"/>
  <c r="W2010" i="1"/>
  <c r="W2018" i="1"/>
  <c r="W2026" i="1"/>
  <c r="W2034" i="1"/>
  <c r="W2042" i="1"/>
  <c r="W2050" i="1"/>
  <c r="W2058" i="1"/>
  <c r="W2066" i="1"/>
  <c r="W2074" i="1"/>
  <c r="W2082" i="1"/>
  <c r="W2090" i="1"/>
  <c r="W2098" i="1"/>
  <c r="W2106" i="1"/>
  <c r="W2114" i="1"/>
  <c r="W2122" i="1"/>
  <c r="W2130" i="1"/>
  <c r="W2138" i="1"/>
  <c r="W2146" i="1"/>
  <c r="W2154" i="1"/>
  <c r="W2162" i="1"/>
  <c r="W2170" i="1"/>
  <c r="W2178" i="1"/>
  <c r="W2186" i="1"/>
  <c r="W2194" i="1"/>
  <c r="W2202" i="1"/>
  <c r="W2210" i="1"/>
  <c r="W2218" i="1"/>
  <c r="W2226" i="1"/>
  <c r="W2234" i="1"/>
  <c r="W2242" i="1"/>
  <c r="W2250" i="1"/>
  <c r="W2258" i="1"/>
  <c r="W2266" i="1"/>
  <c r="W2274" i="1"/>
  <c r="W2282" i="1"/>
  <c r="W2290" i="1"/>
  <c r="W2298" i="1"/>
  <c r="W2306" i="1"/>
  <c r="W2314" i="1"/>
  <c r="W2322" i="1"/>
  <c r="W2330" i="1"/>
  <c r="W2338" i="1"/>
  <c r="W2346" i="1"/>
  <c r="W2354" i="1"/>
  <c r="W2362" i="1"/>
  <c r="W2370" i="1"/>
  <c r="W2378" i="1"/>
  <c r="W2386" i="1"/>
  <c r="W2394" i="1"/>
  <c r="W2402" i="1"/>
  <c r="W2410" i="1"/>
  <c r="W2418" i="1"/>
  <c r="W2426" i="1"/>
  <c r="W2434" i="1"/>
  <c r="W2442" i="1"/>
  <c r="W2450" i="1"/>
  <c r="W2458" i="1"/>
  <c r="W2466" i="1"/>
  <c r="W2474" i="1"/>
  <c r="W2482" i="1"/>
  <c r="W2490" i="1"/>
  <c r="W2498" i="1"/>
  <c r="W2506" i="1"/>
  <c r="W2514" i="1"/>
  <c r="W2522" i="1"/>
  <c r="W2530" i="1"/>
  <c r="W2538" i="1"/>
  <c r="W2546" i="1"/>
  <c r="W2554" i="1"/>
  <c r="W2562" i="1"/>
  <c r="W2570" i="1"/>
  <c r="W2578" i="1"/>
  <c r="W2586" i="1"/>
  <c r="W2594" i="1"/>
  <c r="W2602" i="1"/>
  <c r="W2610" i="1"/>
  <c r="W2618" i="1"/>
  <c r="W2626" i="1"/>
  <c r="W2634" i="1"/>
  <c r="W2642" i="1"/>
  <c r="W2650" i="1"/>
  <c r="W2658" i="1"/>
  <c r="W2666" i="1"/>
  <c r="W2674" i="1"/>
  <c r="W2682" i="1"/>
  <c r="W2690" i="1"/>
  <c r="W2698" i="1"/>
  <c r="W2706" i="1"/>
  <c r="W2714" i="1"/>
  <c r="W2722" i="1"/>
  <c r="W2730" i="1"/>
  <c r="W2738" i="1"/>
  <c r="W2746" i="1"/>
  <c r="W2754" i="1"/>
  <c r="W2762" i="1"/>
  <c r="W2770" i="1"/>
  <c r="W2778" i="1"/>
  <c r="W2786" i="1"/>
  <c r="W2794" i="1"/>
  <c r="W2802" i="1"/>
  <c r="W2810" i="1"/>
  <c r="W2818" i="1"/>
  <c r="W2826" i="1"/>
  <c r="W2834" i="1"/>
  <c r="W2842" i="1"/>
  <c r="W2850" i="1"/>
  <c r="W2858" i="1"/>
  <c r="W2866" i="1"/>
  <c r="W2874" i="1"/>
  <c r="W2882" i="1"/>
  <c r="W2890" i="1"/>
  <c r="W2898" i="1"/>
  <c r="W2906" i="1"/>
  <c r="W2914" i="1"/>
  <c r="W2922" i="1"/>
  <c r="W2930" i="1"/>
  <c r="W2938" i="1"/>
  <c r="W2946" i="1"/>
  <c r="W2954" i="1"/>
  <c r="W2962" i="1"/>
  <c r="W2970" i="1"/>
  <c r="W2978" i="1"/>
  <c r="W2986" i="1"/>
  <c r="W2994" i="1"/>
  <c r="W3002" i="1"/>
  <c r="W3010" i="1"/>
  <c r="W3018" i="1"/>
  <c r="W3026" i="1"/>
  <c r="W3034" i="1"/>
  <c r="W3042" i="1"/>
  <c r="W3050" i="1"/>
  <c r="W3058" i="1"/>
  <c r="W3066" i="1"/>
  <c r="W3074" i="1"/>
  <c r="W3082" i="1"/>
  <c r="W3090" i="1"/>
  <c r="W3098" i="1"/>
  <c r="W3106" i="1"/>
  <c r="W3114" i="1"/>
  <c r="W3122" i="1"/>
  <c r="W3130" i="1"/>
  <c r="W3138" i="1"/>
  <c r="W3146" i="1"/>
  <c r="W3154" i="1"/>
  <c r="W3162" i="1"/>
  <c r="W3170" i="1"/>
  <c r="W3178" i="1"/>
  <c r="W3186" i="1"/>
  <c r="W3194" i="1"/>
  <c r="W3202" i="1"/>
  <c r="W3210" i="1"/>
  <c r="W3218" i="1"/>
  <c r="W3226" i="1"/>
  <c r="W3234" i="1"/>
  <c r="W3242" i="1"/>
  <c r="W3250" i="1"/>
  <c r="W3258" i="1"/>
  <c r="W3266" i="1"/>
  <c r="W3274" i="1"/>
  <c r="W3282" i="1"/>
  <c r="W3290" i="1"/>
  <c r="W3298" i="1"/>
  <c r="W3306" i="1"/>
  <c r="W3314" i="1"/>
  <c r="W3322" i="1"/>
  <c r="W3330" i="1"/>
  <c r="W3338" i="1"/>
  <c r="W3346" i="1"/>
  <c r="W3354" i="1"/>
  <c r="W3362" i="1"/>
  <c r="W3370" i="1"/>
  <c r="W3378" i="1"/>
  <c r="W3386" i="1"/>
  <c r="W3394" i="1"/>
  <c r="W3402" i="1"/>
  <c r="W3410" i="1"/>
  <c r="W3418" i="1"/>
  <c r="W3426" i="1"/>
  <c r="W3434" i="1"/>
  <c r="W3442" i="1"/>
  <c r="W3450" i="1"/>
  <c r="W3458" i="1"/>
  <c r="W3466" i="1"/>
  <c r="W3474" i="1"/>
  <c r="W3482" i="1"/>
  <c r="W3490" i="1"/>
  <c r="W3497" i="1"/>
  <c r="W3501" i="1"/>
  <c r="W3505" i="1"/>
  <c r="W3509" i="1"/>
  <c r="W3513" i="1"/>
  <c r="W3517" i="1"/>
  <c r="W3521" i="1"/>
  <c r="W3525" i="1"/>
  <c r="W3529" i="1"/>
  <c r="W3533" i="1"/>
  <c r="W3537" i="1"/>
  <c r="W3541" i="1"/>
  <c r="W3545" i="1"/>
  <c r="W3549" i="1"/>
  <c r="W3553" i="1"/>
  <c r="W3557" i="1"/>
  <c r="W3561" i="1"/>
  <c r="W3565" i="1"/>
  <c r="W3569" i="1"/>
  <c r="W3573" i="1"/>
  <c r="W3577" i="1"/>
  <c r="W3581" i="1"/>
  <c r="W3585" i="1"/>
  <c r="W3589" i="1"/>
  <c r="W3593" i="1"/>
  <c r="W3597" i="1"/>
  <c r="W3601" i="1"/>
  <c r="W3605" i="1"/>
  <c r="W3609" i="1"/>
  <c r="W3613" i="1"/>
  <c r="W3617" i="1"/>
  <c r="W3621" i="1"/>
  <c r="W3625" i="1"/>
  <c r="W3629" i="1"/>
  <c r="W3633" i="1"/>
  <c r="W3637" i="1"/>
  <c r="W3641" i="1"/>
  <c r="W3645" i="1"/>
  <c r="W3649" i="1"/>
  <c r="W3653" i="1"/>
  <c r="W3657" i="1"/>
  <c r="W3661" i="1"/>
  <c r="W3665" i="1"/>
  <c r="W3669" i="1"/>
  <c r="W3673" i="1"/>
  <c r="W3677" i="1"/>
  <c r="W3681" i="1"/>
  <c r="W3685" i="1"/>
  <c r="W3689" i="1"/>
  <c r="W3693" i="1"/>
  <c r="W3697" i="1"/>
  <c r="W3701" i="1"/>
  <c r="W3705" i="1"/>
  <c r="W3709" i="1"/>
  <c r="W3713" i="1"/>
  <c r="W3717" i="1"/>
  <c r="W3721" i="1"/>
  <c r="W3725" i="1"/>
  <c r="W3729" i="1"/>
  <c r="W3733" i="1"/>
  <c r="W3737" i="1"/>
  <c r="W3741" i="1"/>
  <c r="W3745" i="1"/>
  <c r="W3749" i="1"/>
  <c r="W3753" i="1"/>
  <c r="W3757" i="1"/>
  <c r="W3761" i="1"/>
  <c r="W3765" i="1"/>
  <c r="W3769" i="1"/>
  <c r="W3773" i="1"/>
  <c r="W3777" i="1"/>
  <c r="W3781" i="1"/>
  <c r="W3785" i="1"/>
  <c r="W3789" i="1"/>
  <c r="W3793" i="1"/>
  <c r="W3797" i="1"/>
  <c r="W3801" i="1"/>
  <c r="W3805" i="1"/>
  <c r="W3809" i="1"/>
  <c r="W3813" i="1"/>
  <c r="W3817" i="1"/>
  <c r="W3821" i="1"/>
  <c r="W3825" i="1"/>
  <c r="W3829" i="1"/>
  <c r="W3833" i="1"/>
  <c r="W3837" i="1"/>
  <c r="W3841" i="1"/>
  <c r="W3845" i="1"/>
  <c r="W3849" i="1"/>
  <c r="W3853" i="1"/>
  <c r="W3857" i="1"/>
  <c r="W3861" i="1"/>
  <c r="W3865" i="1"/>
  <c r="W3869" i="1"/>
  <c r="W3873" i="1"/>
  <c r="W3877" i="1"/>
  <c r="W3881" i="1"/>
  <c r="W3885" i="1"/>
  <c r="W3889" i="1"/>
  <c r="W3893" i="1"/>
  <c r="W3897" i="1"/>
  <c r="W3901" i="1"/>
  <c r="W3905" i="1"/>
  <c r="W3909" i="1"/>
  <c r="W3913" i="1"/>
  <c r="W3917" i="1"/>
  <c r="W3921" i="1"/>
  <c r="W3925" i="1"/>
  <c r="W3929" i="1"/>
  <c r="W3933" i="1"/>
  <c r="W3937" i="1"/>
  <c r="W3941" i="1"/>
  <c r="W3945" i="1"/>
  <c r="W3949" i="1"/>
  <c r="W3953" i="1"/>
  <c r="W3957" i="1"/>
  <c r="W3961" i="1"/>
  <c r="W3965" i="1"/>
  <c r="W3969" i="1"/>
  <c r="W3973" i="1"/>
  <c r="W3977" i="1"/>
  <c r="W3981" i="1"/>
  <c r="W3985" i="1"/>
  <c r="W3989" i="1"/>
  <c r="W3993" i="1"/>
  <c r="W3997" i="1"/>
  <c r="W4001" i="1"/>
  <c r="W4005" i="1"/>
  <c r="W4009" i="1"/>
  <c r="W4013" i="1"/>
  <c r="W4017" i="1"/>
  <c r="W4021" i="1"/>
  <c r="W4025" i="1"/>
  <c r="W4029" i="1"/>
  <c r="W4033" i="1"/>
  <c r="W4037" i="1"/>
  <c r="W4041" i="1"/>
  <c r="W4045" i="1"/>
  <c r="W4049" i="1"/>
  <c r="W4053" i="1"/>
  <c r="W4057" i="1"/>
  <c r="W4061" i="1"/>
  <c r="W4065" i="1"/>
  <c r="W4069" i="1"/>
  <c r="W4073" i="1"/>
  <c r="W4077" i="1"/>
  <c r="W4081" i="1"/>
  <c r="W4085" i="1"/>
  <c r="W4089" i="1"/>
  <c r="W4093" i="1"/>
  <c r="W4097" i="1"/>
  <c r="W4101" i="1"/>
  <c r="W4105" i="1"/>
  <c r="W4109" i="1"/>
  <c r="W4113" i="1"/>
  <c r="W4117" i="1"/>
  <c r="W4121" i="1"/>
  <c r="W4125" i="1"/>
  <c r="W4129" i="1"/>
  <c r="W4133" i="1"/>
  <c r="W4137" i="1"/>
  <c r="W4141" i="1"/>
  <c r="W4145" i="1"/>
  <c r="W4149" i="1"/>
  <c r="W4153" i="1"/>
  <c r="W4157" i="1"/>
  <c r="W4161" i="1"/>
  <c r="W4165" i="1"/>
  <c r="W4169" i="1"/>
  <c r="W4173" i="1"/>
  <c r="W4177" i="1"/>
  <c r="W4181" i="1"/>
  <c r="W4185" i="1"/>
  <c r="W4189" i="1"/>
  <c r="W4193" i="1"/>
  <c r="W4197" i="1"/>
  <c r="W4201" i="1"/>
  <c r="W4205" i="1"/>
  <c r="W4209" i="1"/>
  <c r="W4213" i="1"/>
  <c r="W4217" i="1"/>
  <c r="W4221" i="1"/>
  <c r="W4225" i="1"/>
  <c r="W4229" i="1"/>
  <c r="W4233" i="1"/>
  <c r="W4237" i="1"/>
  <c r="W4241" i="1"/>
  <c r="W4245" i="1"/>
  <c r="W4249" i="1"/>
  <c r="W4253" i="1"/>
  <c r="W4257" i="1"/>
  <c r="W4261" i="1"/>
  <c r="W4265" i="1"/>
  <c r="W4269" i="1"/>
  <c r="W4273" i="1"/>
  <c r="W4277" i="1"/>
  <c r="W4281" i="1"/>
  <c r="W4285" i="1"/>
  <c r="W4289" i="1"/>
  <c r="W4293" i="1"/>
  <c r="W4297" i="1"/>
  <c r="W4301" i="1"/>
  <c r="W4305" i="1"/>
  <c r="W4309" i="1"/>
  <c r="W4313" i="1"/>
  <c r="W4317" i="1"/>
  <c r="W4321" i="1"/>
  <c r="W4325" i="1"/>
  <c r="W4329" i="1"/>
  <c r="W4333" i="1"/>
  <c r="W4337" i="1"/>
  <c r="W4341" i="1"/>
  <c r="W4345" i="1"/>
  <c r="W4349" i="1"/>
  <c r="W4353" i="1"/>
  <c r="W4357" i="1"/>
  <c r="W4361" i="1"/>
  <c r="W4365" i="1"/>
  <c r="W4369" i="1"/>
  <c r="W4373" i="1"/>
  <c r="W4377" i="1"/>
  <c r="W4381" i="1"/>
  <c r="W4385" i="1"/>
  <c r="W4389" i="1"/>
  <c r="W4393" i="1"/>
  <c r="W4397" i="1"/>
  <c r="W4401" i="1"/>
  <c r="W4405" i="1"/>
  <c r="W4409" i="1"/>
  <c r="W4413" i="1"/>
  <c r="W4417" i="1"/>
  <c r="W4421" i="1"/>
  <c r="W4425" i="1"/>
  <c r="W4429" i="1"/>
  <c r="W4433" i="1"/>
  <c r="W4437" i="1"/>
  <c r="W4441" i="1"/>
  <c r="W4445" i="1"/>
  <c r="W4449" i="1"/>
  <c r="W4453" i="1"/>
  <c r="W4457" i="1"/>
  <c r="W4461" i="1"/>
  <c r="W4465" i="1"/>
  <c r="W4469" i="1"/>
  <c r="W4473" i="1"/>
  <c r="W4477" i="1"/>
  <c r="W4481" i="1"/>
  <c r="W4485" i="1"/>
  <c r="W4489" i="1"/>
  <c r="W4493" i="1"/>
  <c r="W4497" i="1"/>
  <c r="W4501" i="1"/>
  <c r="W4505" i="1"/>
  <c r="W4509" i="1"/>
  <c r="W4513" i="1"/>
  <c r="W4517" i="1"/>
  <c r="W4521" i="1"/>
  <c r="W4525" i="1"/>
  <c r="W4529" i="1"/>
  <c r="W4533" i="1"/>
  <c r="W4537" i="1"/>
  <c r="W4541" i="1"/>
  <c r="W4545" i="1"/>
  <c r="W4549" i="1"/>
  <c r="W4553" i="1"/>
  <c r="W4557" i="1"/>
  <c r="W4561" i="1"/>
  <c r="W4565" i="1"/>
  <c r="W4569" i="1"/>
  <c r="W4573" i="1"/>
  <c r="W4577" i="1"/>
  <c r="W4581" i="1"/>
  <c r="W4585" i="1"/>
  <c r="W4589" i="1"/>
  <c r="W4593" i="1"/>
  <c r="W4597" i="1"/>
  <c r="W4601" i="1"/>
  <c r="W4605" i="1"/>
  <c r="W4609" i="1"/>
  <c r="W4613" i="1"/>
  <c r="W4617" i="1"/>
  <c r="W4621" i="1"/>
  <c r="W4625" i="1"/>
  <c r="W4629" i="1"/>
  <c r="W4633" i="1"/>
  <c r="W4637" i="1"/>
  <c r="W4641" i="1"/>
  <c r="W4645" i="1"/>
  <c r="W4649" i="1"/>
  <c r="W4653" i="1"/>
  <c r="W4657" i="1"/>
  <c r="W4661" i="1"/>
  <c r="W4665" i="1"/>
  <c r="W4669" i="1"/>
  <c r="W4673" i="1"/>
  <c r="W4677" i="1"/>
  <c r="W4681" i="1"/>
  <c r="W4685" i="1"/>
  <c r="W4689" i="1"/>
  <c r="W4693" i="1"/>
  <c r="W4697" i="1"/>
  <c r="W4701" i="1"/>
  <c r="W4705" i="1"/>
  <c r="W4709" i="1"/>
  <c r="W4713" i="1"/>
  <c r="W4717" i="1"/>
  <c r="W4721" i="1"/>
  <c r="W4725" i="1"/>
  <c r="W4729" i="1"/>
  <c r="W4733" i="1"/>
  <c r="W4737" i="1"/>
  <c r="W4741" i="1"/>
  <c r="W4745" i="1"/>
  <c r="W4749" i="1"/>
  <c r="W4753" i="1"/>
  <c r="W4757" i="1"/>
  <c r="W4761" i="1"/>
  <c r="W4765" i="1"/>
  <c r="W4769" i="1"/>
  <c r="W4773" i="1"/>
  <c r="W4777" i="1"/>
  <c r="W4781" i="1"/>
  <c r="W4785" i="1"/>
  <c r="W4789" i="1"/>
  <c r="W4793" i="1"/>
  <c r="W4797" i="1"/>
  <c r="W4801" i="1"/>
  <c r="W4805" i="1"/>
  <c r="W4809" i="1"/>
  <c r="W4813" i="1"/>
  <c r="W4817" i="1"/>
  <c r="W4821" i="1"/>
  <c r="W4825" i="1"/>
  <c r="W4829" i="1"/>
  <c r="W4833" i="1"/>
  <c r="W4837" i="1"/>
  <c r="W4841" i="1"/>
  <c r="W4845" i="1"/>
  <c r="W4849" i="1"/>
  <c r="W4853" i="1"/>
  <c r="W4857" i="1"/>
  <c r="W4861" i="1"/>
  <c r="W4865" i="1"/>
  <c r="W4869" i="1"/>
  <c r="W4873" i="1"/>
  <c r="W4877" i="1"/>
  <c r="W4881" i="1"/>
  <c r="W4885" i="1"/>
  <c r="W4889" i="1"/>
  <c r="W4893" i="1"/>
  <c r="W4897" i="1"/>
  <c r="W4901" i="1"/>
  <c r="W4905" i="1"/>
  <c r="W4909" i="1"/>
  <c r="W4913" i="1"/>
  <c r="W4917" i="1"/>
  <c r="W4921" i="1"/>
  <c r="W4925" i="1"/>
  <c r="W4929" i="1"/>
  <c r="W4933" i="1"/>
  <c r="W4937" i="1"/>
  <c r="W4941" i="1"/>
  <c r="W4945" i="1"/>
  <c r="W4949" i="1"/>
  <c r="W4953" i="1"/>
  <c r="W4957" i="1"/>
  <c r="W4961" i="1"/>
  <c r="W4965" i="1"/>
  <c r="W4969" i="1"/>
  <c r="W4973" i="1"/>
  <c r="W4977" i="1"/>
  <c r="W4981" i="1"/>
  <c r="W4985" i="1"/>
  <c r="W4989" i="1"/>
  <c r="W4993" i="1"/>
  <c r="W4997" i="1"/>
  <c r="W5001" i="1"/>
  <c r="B25" i="1"/>
  <c r="K3" i="1"/>
  <c r="K7" i="1"/>
  <c r="K9" i="1"/>
  <c r="K10" i="1"/>
  <c r="K12" i="1"/>
  <c r="K13" i="1"/>
  <c r="K14" i="1"/>
  <c r="K16" i="1"/>
  <c r="K20" i="1"/>
  <c r="K21" i="1"/>
  <c r="K22" i="1"/>
  <c r="K23" i="1"/>
  <c r="K25" i="1"/>
  <c r="K26" i="1"/>
  <c r="K28" i="1"/>
  <c r="K29" i="1"/>
  <c r="K30" i="1"/>
  <c r="K32" i="1"/>
  <c r="K36" i="1"/>
  <c r="K37" i="1"/>
  <c r="K38" i="1"/>
  <c r="K40" i="1"/>
  <c r="K43" i="1"/>
  <c r="K48" i="1"/>
  <c r="K52" i="1"/>
  <c r="K53" i="1"/>
  <c r="K54" i="1"/>
  <c r="K55" i="1"/>
  <c r="K57" i="1"/>
  <c r="K58" i="1"/>
  <c r="K60" i="1"/>
  <c r="K61" i="1"/>
  <c r="K62" i="1"/>
  <c r="K64" i="1"/>
  <c r="K68" i="1"/>
  <c r="K69" i="1"/>
  <c r="K70" i="1"/>
  <c r="K72" i="1"/>
  <c r="K75" i="1"/>
  <c r="K80" i="1"/>
  <c r="K84" i="1"/>
  <c r="K85" i="1"/>
  <c r="K86" i="1"/>
  <c r="K87" i="1"/>
  <c r="K89" i="1"/>
  <c r="K90" i="1"/>
  <c r="K92" i="1"/>
  <c r="K93" i="1"/>
  <c r="K94" i="1"/>
  <c r="K95" i="1"/>
  <c r="K97" i="1"/>
  <c r="K98" i="1"/>
  <c r="K99" i="1"/>
  <c r="K103" i="1"/>
  <c r="K105" i="1"/>
  <c r="K106" i="1"/>
  <c r="K108" i="1"/>
  <c r="K109" i="1"/>
  <c r="K110" i="1"/>
  <c r="K112" i="1"/>
  <c r="K116" i="1"/>
  <c r="K117" i="1"/>
  <c r="K118" i="1"/>
  <c r="K119" i="1"/>
  <c r="K121" i="1"/>
  <c r="K122" i="1"/>
  <c r="K124" i="1"/>
  <c r="K125" i="1"/>
  <c r="K126" i="1"/>
  <c r="K127" i="1"/>
  <c r="K129" i="1"/>
  <c r="K130" i="1"/>
  <c r="K131" i="1"/>
  <c r="K135" i="1"/>
  <c r="K137" i="1"/>
  <c r="K138" i="1"/>
  <c r="K140" i="1"/>
  <c r="K144" i="1"/>
  <c r="K147" i="1"/>
  <c r="K151" i="1"/>
  <c r="K156" i="1"/>
  <c r="K160" i="1"/>
  <c r="K161" i="1"/>
  <c r="K162" i="1"/>
  <c r="K163" i="1"/>
  <c r="K167" i="1"/>
  <c r="K169" i="1"/>
  <c r="K170" i="1"/>
  <c r="K172" i="1"/>
  <c r="K176" i="1"/>
  <c r="K179" i="1"/>
  <c r="K183" i="1"/>
  <c r="K188" i="1"/>
  <c r="K192" i="1"/>
  <c r="K193" i="1"/>
  <c r="K194" i="1"/>
  <c r="K195" i="1"/>
  <c r="K199" i="1"/>
  <c r="K201" i="1"/>
  <c r="K202" i="1"/>
  <c r="K204" i="1"/>
  <c r="K208" i="1"/>
  <c r="K209" i="1"/>
  <c r="K210" i="1"/>
  <c r="K211" i="1"/>
  <c r="K213" i="1"/>
  <c r="K214" i="1"/>
  <c r="K215" i="1"/>
  <c r="K220" i="1"/>
  <c r="K224" i="1"/>
  <c r="K228" i="1"/>
  <c r="K232" i="1"/>
  <c r="K236" i="1"/>
  <c r="K240" i="1"/>
  <c r="K241" i="1"/>
  <c r="K242" i="1"/>
  <c r="K243" i="1"/>
  <c r="K245" i="1"/>
  <c r="K246" i="1"/>
  <c r="K247" i="1"/>
  <c r="K252" i="1"/>
  <c r="K256" i="1"/>
  <c r="K260" i="1"/>
  <c r="K264" i="1"/>
  <c r="K268" i="1"/>
  <c r="K272" i="1"/>
  <c r="K273" i="1"/>
  <c r="K274" i="1"/>
  <c r="K275" i="1"/>
  <c r="K277" i="1"/>
  <c r="K278" i="1"/>
  <c r="K279" i="1"/>
  <c r="K284" i="1"/>
  <c r="K288" i="1"/>
  <c r="K292" i="1"/>
  <c r="K296" i="1"/>
  <c r="K300" i="1"/>
  <c r="K304" i="1"/>
  <c r="K305" i="1"/>
  <c r="K306" i="1"/>
  <c r="K307" i="1"/>
  <c r="K309" i="1"/>
  <c r="K310" i="1"/>
  <c r="K311" i="1"/>
  <c r="K316" i="1"/>
  <c r="K320" i="1"/>
  <c r="K324" i="1"/>
  <c r="K327" i="1"/>
  <c r="K329" i="1"/>
  <c r="K330" i="1"/>
  <c r="K331" i="1"/>
  <c r="K335" i="1"/>
  <c r="K341" i="1"/>
  <c r="K343" i="1"/>
  <c r="K344" i="1"/>
  <c r="K346" i="1"/>
  <c r="K347" i="1"/>
  <c r="K348" i="1"/>
  <c r="K349" i="1"/>
  <c r="K351" i="1"/>
  <c r="K352" i="1"/>
  <c r="K353" i="1"/>
  <c r="K357" i="1"/>
  <c r="K359" i="1"/>
  <c r="K361" i="1"/>
  <c r="K366" i="1"/>
  <c r="K370" i="1"/>
  <c r="K371" i="1"/>
  <c r="K372" i="1"/>
  <c r="K374" i="1"/>
  <c r="K377" i="1"/>
  <c r="K382" i="1"/>
  <c r="K386" i="1"/>
  <c r="K387" i="1"/>
  <c r="K388" i="1"/>
  <c r="K390" i="1"/>
  <c r="K392" i="1"/>
  <c r="K394" i="1"/>
  <c r="K395" i="1"/>
  <c r="K399" i="1"/>
  <c r="K400" i="1"/>
  <c r="K402" i="1"/>
  <c r="K405" i="1"/>
  <c r="K423" i="1"/>
  <c r="K425" i="1"/>
  <c r="K427" i="1"/>
  <c r="K431" i="1"/>
  <c r="K439" i="1"/>
  <c r="K441" i="1"/>
  <c r="K443" i="1"/>
  <c r="K444" i="1"/>
  <c r="K446" i="1"/>
  <c r="K448" i="1"/>
  <c r="K449" i="1"/>
  <c r="K451" i="1"/>
  <c r="K457" i="1"/>
  <c r="K459" i="1"/>
  <c r="K463" i="1"/>
  <c r="K471" i="1"/>
  <c r="K473" i="1"/>
  <c r="K475" i="1"/>
  <c r="K479" i="1"/>
  <c r="K491" i="1"/>
  <c r="K495" i="1"/>
  <c r="K360" i="1"/>
  <c r="K391" i="1"/>
  <c r="K396" i="1"/>
  <c r="K398" i="1"/>
  <c r="K413" i="1"/>
  <c r="K417" i="1"/>
  <c r="K419" i="1"/>
  <c r="K420" i="1"/>
  <c r="K422" i="1"/>
  <c r="K424" i="1"/>
  <c r="K426" i="1"/>
  <c r="K428" i="1"/>
  <c r="K430" i="1"/>
  <c r="K432" i="1"/>
  <c r="K433" i="1"/>
  <c r="K435" i="1"/>
  <c r="K436" i="1"/>
  <c r="K438" i="1"/>
  <c r="K440" i="1"/>
  <c r="K442" i="1"/>
  <c r="K447" i="1"/>
  <c r="K453" i="1"/>
  <c r="K458" i="1"/>
  <c r="K460" i="1"/>
  <c r="K462" i="1"/>
  <c r="K464" i="1"/>
  <c r="K465" i="1"/>
  <c r="K467" i="1"/>
  <c r="K468" i="1"/>
  <c r="K470" i="1"/>
  <c r="K472" i="1"/>
  <c r="K474" i="1"/>
  <c r="K476" i="1"/>
  <c r="K478" i="1"/>
  <c r="K480" i="1"/>
  <c r="K481" i="1"/>
  <c r="K483" i="1"/>
  <c r="K485" i="1"/>
  <c r="K490" i="1"/>
  <c r="K492" i="1"/>
  <c r="K494" i="1"/>
  <c r="K496" i="1"/>
  <c r="K497" i="1"/>
  <c r="K499" i="1"/>
  <c r="K501" i="1"/>
  <c r="K4" i="1"/>
  <c r="K5" i="1"/>
  <c r="K6" i="1"/>
  <c r="K8" i="1"/>
  <c r="K11" i="1"/>
  <c r="K15" i="1"/>
  <c r="K17" i="1"/>
  <c r="K18" i="1"/>
  <c r="K19" i="1"/>
  <c r="K24" i="1"/>
  <c r="K27" i="1"/>
  <c r="K31" i="1"/>
  <c r="K33" i="1"/>
  <c r="K34" i="1"/>
  <c r="K35" i="1"/>
  <c r="K39" i="1"/>
  <c r="K41" i="1"/>
  <c r="K42" i="1"/>
  <c r="K44" i="1"/>
  <c r="K45" i="1"/>
  <c r="K46" i="1"/>
  <c r="K47" i="1"/>
  <c r="K49" i="1"/>
  <c r="K50" i="1"/>
  <c r="K51" i="1"/>
  <c r="K56" i="1"/>
  <c r="K59" i="1"/>
  <c r="K63" i="1"/>
  <c r="K65" i="1"/>
  <c r="K66" i="1"/>
  <c r="K67" i="1"/>
  <c r="K71" i="1"/>
  <c r="K73" i="1"/>
  <c r="K74" i="1"/>
  <c r="K76" i="1"/>
  <c r="K77" i="1"/>
  <c r="K78" i="1"/>
  <c r="K79" i="1"/>
  <c r="K81" i="1"/>
  <c r="K82" i="1"/>
  <c r="K83" i="1"/>
  <c r="K88" i="1"/>
  <c r="K91" i="1"/>
  <c r="K96" i="1"/>
  <c r="K100" i="1"/>
  <c r="K101" i="1"/>
  <c r="K102" i="1"/>
  <c r="K104" i="1"/>
  <c r="K107" i="1"/>
  <c r="K111" i="1"/>
  <c r="K113" i="1"/>
  <c r="K114" i="1"/>
  <c r="K115" i="1"/>
  <c r="K120" i="1"/>
  <c r="K123" i="1"/>
  <c r="K128" i="1"/>
  <c r="K132" i="1"/>
  <c r="K133" i="1"/>
  <c r="K134" i="1"/>
  <c r="K136" i="1"/>
  <c r="K139" i="1"/>
  <c r="K141" i="1"/>
  <c r="K142" i="1"/>
  <c r="K143" i="1"/>
  <c r="K145" i="1"/>
  <c r="K146" i="1"/>
  <c r="K148" i="1"/>
  <c r="K149" i="1"/>
  <c r="K150" i="1"/>
  <c r="K152" i="1"/>
  <c r="K153" i="1"/>
  <c r="K154" i="1"/>
  <c r="K155" i="1"/>
  <c r="K157" i="1"/>
  <c r="K158" i="1"/>
  <c r="K159" i="1"/>
  <c r="K164" i="1"/>
  <c r="K165" i="1"/>
  <c r="K166" i="1"/>
  <c r="K168" i="1"/>
  <c r="K171" i="1"/>
  <c r="K173" i="1"/>
  <c r="K174" i="1"/>
  <c r="K175" i="1"/>
  <c r="K177" i="1"/>
  <c r="K178" i="1"/>
  <c r="K180" i="1"/>
  <c r="K181" i="1"/>
  <c r="K182" i="1"/>
  <c r="K184" i="1"/>
  <c r="K185" i="1"/>
  <c r="K186" i="1"/>
  <c r="K187" i="1"/>
  <c r="K189" i="1"/>
  <c r="K190" i="1"/>
  <c r="K191" i="1"/>
  <c r="K196" i="1"/>
  <c r="K197" i="1"/>
  <c r="K198" i="1"/>
  <c r="K200" i="1"/>
  <c r="K203" i="1"/>
  <c r="K205" i="1"/>
  <c r="K206" i="1"/>
  <c r="K207" i="1"/>
  <c r="K212" i="1"/>
  <c r="K216" i="1"/>
  <c r="K217" i="1"/>
  <c r="K218" i="1"/>
  <c r="K219" i="1"/>
  <c r="K221" i="1"/>
  <c r="K222" i="1"/>
  <c r="K223" i="1"/>
  <c r="K225" i="1"/>
  <c r="K226" i="1"/>
  <c r="K227" i="1"/>
  <c r="K229" i="1"/>
  <c r="K230" i="1"/>
  <c r="K231" i="1"/>
  <c r="K233" i="1"/>
  <c r="K234" i="1"/>
  <c r="K235" i="1"/>
  <c r="K237" i="1"/>
  <c r="K238" i="1"/>
  <c r="K239" i="1"/>
  <c r="K244" i="1"/>
  <c r="K248" i="1"/>
  <c r="K249" i="1"/>
  <c r="K250" i="1"/>
  <c r="K251" i="1"/>
  <c r="K253" i="1"/>
  <c r="K254" i="1"/>
  <c r="K255" i="1"/>
  <c r="K257" i="1"/>
  <c r="K258" i="1"/>
  <c r="K259" i="1"/>
  <c r="K261" i="1"/>
  <c r="K262" i="1"/>
  <c r="K263" i="1"/>
  <c r="K265" i="1"/>
  <c r="K266" i="1"/>
  <c r="K267" i="1"/>
  <c r="K269" i="1"/>
  <c r="K270" i="1"/>
  <c r="K271" i="1"/>
  <c r="K276" i="1"/>
  <c r="K280" i="1"/>
  <c r="K281" i="1"/>
  <c r="K282" i="1"/>
  <c r="K283" i="1"/>
  <c r="K285" i="1"/>
  <c r="K286" i="1"/>
  <c r="K287" i="1"/>
  <c r="K289" i="1"/>
  <c r="K290" i="1"/>
  <c r="K291" i="1"/>
  <c r="K293" i="1"/>
  <c r="K294" i="1"/>
  <c r="K295" i="1"/>
  <c r="K297" i="1"/>
  <c r="K298" i="1"/>
  <c r="K299" i="1"/>
  <c r="K301" i="1"/>
  <c r="K302" i="1"/>
  <c r="K303" i="1"/>
  <c r="K308" i="1"/>
  <c r="K312" i="1"/>
  <c r="K313" i="1"/>
  <c r="K314" i="1"/>
  <c r="K315" i="1"/>
  <c r="K317" i="1"/>
  <c r="K318" i="1"/>
  <c r="K319" i="1"/>
  <c r="K321" i="1"/>
  <c r="K322" i="1"/>
  <c r="K323" i="1"/>
  <c r="K325" i="1"/>
  <c r="K326" i="1"/>
  <c r="K328" i="1"/>
  <c r="K332" i="1"/>
  <c r="K333" i="1"/>
  <c r="K334" i="1"/>
  <c r="K336" i="1"/>
  <c r="K337" i="1"/>
  <c r="K338" i="1"/>
  <c r="K339" i="1"/>
  <c r="K340" i="1"/>
  <c r="K342" i="1"/>
  <c r="K345" i="1"/>
  <c r="K350" i="1"/>
  <c r="K354" i="1"/>
  <c r="K355" i="1"/>
  <c r="K356" i="1"/>
  <c r="K358" i="1"/>
  <c r="K362" i="1"/>
  <c r="K363" i="1"/>
  <c r="K364" i="1"/>
  <c r="K365" i="1"/>
  <c r="K367" i="1"/>
  <c r="K368" i="1"/>
  <c r="K369" i="1"/>
  <c r="K373" i="1"/>
  <c r="K375" i="1"/>
  <c r="K376" i="1"/>
  <c r="K378" i="1"/>
  <c r="K379" i="1"/>
  <c r="K380" i="1"/>
  <c r="K381" i="1"/>
  <c r="K383" i="1"/>
  <c r="K384" i="1"/>
  <c r="K385" i="1"/>
  <c r="K389" i="1"/>
  <c r="K393" i="1"/>
  <c r="K397" i="1"/>
  <c r="K407" i="1"/>
  <c r="K409" i="1"/>
  <c r="K411" i="1"/>
  <c r="K412" i="1"/>
  <c r="K414" i="1"/>
  <c r="K416" i="1"/>
  <c r="K418" i="1"/>
  <c r="K421" i="1"/>
  <c r="K429" i="1"/>
  <c r="K434" i="1"/>
  <c r="K437" i="1"/>
  <c r="K454" i="1"/>
  <c r="K456" i="1"/>
  <c r="K461" i="1"/>
  <c r="K466" i="1"/>
  <c r="K469" i="1"/>
  <c r="K477" i="1"/>
  <c r="K482" i="1"/>
  <c r="K484" i="1"/>
  <c r="K486" i="1"/>
  <c r="K488" i="1"/>
  <c r="K493" i="1"/>
  <c r="K498" i="1"/>
  <c r="K500" i="1"/>
  <c r="K502" i="1"/>
  <c r="K504" i="1"/>
  <c r="K401" i="1"/>
  <c r="K403" i="1"/>
  <c r="K404" i="1"/>
  <c r="K406" i="1"/>
  <c r="K408" i="1"/>
  <c r="K410" i="1"/>
  <c r="K415" i="1"/>
  <c r="K445" i="1"/>
  <c r="K450" i="1"/>
  <c r="K452" i="1"/>
  <c r="K455" i="1"/>
  <c r="K487" i="1"/>
  <c r="K489" i="1"/>
  <c r="K503" i="1"/>
  <c r="C22" i="1"/>
  <c r="B44" i="1" l="1"/>
  <c r="AP26" i="1"/>
  <c r="AS26" i="1" s="1"/>
  <c r="B53" i="1"/>
  <c r="B54" i="1" s="1"/>
  <c r="B49" i="1"/>
  <c r="B50" i="1" s="1"/>
  <c r="AM9" i="1"/>
  <c r="AN9" i="1"/>
  <c r="AO9" i="1"/>
  <c r="AM13" i="1"/>
  <c r="AN13" i="1"/>
  <c r="AO13" i="1"/>
  <c r="AM10" i="1"/>
  <c r="AN10" i="1"/>
  <c r="AO10" i="1"/>
  <c r="AM7" i="1"/>
  <c r="AN7" i="1"/>
  <c r="AO7" i="1"/>
  <c r="AM11" i="1"/>
  <c r="AN11" i="1"/>
  <c r="AO11" i="1"/>
  <c r="AM4" i="1"/>
  <c r="AN4" i="1"/>
  <c r="AO4" i="1"/>
  <c r="AM12" i="1"/>
  <c r="AN12" i="1"/>
  <c r="AO12" i="1"/>
  <c r="B39" i="1"/>
  <c r="B45" i="1"/>
  <c r="B46" i="1" s="1"/>
  <c r="AO19" i="1"/>
  <c r="AN19" i="1"/>
  <c r="AM19" i="1"/>
  <c r="AM5" i="1"/>
  <c r="AN5" i="1"/>
  <c r="AO5" i="1"/>
  <c r="AN17" i="1"/>
  <c r="AM17" i="1"/>
  <c r="AO17" i="1"/>
  <c r="AM8" i="1"/>
  <c r="AN8" i="1"/>
  <c r="AO8" i="1"/>
  <c r="AN3" i="1"/>
  <c r="AM3" i="1"/>
  <c r="AO3" i="1"/>
  <c r="AM18" i="1"/>
  <c r="AN18" i="1"/>
  <c r="AO18" i="1"/>
  <c r="AJ21" i="1"/>
  <c r="AI21" i="1"/>
  <c r="AK21" i="1"/>
  <c r="AL21" i="1"/>
  <c r="AM15" i="1"/>
  <c r="AN15" i="1"/>
  <c r="AO15" i="1"/>
  <c r="AM6" i="1"/>
  <c r="AN6" i="1"/>
  <c r="AO6" i="1"/>
  <c r="AM14" i="1"/>
  <c r="AN14" i="1"/>
  <c r="AO14" i="1"/>
  <c r="AH29" i="1"/>
  <c r="AR28" i="1"/>
  <c r="AO27" i="1"/>
  <c r="AM27" i="1"/>
  <c r="AN27" i="1"/>
  <c r="AK28" i="1"/>
  <c r="AI28" i="1"/>
  <c r="AJ28" i="1"/>
  <c r="AL28" i="1"/>
  <c r="B26" i="1"/>
  <c r="C26" i="1" s="1"/>
  <c r="B40" i="1"/>
  <c r="B41" i="1" s="1"/>
  <c r="B42" i="1" s="1"/>
  <c r="B30" i="1"/>
  <c r="U5001" i="1"/>
  <c r="U4993" i="1"/>
  <c r="U4985" i="1"/>
  <c r="U4977" i="1"/>
  <c r="U4969" i="1"/>
  <c r="U4961" i="1"/>
  <c r="U4953" i="1"/>
  <c r="U4945" i="1"/>
  <c r="U4937" i="1"/>
  <c r="U4929" i="1"/>
  <c r="U4921" i="1"/>
  <c r="U4913" i="1"/>
  <c r="U4905" i="1"/>
  <c r="U4897" i="1"/>
  <c r="U4889" i="1"/>
  <c r="U4881" i="1"/>
  <c r="U4873" i="1"/>
  <c r="U4865" i="1"/>
  <c r="U4857" i="1"/>
  <c r="U4849" i="1"/>
  <c r="U4841" i="1"/>
  <c r="U4833" i="1"/>
  <c r="U4825" i="1"/>
  <c r="U4817" i="1"/>
  <c r="U4809" i="1"/>
  <c r="U4801" i="1"/>
  <c r="U4793" i="1"/>
  <c r="U4785" i="1"/>
  <c r="U4777" i="1"/>
  <c r="U4769" i="1"/>
  <c r="U4761" i="1"/>
  <c r="U4753" i="1"/>
  <c r="U4745" i="1"/>
  <c r="U4737" i="1"/>
  <c r="U4729" i="1"/>
  <c r="U4721" i="1"/>
  <c r="U4713" i="1"/>
  <c r="U4705" i="1"/>
  <c r="U4697" i="1"/>
  <c r="U4689" i="1"/>
  <c r="U4681" i="1"/>
  <c r="U4673" i="1"/>
  <c r="U4665" i="1"/>
  <c r="U4657" i="1"/>
  <c r="U4649" i="1"/>
  <c r="U4641" i="1"/>
  <c r="U4633" i="1"/>
  <c r="U4625" i="1"/>
  <c r="U4617" i="1"/>
  <c r="U4609" i="1"/>
  <c r="U4601" i="1"/>
  <c r="U4593" i="1"/>
  <c r="U4585" i="1"/>
  <c r="U4577" i="1"/>
  <c r="U4569" i="1"/>
  <c r="U4561" i="1"/>
  <c r="U4553" i="1"/>
  <c r="U4545" i="1"/>
  <c r="U4537" i="1"/>
  <c r="U4529" i="1"/>
  <c r="U4521" i="1"/>
  <c r="U4513" i="1"/>
  <c r="U4505" i="1"/>
  <c r="U4497" i="1"/>
  <c r="U4489" i="1"/>
  <c r="U4481" i="1"/>
  <c r="U4473" i="1"/>
  <c r="U4465" i="1"/>
  <c r="U4457" i="1"/>
  <c r="U4449" i="1"/>
  <c r="U4441" i="1"/>
  <c r="U4433" i="1"/>
  <c r="U4425" i="1"/>
  <c r="U4417" i="1"/>
  <c r="U4409" i="1"/>
  <c r="U4401" i="1"/>
  <c r="U4393" i="1"/>
  <c r="U4385" i="1"/>
  <c r="U4377" i="1"/>
  <c r="U4369" i="1"/>
  <c r="U4361" i="1"/>
  <c r="U4353" i="1"/>
  <c r="U4345" i="1"/>
  <c r="U4337" i="1"/>
  <c r="U4329" i="1"/>
  <c r="U4321" i="1"/>
  <c r="U4313" i="1"/>
  <c r="U4305" i="1"/>
  <c r="U4297" i="1"/>
  <c r="U4289" i="1"/>
  <c r="U4281" i="1"/>
  <c r="U4273" i="1"/>
  <c r="U4265" i="1"/>
  <c r="U4257" i="1"/>
  <c r="U4249" i="1"/>
  <c r="U4241" i="1"/>
  <c r="U4233" i="1"/>
  <c r="U4225" i="1"/>
  <c r="U4217" i="1"/>
  <c r="U4209" i="1"/>
  <c r="U4201" i="1"/>
  <c r="U4193" i="1"/>
  <c r="U4185" i="1"/>
  <c r="U4177" i="1"/>
  <c r="U4169" i="1"/>
  <c r="U4161" i="1"/>
  <c r="U4153" i="1"/>
  <c r="U4145" i="1"/>
  <c r="U4137" i="1"/>
  <c r="U4129" i="1"/>
  <c r="U4121" i="1"/>
  <c r="U4113" i="1"/>
  <c r="U4105" i="1"/>
  <c r="U4097" i="1"/>
  <c r="U4089" i="1"/>
  <c r="U4081" i="1"/>
  <c r="U4073" i="1"/>
  <c r="U4065" i="1"/>
  <c r="U4057" i="1"/>
  <c r="U4049" i="1"/>
  <c r="U4041" i="1"/>
  <c r="U4033" i="1"/>
  <c r="U4025" i="1"/>
  <c r="U4017" i="1"/>
  <c r="U4008" i="1"/>
  <c r="U3992" i="1"/>
  <c r="U3976" i="1"/>
  <c r="U3960" i="1"/>
  <c r="U3944" i="1"/>
  <c r="U3928" i="1"/>
  <c r="U3912" i="1"/>
  <c r="U3896" i="1"/>
  <c r="U3880" i="1"/>
  <c r="U3864" i="1"/>
  <c r="U3848" i="1"/>
  <c r="U3832" i="1"/>
  <c r="U3816" i="1"/>
  <c r="U3800" i="1"/>
  <c r="U3784" i="1"/>
  <c r="U3768" i="1"/>
  <c r="U3752" i="1"/>
  <c r="U3736" i="1"/>
  <c r="U3720" i="1"/>
  <c r="U3704" i="1"/>
  <c r="U3688" i="1"/>
  <c r="U3672" i="1"/>
  <c r="U3656" i="1"/>
  <c r="U3640" i="1"/>
  <c r="U3624" i="1"/>
  <c r="U3608" i="1"/>
  <c r="U3592" i="1"/>
  <c r="U3576" i="1"/>
  <c r="U3560" i="1"/>
  <c r="U3544" i="1"/>
  <c r="U3528" i="1"/>
  <c r="U3512" i="1"/>
  <c r="U3496" i="1"/>
  <c r="U3480" i="1"/>
  <c r="U3464" i="1"/>
  <c r="U3448" i="1"/>
  <c r="U3432" i="1"/>
  <c r="U3416" i="1"/>
  <c r="U3400" i="1"/>
  <c r="U3384" i="1"/>
  <c r="U3368" i="1"/>
  <c r="U3352" i="1"/>
  <c r="U3336" i="1"/>
  <c r="U3320" i="1"/>
  <c r="U3304" i="1"/>
  <c r="U3288" i="1"/>
  <c r="U3272" i="1"/>
  <c r="U4997" i="1"/>
  <c r="U4989" i="1"/>
  <c r="U4981" i="1"/>
  <c r="U4973" i="1"/>
  <c r="U4965" i="1"/>
  <c r="U4957" i="1"/>
  <c r="U4949" i="1"/>
  <c r="U4941" i="1"/>
  <c r="U4933" i="1"/>
  <c r="U4925" i="1"/>
  <c r="U4917" i="1"/>
  <c r="U4909" i="1"/>
  <c r="U4901" i="1"/>
  <c r="U4893" i="1"/>
  <c r="U4885" i="1"/>
  <c r="U4877" i="1"/>
  <c r="U4869" i="1"/>
  <c r="U4861" i="1"/>
  <c r="U4853" i="1"/>
  <c r="U4845" i="1"/>
  <c r="U4837" i="1"/>
  <c r="U4829" i="1"/>
  <c r="U4821" i="1"/>
  <c r="U4813" i="1"/>
  <c r="U4805" i="1"/>
  <c r="U4797" i="1"/>
  <c r="U4789" i="1"/>
  <c r="U4781" i="1"/>
  <c r="U4773" i="1"/>
  <c r="U4765" i="1"/>
  <c r="U4757" i="1"/>
  <c r="U4749" i="1"/>
  <c r="U4741" i="1"/>
  <c r="U4733" i="1"/>
  <c r="U4725" i="1"/>
  <c r="U4717" i="1"/>
  <c r="U4709" i="1"/>
  <c r="U4701" i="1"/>
  <c r="U4693" i="1"/>
  <c r="U4685" i="1"/>
  <c r="U4677" i="1"/>
  <c r="U4669" i="1"/>
  <c r="U4661" i="1"/>
  <c r="U4653" i="1"/>
  <c r="U4645" i="1"/>
  <c r="U4637" i="1"/>
  <c r="U4629" i="1"/>
  <c r="U4621" i="1"/>
  <c r="U4613" i="1"/>
  <c r="U4605" i="1"/>
  <c r="U4597" i="1"/>
  <c r="U4589" i="1"/>
  <c r="U4581" i="1"/>
  <c r="U4573" i="1"/>
  <c r="U4565" i="1"/>
  <c r="U4557" i="1"/>
  <c r="U4549" i="1"/>
  <c r="U4541" i="1"/>
  <c r="U4533" i="1"/>
  <c r="U4525" i="1"/>
  <c r="U4517" i="1"/>
  <c r="U4509" i="1"/>
  <c r="U4501" i="1"/>
  <c r="U4493" i="1"/>
  <c r="U4485" i="1"/>
  <c r="U4477" i="1"/>
  <c r="U4469" i="1"/>
  <c r="U4461" i="1"/>
  <c r="U4453" i="1"/>
  <c r="U4445" i="1"/>
  <c r="U4437" i="1"/>
  <c r="U4429" i="1"/>
  <c r="U4421" i="1"/>
  <c r="U4413" i="1"/>
  <c r="U4405" i="1"/>
  <c r="U4397" i="1"/>
  <c r="U4389" i="1"/>
  <c r="U4381" i="1"/>
  <c r="U4373" i="1"/>
  <c r="U4365" i="1"/>
  <c r="U4357" i="1"/>
  <c r="U4349" i="1"/>
  <c r="U4341" i="1"/>
  <c r="U4333" i="1"/>
  <c r="U4325" i="1"/>
  <c r="U4317" i="1"/>
  <c r="U4309" i="1"/>
  <c r="U4301" i="1"/>
  <c r="U4293" i="1"/>
  <c r="U4285" i="1"/>
  <c r="U4277" i="1"/>
  <c r="U4269" i="1"/>
  <c r="U4261" i="1"/>
  <c r="U4253" i="1"/>
  <c r="U4245" i="1"/>
  <c r="U4237" i="1"/>
  <c r="U4229" i="1"/>
  <c r="U4221" i="1"/>
  <c r="U4213" i="1"/>
  <c r="U4205" i="1"/>
  <c r="U4197" i="1"/>
  <c r="U4189" i="1"/>
  <c r="U4181" i="1"/>
  <c r="U4173" i="1"/>
  <c r="U4165" i="1"/>
  <c r="U4157" i="1"/>
  <c r="U4149" i="1"/>
  <c r="U4141" i="1"/>
  <c r="U4133" i="1"/>
  <c r="U4125" i="1"/>
  <c r="U4117" i="1"/>
  <c r="U4109" i="1"/>
  <c r="U4101" i="1"/>
  <c r="U4093" i="1"/>
  <c r="U4085" i="1"/>
  <c r="U4077" i="1"/>
  <c r="U4069" i="1"/>
  <c r="U4061" i="1"/>
  <c r="U4053" i="1"/>
  <c r="U4045" i="1"/>
  <c r="U4037" i="1"/>
  <c r="U4029" i="1"/>
  <c r="U4021" i="1"/>
  <c r="U4013" i="1"/>
  <c r="U4000" i="1"/>
  <c r="U3984" i="1"/>
  <c r="U3968" i="1"/>
  <c r="U3952" i="1"/>
  <c r="U3936" i="1"/>
  <c r="U3920" i="1"/>
  <c r="U3904" i="1"/>
  <c r="U3888" i="1"/>
  <c r="U3872" i="1"/>
  <c r="U3856" i="1"/>
  <c r="U3840" i="1"/>
  <c r="U3824" i="1"/>
  <c r="U3808" i="1"/>
  <c r="U3792" i="1"/>
  <c r="U3776" i="1"/>
  <c r="U3760" i="1"/>
  <c r="U3744" i="1"/>
  <c r="U3728" i="1"/>
  <c r="U3712" i="1"/>
  <c r="U3696" i="1"/>
  <c r="U3680" i="1"/>
  <c r="U3664" i="1"/>
  <c r="U3648" i="1"/>
  <c r="U3632" i="1"/>
  <c r="U3616" i="1"/>
  <c r="U3600" i="1"/>
  <c r="U3584" i="1"/>
  <c r="U3568" i="1"/>
  <c r="U3552" i="1"/>
  <c r="U3536" i="1"/>
  <c r="U3520" i="1"/>
  <c r="U3504" i="1"/>
  <c r="U3488" i="1"/>
  <c r="U3472" i="1"/>
  <c r="U3456" i="1"/>
  <c r="U3440" i="1"/>
  <c r="U3424" i="1"/>
  <c r="U3408" i="1"/>
  <c r="U3392" i="1"/>
  <c r="U3376" i="1"/>
  <c r="U3360" i="1"/>
  <c r="U3344" i="1"/>
  <c r="U3328" i="1"/>
  <c r="U3312" i="1"/>
  <c r="U3296" i="1"/>
  <c r="U3280" i="1"/>
  <c r="U3264" i="1"/>
  <c r="U3256" i="1"/>
  <c r="U3240" i="1"/>
  <c r="U3224" i="1"/>
  <c r="U3208" i="1"/>
  <c r="U3192" i="1"/>
  <c r="U3176" i="1"/>
  <c r="U3160" i="1"/>
  <c r="U3144" i="1"/>
  <c r="U3128" i="1"/>
  <c r="U3112" i="1"/>
  <c r="U3096" i="1"/>
  <c r="U3080" i="1"/>
  <c r="U3064" i="1"/>
  <c r="U3048" i="1"/>
  <c r="U3032" i="1"/>
  <c r="U3016" i="1"/>
  <c r="U3000" i="1"/>
  <c r="U2984" i="1"/>
  <c r="U2968" i="1"/>
  <c r="U2952" i="1"/>
  <c r="U2936" i="1"/>
  <c r="U2920" i="1"/>
  <c r="U2904" i="1"/>
  <c r="U2888" i="1"/>
  <c r="U2872" i="1"/>
  <c r="U2856" i="1"/>
  <c r="U2840" i="1"/>
  <c r="U2824" i="1"/>
  <c r="U2808" i="1"/>
  <c r="U2792" i="1"/>
  <c r="U2776" i="1"/>
  <c r="U2760" i="1"/>
  <c r="U2744" i="1"/>
  <c r="U2728" i="1"/>
  <c r="U2712" i="1"/>
  <c r="U2696" i="1"/>
  <c r="U2680" i="1"/>
  <c r="U2664" i="1"/>
  <c r="U2648" i="1"/>
  <c r="U2632" i="1"/>
  <c r="U2616" i="1"/>
  <c r="U2600" i="1"/>
  <c r="U2584" i="1"/>
  <c r="U2568" i="1"/>
  <c r="U2552" i="1"/>
  <c r="U2536" i="1"/>
  <c r="U2520" i="1"/>
  <c r="U2504" i="1"/>
  <c r="U2488" i="1"/>
  <c r="U2472" i="1"/>
  <c r="U2456" i="1"/>
  <c r="U2440" i="1"/>
  <c r="U2424" i="1"/>
  <c r="U2408" i="1"/>
  <c r="U2392" i="1"/>
  <c r="U2376" i="1"/>
  <c r="U2360" i="1"/>
  <c r="U2344" i="1"/>
  <c r="U2328" i="1"/>
  <c r="U2312" i="1"/>
  <c r="U2296" i="1"/>
  <c r="U2280" i="1"/>
  <c r="U2264" i="1"/>
  <c r="U2248" i="1"/>
  <c r="U2232" i="1"/>
  <c r="U2216" i="1"/>
  <c r="U2200" i="1"/>
  <c r="U2184" i="1"/>
  <c r="U2168" i="1"/>
  <c r="U2152" i="1"/>
  <c r="U2136" i="1"/>
  <c r="U2120" i="1"/>
  <c r="U2104" i="1"/>
  <c r="U2088" i="1"/>
  <c r="U2072" i="1"/>
  <c r="U2056" i="1"/>
  <c r="U2040" i="1"/>
  <c r="U2024" i="1"/>
  <c r="U2008" i="1"/>
  <c r="U1992" i="1"/>
  <c r="U1976" i="1"/>
  <c r="U1958" i="1"/>
  <c r="U1926" i="1"/>
  <c r="U1894" i="1"/>
  <c r="U1870" i="1"/>
  <c r="U1854" i="1"/>
  <c r="U1838" i="1"/>
  <c r="U1822" i="1"/>
  <c r="U1806" i="1"/>
  <c r="U1790" i="1"/>
  <c r="U1774" i="1"/>
  <c r="U1758" i="1"/>
  <c r="U1742" i="1"/>
  <c r="U1726" i="1"/>
  <c r="U1710" i="1"/>
  <c r="U1694" i="1"/>
  <c r="U1678" i="1"/>
  <c r="U1662" i="1"/>
  <c r="U1646" i="1"/>
  <c r="U1630" i="1"/>
  <c r="U1614" i="1"/>
  <c r="U1598" i="1"/>
  <c r="U1582" i="1"/>
  <c r="U1566" i="1"/>
  <c r="U1550" i="1"/>
  <c r="U1534" i="1"/>
  <c r="U1518" i="1"/>
  <c r="U1502" i="1"/>
  <c r="U1486" i="1"/>
  <c r="U1470" i="1"/>
  <c r="U1454" i="1"/>
  <c r="U1438" i="1"/>
  <c r="U1422" i="1"/>
  <c r="U1406" i="1"/>
  <c r="U1390" i="1"/>
  <c r="U1374" i="1"/>
  <c r="U1358" i="1"/>
  <c r="U1342" i="1"/>
  <c r="U1326" i="1"/>
  <c r="U1310" i="1"/>
  <c r="U1294" i="1"/>
  <c r="U1278" i="1"/>
  <c r="U1270" i="1"/>
  <c r="U1254" i="1"/>
  <c r="U1238" i="1"/>
  <c r="U1222" i="1"/>
  <c r="U1206" i="1"/>
  <c r="U1190" i="1"/>
  <c r="U1174" i="1"/>
  <c r="U1158" i="1"/>
  <c r="U1142" i="1"/>
  <c r="U1126" i="1"/>
  <c r="U1110" i="1"/>
  <c r="U1094" i="1"/>
  <c r="U1078" i="1"/>
  <c r="U1062" i="1"/>
  <c r="U1046" i="1"/>
  <c r="U1030" i="1"/>
  <c r="U1014" i="1"/>
  <c r="U998" i="1"/>
  <c r="U982" i="1"/>
  <c r="U966" i="1"/>
  <c r="U950" i="1"/>
  <c r="U929" i="1"/>
  <c r="U897" i="1"/>
  <c r="U865" i="1"/>
  <c r="U833" i="1"/>
  <c r="U801" i="1"/>
  <c r="U769" i="1"/>
  <c r="U737" i="1"/>
  <c r="U705" i="1"/>
  <c r="U673" i="1"/>
  <c r="U641" i="1"/>
  <c r="U609" i="1"/>
  <c r="U577" i="1"/>
  <c r="U545" i="1"/>
  <c r="U513" i="1"/>
  <c r="U481" i="1"/>
  <c r="U449" i="1"/>
  <c r="U407" i="1"/>
  <c r="U343" i="1"/>
  <c r="U279" i="1"/>
  <c r="U215" i="1"/>
  <c r="U130" i="1"/>
  <c r="U4999" i="1"/>
  <c r="U4991" i="1"/>
  <c r="U4983" i="1"/>
  <c r="U4975" i="1"/>
  <c r="U4967" i="1"/>
  <c r="U4959" i="1"/>
  <c r="U4951" i="1"/>
  <c r="U4943" i="1"/>
  <c r="U4935" i="1"/>
  <c r="U4927" i="1"/>
  <c r="U4919" i="1"/>
  <c r="U4911" i="1"/>
  <c r="U4903" i="1"/>
  <c r="U4895" i="1"/>
  <c r="U4887" i="1"/>
  <c r="U4879" i="1"/>
  <c r="U4871" i="1"/>
  <c r="U4863" i="1"/>
  <c r="U4855" i="1"/>
  <c r="U4847" i="1"/>
  <c r="U4839" i="1"/>
  <c r="U4831" i="1"/>
  <c r="U4823" i="1"/>
  <c r="U4815" i="1"/>
  <c r="U4807" i="1"/>
  <c r="U4799" i="1"/>
  <c r="U4791" i="1"/>
  <c r="U4783" i="1"/>
  <c r="U4775" i="1"/>
  <c r="U4767" i="1"/>
  <c r="U4759" i="1"/>
  <c r="U4751" i="1"/>
  <c r="U4743" i="1"/>
  <c r="U4735" i="1"/>
  <c r="U4727" i="1"/>
  <c r="U4719" i="1"/>
  <c r="U4711" i="1"/>
  <c r="U4703" i="1"/>
  <c r="U4695" i="1"/>
  <c r="U4687" i="1"/>
  <c r="U4679" i="1"/>
  <c r="U4671" i="1"/>
  <c r="U4663" i="1"/>
  <c r="U4655" i="1"/>
  <c r="U4647" i="1"/>
  <c r="U4639" i="1"/>
  <c r="U4631" i="1"/>
  <c r="U4623" i="1"/>
  <c r="U4615" i="1"/>
  <c r="U4607" i="1"/>
  <c r="U4599" i="1"/>
  <c r="U4591" i="1"/>
  <c r="U4583" i="1"/>
  <c r="U4575" i="1"/>
  <c r="U4567" i="1"/>
  <c r="U4559" i="1"/>
  <c r="U4551" i="1"/>
  <c r="U4543" i="1"/>
  <c r="U4535" i="1"/>
  <c r="U4527" i="1"/>
  <c r="U4519" i="1"/>
  <c r="U4511" i="1"/>
  <c r="U4503" i="1"/>
  <c r="U4495" i="1"/>
  <c r="U4487" i="1"/>
  <c r="U4479" i="1"/>
  <c r="U4471" i="1"/>
  <c r="U4463" i="1"/>
  <c r="U4455" i="1"/>
  <c r="U4447" i="1"/>
  <c r="U4439" i="1"/>
  <c r="U4431" i="1"/>
  <c r="U4423" i="1"/>
  <c r="U4415" i="1"/>
  <c r="U4407" i="1"/>
  <c r="U4399" i="1"/>
  <c r="U4391" i="1"/>
  <c r="U4383" i="1"/>
  <c r="U4375" i="1"/>
  <c r="U4367" i="1"/>
  <c r="U4359" i="1"/>
  <c r="U4351" i="1"/>
  <c r="U4343" i="1"/>
  <c r="U4335" i="1"/>
  <c r="U4327" i="1"/>
  <c r="U4319" i="1"/>
  <c r="U4311" i="1"/>
  <c r="U4303" i="1"/>
  <c r="U4295" i="1"/>
  <c r="U4287" i="1"/>
  <c r="U4279" i="1"/>
  <c r="U4271" i="1"/>
  <c r="U4263" i="1"/>
  <c r="U4255" i="1"/>
  <c r="U4247" i="1"/>
  <c r="U4239" i="1"/>
  <c r="U4231" i="1"/>
  <c r="U4223" i="1"/>
  <c r="U4215" i="1"/>
  <c r="U4207" i="1"/>
  <c r="U4199" i="1"/>
  <c r="U4191" i="1"/>
  <c r="U4183" i="1"/>
  <c r="U4175" i="1"/>
  <c r="U4167" i="1"/>
  <c r="U4159" i="1"/>
  <c r="U4151" i="1"/>
  <c r="U4143" i="1"/>
  <c r="U4135" i="1"/>
  <c r="U4127" i="1"/>
  <c r="U4119" i="1"/>
  <c r="U4111" i="1"/>
  <c r="U4103" i="1"/>
  <c r="U4095" i="1"/>
  <c r="U4087" i="1"/>
  <c r="U4079" i="1"/>
  <c r="U4071" i="1"/>
  <c r="U4063" i="1"/>
  <c r="U4055" i="1"/>
  <c r="U4047" i="1"/>
  <c r="U4039" i="1"/>
  <c r="U4031" i="1"/>
  <c r="U4023" i="1"/>
  <c r="U4015" i="1"/>
  <c r="U4004" i="1"/>
  <c r="U3988" i="1"/>
  <c r="U3972" i="1"/>
  <c r="U3956" i="1"/>
  <c r="U3940" i="1"/>
  <c r="U3924" i="1"/>
  <c r="U3908" i="1"/>
  <c r="U3892" i="1"/>
  <c r="U3876" i="1"/>
  <c r="U3860" i="1"/>
  <c r="U3844" i="1"/>
  <c r="U3828" i="1"/>
  <c r="U3812" i="1"/>
  <c r="U3796" i="1"/>
  <c r="U3780" i="1"/>
  <c r="U3764" i="1"/>
  <c r="U3748" i="1"/>
  <c r="U3732" i="1"/>
  <c r="U3716" i="1"/>
  <c r="U3700" i="1"/>
  <c r="U3684" i="1"/>
  <c r="U3668" i="1"/>
  <c r="U3652" i="1"/>
  <c r="U3636" i="1"/>
  <c r="U3620" i="1"/>
  <c r="U3604" i="1"/>
  <c r="U3588" i="1"/>
  <c r="U3572" i="1"/>
  <c r="U3556" i="1"/>
  <c r="U3540" i="1"/>
  <c r="U3524" i="1"/>
  <c r="U3508" i="1"/>
  <c r="U3492" i="1"/>
  <c r="U3476" i="1"/>
  <c r="U3460" i="1"/>
  <c r="U3444" i="1"/>
  <c r="U3428" i="1"/>
  <c r="U3412" i="1"/>
  <c r="U3396" i="1"/>
  <c r="U3380" i="1"/>
  <c r="U3364" i="1"/>
  <c r="U3348" i="1"/>
  <c r="U3332" i="1"/>
  <c r="U3316" i="1"/>
  <c r="U3300" i="1"/>
  <c r="U3284" i="1"/>
  <c r="U3268" i="1"/>
  <c r="U3252" i="1"/>
  <c r="U3236" i="1"/>
  <c r="U3220" i="1"/>
  <c r="U3204" i="1"/>
  <c r="U3188" i="1"/>
  <c r="U3172" i="1"/>
  <c r="U3156" i="1"/>
  <c r="U3140" i="1"/>
  <c r="U3124" i="1"/>
  <c r="U3108" i="1"/>
  <c r="U3092" i="1"/>
  <c r="U3076" i="1"/>
  <c r="U3060" i="1"/>
  <c r="U3044" i="1"/>
  <c r="U3028" i="1"/>
  <c r="U3012" i="1"/>
  <c r="U2996" i="1"/>
  <c r="U2980" i="1"/>
  <c r="U2964" i="1"/>
  <c r="U2948" i="1"/>
  <c r="U2932" i="1"/>
  <c r="U2916" i="1"/>
  <c r="U2900" i="1"/>
  <c r="U2884" i="1"/>
  <c r="U2868" i="1"/>
  <c r="U2852" i="1"/>
  <c r="U2836" i="1"/>
  <c r="U2820" i="1"/>
  <c r="U2804" i="1"/>
  <c r="U2788" i="1"/>
  <c r="U2772" i="1"/>
  <c r="U2756" i="1"/>
  <c r="U2740" i="1"/>
  <c r="U2724" i="1"/>
  <c r="U2708" i="1"/>
  <c r="U2692" i="1"/>
  <c r="U2676" i="1"/>
  <c r="U2660" i="1"/>
  <c r="U2644" i="1"/>
  <c r="U2628" i="1"/>
  <c r="U2612" i="1"/>
  <c r="U2596" i="1"/>
  <c r="U2580" i="1"/>
  <c r="U2564" i="1"/>
  <c r="U2548" i="1"/>
  <c r="U2532" i="1"/>
  <c r="U2516" i="1"/>
  <c r="U2500" i="1"/>
  <c r="U2484" i="1"/>
  <c r="U2468" i="1"/>
  <c r="U2452" i="1"/>
  <c r="U2436" i="1"/>
  <c r="U2420" i="1"/>
  <c r="U2404" i="1"/>
  <c r="U2388" i="1"/>
  <c r="U2372" i="1"/>
  <c r="U2356" i="1"/>
  <c r="U2340" i="1"/>
  <c r="U2324" i="1"/>
  <c r="U2308" i="1"/>
  <c r="U2292" i="1"/>
  <c r="U2276" i="1"/>
  <c r="U2260" i="1"/>
  <c r="U2244" i="1"/>
  <c r="U2228" i="1"/>
  <c r="U2212" i="1"/>
  <c r="U2196" i="1"/>
  <c r="U2180" i="1"/>
  <c r="U2164" i="1"/>
  <c r="U2148" i="1"/>
  <c r="U2132" i="1"/>
  <c r="U2116" i="1"/>
  <c r="U2100" i="1"/>
  <c r="U2084" i="1"/>
  <c r="U2068" i="1"/>
  <c r="U2052" i="1"/>
  <c r="U2036" i="1"/>
  <c r="U2020" i="1"/>
  <c r="U2004" i="1"/>
  <c r="U1988" i="1"/>
  <c r="U1972" i="1"/>
  <c r="U1950" i="1"/>
  <c r="U1918" i="1"/>
  <c r="U1886" i="1"/>
  <c r="U4998" i="1"/>
  <c r="U4994" i="1"/>
  <c r="U4990" i="1"/>
  <c r="U4986" i="1"/>
  <c r="U4982" i="1"/>
  <c r="U4978" i="1"/>
  <c r="U4974" i="1"/>
  <c r="U4970" i="1"/>
  <c r="U4966" i="1"/>
  <c r="U4962" i="1"/>
  <c r="U4958" i="1"/>
  <c r="U4954" i="1"/>
  <c r="U4950" i="1"/>
  <c r="U4946" i="1"/>
  <c r="U4942" i="1"/>
  <c r="U4938" i="1"/>
  <c r="U4934" i="1"/>
  <c r="U4930" i="1"/>
  <c r="U4926" i="1"/>
  <c r="U4922" i="1"/>
  <c r="U4918" i="1"/>
  <c r="U4914" i="1"/>
  <c r="U4910" i="1"/>
  <c r="U4906" i="1"/>
  <c r="U4902" i="1"/>
  <c r="U4898" i="1"/>
  <c r="U4894" i="1"/>
  <c r="U4890" i="1"/>
  <c r="U4886" i="1"/>
  <c r="U4882" i="1"/>
  <c r="U4878" i="1"/>
  <c r="U4874" i="1"/>
  <c r="U4870" i="1"/>
  <c r="U4866" i="1"/>
  <c r="U4862" i="1"/>
  <c r="U4858" i="1"/>
  <c r="U4854" i="1"/>
  <c r="U4850" i="1"/>
  <c r="U4846" i="1"/>
  <c r="U4842" i="1"/>
  <c r="U4838" i="1"/>
  <c r="U4834" i="1"/>
  <c r="U4830" i="1"/>
  <c r="U4826" i="1"/>
  <c r="U4822" i="1"/>
  <c r="U4818" i="1"/>
  <c r="U4814" i="1"/>
  <c r="U4810" i="1"/>
  <c r="U4806" i="1"/>
  <c r="U4802" i="1"/>
  <c r="U4798" i="1"/>
  <c r="U4794" i="1"/>
  <c r="U4790" i="1"/>
  <c r="U4786" i="1"/>
  <c r="U4782" i="1"/>
  <c r="U4778" i="1"/>
  <c r="U4774" i="1"/>
  <c r="U4770" i="1"/>
  <c r="U4766" i="1"/>
  <c r="U4762" i="1"/>
  <c r="U4758" i="1"/>
  <c r="U4754" i="1"/>
  <c r="U4750" i="1"/>
  <c r="U4746" i="1"/>
  <c r="U4742" i="1"/>
  <c r="U4738" i="1"/>
  <c r="U4734" i="1"/>
  <c r="U4730" i="1"/>
  <c r="U4726" i="1"/>
  <c r="U4722" i="1"/>
  <c r="U4718" i="1"/>
  <c r="U4714" i="1"/>
  <c r="U4710" i="1"/>
  <c r="U4706" i="1"/>
  <c r="U4702" i="1"/>
  <c r="U4698" i="1"/>
  <c r="U4694" i="1"/>
  <c r="U4690" i="1"/>
  <c r="U4686" i="1"/>
  <c r="U4682" i="1"/>
  <c r="U4678" i="1"/>
  <c r="U4674" i="1"/>
  <c r="U4670" i="1"/>
  <c r="U4666" i="1"/>
  <c r="U4662" i="1"/>
  <c r="U4658" i="1"/>
  <c r="U4654" i="1"/>
  <c r="U4650" i="1"/>
  <c r="U4646" i="1"/>
  <c r="U4642" i="1"/>
  <c r="U4638" i="1"/>
  <c r="U4634" i="1"/>
  <c r="U4630" i="1"/>
  <c r="U4626" i="1"/>
  <c r="U4622" i="1"/>
  <c r="U4618" i="1"/>
  <c r="U4614" i="1"/>
  <c r="U4610" i="1"/>
  <c r="U4606" i="1"/>
  <c r="U4602" i="1"/>
  <c r="U4598" i="1"/>
  <c r="U4594" i="1"/>
  <c r="U4590" i="1"/>
  <c r="U4586" i="1"/>
  <c r="U4582" i="1"/>
  <c r="U4578" i="1"/>
  <c r="U4574" i="1"/>
  <c r="U4570" i="1"/>
  <c r="U4566" i="1"/>
  <c r="U4562" i="1"/>
  <c r="U4558" i="1"/>
  <c r="U4554" i="1"/>
  <c r="U4550" i="1"/>
  <c r="U4546" i="1"/>
  <c r="U4542" i="1"/>
  <c r="U4538" i="1"/>
  <c r="U4534" i="1"/>
  <c r="U4530" i="1"/>
  <c r="U4526" i="1"/>
  <c r="U4522" i="1"/>
  <c r="U4518" i="1"/>
  <c r="U4514" i="1"/>
  <c r="U4510" i="1"/>
  <c r="U4506" i="1"/>
  <c r="U4502" i="1"/>
  <c r="U4498" i="1"/>
  <c r="U4494" i="1"/>
  <c r="U4490" i="1"/>
  <c r="U4486" i="1"/>
  <c r="U4482" i="1"/>
  <c r="U4478" i="1"/>
  <c r="U4474" i="1"/>
  <c r="U4470" i="1"/>
  <c r="U4466" i="1"/>
  <c r="U4462" i="1"/>
  <c r="U4458" i="1"/>
  <c r="U4454" i="1"/>
  <c r="U4450" i="1"/>
  <c r="U4446" i="1"/>
  <c r="U4442" i="1"/>
  <c r="U4438" i="1"/>
  <c r="U4434" i="1"/>
  <c r="U4430" i="1"/>
  <c r="U4426" i="1"/>
  <c r="U4422" i="1"/>
  <c r="U4418" i="1"/>
  <c r="U4414" i="1"/>
  <c r="U4410" i="1"/>
  <c r="U4406" i="1"/>
  <c r="U4402" i="1"/>
  <c r="U4398" i="1"/>
  <c r="U4394" i="1"/>
  <c r="U4390" i="1"/>
  <c r="U4386" i="1"/>
  <c r="U4382" i="1"/>
  <c r="U4378" i="1"/>
  <c r="U4374" i="1"/>
  <c r="U4370" i="1"/>
  <c r="U4366" i="1"/>
  <c r="U4362" i="1"/>
  <c r="U4358" i="1"/>
  <c r="U4354" i="1"/>
  <c r="U4350" i="1"/>
  <c r="U4346" i="1"/>
  <c r="U4342" i="1"/>
  <c r="U4338" i="1"/>
  <c r="U4334" i="1"/>
  <c r="U4330" i="1"/>
  <c r="U4326" i="1"/>
  <c r="U4322" i="1"/>
  <c r="U4318" i="1"/>
  <c r="U4314" i="1"/>
  <c r="U4310" i="1"/>
  <c r="U4306" i="1"/>
  <c r="U4302" i="1"/>
  <c r="U4298" i="1"/>
  <c r="U4294" i="1"/>
  <c r="U4290" i="1"/>
  <c r="U4286" i="1"/>
  <c r="U4282" i="1"/>
  <c r="U4278" i="1"/>
  <c r="U4274" i="1"/>
  <c r="U4270" i="1"/>
  <c r="U4266" i="1"/>
  <c r="U4262" i="1"/>
  <c r="U4258" i="1"/>
  <c r="U4254" i="1"/>
  <c r="U4250" i="1"/>
  <c r="U4246" i="1"/>
  <c r="U4242" i="1"/>
  <c r="U4238" i="1"/>
  <c r="U4234" i="1"/>
  <c r="U4230" i="1"/>
  <c r="U4226" i="1"/>
  <c r="U4222" i="1"/>
  <c r="U4218" i="1"/>
  <c r="U4214" i="1"/>
  <c r="U4210" i="1"/>
  <c r="U4206" i="1"/>
  <c r="U4202" i="1"/>
  <c r="U4198" i="1"/>
  <c r="U4194" i="1"/>
  <c r="U4190" i="1"/>
  <c r="U4186" i="1"/>
  <c r="U4182" i="1"/>
  <c r="U4178" i="1"/>
  <c r="U4174" i="1"/>
  <c r="U4170" i="1"/>
  <c r="U4166" i="1"/>
  <c r="U4162" i="1"/>
  <c r="U4158" i="1"/>
  <c r="U4154" i="1"/>
  <c r="U4150" i="1"/>
  <c r="U4146" i="1"/>
  <c r="U4142" i="1"/>
  <c r="U4138" i="1"/>
  <c r="U4134" i="1"/>
  <c r="U4130" i="1"/>
  <c r="U4126" i="1"/>
  <c r="U4122" i="1"/>
  <c r="U4118" i="1"/>
  <c r="U4114" i="1"/>
  <c r="U4110" i="1"/>
  <c r="U4106" i="1"/>
  <c r="U4102" i="1"/>
  <c r="U4098" i="1"/>
  <c r="U4094" i="1"/>
  <c r="U4090" i="1"/>
  <c r="U4086" i="1"/>
  <c r="U4082" i="1"/>
  <c r="U4078" i="1"/>
  <c r="U4074" i="1"/>
  <c r="U4070" i="1"/>
  <c r="U4066" i="1"/>
  <c r="U4062" i="1"/>
  <c r="U4058" i="1"/>
  <c r="U4054" i="1"/>
  <c r="U4050" i="1"/>
  <c r="U4046" i="1"/>
  <c r="U4042" i="1"/>
  <c r="U4038" i="1"/>
  <c r="U4034" i="1"/>
  <c r="U4030" i="1"/>
  <c r="U4026" i="1"/>
  <c r="U4022" i="1"/>
  <c r="U4018" i="1"/>
  <c r="U4014" i="1"/>
  <c r="U4010" i="1"/>
  <c r="U4007" i="1"/>
  <c r="U4005" i="1"/>
  <c r="U4002" i="1"/>
  <c r="U3999" i="1"/>
  <c r="U3997" i="1"/>
  <c r="U3994" i="1"/>
  <c r="U3991" i="1"/>
  <c r="U3989" i="1"/>
  <c r="U3986" i="1"/>
  <c r="U3983" i="1"/>
  <c r="U3981" i="1"/>
  <c r="U3978" i="1"/>
  <c r="U3975" i="1"/>
  <c r="U3973" i="1"/>
  <c r="U3970" i="1"/>
  <c r="U3967" i="1"/>
  <c r="U3965" i="1"/>
  <c r="U3962" i="1"/>
  <c r="U3959" i="1"/>
  <c r="U3957" i="1"/>
  <c r="U3954" i="1"/>
  <c r="U3951" i="1"/>
  <c r="U3949" i="1"/>
  <c r="U3946" i="1"/>
  <c r="U3943" i="1"/>
  <c r="U3941" i="1"/>
  <c r="U3938" i="1"/>
  <c r="U3935" i="1"/>
  <c r="U3933" i="1"/>
  <c r="U3930" i="1"/>
  <c r="U3927" i="1"/>
  <c r="U3925" i="1"/>
  <c r="U3922" i="1"/>
  <c r="U3919" i="1"/>
  <c r="U3917" i="1"/>
  <c r="U3914" i="1"/>
  <c r="U3911" i="1"/>
  <c r="U3909" i="1"/>
  <c r="U3906" i="1"/>
  <c r="U3903" i="1"/>
  <c r="U3901" i="1"/>
  <c r="U3898" i="1"/>
  <c r="U3895" i="1"/>
  <c r="U3893" i="1"/>
  <c r="U3890" i="1"/>
  <c r="U3887" i="1"/>
  <c r="U3885" i="1"/>
  <c r="U3882" i="1"/>
  <c r="U3879" i="1"/>
  <c r="U3877" i="1"/>
  <c r="U3874" i="1"/>
  <c r="U3871" i="1"/>
  <c r="U3869" i="1"/>
  <c r="U3866" i="1"/>
  <c r="U3863" i="1"/>
  <c r="U3861" i="1"/>
  <c r="U3858" i="1"/>
  <c r="U3855" i="1"/>
  <c r="U3853" i="1"/>
  <c r="U3850" i="1"/>
  <c r="U3847" i="1"/>
  <c r="U3845" i="1"/>
  <c r="U3842" i="1"/>
  <c r="U3839" i="1"/>
  <c r="U3837" i="1"/>
  <c r="U3834" i="1"/>
  <c r="U3831" i="1"/>
  <c r="U3829" i="1"/>
  <c r="U3826" i="1"/>
  <c r="U3823" i="1"/>
  <c r="U3821" i="1"/>
  <c r="U3818" i="1"/>
  <c r="U3815" i="1"/>
  <c r="U3813" i="1"/>
  <c r="U3810" i="1"/>
  <c r="U3807" i="1"/>
  <c r="U3805" i="1"/>
  <c r="U3802" i="1"/>
  <c r="U3799" i="1"/>
  <c r="U3797" i="1"/>
  <c r="U3794" i="1"/>
  <c r="U3791" i="1"/>
  <c r="U3789" i="1"/>
  <c r="U3786" i="1"/>
  <c r="U3783" i="1"/>
  <c r="U3781" i="1"/>
  <c r="U3778" i="1"/>
  <c r="U3775" i="1"/>
  <c r="U3773" i="1"/>
  <c r="U3770" i="1"/>
  <c r="U3767" i="1"/>
  <c r="U3765" i="1"/>
  <c r="U3762" i="1"/>
  <c r="U3759" i="1"/>
  <c r="U3757" i="1"/>
  <c r="U3754" i="1"/>
  <c r="U3751" i="1"/>
  <c r="U3749" i="1"/>
  <c r="U3746" i="1"/>
  <c r="U3743" i="1"/>
  <c r="U3741" i="1"/>
  <c r="U3738" i="1"/>
  <c r="U3735" i="1"/>
  <c r="U3733" i="1"/>
  <c r="U3730" i="1"/>
  <c r="U3727" i="1"/>
  <c r="U3725" i="1"/>
  <c r="U3722" i="1"/>
  <c r="U3719" i="1"/>
  <c r="U3717" i="1"/>
  <c r="U3714" i="1"/>
  <c r="U3711" i="1"/>
  <c r="U3709" i="1"/>
  <c r="U3706" i="1"/>
  <c r="U3703" i="1"/>
  <c r="U3701" i="1"/>
  <c r="U3698" i="1"/>
  <c r="U3695" i="1"/>
  <c r="U3693" i="1"/>
  <c r="U3690" i="1"/>
  <c r="U3687" i="1"/>
  <c r="U3685" i="1"/>
  <c r="U3682" i="1"/>
  <c r="U3679" i="1"/>
  <c r="U3677" i="1"/>
  <c r="U3674" i="1"/>
  <c r="U3671" i="1"/>
  <c r="U3669" i="1"/>
  <c r="U3666" i="1"/>
  <c r="U3663" i="1"/>
  <c r="U3661" i="1"/>
  <c r="U3658" i="1"/>
  <c r="U3655" i="1"/>
  <c r="U3653" i="1"/>
  <c r="U3650" i="1"/>
  <c r="U3647" i="1"/>
  <c r="U3645" i="1"/>
  <c r="U3642" i="1"/>
  <c r="U3639" i="1"/>
  <c r="U3637" i="1"/>
  <c r="U3634" i="1"/>
  <c r="U3631" i="1"/>
  <c r="U3629" i="1"/>
  <c r="U3626" i="1"/>
  <c r="U3623" i="1"/>
  <c r="U3621" i="1"/>
  <c r="U3618" i="1"/>
  <c r="U3615" i="1"/>
  <c r="U3613" i="1"/>
  <c r="U3610" i="1"/>
  <c r="U3607" i="1"/>
  <c r="U3605" i="1"/>
  <c r="U3602" i="1"/>
  <c r="U3599" i="1"/>
  <c r="U3597" i="1"/>
  <c r="U3594" i="1"/>
  <c r="U3591" i="1"/>
  <c r="U3589" i="1"/>
  <c r="U3586" i="1"/>
  <c r="U3583" i="1"/>
  <c r="U3581" i="1"/>
  <c r="U3578" i="1"/>
  <c r="U3575" i="1"/>
  <c r="U3573" i="1"/>
  <c r="U3570" i="1"/>
  <c r="U3567" i="1"/>
  <c r="U3565" i="1"/>
  <c r="U3562" i="1"/>
  <c r="U3559" i="1"/>
  <c r="U3557" i="1"/>
  <c r="U3554" i="1"/>
  <c r="U3551" i="1"/>
  <c r="U3549" i="1"/>
  <c r="U3546" i="1"/>
  <c r="U3543" i="1"/>
  <c r="U3541" i="1"/>
  <c r="U3538" i="1"/>
  <c r="U3535" i="1"/>
  <c r="U3533" i="1"/>
  <c r="U3530" i="1"/>
  <c r="U3527" i="1"/>
  <c r="U3525" i="1"/>
  <c r="U3522" i="1"/>
  <c r="U3519" i="1"/>
  <c r="U3517" i="1"/>
  <c r="U3514" i="1"/>
  <c r="U3511" i="1"/>
  <c r="U3509" i="1"/>
  <c r="U3506" i="1"/>
  <c r="U3503" i="1"/>
  <c r="U3501" i="1"/>
  <c r="U3498" i="1"/>
  <c r="U3495" i="1"/>
  <c r="U3493" i="1"/>
  <c r="U3490" i="1"/>
  <c r="U3487" i="1"/>
  <c r="U3485" i="1"/>
  <c r="U3482" i="1"/>
  <c r="U3479" i="1"/>
  <c r="U3477" i="1"/>
  <c r="U3474" i="1"/>
  <c r="U3471" i="1"/>
  <c r="U3469" i="1"/>
  <c r="U3466" i="1"/>
  <c r="U3463" i="1"/>
  <c r="U3461" i="1"/>
  <c r="U3458" i="1"/>
  <c r="U3455" i="1"/>
  <c r="U3453" i="1"/>
  <c r="U3450" i="1"/>
  <c r="U3447" i="1"/>
  <c r="U3445" i="1"/>
  <c r="U3442" i="1"/>
  <c r="U3439" i="1"/>
  <c r="U3437" i="1"/>
  <c r="U3434" i="1"/>
  <c r="U3431" i="1"/>
  <c r="U3429" i="1"/>
  <c r="U3426" i="1"/>
  <c r="U3423" i="1"/>
  <c r="U3421" i="1"/>
  <c r="U3418" i="1"/>
  <c r="U3415" i="1"/>
  <c r="U3413" i="1"/>
  <c r="U3410" i="1"/>
  <c r="U3407" i="1"/>
  <c r="U3405" i="1"/>
  <c r="U3402" i="1"/>
  <c r="U3399" i="1"/>
  <c r="U3397" i="1"/>
  <c r="U3394" i="1"/>
  <c r="U3391" i="1"/>
  <c r="U3389" i="1"/>
  <c r="U3386" i="1"/>
  <c r="U3383" i="1"/>
  <c r="U3381" i="1"/>
  <c r="U3378" i="1"/>
  <c r="U3375" i="1"/>
  <c r="U3373" i="1"/>
  <c r="U3370" i="1"/>
  <c r="U3367" i="1"/>
  <c r="U3365" i="1"/>
  <c r="U3362" i="1"/>
  <c r="U3359" i="1"/>
  <c r="U3357" i="1"/>
  <c r="U3354" i="1"/>
  <c r="U3351" i="1"/>
  <c r="U3349" i="1"/>
  <c r="U3346" i="1"/>
  <c r="U3343" i="1"/>
  <c r="U3341" i="1"/>
  <c r="U3338" i="1"/>
  <c r="U3335" i="1"/>
  <c r="U3333" i="1"/>
  <c r="U3330" i="1"/>
  <c r="U3327" i="1"/>
  <c r="U3325" i="1"/>
  <c r="U3322" i="1"/>
  <c r="U3319" i="1"/>
  <c r="U3317" i="1"/>
  <c r="U3314" i="1"/>
  <c r="U3311" i="1"/>
  <c r="U3309" i="1"/>
  <c r="U3306" i="1"/>
  <c r="U3303" i="1"/>
  <c r="U3301" i="1"/>
  <c r="U3298" i="1"/>
  <c r="U3295" i="1"/>
  <c r="U3293" i="1"/>
  <c r="U3290" i="1"/>
  <c r="U3287" i="1"/>
  <c r="U3285" i="1"/>
  <c r="U3282" i="1"/>
  <c r="U3279" i="1"/>
  <c r="U3277" i="1"/>
  <c r="U3274" i="1"/>
  <c r="U3271" i="1"/>
  <c r="U3269" i="1"/>
  <c r="U3266" i="1"/>
  <c r="U3263" i="1"/>
  <c r="U3261" i="1"/>
  <c r="U3258" i="1"/>
  <c r="U3255" i="1"/>
  <c r="U3253" i="1"/>
  <c r="U3250" i="1"/>
  <c r="U3247" i="1"/>
  <c r="U3245" i="1"/>
  <c r="U3242" i="1"/>
  <c r="U3239" i="1"/>
  <c r="U3237" i="1"/>
  <c r="U3234" i="1"/>
  <c r="U3231" i="1"/>
  <c r="U3229" i="1"/>
  <c r="U3226" i="1"/>
  <c r="U3223" i="1"/>
  <c r="U3221" i="1"/>
  <c r="U3218" i="1"/>
  <c r="U3215" i="1"/>
  <c r="U3213" i="1"/>
  <c r="U3210" i="1"/>
  <c r="U3207" i="1"/>
  <c r="U3205" i="1"/>
  <c r="U3202" i="1"/>
  <c r="U3199" i="1"/>
  <c r="U3197" i="1"/>
  <c r="U3194" i="1"/>
  <c r="U3191" i="1"/>
  <c r="U3189" i="1"/>
  <c r="U3186" i="1"/>
  <c r="U3183" i="1"/>
  <c r="U3181" i="1"/>
  <c r="U3178" i="1"/>
  <c r="U3175" i="1"/>
  <c r="U3173" i="1"/>
  <c r="U3170" i="1"/>
  <c r="U3167" i="1"/>
  <c r="U3165" i="1"/>
  <c r="U3162" i="1"/>
  <c r="U3159" i="1"/>
  <c r="U3157" i="1"/>
  <c r="U3154" i="1"/>
  <c r="U3151" i="1"/>
  <c r="U3149" i="1"/>
  <c r="U3146" i="1"/>
  <c r="U3143" i="1"/>
  <c r="U3141" i="1"/>
  <c r="U3138" i="1"/>
  <c r="U3135" i="1"/>
  <c r="U3133" i="1"/>
  <c r="U3130" i="1"/>
  <c r="U3127" i="1"/>
  <c r="U3125" i="1"/>
  <c r="U3122" i="1"/>
  <c r="U3119" i="1"/>
  <c r="U3117" i="1"/>
  <c r="U3114" i="1"/>
  <c r="U3111" i="1"/>
  <c r="U3109" i="1"/>
  <c r="U3106" i="1"/>
  <c r="U3103" i="1"/>
  <c r="U3101" i="1"/>
  <c r="U3098" i="1"/>
  <c r="U3095" i="1"/>
  <c r="U3093" i="1"/>
  <c r="U3090" i="1"/>
  <c r="U3087" i="1"/>
  <c r="U3085" i="1"/>
  <c r="U3082" i="1"/>
  <c r="U3079" i="1"/>
  <c r="U3077" i="1"/>
  <c r="U3074" i="1"/>
  <c r="U3071" i="1"/>
  <c r="U3069" i="1"/>
  <c r="U3066" i="1"/>
  <c r="U3063" i="1"/>
  <c r="U3061" i="1"/>
  <c r="U3058" i="1"/>
  <c r="U3055" i="1"/>
  <c r="U3053" i="1"/>
  <c r="U3050" i="1"/>
  <c r="U3047" i="1"/>
  <c r="U3045" i="1"/>
  <c r="U3042" i="1"/>
  <c r="U3039" i="1"/>
  <c r="U3037" i="1"/>
  <c r="U3034" i="1"/>
  <c r="U3031" i="1"/>
  <c r="U3029" i="1"/>
  <c r="U3026" i="1"/>
  <c r="U3023" i="1"/>
  <c r="U3021" i="1"/>
  <c r="U3018" i="1"/>
  <c r="U3015" i="1"/>
  <c r="U3013" i="1"/>
  <c r="U3010" i="1"/>
  <c r="U3007" i="1"/>
  <c r="U3005" i="1"/>
  <c r="U3002" i="1"/>
  <c r="U2999" i="1"/>
  <c r="U2997" i="1"/>
  <c r="U2994" i="1"/>
  <c r="U2991" i="1"/>
  <c r="U2989" i="1"/>
  <c r="U2986" i="1"/>
  <c r="U2983" i="1"/>
  <c r="U2981" i="1"/>
  <c r="U2978" i="1"/>
  <c r="U2975" i="1"/>
  <c r="U2973" i="1"/>
  <c r="U2970" i="1"/>
  <c r="U2967" i="1"/>
  <c r="U2965" i="1"/>
  <c r="U2962" i="1"/>
  <c r="U2959" i="1"/>
  <c r="U2957" i="1"/>
  <c r="U2954" i="1"/>
  <c r="U2951" i="1"/>
  <c r="U2949" i="1"/>
  <c r="U2946" i="1"/>
  <c r="U2943" i="1"/>
  <c r="U2941" i="1"/>
  <c r="U2938" i="1"/>
  <c r="U2935" i="1"/>
  <c r="U2933" i="1"/>
  <c r="U2930" i="1"/>
  <c r="U2927" i="1"/>
  <c r="U2925" i="1"/>
  <c r="U2922" i="1"/>
  <c r="U2919" i="1"/>
  <c r="U2917" i="1"/>
  <c r="U2914" i="1"/>
  <c r="U2911" i="1"/>
  <c r="U2909" i="1"/>
  <c r="U2906" i="1"/>
  <c r="U2903" i="1"/>
  <c r="U2901" i="1"/>
  <c r="U2898" i="1"/>
  <c r="U2895" i="1"/>
  <c r="U2893" i="1"/>
  <c r="U2890" i="1"/>
  <c r="U2887" i="1"/>
  <c r="U2885" i="1"/>
  <c r="U2882" i="1"/>
  <c r="U2879" i="1"/>
  <c r="U2877" i="1"/>
  <c r="U2874" i="1"/>
  <c r="U2871" i="1"/>
  <c r="U2869" i="1"/>
  <c r="U2866" i="1"/>
  <c r="U2863" i="1"/>
  <c r="U2861" i="1"/>
  <c r="U2858" i="1"/>
  <c r="U2855" i="1"/>
  <c r="U2853" i="1"/>
  <c r="U2850" i="1"/>
  <c r="U2847" i="1"/>
  <c r="U2845" i="1"/>
  <c r="U2842" i="1"/>
  <c r="U2839" i="1"/>
  <c r="U2837" i="1"/>
  <c r="U2834" i="1"/>
  <c r="U2831" i="1"/>
  <c r="U2829" i="1"/>
  <c r="U2826" i="1"/>
  <c r="U2823" i="1"/>
  <c r="U2821" i="1"/>
  <c r="U2818" i="1"/>
  <c r="U2815" i="1"/>
  <c r="U2813" i="1"/>
  <c r="U2810" i="1"/>
  <c r="U2807" i="1"/>
  <c r="U2805" i="1"/>
  <c r="U2802" i="1"/>
  <c r="U2799" i="1"/>
  <c r="U2797" i="1"/>
  <c r="U2794" i="1"/>
  <c r="U2791" i="1"/>
  <c r="U2789" i="1"/>
  <c r="U2786" i="1"/>
  <c r="U2783" i="1"/>
  <c r="U2781" i="1"/>
  <c r="U2778" i="1"/>
  <c r="U2775" i="1"/>
  <c r="U2773" i="1"/>
  <c r="U2770" i="1"/>
  <c r="U2767" i="1"/>
  <c r="U2765" i="1"/>
  <c r="U2762" i="1"/>
  <c r="U2759" i="1"/>
  <c r="U2757" i="1"/>
  <c r="U2754" i="1"/>
  <c r="U2751" i="1"/>
  <c r="U2749" i="1"/>
  <c r="U2746" i="1"/>
  <c r="U2743" i="1"/>
  <c r="U2741" i="1"/>
  <c r="U2738" i="1"/>
  <c r="U2735" i="1"/>
  <c r="U2733" i="1"/>
  <c r="U2730" i="1"/>
  <c r="U2727" i="1"/>
  <c r="U2725" i="1"/>
  <c r="U2722" i="1"/>
  <c r="U2719" i="1"/>
  <c r="U2717" i="1"/>
  <c r="U2714" i="1"/>
  <c r="U2711" i="1"/>
  <c r="U2709" i="1"/>
  <c r="U2706" i="1"/>
  <c r="U2703" i="1"/>
  <c r="U2701" i="1"/>
  <c r="U2698" i="1"/>
  <c r="U2695" i="1"/>
  <c r="U2693" i="1"/>
  <c r="U2690" i="1"/>
  <c r="U2687" i="1"/>
  <c r="U2685" i="1"/>
  <c r="U2682" i="1"/>
  <c r="U2679" i="1"/>
  <c r="U2677" i="1"/>
  <c r="U2674" i="1"/>
  <c r="U2671" i="1"/>
  <c r="U2669" i="1"/>
  <c r="U2666" i="1"/>
  <c r="U2663" i="1"/>
  <c r="U2661" i="1"/>
  <c r="U2658" i="1"/>
  <c r="U2655" i="1"/>
  <c r="U2653" i="1"/>
  <c r="U2650" i="1"/>
  <c r="U2647" i="1"/>
  <c r="U2645" i="1"/>
  <c r="U2642" i="1"/>
  <c r="U2639" i="1"/>
  <c r="U2637" i="1"/>
  <c r="U2634" i="1"/>
  <c r="U2631" i="1"/>
  <c r="U2629" i="1"/>
  <c r="U2626" i="1"/>
  <c r="U2623" i="1"/>
  <c r="U2621" i="1"/>
  <c r="U2618" i="1"/>
  <c r="U2615" i="1"/>
  <c r="U2613" i="1"/>
  <c r="U2610" i="1"/>
  <c r="U2607" i="1"/>
  <c r="U2605" i="1"/>
  <c r="U2602" i="1"/>
  <c r="U2599" i="1"/>
  <c r="U2597" i="1"/>
  <c r="U2594" i="1"/>
  <c r="U2591" i="1"/>
  <c r="U2589" i="1"/>
  <c r="U2586" i="1"/>
  <c r="U2583" i="1"/>
  <c r="U2581" i="1"/>
  <c r="U2578" i="1"/>
  <c r="U2575" i="1"/>
  <c r="U2573" i="1"/>
  <c r="U2570" i="1"/>
  <c r="U2567" i="1"/>
  <c r="U2565" i="1"/>
  <c r="U2562" i="1"/>
  <c r="U2559" i="1"/>
  <c r="U2557" i="1"/>
  <c r="U2554" i="1"/>
  <c r="U2551" i="1"/>
  <c r="U2549" i="1"/>
  <c r="U2546" i="1"/>
  <c r="U2543" i="1"/>
  <c r="U2541" i="1"/>
  <c r="U2538" i="1"/>
  <c r="U2535" i="1"/>
  <c r="U2533" i="1"/>
  <c r="U2530" i="1"/>
  <c r="U2527" i="1"/>
  <c r="U2525" i="1"/>
  <c r="U2522" i="1"/>
  <c r="U2519" i="1"/>
  <c r="U2517" i="1"/>
  <c r="U2514" i="1"/>
  <c r="U2511" i="1"/>
  <c r="U2509" i="1"/>
  <c r="U2506" i="1"/>
  <c r="U2503" i="1"/>
  <c r="U2501" i="1"/>
  <c r="U2498" i="1"/>
  <c r="U2495" i="1"/>
  <c r="U2493" i="1"/>
  <c r="U2490" i="1"/>
  <c r="U2487" i="1"/>
  <c r="U2485" i="1"/>
  <c r="U2482" i="1"/>
  <c r="U2479" i="1"/>
  <c r="U2477" i="1"/>
  <c r="U2474" i="1"/>
  <c r="U2471" i="1"/>
  <c r="U2469" i="1"/>
  <c r="U2466" i="1"/>
  <c r="U2463" i="1"/>
  <c r="U2461" i="1"/>
  <c r="U2458" i="1"/>
  <c r="U2455" i="1"/>
  <c r="U2453" i="1"/>
  <c r="U2450" i="1"/>
  <c r="U2447" i="1"/>
  <c r="U2445" i="1"/>
  <c r="U2442" i="1"/>
  <c r="U2439" i="1"/>
  <c r="U2437" i="1"/>
  <c r="U2434" i="1"/>
  <c r="U2431" i="1"/>
  <c r="U2429" i="1"/>
  <c r="U2426" i="1"/>
  <c r="U2423" i="1"/>
  <c r="U2421" i="1"/>
  <c r="U2418" i="1"/>
  <c r="U2415" i="1"/>
  <c r="U2413" i="1"/>
  <c r="U2410" i="1"/>
  <c r="U2407" i="1"/>
  <c r="U2405" i="1"/>
  <c r="U2402" i="1"/>
  <c r="U2399" i="1"/>
  <c r="U2397" i="1"/>
  <c r="U2394" i="1"/>
  <c r="U2391" i="1"/>
  <c r="U2389" i="1"/>
  <c r="U2386" i="1"/>
  <c r="U2383" i="1"/>
  <c r="U2381" i="1"/>
  <c r="U2378" i="1"/>
  <c r="U2375" i="1"/>
  <c r="U2373" i="1"/>
  <c r="U2370" i="1"/>
  <c r="U2367" i="1"/>
  <c r="U2365" i="1"/>
  <c r="U2362" i="1"/>
  <c r="U2359" i="1"/>
  <c r="U2357" i="1"/>
  <c r="U2354" i="1"/>
  <c r="U2351" i="1"/>
  <c r="U2349" i="1"/>
  <c r="U2346" i="1"/>
  <c r="U2343" i="1"/>
  <c r="U2341" i="1"/>
  <c r="U2338" i="1"/>
  <c r="U2335" i="1"/>
  <c r="U2333" i="1"/>
  <c r="U2330" i="1"/>
  <c r="U2327" i="1"/>
  <c r="U2325" i="1"/>
  <c r="U2322" i="1"/>
  <c r="U2319" i="1"/>
  <c r="U2317" i="1"/>
  <c r="U2314" i="1"/>
  <c r="U2311" i="1"/>
  <c r="U2309" i="1"/>
  <c r="U2306" i="1"/>
  <c r="U2303" i="1"/>
  <c r="U2301" i="1"/>
  <c r="U2298" i="1"/>
  <c r="U2295" i="1"/>
  <c r="U2293" i="1"/>
  <c r="U2290" i="1"/>
  <c r="U2287" i="1"/>
  <c r="U2285" i="1"/>
  <c r="U2282" i="1"/>
  <c r="U2279" i="1"/>
  <c r="U2277" i="1"/>
  <c r="U2274" i="1"/>
  <c r="U2271" i="1"/>
  <c r="U2269" i="1"/>
  <c r="U2266" i="1"/>
  <c r="U2263" i="1"/>
  <c r="U2261" i="1"/>
  <c r="U2258" i="1"/>
  <c r="U2255" i="1"/>
  <c r="U2253" i="1"/>
  <c r="U2250" i="1"/>
  <c r="U2247" i="1"/>
  <c r="U2245" i="1"/>
  <c r="U2242" i="1"/>
  <c r="U2239" i="1"/>
  <c r="U2237" i="1"/>
  <c r="U2234" i="1"/>
  <c r="U2231" i="1"/>
  <c r="U2229" i="1"/>
  <c r="U2226" i="1"/>
  <c r="U2223" i="1"/>
  <c r="U2221" i="1"/>
  <c r="U2218" i="1"/>
  <c r="U2215" i="1"/>
  <c r="U2213" i="1"/>
  <c r="U2210" i="1"/>
  <c r="U2207" i="1"/>
  <c r="U2205" i="1"/>
  <c r="U2202" i="1"/>
  <c r="U2199" i="1"/>
  <c r="U2197" i="1"/>
  <c r="U2194" i="1"/>
  <c r="U2191" i="1"/>
  <c r="U2189" i="1"/>
  <c r="U2186" i="1"/>
  <c r="U2183" i="1"/>
  <c r="U2181" i="1"/>
  <c r="U2178" i="1"/>
  <c r="U2175" i="1"/>
  <c r="U2173" i="1"/>
  <c r="U2170" i="1"/>
  <c r="U2167" i="1"/>
  <c r="U2165" i="1"/>
  <c r="U2162" i="1"/>
  <c r="U2159" i="1"/>
  <c r="U2157" i="1"/>
  <c r="U2154" i="1"/>
  <c r="U2151" i="1"/>
  <c r="U2149" i="1"/>
  <c r="U2146" i="1"/>
  <c r="U2143" i="1"/>
  <c r="U2141" i="1"/>
  <c r="U2138" i="1"/>
  <c r="U2135" i="1"/>
  <c r="U2133" i="1"/>
  <c r="U2130" i="1"/>
  <c r="U2127" i="1"/>
  <c r="U2125" i="1"/>
  <c r="U2122" i="1"/>
  <c r="U2119" i="1"/>
  <c r="U2117" i="1"/>
  <c r="U2114" i="1"/>
  <c r="U2111" i="1"/>
  <c r="U2109" i="1"/>
  <c r="U2106" i="1"/>
  <c r="U2103" i="1"/>
  <c r="U2101" i="1"/>
  <c r="U2098" i="1"/>
  <c r="U2095" i="1"/>
  <c r="U2093" i="1"/>
  <c r="U2090" i="1"/>
  <c r="U2087" i="1"/>
  <c r="U2085" i="1"/>
  <c r="U2082" i="1"/>
  <c r="U2079" i="1"/>
  <c r="U2077" i="1"/>
  <c r="U2074" i="1"/>
  <c r="U2071" i="1"/>
  <c r="U2069" i="1"/>
  <c r="U2066" i="1"/>
  <c r="U2063" i="1"/>
  <c r="U2061" i="1"/>
  <c r="U2058" i="1"/>
  <c r="U2055" i="1"/>
  <c r="U2053" i="1"/>
  <c r="U2050" i="1"/>
  <c r="U2047" i="1"/>
  <c r="U2045" i="1"/>
  <c r="U2042" i="1"/>
  <c r="U2039" i="1"/>
  <c r="U2037" i="1"/>
  <c r="U2034" i="1"/>
  <c r="U2031" i="1"/>
  <c r="U2029" i="1"/>
  <c r="U2026" i="1"/>
  <c r="U2023" i="1"/>
  <c r="U2021" i="1"/>
  <c r="U2018" i="1"/>
  <c r="U2015" i="1"/>
  <c r="U2013" i="1"/>
  <c r="U2010" i="1"/>
  <c r="U2007" i="1"/>
  <c r="U2005" i="1"/>
  <c r="U2002" i="1"/>
  <c r="U1999" i="1"/>
  <c r="U1997" i="1"/>
  <c r="U1994" i="1"/>
  <c r="U1991" i="1"/>
  <c r="U1989" i="1"/>
  <c r="U1986" i="1"/>
  <c r="U1983" i="1"/>
  <c r="U1981" i="1"/>
  <c r="U1978" i="1"/>
  <c r="U1975" i="1"/>
  <c r="U1973" i="1"/>
  <c r="U1970" i="1"/>
  <c r="U1967" i="1"/>
  <c r="U1965" i="1"/>
  <c r="U1962" i="1"/>
  <c r="U1960" i="1"/>
  <c r="U1957" i="1"/>
  <c r="U1955" i="1"/>
  <c r="U1953" i="1"/>
  <c r="U1951" i="1"/>
  <c r="U1948" i="1"/>
  <c r="U1946" i="1"/>
  <c r="U1944" i="1"/>
  <c r="U1941" i="1"/>
  <c r="U1939" i="1"/>
  <c r="U1937" i="1"/>
  <c r="U1935" i="1"/>
  <c r="U1932" i="1"/>
  <c r="U1930" i="1"/>
  <c r="U1928" i="1"/>
  <c r="U1925" i="1"/>
  <c r="U1923" i="1"/>
  <c r="U1921" i="1"/>
  <c r="U1919" i="1"/>
  <c r="U1916" i="1"/>
  <c r="U1914" i="1"/>
  <c r="U1912" i="1"/>
  <c r="U1909" i="1"/>
  <c r="U1907" i="1"/>
  <c r="U1905" i="1"/>
  <c r="U1903" i="1"/>
  <c r="U1900" i="1"/>
  <c r="U1898" i="1"/>
  <c r="U1896" i="1"/>
  <c r="U1893" i="1"/>
  <c r="U1891" i="1"/>
  <c r="U1889" i="1"/>
  <c r="U1887" i="1"/>
  <c r="U1884" i="1"/>
  <c r="U1882" i="1"/>
  <c r="U1880" i="1"/>
  <c r="U1877" i="1"/>
  <c r="U1875" i="1"/>
  <c r="U1873" i="1"/>
  <c r="U1858" i="1"/>
  <c r="U1842" i="1"/>
  <c r="U1826" i="1"/>
  <c r="U1810" i="1"/>
  <c r="U1794" i="1"/>
  <c r="U1778" i="1"/>
  <c r="U1762" i="1"/>
  <c r="U1746" i="1"/>
  <c r="U1730" i="1"/>
  <c r="U1714" i="1"/>
  <c r="U1698" i="1"/>
  <c r="U1682" i="1"/>
  <c r="U1666" i="1"/>
  <c r="U1650" i="1"/>
  <c r="U1634" i="1"/>
  <c r="U1618" i="1"/>
  <c r="U1602" i="1"/>
  <c r="U1586" i="1"/>
  <c r="U1570" i="1"/>
  <c r="U1554" i="1"/>
  <c r="U1538" i="1"/>
  <c r="U1522" i="1"/>
  <c r="U1506" i="1"/>
  <c r="U1490" i="1"/>
  <c r="U1474" i="1"/>
  <c r="U1458" i="1"/>
  <c r="U1442" i="1"/>
  <c r="U1426" i="1"/>
  <c r="U1410" i="1"/>
  <c r="U1394" i="1"/>
  <c r="U1378" i="1"/>
  <c r="U1362" i="1"/>
  <c r="U1346" i="1"/>
  <c r="U1330" i="1"/>
  <c r="U1314" i="1"/>
  <c r="U1298" i="1"/>
  <c r="U1282" i="1"/>
  <c r="U1266" i="1"/>
  <c r="U1250" i="1"/>
  <c r="U1234" i="1"/>
  <c r="U1218" i="1"/>
  <c r="U1202" i="1"/>
  <c r="U1186" i="1"/>
  <c r="U1170" i="1"/>
  <c r="U1154" i="1"/>
  <c r="U1138" i="1"/>
  <c r="U1122" i="1"/>
  <c r="U1106" i="1"/>
  <c r="U1090" i="1"/>
  <c r="U1074" i="1"/>
  <c r="U1058" i="1"/>
  <c r="U1042" i="1"/>
  <c r="U1026" i="1"/>
  <c r="U1010" i="1"/>
  <c r="U994" i="1"/>
  <c r="U978" i="1"/>
  <c r="U962" i="1"/>
  <c r="U946" i="1"/>
  <c r="U921" i="1"/>
  <c r="U889" i="1"/>
  <c r="U857" i="1"/>
  <c r="U825" i="1"/>
  <c r="U793" i="1"/>
  <c r="U761" i="1"/>
  <c r="U729" i="1"/>
  <c r="U697" i="1"/>
  <c r="U665" i="1"/>
  <c r="U633" i="1"/>
  <c r="U601" i="1"/>
  <c r="U569" i="1"/>
  <c r="U537" i="1"/>
  <c r="U505" i="1"/>
  <c r="U473" i="1"/>
  <c r="U441" i="1"/>
  <c r="U391" i="1"/>
  <c r="U327" i="1"/>
  <c r="U263" i="1"/>
  <c r="U199" i="1"/>
  <c r="U98" i="1"/>
  <c r="U1872" i="1"/>
  <c r="U1869" i="1"/>
  <c r="U1867" i="1"/>
  <c r="U1864" i="1"/>
  <c r="U1861" i="1"/>
  <c r="U1859" i="1"/>
  <c r="U1856" i="1"/>
  <c r="U1853" i="1"/>
  <c r="U1851" i="1"/>
  <c r="U1848" i="1"/>
  <c r="U1845" i="1"/>
  <c r="U1843" i="1"/>
  <c r="U1840" i="1"/>
  <c r="U1837" i="1"/>
  <c r="U1835" i="1"/>
  <c r="U1832" i="1"/>
  <c r="U1829" i="1"/>
  <c r="U1827" i="1"/>
  <c r="U1824" i="1"/>
  <c r="U1821" i="1"/>
  <c r="U1819" i="1"/>
  <c r="U1816" i="1"/>
  <c r="U1813" i="1"/>
  <c r="U1811" i="1"/>
  <c r="U1808" i="1"/>
  <c r="U1805" i="1"/>
  <c r="U1803" i="1"/>
  <c r="U1800" i="1"/>
  <c r="U1797" i="1"/>
  <c r="U1795" i="1"/>
  <c r="U1792" i="1"/>
  <c r="U1789" i="1"/>
  <c r="U1787" i="1"/>
  <c r="U1784" i="1"/>
  <c r="U1781" i="1"/>
  <c r="U1779" i="1"/>
  <c r="U1776" i="1"/>
  <c r="U1773" i="1"/>
  <c r="U1771" i="1"/>
  <c r="U1768" i="1"/>
  <c r="U1765" i="1"/>
  <c r="U1763" i="1"/>
  <c r="U1760" i="1"/>
  <c r="U1757" i="1"/>
  <c r="U1755" i="1"/>
  <c r="U1752" i="1"/>
  <c r="U1749" i="1"/>
  <c r="U1747" i="1"/>
  <c r="U1744" i="1"/>
  <c r="U1741" i="1"/>
  <c r="U1739" i="1"/>
  <c r="U1736" i="1"/>
  <c r="U1733" i="1"/>
  <c r="U1731" i="1"/>
  <c r="U1728" i="1"/>
  <c r="U1725" i="1"/>
  <c r="U1723" i="1"/>
  <c r="U1720" i="1"/>
  <c r="U1717" i="1"/>
  <c r="U1715" i="1"/>
  <c r="U1712" i="1"/>
  <c r="U1709" i="1"/>
  <c r="U1707" i="1"/>
  <c r="U1704" i="1"/>
  <c r="U1701" i="1"/>
  <c r="U1699" i="1"/>
  <c r="U1696" i="1"/>
  <c r="U1693" i="1"/>
  <c r="U1691" i="1"/>
  <c r="U1688" i="1"/>
  <c r="U1685" i="1"/>
  <c r="U1683" i="1"/>
  <c r="U1680" i="1"/>
  <c r="U1677" i="1"/>
  <c r="U1675" i="1"/>
  <c r="U1672" i="1"/>
  <c r="U1669" i="1"/>
  <c r="U1667" i="1"/>
  <c r="U1664" i="1"/>
  <c r="U1661" i="1"/>
  <c r="U1659" i="1"/>
  <c r="U1656" i="1"/>
  <c r="U1653" i="1"/>
  <c r="U1651" i="1"/>
  <c r="U1648" i="1"/>
  <c r="U1645" i="1"/>
  <c r="U1643" i="1"/>
  <c r="U1640" i="1"/>
  <c r="U1637" i="1"/>
  <c r="U1635" i="1"/>
  <c r="U1632" i="1"/>
  <c r="U1629" i="1"/>
  <c r="U1627" i="1"/>
  <c r="U1624" i="1"/>
  <c r="U1621" i="1"/>
  <c r="U1619" i="1"/>
  <c r="U1616" i="1"/>
  <c r="U1613" i="1"/>
  <c r="U1611" i="1"/>
  <c r="U1608" i="1"/>
  <c r="U1605" i="1"/>
  <c r="U1603" i="1"/>
  <c r="U1600" i="1"/>
  <c r="U1597" i="1"/>
  <c r="U1595" i="1"/>
  <c r="U1592" i="1"/>
  <c r="U1589" i="1"/>
  <c r="U1587" i="1"/>
  <c r="U1584" i="1"/>
  <c r="U1581" i="1"/>
  <c r="U1579" i="1"/>
  <c r="U1576" i="1"/>
  <c r="U1573" i="1"/>
  <c r="U1571" i="1"/>
  <c r="U1568" i="1"/>
  <c r="U1565" i="1"/>
  <c r="U1563" i="1"/>
  <c r="U1560" i="1"/>
  <c r="U1557" i="1"/>
  <c r="U1555" i="1"/>
  <c r="U1552" i="1"/>
  <c r="U1549" i="1"/>
  <c r="U1547" i="1"/>
  <c r="U1544" i="1"/>
  <c r="U1541" i="1"/>
  <c r="U1539" i="1"/>
  <c r="U1536" i="1"/>
  <c r="U1533" i="1"/>
  <c r="U1531" i="1"/>
  <c r="U1528" i="1"/>
  <c r="U1525" i="1"/>
  <c r="U1523" i="1"/>
  <c r="U1520" i="1"/>
  <c r="U1517" i="1"/>
  <c r="U1515" i="1"/>
  <c r="U1512" i="1"/>
  <c r="U1509" i="1"/>
  <c r="U1507" i="1"/>
  <c r="U1504" i="1"/>
  <c r="U1501" i="1"/>
  <c r="U1499" i="1"/>
  <c r="U1496" i="1"/>
  <c r="U1493" i="1"/>
  <c r="U1491" i="1"/>
  <c r="U1488" i="1"/>
  <c r="U1485" i="1"/>
  <c r="U1483" i="1"/>
  <c r="U1480" i="1"/>
  <c r="U1477" i="1"/>
  <c r="U1475" i="1"/>
  <c r="U1472" i="1"/>
  <c r="U1469" i="1"/>
  <c r="U1467" i="1"/>
  <c r="U1464" i="1"/>
  <c r="U1461" i="1"/>
  <c r="U1459" i="1"/>
  <c r="U1456" i="1"/>
  <c r="U1453" i="1"/>
  <c r="U1451" i="1"/>
  <c r="U1448" i="1"/>
  <c r="U1445" i="1"/>
  <c r="U1443" i="1"/>
  <c r="U1440" i="1"/>
  <c r="U1437" i="1"/>
  <c r="U1435" i="1"/>
  <c r="U1432" i="1"/>
  <c r="U1429" i="1"/>
  <c r="U1427" i="1"/>
  <c r="U1424" i="1"/>
  <c r="U1421" i="1"/>
  <c r="U1419" i="1"/>
  <c r="U1416" i="1"/>
  <c r="U1413" i="1"/>
  <c r="U1411" i="1"/>
  <c r="U1408" i="1"/>
  <c r="U1405" i="1"/>
  <c r="U1403" i="1"/>
  <c r="U1400" i="1"/>
  <c r="U1397" i="1"/>
  <c r="U1395" i="1"/>
  <c r="U1392" i="1"/>
  <c r="U1389" i="1"/>
  <c r="U1387" i="1"/>
  <c r="U1384" i="1"/>
  <c r="U1381" i="1"/>
  <c r="U1379" i="1"/>
  <c r="U1376" i="1"/>
  <c r="U1373" i="1"/>
  <c r="U1371" i="1"/>
  <c r="U1368" i="1"/>
  <c r="U1365" i="1"/>
  <c r="U1363" i="1"/>
  <c r="U1360" i="1"/>
  <c r="U1357" i="1"/>
  <c r="U1355" i="1"/>
  <c r="U1352" i="1"/>
  <c r="U1349" i="1"/>
  <c r="U1347" i="1"/>
  <c r="U1344" i="1"/>
  <c r="U1341" i="1"/>
  <c r="U1339" i="1"/>
  <c r="U1336" i="1"/>
  <c r="U1333" i="1"/>
  <c r="U1331" i="1"/>
  <c r="U1328" i="1"/>
  <c r="U1325" i="1"/>
  <c r="U1323" i="1"/>
  <c r="U1320" i="1"/>
  <c r="U1317" i="1"/>
  <c r="U1315" i="1"/>
  <c r="U1312" i="1"/>
  <c r="U1309" i="1"/>
  <c r="U1307" i="1"/>
  <c r="U1304" i="1"/>
  <c r="U1301" i="1"/>
  <c r="U1299" i="1"/>
  <c r="U1296" i="1"/>
  <c r="U1293" i="1"/>
  <c r="U1291" i="1"/>
  <c r="U1288" i="1"/>
  <c r="U1285" i="1"/>
  <c r="U1283" i="1"/>
  <c r="U1280" i="1"/>
  <c r="U1277" i="1"/>
  <c r="U1275" i="1"/>
  <c r="U1272" i="1"/>
  <c r="U1269" i="1"/>
  <c r="U1267" i="1"/>
  <c r="U1264" i="1"/>
  <c r="U1261" i="1"/>
  <c r="U1259" i="1"/>
  <c r="U1256" i="1"/>
  <c r="U1253" i="1"/>
  <c r="U1251" i="1"/>
  <c r="U1248" i="1"/>
  <c r="U1245" i="1"/>
  <c r="U1243" i="1"/>
  <c r="U1240" i="1"/>
  <c r="U1237" i="1"/>
  <c r="U1235" i="1"/>
  <c r="U1232" i="1"/>
  <c r="U1229" i="1"/>
  <c r="U1227" i="1"/>
  <c r="U1224" i="1"/>
  <c r="U1221" i="1"/>
  <c r="U1219" i="1"/>
  <c r="U1216" i="1"/>
  <c r="U1213" i="1"/>
  <c r="U1211" i="1"/>
  <c r="U1208" i="1"/>
  <c r="U1205" i="1"/>
  <c r="U1203" i="1"/>
  <c r="U1200" i="1"/>
  <c r="U1197" i="1"/>
  <c r="U1195" i="1"/>
  <c r="U1192" i="1"/>
  <c r="U1189" i="1"/>
  <c r="U1187" i="1"/>
  <c r="U1184" i="1"/>
  <c r="U1181" i="1"/>
  <c r="U1179" i="1"/>
  <c r="U1176" i="1"/>
  <c r="U1173" i="1"/>
  <c r="U1171" i="1"/>
  <c r="U1168" i="1"/>
  <c r="U1165" i="1"/>
  <c r="U1163" i="1"/>
  <c r="U1160" i="1"/>
  <c r="U1157" i="1"/>
  <c r="U1155" i="1"/>
  <c r="U1152" i="1"/>
  <c r="U1149" i="1"/>
  <c r="U1147" i="1"/>
  <c r="U1144" i="1"/>
  <c r="U1141" i="1"/>
  <c r="U1139" i="1"/>
  <c r="U1136" i="1"/>
  <c r="U1133" i="1"/>
  <c r="U1131" i="1"/>
  <c r="U1128" i="1"/>
  <c r="U1125" i="1"/>
  <c r="U1123" i="1"/>
  <c r="U1120" i="1"/>
  <c r="U1117" i="1"/>
  <c r="U1115" i="1"/>
  <c r="U1112" i="1"/>
  <c r="U1109" i="1"/>
  <c r="U1107" i="1"/>
  <c r="U1104" i="1"/>
  <c r="U1101" i="1"/>
  <c r="U1099" i="1"/>
  <c r="U1096" i="1"/>
  <c r="U1093" i="1"/>
  <c r="U1091" i="1"/>
  <c r="U1088" i="1"/>
  <c r="U1085" i="1"/>
  <c r="U1083" i="1"/>
  <c r="U1080" i="1"/>
  <c r="U1077" i="1"/>
  <c r="U1075" i="1"/>
  <c r="U1072" i="1"/>
  <c r="U1069" i="1"/>
  <c r="U1067" i="1"/>
  <c r="U1064" i="1"/>
  <c r="U1061" i="1"/>
  <c r="U1059" i="1"/>
  <c r="U1056" i="1"/>
  <c r="U1053" i="1"/>
  <c r="U1051" i="1"/>
  <c r="U1048" i="1"/>
  <c r="U1045" i="1"/>
  <c r="U1043" i="1"/>
  <c r="U1040" i="1"/>
  <c r="U1037" i="1"/>
  <c r="U1035" i="1"/>
  <c r="U1032" i="1"/>
  <c r="U1029" i="1"/>
  <c r="U1027" i="1"/>
  <c r="U1024" i="1"/>
  <c r="U1021" i="1"/>
  <c r="U1019" i="1"/>
  <c r="U1016" i="1"/>
  <c r="U1013" i="1"/>
  <c r="U1011" i="1"/>
  <c r="U1008" i="1"/>
  <c r="U1005" i="1"/>
  <c r="U1003" i="1"/>
  <c r="U1000" i="1"/>
  <c r="U997" i="1"/>
  <c r="U995" i="1"/>
  <c r="U992" i="1"/>
  <c r="U989" i="1"/>
  <c r="U987" i="1"/>
  <c r="U984" i="1"/>
  <c r="U981" i="1"/>
  <c r="U979" i="1"/>
  <c r="U976" i="1"/>
  <c r="U973" i="1"/>
  <c r="U971" i="1"/>
  <c r="U968" i="1"/>
  <c r="U965" i="1"/>
  <c r="U963" i="1"/>
  <c r="U960" i="1"/>
  <c r="U957" i="1"/>
  <c r="U955" i="1"/>
  <c r="U952" i="1"/>
  <c r="U949" i="1"/>
  <c r="U947" i="1"/>
  <c r="U944" i="1"/>
  <c r="U941" i="1"/>
  <c r="U939" i="1"/>
  <c r="U936" i="1"/>
  <c r="U934" i="1"/>
  <c r="U932" i="1"/>
  <c r="U930" i="1"/>
  <c r="U927" i="1"/>
  <c r="U925" i="1"/>
  <c r="U923" i="1"/>
  <c r="U920" i="1"/>
  <c r="U918" i="1"/>
  <c r="U916" i="1"/>
  <c r="U914" i="1"/>
  <c r="U911" i="1"/>
  <c r="U909" i="1"/>
  <c r="U907" i="1"/>
  <c r="U904" i="1"/>
  <c r="U902" i="1"/>
  <c r="U900" i="1"/>
  <c r="U898" i="1"/>
  <c r="U895" i="1"/>
  <c r="U893" i="1"/>
  <c r="U891" i="1"/>
  <c r="U888" i="1"/>
  <c r="U886" i="1"/>
  <c r="U884" i="1"/>
  <c r="U882" i="1"/>
  <c r="U879" i="1"/>
  <c r="U877" i="1"/>
  <c r="U875" i="1"/>
  <c r="U872" i="1"/>
  <c r="U870" i="1"/>
  <c r="U868" i="1"/>
  <c r="U866" i="1"/>
  <c r="U863" i="1"/>
  <c r="U861" i="1"/>
  <c r="U859" i="1"/>
  <c r="U856" i="1"/>
  <c r="U854" i="1"/>
  <c r="U852" i="1"/>
  <c r="U850" i="1"/>
  <c r="U847" i="1"/>
  <c r="U845" i="1"/>
  <c r="U843" i="1"/>
  <c r="U840" i="1"/>
  <c r="U838" i="1"/>
  <c r="U836" i="1"/>
  <c r="U834" i="1"/>
  <c r="U831" i="1"/>
  <c r="U829" i="1"/>
  <c r="U827" i="1"/>
  <c r="U824" i="1"/>
  <c r="U822" i="1"/>
  <c r="U820" i="1"/>
  <c r="U818" i="1"/>
  <c r="U815" i="1"/>
  <c r="U813" i="1"/>
  <c r="U811" i="1"/>
  <c r="U808" i="1"/>
  <c r="U806" i="1"/>
  <c r="U804" i="1"/>
  <c r="U802" i="1"/>
  <c r="U799" i="1"/>
  <c r="U797" i="1"/>
  <c r="U795" i="1"/>
  <c r="U792" i="1"/>
  <c r="U790" i="1"/>
  <c r="U788" i="1"/>
  <c r="U786" i="1"/>
  <c r="U783" i="1"/>
  <c r="U781" i="1"/>
  <c r="U779" i="1"/>
  <c r="U776" i="1"/>
  <c r="U774" i="1"/>
  <c r="U772" i="1"/>
  <c r="U770" i="1"/>
  <c r="U767" i="1"/>
  <c r="U765" i="1"/>
  <c r="U763" i="1"/>
  <c r="U760" i="1"/>
  <c r="U758" i="1"/>
  <c r="U756" i="1"/>
  <c r="U754" i="1"/>
  <c r="U751" i="1"/>
  <c r="U749" i="1"/>
  <c r="U747" i="1"/>
  <c r="U744" i="1"/>
  <c r="U742" i="1"/>
  <c r="U740" i="1"/>
  <c r="U738" i="1"/>
  <c r="U735" i="1"/>
  <c r="U733" i="1"/>
  <c r="U731" i="1"/>
  <c r="U728" i="1"/>
  <c r="U726" i="1"/>
  <c r="U724" i="1"/>
  <c r="U722" i="1"/>
  <c r="U719" i="1"/>
  <c r="U717" i="1"/>
  <c r="U715" i="1"/>
  <c r="U712" i="1"/>
  <c r="U710" i="1"/>
  <c r="U708" i="1"/>
  <c r="U706" i="1"/>
  <c r="U703" i="1"/>
  <c r="U701" i="1"/>
  <c r="U699" i="1"/>
  <c r="U696" i="1"/>
  <c r="U694" i="1"/>
  <c r="U692" i="1"/>
  <c r="U690" i="1"/>
  <c r="U687" i="1"/>
  <c r="U685" i="1"/>
  <c r="U683" i="1"/>
  <c r="U680" i="1"/>
  <c r="U678" i="1"/>
  <c r="U676" i="1"/>
  <c r="U674" i="1"/>
  <c r="U671" i="1"/>
  <c r="U669" i="1"/>
  <c r="U667" i="1"/>
  <c r="U664" i="1"/>
  <c r="U662" i="1"/>
  <c r="U660" i="1"/>
  <c r="U658" i="1"/>
  <c r="U655" i="1"/>
  <c r="U653" i="1"/>
  <c r="U651" i="1"/>
  <c r="U648" i="1"/>
  <c r="U646" i="1"/>
  <c r="U644" i="1"/>
  <c r="U642" i="1"/>
  <c r="U639" i="1"/>
  <c r="U637" i="1"/>
  <c r="U635" i="1"/>
  <c r="U632" i="1"/>
  <c r="U630" i="1"/>
  <c r="U628" i="1"/>
  <c r="U626" i="1"/>
  <c r="U623" i="1"/>
  <c r="U621" i="1"/>
  <c r="U619" i="1"/>
  <c r="U616" i="1"/>
  <c r="U614" i="1"/>
  <c r="U612" i="1"/>
  <c r="U610" i="1"/>
  <c r="U607" i="1"/>
  <c r="U605" i="1"/>
  <c r="U603" i="1"/>
  <c r="U600" i="1"/>
  <c r="U598" i="1"/>
  <c r="U596" i="1"/>
  <c r="U594" i="1"/>
  <c r="U591" i="1"/>
  <c r="U589" i="1"/>
  <c r="U587" i="1"/>
  <c r="U584" i="1"/>
  <c r="U582" i="1"/>
  <c r="U580" i="1"/>
  <c r="U578" i="1"/>
  <c r="U575" i="1"/>
  <c r="U573" i="1"/>
  <c r="U571" i="1"/>
  <c r="U568" i="1"/>
  <c r="U566" i="1"/>
  <c r="U564" i="1"/>
  <c r="U562" i="1"/>
  <c r="U559" i="1"/>
  <c r="U557" i="1"/>
  <c r="U555" i="1"/>
  <c r="U552" i="1"/>
  <c r="U550" i="1"/>
  <c r="U548" i="1"/>
  <c r="U546" i="1"/>
  <c r="U543" i="1"/>
  <c r="U541" i="1"/>
  <c r="U539" i="1"/>
  <c r="U536" i="1"/>
  <c r="U534" i="1"/>
  <c r="U532" i="1"/>
  <c r="U530" i="1"/>
  <c r="U527" i="1"/>
  <c r="U525" i="1"/>
  <c r="U523" i="1"/>
  <c r="U520" i="1"/>
  <c r="U518" i="1"/>
  <c r="U516" i="1"/>
  <c r="U514" i="1"/>
  <c r="U511" i="1"/>
  <c r="U509" i="1"/>
  <c r="U507" i="1"/>
  <c r="U504" i="1"/>
  <c r="U502" i="1"/>
  <c r="U500" i="1"/>
  <c r="U498" i="1"/>
  <c r="U495" i="1"/>
  <c r="U493" i="1"/>
  <c r="U491" i="1"/>
  <c r="U488" i="1"/>
  <c r="U486" i="1"/>
  <c r="U484" i="1"/>
  <c r="U482" i="1"/>
  <c r="U479" i="1"/>
  <c r="U477" i="1"/>
  <c r="U475" i="1"/>
  <c r="U472" i="1"/>
  <c r="U470" i="1"/>
  <c r="U468" i="1"/>
  <c r="U466" i="1"/>
  <c r="U463" i="1"/>
  <c r="U461" i="1"/>
  <c r="U459" i="1"/>
  <c r="U456" i="1"/>
  <c r="U454" i="1"/>
  <c r="U452" i="1"/>
  <c r="U450" i="1"/>
  <c r="U447" i="1"/>
  <c r="U445" i="1"/>
  <c r="U443" i="1"/>
  <c r="U440" i="1"/>
  <c r="U438" i="1"/>
  <c r="U436" i="1"/>
  <c r="U434" i="1"/>
  <c r="U431" i="1"/>
  <c r="U429" i="1"/>
  <c r="U427" i="1"/>
  <c r="U425" i="1"/>
  <c r="U422" i="1"/>
  <c r="U420" i="1"/>
  <c r="U418" i="1"/>
  <c r="U416" i="1"/>
  <c r="U414" i="1"/>
  <c r="U412" i="1"/>
  <c r="U410" i="1"/>
  <c r="U408" i="1"/>
  <c r="U405" i="1"/>
  <c r="U403" i="1"/>
  <c r="U401" i="1"/>
  <c r="U399" i="1"/>
  <c r="U397" i="1"/>
  <c r="U395" i="1"/>
  <c r="U393" i="1"/>
  <c r="U390" i="1"/>
  <c r="U388" i="1"/>
  <c r="U386" i="1"/>
  <c r="U384" i="1"/>
  <c r="U382" i="1"/>
  <c r="U380" i="1"/>
  <c r="U378" i="1"/>
  <c r="U376" i="1"/>
  <c r="U373" i="1"/>
  <c r="U371" i="1"/>
  <c r="U369" i="1"/>
  <c r="U367" i="1"/>
  <c r="U365" i="1"/>
  <c r="U363" i="1"/>
  <c r="U361" i="1"/>
  <c r="U358" i="1"/>
  <c r="U356" i="1"/>
  <c r="U354" i="1"/>
  <c r="U352" i="1"/>
  <c r="U350" i="1"/>
  <c r="U348" i="1"/>
  <c r="U346" i="1"/>
  <c r="U344" i="1"/>
  <c r="U341" i="1"/>
  <c r="U339" i="1"/>
  <c r="U337" i="1"/>
  <c r="U335" i="1"/>
  <c r="U333" i="1"/>
  <c r="U331" i="1"/>
  <c r="U329" i="1"/>
  <c r="U326" i="1"/>
  <c r="U324" i="1"/>
  <c r="U322" i="1"/>
  <c r="U320" i="1"/>
  <c r="U318" i="1"/>
  <c r="U316" i="1"/>
  <c r="U314" i="1"/>
  <c r="U312" i="1"/>
  <c r="U309" i="1"/>
  <c r="U307" i="1"/>
  <c r="U305" i="1"/>
  <c r="U303" i="1"/>
  <c r="U301" i="1"/>
  <c r="U299" i="1"/>
  <c r="U297" i="1"/>
  <c r="U294" i="1"/>
  <c r="U292" i="1"/>
  <c r="U290" i="1"/>
  <c r="U288" i="1"/>
  <c r="U286" i="1"/>
  <c r="U284" i="1"/>
  <c r="U282" i="1"/>
  <c r="U280" i="1"/>
  <c r="U277" i="1"/>
  <c r="U275" i="1"/>
  <c r="U273" i="1"/>
  <c r="U271" i="1"/>
  <c r="U269" i="1"/>
  <c r="U267" i="1"/>
  <c r="U265" i="1"/>
  <c r="U262" i="1"/>
  <c r="U260" i="1"/>
  <c r="U258" i="1"/>
  <c r="U256" i="1"/>
  <c r="U254" i="1"/>
  <c r="U252" i="1"/>
  <c r="U250" i="1"/>
  <c r="U248" i="1"/>
  <c r="U245" i="1"/>
  <c r="U243" i="1"/>
  <c r="U241" i="1"/>
  <c r="U239" i="1"/>
  <c r="U237" i="1"/>
  <c r="U235" i="1"/>
  <c r="U233" i="1"/>
  <c r="U230" i="1"/>
  <c r="U228" i="1"/>
  <c r="U226" i="1"/>
  <c r="U224" i="1"/>
  <c r="U222" i="1"/>
  <c r="U220" i="1"/>
  <c r="U218" i="1"/>
  <c r="U216" i="1"/>
  <c r="U213" i="1"/>
  <c r="U211" i="1"/>
  <c r="U209" i="1"/>
  <c r="U207" i="1"/>
  <c r="U205" i="1"/>
  <c r="U203" i="1"/>
  <c r="U201" i="1"/>
  <c r="U198" i="1"/>
  <c r="U196" i="1"/>
  <c r="U194" i="1"/>
  <c r="U192" i="1"/>
  <c r="U190" i="1"/>
  <c r="U188" i="1"/>
  <c r="U186" i="1"/>
  <c r="U184" i="1"/>
  <c r="U181" i="1"/>
  <c r="U179" i="1"/>
  <c r="U177" i="1"/>
  <c r="U175" i="1"/>
  <c r="U173" i="1"/>
  <c r="U171" i="1"/>
  <c r="U169" i="1"/>
  <c r="U167" i="1"/>
  <c r="U165" i="1"/>
  <c r="U163" i="1"/>
  <c r="U160" i="1"/>
  <c r="U158" i="1"/>
  <c r="U156" i="1"/>
  <c r="U154" i="1"/>
  <c r="U152" i="1"/>
  <c r="U150" i="1"/>
  <c r="U148" i="1"/>
  <c r="U146" i="1"/>
  <c r="U144" i="1"/>
  <c r="U142" i="1"/>
  <c r="U140" i="1"/>
  <c r="U138" i="1"/>
  <c r="U136" i="1"/>
  <c r="U134" i="1"/>
  <c r="U132" i="1"/>
  <c r="U129" i="1"/>
  <c r="U127" i="1"/>
  <c r="U125" i="1"/>
  <c r="U123" i="1"/>
  <c r="U121" i="1"/>
  <c r="U119" i="1"/>
  <c r="U117" i="1"/>
  <c r="U115" i="1"/>
  <c r="U113" i="1"/>
  <c r="U111" i="1"/>
  <c r="U109" i="1"/>
  <c r="U107" i="1"/>
  <c r="U105" i="1"/>
  <c r="U103" i="1"/>
  <c r="U101" i="1"/>
  <c r="U99" i="1"/>
  <c r="U96" i="1"/>
  <c r="U94" i="1"/>
  <c r="U92" i="1"/>
  <c r="U90" i="1"/>
  <c r="U88" i="1"/>
  <c r="U86" i="1"/>
  <c r="U84" i="1"/>
  <c r="U82" i="1"/>
  <c r="U80" i="1"/>
  <c r="U78" i="1"/>
  <c r="U76" i="1"/>
  <c r="U74" i="1"/>
  <c r="U72" i="1"/>
  <c r="U70" i="1"/>
  <c r="U68" i="1"/>
  <c r="U65" i="1"/>
  <c r="U63" i="1"/>
  <c r="U61" i="1"/>
  <c r="U59" i="1"/>
  <c r="U57" i="1"/>
  <c r="U55" i="1"/>
  <c r="U53" i="1"/>
  <c r="U51" i="1"/>
  <c r="U49" i="1"/>
  <c r="U47" i="1"/>
  <c r="U45" i="1"/>
  <c r="U43" i="1"/>
  <c r="U41" i="1"/>
  <c r="U39" i="1"/>
  <c r="U37" i="1"/>
  <c r="U35" i="1"/>
  <c r="U32" i="1"/>
  <c r="U30" i="1"/>
  <c r="U28" i="1"/>
  <c r="U26" i="1"/>
  <c r="U24" i="1"/>
  <c r="U22" i="1"/>
  <c r="U20" i="1"/>
  <c r="U18" i="1"/>
  <c r="U16" i="1"/>
  <c r="U14" i="1"/>
  <c r="U12" i="1"/>
  <c r="U10" i="1"/>
  <c r="U8" i="1"/>
  <c r="U6" i="1"/>
  <c r="U4" i="1"/>
  <c r="U3248" i="1"/>
  <c r="U3232" i="1"/>
  <c r="U3216" i="1"/>
  <c r="U3200" i="1"/>
  <c r="U3184" i="1"/>
  <c r="U3168" i="1"/>
  <c r="U3152" i="1"/>
  <c r="U3136" i="1"/>
  <c r="U3120" i="1"/>
  <c r="U3104" i="1"/>
  <c r="U3088" i="1"/>
  <c r="U3072" i="1"/>
  <c r="U3056" i="1"/>
  <c r="U3040" i="1"/>
  <c r="U3024" i="1"/>
  <c r="U3008" i="1"/>
  <c r="U2992" i="1"/>
  <c r="U2976" i="1"/>
  <c r="U2960" i="1"/>
  <c r="U2944" i="1"/>
  <c r="U2928" i="1"/>
  <c r="U2912" i="1"/>
  <c r="U2896" i="1"/>
  <c r="U2880" i="1"/>
  <c r="U2864" i="1"/>
  <c r="U2848" i="1"/>
  <c r="U2832" i="1"/>
  <c r="U2816" i="1"/>
  <c r="U2800" i="1"/>
  <c r="U2784" i="1"/>
  <c r="U2768" i="1"/>
  <c r="U2752" i="1"/>
  <c r="U2736" i="1"/>
  <c r="U2720" i="1"/>
  <c r="U2704" i="1"/>
  <c r="U2688" i="1"/>
  <c r="U2672" i="1"/>
  <c r="U2656" i="1"/>
  <c r="U2640" i="1"/>
  <c r="U2624" i="1"/>
  <c r="U2608" i="1"/>
  <c r="U2592" i="1"/>
  <c r="U2576" i="1"/>
  <c r="U2560" i="1"/>
  <c r="U2544" i="1"/>
  <c r="U2528" i="1"/>
  <c r="U2512" i="1"/>
  <c r="U2496" i="1"/>
  <c r="U2480" i="1"/>
  <c r="U2464" i="1"/>
  <c r="U2448" i="1"/>
  <c r="U2432" i="1"/>
  <c r="U2416" i="1"/>
  <c r="U2400" i="1"/>
  <c r="U2384" i="1"/>
  <c r="U2368" i="1"/>
  <c r="U2352" i="1"/>
  <c r="U2336" i="1"/>
  <c r="U2320" i="1"/>
  <c r="U2304" i="1"/>
  <c r="U2288" i="1"/>
  <c r="U2272" i="1"/>
  <c r="U2256" i="1"/>
  <c r="U2240" i="1"/>
  <c r="U2224" i="1"/>
  <c r="U2208" i="1"/>
  <c r="U2192" i="1"/>
  <c r="U2176" i="1"/>
  <c r="U2160" i="1"/>
  <c r="U2144" i="1"/>
  <c r="U2128" i="1"/>
  <c r="U2112" i="1"/>
  <c r="U2096" i="1"/>
  <c r="U2080" i="1"/>
  <c r="U2064" i="1"/>
  <c r="U2048" i="1"/>
  <c r="U2032" i="1"/>
  <c r="U2016" i="1"/>
  <c r="U2000" i="1"/>
  <c r="U1984" i="1"/>
  <c r="U1968" i="1"/>
  <c r="U1942" i="1"/>
  <c r="U1910" i="1"/>
  <c r="U1878" i="1"/>
  <c r="U1862" i="1"/>
  <c r="U1846" i="1"/>
  <c r="U1830" i="1"/>
  <c r="U1814" i="1"/>
  <c r="U1798" i="1"/>
  <c r="U1782" i="1"/>
  <c r="U1766" i="1"/>
  <c r="U1750" i="1"/>
  <c r="U1734" i="1"/>
  <c r="U1718" i="1"/>
  <c r="U1702" i="1"/>
  <c r="U1686" i="1"/>
  <c r="U1670" i="1"/>
  <c r="U1654" i="1"/>
  <c r="U1638" i="1"/>
  <c r="U1622" i="1"/>
  <c r="U1606" i="1"/>
  <c r="U1590" i="1"/>
  <c r="U1574" i="1"/>
  <c r="U1558" i="1"/>
  <c r="U1542" i="1"/>
  <c r="U1526" i="1"/>
  <c r="U1510" i="1"/>
  <c r="U1494" i="1"/>
  <c r="U1478" i="1"/>
  <c r="U1462" i="1"/>
  <c r="U1446" i="1"/>
  <c r="U1430" i="1"/>
  <c r="U1414" i="1"/>
  <c r="U1398" i="1"/>
  <c r="U1382" i="1"/>
  <c r="U1366" i="1"/>
  <c r="U1350" i="1"/>
  <c r="U1334" i="1"/>
  <c r="U1318" i="1"/>
  <c r="U1302" i="1"/>
  <c r="U1286" i="1"/>
  <c r="U2" i="1"/>
  <c r="U1262" i="1"/>
  <c r="U1246" i="1"/>
  <c r="U1230" i="1"/>
  <c r="U1214" i="1"/>
  <c r="U1198" i="1"/>
  <c r="U1182" i="1"/>
  <c r="U1166" i="1"/>
  <c r="U1150" i="1"/>
  <c r="U1134" i="1"/>
  <c r="U1118" i="1"/>
  <c r="U1102" i="1"/>
  <c r="U1086" i="1"/>
  <c r="U1070" i="1"/>
  <c r="U1054" i="1"/>
  <c r="U1038" i="1"/>
  <c r="U1022" i="1"/>
  <c r="U1006" i="1"/>
  <c r="U990" i="1"/>
  <c r="U974" i="1"/>
  <c r="U958" i="1"/>
  <c r="U942" i="1"/>
  <c r="U913" i="1"/>
  <c r="U881" i="1"/>
  <c r="U849" i="1"/>
  <c r="U817" i="1"/>
  <c r="U785" i="1"/>
  <c r="U753" i="1"/>
  <c r="U721" i="1"/>
  <c r="U689" i="1"/>
  <c r="U657" i="1"/>
  <c r="U625" i="1"/>
  <c r="U593" i="1"/>
  <c r="U561" i="1"/>
  <c r="U529" i="1"/>
  <c r="U497" i="1"/>
  <c r="U465" i="1"/>
  <c r="U433" i="1"/>
  <c r="U375" i="1"/>
  <c r="U311" i="1"/>
  <c r="U247" i="1"/>
  <c r="U183" i="1"/>
  <c r="U66" i="1"/>
  <c r="U4995" i="1"/>
  <c r="U4987" i="1"/>
  <c r="U4979" i="1"/>
  <c r="U4971" i="1"/>
  <c r="U4963" i="1"/>
  <c r="U4955" i="1"/>
  <c r="U4947" i="1"/>
  <c r="U4939" i="1"/>
  <c r="U4931" i="1"/>
  <c r="U4923" i="1"/>
  <c r="U4915" i="1"/>
  <c r="U4907" i="1"/>
  <c r="U4899" i="1"/>
  <c r="U4891" i="1"/>
  <c r="U4883" i="1"/>
  <c r="U4875" i="1"/>
  <c r="U4867" i="1"/>
  <c r="U4859" i="1"/>
  <c r="U4851" i="1"/>
  <c r="U4843" i="1"/>
  <c r="U4835" i="1"/>
  <c r="U4827" i="1"/>
  <c r="U4819" i="1"/>
  <c r="U4811" i="1"/>
  <c r="U4803" i="1"/>
  <c r="U4795" i="1"/>
  <c r="U4787" i="1"/>
  <c r="U4779" i="1"/>
  <c r="U4771" i="1"/>
  <c r="U4763" i="1"/>
  <c r="U4755" i="1"/>
  <c r="U4747" i="1"/>
  <c r="U4739" i="1"/>
  <c r="U4731" i="1"/>
  <c r="U4723" i="1"/>
  <c r="U4715" i="1"/>
  <c r="U4707" i="1"/>
  <c r="U4699" i="1"/>
  <c r="U4691" i="1"/>
  <c r="U4683" i="1"/>
  <c r="U4675" i="1"/>
  <c r="U4667" i="1"/>
  <c r="U4659" i="1"/>
  <c r="U4651" i="1"/>
  <c r="U4643" i="1"/>
  <c r="U4635" i="1"/>
  <c r="U4627" i="1"/>
  <c r="U4619" i="1"/>
  <c r="U4611" i="1"/>
  <c r="U4603" i="1"/>
  <c r="U4595" i="1"/>
  <c r="U4587" i="1"/>
  <c r="U4579" i="1"/>
  <c r="U4571" i="1"/>
  <c r="U4563" i="1"/>
  <c r="U4555" i="1"/>
  <c r="U4547" i="1"/>
  <c r="U4539" i="1"/>
  <c r="U4531" i="1"/>
  <c r="U4523" i="1"/>
  <c r="U4515" i="1"/>
  <c r="U4507" i="1"/>
  <c r="U4499" i="1"/>
  <c r="U4491" i="1"/>
  <c r="U4483" i="1"/>
  <c r="U4475" i="1"/>
  <c r="U4467" i="1"/>
  <c r="U4459" i="1"/>
  <c r="U4451" i="1"/>
  <c r="U4443" i="1"/>
  <c r="U4435" i="1"/>
  <c r="U4427" i="1"/>
  <c r="U4419" i="1"/>
  <c r="U4411" i="1"/>
  <c r="U4403" i="1"/>
  <c r="U4395" i="1"/>
  <c r="U4387" i="1"/>
  <c r="U4379" i="1"/>
  <c r="U4371" i="1"/>
  <c r="U4363" i="1"/>
  <c r="U4355" i="1"/>
  <c r="U4347" i="1"/>
  <c r="U4339" i="1"/>
  <c r="U4331" i="1"/>
  <c r="U4323" i="1"/>
  <c r="U4315" i="1"/>
  <c r="U4307" i="1"/>
  <c r="U4299" i="1"/>
  <c r="U4291" i="1"/>
  <c r="U4283" i="1"/>
  <c r="U4275" i="1"/>
  <c r="U4267" i="1"/>
  <c r="U4259" i="1"/>
  <c r="U4251" i="1"/>
  <c r="U4243" i="1"/>
  <c r="U4235" i="1"/>
  <c r="U4227" i="1"/>
  <c r="U4219" i="1"/>
  <c r="U4211" i="1"/>
  <c r="U4203" i="1"/>
  <c r="U4195" i="1"/>
  <c r="U4187" i="1"/>
  <c r="U4179" i="1"/>
  <c r="U4171" i="1"/>
  <c r="U4163" i="1"/>
  <c r="U4155" i="1"/>
  <c r="U4147" i="1"/>
  <c r="U4139" i="1"/>
  <c r="U4131" i="1"/>
  <c r="U4123" i="1"/>
  <c r="U4115" i="1"/>
  <c r="U4107" i="1"/>
  <c r="U4099" i="1"/>
  <c r="U4091" i="1"/>
  <c r="U4083" i="1"/>
  <c r="U4075" i="1"/>
  <c r="U4067" i="1"/>
  <c r="U4059" i="1"/>
  <c r="U4051" i="1"/>
  <c r="U4043" i="1"/>
  <c r="U4035" i="1"/>
  <c r="U4027" i="1"/>
  <c r="U4019" i="1"/>
  <c r="U4011" i="1"/>
  <c r="U3996" i="1"/>
  <c r="U3980" i="1"/>
  <c r="U3964" i="1"/>
  <c r="U3948" i="1"/>
  <c r="U3932" i="1"/>
  <c r="U3916" i="1"/>
  <c r="U3900" i="1"/>
  <c r="U3884" i="1"/>
  <c r="U3868" i="1"/>
  <c r="U3852" i="1"/>
  <c r="U3836" i="1"/>
  <c r="U3820" i="1"/>
  <c r="U3804" i="1"/>
  <c r="U3788" i="1"/>
  <c r="U3772" i="1"/>
  <c r="U3756" i="1"/>
  <c r="U3740" i="1"/>
  <c r="U3724" i="1"/>
  <c r="U3708" i="1"/>
  <c r="U3692" i="1"/>
  <c r="U3676" i="1"/>
  <c r="U3660" i="1"/>
  <c r="U3644" i="1"/>
  <c r="U3628" i="1"/>
  <c r="U3612" i="1"/>
  <c r="U3596" i="1"/>
  <c r="U3580" i="1"/>
  <c r="U3564" i="1"/>
  <c r="U3548" i="1"/>
  <c r="U3532" i="1"/>
  <c r="U3516" i="1"/>
  <c r="U3500" i="1"/>
  <c r="U3484" i="1"/>
  <c r="U3468" i="1"/>
  <c r="U3452" i="1"/>
  <c r="U3436" i="1"/>
  <c r="U3420" i="1"/>
  <c r="U3404" i="1"/>
  <c r="U3388" i="1"/>
  <c r="U3372" i="1"/>
  <c r="U3356" i="1"/>
  <c r="U3340" i="1"/>
  <c r="U3324" i="1"/>
  <c r="U3308" i="1"/>
  <c r="U3292" i="1"/>
  <c r="U3276" i="1"/>
  <c r="U3260" i="1"/>
  <c r="U3244" i="1"/>
  <c r="U3228" i="1"/>
  <c r="U3212" i="1"/>
  <c r="U3196" i="1"/>
  <c r="U3180" i="1"/>
  <c r="U3164" i="1"/>
  <c r="U3148" i="1"/>
  <c r="U3132" i="1"/>
  <c r="U3116" i="1"/>
  <c r="U3100" i="1"/>
  <c r="U3084" i="1"/>
  <c r="U3068" i="1"/>
  <c r="U3052" i="1"/>
  <c r="U3036" i="1"/>
  <c r="U3020" i="1"/>
  <c r="U3004" i="1"/>
  <c r="U2988" i="1"/>
  <c r="U2972" i="1"/>
  <c r="U2956" i="1"/>
  <c r="U2940" i="1"/>
  <c r="U2924" i="1"/>
  <c r="U2908" i="1"/>
  <c r="U2892" i="1"/>
  <c r="U2876" i="1"/>
  <c r="U2860" i="1"/>
  <c r="U2844" i="1"/>
  <c r="U2828" i="1"/>
  <c r="U2812" i="1"/>
  <c r="U2796" i="1"/>
  <c r="U2780" i="1"/>
  <c r="U2764" i="1"/>
  <c r="U2748" i="1"/>
  <c r="U2732" i="1"/>
  <c r="U2716" i="1"/>
  <c r="U2700" i="1"/>
  <c r="U2684" i="1"/>
  <c r="U2668" i="1"/>
  <c r="U2652" i="1"/>
  <c r="U2636" i="1"/>
  <c r="U2620" i="1"/>
  <c r="U2604" i="1"/>
  <c r="U2588" i="1"/>
  <c r="U2572" i="1"/>
  <c r="U2556" i="1"/>
  <c r="U2540" i="1"/>
  <c r="U2524" i="1"/>
  <c r="U2508" i="1"/>
  <c r="U2492" i="1"/>
  <c r="U2476" i="1"/>
  <c r="U2460" i="1"/>
  <c r="U2444" i="1"/>
  <c r="U2428" i="1"/>
  <c r="U2412" i="1"/>
  <c r="U2396" i="1"/>
  <c r="U2380" i="1"/>
  <c r="U2364" i="1"/>
  <c r="U2348" i="1"/>
  <c r="U2332" i="1"/>
  <c r="U2316" i="1"/>
  <c r="U2300" i="1"/>
  <c r="U2284" i="1"/>
  <c r="U2268" i="1"/>
  <c r="U2252" i="1"/>
  <c r="U2236" i="1"/>
  <c r="U2220" i="1"/>
  <c r="U2204" i="1"/>
  <c r="U2188" i="1"/>
  <c r="U2172" i="1"/>
  <c r="U2156" i="1"/>
  <c r="U2140" i="1"/>
  <c r="U2124" i="1"/>
  <c r="U2108" i="1"/>
  <c r="U2092" i="1"/>
  <c r="U2076" i="1"/>
  <c r="U2060" i="1"/>
  <c r="U2044" i="1"/>
  <c r="U2028" i="1"/>
  <c r="U2012" i="1"/>
  <c r="U1996" i="1"/>
  <c r="U1980" i="1"/>
  <c r="U1964" i="1"/>
  <c r="U1934" i="1"/>
  <c r="U1902" i="1"/>
  <c r="U5000" i="1"/>
  <c r="U4996" i="1"/>
  <c r="U4992" i="1"/>
  <c r="U4988" i="1"/>
  <c r="U4984" i="1"/>
  <c r="U4980" i="1"/>
  <c r="U4976" i="1"/>
  <c r="U4972" i="1"/>
  <c r="U4968" i="1"/>
  <c r="U4964" i="1"/>
  <c r="U4960" i="1"/>
  <c r="U4956" i="1"/>
  <c r="U4952" i="1"/>
  <c r="U4948" i="1"/>
  <c r="U4944" i="1"/>
  <c r="U4940" i="1"/>
  <c r="U4936" i="1"/>
  <c r="U4932" i="1"/>
  <c r="U4928" i="1"/>
  <c r="U4924" i="1"/>
  <c r="U4920" i="1"/>
  <c r="U4916" i="1"/>
  <c r="U4912" i="1"/>
  <c r="U4908" i="1"/>
  <c r="U4904" i="1"/>
  <c r="U4900" i="1"/>
  <c r="U4896" i="1"/>
  <c r="U4892" i="1"/>
  <c r="U4888" i="1"/>
  <c r="U4884" i="1"/>
  <c r="U4880" i="1"/>
  <c r="U4876" i="1"/>
  <c r="U4872" i="1"/>
  <c r="U4868" i="1"/>
  <c r="U4864" i="1"/>
  <c r="U4860" i="1"/>
  <c r="U4856" i="1"/>
  <c r="U4852" i="1"/>
  <c r="U4848" i="1"/>
  <c r="U4844" i="1"/>
  <c r="U4840" i="1"/>
  <c r="U4836" i="1"/>
  <c r="U4832" i="1"/>
  <c r="U4828" i="1"/>
  <c r="U4824" i="1"/>
  <c r="U4820" i="1"/>
  <c r="U4816" i="1"/>
  <c r="U4812" i="1"/>
  <c r="U4808" i="1"/>
  <c r="U4804" i="1"/>
  <c r="U4800" i="1"/>
  <c r="U4796" i="1"/>
  <c r="U4792" i="1"/>
  <c r="U4788" i="1"/>
  <c r="U4784" i="1"/>
  <c r="U4780" i="1"/>
  <c r="U4776" i="1"/>
  <c r="U4772" i="1"/>
  <c r="U4768" i="1"/>
  <c r="U4764" i="1"/>
  <c r="U4760" i="1"/>
  <c r="U4756" i="1"/>
  <c r="U4752" i="1"/>
  <c r="U4748" i="1"/>
  <c r="U4744" i="1"/>
  <c r="U4740" i="1"/>
  <c r="U4736" i="1"/>
  <c r="U4732" i="1"/>
  <c r="U4728" i="1"/>
  <c r="U4724" i="1"/>
  <c r="U4720" i="1"/>
  <c r="U4716" i="1"/>
  <c r="U4712" i="1"/>
  <c r="U4708" i="1"/>
  <c r="U4704" i="1"/>
  <c r="U4700" i="1"/>
  <c r="U4696" i="1"/>
  <c r="U4692" i="1"/>
  <c r="U4688" i="1"/>
  <c r="U4684" i="1"/>
  <c r="U4680" i="1"/>
  <c r="U4676" i="1"/>
  <c r="U4672" i="1"/>
  <c r="U4668" i="1"/>
  <c r="U4664" i="1"/>
  <c r="U4660" i="1"/>
  <c r="U4656" i="1"/>
  <c r="U4652" i="1"/>
  <c r="U4648" i="1"/>
  <c r="U4644" i="1"/>
  <c r="U4640" i="1"/>
  <c r="U4636" i="1"/>
  <c r="U4632" i="1"/>
  <c r="U4628" i="1"/>
  <c r="U4624" i="1"/>
  <c r="U4620" i="1"/>
  <c r="U4616" i="1"/>
  <c r="U4612" i="1"/>
  <c r="U4608" i="1"/>
  <c r="U4604" i="1"/>
  <c r="U4600" i="1"/>
  <c r="U4596" i="1"/>
  <c r="U4592" i="1"/>
  <c r="U4588" i="1"/>
  <c r="U4584" i="1"/>
  <c r="U4580" i="1"/>
  <c r="U4576" i="1"/>
  <c r="U4572" i="1"/>
  <c r="U4568" i="1"/>
  <c r="U4564" i="1"/>
  <c r="U4560" i="1"/>
  <c r="U4556" i="1"/>
  <c r="U4552" i="1"/>
  <c r="U4548" i="1"/>
  <c r="U4544" i="1"/>
  <c r="U4540" i="1"/>
  <c r="U4536" i="1"/>
  <c r="U4532" i="1"/>
  <c r="U4528" i="1"/>
  <c r="U4524" i="1"/>
  <c r="U4520" i="1"/>
  <c r="U4516" i="1"/>
  <c r="U4512" i="1"/>
  <c r="U4508" i="1"/>
  <c r="U4504" i="1"/>
  <c r="U4500" i="1"/>
  <c r="U4496" i="1"/>
  <c r="U4492" i="1"/>
  <c r="U4488" i="1"/>
  <c r="U4484" i="1"/>
  <c r="U4480" i="1"/>
  <c r="U4476" i="1"/>
  <c r="U4472" i="1"/>
  <c r="U4468" i="1"/>
  <c r="U4464" i="1"/>
  <c r="U4460" i="1"/>
  <c r="U4456" i="1"/>
  <c r="U4452" i="1"/>
  <c r="U4448" i="1"/>
  <c r="U4444" i="1"/>
  <c r="U4440" i="1"/>
  <c r="U4436" i="1"/>
  <c r="U4432" i="1"/>
  <c r="U4428" i="1"/>
  <c r="U4424" i="1"/>
  <c r="U4420" i="1"/>
  <c r="U4416" i="1"/>
  <c r="U4412" i="1"/>
  <c r="U4408" i="1"/>
  <c r="U4404" i="1"/>
  <c r="U4400" i="1"/>
  <c r="U4396" i="1"/>
  <c r="U4392" i="1"/>
  <c r="U4388" i="1"/>
  <c r="U4384" i="1"/>
  <c r="U4380" i="1"/>
  <c r="U4376" i="1"/>
  <c r="U4372" i="1"/>
  <c r="U4368" i="1"/>
  <c r="U4364" i="1"/>
  <c r="U4360" i="1"/>
  <c r="U4356" i="1"/>
  <c r="U4352" i="1"/>
  <c r="U4348" i="1"/>
  <c r="U4344" i="1"/>
  <c r="U4340" i="1"/>
  <c r="U4336" i="1"/>
  <c r="U4332" i="1"/>
  <c r="U4328" i="1"/>
  <c r="U4324" i="1"/>
  <c r="U4320" i="1"/>
  <c r="U4316" i="1"/>
  <c r="U4312" i="1"/>
  <c r="U4308" i="1"/>
  <c r="U4304" i="1"/>
  <c r="U4300" i="1"/>
  <c r="U4296" i="1"/>
  <c r="U4292" i="1"/>
  <c r="U4288" i="1"/>
  <c r="U4284" i="1"/>
  <c r="U4280" i="1"/>
  <c r="U4276" i="1"/>
  <c r="U4272" i="1"/>
  <c r="U4268" i="1"/>
  <c r="U4264" i="1"/>
  <c r="U4260" i="1"/>
  <c r="U4256" i="1"/>
  <c r="U4252" i="1"/>
  <c r="U4248" i="1"/>
  <c r="U4244" i="1"/>
  <c r="U4240" i="1"/>
  <c r="U4236" i="1"/>
  <c r="U4232" i="1"/>
  <c r="U4228" i="1"/>
  <c r="U4224" i="1"/>
  <c r="U4220" i="1"/>
  <c r="U4216" i="1"/>
  <c r="U4212" i="1"/>
  <c r="U4208" i="1"/>
  <c r="U4204" i="1"/>
  <c r="U4200" i="1"/>
  <c r="U4196" i="1"/>
  <c r="U4192" i="1"/>
  <c r="U4188" i="1"/>
  <c r="U4184" i="1"/>
  <c r="U4180" i="1"/>
  <c r="U4176" i="1"/>
  <c r="U4172" i="1"/>
  <c r="U4168" i="1"/>
  <c r="U4164" i="1"/>
  <c r="U4160" i="1"/>
  <c r="U4156" i="1"/>
  <c r="U4152" i="1"/>
  <c r="U4148" i="1"/>
  <c r="U4144" i="1"/>
  <c r="U4140" i="1"/>
  <c r="U4136" i="1"/>
  <c r="U4132" i="1"/>
  <c r="U4128" i="1"/>
  <c r="U4124" i="1"/>
  <c r="U4120" i="1"/>
  <c r="U4116" i="1"/>
  <c r="U4112" i="1"/>
  <c r="U4108" i="1"/>
  <c r="U4104" i="1"/>
  <c r="U4100" i="1"/>
  <c r="U4096" i="1"/>
  <c r="U4092" i="1"/>
  <c r="U4088" i="1"/>
  <c r="U4084" i="1"/>
  <c r="U4080" i="1"/>
  <c r="U4076" i="1"/>
  <c r="U4072" i="1"/>
  <c r="U4068" i="1"/>
  <c r="U4064" i="1"/>
  <c r="U4060" i="1"/>
  <c r="U4056" i="1"/>
  <c r="U4052" i="1"/>
  <c r="U4048" i="1"/>
  <c r="U4044" i="1"/>
  <c r="U4040" i="1"/>
  <c r="U4036" i="1"/>
  <c r="U4032" i="1"/>
  <c r="U4028" i="1"/>
  <c r="U4024" i="1"/>
  <c r="U4020" i="1"/>
  <c r="U4016" i="1"/>
  <c r="U4012" i="1"/>
  <c r="U4009" i="1"/>
  <c r="U4006" i="1"/>
  <c r="U4003" i="1"/>
  <c r="U4001" i="1"/>
  <c r="U3998" i="1"/>
  <c r="U3995" i="1"/>
  <c r="U3993" i="1"/>
  <c r="U3990" i="1"/>
  <c r="U3987" i="1"/>
  <c r="U3985" i="1"/>
  <c r="U3982" i="1"/>
  <c r="U3979" i="1"/>
  <c r="U3977" i="1"/>
  <c r="U3974" i="1"/>
  <c r="U3971" i="1"/>
  <c r="U3969" i="1"/>
  <c r="U3966" i="1"/>
  <c r="U3963" i="1"/>
  <c r="U3961" i="1"/>
  <c r="U3958" i="1"/>
  <c r="U3955" i="1"/>
  <c r="U3953" i="1"/>
  <c r="U3950" i="1"/>
  <c r="U3947" i="1"/>
  <c r="U3945" i="1"/>
  <c r="U3942" i="1"/>
  <c r="U3939" i="1"/>
  <c r="U3937" i="1"/>
  <c r="U3934" i="1"/>
  <c r="U3931" i="1"/>
  <c r="U3929" i="1"/>
  <c r="U3926" i="1"/>
  <c r="U3923" i="1"/>
  <c r="U3921" i="1"/>
  <c r="U3918" i="1"/>
  <c r="U3915" i="1"/>
  <c r="U3913" i="1"/>
  <c r="U3910" i="1"/>
  <c r="U3907" i="1"/>
  <c r="U3905" i="1"/>
  <c r="U3902" i="1"/>
  <c r="U3899" i="1"/>
  <c r="U3897" i="1"/>
  <c r="U3894" i="1"/>
  <c r="U3891" i="1"/>
  <c r="U3889" i="1"/>
  <c r="U3886" i="1"/>
  <c r="U3883" i="1"/>
  <c r="U3881" i="1"/>
  <c r="U3878" i="1"/>
  <c r="U3875" i="1"/>
  <c r="U3873" i="1"/>
  <c r="U3870" i="1"/>
  <c r="U3867" i="1"/>
  <c r="U3865" i="1"/>
  <c r="U3862" i="1"/>
  <c r="U3859" i="1"/>
  <c r="U3857" i="1"/>
  <c r="U3854" i="1"/>
  <c r="U3851" i="1"/>
  <c r="U3849" i="1"/>
  <c r="U3846" i="1"/>
  <c r="U3843" i="1"/>
  <c r="U3841" i="1"/>
  <c r="U3838" i="1"/>
  <c r="U3835" i="1"/>
  <c r="U3833" i="1"/>
  <c r="U3830" i="1"/>
  <c r="U3827" i="1"/>
  <c r="U3825" i="1"/>
  <c r="U3822" i="1"/>
  <c r="U3819" i="1"/>
  <c r="U3817" i="1"/>
  <c r="U3814" i="1"/>
  <c r="U3811" i="1"/>
  <c r="U3809" i="1"/>
  <c r="U3806" i="1"/>
  <c r="U3803" i="1"/>
  <c r="U3801" i="1"/>
  <c r="U3798" i="1"/>
  <c r="U3795" i="1"/>
  <c r="U3793" i="1"/>
  <c r="U3790" i="1"/>
  <c r="U3787" i="1"/>
  <c r="U3785" i="1"/>
  <c r="U3782" i="1"/>
  <c r="U3779" i="1"/>
  <c r="U3777" i="1"/>
  <c r="U3774" i="1"/>
  <c r="U3771" i="1"/>
  <c r="U3769" i="1"/>
  <c r="U3766" i="1"/>
  <c r="U3763" i="1"/>
  <c r="U3761" i="1"/>
  <c r="U3758" i="1"/>
  <c r="U3755" i="1"/>
  <c r="U3753" i="1"/>
  <c r="U3750" i="1"/>
  <c r="U3747" i="1"/>
  <c r="U3745" i="1"/>
  <c r="U3742" i="1"/>
  <c r="U3739" i="1"/>
  <c r="U3737" i="1"/>
  <c r="U3734" i="1"/>
  <c r="U3731" i="1"/>
  <c r="U3729" i="1"/>
  <c r="U3726" i="1"/>
  <c r="U3723" i="1"/>
  <c r="U3721" i="1"/>
  <c r="U3718" i="1"/>
  <c r="U3715" i="1"/>
  <c r="U3713" i="1"/>
  <c r="U3710" i="1"/>
  <c r="U3707" i="1"/>
  <c r="U3705" i="1"/>
  <c r="U3702" i="1"/>
  <c r="U3699" i="1"/>
  <c r="U3697" i="1"/>
  <c r="U3694" i="1"/>
  <c r="U3691" i="1"/>
  <c r="U3689" i="1"/>
  <c r="U3686" i="1"/>
  <c r="U3683" i="1"/>
  <c r="U3681" i="1"/>
  <c r="U3678" i="1"/>
  <c r="U3675" i="1"/>
  <c r="U3673" i="1"/>
  <c r="U3670" i="1"/>
  <c r="U3667" i="1"/>
  <c r="U3665" i="1"/>
  <c r="U3662" i="1"/>
  <c r="U3659" i="1"/>
  <c r="U3657" i="1"/>
  <c r="U3654" i="1"/>
  <c r="U3651" i="1"/>
  <c r="U3649" i="1"/>
  <c r="U3646" i="1"/>
  <c r="U3643" i="1"/>
  <c r="U3641" i="1"/>
  <c r="U3638" i="1"/>
  <c r="U3635" i="1"/>
  <c r="U3633" i="1"/>
  <c r="U3630" i="1"/>
  <c r="U3627" i="1"/>
  <c r="U3625" i="1"/>
  <c r="U3622" i="1"/>
  <c r="U3619" i="1"/>
  <c r="U3617" i="1"/>
  <c r="U3614" i="1"/>
  <c r="U3611" i="1"/>
  <c r="U3609" i="1"/>
  <c r="U3606" i="1"/>
  <c r="U3603" i="1"/>
  <c r="U3601" i="1"/>
  <c r="U3598" i="1"/>
  <c r="U3595" i="1"/>
  <c r="U3593" i="1"/>
  <c r="U3590" i="1"/>
  <c r="U3587" i="1"/>
  <c r="U3585" i="1"/>
  <c r="U3582" i="1"/>
  <c r="U3579" i="1"/>
  <c r="U3577" i="1"/>
  <c r="U3574" i="1"/>
  <c r="U3571" i="1"/>
  <c r="U3569" i="1"/>
  <c r="U3566" i="1"/>
  <c r="U3563" i="1"/>
  <c r="U3561" i="1"/>
  <c r="U3558" i="1"/>
  <c r="U3555" i="1"/>
  <c r="U3553" i="1"/>
  <c r="U3550" i="1"/>
  <c r="U3547" i="1"/>
  <c r="U3545" i="1"/>
  <c r="U3542" i="1"/>
  <c r="U3539" i="1"/>
  <c r="U3537" i="1"/>
  <c r="U3534" i="1"/>
  <c r="U3531" i="1"/>
  <c r="U3529" i="1"/>
  <c r="U3526" i="1"/>
  <c r="U3523" i="1"/>
  <c r="U3521" i="1"/>
  <c r="U3518" i="1"/>
  <c r="U3515" i="1"/>
  <c r="U3513" i="1"/>
  <c r="U3510" i="1"/>
  <c r="U3507" i="1"/>
  <c r="U3505" i="1"/>
  <c r="U3502" i="1"/>
  <c r="U3499" i="1"/>
  <c r="U3497" i="1"/>
  <c r="U3494" i="1"/>
  <c r="U3491" i="1"/>
  <c r="U3489" i="1"/>
  <c r="U3486" i="1"/>
  <c r="U3483" i="1"/>
  <c r="U3481" i="1"/>
  <c r="U3478" i="1"/>
  <c r="U3475" i="1"/>
  <c r="U3473" i="1"/>
  <c r="U3470" i="1"/>
  <c r="U3467" i="1"/>
  <c r="U3465" i="1"/>
  <c r="U3462" i="1"/>
  <c r="U3459" i="1"/>
  <c r="U3457" i="1"/>
  <c r="U3454" i="1"/>
  <c r="U3451" i="1"/>
  <c r="U3449" i="1"/>
  <c r="U3446" i="1"/>
  <c r="U3443" i="1"/>
  <c r="U3441" i="1"/>
  <c r="U3438" i="1"/>
  <c r="U3435" i="1"/>
  <c r="U3433" i="1"/>
  <c r="U3430" i="1"/>
  <c r="U3427" i="1"/>
  <c r="U3425" i="1"/>
  <c r="U3422" i="1"/>
  <c r="U3419" i="1"/>
  <c r="U3417" i="1"/>
  <c r="U3414" i="1"/>
  <c r="U3411" i="1"/>
  <c r="U3409" i="1"/>
  <c r="U3406" i="1"/>
  <c r="U3403" i="1"/>
  <c r="U3401" i="1"/>
  <c r="U3398" i="1"/>
  <c r="U3395" i="1"/>
  <c r="U3393" i="1"/>
  <c r="U3390" i="1"/>
  <c r="U3387" i="1"/>
  <c r="U3385" i="1"/>
  <c r="U3382" i="1"/>
  <c r="U3379" i="1"/>
  <c r="U3377" i="1"/>
  <c r="U3374" i="1"/>
  <c r="U3371" i="1"/>
  <c r="U3369" i="1"/>
  <c r="U3366" i="1"/>
  <c r="U3363" i="1"/>
  <c r="U3361" i="1"/>
  <c r="U3358" i="1"/>
  <c r="U3355" i="1"/>
  <c r="U3353" i="1"/>
  <c r="U3350" i="1"/>
  <c r="U3347" i="1"/>
  <c r="U3345" i="1"/>
  <c r="U3342" i="1"/>
  <c r="U3339" i="1"/>
  <c r="U3337" i="1"/>
  <c r="U3334" i="1"/>
  <c r="U3331" i="1"/>
  <c r="U3329" i="1"/>
  <c r="U3326" i="1"/>
  <c r="U3323" i="1"/>
  <c r="U3321" i="1"/>
  <c r="U3318" i="1"/>
  <c r="U3315" i="1"/>
  <c r="U3313" i="1"/>
  <c r="U3310" i="1"/>
  <c r="U3307" i="1"/>
  <c r="U3305" i="1"/>
  <c r="U3302" i="1"/>
  <c r="U3299" i="1"/>
  <c r="U3297" i="1"/>
  <c r="U3294" i="1"/>
  <c r="U3291" i="1"/>
  <c r="U3289" i="1"/>
  <c r="U3286" i="1"/>
  <c r="U3283" i="1"/>
  <c r="U3281" i="1"/>
  <c r="U3278" i="1"/>
  <c r="U3275" i="1"/>
  <c r="U3273" i="1"/>
  <c r="U3270" i="1"/>
  <c r="U3267" i="1"/>
  <c r="U3265" i="1"/>
  <c r="U3262" i="1"/>
  <c r="U3259" i="1"/>
  <c r="U3257" i="1"/>
  <c r="U3254" i="1"/>
  <c r="U3251" i="1"/>
  <c r="U3249" i="1"/>
  <c r="U3246" i="1"/>
  <c r="U3243" i="1"/>
  <c r="U3241" i="1"/>
  <c r="U3238" i="1"/>
  <c r="U3235" i="1"/>
  <c r="U3233" i="1"/>
  <c r="U3230" i="1"/>
  <c r="U3227" i="1"/>
  <c r="U3225" i="1"/>
  <c r="U3222" i="1"/>
  <c r="U3219" i="1"/>
  <c r="U3217" i="1"/>
  <c r="U3214" i="1"/>
  <c r="U3211" i="1"/>
  <c r="U3209" i="1"/>
  <c r="U3206" i="1"/>
  <c r="U3203" i="1"/>
  <c r="U3201" i="1"/>
  <c r="U3198" i="1"/>
  <c r="U3195" i="1"/>
  <c r="U3193" i="1"/>
  <c r="U3190" i="1"/>
  <c r="U3187" i="1"/>
  <c r="U3185" i="1"/>
  <c r="U3182" i="1"/>
  <c r="U3179" i="1"/>
  <c r="U3177" i="1"/>
  <c r="U3174" i="1"/>
  <c r="U3171" i="1"/>
  <c r="U3169" i="1"/>
  <c r="U3166" i="1"/>
  <c r="U3163" i="1"/>
  <c r="U3161" i="1"/>
  <c r="U3158" i="1"/>
  <c r="U3155" i="1"/>
  <c r="U3153" i="1"/>
  <c r="U3150" i="1"/>
  <c r="U3147" i="1"/>
  <c r="U3145" i="1"/>
  <c r="U3142" i="1"/>
  <c r="U3139" i="1"/>
  <c r="U3137" i="1"/>
  <c r="U3134" i="1"/>
  <c r="U3131" i="1"/>
  <c r="U3129" i="1"/>
  <c r="U3126" i="1"/>
  <c r="U3123" i="1"/>
  <c r="U3121" i="1"/>
  <c r="U3118" i="1"/>
  <c r="U3115" i="1"/>
  <c r="U3113" i="1"/>
  <c r="U3110" i="1"/>
  <c r="U3107" i="1"/>
  <c r="U3105" i="1"/>
  <c r="U3102" i="1"/>
  <c r="U3099" i="1"/>
  <c r="U3097" i="1"/>
  <c r="U3094" i="1"/>
  <c r="U3091" i="1"/>
  <c r="U3089" i="1"/>
  <c r="U3086" i="1"/>
  <c r="U3083" i="1"/>
  <c r="U3081" i="1"/>
  <c r="U3078" i="1"/>
  <c r="U3075" i="1"/>
  <c r="U3073" i="1"/>
  <c r="U3070" i="1"/>
  <c r="U3067" i="1"/>
  <c r="U3065" i="1"/>
  <c r="U3062" i="1"/>
  <c r="U3059" i="1"/>
  <c r="U3057" i="1"/>
  <c r="U3054" i="1"/>
  <c r="U3051" i="1"/>
  <c r="U3049" i="1"/>
  <c r="U3046" i="1"/>
  <c r="U3043" i="1"/>
  <c r="U3041" i="1"/>
  <c r="U3038" i="1"/>
  <c r="U3035" i="1"/>
  <c r="U3033" i="1"/>
  <c r="U3030" i="1"/>
  <c r="U3027" i="1"/>
  <c r="U3025" i="1"/>
  <c r="U3022" i="1"/>
  <c r="U3019" i="1"/>
  <c r="U3017" i="1"/>
  <c r="U3014" i="1"/>
  <c r="U3011" i="1"/>
  <c r="U3009" i="1"/>
  <c r="U3006" i="1"/>
  <c r="U3003" i="1"/>
  <c r="U3001" i="1"/>
  <c r="U2998" i="1"/>
  <c r="U2995" i="1"/>
  <c r="U2993" i="1"/>
  <c r="U2990" i="1"/>
  <c r="U2987" i="1"/>
  <c r="U2985" i="1"/>
  <c r="U2982" i="1"/>
  <c r="U2979" i="1"/>
  <c r="U2977" i="1"/>
  <c r="U2974" i="1"/>
  <c r="U2971" i="1"/>
  <c r="U2969" i="1"/>
  <c r="U2966" i="1"/>
  <c r="U2963" i="1"/>
  <c r="U2961" i="1"/>
  <c r="U2958" i="1"/>
  <c r="U2955" i="1"/>
  <c r="U2953" i="1"/>
  <c r="U2950" i="1"/>
  <c r="U2947" i="1"/>
  <c r="U2945" i="1"/>
  <c r="U2942" i="1"/>
  <c r="U2939" i="1"/>
  <c r="U2937" i="1"/>
  <c r="U2934" i="1"/>
  <c r="U2931" i="1"/>
  <c r="U2929" i="1"/>
  <c r="U2926" i="1"/>
  <c r="U2923" i="1"/>
  <c r="U2921" i="1"/>
  <c r="U2918" i="1"/>
  <c r="U2915" i="1"/>
  <c r="U2913" i="1"/>
  <c r="U2910" i="1"/>
  <c r="U2907" i="1"/>
  <c r="U2905" i="1"/>
  <c r="U2902" i="1"/>
  <c r="U2899" i="1"/>
  <c r="U2897" i="1"/>
  <c r="U2894" i="1"/>
  <c r="U2891" i="1"/>
  <c r="U2889" i="1"/>
  <c r="U2886" i="1"/>
  <c r="U2883" i="1"/>
  <c r="U2881" i="1"/>
  <c r="U2878" i="1"/>
  <c r="U2875" i="1"/>
  <c r="U2873" i="1"/>
  <c r="U2870" i="1"/>
  <c r="U2867" i="1"/>
  <c r="U2865" i="1"/>
  <c r="U2862" i="1"/>
  <c r="U2859" i="1"/>
  <c r="U2857" i="1"/>
  <c r="U2854" i="1"/>
  <c r="U2851" i="1"/>
  <c r="U2849" i="1"/>
  <c r="U2846" i="1"/>
  <c r="U2843" i="1"/>
  <c r="U2841" i="1"/>
  <c r="U2838" i="1"/>
  <c r="U2835" i="1"/>
  <c r="U2833" i="1"/>
  <c r="U2830" i="1"/>
  <c r="U2827" i="1"/>
  <c r="U2825" i="1"/>
  <c r="U2822" i="1"/>
  <c r="U2819" i="1"/>
  <c r="U2817" i="1"/>
  <c r="U2814" i="1"/>
  <c r="U2811" i="1"/>
  <c r="U2809" i="1"/>
  <c r="U2806" i="1"/>
  <c r="U2803" i="1"/>
  <c r="U2801" i="1"/>
  <c r="U2798" i="1"/>
  <c r="U2795" i="1"/>
  <c r="U2793" i="1"/>
  <c r="U2790" i="1"/>
  <c r="U2787" i="1"/>
  <c r="U2785" i="1"/>
  <c r="U2782" i="1"/>
  <c r="U2779" i="1"/>
  <c r="U2777" i="1"/>
  <c r="U2774" i="1"/>
  <c r="U2771" i="1"/>
  <c r="U2769" i="1"/>
  <c r="U2766" i="1"/>
  <c r="U2763" i="1"/>
  <c r="U2761" i="1"/>
  <c r="U2758" i="1"/>
  <c r="U2755" i="1"/>
  <c r="U2753" i="1"/>
  <c r="U2750" i="1"/>
  <c r="U2747" i="1"/>
  <c r="U2745" i="1"/>
  <c r="U2742" i="1"/>
  <c r="U2739" i="1"/>
  <c r="U2737" i="1"/>
  <c r="U2734" i="1"/>
  <c r="U2731" i="1"/>
  <c r="U2729" i="1"/>
  <c r="U2726" i="1"/>
  <c r="U2723" i="1"/>
  <c r="U2721" i="1"/>
  <c r="U2718" i="1"/>
  <c r="U2715" i="1"/>
  <c r="U2713" i="1"/>
  <c r="U2710" i="1"/>
  <c r="U2707" i="1"/>
  <c r="U2705" i="1"/>
  <c r="U2702" i="1"/>
  <c r="U2699" i="1"/>
  <c r="U2697" i="1"/>
  <c r="U2694" i="1"/>
  <c r="U2691" i="1"/>
  <c r="U2689" i="1"/>
  <c r="U2686" i="1"/>
  <c r="U2683" i="1"/>
  <c r="U2681" i="1"/>
  <c r="U2678" i="1"/>
  <c r="U2675" i="1"/>
  <c r="U2673" i="1"/>
  <c r="U2670" i="1"/>
  <c r="U2667" i="1"/>
  <c r="U2665" i="1"/>
  <c r="U2662" i="1"/>
  <c r="U2659" i="1"/>
  <c r="U2657" i="1"/>
  <c r="U2654" i="1"/>
  <c r="U2651" i="1"/>
  <c r="U2649" i="1"/>
  <c r="U2646" i="1"/>
  <c r="U2643" i="1"/>
  <c r="U2641" i="1"/>
  <c r="U2638" i="1"/>
  <c r="U2635" i="1"/>
  <c r="U2633" i="1"/>
  <c r="U2630" i="1"/>
  <c r="U2627" i="1"/>
  <c r="U2625" i="1"/>
  <c r="U2622" i="1"/>
  <c r="U2619" i="1"/>
  <c r="U2617" i="1"/>
  <c r="U2614" i="1"/>
  <c r="U2611" i="1"/>
  <c r="U2609" i="1"/>
  <c r="U2606" i="1"/>
  <c r="U2603" i="1"/>
  <c r="U2601" i="1"/>
  <c r="U2598" i="1"/>
  <c r="U2595" i="1"/>
  <c r="U2593" i="1"/>
  <c r="U2590" i="1"/>
  <c r="U2587" i="1"/>
  <c r="U2585" i="1"/>
  <c r="U2582" i="1"/>
  <c r="U2579" i="1"/>
  <c r="U2577" i="1"/>
  <c r="U2574" i="1"/>
  <c r="U2571" i="1"/>
  <c r="U2569" i="1"/>
  <c r="U2566" i="1"/>
  <c r="U2563" i="1"/>
  <c r="U2561" i="1"/>
  <c r="U2558" i="1"/>
  <c r="U2555" i="1"/>
  <c r="U2553" i="1"/>
  <c r="U2550" i="1"/>
  <c r="U2547" i="1"/>
  <c r="U2545" i="1"/>
  <c r="U2542" i="1"/>
  <c r="U2539" i="1"/>
  <c r="U2537" i="1"/>
  <c r="U2534" i="1"/>
  <c r="U2531" i="1"/>
  <c r="U2529" i="1"/>
  <c r="U2526" i="1"/>
  <c r="U2523" i="1"/>
  <c r="U2521" i="1"/>
  <c r="U2518" i="1"/>
  <c r="U2515" i="1"/>
  <c r="U2513" i="1"/>
  <c r="U2510" i="1"/>
  <c r="U2507" i="1"/>
  <c r="U2505" i="1"/>
  <c r="U2502" i="1"/>
  <c r="U2499" i="1"/>
  <c r="U2497" i="1"/>
  <c r="U2494" i="1"/>
  <c r="U2491" i="1"/>
  <c r="U2489" i="1"/>
  <c r="U2486" i="1"/>
  <c r="U2483" i="1"/>
  <c r="U2481" i="1"/>
  <c r="U2478" i="1"/>
  <c r="U2475" i="1"/>
  <c r="U2473" i="1"/>
  <c r="U2470" i="1"/>
  <c r="U2467" i="1"/>
  <c r="U2465" i="1"/>
  <c r="U2462" i="1"/>
  <c r="U2459" i="1"/>
  <c r="U2457" i="1"/>
  <c r="U2454" i="1"/>
  <c r="U2451" i="1"/>
  <c r="U2449" i="1"/>
  <c r="U2446" i="1"/>
  <c r="U2443" i="1"/>
  <c r="U2441" i="1"/>
  <c r="U2438" i="1"/>
  <c r="U2435" i="1"/>
  <c r="U2433" i="1"/>
  <c r="U2430" i="1"/>
  <c r="U2427" i="1"/>
  <c r="U2425" i="1"/>
  <c r="U2422" i="1"/>
  <c r="U2419" i="1"/>
  <c r="U2417" i="1"/>
  <c r="U2414" i="1"/>
  <c r="U2411" i="1"/>
  <c r="U2409" i="1"/>
  <c r="U2406" i="1"/>
  <c r="U2403" i="1"/>
  <c r="U2401" i="1"/>
  <c r="U2398" i="1"/>
  <c r="U2395" i="1"/>
  <c r="U2393" i="1"/>
  <c r="U2390" i="1"/>
  <c r="U2387" i="1"/>
  <c r="U2385" i="1"/>
  <c r="U2382" i="1"/>
  <c r="U2379" i="1"/>
  <c r="U2377" i="1"/>
  <c r="U2374" i="1"/>
  <c r="U2371" i="1"/>
  <c r="U2369" i="1"/>
  <c r="U2366" i="1"/>
  <c r="U2363" i="1"/>
  <c r="U2361" i="1"/>
  <c r="U2358" i="1"/>
  <c r="U2355" i="1"/>
  <c r="U2353" i="1"/>
  <c r="U2350" i="1"/>
  <c r="U2347" i="1"/>
  <c r="U2345" i="1"/>
  <c r="U2342" i="1"/>
  <c r="U2339" i="1"/>
  <c r="U2337" i="1"/>
  <c r="U2334" i="1"/>
  <c r="U2331" i="1"/>
  <c r="U2329" i="1"/>
  <c r="U2326" i="1"/>
  <c r="U2323" i="1"/>
  <c r="U2321" i="1"/>
  <c r="U2318" i="1"/>
  <c r="U2315" i="1"/>
  <c r="U2313" i="1"/>
  <c r="U2310" i="1"/>
  <c r="U2307" i="1"/>
  <c r="U2305" i="1"/>
  <c r="U2302" i="1"/>
  <c r="U2299" i="1"/>
  <c r="U2297" i="1"/>
  <c r="U2294" i="1"/>
  <c r="U2291" i="1"/>
  <c r="U2289" i="1"/>
  <c r="U2286" i="1"/>
  <c r="U2283" i="1"/>
  <c r="U2281" i="1"/>
  <c r="U2278" i="1"/>
  <c r="U2275" i="1"/>
  <c r="U2273" i="1"/>
  <c r="U2270" i="1"/>
  <c r="U2267" i="1"/>
  <c r="U2265" i="1"/>
  <c r="U2262" i="1"/>
  <c r="U2259" i="1"/>
  <c r="U2257" i="1"/>
  <c r="U2254" i="1"/>
  <c r="U2251" i="1"/>
  <c r="U2249" i="1"/>
  <c r="U2246" i="1"/>
  <c r="U2243" i="1"/>
  <c r="U2241" i="1"/>
  <c r="U2238" i="1"/>
  <c r="U2235" i="1"/>
  <c r="U2233" i="1"/>
  <c r="U2230" i="1"/>
  <c r="U2227" i="1"/>
  <c r="U2225" i="1"/>
  <c r="U2222" i="1"/>
  <c r="U2219" i="1"/>
  <c r="U2217" i="1"/>
  <c r="U2214" i="1"/>
  <c r="U2211" i="1"/>
  <c r="U2209" i="1"/>
  <c r="U2206" i="1"/>
  <c r="U2203" i="1"/>
  <c r="U2201" i="1"/>
  <c r="U2198" i="1"/>
  <c r="U2195" i="1"/>
  <c r="U2193" i="1"/>
  <c r="U2190" i="1"/>
  <c r="U2187" i="1"/>
  <c r="U2185" i="1"/>
  <c r="U2182" i="1"/>
  <c r="U2179" i="1"/>
  <c r="U2177" i="1"/>
  <c r="U2174" i="1"/>
  <c r="U2171" i="1"/>
  <c r="U2169" i="1"/>
  <c r="U2166" i="1"/>
  <c r="U2163" i="1"/>
  <c r="U2161" i="1"/>
  <c r="U2158" i="1"/>
  <c r="U2155" i="1"/>
  <c r="U2153" i="1"/>
  <c r="U2150" i="1"/>
  <c r="U2147" i="1"/>
  <c r="U2145" i="1"/>
  <c r="U2142" i="1"/>
  <c r="U2139" i="1"/>
  <c r="U2137" i="1"/>
  <c r="U2134" i="1"/>
  <c r="U2131" i="1"/>
  <c r="U2129" i="1"/>
  <c r="U2126" i="1"/>
  <c r="U2123" i="1"/>
  <c r="U2121" i="1"/>
  <c r="U2118" i="1"/>
  <c r="U2115" i="1"/>
  <c r="U2113" i="1"/>
  <c r="U2110" i="1"/>
  <c r="U2107" i="1"/>
  <c r="U2105" i="1"/>
  <c r="U2102" i="1"/>
  <c r="U2099" i="1"/>
  <c r="U2097" i="1"/>
  <c r="U2094" i="1"/>
  <c r="U2091" i="1"/>
  <c r="U2089" i="1"/>
  <c r="U2086" i="1"/>
  <c r="U2083" i="1"/>
  <c r="U2081" i="1"/>
  <c r="U2078" i="1"/>
  <c r="U2075" i="1"/>
  <c r="U2073" i="1"/>
  <c r="U2070" i="1"/>
  <c r="U2067" i="1"/>
  <c r="U2065" i="1"/>
  <c r="U2062" i="1"/>
  <c r="U2059" i="1"/>
  <c r="U2057" i="1"/>
  <c r="U2054" i="1"/>
  <c r="U2051" i="1"/>
  <c r="U2049" i="1"/>
  <c r="U2046" i="1"/>
  <c r="U2043" i="1"/>
  <c r="U2041" i="1"/>
  <c r="U2038" i="1"/>
  <c r="U2035" i="1"/>
  <c r="U2033" i="1"/>
  <c r="U2030" i="1"/>
  <c r="U2027" i="1"/>
  <c r="U2025" i="1"/>
  <c r="U2022" i="1"/>
  <c r="U2019" i="1"/>
  <c r="U2017" i="1"/>
  <c r="U2014" i="1"/>
  <c r="U2011" i="1"/>
  <c r="U2009" i="1"/>
  <c r="U2006" i="1"/>
  <c r="U2003" i="1"/>
  <c r="U2001" i="1"/>
  <c r="U1998" i="1"/>
  <c r="U1995" i="1"/>
  <c r="U1993" i="1"/>
  <c r="U1990" i="1"/>
  <c r="U1987" i="1"/>
  <c r="U1985" i="1"/>
  <c r="U1982" i="1"/>
  <c r="U1979" i="1"/>
  <c r="U1977" i="1"/>
  <c r="U1974" i="1"/>
  <c r="U1971" i="1"/>
  <c r="U1969" i="1"/>
  <c r="U1966" i="1"/>
  <c r="U1963" i="1"/>
  <c r="U1961" i="1"/>
  <c r="U1959" i="1"/>
  <c r="U1956" i="1"/>
  <c r="U1954" i="1"/>
  <c r="U1952" i="1"/>
  <c r="U1949" i="1"/>
  <c r="U1947" i="1"/>
  <c r="U1945" i="1"/>
  <c r="U1943" i="1"/>
  <c r="U1940" i="1"/>
  <c r="U1938" i="1"/>
  <c r="U1936" i="1"/>
  <c r="U1933" i="1"/>
  <c r="U1931" i="1"/>
  <c r="U1929" i="1"/>
  <c r="U1927" i="1"/>
  <c r="U1924" i="1"/>
  <c r="U1922" i="1"/>
  <c r="U1920" i="1"/>
  <c r="U1917" i="1"/>
  <c r="U1915" i="1"/>
  <c r="U1913" i="1"/>
  <c r="U1911" i="1"/>
  <c r="U1908" i="1"/>
  <c r="U1906" i="1"/>
  <c r="U1904" i="1"/>
  <c r="U1901" i="1"/>
  <c r="U1899" i="1"/>
  <c r="U1897" i="1"/>
  <c r="U1895" i="1"/>
  <c r="U1892" i="1"/>
  <c r="U1890" i="1"/>
  <c r="U1888" i="1"/>
  <c r="U1885" i="1"/>
  <c r="U1883" i="1"/>
  <c r="U1881" i="1"/>
  <c r="U1879" i="1"/>
  <c r="U1876" i="1"/>
  <c r="U1874" i="1"/>
  <c r="U1866" i="1"/>
  <c r="U1850" i="1"/>
  <c r="U1834" i="1"/>
  <c r="U1818" i="1"/>
  <c r="U1802" i="1"/>
  <c r="U1786" i="1"/>
  <c r="U1770" i="1"/>
  <c r="U1754" i="1"/>
  <c r="U1738" i="1"/>
  <c r="U1722" i="1"/>
  <c r="U1706" i="1"/>
  <c r="U1690" i="1"/>
  <c r="U1674" i="1"/>
  <c r="U1658" i="1"/>
  <c r="U1642" i="1"/>
  <c r="U1626" i="1"/>
  <c r="U1610" i="1"/>
  <c r="U1594" i="1"/>
  <c r="U1578" i="1"/>
  <c r="U1562" i="1"/>
  <c r="U1546" i="1"/>
  <c r="U1530" i="1"/>
  <c r="U1514" i="1"/>
  <c r="U1498" i="1"/>
  <c r="U1482" i="1"/>
  <c r="U1466" i="1"/>
  <c r="U1450" i="1"/>
  <c r="U1434" i="1"/>
  <c r="U1418" i="1"/>
  <c r="U1402" i="1"/>
  <c r="U1386" i="1"/>
  <c r="U1370" i="1"/>
  <c r="U1354" i="1"/>
  <c r="U1338" i="1"/>
  <c r="U1322" i="1"/>
  <c r="U1306" i="1"/>
  <c r="U1290" i="1"/>
  <c r="U1274" i="1"/>
  <c r="U1258" i="1"/>
  <c r="U1242" i="1"/>
  <c r="U1226" i="1"/>
  <c r="U1210" i="1"/>
  <c r="U1194" i="1"/>
  <c r="U1178" i="1"/>
  <c r="U1162" i="1"/>
  <c r="U1146" i="1"/>
  <c r="U1130" i="1"/>
  <c r="U1114" i="1"/>
  <c r="U1098" i="1"/>
  <c r="U1082" i="1"/>
  <c r="U1066" i="1"/>
  <c r="U1050" i="1"/>
  <c r="U1034" i="1"/>
  <c r="U1018" i="1"/>
  <c r="U1002" i="1"/>
  <c r="U986" i="1"/>
  <c r="U970" i="1"/>
  <c r="U954" i="1"/>
  <c r="U937" i="1"/>
  <c r="U905" i="1"/>
  <c r="U873" i="1"/>
  <c r="U841" i="1"/>
  <c r="U809" i="1"/>
  <c r="U777" i="1"/>
  <c r="U745" i="1"/>
  <c r="U713" i="1"/>
  <c r="U681" i="1"/>
  <c r="U649" i="1"/>
  <c r="U617" i="1"/>
  <c r="U585" i="1"/>
  <c r="U553" i="1"/>
  <c r="U521" i="1"/>
  <c r="U489" i="1"/>
  <c r="U457" i="1"/>
  <c r="U423" i="1"/>
  <c r="U359" i="1"/>
  <c r="U295" i="1"/>
  <c r="U231" i="1"/>
  <c r="U162" i="1"/>
  <c r="U34" i="1"/>
  <c r="U1871" i="1"/>
  <c r="U1868" i="1"/>
  <c r="U1865" i="1"/>
  <c r="U1863" i="1"/>
  <c r="U1860" i="1"/>
  <c r="U1857" i="1"/>
  <c r="U1855" i="1"/>
  <c r="U1852" i="1"/>
  <c r="U1849" i="1"/>
  <c r="U1847" i="1"/>
  <c r="U1844" i="1"/>
  <c r="U1841" i="1"/>
  <c r="U1839" i="1"/>
  <c r="U1836" i="1"/>
  <c r="U1833" i="1"/>
  <c r="U1831" i="1"/>
  <c r="U1828" i="1"/>
  <c r="U1825" i="1"/>
  <c r="U1823" i="1"/>
  <c r="U1820" i="1"/>
  <c r="U1817" i="1"/>
  <c r="U1815" i="1"/>
  <c r="U1812" i="1"/>
  <c r="U1809" i="1"/>
  <c r="U1807" i="1"/>
  <c r="U1804" i="1"/>
  <c r="U1801" i="1"/>
  <c r="U1799" i="1"/>
  <c r="U1796" i="1"/>
  <c r="U1793" i="1"/>
  <c r="U1791" i="1"/>
  <c r="U1788" i="1"/>
  <c r="U1785" i="1"/>
  <c r="U1783" i="1"/>
  <c r="U1780" i="1"/>
  <c r="U1777" i="1"/>
  <c r="U1775" i="1"/>
  <c r="U1772" i="1"/>
  <c r="U1769" i="1"/>
  <c r="U1767" i="1"/>
  <c r="U1764" i="1"/>
  <c r="U1761" i="1"/>
  <c r="U1759" i="1"/>
  <c r="U1756" i="1"/>
  <c r="U1753" i="1"/>
  <c r="U1751" i="1"/>
  <c r="U1748" i="1"/>
  <c r="U1745" i="1"/>
  <c r="U1743" i="1"/>
  <c r="U1740" i="1"/>
  <c r="U1737" i="1"/>
  <c r="U1735" i="1"/>
  <c r="U1732" i="1"/>
  <c r="U1729" i="1"/>
  <c r="U1727" i="1"/>
  <c r="U1724" i="1"/>
  <c r="U1721" i="1"/>
  <c r="U1719" i="1"/>
  <c r="U1716" i="1"/>
  <c r="U1713" i="1"/>
  <c r="U1711" i="1"/>
  <c r="U1708" i="1"/>
  <c r="U1705" i="1"/>
  <c r="U1703" i="1"/>
  <c r="U1700" i="1"/>
  <c r="U1697" i="1"/>
  <c r="U1695" i="1"/>
  <c r="U1692" i="1"/>
  <c r="U1689" i="1"/>
  <c r="U1687" i="1"/>
  <c r="U1684" i="1"/>
  <c r="U1681" i="1"/>
  <c r="U1679" i="1"/>
  <c r="U1676" i="1"/>
  <c r="U1673" i="1"/>
  <c r="U1671" i="1"/>
  <c r="U1668" i="1"/>
  <c r="U1665" i="1"/>
  <c r="U1663" i="1"/>
  <c r="U1660" i="1"/>
  <c r="U1657" i="1"/>
  <c r="U1655" i="1"/>
  <c r="U1652" i="1"/>
  <c r="U1649" i="1"/>
  <c r="U1647" i="1"/>
  <c r="U1644" i="1"/>
  <c r="U1641" i="1"/>
  <c r="U1639" i="1"/>
  <c r="U1636" i="1"/>
  <c r="U1633" i="1"/>
  <c r="U1631" i="1"/>
  <c r="U1628" i="1"/>
  <c r="U1625" i="1"/>
  <c r="U1623" i="1"/>
  <c r="U1620" i="1"/>
  <c r="U1617" i="1"/>
  <c r="U1615" i="1"/>
  <c r="U1612" i="1"/>
  <c r="U1609" i="1"/>
  <c r="U1607" i="1"/>
  <c r="U1604" i="1"/>
  <c r="U1601" i="1"/>
  <c r="U1599" i="1"/>
  <c r="U1596" i="1"/>
  <c r="U1593" i="1"/>
  <c r="U1591" i="1"/>
  <c r="U1588" i="1"/>
  <c r="U1585" i="1"/>
  <c r="U1583" i="1"/>
  <c r="U1580" i="1"/>
  <c r="U1577" i="1"/>
  <c r="U1575" i="1"/>
  <c r="U1572" i="1"/>
  <c r="U1569" i="1"/>
  <c r="U1567" i="1"/>
  <c r="U1564" i="1"/>
  <c r="U1561" i="1"/>
  <c r="U1559" i="1"/>
  <c r="U1556" i="1"/>
  <c r="U1553" i="1"/>
  <c r="U1551" i="1"/>
  <c r="U1548" i="1"/>
  <c r="U1545" i="1"/>
  <c r="U1543" i="1"/>
  <c r="U1540" i="1"/>
  <c r="U1537" i="1"/>
  <c r="U1535" i="1"/>
  <c r="U1532" i="1"/>
  <c r="U1529" i="1"/>
  <c r="U1527" i="1"/>
  <c r="U1524" i="1"/>
  <c r="U1521" i="1"/>
  <c r="U1519" i="1"/>
  <c r="U1516" i="1"/>
  <c r="U1513" i="1"/>
  <c r="U1511" i="1"/>
  <c r="U1508" i="1"/>
  <c r="U1505" i="1"/>
  <c r="U1503" i="1"/>
  <c r="U1500" i="1"/>
  <c r="U1497" i="1"/>
  <c r="U1495" i="1"/>
  <c r="U1492" i="1"/>
  <c r="U1489" i="1"/>
  <c r="U1487" i="1"/>
  <c r="U1484" i="1"/>
  <c r="U1481" i="1"/>
  <c r="U1479" i="1"/>
  <c r="U1476" i="1"/>
  <c r="U1473" i="1"/>
  <c r="U1471" i="1"/>
  <c r="U1468" i="1"/>
  <c r="U1465" i="1"/>
  <c r="U1463" i="1"/>
  <c r="U1460" i="1"/>
  <c r="U1457" i="1"/>
  <c r="U1455" i="1"/>
  <c r="U1452" i="1"/>
  <c r="U1449" i="1"/>
  <c r="U1447" i="1"/>
  <c r="U1444" i="1"/>
  <c r="U1441" i="1"/>
  <c r="U1439" i="1"/>
  <c r="U1436" i="1"/>
  <c r="U1433" i="1"/>
  <c r="U1431" i="1"/>
  <c r="U1428" i="1"/>
  <c r="U1425" i="1"/>
  <c r="U1423" i="1"/>
  <c r="U1420" i="1"/>
  <c r="U1417" i="1"/>
  <c r="U1415" i="1"/>
  <c r="U1412" i="1"/>
  <c r="U1409" i="1"/>
  <c r="U1407" i="1"/>
  <c r="U1404" i="1"/>
  <c r="U1401" i="1"/>
  <c r="U1399" i="1"/>
  <c r="U1396" i="1"/>
  <c r="U1393" i="1"/>
  <c r="U1391" i="1"/>
  <c r="U1388" i="1"/>
  <c r="U1385" i="1"/>
  <c r="U1383" i="1"/>
  <c r="U1380" i="1"/>
  <c r="U1377" i="1"/>
  <c r="U1375" i="1"/>
  <c r="U1372" i="1"/>
  <c r="U1369" i="1"/>
  <c r="U1367" i="1"/>
  <c r="U1364" i="1"/>
  <c r="U1361" i="1"/>
  <c r="U1359" i="1"/>
  <c r="U1356" i="1"/>
  <c r="U1353" i="1"/>
  <c r="U1351" i="1"/>
  <c r="U1348" i="1"/>
  <c r="U1345" i="1"/>
  <c r="U1343" i="1"/>
  <c r="U1340" i="1"/>
  <c r="U1337" i="1"/>
  <c r="U1335" i="1"/>
  <c r="U1332" i="1"/>
  <c r="U1329" i="1"/>
  <c r="U1327" i="1"/>
  <c r="U1324" i="1"/>
  <c r="U1321" i="1"/>
  <c r="U1319" i="1"/>
  <c r="U1316" i="1"/>
  <c r="U1313" i="1"/>
  <c r="U1311" i="1"/>
  <c r="U1308" i="1"/>
  <c r="U1305" i="1"/>
  <c r="U1303" i="1"/>
  <c r="U1300" i="1"/>
  <c r="U1297" i="1"/>
  <c r="U1295" i="1"/>
  <c r="U1292" i="1"/>
  <c r="U1289" i="1"/>
  <c r="U1287" i="1"/>
  <c r="U1284" i="1"/>
  <c r="U1281" i="1"/>
  <c r="U1279" i="1"/>
  <c r="U1276" i="1"/>
  <c r="U1273" i="1"/>
  <c r="U1271" i="1"/>
  <c r="U1268" i="1"/>
  <c r="U1265" i="1"/>
  <c r="U1263" i="1"/>
  <c r="U1260" i="1"/>
  <c r="U1257" i="1"/>
  <c r="U1255" i="1"/>
  <c r="U1252" i="1"/>
  <c r="U1249" i="1"/>
  <c r="U1247" i="1"/>
  <c r="U1244" i="1"/>
  <c r="U1241" i="1"/>
  <c r="U1239" i="1"/>
  <c r="U1236" i="1"/>
  <c r="U1233" i="1"/>
  <c r="U1231" i="1"/>
  <c r="U1228" i="1"/>
  <c r="U1225" i="1"/>
  <c r="U1223" i="1"/>
  <c r="U1220" i="1"/>
  <c r="U1217" i="1"/>
  <c r="U1215" i="1"/>
  <c r="U1212" i="1"/>
  <c r="U1209" i="1"/>
  <c r="U1207" i="1"/>
  <c r="U1204" i="1"/>
  <c r="U1201" i="1"/>
  <c r="U1199" i="1"/>
  <c r="U1196" i="1"/>
  <c r="U1193" i="1"/>
  <c r="U1191" i="1"/>
  <c r="U1188" i="1"/>
  <c r="U1185" i="1"/>
  <c r="U1183" i="1"/>
  <c r="U1180" i="1"/>
  <c r="U1177" i="1"/>
  <c r="U1175" i="1"/>
  <c r="U1172" i="1"/>
  <c r="U1169" i="1"/>
  <c r="U1167" i="1"/>
  <c r="U1164" i="1"/>
  <c r="U1161" i="1"/>
  <c r="U1159" i="1"/>
  <c r="U1156" i="1"/>
  <c r="U1153" i="1"/>
  <c r="U1151" i="1"/>
  <c r="U1148" i="1"/>
  <c r="U1145" i="1"/>
  <c r="U1143" i="1"/>
  <c r="U1140" i="1"/>
  <c r="U1137" i="1"/>
  <c r="U1135" i="1"/>
  <c r="U1132" i="1"/>
  <c r="U1129" i="1"/>
  <c r="U1127" i="1"/>
  <c r="U1124" i="1"/>
  <c r="U1121" i="1"/>
  <c r="U1119" i="1"/>
  <c r="U1116" i="1"/>
  <c r="U1113" i="1"/>
  <c r="U1111" i="1"/>
  <c r="U1108" i="1"/>
  <c r="U1105" i="1"/>
  <c r="U1103" i="1"/>
  <c r="U1100" i="1"/>
  <c r="U1097" i="1"/>
  <c r="U1095" i="1"/>
  <c r="U1092" i="1"/>
  <c r="U1089" i="1"/>
  <c r="U1087" i="1"/>
  <c r="U1084" i="1"/>
  <c r="U1081" i="1"/>
  <c r="U1079" i="1"/>
  <c r="U1076" i="1"/>
  <c r="U1073" i="1"/>
  <c r="U1071" i="1"/>
  <c r="U1068" i="1"/>
  <c r="U1065" i="1"/>
  <c r="U1063" i="1"/>
  <c r="U1060" i="1"/>
  <c r="U1057" i="1"/>
  <c r="U1055" i="1"/>
  <c r="U1052" i="1"/>
  <c r="U1049" i="1"/>
  <c r="U1047" i="1"/>
  <c r="U1044" i="1"/>
  <c r="U1041" i="1"/>
  <c r="U1039" i="1"/>
  <c r="U1036" i="1"/>
  <c r="U1033" i="1"/>
  <c r="U1031" i="1"/>
  <c r="U1028" i="1"/>
  <c r="U1025" i="1"/>
  <c r="U1023" i="1"/>
  <c r="U1020" i="1"/>
  <c r="U1017" i="1"/>
  <c r="U1015" i="1"/>
  <c r="U1012" i="1"/>
  <c r="U1009" i="1"/>
  <c r="U1007" i="1"/>
  <c r="U1004" i="1"/>
  <c r="U1001" i="1"/>
  <c r="U999" i="1"/>
  <c r="U996" i="1"/>
  <c r="U993" i="1"/>
  <c r="U991" i="1"/>
  <c r="U988" i="1"/>
  <c r="U985" i="1"/>
  <c r="U983" i="1"/>
  <c r="U980" i="1"/>
  <c r="U977" i="1"/>
  <c r="U975" i="1"/>
  <c r="U972" i="1"/>
  <c r="U969" i="1"/>
  <c r="U967" i="1"/>
  <c r="U964" i="1"/>
  <c r="U961" i="1"/>
  <c r="U959" i="1"/>
  <c r="U956" i="1"/>
  <c r="U953" i="1"/>
  <c r="U951" i="1"/>
  <c r="U948" i="1"/>
  <c r="U945" i="1"/>
  <c r="U943" i="1"/>
  <c r="U940" i="1"/>
  <c r="U938" i="1"/>
  <c r="U935" i="1"/>
  <c r="U933" i="1"/>
  <c r="U931" i="1"/>
  <c r="U928" i="1"/>
  <c r="U926" i="1"/>
  <c r="U924" i="1"/>
  <c r="U922" i="1"/>
  <c r="U919" i="1"/>
  <c r="U917" i="1"/>
  <c r="U915" i="1"/>
  <c r="U912" i="1"/>
  <c r="U910" i="1"/>
  <c r="U908" i="1"/>
  <c r="U906" i="1"/>
  <c r="U903" i="1"/>
  <c r="U901" i="1"/>
  <c r="U899" i="1"/>
  <c r="U896" i="1"/>
  <c r="U894" i="1"/>
  <c r="U892" i="1"/>
  <c r="U890" i="1"/>
  <c r="U887" i="1"/>
  <c r="U885" i="1"/>
  <c r="U883" i="1"/>
  <c r="U880" i="1"/>
  <c r="U878" i="1"/>
  <c r="U876" i="1"/>
  <c r="U874" i="1"/>
  <c r="U871" i="1"/>
  <c r="U869" i="1"/>
  <c r="U867" i="1"/>
  <c r="U864" i="1"/>
  <c r="U862" i="1"/>
  <c r="U860" i="1"/>
  <c r="U858" i="1"/>
  <c r="U855" i="1"/>
  <c r="U853" i="1"/>
  <c r="U851" i="1"/>
  <c r="U848" i="1"/>
  <c r="U846" i="1"/>
  <c r="U844" i="1"/>
  <c r="U842" i="1"/>
  <c r="U839" i="1"/>
  <c r="U837" i="1"/>
  <c r="U835" i="1"/>
  <c r="U832" i="1"/>
  <c r="U830" i="1"/>
  <c r="U828" i="1"/>
  <c r="U826" i="1"/>
  <c r="U823" i="1"/>
  <c r="U821" i="1"/>
  <c r="U819" i="1"/>
  <c r="U816" i="1"/>
  <c r="U814" i="1"/>
  <c r="U812" i="1"/>
  <c r="U810" i="1"/>
  <c r="U807" i="1"/>
  <c r="U805" i="1"/>
  <c r="U803" i="1"/>
  <c r="U800" i="1"/>
  <c r="U798" i="1"/>
  <c r="U796" i="1"/>
  <c r="U794" i="1"/>
  <c r="U791" i="1"/>
  <c r="U789" i="1"/>
  <c r="U787" i="1"/>
  <c r="U784" i="1"/>
  <c r="U782" i="1"/>
  <c r="U780" i="1"/>
  <c r="U778" i="1"/>
  <c r="U775" i="1"/>
  <c r="U773" i="1"/>
  <c r="U771" i="1"/>
  <c r="U768" i="1"/>
  <c r="U766" i="1"/>
  <c r="U764" i="1"/>
  <c r="U762" i="1"/>
  <c r="U759" i="1"/>
  <c r="U757" i="1"/>
  <c r="U755" i="1"/>
  <c r="U752" i="1"/>
  <c r="U750" i="1"/>
  <c r="U748" i="1"/>
  <c r="U746" i="1"/>
  <c r="U743" i="1"/>
  <c r="U741" i="1"/>
  <c r="U739" i="1"/>
  <c r="U736" i="1"/>
  <c r="U734" i="1"/>
  <c r="U732" i="1"/>
  <c r="U730" i="1"/>
  <c r="U727" i="1"/>
  <c r="U725" i="1"/>
  <c r="U723" i="1"/>
  <c r="U720" i="1"/>
  <c r="U718" i="1"/>
  <c r="U716" i="1"/>
  <c r="U714" i="1"/>
  <c r="U711" i="1"/>
  <c r="U709" i="1"/>
  <c r="U707" i="1"/>
  <c r="U704" i="1"/>
  <c r="U702" i="1"/>
  <c r="U700" i="1"/>
  <c r="U698" i="1"/>
  <c r="U695" i="1"/>
  <c r="U693" i="1"/>
  <c r="U691" i="1"/>
  <c r="U688" i="1"/>
  <c r="U686" i="1"/>
  <c r="U684" i="1"/>
  <c r="U682" i="1"/>
  <c r="U679" i="1"/>
  <c r="U677" i="1"/>
  <c r="U675" i="1"/>
  <c r="U672" i="1"/>
  <c r="U670" i="1"/>
  <c r="U668" i="1"/>
  <c r="U666" i="1"/>
  <c r="U663" i="1"/>
  <c r="U661" i="1"/>
  <c r="U659" i="1"/>
  <c r="U656" i="1"/>
  <c r="U654" i="1"/>
  <c r="U652" i="1"/>
  <c r="U650" i="1"/>
  <c r="U647" i="1"/>
  <c r="U645" i="1"/>
  <c r="U643" i="1"/>
  <c r="U640" i="1"/>
  <c r="U638" i="1"/>
  <c r="U636" i="1"/>
  <c r="U634" i="1"/>
  <c r="U631" i="1"/>
  <c r="U629" i="1"/>
  <c r="U627" i="1"/>
  <c r="U624" i="1"/>
  <c r="U622" i="1"/>
  <c r="U620" i="1"/>
  <c r="U618" i="1"/>
  <c r="U615" i="1"/>
  <c r="U613" i="1"/>
  <c r="U611" i="1"/>
  <c r="U608" i="1"/>
  <c r="U606" i="1"/>
  <c r="U604" i="1"/>
  <c r="U602" i="1"/>
  <c r="U599" i="1"/>
  <c r="U597" i="1"/>
  <c r="U595" i="1"/>
  <c r="U592" i="1"/>
  <c r="U590" i="1"/>
  <c r="U588" i="1"/>
  <c r="U586" i="1"/>
  <c r="U583" i="1"/>
  <c r="U581" i="1"/>
  <c r="U579" i="1"/>
  <c r="U576" i="1"/>
  <c r="U574" i="1"/>
  <c r="U572" i="1"/>
  <c r="U570" i="1"/>
  <c r="U567" i="1"/>
  <c r="U565" i="1"/>
  <c r="U563" i="1"/>
  <c r="U560" i="1"/>
  <c r="U558" i="1"/>
  <c r="U556" i="1"/>
  <c r="U554" i="1"/>
  <c r="U551" i="1"/>
  <c r="U549" i="1"/>
  <c r="U547" i="1"/>
  <c r="U544" i="1"/>
  <c r="U542" i="1"/>
  <c r="U540" i="1"/>
  <c r="U538" i="1"/>
  <c r="U535" i="1"/>
  <c r="U533" i="1"/>
  <c r="U531" i="1"/>
  <c r="U528" i="1"/>
  <c r="U526" i="1"/>
  <c r="U524" i="1"/>
  <c r="U522" i="1"/>
  <c r="U519" i="1"/>
  <c r="U517" i="1"/>
  <c r="U515" i="1"/>
  <c r="U512" i="1"/>
  <c r="U510" i="1"/>
  <c r="U508" i="1"/>
  <c r="U506" i="1"/>
  <c r="U503" i="1"/>
  <c r="U501" i="1"/>
  <c r="U499" i="1"/>
  <c r="U496" i="1"/>
  <c r="U494" i="1"/>
  <c r="U492" i="1"/>
  <c r="U490" i="1"/>
  <c r="U487" i="1"/>
  <c r="U485" i="1"/>
  <c r="U483" i="1"/>
  <c r="U480" i="1"/>
  <c r="U478" i="1"/>
  <c r="U476" i="1"/>
  <c r="U474" i="1"/>
  <c r="U471" i="1"/>
  <c r="U469" i="1"/>
  <c r="U467" i="1"/>
  <c r="U464" i="1"/>
  <c r="U462" i="1"/>
  <c r="U460" i="1"/>
  <c r="U458" i="1"/>
  <c r="U455" i="1"/>
  <c r="U453" i="1"/>
  <c r="U451" i="1"/>
  <c r="U448" i="1"/>
  <c r="U446" i="1"/>
  <c r="U444" i="1"/>
  <c r="U442" i="1"/>
  <c r="U439" i="1"/>
  <c r="U437" i="1"/>
  <c r="U435" i="1"/>
  <c r="U432" i="1"/>
  <c r="U430" i="1"/>
  <c r="U428" i="1"/>
  <c r="U426" i="1"/>
  <c r="U424" i="1"/>
  <c r="U421" i="1"/>
  <c r="U419" i="1"/>
  <c r="U417" i="1"/>
  <c r="U415" i="1"/>
  <c r="U413" i="1"/>
  <c r="U411" i="1"/>
  <c r="U409" i="1"/>
  <c r="U406" i="1"/>
  <c r="U404" i="1"/>
  <c r="U402" i="1"/>
  <c r="U400" i="1"/>
  <c r="U398" i="1"/>
  <c r="U396" i="1"/>
  <c r="U394" i="1"/>
  <c r="U392" i="1"/>
  <c r="U389" i="1"/>
  <c r="U387" i="1"/>
  <c r="U385" i="1"/>
  <c r="U383" i="1"/>
  <c r="U381" i="1"/>
  <c r="U379" i="1"/>
  <c r="U377" i="1"/>
  <c r="U374" i="1"/>
  <c r="U372" i="1"/>
  <c r="U370" i="1"/>
  <c r="U368" i="1"/>
  <c r="U366" i="1"/>
  <c r="U364" i="1"/>
  <c r="U362" i="1"/>
  <c r="U360" i="1"/>
  <c r="U357" i="1"/>
  <c r="U355" i="1"/>
  <c r="U353" i="1"/>
  <c r="U351" i="1"/>
  <c r="U349" i="1"/>
  <c r="U347" i="1"/>
  <c r="U345" i="1"/>
  <c r="U342" i="1"/>
  <c r="U340" i="1"/>
  <c r="U338" i="1"/>
  <c r="U336" i="1"/>
  <c r="U334" i="1"/>
  <c r="U332" i="1"/>
  <c r="U330" i="1"/>
  <c r="U328" i="1"/>
  <c r="U325" i="1"/>
  <c r="U323" i="1"/>
  <c r="U321" i="1"/>
  <c r="U319" i="1"/>
  <c r="U317" i="1"/>
  <c r="U315" i="1"/>
  <c r="U313" i="1"/>
  <c r="U310" i="1"/>
  <c r="U308" i="1"/>
  <c r="U306" i="1"/>
  <c r="U304" i="1"/>
  <c r="U302" i="1"/>
  <c r="U300" i="1"/>
  <c r="U298" i="1"/>
  <c r="U296" i="1"/>
  <c r="U293" i="1"/>
  <c r="U291" i="1"/>
  <c r="U289" i="1"/>
  <c r="U287" i="1"/>
  <c r="U285" i="1"/>
  <c r="U283" i="1"/>
  <c r="U281" i="1"/>
  <c r="U278" i="1"/>
  <c r="U276" i="1"/>
  <c r="U274" i="1"/>
  <c r="U272" i="1"/>
  <c r="U270" i="1"/>
  <c r="U268" i="1"/>
  <c r="U266" i="1"/>
  <c r="U264" i="1"/>
  <c r="U261" i="1"/>
  <c r="U259" i="1"/>
  <c r="U257" i="1"/>
  <c r="U255" i="1"/>
  <c r="U253" i="1"/>
  <c r="U251" i="1"/>
  <c r="U249" i="1"/>
  <c r="U246" i="1"/>
  <c r="U244" i="1"/>
  <c r="U242" i="1"/>
  <c r="U240" i="1"/>
  <c r="U238" i="1"/>
  <c r="U236" i="1"/>
  <c r="U234" i="1"/>
  <c r="U232" i="1"/>
  <c r="U229" i="1"/>
  <c r="U227" i="1"/>
  <c r="U225" i="1"/>
  <c r="U223" i="1"/>
  <c r="U221" i="1"/>
  <c r="U219" i="1"/>
  <c r="U217" i="1"/>
  <c r="U214" i="1"/>
  <c r="U212" i="1"/>
  <c r="U210" i="1"/>
  <c r="U208" i="1"/>
  <c r="U206" i="1"/>
  <c r="U204" i="1"/>
  <c r="U202" i="1"/>
  <c r="U200" i="1"/>
  <c r="U197" i="1"/>
  <c r="U195" i="1"/>
  <c r="U193" i="1"/>
  <c r="U191" i="1"/>
  <c r="U189" i="1"/>
  <c r="U187" i="1"/>
  <c r="U185" i="1"/>
  <c r="U182" i="1"/>
  <c r="U180" i="1"/>
  <c r="U178" i="1"/>
  <c r="U176" i="1"/>
  <c r="U174" i="1"/>
  <c r="U172" i="1"/>
  <c r="U170" i="1"/>
  <c r="U168" i="1"/>
  <c r="U166" i="1"/>
  <c r="U164" i="1"/>
  <c r="U161" i="1"/>
  <c r="U159" i="1"/>
  <c r="U157" i="1"/>
  <c r="U155" i="1"/>
  <c r="U153" i="1"/>
  <c r="U151" i="1"/>
  <c r="U149" i="1"/>
  <c r="U147" i="1"/>
  <c r="U145" i="1"/>
  <c r="U143" i="1"/>
  <c r="U141" i="1"/>
  <c r="U139" i="1"/>
  <c r="U137" i="1"/>
  <c r="U135" i="1"/>
  <c r="U133" i="1"/>
  <c r="U131" i="1"/>
  <c r="U128" i="1"/>
  <c r="U126" i="1"/>
  <c r="U124" i="1"/>
  <c r="U122" i="1"/>
  <c r="U120" i="1"/>
  <c r="U118" i="1"/>
  <c r="U116" i="1"/>
  <c r="U114" i="1"/>
  <c r="U112" i="1"/>
  <c r="U110" i="1"/>
  <c r="U108" i="1"/>
  <c r="U106" i="1"/>
  <c r="U104" i="1"/>
  <c r="U102" i="1"/>
  <c r="U100" i="1"/>
  <c r="U97" i="1"/>
  <c r="U95" i="1"/>
  <c r="U93" i="1"/>
  <c r="U91" i="1"/>
  <c r="U89" i="1"/>
  <c r="U87" i="1"/>
  <c r="U85" i="1"/>
  <c r="U83" i="1"/>
  <c r="U81" i="1"/>
  <c r="U79" i="1"/>
  <c r="U77" i="1"/>
  <c r="U75" i="1"/>
  <c r="U73" i="1"/>
  <c r="U71" i="1"/>
  <c r="U69" i="1"/>
  <c r="U67" i="1"/>
  <c r="U64" i="1"/>
  <c r="U62" i="1"/>
  <c r="U60" i="1"/>
  <c r="U58" i="1"/>
  <c r="U56" i="1"/>
  <c r="U54" i="1"/>
  <c r="U52" i="1"/>
  <c r="U50" i="1"/>
  <c r="U48" i="1"/>
  <c r="U46" i="1"/>
  <c r="U44" i="1"/>
  <c r="U42" i="1"/>
  <c r="U40" i="1"/>
  <c r="U38" i="1"/>
  <c r="U36" i="1"/>
  <c r="U33" i="1"/>
  <c r="U31" i="1"/>
  <c r="U29" i="1"/>
  <c r="U27" i="1"/>
  <c r="U25" i="1"/>
  <c r="U23" i="1"/>
  <c r="U21" i="1"/>
  <c r="U19" i="1"/>
  <c r="U17" i="1"/>
  <c r="U15" i="1"/>
  <c r="U13" i="1"/>
  <c r="U11" i="1"/>
  <c r="U9" i="1"/>
  <c r="U7" i="1"/>
  <c r="U5" i="1"/>
  <c r="U3" i="1"/>
  <c r="B29" i="1"/>
  <c r="B28" i="1"/>
  <c r="AP6" i="1" l="1"/>
  <c r="AP12" i="1"/>
  <c r="AP9" i="1"/>
  <c r="AP19" i="1"/>
  <c r="AS19" i="1" s="1"/>
  <c r="AP4" i="1"/>
  <c r="AP7" i="1"/>
  <c r="B31" i="1"/>
  <c r="AP18" i="1"/>
  <c r="AS18" i="1" s="1"/>
  <c r="AP3" i="1"/>
  <c r="AP17" i="1"/>
  <c r="AS17" i="1" s="1"/>
  <c r="AG22" i="1" s="1"/>
  <c r="AN21" i="1"/>
  <c r="AM21" i="1"/>
  <c r="AO21" i="1"/>
  <c r="AP8" i="1"/>
  <c r="AP5" i="1"/>
  <c r="AP11" i="1"/>
  <c r="AP10" i="1"/>
  <c r="AH30" i="1"/>
  <c r="AR29" i="1"/>
  <c r="AP27" i="1"/>
  <c r="AS27" i="1" s="1"/>
  <c r="AO28" i="1"/>
  <c r="AM28" i="1"/>
  <c r="AN28" i="1"/>
  <c r="AK29" i="1"/>
  <c r="AI29" i="1"/>
  <c r="AL29" i="1"/>
  <c r="AJ29" i="1"/>
  <c r="X5" i="1"/>
  <c r="Y5" i="1" s="1"/>
  <c r="X9" i="1"/>
  <c r="Y9" i="1" s="1"/>
  <c r="X13" i="1"/>
  <c r="Y13" i="1" s="1"/>
  <c r="X17" i="1"/>
  <c r="Y17" i="1" s="1"/>
  <c r="X21" i="1"/>
  <c r="Y21" i="1" s="1"/>
  <c r="X25" i="1"/>
  <c r="Y25" i="1" s="1"/>
  <c r="X29" i="1"/>
  <c r="Y29" i="1" s="1"/>
  <c r="X33" i="1"/>
  <c r="Y33" i="1" s="1"/>
  <c r="X38" i="1"/>
  <c r="Y38" i="1" s="1"/>
  <c r="X42" i="1"/>
  <c r="Y42" i="1" s="1"/>
  <c r="X46" i="1"/>
  <c r="Y46" i="1" s="1"/>
  <c r="X50" i="1"/>
  <c r="Y50" i="1" s="1"/>
  <c r="X54" i="1"/>
  <c r="Y54" i="1" s="1"/>
  <c r="X58" i="1"/>
  <c r="Y58" i="1" s="1"/>
  <c r="X62" i="1"/>
  <c r="Y62" i="1" s="1"/>
  <c r="X67" i="1"/>
  <c r="Y67" i="1" s="1"/>
  <c r="X71" i="1"/>
  <c r="Y71" i="1" s="1"/>
  <c r="X75" i="1"/>
  <c r="Y75" i="1" s="1"/>
  <c r="X79" i="1"/>
  <c r="Y79" i="1" s="1"/>
  <c r="X83" i="1"/>
  <c r="Y83" i="1" s="1"/>
  <c r="X87" i="1"/>
  <c r="Y87" i="1" s="1"/>
  <c r="X91" i="1"/>
  <c r="Y91" i="1" s="1"/>
  <c r="X95" i="1"/>
  <c r="Y95" i="1" s="1"/>
  <c r="X100" i="1"/>
  <c r="Y100" i="1" s="1"/>
  <c r="X104" i="1"/>
  <c r="Y104" i="1" s="1"/>
  <c r="X108" i="1"/>
  <c r="Y108" i="1" s="1"/>
  <c r="X112" i="1"/>
  <c r="Y112" i="1" s="1"/>
  <c r="X116" i="1"/>
  <c r="Y116" i="1" s="1"/>
  <c r="X120" i="1"/>
  <c r="Y120" i="1" s="1"/>
  <c r="X124" i="1"/>
  <c r="Y124" i="1" s="1"/>
  <c r="X128" i="1"/>
  <c r="Y128" i="1" s="1"/>
  <c r="X133" i="1"/>
  <c r="Y133" i="1" s="1"/>
  <c r="X137" i="1"/>
  <c r="Y137" i="1" s="1"/>
  <c r="X141" i="1"/>
  <c r="Y141" i="1" s="1"/>
  <c r="X145" i="1"/>
  <c r="Y145" i="1" s="1"/>
  <c r="X149" i="1"/>
  <c r="Y149" i="1" s="1"/>
  <c r="X153" i="1"/>
  <c r="Y153" i="1" s="1"/>
  <c r="X157" i="1"/>
  <c r="Y157" i="1" s="1"/>
  <c r="X161" i="1"/>
  <c r="Y161" i="1" s="1"/>
  <c r="X166" i="1"/>
  <c r="Y166" i="1" s="1"/>
  <c r="X170" i="1"/>
  <c r="Y170" i="1" s="1"/>
  <c r="X174" i="1"/>
  <c r="Y174" i="1" s="1"/>
  <c r="X178" i="1"/>
  <c r="Y178" i="1" s="1"/>
  <c r="X182" i="1"/>
  <c r="Y182" i="1" s="1"/>
  <c r="X187" i="1"/>
  <c r="Y187" i="1" s="1"/>
  <c r="X191" i="1"/>
  <c r="Y191" i="1" s="1"/>
  <c r="X195" i="1"/>
  <c r="Y195" i="1" s="1"/>
  <c r="X200" i="1"/>
  <c r="Y200" i="1" s="1"/>
  <c r="X204" i="1"/>
  <c r="Y204" i="1" s="1"/>
  <c r="X208" i="1"/>
  <c r="Y208" i="1" s="1"/>
  <c r="X212" i="1"/>
  <c r="Y212" i="1" s="1"/>
  <c r="X217" i="1"/>
  <c r="Y217" i="1" s="1"/>
  <c r="X221" i="1"/>
  <c r="Y221" i="1" s="1"/>
  <c r="X225" i="1"/>
  <c r="Y225" i="1" s="1"/>
  <c r="X229" i="1"/>
  <c r="Y229" i="1" s="1"/>
  <c r="X234" i="1"/>
  <c r="Y234" i="1" s="1"/>
  <c r="X238" i="1"/>
  <c r="Y238" i="1" s="1"/>
  <c r="X242" i="1"/>
  <c r="Y242" i="1" s="1"/>
  <c r="X246" i="1"/>
  <c r="Y246" i="1" s="1"/>
  <c r="X251" i="1"/>
  <c r="Y251" i="1" s="1"/>
  <c r="X255" i="1"/>
  <c r="Y255" i="1" s="1"/>
  <c r="X259" i="1"/>
  <c r="Y259" i="1" s="1"/>
  <c r="X264" i="1"/>
  <c r="Y264" i="1" s="1"/>
  <c r="X268" i="1"/>
  <c r="Y268" i="1" s="1"/>
  <c r="X272" i="1"/>
  <c r="Y272" i="1" s="1"/>
  <c r="X276" i="1"/>
  <c r="Y276" i="1" s="1"/>
  <c r="X281" i="1"/>
  <c r="Y281" i="1" s="1"/>
  <c r="X285" i="1"/>
  <c r="Y285" i="1" s="1"/>
  <c r="X289" i="1"/>
  <c r="Y289" i="1" s="1"/>
  <c r="X293" i="1"/>
  <c r="Y293" i="1" s="1"/>
  <c r="X298" i="1"/>
  <c r="Y298" i="1" s="1"/>
  <c r="X302" i="1"/>
  <c r="Y302" i="1" s="1"/>
  <c r="X306" i="1"/>
  <c r="Y306" i="1" s="1"/>
  <c r="X310" i="1"/>
  <c r="Y310" i="1" s="1"/>
  <c r="X315" i="1"/>
  <c r="Y315" i="1" s="1"/>
  <c r="X319" i="1"/>
  <c r="Y319" i="1" s="1"/>
  <c r="X323" i="1"/>
  <c r="Y323" i="1" s="1"/>
  <c r="X328" i="1"/>
  <c r="Y328" i="1" s="1"/>
  <c r="X332" i="1"/>
  <c r="Y332" i="1" s="1"/>
  <c r="X336" i="1"/>
  <c r="Y336" i="1" s="1"/>
  <c r="X340" i="1"/>
  <c r="Y340" i="1" s="1"/>
  <c r="X345" i="1"/>
  <c r="Y345" i="1" s="1"/>
  <c r="X349" i="1"/>
  <c r="Y349" i="1" s="1"/>
  <c r="X353" i="1"/>
  <c r="Y353" i="1" s="1"/>
  <c r="X357" i="1"/>
  <c r="Y357" i="1" s="1"/>
  <c r="X362" i="1"/>
  <c r="Y362" i="1" s="1"/>
  <c r="X366" i="1"/>
  <c r="Y366" i="1" s="1"/>
  <c r="X370" i="1"/>
  <c r="Y370" i="1" s="1"/>
  <c r="X374" i="1"/>
  <c r="Y374" i="1" s="1"/>
  <c r="X379" i="1"/>
  <c r="Y379" i="1" s="1"/>
  <c r="X383" i="1"/>
  <c r="Y383" i="1" s="1"/>
  <c r="X387" i="1"/>
  <c r="Y387" i="1" s="1"/>
  <c r="X392" i="1"/>
  <c r="Y392" i="1" s="1"/>
  <c r="X396" i="1"/>
  <c r="Y396" i="1" s="1"/>
  <c r="X400" i="1"/>
  <c r="Y400" i="1" s="1"/>
  <c r="X404" i="1"/>
  <c r="Y404" i="1" s="1"/>
  <c r="X409" i="1"/>
  <c r="Y409" i="1" s="1"/>
  <c r="X413" i="1"/>
  <c r="Y413" i="1" s="1"/>
  <c r="X417" i="1"/>
  <c r="Y417" i="1" s="1"/>
  <c r="X421" i="1"/>
  <c r="Y421" i="1" s="1"/>
  <c r="X426" i="1"/>
  <c r="Y426" i="1" s="1"/>
  <c r="X430" i="1"/>
  <c r="Y430" i="1" s="1"/>
  <c r="X435" i="1"/>
  <c r="Y435" i="1" s="1"/>
  <c r="X439" i="1"/>
  <c r="Y439" i="1" s="1"/>
  <c r="X444" i="1"/>
  <c r="Y444" i="1" s="1"/>
  <c r="X448" i="1"/>
  <c r="Y448" i="1" s="1"/>
  <c r="X453" i="1"/>
  <c r="Y453" i="1" s="1"/>
  <c r="X458" i="1"/>
  <c r="Y458" i="1" s="1"/>
  <c r="X462" i="1"/>
  <c r="Y462" i="1" s="1"/>
  <c r="X467" i="1"/>
  <c r="Y467" i="1" s="1"/>
  <c r="X471" i="1"/>
  <c r="Y471" i="1" s="1"/>
  <c r="X476" i="1"/>
  <c r="Y476" i="1" s="1"/>
  <c r="X480" i="1"/>
  <c r="Y480" i="1" s="1"/>
  <c r="X485" i="1"/>
  <c r="Y485" i="1" s="1"/>
  <c r="X490" i="1"/>
  <c r="Y490" i="1" s="1"/>
  <c r="X494" i="1"/>
  <c r="Y494" i="1" s="1"/>
  <c r="X499" i="1"/>
  <c r="Y499" i="1" s="1"/>
  <c r="X503" i="1"/>
  <c r="Y503" i="1" s="1"/>
  <c r="X508" i="1"/>
  <c r="Y508" i="1" s="1"/>
  <c r="X512" i="1"/>
  <c r="Y512" i="1" s="1"/>
  <c r="X517" i="1"/>
  <c r="Y517" i="1" s="1"/>
  <c r="X522" i="1"/>
  <c r="Y522" i="1" s="1"/>
  <c r="X526" i="1"/>
  <c r="Y526" i="1" s="1"/>
  <c r="X531" i="1"/>
  <c r="Y531" i="1" s="1"/>
  <c r="X535" i="1"/>
  <c r="Y535" i="1" s="1"/>
  <c r="X540" i="1"/>
  <c r="Y540" i="1" s="1"/>
  <c r="X544" i="1"/>
  <c r="Y544" i="1" s="1"/>
  <c r="X549" i="1"/>
  <c r="Y549" i="1" s="1"/>
  <c r="X554" i="1"/>
  <c r="Y554" i="1" s="1"/>
  <c r="X558" i="1"/>
  <c r="Y558" i="1" s="1"/>
  <c r="X563" i="1"/>
  <c r="Y563" i="1" s="1"/>
  <c r="X567" i="1"/>
  <c r="Y567" i="1" s="1"/>
  <c r="X572" i="1"/>
  <c r="Y572" i="1" s="1"/>
  <c r="X576" i="1"/>
  <c r="Y576" i="1" s="1"/>
  <c r="X581" i="1"/>
  <c r="Y581" i="1" s="1"/>
  <c r="X586" i="1"/>
  <c r="Y586" i="1" s="1"/>
  <c r="X590" i="1"/>
  <c r="Y590" i="1" s="1"/>
  <c r="X595" i="1"/>
  <c r="Y595" i="1" s="1"/>
  <c r="X599" i="1"/>
  <c r="Y599" i="1" s="1"/>
  <c r="X604" i="1"/>
  <c r="Y604" i="1" s="1"/>
  <c r="X608" i="1"/>
  <c r="Y608" i="1" s="1"/>
  <c r="X613" i="1"/>
  <c r="Y613" i="1" s="1"/>
  <c r="X618" i="1"/>
  <c r="Y618" i="1" s="1"/>
  <c r="X622" i="1"/>
  <c r="Y622" i="1" s="1"/>
  <c r="X627" i="1"/>
  <c r="Y627" i="1" s="1"/>
  <c r="X631" i="1"/>
  <c r="Y631" i="1" s="1"/>
  <c r="X636" i="1"/>
  <c r="Y636" i="1" s="1"/>
  <c r="X640" i="1"/>
  <c r="Y640" i="1" s="1"/>
  <c r="X645" i="1"/>
  <c r="Y645" i="1" s="1"/>
  <c r="X650" i="1"/>
  <c r="Y650" i="1" s="1"/>
  <c r="X654" i="1"/>
  <c r="Y654" i="1" s="1"/>
  <c r="X659" i="1"/>
  <c r="Y659" i="1" s="1"/>
  <c r="X663" i="1"/>
  <c r="Y663" i="1" s="1"/>
  <c r="X668" i="1"/>
  <c r="Y668" i="1" s="1"/>
  <c r="X672" i="1"/>
  <c r="Y672" i="1" s="1"/>
  <c r="X677" i="1"/>
  <c r="Y677" i="1" s="1"/>
  <c r="X682" i="1"/>
  <c r="Y682" i="1" s="1"/>
  <c r="X686" i="1"/>
  <c r="Y686" i="1" s="1"/>
  <c r="X691" i="1"/>
  <c r="Y691" i="1" s="1"/>
  <c r="X695" i="1"/>
  <c r="Y695" i="1" s="1"/>
  <c r="X700" i="1"/>
  <c r="Y700" i="1" s="1"/>
  <c r="X704" i="1"/>
  <c r="Y704" i="1" s="1"/>
  <c r="X709" i="1"/>
  <c r="Y709" i="1" s="1"/>
  <c r="X714" i="1"/>
  <c r="Y714" i="1" s="1"/>
  <c r="X718" i="1"/>
  <c r="Y718" i="1" s="1"/>
  <c r="X723" i="1"/>
  <c r="Y723" i="1" s="1"/>
  <c r="X727" i="1"/>
  <c r="Y727" i="1" s="1"/>
  <c r="X732" i="1"/>
  <c r="Y732" i="1" s="1"/>
  <c r="X736" i="1"/>
  <c r="Y736" i="1" s="1"/>
  <c r="X741" i="1"/>
  <c r="Y741" i="1" s="1"/>
  <c r="X746" i="1"/>
  <c r="Y746" i="1" s="1"/>
  <c r="X750" i="1"/>
  <c r="Y750" i="1" s="1"/>
  <c r="X755" i="1"/>
  <c r="Y755" i="1" s="1"/>
  <c r="X759" i="1"/>
  <c r="Y759" i="1" s="1"/>
  <c r="X764" i="1"/>
  <c r="Y764" i="1" s="1"/>
  <c r="X768" i="1"/>
  <c r="Y768" i="1" s="1"/>
  <c r="X773" i="1"/>
  <c r="Y773" i="1" s="1"/>
  <c r="X778" i="1"/>
  <c r="Y778" i="1" s="1"/>
  <c r="X782" i="1"/>
  <c r="Y782" i="1" s="1"/>
  <c r="X787" i="1"/>
  <c r="Y787" i="1" s="1"/>
  <c r="X791" i="1"/>
  <c r="Y791" i="1" s="1"/>
  <c r="X796" i="1"/>
  <c r="Y796" i="1" s="1"/>
  <c r="X800" i="1"/>
  <c r="Y800" i="1" s="1"/>
  <c r="X805" i="1"/>
  <c r="Y805" i="1" s="1"/>
  <c r="X810" i="1"/>
  <c r="Y810" i="1" s="1"/>
  <c r="X814" i="1"/>
  <c r="Y814" i="1" s="1"/>
  <c r="X819" i="1"/>
  <c r="Y819" i="1" s="1"/>
  <c r="X823" i="1"/>
  <c r="Y823" i="1" s="1"/>
  <c r="X828" i="1"/>
  <c r="Y828" i="1" s="1"/>
  <c r="X832" i="1"/>
  <c r="Y832" i="1" s="1"/>
  <c r="X837" i="1"/>
  <c r="Y837" i="1" s="1"/>
  <c r="X842" i="1"/>
  <c r="Y842" i="1" s="1"/>
  <c r="X846" i="1"/>
  <c r="Y846" i="1" s="1"/>
  <c r="X851" i="1"/>
  <c r="Y851" i="1" s="1"/>
  <c r="X855" i="1"/>
  <c r="Y855" i="1" s="1"/>
  <c r="X860" i="1"/>
  <c r="Y860" i="1" s="1"/>
  <c r="X864" i="1"/>
  <c r="Y864" i="1" s="1"/>
  <c r="X869" i="1"/>
  <c r="Y869" i="1" s="1"/>
  <c r="X874" i="1"/>
  <c r="Y874" i="1" s="1"/>
  <c r="X878" i="1"/>
  <c r="Y878" i="1" s="1"/>
  <c r="X883" i="1"/>
  <c r="Y883" i="1" s="1"/>
  <c r="X887" i="1"/>
  <c r="Y887" i="1" s="1"/>
  <c r="X892" i="1"/>
  <c r="Y892" i="1" s="1"/>
  <c r="X896" i="1"/>
  <c r="Y896" i="1" s="1"/>
  <c r="X901" i="1"/>
  <c r="Y901" i="1" s="1"/>
  <c r="X906" i="1"/>
  <c r="Y906" i="1" s="1"/>
  <c r="X910" i="1"/>
  <c r="Y910" i="1" s="1"/>
  <c r="X915" i="1"/>
  <c r="Y915" i="1" s="1"/>
  <c r="X919" i="1"/>
  <c r="Y919" i="1" s="1"/>
  <c r="X924" i="1"/>
  <c r="Y924" i="1" s="1"/>
  <c r="X928" i="1"/>
  <c r="Y928" i="1" s="1"/>
  <c r="X933" i="1"/>
  <c r="Y933" i="1" s="1"/>
  <c r="X938" i="1"/>
  <c r="Y938" i="1" s="1"/>
  <c r="X943" i="1"/>
  <c r="Y943" i="1" s="1"/>
  <c r="X948" i="1"/>
  <c r="Y948" i="1" s="1"/>
  <c r="X953" i="1"/>
  <c r="Y953" i="1" s="1"/>
  <c r="X959" i="1"/>
  <c r="Y959" i="1" s="1"/>
  <c r="X964" i="1"/>
  <c r="Y964" i="1" s="1"/>
  <c r="X969" i="1"/>
  <c r="Y969" i="1" s="1"/>
  <c r="X975" i="1"/>
  <c r="Y975" i="1" s="1"/>
  <c r="X980" i="1"/>
  <c r="Y980" i="1" s="1"/>
  <c r="X985" i="1"/>
  <c r="Y985" i="1" s="1"/>
  <c r="X991" i="1"/>
  <c r="Y991" i="1" s="1"/>
  <c r="X996" i="1"/>
  <c r="Y996" i="1" s="1"/>
  <c r="X1001" i="1"/>
  <c r="Y1001" i="1" s="1"/>
  <c r="X1007" i="1"/>
  <c r="Y1007" i="1" s="1"/>
  <c r="X1012" i="1"/>
  <c r="Y1012" i="1" s="1"/>
  <c r="X1017" i="1"/>
  <c r="Y1017" i="1" s="1"/>
  <c r="X1023" i="1"/>
  <c r="Y1023" i="1" s="1"/>
  <c r="X1028" i="1"/>
  <c r="Y1028" i="1" s="1"/>
  <c r="X1033" i="1"/>
  <c r="Y1033" i="1" s="1"/>
  <c r="X1039" i="1"/>
  <c r="Y1039" i="1" s="1"/>
  <c r="X1044" i="1"/>
  <c r="Y1044" i="1" s="1"/>
  <c r="X1049" i="1"/>
  <c r="Y1049" i="1" s="1"/>
  <c r="X1055" i="1"/>
  <c r="Y1055" i="1" s="1"/>
  <c r="X1060" i="1"/>
  <c r="Y1060" i="1" s="1"/>
  <c r="X1065" i="1"/>
  <c r="Y1065" i="1" s="1"/>
  <c r="X1071" i="1"/>
  <c r="Y1071" i="1" s="1"/>
  <c r="X1076" i="1"/>
  <c r="Y1076" i="1" s="1"/>
  <c r="X1081" i="1"/>
  <c r="Y1081" i="1" s="1"/>
  <c r="X1087" i="1"/>
  <c r="Y1087" i="1" s="1"/>
  <c r="X1092" i="1"/>
  <c r="Y1092" i="1" s="1"/>
  <c r="X1097" i="1"/>
  <c r="Y1097" i="1" s="1"/>
  <c r="X1103" i="1"/>
  <c r="Y1103" i="1" s="1"/>
  <c r="X1108" i="1"/>
  <c r="Y1108" i="1" s="1"/>
  <c r="X1113" i="1"/>
  <c r="Y1113" i="1" s="1"/>
  <c r="X1119" i="1"/>
  <c r="Y1119" i="1" s="1"/>
  <c r="X1124" i="1"/>
  <c r="Y1124" i="1" s="1"/>
  <c r="X1129" i="1"/>
  <c r="Y1129" i="1" s="1"/>
  <c r="X1135" i="1"/>
  <c r="Y1135" i="1" s="1"/>
  <c r="X1140" i="1"/>
  <c r="Y1140" i="1" s="1"/>
  <c r="X1145" i="1"/>
  <c r="Y1145" i="1" s="1"/>
  <c r="X1151" i="1"/>
  <c r="Y1151" i="1" s="1"/>
  <c r="X1156" i="1"/>
  <c r="Y1156" i="1" s="1"/>
  <c r="X1161" i="1"/>
  <c r="Y1161" i="1" s="1"/>
  <c r="X1167" i="1"/>
  <c r="Y1167" i="1" s="1"/>
  <c r="X1172" i="1"/>
  <c r="Y1172" i="1" s="1"/>
  <c r="X1177" i="1"/>
  <c r="Y1177" i="1" s="1"/>
  <c r="X1183" i="1"/>
  <c r="Y1183" i="1" s="1"/>
  <c r="X1188" i="1"/>
  <c r="Y1188" i="1" s="1"/>
  <c r="X1193" i="1"/>
  <c r="Y1193" i="1" s="1"/>
  <c r="X1199" i="1"/>
  <c r="Y1199" i="1" s="1"/>
  <c r="X1204" i="1"/>
  <c r="Y1204" i="1" s="1"/>
  <c r="X1209" i="1"/>
  <c r="Y1209" i="1" s="1"/>
  <c r="X1215" i="1"/>
  <c r="Y1215" i="1" s="1"/>
  <c r="X1220" i="1"/>
  <c r="Y1220" i="1" s="1"/>
  <c r="X1225" i="1"/>
  <c r="Y1225" i="1" s="1"/>
  <c r="X1231" i="1"/>
  <c r="Y1231" i="1" s="1"/>
  <c r="X1236" i="1"/>
  <c r="Y1236" i="1" s="1"/>
  <c r="X1241" i="1"/>
  <c r="Y1241" i="1" s="1"/>
  <c r="X1247" i="1"/>
  <c r="Y1247" i="1" s="1"/>
  <c r="X1252" i="1"/>
  <c r="Y1252" i="1" s="1"/>
  <c r="X1257" i="1"/>
  <c r="Y1257" i="1" s="1"/>
  <c r="X1263" i="1"/>
  <c r="Y1263" i="1" s="1"/>
  <c r="X1268" i="1"/>
  <c r="Y1268" i="1" s="1"/>
  <c r="X1273" i="1"/>
  <c r="Y1273" i="1" s="1"/>
  <c r="X1279" i="1"/>
  <c r="Y1279" i="1" s="1"/>
  <c r="X1284" i="1"/>
  <c r="Y1284" i="1" s="1"/>
  <c r="X1289" i="1"/>
  <c r="Y1289" i="1" s="1"/>
  <c r="X1295" i="1"/>
  <c r="Y1295" i="1" s="1"/>
  <c r="X1300" i="1"/>
  <c r="Y1300" i="1" s="1"/>
  <c r="X1305" i="1"/>
  <c r="Y1305" i="1" s="1"/>
  <c r="X1311" i="1"/>
  <c r="Y1311" i="1" s="1"/>
  <c r="X1316" i="1"/>
  <c r="Y1316" i="1" s="1"/>
  <c r="X1321" i="1"/>
  <c r="Y1321" i="1" s="1"/>
  <c r="X1327" i="1"/>
  <c r="Y1327" i="1" s="1"/>
  <c r="X1332" i="1"/>
  <c r="Y1332" i="1" s="1"/>
  <c r="X1337" i="1"/>
  <c r="Y1337" i="1" s="1"/>
  <c r="X1343" i="1"/>
  <c r="Y1343" i="1" s="1"/>
  <c r="X1348" i="1"/>
  <c r="Y1348" i="1" s="1"/>
  <c r="X1353" i="1"/>
  <c r="Y1353" i="1" s="1"/>
  <c r="X1359" i="1"/>
  <c r="Y1359" i="1" s="1"/>
  <c r="X1364" i="1"/>
  <c r="Y1364" i="1" s="1"/>
  <c r="X1369" i="1"/>
  <c r="Y1369" i="1" s="1"/>
  <c r="X1375" i="1"/>
  <c r="Y1375" i="1" s="1"/>
  <c r="X1380" i="1"/>
  <c r="Y1380" i="1" s="1"/>
  <c r="X1385" i="1"/>
  <c r="Y1385" i="1" s="1"/>
  <c r="X1391" i="1"/>
  <c r="Y1391" i="1" s="1"/>
  <c r="X1396" i="1"/>
  <c r="Y1396" i="1" s="1"/>
  <c r="X1401" i="1"/>
  <c r="Y1401" i="1" s="1"/>
  <c r="X1407" i="1"/>
  <c r="Y1407" i="1" s="1"/>
  <c r="X1412" i="1"/>
  <c r="Y1412" i="1" s="1"/>
  <c r="X1417" i="1"/>
  <c r="Y1417" i="1" s="1"/>
  <c r="X1423" i="1"/>
  <c r="Y1423" i="1" s="1"/>
  <c r="X1428" i="1"/>
  <c r="Y1428" i="1" s="1"/>
  <c r="X1433" i="1"/>
  <c r="Y1433" i="1" s="1"/>
  <c r="X1439" i="1"/>
  <c r="Y1439" i="1" s="1"/>
  <c r="X1444" i="1"/>
  <c r="Y1444" i="1" s="1"/>
  <c r="X1449" i="1"/>
  <c r="Y1449" i="1" s="1"/>
  <c r="X1455" i="1"/>
  <c r="Y1455" i="1" s="1"/>
  <c r="X1460" i="1"/>
  <c r="Y1460" i="1" s="1"/>
  <c r="X1465" i="1"/>
  <c r="Y1465" i="1" s="1"/>
  <c r="X1471" i="1"/>
  <c r="Y1471" i="1" s="1"/>
  <c r="X1476" i="1"/>
  <c r="Y1476" i="1" s="1"/>
  <c r="X1481" i="1"/>
  <c r="Y1481" i="1" s="1"/>
  <c r="X1487" i="1"/>
  <c r="Y1487" i="1" s="1"/>
  <c r="X1492" i="1"/>
  <c r="Y1492" i="1" s="1"/>
  <c r="X1497" i="1"/>
  <c r="Y1497" i="1" s="1"/>
  <c r="X1503" i="1"/>
  <c r="Y1503" i="1" s="1"/>
  <c r="X1508" i="1"/>
  <c r="Y1508" i="1" s="1"/>
  <c r="X1513" i="1"/>
  <c r="Y1513" i="1" s="1"/>
  <c r="X1519" i="1"/>
  <c r="Y1519" i="1" s="1"/>
  <c r="X1524" i="1"/>
  <c r="Y1524" i="1" s="1"/>
  <c r="X1529" i="1"/>
  <c r="Y1529" i="1" s="1"/>
  <c r="X1535" i="1"/>
  <c r="Y1535" i="1" s="1"/>
  <c r="X1540" i="1"/>
  <c r="Y1540" i="1" s="1"/>
  <c r="X1545" i="1"/>
  <c r="Y1545" i="1" s="1"/>
  <c r="X1551" i="1"/>
  <c r="Y1551" i="1" s="1"/>
  <c r="X1556" i="1"/>
  <c r="Y1556" i="1" s="1"/>
  <c r="X1561" i="1"/>
  <c r="Y1561" i="1" s="1"/>
  <c r="X1567" i="1"/>
  <c r="Y1567" i="1" s="1"/>
  <c r="X1572" i="1"/>
  <c r="Y1572" i="1" s="1"/>
  <c r="X1577" i="1"/>
  <c r="Y1577" i="1" s="1"/>
  <c r="X1583" i="1"/>
  <c r="Y1583" i="1" s="1"/>
  <c r="X1588" i="1"/>
  <c r="Y1588" i="1" s="1"/>
  <c r="X1593" i="1"/>
  <c r="Y1593" i="1" s="1"/>
  <c r="X1599" i="1"/>
  <c r="Y1599" i="1" s="1"/>
  <c r="X1604" i="1"/>
  <c r="Y1604" i="1" s="1"/>
  <c r="X1609" i="1"/>
  <c r="Y1609" i="1" s="1"/>
  <c r="X1615" i="1"/>
  <c r="Y1615" i="1" s="1"/>
  <c r="X1620" i="1"/>
  <c r="Y1620" i="1" s="1"/>
  <c r="X1625" i="1"/>
  <c r="Y1625" i="1" s="1"/>
  <c r="X1631" i="1"/>
  <c r="Y1631" i="1" s="1"/>
  <c r="X1636" i="1"/>
  <c r="Y1636" i="1" s="1"/>
  <c r="X1641" i="1"/>
  <c r="Y1641" i="1" s="1"/>
  <c r="X1647" i="1"/>
  <c r="Y1647" i="1" s="1"/>
  <c r="X1652" i="1"/>
  <c r="Y1652" i="1" s="1"/>
  <c r="X1657" i="1"/>
  <c r="Y1657" i="1" s="1"/>
  <c r="X1663" i="1"/>
  <c r="Y1663" i="1" s="1"/>
  <c r="X1668" i="1"/>
  <c r="Y1668" i="1" s="1"/>
  <c r="X1673" i="1"/>
  <c r="Y1673" i="1" s="1"/>
  <c r="X1679" i="1"/>
  <c r="Y1679" i="1" s="1"/>
  <c r="X1684" i="1"/>
  <c r="Y1684" i="1" s="1"/>
  <c r="X1689" i="1"/>
  <c r="Y1689" i="1" s="1"/>
  <c r="X1695" i="1"/>
  <c r="Y1695" i="1" s="1"/>
  <c r="X1700" i="1"/>
  <c r="Y1700" i="1" s="1"/>
  <c r="X1705" i="1"/>
  <c r="Y1705" i="1" s="1"/>
  <c r="X1711" i="1"/>
  <c r="Y1711" i="1" s="1"/>
  <c r="X1716" i="1"/>
  <c r="Y1716" i="1" s="1"/>
  <c r="X1721" i="1"/>
  <c r="Y1721" i="1" s="1"/>
  <c r="X1727" i="1"/>
  <c r="Y1727" i="1" s="1"/>
  <c r="X1732" i="1"/>
  <c r="Y1732" i="1" s="1"/>
  <c r="X1737" i="1"/>
  <c r="Y1737" i="1" s="1"/>
  <c r="X1743" i="1"/>
  <c r="Y1743" i="1" s="1"/>
  <c r="X1748" i="1"/>
  <c r="Y1748" i="1" s="1"/>
  <c r="X1753" i="1"/>
  <c r="Y1753" i="1" s="1"/>
  <c r="X1759" i="1"/>
  <c r="Y1759" i="1" s="1"/>
  <c r="X1764" i="1"/>
  <c r="Y1764" i="1" s="1"/>
  <c r="X1769" i="1"/>
  <c r="Y1769" i="1" s="1"/>
  <c r="X1775" i="1"/>
  <c r="Y1775" i="1" s="1"/>
  <c r="X1780" i="1"/>
  <c r="Y1780" i="1" s="1"/>
  <c r="X1785" i="1"/>
  <c r="Y1785" i="1" s="1"/>
  <c r="X1791" i="1"/>
  <c r="Y1791" i="1" s="1"/>
  <c r="X1796" i="1"/>
  <c r="Y1796" i="1" s="1"/>
  <c r="X1801" i="1"/>
  <c r="Y1801" i="1" s="1"/>
  <c r="X1807" i="1"/>
  <c r="Y1807" i="1" s="1"/>
  <c r="X1812" i="1"/>
  <c r="Y1812" i="1" s="1"/>
  <c r="X1817" i="1"/>
  <c r="Y1817" i="1" s="1"/>
  <c r="X1823" i="1"/>
  <c r="Y1823" i="1" s="1"/>
  <c r="X1828" i="1"/>
  <c r="Y1828" i="1" s="1"/>
  <c r="X1833" i="1"/>
  <c r="Y1833" i="1" s="1"/>
  <c r="X1839" i="1"/>
  <c r="Y1839" i="1" s="1"/>
  <c r="X1844" i="1"/>
  <c r="Y1844" i="1" s="1"/>
  <c r="X1849" i="1"/>
  <c r="Y1849" i="1" s="1"/>
  <c r="X1855" i="1"/>
  <c r="Y1855" i="1" s="1"/>
  <c r="X1860" i="1"/>
  <c r="Y1860" i="1" s="1"/>
  <c r="X1865" i="1"/>
  <c r="Y1865" i="1" s="1"/>
  <c r="X1871" i="1"/>
  <c r="Y1871" i="1" s="1"/>
  <c r="X162" i="1"/>
  <c r="Y162" i="1" s="1"/>
  <c r="X295" i="1"/>
  <c r="Y295" i="1" s="1"/>
  <c r="X423" i="1"/>
  <c r="Y423" i="1" s="1"/>
  <c r="X489" i="1"/>
  <c r="Y489" i="1" s="1"/>
  <c r="X553" i="1"/>
  <c r="Y553" i="1" s="1"/>
  <c r="X617" i="1"/>
  <c r="Y617" i="1" s="1"/>
  <c r="X681" i="1"/>
  <c r="Y681" i="1" s="1"/>
  <c r="X745" i="1"/>
  <c r="Y745" i="1" s="1"/>
  <c r="X809" i="1"/>
  <c r="Y809" i="1" s="1"/>
  <c r="X873" i="1"/>
  <c r="Y873" i="1" s="1"/>
  <c r="X937" i="1"/>
  <c r="Y937" i="1" s="1"/>
  <c r="X970" i="1"/>
  <c r="Y970" i="1" s="1"/>
  <c r="X1002" i="1"/>
  <c r="Y1002" i="1" s="1"/>
  <c r="X1034" i="1"/>
  <c r="Y1034" i="1" s="1"/>
  <c r="X1066" i="1"/>
  <c r="Y1066" i="1" s="1"/>
  <c r="X1098" i="1"/>
  <c r="Y1098" i="1" s="1"/>
  <c r="X1130" i="1"/>
  <c r="Y1130" i="1" s="1"/>
  <c r="X1162" i="1"/>
  <c r="Y1162" i="1" s="1"/>
  <c r="X1194" i="1"/>
  <c r="Y1194" i="1" s="1"/>
  <c r="X1226" i="1"/>
  <c r="Y1226" i="1" s="1"/>
  <c r="X1258" i="1"/>
  <c r="Y1258" i="1" s="1"/>
  <c r="X1290" i="1"/>
  <c r="Y1290" i="1" s="1"/>
  <c r="X1322" i="1"/>
  <c r="Y1322" i="1" s="1"/>
  <c r="X1354" i="1"/>
  <c r="Y1354" i="1" s="1"/>
  <c r="X1386" i="1"/>
  <c r="Y1386" i="1" s="1"/>
  <c r="X1418" i="1"/>
  <c r="Y1418" i="1" s="1"/>
  <c r="X1450" i="1"/>
  <c r="Y1450" i="1" s="1"/>
  <c r="X1482" i="1"/>
  <c r="Y1482" i="1" s="1"/>
  <c r="X1514" i="1"/>
  <c r="Y1514" i="1" s="1"/>
  <c r="X1546" i="1"/>
  <c r="Y1546" i="1" s="1"/>
  <c r="X1578" i="1"/>
  <c r="Y1578" i="1" s="1"/>
  <c r="X1610" i="1"/>
  <c r="Y1610" i="1" s="1"/>
  <c r="X1642" i="1"/>
  <c r="Y1642" i="1" s="1"/>
  <c r="X1674" i="1"/>
  <c r="Y1674" i="1" s="1"/>
  <c r="X1706" i="1"/>
  <c r="Y1706" i="1" s="1"/>
  <c r="X1738" i="1"/>
  <c r="Y1738" i="1" s="1"/>
  <c r="X1770" i="1"/>
  <c r="Y1770" i="1" s="1"/>
  <c r="X1802" i="1"/>
  <c r="Y1802" i="1" s="1"/>
  <c r="X1834" i="1"/>
  <c r="Y1834" i="1" s="1"/>
  <c r="X1866" i="1"/>
  <c r="Y1866" i="1" s="1"/>
  <c r="X1876" i="1"/>
  <c r="Y1876" i="1" s="1"/>
  <c r="X1881" i="1"/>
  <c r="Y1881" i="1" s="1"/>
  <c r="X1885" i="1"/>
  <c r="Y1885" i="1" s="1"/>
  <c r="X1890" i="1"/>
  <c r="Y1890" i="1" s="1"/>
  <c r="X1895" i="1"/>
  <c r="Y1895" i="1" s="1"/>
  <c r="X1899" i="1"/>
  <c r="Y1899" i="1" s="1"/>
  <c r="X1904" i="1"/>
  <c r="Y1904" i="1" s="1"/>
  <c r="X1908" i="1"/>
  <c r="Y1908" i="1" s="1"/>
  <c r="X1913" i="1"/>
  <c r="Y1913" i="1" s="1"/>
  <c r="X1917" i="1"/>
  <c r="Y1917" i="1" s="1"/>
  <c r="X1922" i="1"/>
  <c r="Y1922" i="1" s="1"/>
  <c r="X1927" i="1"/>
  <c r="Y1927" i="1" s="1"/>
  <c r="X1931" i="1"/>
  <c r="Y1931" i="1" s="1"/>
  <c r="X1936" i="1"/>
  <c r="Y1936" i="1" s="1"/>
  <c r="X1940" i="1"/>
  <c r="Y1940" i="1" s="1"/>
  <c r="X1945" i="1"/>
  <c r="Y1945" i="1" s="1"/>
  <c r="X1949" i="1"/>
  <c r="Y1949" i="1" s="1"/>
  <c r="X1954" i="1"/>
  <c r="Y1954" i="1" s="1"/>
  <c r="X1959" i="1"/>
  <c r="Y1959" i="1" s="1"/>
  <c r="X1963" i="1"/>
  <c r="Y1963" i="1" s="1"/>
  <c r="X1969" i="1"/>
  <c r="Y1969" i="1" s="1"/>
  <c r="X1974" i="1"/>
  <c r="Y1974" i="1" s="1"/>
  <c r="X1979" i="1"/>
  <c r="Y1979" i="1" s="1"/>
  <c r="X1985" i="1"/>
  <c r="Y1985" i="1" s="1"/>
  <c r="X1990" i="1"/>
  <c r="Y1990" i="1" s="1"/>
  <c r="X1995" i="1"/>
  <c r="Y1995" i="1" s="1"/>
  <c r="X2001" i="1"/>
  <c r="Y2001" i="1" s="1"/>
  <c r="X2006" i="1"/>
  <c r="Y2006" i="1" s="1"/>
  <c r="X2011" i="1"/>
  <c r="Y2011" i="1" s="1"/>
  <c r="X2017" i="1"/>
  <c r="Y2017" i="1" s="1"/>
  <c r="X2022" i="1"/>
  <c r="Y2022" i="1" s="1"/>
  <c r="X2027" i="1"/>
  <c r="Y2027" i="1" s="1"/>
  <c r="X2033" i="1"/>
  <c r="Y2033" i="1" s="1"/>
  <c r="X2038" i="1"/>
  <c r="Y2038" i="1" s="1"/>
  <c r="X2043" i="1"/>
  <c r="Y2043" i="1" s="1"/>
  <c r="X2049" i="1"/>
  <c r="Y2049" i="1" s="1"/>
  <c r="X2054" i="1"/>
  <c r="Y2054" i="1" s="1"/>
  <c r="X2059" i="1"/>
  <c r="Y2059" i="1" s="1"/>
  <c r="X2065" i="1"/>
  <c r="Y2065" i="1" s="1"/>
  <c r="X2070" i="1"/>
  <c r="Y2070" i="1" s="1"/>
  <c r="X2075" i="1"/>
  <c r="Y2075" i="1" s="1"/>
  <c r="X2081" i="1"/>
  <c r="Y2081" i="1" s="1"/>
  <c r="X2086" i="1"/>
  <c r="Y2086" i="1" s="1"/>
  <c r="X2091" i="1"/>
  <c r="Y2091" i="1" s="1"/>
  <c r="X2097" i="1"/>
  <c r="Y2097" i="1" s="1"/>
  <c r="X2102" i="1"/>
  <c r="Y2102" i="1" s="1"/>
  <c r="X2107" i="1"/>
  <c r="Y2107" i="1" s="1"/>
  <c r="X2113" i="1"/>
  <c r="Y2113" i="1" s="1"/>
  <c r="X2118" i="1"/>
  <c r="Y2118" i="1" s="1"/>
  <c r="X2123" i="1"/>
  <c r="Y2123" i="1" s="1"/>
  <c r="X2129" i="1"/>
  <c r="Y2129" i="1" s="1"/>
  <c r="X2134" i="1"/>
  <c r="Y2134" i="1" s="1"/>
  <c r="X2139" i="1"/>
  <c r="Y2139" i="1" s="1"/>
  <c r="X2145" i="1"/>
  <c r="Y2145" i="1" s="1"/>
  <c r="X2150" i="1"/>
  <c r="Y2150" i="1" s="1"/>
  <c r="X2155" i="1"/>
  <c r="Y2155" i="1" s="1"/>
  <c r="X2161" i="1"/>
  <c r="Y2161" i="1" s="1"/>
  <c r="X2166" i="1"/>
  <c r="Y2166" i="1" s="1"/>
  <c r="X2171" i="1"/>
  <c r="Y2171" i="1" s="1"/>
  <c r="X2177" i="1"/>
  <c r="Y2177" i="1" s="1"/>
  <c r="X2182" i="1"/>
  <c r="Y2182" i="1" s="1"/>
  <c r="X2187" i="1"/>
  <c r="Y2187" i="1" s="1"/>
  <c r="X2193" i="1"/>
  <c r="Y2193" i="1" s="1"/>
  <c r="X2198" i="1"/>
  <c r="Y2198" i="1" s="1"/>
  <c r="X2203" i="1"/>
  <c r="Y2203" i="1" s="1"/>
  <c r="X2209" i="1"/>
  <c r="Y2209" i="1" s="1"/>
  <c r="X2214" i="1"/>
  <c r="Y2214" i="1" s="1"/>
  <c r="X2219" i="1"/>
  <c r="Y2219" i="1" s="1"/>
  <c r="X2225" i="1"/>
  <c r="Y2225" i="1" s="1"/>
  <c r="X2230" i="1"/>
  <c r="Y2230" i="1" s="1"/>
  <c r="X2235" i="1"/>
  <c r="Y2235" i="1" s="1"/>
  <c r="X2241" i="1"/>
  <c r="Y2241" i="1" s="1"/>
  <c r="X2246" i="1"/>
  <c r="Y2246" i="1" s="1"/>
  <c r="X2251" i="1"/>
  <c r="Y2251" i="1" s="1"/>
  <c r="X2257" i="1"/>
  <c r="Y2257" i="1" s="1"/>
  <c r="X2262" i="1"/>
  <c r="Y2262" i="1" s="1"/>
  <c r="X2267" i="1"/>
  <c r="Y2267" i="1" s="1"/>
  <c r="X2273" i="1"/>
  <c r="Y2273" i="1" s="1"/>
  <c r="X2278" i="1"/>
  <c r="Y2278" i="1" s="1"/>
  <c r="X2283" i="1"/>
  <c r="Y2283" i="1" s="1"/>
  <c r="X2289" i="1"/>
  <c r="Y2289" i="1" s="1"/>
  <c r="X2294" i="1"/>
  <c r="Y2294" i="1" s="1"/>
  <c r="X2299" i="1"/>
  <c r="Y2299" i="1" s="1"/>
  <c r="X2305" i="1"/>
  <c r="Y2305" i="1" s="1"/>
  <c r="X2310" i="1"/>
  <c r="Y2310" i="1" s="1"/>
  <c r="X2315" i="1"/>
  <c r="Y2315" i="1" s="1"/>
  <c r="X2321" i="1"/>
  <c r="Y2321" i="1" s="1"/>
  <c r="X2326" i="1"/>
  <c r="Y2326" i="1" s="1"/>
  <c r="X2331" i="1"/>
  <c r="Y2331" i="1" s="1"/>
  <c r="X2337" i="1"/>
  <c r="Y2337" i="1" s="1"/>
  <c r="X2342" i="1"/>
  <c r="Y2342" i="1" s="1"/>
  <c r="X2347" i="1"/>
  <c r="Y2347" i="1" s="1"/>
  <c r="X2353" i="1"/>
  <c r="Y2353" i="1" s="1"/>
  <c r="X2358" i="1"/>
  <c r="Y2358" i="1" s="1"/>
  <c r="X2363" i="1"/>
  <c r="Y2363" i="1" s="1"/>
  <c r="X2369" i="1"/>
  <c r="Y2369" i="1" s="1"/>
  <c r="X2374" i="1"/>
  <c r="Y2374" i="1" s="1"/>
  <c r="X2379" i="1"/>
  <c r="Y2379" i="1" s="1"/>
  <c r="X2385" i="1"/>
  <c r="Y2385" i="1" s="1"/>
  <c r="X2390" i="1"/>
  <c r="Y2390" i="1" s="1"/>
  <c r="X2395" i="1"/>
  <c r="Y2395" i="1" s="1"/>
  <c r="X2401" i="1"/>
  <c r="Y2401" i="1" s="1"/>
  <c r="X2406" i="1"/>
  <c r="Y2406" i="1" s="1"/>
  <c r="X2411" i="1"/>
  <c r="Y2411" i="1" s="1"/>
  <c r="X2417" i="1"/>
  <c r="Y2417" i="1" s="1"/>
  <c r="X2422" i="1"/>
  <c r="Y2422" i="1" s="1"/>
  <c r="X2427" i="1"/>
  <c r="Y2427" i="1" s="1"/>
  <c r="X2433" i="1"/>
  <c r="Y2433" i="1" s="1"/>
  <c r="X2438" i="1"/>
  <c r="Y2438" i="1" s="1"/>
  <c r="X2443" i="1"/>
  <c r="Y2443" i="1" s="1"/>
  <c r="X2449" i="1"/>
  <c r="Y2449" i="1" s="1"/>
  <c r="X2454" i="1"/>
  <c r="Y2454" i="1" s="1"/>
  <c r="X2459" i="1"/>
  <c r="Y2459" i="1" s="1"/>
  <c r="X2465" i="1"/>
  <c r="Y2465" i="1" s="1"/>
  <c r="X2470" i="1"/>
  <c r="Y2470" i="1" s="1"/>
  <c r="X2475" i="1"/>
  <c r="Y2475" i="1" s="1"/>
  <c r="X2481" i="1"/>
  <c r="Y2481" i="1" s="1"/>
  <c r="X2486" i="1"/>
  <c r="Y2486" i="1" s="1"/>
  <c r="X2491" i="1"/>
  <c r="Y2491" i="1" s="1"/>
  <c r="X2497" i="1"/>
  <c r="Y2497" i="1" s="1"/>
  <c r="X2502" i="1"/>
  <c r="Y2502" i="1" s="1"/>
  <c r="X2507" i="1"/>
  <c r="Y2507" i="1" s="1"/>
  <c r="X2513" i="1"/>
  <c r="Y2513" i="1" s="1"/>
  <c r="X2518" i="1"/>
  <c r="Y2518" i="1" s="1"/>
  <c r="X2523" i="1"/>
  <c r="Y2523" i="1" s="1"/>
  <c r="X2529" i="1"/>
  <c r="Y2529" i="1" s="1"/>
  <c r="X2534" i="1"/>
  <c r="Y2534" i="1" s="1"/>
  <c r="X2539" i="1"/>
  <c r="Y2539" i="1" s="1"/>
  <c r="X2545" i="1"/>
  <c r="Y2545" i="1" s="1"/>
  <c r="X2550" i="1"/>
  <c r="Y2550" i="1" s="1"/>
  <c r="X2555" i="1"/>
  <c r="Y2555" i="1" s="1"/>
  <c r="X2561" i="1"/>
  <c r="Y2561" i="1" s="1"/>
  <c r="X2566" i="1"/>
  <c r="Y2566" i="1" s="1"/>
  <c r="X2571" i="1"/>
  <c r="Y2571" i="1" s="1"/>
  <c r="X2577" i="1"/>
  <c r="Y2577" i="1" s="1"/>
  <c r="X2582" i="1"/>
  <c r="Y2582" i="1" s="1"/>
  <c r="X2587" i="1"/>
  <c r="Y2587" i="1" s="1"/>
  <c r="X2593" i="1"/>
  <c r="Y2593" i="1" s="1"/>
  <c r="X2598" i="1"/>
  <c r="Y2598" i="1" s="1"/>
  <c r="X2603" i="1"/>
  <c r="Y2603" i="1" s="1"/>
  <c r="X2609" i="1"/>
  <c r="Y2609" i="1" s="1"/>
  <c r="X2614" i="1"/>
  <c r="Y2614" i="1" s="1"/>
  <c r="X2619" i="1"/>
  <c r="Y2619" i="1" s="1"/>
  <c r="X2625" i="1"/>
  <c r="Y2625" i="1" s="1"/>
  <c r="X2630" i="1"/>
  <c r="Y2630" i="1" s="1"/>
  <c r="X2635" i="1"/>
  <c r="Y2635" i="1" s="1"/>
  <c r="X2641" i="1"/>
  <c r="Y2641" i="1" s="1"/>
  <c r="X2646" i="1"/>
  <c r="Y2646" i="1" s="1"/>
  <c r="X2651" i="1"/>
  <c r="Y2651" i="1" s="1"/>
  <c r="X2657" i="1"/>
  <c r="Y2657" i="1" s="1"/>
  <c r="X2662" i="1"/>
  <c r="Y2662" i="1" s="1"/>
  <c r="X2667" i="1"/>
  <c r="Y2667" i="1" s="1"/>
  <c r="X2673" i="1"/>
  <c r="Y2673" i="1" s="1"/>
  <c r="X2678" i="1"/>
  <c r="Y2678" i="1" s="1"/>
  <c r="X2683" i="1"/>
  <c r="Y2683" i="1" s="1"/>
  <c r="X2689" i="1"/>
  <c r="Y2689" i="1" s="1"/>
  <c r="X2694" i="1"/>
  <c r="Y2694" i="1" s="1"/>
  <c r="X2699" i="1"/>
  <c r="Y2699" i="1" s="1"/>
  <c r="X2705" i="1"/>
  <c r="Y2705" i="1" s="1"/>
  <c r="X2710" i="1"/>
  <c r="Y2710" i="1" s="1"/>
  <c r="X2715" i="1"/>
  <c r="Y2715" i="1" s="1"/>
  <c r="X2721" i="1"/>
  <c r="Y2721" i="1" s="1"/>
  <c r="X2726" i="1"/>
  <c r="Y2726" i="1" s="1"/>
  <c r="X2731" i="1"/>
  <c r="Y2731" i="1" s="1"/>
  <c r="X2737" i="1"/>
  <c r="Y2737" i="1" s="1"/>
  <c r="X2742" i="1"/>
  <c r="Y2742" i="1" s="1"/>
  <c r="X2747" i="1"/>
  <c r="Y2747" i="1" s="1"/>
  <c r="X2753" i="1"/>
  <c r="Y2753" i="1" s="1"/>
  <c r="X2758" i="1"/>
  <c r="Y2758" i="1" s="1"/>
  <c r="X2763" i="1"/>
  <c r="Y2763" i="1" s="1"/>
  <c r="X2769" i="1"/>
  <c r="Y2769" i="1" s="1"/>
  <c r="X2774" i="1"/>
  <c r="Y2774" i="1" s="1"/>
  <c r="X2779" i="1"/>
  <c r="Y2779" i="1" s="1"/>
  <c r="X2785" i="1"/>
  <c r="Y2785" i="1" s="1"/>
  <c r="X2790" i="1"/>
  <c r="Y2790" i="1" s="1"/>
  <c r="X2795" i="1"/>
  <c r="Y2795" i="1" s="1"/>
  <c r="X2801" i="1"/>
  <c r="Y2801" i="1" s="1"/>
  <c r="X2806" i="1"/>
  <c r="Y2806" i="1" s="1"/>
  <c r="X2811" i="1"/>
  <c r="Y2811" i="1" s="1"/>
  <c r="X2817" i="1"/>
  <c r="Y2817" i="1" s="1"/>
  <c r="X2822" i="1"/>
  <c r="Y2822" i="1" s="1"/>
  <c r="X2827" i="1"/>
  <c r="Y2827" i="1" s="1"/>
  <c r="X2833" i="1"/>
  <c r="Y2833" i="1" s="1"/>
  <c r="X2838" i="1"/>
  <c r="Y2838" i="1" s="1"/>
  <c r="X2843" i="1"/>
  <c r="Y2843" i="1" s="1"/>
  <c r="X2849" i="1"/>
  <c r="Y2849" i="1" s="1"/>
  <c r="X2854" i="1"/>
  <c r="Y2854" i="1" s="1"/>
  <c r="X2859" i="1"/>
  <c r="Y2859" i="1" s="1"/>
  <c r="X2865" i="1"/>
  <c r="Y2865" i="1" s="1"/>
  <c r="X2870" i="1"/>
  <c r="Y2870" i="1" s="1"/>
  <c r="X2875" i="1"/>
  <c r="Y2875" i="1" s="1"/>
  <c r="X2881" i="1"/>
  <c r="Y2881" i="1" s="1"/>
  <c r="X2886" i="1"/>
  <c r="Y2886" i="1" s="1"/>
  <c r="X2891" i="1"/>
  <c r="Y2891" i="1" s="1"/>
  <c r="X2897" i="1"/>
  <c r="Y2897" i="1" s="1"/>
  <c r="X2902" i="1"/>
  <c r="Y2902" i="1" s="1"/>
  <c r="X2907" i="1"/>
  <c r="Y2907" i="1" s="1"/>
  <c r="X2913" i="1"/>
  <c r="Y2913" i="1" s="1"/>
  <c r="X2918" i="1"/>
  <c r="Y2918" i="1" s="1"/>
  <c r="X2923" i="1"/>
  <c r="Y2923" i="1" s="1"/>
  <c r="X2929" i="1"/>
  <c r="Y2929" i="1" s="1"/>
  <c r="X2934" i="1"/>
  <c r="Y2934" i="1" s="1"/>
  <c r="X2939" i="1"/>
  <c r="Y2939" i="1" s="1"/>
  <c r="X2945" i="1"/>
  <c r="Y2945" i="1" s="1"/>
  <c r="X2950" i="1"/>
  <c r="Y2950" i="1" s="1"/>
  <c r="X2955" i="1"/>
  <c r="Y2955" i="1" s="1"/>
  <c r="X2961" i="1"/>
  <c r="Y2961" i="1" s="1"/>
  <c r="X2966" i="1"/>
  <c r="Y2966" i="1" s="1"/>
  <c r="X2971" i="1"/>
  <c r="Y2971" i="1" s="1"/>
  <c r="X2977" i="1"/>
  <c r="Y2977" i="1" s="1"/>
  <c r="X2982" i="1"/>
  <c r="Y2982" i="1" s="1"/>
  <c r="X2987" i="1"/>
  <c r="Y2987" i="1" s="1"/>
  <c r="X2993" i="1"/>
  <c r="Y2993" i="1" s="1"/>
  <c r="X2998" i="1"/>
  <c r="Y2998" i="1" s="1"/>
  <c r="X3003" i="1"/>
  <c r="Y3003" i="1" s="1"/>
  <c r="X3009" i="1"/>
  <c r="Y3009" i="1" s="1"/>
  <c r="X3014" i="1"/>
  <c r="Y3014" i="1" s="1"/>
  <c r="X3019" i="1"/>
  <c r="Y3019" i="1" s="1"/>
  <c r="X3025" i="1"/>
  <c r="Y3025" i="1" s="1"/>
  <c r="X3030" i="1"/>
  <c r="Y3030" i="1" s="1"/>
  <c r="X3035" i="1"/>
  <c r="Y3035" i="1" s="1"/>
  <c r="X3041" i="1"/>
  <c r="Y3041" i="1" s="1"/>
  <c r="X3046" i="1"/>
  <c r="Y3046" i="1" s="1"/>
  <c r="X3051" i="1"/>
  <c r="Y3051" i="1" s="1"/>
  <c r="X3057" i="1"/>
  <c r="Y3057" i="1" s="1"/>
  <c r="X3062" i="1"/>
  <c r="Y3062" i="1" s="1"/>
  <c r="X3067" i="1"/>
  <c r="Y3067" i="1" s="1"/>
  <c r="X3073" i="1"/>
  <c r="Y3073" i="1" s="1"/>
  <c r="X3078" i="1"/>
  <c r="Y3078" i="1" s="1"/>
  <c r="X3083" i="1"/>
  <c r="Y3083" i="1" s="1"/>
  <c r="X3089" i="1"/>
  <c r="Y3089" i="1" s="1"/>
  <c r="X3094" i="1"/>
  <c r="Y3094" i="1" s="1"/>
  <c r="X3099" i="1"/>
  <c r="Y3099" i="1" s="1"/>
  <c r="X3105" i="1"/>
  <c r="Y3105" i="1" s="1"/>
  <c r="X3110" i="1"/>
  <c r="Y3110" i="1" s="1"/>
  <c r="X3115" i="1"/>
  <c r="Y3115" i="1" s="1"/>
  <c r="X3121" i="1"/>
  <c r="Y3121" i="1" s="1"/>
  <c r="X3126" i="1"/>
  <c r="Y3126" i="1" s="1"/>
  <c r="X3131" i="1"/>
  <c r="Y3131" i="1" s="1"/>
  <c r="X3137" i="1"/>
  <c r="Y3137" i="1" s="1"/>
  <c r="X3142" i="1"/>
  <c r="Y3142" i="1" s="1"/>
  <c r="X3147" i="1"/>
  <c r="Y3147" i="1" s="1"/>
  <c r="X3153" i="1"/>
  <c r="Y3153" i="1" s="1"/>
  <c r="X3158" i="1"/>
  <c r="Y3158" i="1" s="1"/>
  <c r="X3163" i="1"/>
  <c r="Y3163" i="1" s="1"/>
  <c r="X3169" i="1"/>
  <c r="Y3169" i="1" s="1"/>
  <c r="X3174" i="1"/>
  <c r="Y3174" i="1" s="1"/>
  <c r="X3179" i="1"/>
  <c r="Y3179" i="1" s="1"/>
  <c r="X3185" i="1"/>
  <c r="Y3185" i="1" s="1"/>
  <c r="X3190" i="1"/>
  <c r="Y3190" i="1" s="1"/>
  <c r="X3195" i="1"/>
  <c r="Y3195" i="1" s="1"/>
  <c r="X3201" i="1"/>
  <c r="Y3201" i="1" s="1"/>
  <c r="X3206" i="1"/>
  <c r="Y3206" i="1" s="1"/>
  <c r="X3211" i="1"/>
  <c r="Y3211" i="1" s="1"/>
  <c r="X3217" i="1"/>
  <c r="Y3217" i="1" s="1"/>
  <c r="X3222" i="1"/>
  <c r="Y3222" i="1" s="1"/>
  <c r="X3227" i="1"/>
  <c r="Y3227" i="1" s="1"/>
  <c r="X3233" i="1"/>
  <c r="Y3233" i="1" s="1"/>
  <c r="X3238" i="1"/>
  <c r="Y3238" i="1" s="1"/>
  <c r="X3243" i="1"/>
  <c r="Y3243" i="1" s="1"/>
  <c r="X3249" i="1"/>
  <c r="Y3249" i="1" s="1"/>
  <c r="X3254" i="1"/>
  <c r="Y3254" i="1" s="1"/>
  <c r="X3259" i="1"/>
  <c r="Y3259" i="1" s="1"/>
  <c r="X3265" i="1"/>
  <c r="Y3265" i="1" s="1"/>
  <c r="X3270" i="1"/>
  <c r="Y3270" i="1" s="1"/>
  <c r="X3275" i="1"/>
  <c r="Y3275" i="1" s="1"/>
  <c r="X3281" i="1"/>
  <c r="Y3281" i="1" s="1"/>
  <c r="X3286" i="1"/>
  <c r="Y3286" i="1" s="1"/>
  <c r="X3291" i="1"/>
  <c r="Y3291" i="1" s="1"/>
  <c r="X3297" i="1"/>
  <c r="Y3297" i="1" s="1"/>
  <c r="X3302" i="1"/>
  <c r="Y3302" i="1" s="1"/>
  <c r="X3307" i="1"/>
  <c r="Y3307" i="1" s="1"/>
  <c r="X3313" i="1"/>
  <c r="Y3313" i="1" s="1"/>
  <c r="X3318" i="1"/>
  <c r="Y3318" i="1" s="1"/>
  <c r="X3323" i="1"/>
  <c r="Y3323" i="1" s="1"/>
  <c r="X3329" i="1"/>
  <c r="Y3329" i="1" s="1"/>
  <c r="X3334" i="1"/>
  <c r="Y3334" i="1" s="1"/>
  <c r="X3339" i="1"/>
  <c r="Y3339" i="1" s="1"/>
  <c r="X3345" i="1"/>
  <c r="Y3345" i="1" s="1"/>
  <c r="X3350" i="1"/>
  <c r="Y3350" i="1" s="1"/>
  <c r="X3355" i="1"/>
  <c r="Y3355" i="1" s="1"/>
  <c r="X3361" i="1"/>
  <c r="Y3361" i="1" s="1"/>
  <c r="X3366" i="1"/>
  <c r="Y3366" i="1" s="1"/>
  <c r="X3371" i="1"/>
  <c r="Y3371" i="1" s="1"/>
  <c r="X3377" i="1"/>
  <c r="Y3377" i="1" s="1"/>
  <c r="X3382" i="1"/>
  <c r="Y3382" i="1" s="1"/>
  <c r="X3387" i="1"/>
  <c r="Y3387" i="1" s="1"/>
  <c r="X3393" i="1"/>
  <c r="Y3393" i="1" s="1"/>
  <c r="X3398" i="1"/>
  <c r="Y3398" i="1" s="1"/>
  <c r="X3403" i="1"/>
  <c r="Y3403" i="1" s="1"/>
  <c r="X3409" i="1"/>
  <c r="Y3409" i="1" s="1"/>
  <c r="X3414" i="1"/>
  <c r="Y3414" i="1" s="1"/>
  <c r="X3419" i="1"/>
  <c r="Y3419" i="1" s="1"/>
  <c r="X3425" i="1"/>
  <c r="Y3425" i="1" s="1"/>
  <c r="X3430" i="1"/>
  <c r="Y3430" i="1" s="1"/>
  <c r="X3435" i="1"/>
  <c r="Y3435" i="1" s="1"/>
  <c r="X3441" i="1"/>
  <c r="Y3441" i="1" s="1"/>
  <c r="X3446" i="1"/>
  <c r="Y3446" i="1" s="1"/>
  <c r="X3451" i="1"/>
  <c r="Y3451" i="1" s="1"/>
  <c r="X3457" i="1"/>
  <c r="Y3457" i="1" s="1"/>
  <c r="X3462" i="1"/>
  <c r="Y3462" i="1" s="1"/>
  <c r="X3467" i="1"/>
  <c r="Y3467" i="1" s="1"/>
  <c r="X3473" i="1"/>
  <c r="Y3473" i="1" s="1"/>
  <c r="X3478" i="1"/>
  <c r="Y3478" i="1" s="1"/>
  <c r="X3483" i="1"/>
  <c r="Y3483" i="1" s="1"/>
  <c r="X3489" i="1"/>
  <c r="Y3489" i="1" s="1"/>
  <c r="X3494" i="1"/>
  <c r="Y3494" i="1" s="1"/>
  <c r="X3499" i="1"/>
  <c r="Y3499" i="1" s="1"/>
  <c r="X3505" i="1"/>
  <c r="Y3505" i="1" s="1"/>
  <c r="X3510" i="1"/>
  <c r="Y3510" i="1" s="1"/>
  <c r="X3515" i="1"/>
  <c r="Y3515" i="1" s="1"/>
  <c r="X3521" i="1"/>
  <c r="Y3521" i="1" s="1"/>
  <c r="X3526" i="1"/>
  <c r="Y3526" i="1" s="1"/>
  <c r="X3531" i="1"/>
  <c r="Y3531" i="1" s="1"/>
  <c r="X3537" i="1"/>
  <c r="Y3537" i="1" s="1"/>
  <c r="X3542" i="1"/>
  <c r="Y3542" i="1" s="1"/>
  <c r="X3547" i="1"/>
  <c r="Y3547" i="1" s="1"/>
  <c r="X3553" i="1"/>
  <c r="Y3553" i="1" s="1"/>
  <c r="X3558" i="1"/>
  <c r="Y3558" i="1" s="1"/>
  <c r="X3563" i="1"/>
  <c r="Y3563" i="1" s="1"/>
  <c r="X3569" i="1"/>
  <c r="Y3569" i="1" s="1"/>
  <c r="X3574" i="1"/>
  <c r="Y3574" i="1" s="1"/>
  <c r="X3579" i="1"/>
  <c r="Y3579" i="1" s="1"/>
  <c r="X3585" i="1"/>
  <c r="Y3585" i="1" s="1"/>
  <c r="X3590" i="1"/>
  <c r="Y3590" i="1" s="1"/>
  <c r="X3595" i="1"/>
  <c r="Y3595" i="1" s="1"/>
  <c r="X3601" i="1"/>
  <c r="Y3601" i="1" s="1"/>
  <c r="X3606" i="1"/>
  <c r="Y3606" i="1" s="1"/>
  <c r="X3611" i="1"/>
  <c r="Y3611" i="1" s="1"/>
  <c r="X3617" i="1"/>
  <c r="Y3617" i="1" s="1"/>
  <c r="X3622" i="1"/>
  <c r="Y3622" i="1" s="1"/>
  <c r="X3627" i="1"/>
  <c r="Y3627" i="1" s="1"/>
  <c r="X3633" i="1"/>
  <c r="Y3633" i="1" s="1"/>
  <c r="X3638" i="1"/>
  <c r="Y3638" i="1" s="1"/>
  <c r="X3643" i="1"/>
  <c r="Y3643" i="1" s="1"/>
  <c r="X3649" i="1"/>
  <c r="Y3649" i="1" s="1"/>
  <c r="X3654" i="1"/>
  <c r="Y3654" i="1" s="1"/>
  <c r="X3659" i="1"/>
  <c r="Y3659" i="1" s="1"/>
  <c r="X3665" i="1"/>
  <c r="Y3665" i="1" s="1"/>
  <c r="X3670" i="1"/>
  <c r="Y3670" i="1" s="1"/>
  <c r="X3675" i="1"/>
  <c r="Y3675" i="1" s="1"/>
  <c r="X3681" i="1"/>
  <c r="Y3681" i="1" s="1"/>
  <c r="X3686" i="1"/>
  <c r="Y3686" i="1" s="1"/>
  <c r="X3691" i="1"/>
  <c r="Y3691" i="1" s="1"/>
  <c r="X3697" i="1"/>
  <c r="Y3697" i="1" s="1"/>
  <c r="X3702" i="1"/>
  <c r="Y3702" i="1" s="1"/>
  <c r="X3707" i="1"/>
  <c r="Y3707" i="1" s="1"/>
  <c r="X3713" i="1"/>
  <c r="Y3713" i="1" s="1"/>
  <c r="X3718" i="1"/>
  <c r="Y3718" i="1" s="1"/>
  <c r="X3723" i="1"/>
  <c r="Y3723" i="1" s="1"/>
  <c r="X3729" i="1"/>
  <c r="Y3729" i="1" s="1"/>
  <c r="X3734" i="1"/>
  <c r="Y3734" i="1" s="1"/>
  <c r="X3739" i="1"/>
  <c r="Y3739" i="1" s="1"/>
  <c r="X3745" i="1"/>
  <c r="Y3745" i="1" s="1"/>
  <c r="X3750" i="1"/>
  <c r="Y3750" i="1" s="1"/>
  <c r="X3755" i="1"/>
  <c r="Y3755" i="1" s="1"/>
  <c r="X3761" i="1"/>
  <c r="Y3761" i="1" s="1"/>
  <c r="X3766" i="1"/>
  <c r="Y3766" i="1" s="1"/>
  <c r="X3771" i="1"/>
  <c r="Y3771" i="1" s="1"/>
  <c r="X3777" i="1"/>
  <c r="Y3777" i="1" s="1"/>
  <c r="X3782" i="1"/>
  <c r="Y3782" i="1" s="1"/>
  <c r="X3787" i="1"/>
  <c r="Y3787" i="1" s="1"/>
  <c r="X3793" i="1"/>
  <c r="Y3793" i="1" s="1"/>
  <c r="X3798" i="1"/>
  <c r="Y3798" i="1" s="1"/>
  <c r="X3803" i="1"/>
  <c r="Y3803" i="1" s="1"/>
  <c r="X3809" i="1"/>
  <c r="Y3809" i="1" s="1"/>
  <c r="X3814" i="1"/>
  <c r="Y3814" i="1" s="1"/>
  <c r="X3819" i="1"/>
  <c r="Y3819" i="1" s="1"/>
  <c r="X3825" i="1"/>
  <c r="Y3825" i="1" s="1"/>
  <c r="X3830" i="1"/>
  <c r="Y3830" i="1" s="1"/>
  <c r="X3835" i="1"/>
  <c r="Y3835" i="1" s="1"/>
  <c r="X3841" i="1"/>
  <c r="Y3841" i="1" s="1"/>
  <c r="X3846" i="1"/>
  <c r="Y3846" i="1" s="1"/>
  <c r="X3851" i="1"/>
  <c r="Y3851" i="1" s="1"/>
  <c r="X3857" i="1"/>
  <c r="Y3857" i="1" s="1"/>
  <c r="X3862" i="1"/>
  <c r="Y3862" i="1" s="1"/>
  <c r="X3867" i="1"/>
  <c r="Y3867" i="1" s="1"/>
  <c r="X3873" i="1"/>
  <c r="Y3873" i="1" s="1"/>
  <c r="X3878" i="1"/>
  <c r="Y3878" i="1" s="1"/>
  <c r="X3883" i="1"/>
  <c r="Y3883" i="1" s="1"/>
  <c r="X3889" i="1"/>
  <c r="Y3889" i="1" s="1"/>
  <c r="X3894" i="1"/>
  <c r="Y3894" i="1" s="1"/>
  <c r="X3899" i="1"/>
  <c r="Y3899" i="1" s="1"/>
  <c r="X3905" i="1"/>
  <c r="Y3905" i="1" s="1"/>
  <c r="X3910" i="1"/>
  <c r="Y3910" i="1" s="1"/>
  <c r="X3915" i="1"/>
  <c r="Y3915" i="1" s="1"/>
  <c r="X3921" i="1"/>
  <c r="Y3921" i="1" s="1"/>
  <c r="X3926" i="1"/>
  <c r="Y3926" i="1" s="1"/>
  <c r="X3931" i="1"/>
  <c r="Y3931" i="1" s="1"/>
  <c r="X3937" i="1"/>
  <c r="Y3937" i="1" s="1"/>
  <c r="X3942" i="1"/>
  <c r="Y3942" i="1" s="1"/>
  <c r="X3947" i="1"/>
  <c r="Y3947" i="1" s="1"/>
  <c r="X3953" i="1"/>
  <c r="Y3953" i="1" s="1"/>
  <c r="X3958" i="1"/>
  <c r="Y3958" i="1" s="1"/>
  <c r="X3963" i="1"/>
  <c r="Y3963" i="1" s="1"/>
  <c r="X3969" i="1"/>
  <c r="Y3969" i="1" s="1"/>
  <c r="X3974" i="1"/>
  <c r="Y3974" i="1" s="1"/>
  <c r="X3979" i="1"/>
  <c r="Y3979" i="1" s="1"/>
  <c r="X3985" i="1"/>
  <c r="Y3985" i="1" s="1"/>
  <c r="X3990" i="1"/>
  <c r="Y3990" i="1" s="1"/>
  <c r="X3995" i="1"/>
  <c r="Y3995" i="1" s="1"/>
  <c r="X4001" i="1"/>
  <c r="Y4001" i="1" s="1"/>
  <c r="X4006" i="1"/>
  <c r="Y4006" i="1" s="1"/>
  <c r="X4012" i="1"/>
  <c r="Y4012" i="1" s="1"/>
  <c r="X4020" i="1"/>
  <c r="Y4020" i="1" s="1"/>
  <c r="X4028" i="1"/>
  <c r="Y4028" i="1" s="1"/>
  <c r="X4036" i="1"/>
  <c r="Y4036" i="1" s="1"/>
  <c r="X4044" i="1"/>
  <c r="Y4044" i="1" s="1"/>
  <c r="X4052" i="1"/>
  <c r="Y4052" i="1" s="1"/>
  <c r="X4060" i="1"/>
  <c r="Y4060" i="1" s="1"/>
  <c r="X4068" i="1"/>
  <c r="Y4068" i="1" s="1"/>
  <c r="X4076" i="1"/>
  <c r="Y4076" i="1" s="1"/>
  <c r="X4084" i="1"/>
  <c r="Y4084" i="1" s="1"/>
  <c r="X4092" i="1"/>
  <c r="Y4092" i="1" s="1"/>
  <c r="X4100" i="1"/>
  <c r="Y4100" i="1" s="1"/>
  <c r="X4108" i="1"/>
  <c r="Y4108" i="1" s="1"/>
  <c r="X4116" i="1"/>
  <c r="Y4116" i="1" s="1"/>
  <c r="X4124" i="1"/>
  <c r="Y4124" i="1" s="1"/>
  <c r="X4132" i="1"/>
  <c r="Y4132" i="1" s="1"/>
  <c r="X4140" i="1"/>
  <c r="Y4140" i="1" s="1"/>
  <c r="X4148" i="1"/>
  <c r="Y4148" i="1" s="1"/>
  <c r="X4156" i="1"/>
  <c r="Y4156" i="1" s="1"/>
  <c r="X4164" i="1"/>
  <c r="Y4164" i="1" s="1"/>
  <c r="X4172" i="1"/>
  <c r="Y4172" i="1" s="1"/>
  <c r="X4180" i="1"/>
  <c r="Y4180" i="1" s="1"/>
  <c r="X4188" i="1"/>
  <c r="Y4188" i="1" s="1"/>
  <c r="X4196" i="1"/>
  <c r="Y4196" i="1" s="1"/>
  <c r="X4204" i="1"/>
  <c r="Y4204" i="1" s="1"/>
  <c r="X4212" i="1"/>
  <c r="Y4212" i="1" s="1"/>
  <c r="X4220" i="1"/>
  <c r="Y4220" i="1" s="1"/>
  <c r="X4228" i="1"/>
  <c r="Y4228" i="1" s="1"/>
  <c r="X4236" i="1"/>
  <c r="Y4236" i="1" s="1"/>
  <c r="X4244" i="1"/>
  <c r="Y4244" i="1" s="1"/>
  <c r="X4252" i="1"/>
  <c r="Y4252" i="1" s="1"/>
  <c r="X4260" i="1"/>
  <c r="Y4260" i="1" s="1"/>
  <c r="X4268" i="1"/>
  <c r="Y4268" i="1" s="1"/>
  <c r="X4276" i="1"/>
  <c r="Y4276" i="1" s="1"/>
  <c r="X4284" i="1"/>
  <c r="Y4284" i="1" s="1"/>
  <c r="X4292" i="1"/>
  <c r="Y4292" i="1" s="1"/>
  <c r="X4300" i="1"/>
  <c r="Y4300" i="1" s="1"/>
  <c r="X4308" i="1"/>
  <c r="Y4308" i="1" s="1"/>
  <c r="X4316" i="1"/>
  <c r="Y4316" i="1" s="1"/>
  <c r="X4324" i="1"/>
  <c r="Y4324" i="1" s="1"/>
  <c r="X4332" i="1"/>
  <c r="Y4332" i="1" s="1"/>
  <c r="X4340" i="1"/>
  <c r="Y4340" i="1" s="1"/>
  <c r="X4348" i="1"/>
  <c r="Y4348" i="1" s="1"/>
  <c r="X4356" i="1"/>
  <c r="Y4356" i="1" s="1"/>
  <c r="X4364" i="1"/>
  <c r="Y4364" i="1" s="1"/>
  <c r="X4372" i="1"/>
  <c r="Y4372" i="1" s="1"/>
  <c r="X4380" i="1"/>
  <c r="Y4380" i="1" s="1"/>
  <c r="X4388" i="1"/>
  <c r="Y4388" i="1" s="1"/>
  <c r="X4396" i="1"/>
  <c r="Y4396" i="1" s="1"/>
  <c r="X4404" i="1"/>
  <c r="Y4404" i="1" s="1"/>
  <c r="X4412" i="1"/>
  <c r="Y4412" i="1" s="1"/>
  <c r="X4420" i="1"/>
  <c r="Y4420" i="1" s="1"/>
  <c r="X4428" i="1"/>
  <c r="Y4428" i="1" s="1"/>
  <c r="X4436" i="1"/>
  <c r="Y4436" i="1" s="1"/>
  <c r="X4444" i="1"/>
  <c r="Y4444" i="1" s="1"/>
  <c r="X4452" i="1"/>
  <c r="Y4452" i="1" s="1"/>
  <c r="X4460" i="1"/>
  <c r="Y4460" i="1" s="1"/>
  <c r="X4468" i="1"/>
  <c r="Y4468" i="1" s="1"/>
  <c r="X4476" i="1"/>
  <c r="Y4476" i="1" s="1"/>
  <c r="X4484" i="1"/>
  <c r="Y4484" i="1" s="1"/>
  <c r="X4492" i="1"/>
  <c r="Y4492" i="1" s="1"/>
  <c r="X4500" i="1"/>
  <c r="Y4500" i="1" s="1"/>
  <c r="X4508" i="1"/>
  <c r="Y4508" i="1" s="1"/>
  <c r="X4516" i="1"/>
  <c r="Y4516" i="1" s="1"/>
  <c r="X4524" i="1"/>
  <c r="Y4524" i="1" s="1"/>
  <c r="X4532" i="1"/>
  <c r="Y4532" i="1" s="1"/>
  <c r="X4540" i="1"/>
  <c r="Y4540" i="1" s="1"/>
  <c r="X4548" i="1"/>
  <c r="Y4548" i="1" s="1"/>
  <c r="X4556" i="1"/>
  <c r="Y4556" i="1" s="1"/>
  <c r="X4564" i="1"/>
  <c r="Y4564" i="1" s="1"/>
  <c r="X4572" i="1"/>
  <c r="Y4572" i="1" s="1"/>
  <c r="X4580" i="1"/>
  <c r="Y4580" i="1" s="1"/>
  <c r="X4588" i="1"/>
  <c r="Y4588" i="1" s="1"/>
  <c r="X4596" i="1"/>
  <c r="Y4596" i="1" s="1"/>
  <c r="X4604" i="1"/>
  <c r="Y4604" i="1" s="1"/>
  <c r="X4612" i="1"/>
  <c r="Y4612" i="1" s="1"/>
  <c r="X4620" i="1"/>
  <c r="Y4620" i="1" s="1"/>
  <c r="X4628" i="1"/>
  <c r="Y4628" i="1" s="1"/>
  <c r="X4636" i="1"/>
  <c r="Y4636" i="1" s="1"/>
  <c r="X4644" i="1"/>
  <c r="Y4644" i="1" s="1"/>
  <c r="X4652" i="1"/>
  <c r="Y4652" i="1" s="1"/>
  <c r="X4660" i="1"/>
  <c r="Y4660" i="1" s="1"/>
  <c r="X4668" i="1"/>
  <c r="Y4668" i="1" s="1"/>
  <c r="X4676" i="1"/>
  <c r="Y4676" i="1" s="1"/>
  <c r="X4684" i="1"/>
  <c r="Y4684" i="1" s="1"/>
  <c r="X4692" i="1"/>
  <c r="Y4692" i="1" s="1"/>
  <c r="X4700" i="1"/>
  <c r="Y4700" i="1" s="1"/>
  <c r="X4708" i="1"/>
  <c r="Y4708" i="1" s="1"/>
  <c r="X4716" i="1"/>
  <c r="Y4716" i="1" s="1"/>
  <c r="X4724" i="1"/>
  <c r="Y4724" i="1" s="1"/>
  <c r="X4732" i="1"/>
  <c r="Y4732" i="1" s="1"/>
  <c r="X4740" i="1"/>
  <c r="Y4740" i="1" s="1"/>
  <c r="X4748" i="1"/>
  <c r="Y4748" i="1" s="1"/>
  <c r="X4756" i="1"/>
  <c r="Y4756" i="1" s="1"/>
  <c r="X4764" i="1"/>
  <c r="Y4764" i="1" s="1"/>
  <c r="X4772" i="1"/>
  <c r="Y4772" i="1" s="1"/>
  <c r="X4780" i="1"/>
  <c r="Y4780" i="1" s="1"/>
  <c r="X4788" i="1"/>
  <c r="Y4788" i="1" s="1"/>
  <c r="X4796" i="1"/>
  <c r="Y4796" i="1" s="1"/>
  <c r="X4804" i="1"/>
  <c r="Y4804" i="1" s="1"/>
  <c r="X4812" i="1"/>
  <c r="Y4812" i="1" s="1"/>
  <c r="X4820" i="1"/>
  <c r="Y4820" i="1" s="1"/>
  <c r="X4828" i="1"/>
  <c r="Y4828" i="1" s="1"/>
  <c r="X4836" i="1"/>
  <c r="Y4836" i="1" s="1"/>
  <c r="X4844" i="1"/>
  <c r="Y4844" i="1" s="1"/>
  <c r="X4852" i="1"/>
  <c r="Y4852" i="1" s="1"/>
  <c r="X4860" i="1"/>
  <c r="Y4860" i="1" s="1"/>
  <c r="X4868" i="1"/>
  <c r="Y4868" i="1" s="1"/>
  <c r="X4876" i="1"/>
  <c r="Y4876" i="1" s="1"/>
  <c r="X4884" i="1"/>
  <c r="Y4884" i="1" s="1"/>
  <c r="X4892" i="1"/>
  <c r="Y4892" i="1" s="1"/>
  <c r="X4900" i="1"/>
  <c r="Y4900" i="1" s="1"/>
  <c r="X4908" i="1"/>
  <c r="Y4908" i="1" s="1"/>
  <c r="X4916" i="1"/>
  <c r="Y4916" i="1" s="1"/>
  <c r="X4924" i="1"/>
  <c r="Y4924" i="1" s="1"/>
  <c r="X4932" i="1"/>
  <c r="Y4932" i="1" s="1"/>
  <c r="X4940" i="1"/>
  <c r="Y4940" i="1" s="1"/>
  <c r="X4948" i="1"/>
  <c r="Y4948" i="1" s="1"/>
  <c r="X4956" i="1"/>
  <c r="Y4956" i="1" s="1"/>
  <c r="X4964" i="1"/>
  <c r="Y4964" i="1" s="1"/>
  <c r="X4972" i="1"/>
  <c r="Y4972" i="1" s="1"/>
  <c r="X4980" i="1"/>
  <c r="Y4980" i="1" s="1"/>
  <c r="X4988" i="1"/>
  <c r="Y4988" i="1" s="1"/>
  <c r="X4996" i="1"/>
  <c r="Y4996" i="1" s="1"/>
  <c r="X1902" i="1"/>
  <c r="Y1902" i="1" s="1"/>
  <c r="X1964" i="1"/>
  <c r="Y1964" i="1" s="1"/>
  <c r="X1996" i="1"/>
  <c r="Y1996" i="1" s="1"/>
  <c r="X2028" i="1"/>
  <c r="Y2028" i="1" s="1"/>
  <c r="X2060" i="1"/>
  <c r="Y2060" i="1" s="1"/>
  <c r="X2092" i="1"/>
  <c r="Y2092" i="1" s="1"/>
  <c r="X2124" i="1"/>
  <c r="Y2124" i="1" s="1"/>
  <c r="X2156" i="1"/>
  <c r="Y2156" i="1" s="1"/>
  <c r="X2188" i="1"/>
  <c r="Y2188" i="1" s="1"/>
  <c r="X2220" i="1"/>
  <c r="Y2220" i="1" s="1"/>
  <c r="X2252" i="1"/>
  <c r="Y2252" i="1" s="1"/>
  <c r="X2284" i="1"/>
  <c r="Y2284" i="1" s="1"/>
  <c r="X2316" i="1"/>
  <c r="Y2316" i="1" s="1"/>
  <c r="X2348" i="1"/>
  <c r="Y2348" i="1" s="1"/>
  <c r="X2380" i="1"/>
  <c r="Y2380" i="1" s="1"/>
  <c r="X2412" i="1"/>
  <c r="Y2412" i="1" s="1"/>
  <c r="X2444" i="1"/>
  <c r="Y2444" i="1" s="1"/>
  <c r="X2476" i="1"/>
  <c r="Y2476" i="1" s="1"/>
  <c r="X2508" i="1"/>
  <c r="Y2508" i="1" s="1"/>
  <c r="X2540" i="1"/>
  <c r="Y2540" i="1" s="1"/>
  <c r="X2572" i="1"/>
  <c r="Y2572" i="1" s="1"/>
  <c r="X2604" i="1"/>
  <c r="Y2604" i="1" s="1"/>
  <c r="X2636" i="1"/>
  <c r="Y2636" i="1" s="1"/>
  <c r="X2668" i="1"/>
  <c r="Y2668" i="1" s="1"/>
  <c r="X2700" i="1"/>
  <c r="Y2700" i="1" s="1"/>
  <c r="X2732" i="1"/>
  <c r="Y2732" i="1" s="1"/>
  <c r="X2764" i="1"/>
  <c r="Y2764" i="1" s="1"/>
  <c r="X2796" i="1"/>
  <c r="Y2796" i="1" s="1"/>
  <c r="X2828" i="1"/>
  <c r="Y2828" i="1" s="1"/>
  <c r="X2860" i="1"/>
  <c r="Y2860" i="1" s="1"/>
  <c r="X2892" i="1"/>
  <c r="Y2892" i="1" s="1"/>
  <c r="X2924" i="1"/>
  <c r="Y2924" i="1" s="1"/>
  <c r="X2956" i="1"/>
  <c r="Y2956" i="1" s="1"/>
  <c r="X2988" i="1"/>
  <c r="Y2988" i="1" s="1"/>
  <c r="X3020" i="1"/>
  <c r="Y3020" i="1" s="1"/>
  <c r="X3052" i="1"/>
  <c r="Y3052" i="1" s="1"/>
  <c r="X3084" i="1"/>
  <c r="Y3084" i="1" s="1"/>
  <c r="X3116" i="1"/>
  <c r="Y3116" i="1" s="1"/>
  <c r="X3148" i="1"/>
  <c r="Y3148" i="1" s="1"/>
  <c r="X3180" i="1"/>
  <c r="Y3180" i="1" s="1"/>
  <c r="X3212" i="1"/>
  <c r="Y3212" i="1" s="1"/>
  <c r="X3244" i="1"/>
  <c r="Y3244" i="1" s="1"/>
  <c r="X3276" i="1"/>
  <c r="Y3276" i="1" s="1"/>
  <c r="X3308" i="1"/>
  <c r="Y3308" i="1" s="1"/>
  <c r="X3340" i="1"/>
  <c r="Y3340" i="1" s="1"/>
  <c r="X3372" i="1"/>
  <c r="Y3372" i="1" s="1"/>
  <c r="X3404" i="1"/>
  <c r="Y3404" i="1" s="1"/>
  <c r="X3436" i="1"/>
  <c r="Y3436" i="1" s="1"/>
  <c r="X3468" i="1"/>
  <c r="Y3468" i="1" s="1"/>
  <c r="X3500" i="1"/>
  <c r="Y3500" i="1" s="1"/>
  <c r="X3532" i="1"/>
  <c r="Y3532" i="1" s="1"/>
  <c r="X3564" i="1"/>
  <c r="Y3564" i="1" s="1"/>
  <c r="X3596" i="1"/>
  <c r="Y3596" i="1" s="1"/>
  <c r="X3628" i="1"/>
  <c r="Y3628" i="1" s="1"/>
  <c r="X3660" i="1"/>
  <c r="Y3660" i="1" s="1"/>
  <c r="X3692" i="1"/>
  <c r="Y3692" i="1" s="1"/>
  <c r="X3724" i="1"/>
  <c r="Y3724" i="1" s="1"/>
  <c r="X3756" i="1"/>
  <c r="Y3756" i="1" s="1"/>
  <c r="X3788" i="1"/>
  <c r="Y3788" i="1" s="1"/>
  <c r="X3820" i="1"/>
  <c r="Y3820" i="1" s="1"/>
  <c r="X3852" i="1"/>
  <c r="Y3852" i="1" s="1"/>
  <c r="X3884" i="1"/>
  <c r="Y3884" i="1" s="1"/>
  <c r="X3916" i="1"/>
  <c r="Y3916" i="1" s="1"/>
  <c r="X3948" i="1"/>
  <c r="Y3948" i="1" s="1"/>
  <c r="X3980" i="1"/>
  <c r="Y3980" i="1" s="1"/>
  <c r="X4011" i="1"/>
  <c r="Y4011" i="1" s="1"/>
  <c r="X4027" i="1"/>
  <c r="Y4027" i="1" s="1"/>
  <c r="X4043" i="1"/>
  <c r="Y4043" i="1" s="1"/>
  <c r="X4059" i="1"/>
  <c r="Y4059" i="1" s="1"/>
  <c r="X4075" i="1"/>
  <c r="Y4075" i="1" s="1"/>
  <c r="X4091" i="1"/>
  <c r="Y4091" i="1" s="1"/>
  <c r="X4107" i="1"/>
  <c r="Y4107" i="1" s="1"/>
  <c r="X4123" i="1"/>
  <c r="Y4123" i="1" s="1"/>
  <c r="X4139" i="1"/>
  <c r="Y4139" i="1" s="1"/>
  <c r="X4155" i="1"/>
  <c r="Y4155" i="1" s="1"/>
  <c r="X4171" i="1"/>
  <c r="Y4171" i="1" s="1"/>
  <c r="X4187" i="1"/>
  <c r="Y4187" i="1" s="1"/>
  <c r="X4203" i="1"/>
  <c r="Y4203" i="1" s="1"/>
  <c r="X4219" i="1"/>
  <c r="Y4219" i="1" s="1"/>
  <c r="X4235" i="1"/>
  <c r="Y4235" i="1" s="1"/>
  <c r="X4251" i="1"/>
  <c r="Y4251" i="1" s="1"/>
  <c r="X4267" i="1"/>
  <c r="Y4267" i="1" s="1"/>
  <c r="X4283" i="1"/>
  <c r="Y4283" i="1" s="1"/>
  <c r="X4299" i="1"/>
  <c r="Y4299" i="1" s="1"/>
  <c r="X4315" i="1"/>
  <c r="Y4315" i="1" s="1"/>
  <c r="X4331" i="1"/>
  <c r="Y4331" i="1" s="1"/>
  <c r="X4347" i="1"/>
  <c r="Y4347" i="1" s="1"/>
  <c r="X4363" i="1"/>
  <c r="Y4363" i="1" s="1"/>
  <c r="X4379" i="1"/>
  <c r="Y4379" i="1" s="1"/>
  <c r="X4395" i="1"/>
  <c r="Y4395" i="1" s="1"/>
  <c r="X4411" i="1"/>
  <c r="Y4411" i="1" s="1"/>
  <c r="X4427" i="1"/>
  <c r="Y4427" i="1" s="1"/>
  <c r="X4443" i="1"/>
  <c r="Y4443" i="1" s="1"/>
  <c r="X4459" i="1"/>
  <c r="Y4459" i="1" s="1"/>
  <c r="X4475" i="1"/>
  <c r="Y4475" i="1" s="1"/>
  <c r="X4491" i="1"/>
  <c r="Y4491" i="1" s="1"/>
  <c r="X4507" i="1"/>
  <c r="Y4507" i="1" s="1"/>
  <c r="X4523" i="1"/>
  <c r="Y4523" i="1" s="1"/>
  <c r="X4539" i="1"/>
  <c r="Y4539" i="1" s="1"/>
  <c r="X4555" i="1"/>
  <c r="Y4555" i="1" s="1"/>
  <c r="X4571" i="1"/>
  <c r="Y4571" i="1" s="1"/>
  <c r="X4587" i="1"/>
  <c r="Y4587" i="1" s="1"/>
  <c r="X4603" i="1"/>
  <c r="Y4603" i="1" s="1"/>
  <c r="X4619" i="1"/>
  <c r="Y4619" i="1" s="1"/>
  <c r="X4635" i="1"/>
  <c r="Y4635" i="1" s="1"/>
  <c r="X4651" i="1"/>
  <c r="Y4651" i="1" s="1"/>
  <c r="X4667" i="1"/>
  <c r="Y4667" i="1" s="1"/>
  <c r="X4683" i="1"/>
  <c r="Y4683" i="1" s="1"/>
  <c r="X4699" i="1"/>
  <c r="Y4699" i="1" s="1"/>
  <c r="X4715" i="1"/>
  <c r="Y4715" i="1" s="1"/>
  <c r="X4731" i="1"/>
  <c r="Y4731" i="1" s="1"/>
  <c r="X4747" i="1"/>
  <c r="Y4747" i="1" s="1"/>
  <c r="X4763" i="1"/>
  <c r="Y4763" i="1" s="1"/>
  <c r="X4779" i="1"/>
  <c r="Y4779" i="1" s="1"/>
  <c r="X4795" i="1"/>
  <c r="Y4795" i="1" s="1"/>
  <c r="X4811" i="1"/>
  <c r="Y4811" i="1" s="1"/>
  <c r="X4827" i="1"/>
  <c r="Y4827" i="1" s="1"/>
  <c r="X4843" i="1"/>
  <c r="Y4843" i="1" s="1"/>
  <c r="X4859" i="1"/>
  <c r="Y4859" i="1" s="1"/>
  <c r="X4875" i="1"/>
  <c r="Y4875" i="1" s="1"/>
  <c r="X4891" i="1"/>
  <c r="Y4891" i="1" s="1"/>
  <c r="X4907" i="1"/>
  <c r="Y4907" i="1" s="1"/>
  <c r="X4923" i="1"/>
  <c r="Y4923" i="1" s="1"/>
  <c r="X4939" i="1"/>
  <c r="Y4939" i="1" s="1"/>
  <c r="X4955" i="1"/>
  <c r="Y4955" i="1" s="1"/>
  <c r="X4971" i="1"/>
  <c r="Y4971" i="1" s="1"/>
  <c r="X4987" i="1"/>
  <c r="Y4987" i="1" s="1"/>
  <c r="X66" i="1"/>
  <c r="Y66" i="1" s="1"/>
  <c r="X247" i="1"/>
  <c r="Y247" i="1" s="1"/>
  <c r="X375" i="1"/>
  <c r="Y375" i="1" s="1"/>
  <c r="X465" i="1"/>
  <c r="Y465" i="1" s="1"/>
  <c r="X529" i="1"/>
  <c r="Y529" i="1" s="1"/>
  <c r="X593" i="1"/>
  <c r="Y593" i="1" s="1"/>
  <c r="X657" i="1"/>
  <c r="Y657" i="1" s="1"/>
  <c r="X721" i="1"/>
  <c r="Y721" i="1" s="1"/>
  <c r="X785" i="1"/>
  <c r="Y785" i="1" s="1"/>
  <c r="X849" i="1"/>
  <c r="Y849" i="1" s="1"/>
  <c r="X913" i="1"/>
  <c r="Y913" i="1" s="1"/>
  <c r="X958" i="1"/>
  <c r="Y958" i="1" s="1"/>
  <c r="X990" i="1"/>
  <c r="Y990" i="1" s="1"/>
  <c r="X1022" i="1"/>
  <c r="Y1022" i="1" s="1"/>
  <c r="X1054" i="1"/>
  <c r="Y1054" i="1" s="1"/>
  <c r="X1086" i="1"/>
  <c r="Y1086" i="1" s="1"/>
  <c r="X1118" i="1"/>
  <c r="Y1118" i="1" s="1"/>
  <c r="X1150" i="1"/>
  <c r="Y1150" i="1" s="1"/>
  <c r="X1182" i="1"/>
  <c r="Y1182" i="1" s="1"/>
  <c r="X1214" i="1"/>
  <c r="Y1214" i="1" s="1"/>
  <c r="X1246" i="1"/>
  <c r="Y1246" i="1" s="1"/>
  <c r="X2" i="1"/>
  <c r="Y2" i="1" s="1"/>
  <c r="X1302" i="1"/>
  <c r="Y1302" i="1" s="1"/>
  <c r="X1334" i="1"/>
  <c r="Y1334" i="1" s="1"/>
  <c r="X1366" i="1"/>
  <c r="Y1366" i="1" s="1"/>
  <c r="X1398" i="1"/>
  <c r="Y1398" i="1" s="1"/>
  <c r="X1430" i="1"/>
  <c r="Y1430" i="1" s="1"/>
  <c r="X1462" i="1"/>
  <c r="Y1462" i="1" s="1"/>
  <c r="X1494" i="1"/>
  <c r="Y1494" i="1" s="1"/>
  <c r="X1526" i="1"/>
  <c r="Y1526" i="1" s="1"/>
  <c r="X1558" i="1"/>
  <c r="Y1558" i="1" s="1"/>
  <c r="X1590" i="1"/>
  <c r="Y1590" i="1" s="1"/>
  <c r="X1622" i="1"/>
  <c r="Y1622" i="1" s="1"/>
  <c r="X1654" i="1"/>
  <c r="Y1654" i="1" s="1"/>
  <c r="X1686" i="1"/>
  <c r="Y1686" i="1" s="1"/>
  <c r="X1718" i="1"/>
  <c r="Y1718" i="1" s="1"/>
  <c r="X1750" i="1"/>
  <c r="Y1750" i="1" s="1"/>
  <c r="X1782" i="1"/>
  <c r="Y1782" i="1" s="1"/>
  <c r="X1814" i="1"/>
  <c r="Y1814" i="1" s="1"/>
  <c r="X1846" i="1"/>
  <c r="Y1846" i="1" s="1"/>
  <c r="X1878" i="1"/>
  <c r="Y1878" i="1" s="1"/>
  <c r="X1942" i="1"/>
  <c r="Y1942" i="1" s="1"/>
  <c r="X1984" i="1"/>
  <c r="Y1984" i="1" s="1"/>
  <c r="X2016" i="1"/>
  <c r="Y2016" i="1" s="1"/>
  <c r="X2048" i="1"/>
  <c r="Y2048" i="1" s="1"/>
  <c r="X2080" i="1"/>
  <c r="Y2080" i="1" s="1"/>
  <c r="X2112" i="1"/>
  <c r="Y2112" i="1" s="1"/>
  <c r="X2144" i="1"/>
  <c r="Y2144" i="1" s="1"/>
  <c r="X2176" i="1"/>
  <c r="Y2176" i="1" s="1"/>
  <c r="X2208" i="1"/>
  <c r="Y2208" i="1" s="1"/>
  <c r="X2240" i="1"/>
  <c r="Y2240" i="1" s="1"/>
  <c r="X2272" i="1"/>
  <c r="Y2272" i="1" s="1"/>
  <c r="X2304" i="1"/>
  <c r="Y2304" i="1" s="1"/>
  <c r="X2336" i="1"/>
  <c r="Y2336" i="1" s="1"/>
  <c r="X2368" i="1"/>
  <c r="Y2368" i="1" s="1"/>
  <c r="X2400" i="1"/>
  <c r="Y2400" i="1" s="1"/>
  <c r="X2432" i="1"/>
  <c r="Y2432" i="1" s="1"/>
  <c r="X2464" i="1"/>
  <c r="Y2464" i="1" s="1"/>
  <c r="X2496" i="1"/>
  <c r="Y2496" i="1" s="1"/>
  <c r="X2528" i="1"/>
  <c r="Y2528" i="1" s="1"/>
  <c r="X2560" i="1"/>
  <c r="Y2560" i="1" s="1"/>
  <c r="X2592" i="1"/>
  <c r="Y2592" i="1" s="1"/>
  <c r="X2624" i="1"/>
  <c r="Y2624" i="1" s="1"/>
  <c r="X2656" i="1"/>
  <c r="Y2656" i="1" s="1"/>
  <c r="X2688" i="1"/>
  <c r="Y2688" i="1" s="1"/>
  <c r="X2720" i="1"/>
  <c r="Y2720" i="1" s="1"/>
  <c r="X2752" i="1"/>
  <c r="Y2752" i="1" s="1"/>
  <c r="X2784" i="1"/>
  <c r="Y2784" i="1" s="1"/>
  <c r="X2816" i="1"/>
  <c r="Y2816" i="1" s="1"/>
  <c r="X2848" i="1"/>
  <c r="Y2848" i="1" s="1"/>
  <c r="X2880" i="1"/>
  <c r="Y2880" i="1" s="1"/>
  <c r="X2912" i="1"/>
  <c r="Y2912" i="1" s="1"/>
  <c r="X2944" i="1"/>
  <c r="Y2944" i="1" s="1"/>
  <c r="X2976" i="1"/>
  <c r="Y2976" i="1" s="1"/>
  <c r="X3008" i="1"/>
  <c r="Y3008" i="1" s="1"/>
  <c r="X3040" i="1"/>
  <c r="Y3040" i="1" s="1"/>
  <c r="X3072" i="1"/>
  <c r="Y3072" i="1" s="1"/>
  <c r="X3104" i="1"/>
  <c r="Y3104" i="1" s="1"/>
  <c r="X3136" i="1"/>
  <c r="Y3136" i="1" s="1"/>
  <c r="X3168" i="1"/>
  <c r="Y3168" i="1" s="1"/>
  <c r="X3200" i="1"/>
  <c r="Y3200" i="1" s="1"/>
  <c r="X3232" i="1"/>
  <c r="Y3232" i="1" s="1"/>
  <c r="X4" i="1"/>
  <c r="Y4" i="1" s="1"/>
  <c r="X8" i="1"/>
  <c r="Y8" i="1" s="1"/>
  <c r="X12" i="1"/>
  <c r="Y12" i="1" s="1"/>
  <c r="X16" i="1"/>
  <c r="Y16" i="1" s="1"/>
  <c r="X20" i="1"/>
  <c r="Y20" i="1" s="1"/>
  <c r="X24" i="1"/>
  <c r="Y24" i="1" s="1"/>
  <c r="X28" i="1"/>
  <c r="Y28" i="1" s="1"/>
  <c r="X32" i="1"/>
  <c r="Y32" i="1" s="1"/>
  <c r="X37" i="1"/>
  <c r="Y37" i="1" s="1"/>
  <c r="X41" i="1"/>
  <c r="Y41" i="1" s="1"/>
  <c r="X45" i="1"/>
  <c r="Y45" i="1" s="1"/>
  <c r="X49" i="1"/>
  <c r="Y49" i="1" s="1"/>
  <c r="X53" i="1"/>
  <c r="Y53" i="1" s="1"/>
  <c r="X57" i="1"/>
  <c r="Y57" i="1" s="1"/>
  <c r="X61" i="1"/>
  <c r="Y61" i="1" s="1"/>
  <c r="X65" i="1"/>
  <c r="Y65" i="1" s="1"/>
  <c r="X70" i="1"/>
  <c r="Y70" i="1" s="1"/>
  <c r="X74" i="1"/>
  <c r="Y74" i="1" s="1"/>
  <c r="X78" i="1"/>
  <c r="Y78" i="1" s="1"/>
  <c r="X82" i="1"/>
  <c r="Y82" i="1" s="1"/>
  <c r="X86" i="1"/>
  <c r="Y86" i="1" s="1"/>
  <c r="X90" i="1"/>
  <c r="Y90" i="1" s="1"/>
  <c r="X94" i="1"/>
  <c r="Y94" i="1" s="1"/>
  <c r="X99" i="1"/>
  <c r="Y99" i="1" s="1"/>
  <c r="X103" i="1"/>
  <c r="Y103" i="1" s="1"/>
  <c r="X107" i="1"/>
  <c r="Y107" i="1" s="1"/>
  <c r="X111" i="1"/>
  <c r="Y111" i="1" s="1"/>
  <c r="X115" i="1"/>
  <c r="Y115" i="1" s="1"/>
  <c r="X119" i="1"/>
  <c r="Y119" i="1" s="1"/>
  <c r="X123" i="1"/>
  <c r="Y123" i="1" s="1"/>
  <c r="X127" i="1"/>
  <c r="Y127" i="1" s="1"/>
  <c r="X132" i="1"/>
  <c r="Y132" i="1" s="1"/>
  <c r="X136" i="1"/>
  <c r="Y136" i="1" s="1"/>
  <c r="X140" i="1"/>
  <c r="Y140" i="1" s="1"/>
  <c r="X144" i="1"/>
  <c r="Y144" i="1" s="1"/>
  <c r="X148" i="1"/>
  <c r="Y148" i="1" s="1"/>
  <c r="X152" i="1"/>
  <c r="Y152" i="1" s="1"/>
  <c r="X156" i="1"/>
  <c r="Y156" i="1" s="1"/>
  <c r="X160" i="1"/>
  <c r="Y160" i="1" s="1"/>
  <c r="X165" i="1"/>
  <c r="Y165" i="1" s="1"/>
  <c r="X169" i="1"/>
  <c r="Y169" i="1" s="1"/>
  <c r="X173" i="1"/>
  <c r="Y173" i="1" s="1"/>
  <c r="X177" i="1"/>
  <c r="Y177" i="1" s="1"/>
  <c r="X181" i="1"/>
  <c r="Y181" i="1" s="1"/>
  <c r="X186" i="1"/>
  <c r="Y186" i="1" s="1"/>
  <c r="X190" i="1"/>
  <c r="Y190" i="1" s="1"/>
  <c r="X194" i="1"/>
  <c r="Y194" i="1" s="1"/>
  <c r="X198" i="1"/>
  <c r="Y198" i="1" s="1"/>
  <c r="X203" i="1"/>
  <c r="Y203" i="1" s="1"/>
  <c r="X207" i="1"/>
  <c r="Y207" i="1" s="1"/>
  <c r="X211" i="1"/>
  <c r="Y211" i="1" s="1"/>
  <c r="X216" i="1"/>
  <c r="Y216" i="1" s="1"/>
  <c r="X220" i="1"/>
  <c r="Y220" i="1" s="1"/>
  <c r="X224" i="1"/>
  <c r="Y224" i="1" s="1"/>
  <c r="X228" i="1"/>
  <c r="Y228" i="1" s="1"/>
  <c r="X233" i="1"/>
  <c r="Y233" i="1" s="1"/>
  <c r="X237" i="1"/>
  <c r="Y237" i="1" s="1"/>
  <c r="X241" i="1"/>
  <c r="Y241" i="1" s="1"/>
  <c r="X245" i="1"/>
  <c r="Y245" i="1" s="1"/>
  <c r="X250" i="1"/>
  <c r="Y250" i="1" s="1"/>
  <c r="X254" i="1"/>
  <c r="Y254" i="1" s="1"/>
  <c r="X258" i="1"/>
  <c r="Y258" i="1" s="1"/>
  <c r="X262" i="1"/>
  <c r="Y262" i="1" s="1"/>
  <c r="X267" i="1"/>
  <c r="Y267" i="1" s="1"/>
  <c r="X271" i="1"/>
  <c r="Y271" i="1" s="1"/>
  <c r="X275" i="1"/>
  <c r="Y275" i="1" s="1"/>
  <c r="X280" i="1"/>
  <c r="Y280" i="1" s="1"/>
  <c r="X284" i="1"/>
  <c r="Y284" i="1" s="1"/>
  <c r="X288" i="1"/>
  <c r="Y288" i="1" s="1"/>
  <c r="X292" i="1"/>
  <c r="Y292" i="1" s="1"/>
  <c r="X297" i="1"/>
  <c r="Y297" i="1" s="1"/>
  <c r="X301" i="1"/>
  <c r="Y301" i="1" s="1"/>
  <c r="X305" i="1"/>
  <c r="Y305" i="1" s="1"/>
  <c r="X309" i="1"/>
  <c r="Y309" i="1" s="1"/>
  <c r="X314" i="1"/>
  <c r="Y314" i="1" s="1"/>
  <c r="X318" i="1"/>
  <c r="Y318" i="1" s="1"/>
  <c r="X322" i="1"/>
  <c r="Y322" i="1" s="1"/>
  <c r="X326" i="1"/>
  <c r="Y326" i="1" s="1"/>
  <c r="X331" i="1"/>
  <c r="Y331" i="1" s="1"/>
  <c r="X335" i="1"/>
  <c r="Y335" i="1" s="1"/>
  <c r="X339" i="1"/>
  <c r="Y339" i="1" s="1"/>
  <c r="X344" i="1"/>
  <c r="Y344" i="1" s="1"/>
  <c r="X348" i="1"/>
  <c r="Y348" i="1" s="1"/>
  <c r="X352" i="1"/>
  <c r="Y352" i="1" s="1"/>
  <c r="X356" i="1"/>
  <c r="Y356" i="1" s="1"/>
  <c r="X361" i="1"/>
  <c r="Y361" i="1" s="1"/>
  <c r="X365" i="1"/>
  <c r="Y365" i="1" s="1"/>
  <c r="X369" i="1"/>
  <c r="Y369" i="1" s="1"/>
  <c r="X373" i="1"/>
  <c r="Y373" i="1" s="1"/>
  <c r="X378" i="1"/>
  <c r="Y378" i="1" s="1"/>
  <c r="X382" i="1"/>
  <c r="Y382" i="1" s="1"/>
  <c r="X386" i="1"/>
  <c r="Y386" i="1" s="1"/>
  <c r="X390" i="1"/>
  <c r="Y390" i="1" s="1"/>
  <c r="X395" i="1"/>
  <c r="Y395" i="1" s="1"/>
  <c r="X399" i="1"/>
  <c r="Y399" i="1" s="1"/>
  <c r="X403" i="1"/>
  <c r="Y403" i="1" s="1"/>
  <c r="X408" i="1"/>
  <c r="Y408" i="1" s="1"/>
  <c r="X412" i="1"/>
  <c r="Y412" i="1" s="1"/>
  <c r="X416" i="1"/>
  <c r="Y416" i="1" s="1"/>
  <c r="X420" i="1"/>
  <c r="Y420" i="1" s="1"/>
  <c r="X425" i="1"/>
  <c r="Y425" i="1" s="1"/>
  <c r="X429" i="1"/>
  <c r="Y429" i="1" s="1"/>
  <c r="X434" i="1"/>
  <c r="Y434" i="1" s="1"/>
  <c r="X438" i="1"/>
  <c r="Y438" i="1" s="1"/>
  <c r="X443" i="1"/>
  <c r="Y443" i="1" s="1"/>
  <c r="X447" i="1"/>
  <c r="Y447" i="1" s="1"/>
  <c r="X452" i="1"/>
  <c r="Y452" i="1" s="1"/>
  <c r="X456" i="1"/>
  <c r="Y456" i="1" s="1"/>
  <c r="X461" i="1"/>
  <c r="Y461" i="1" s="1"/>
  <c r="X466" i="1"/>
  <c r="Y466" i="1" s="1"/>
  <c r="X470" i="1"/>
  <c r="Y470" i="1" s="1"/>
  <c r="X475" i="1"/>
  <c r="Y475" i="1" s="1"/>
  <c r="X479" i="1"/>
  <c r="Y479" i="1" s="1"/>
  <c r="X484" i="1"/>
  <c r="Y484" i="1" s="1"/>
  <c r="X488" i="1"/>
  <c r="Y488" i="1" s="1"/>
  <c r="X493" i="1"/>
  <c r="Y493" i="1" s="1"/>
  <c r="X498" i="1"/>
  <c r="Y498" i="1" s="1"/>
  <c r="X502" i="1"/>
  <c r="Y502" i="1" s="1"/>
  <c r="X507" i="1"/>
  <c r="Y507" i="1" s="1"/>
  <c r="X511" i="1"/>
  <c r="Y511" i="1" s="1"/>
  <c r="X516" i="1"/>
  <c r="Y516" i="1" s="1"/>
  <c r="X520" i="1"/>
  <c r="Y520" i="1" s="1"/>
  <c r="X525" i="1"/>
  <c r="Y525" i="1" s="1"/>
  <c r="X530" i="1"/>
  <c r="Y530" i="1" s="1"/>
  <c r="X534" i="1"/>
  <c r="Y534" i="1" s="1"/>
  <c r="X539" i="1"/>
  <c r="Y539" i="1" s="1"/>
  <c r="X543" i="1"/>
  <c r="Y543" i="1" s="1"/>
  <c r="X548" i="1"/>
  <c r="Y548" i="1" s="1"/>
  <c r="X552" i="1"/>
  <c r="Y552" i="1" s="1"/>
  <c r="X557" i="1"/>
  <c r="Y557" i="1" s="1"/>
  <c r="X562" i="1"/>
  <c r="Y562" i="1" s="1"/>
  <c r="X566" i="1"/>
  <c r="Y566" i="1" s="1"/>
  <c r="X571" i="1"/>
  <c r="Y571" i="1" s="1"/>
  <c r="X575" i="1"/>
  <c r="Y575" i="1" s="1"/>
  <c r="X580" i="1"/>
  <c r="Y580" i="1" s="1"/>
  <c r="X584" i="1"/>
  <c r="Y584" i="1" s="1"/>
  <c r="X589" i="1"/>
  <c r="Y589" i="1" s="1"/>
  <c r="X594" i="1"/>
  <c r="Y594" i="1" s="1"/>
  <c r="X598" i="1"/>
  <c r="Y598" i="1" s="1"/>
  <c r="X603" i="1"/>
  <c r="Y603" i="1" s="1"/>
  <c r="X607" i="1"/>
  <c r="Y607" i="1" s="1"/>
  <c r="X612" i="1"/>
  <c r="Y612" i="1" s="1"/>
  <c r="X616" i="1"/>
  <c r="Y616" i="1" s="1"/>
  <c r="X621" i="1"/>
  <c r="Y621" i="1" s="1"/>
  <c r="X626" i="1"/>
  <c r="Y626" i="1" s="1"/>
  <c r="X630" i="1"/>
  <c r="Y630" i="1" s="1"/>
  <c r="X635" i="1"/>
  <c r="Y635" i="1" s="1"/>
  <c r="X639" i="1"/>
  <c r="Y639" i="1" s="1"/>
  <c r="X644" i="1"/>
  <c r="Y644" i="1" s="1"/>
  <c r="X648" i="1"/>
  <c r="Y648" i="1" s="1"/>
  <c r="X653" i="1"/>
  <c r="Y653" i="1" s="1"/>
  <c r="X658" i="1"/>
  <c r="Y658" i="1" s="1"/>
  <c r="X662" i="1"/>
  <c r="Y662" i="1" s="1"/>
  <c r="X667" i="1"/>
  <c r="Y667" i="1" s="1"/>
  <c r="X671" i="1"/>
  <c r="Y671" i="1" s="1"/>
  <c r="X676" i="1"/>
  <c r="Y676" i="1" s="1"/>
  <c r="X680" i="1"/>
  <c r="Y680" i="1" s="1"/>
  <c r="X685" i="1"/>
  <c r="Y685" i="1" s="1"/>
  <c r="X690" i="1"/>
  <c r="Y690" i="1" s="1"/>
  <c r="X694" i="1"/>
  <c r="Y694" i="1" s="1"/>
  <c r="X699" i="1"/>
  <c r="Y699" i="1" s="1"/>
  <c r="X703" i="1"/>
  <c r="Y703" i="1" s="1"/>
  <c r="X708" i="1"/>
  <c r="Y708" i="1" s="1"/>
  <c r="X712" i="1"/>
  <c r="Y712" i="1" s="1"/>
  <c r="X717" i="1"/>
  <c r="Y717" i="1" s="1"/>
  <c r="X722" i="1"/>
  <c r="Y722" i="1" s="1"/>
  <c r="X726" i="1"/>
  <c r="Y726" i="1" s="1"/>
  <c r="X731" i="1"/>
  <c r="Y731" i="1" s="1"/>
  <c r="X735" i="1"/>
  <c r="Y735" i="1" s="1"/>
  <c r="X740" i="1"/>
  <c r="Y740" i="1" s="1"/>
  <c r="X744" i="1"/>
  <c r="Y744" i="1" s="1"/>
  <c r="X749" i="1"/>
  <c r="Y749" i="1" s="1"/>
  <c r="X754" i="1"/>
  <c r="Y754" i="1" s="1"/>
  <c r="X758" i="1"/>
  <c r="Y758" i="1" s="1"/>
  <c r="X763" i="1"/>
  <c r="Y763" i="1" s="1"/>
  <c r="X767" i="1"/>
  <c r="Y767" i="1" s="1"/>
  <c r="X772" i="1"/>
  <c r="Y772" i="1" s="1"/>
  <c r="X776" i="1"/>
  <c r="Y776" i="1" s="1"/>
  <c r="X781" i="1"/>
  <c r="Y781" i="1" s="1"/>
  <c r="X786" i="1"/>
  <c r="Y786" i="1" s="1"/>
  <c r="X790" i="1"/>
  <c r="Y790" i="1" s="1"/>
  <c r="X795" i="1"/>
  <c r="Y795" i="1" s="1"/>
  <c r="X799" i="1"/>
  <c r="Y799" i="1" s="1"/>
  <c r="X804" i="1"/>
  <c r="Y804" i="1" s="1"/>
  <c r="X808" i="1"/>
  <c r="Y808" i="1" s="1"/>
  <c r="X813" i="1"/>
  <c r="Y813" i="1" s="1"/>
  <c r="X818" i="1"/>
  <c r="Y818" i="1" s="1"/>
  <c r="X822" i="1"/>
  <c r="Y822" i="1" s="1"/>
  <c r="X827" i="1"/>
  <c r="Y827" i="1" s="1"/>
  <c r="X831" i="1"/>
  <c r="Y831" i="1" s="1"/>
  <c r="X836" i="1"/>
  <c r="Y836" i="1" s="1"/>
  <c r="X840" i="1"/>
  <c r="Y840" i="1" s="1"/>
  <c r="X845" i="1"/>
  <c r="Y845" i="1" s="1"/>
  <c r="X850" i="1"/>
  <c r="Y850" i="1" s="1"/>
  <c r="X854" i="1"/>
  <c r="Y854" i="1" s="1"/>
  <c r="X859" i="1"/>
  <c r="Y859" i="1" s="1"/>
  <c r="X863" i="1"/>
  <c r="Y863" i="1" s="1"/>
  <c r="X868" i="1"/>
  <c r="Y868" i="1" s="1"/>
  <c r="X872" i="1"/>
  <c r="Y872" i="1" s="1"/>
  <c r="X877" i="1"/>
  <c r="Y877" i="1" s="1"/>
  <c r="X882" i="1"/>
  <c r="Y882" i="1" s="1"/>
  <c r="X886" i="1"/>
  <c r="Y886" i="1" s="1"/>
  <c r="X891" i="1"/>
  <c r="Y891" i="1" s="1"/>
  <c r="X895" i="1"/>
  <c r="Y895" i="1" s="1"/>
  <c r="X900" i="1"/>
  <c r="Y900" i="1" s="1"/>
  <c r="X904" i="1"/>
  <c r="Y904" i="1" s="1"/>
  <c r="X909" i="1"/>
  <c r="Y909" i="1" s="1"/>
  <c r="X914" i="1"/>
  <c r="Y914" i="1" s="1"/>
  <c r="X918" i="1"/>
  <c r="Y918" i="1" s="1"/>
  <c r="X923" i="1"/>
  <c r="Y923" i="1" s="1"/>
  <c r="X927" i="1"/>
  <c r="Y927" i="1" s="1"/>
  <c r="X932" i="1"/>
  <c r="Y932" i="1" s="1"/>
  <c r="X936" i="1"/>
  <c r="Y936" i="1" s="1"/>
  <c r="X941" i="1"/>
  <c r="Y941" i="1" s="1"/>
  <c r="X947" i="1"/>
  <c r="Y947" i="1" s="1"/>
  <c r="X952" i="1"/>
  <c r="Y952" i="1" s="1"/>
  <c r="X957" i="1"/>
  <c r="Y957" i="1" s="1"/>
  <c r="X963" i="1"/>
  <c r="Y963" i="1" s="1"/>
  <c r="X968" i="1"/>
  <c r="Y968" i="1" s="1"/>
  <c r="X973" i="1"/>
  <c r="Y973" i="1" s="1"/>
  <c r="X979" i="1"/>
  <c r="Y979" i="1" s="1"/>
  <c r="X984" i="1"/>
  <c r="Y984" i="1" s="1"/>
  <c r="X989" i="1"/>
  <c r="Y989" i="1" s="1"/>
  <c r="X995" i="1"/>
  <c r="Y995" i="1" s="1"/>
  <c r="X1000" i="1"/>
  <c r="Y1000" i="1" s="1"/>
  <c r="X1005" i="1"/>
  <c r="Y1005" i="1" s="1"/>
  <c r="X1011" i="1"/>
  <c r="Y1011" i="1" s="1"/>
  <c r="X1016" i="1"/>
  <c r="Y1016" i="1" s="1"/>
  <c r="X1021" i="1"/>
  <c r="Y1021" i="1" s="1"/>
  <c r="X1027" i="1"/>
  <c r="Y1027" i="1" s="1"/>
  <c r="X1032" i="1"/>
  <c r="Y1032" i="1" s="1"/>
  <c r="X1037" i="1"/>
  <c r="Y1037" i="1" s="1"/>
  <c r="X1043" i="1"/>
  <c r="Y1043" i="1" s="1"/>
  <c r="X1048" i="1"/>
  <c r="Y1048" i="1" s="1"/>
  <c r="X1053" i="1"/>
  <c r="Y1053" i="1" s="1"/>
  <c r="X1059" i="1"/>
  <c r="Y1059" i="1" s="1"/>
  <c r="X1064" i="1"/>
  <c r="Y1064" i="1" s="1"/>
  <c r="X1069" i="1"/>
  <c r="Y1069" i="1" s="1"/>
  <c r="X1075" i="1"/>
  <c r="Y1075" i="1" s="1"/>
  <c r="X1080" i="1"/>
  <c r="Y1080" i="1" s="1"/>
  <c r="X1085" i="1"/>
  <c r="Y1085" i="1" s="1"/>
  <c r="X1091" i="1"/>
  <c r="Y1091" i="1" s="1"/>
  <c r="X1096" i="1"/>
  <c r="Y1096" i="1" s="1"/>
  <c r="X1101" i="1"/>
  <c r="Y1101" i="1" s="1"/>
  <c r="X1107" i="1"/>
  <c r="Y1107" i="1" s="1"/>
  <c r="X1112" i="1"/>
  <c r="Y1112" i="1" s="1"/>
  <c r="X1117" i="1"/>
  <c r="Y1117" i="1" s="1"/>
  <c r="X1123" i="1"/>
  <c r="Y1123" i="1" s="1"/>
  <c r="X1128" i="1"/>
  <c r="Y1128" i="1" s="1"/>
  <c r="X1133" i="1"/>
  <c r="Y1133" i="1" s="1"/>
  <c r="X1139" i="1"/>
  <c r="Y1139" i="1" s="1"/>
  <c r="X1144" i="1"/>
  <c r="Y1144" i="1" s="1"/>
  <c r="X1149" i="1"/>
  <c r="Y1149" i="1" s="1"/>
  <c r="X1155" i="1"/>
  <c r="Y1155" i="1" s="1"/>
  <c r="X1160" i="1"/>
  <c r="Y1160" i="1" s="1"/>
  <c r="X1165" i="1"/>
  <c r="Y1165" i="1" s="1"/>
  <c r="X1171" i="1"/>
  <c r="Y1171" i="1" s="1"/>
  <c r="X1176" i="1"/>
  <c r="Y1176" i="1" s="1"/>
  <c r="X1181" i="1"/>
  <c r="Y1181" i="1" s="1"/>
  <c r="X1187" i="1"/>
  <c r="Y1187" i="1" s="1"/>
  <c r="X1192" i="1"/>
  <c r="Y1192" i="1" s="1"/>
  <c r="X1197" i="1"/>
  <c r="Y1197" i="1" s="1"/>
  <c r="X1203" i="1"/>
  <c r="Y1203" i="1" s="1"/>
  <c r="X1208" i="1"/>
  <c r="Y1208" i="1" s="1"/>
  <c r="X1213" i="1"/>
  <c r="Y1213" i="1" s="1"/>
  <c r="X1219" i="1"/>
  <c r="Y1219" i="1" s="1"/>
  <c r="X1224" i="1"/>
  <c r="Y1224" i="1" s="1"/>
  <c r="X1229" i="1"/>
  <c r="Y1229" i="1" s="1"/>
  <c r="X1235" i="1"/>
  <c r="Y1235" i="1" s="1"/>
  <c r="X1240" i="1"/>
  <c r="Y1240" i="1" s="1"/>
  <c r="X1245" i="1"/>
  <c r="Y1245" i="1" s="1"/>
  <c r="X1251" i="1"/>
  <c r="Y1251" i="1" s="1"/>
  <c r="X1256" i="1"/>
  <c r="Y1256" i="1" s="1"/>
  <c r="X1261" i="1"/>
  <c r="Y1261" i="1" s="1"/>
  <c r="X1267" i="1"/>
  <c r="Y1267" i="1" s="1"/>
  <c r="X1272" i="1"/>
  <c r="Y1272" i="1" s="1"/>
  <c r="X1277" i="1"/>
  <c r="Y1277" i="1" s="1"/>
  <c r="X1283" i="1"/>
  <c r="Y1283" i="1" s="1"/>
  <c r="X1288" i="1"/>
  <c r="Y1288" i="1" s="1"/>
  <c r="X1293" i="1"/>
  <c r="Y1293" i="1" s="1"/>
  <c r="X1299" i="1"/>
  <c r="Y1299" i="1" s="1"/>
  <c r="X1304" i="1"/>
  <c r="Y1304" i="1" s="1"/>
  <c r="X1309" i="1"/>
  <c r="Y1309" i="1" s="1"/>
  <c r="X1315" i="1"/>
  <c r="Y1315" i="1" s="1"/>
  <c r="X1320" i="1"/>
  <c r="Y1320" i="1" s="1"/>
  <c r="X1325" i="1"/>
  <c r="Y1325" i="1" s="1"/>
  <c r="X1331" i="1"/>
  <c r="Y1331" i="1" s="1"/>
  <c r="X1336" i="1"/>
  <c r="Y1336" i="1" s="1"/>
  <c r="X1341" i="1"/>
  <c r="Y1341" i="1" s="1"/>
  <c r="X1347" i="1"/>
  <c r="Y1347" i="1" s="1"/>
  <c r="X1352" i="1"/>
  <c r="Y1352" i="1" s="1"/>
  <c r="X1357" i="1"/>
  <c r="Y1357" i="1" s="1"/>
  <c r="X1363" i="1"/>
  <c r="Y1363" i="1" s="1"/>
  <c r="X1368" i="1"/>
  <c r="Y1368" i="1" s="1"/>
  <c r="X1373" i="1"/>
  <c r="Y1373" i="1" s="1"/>
  <c r="X1379" i="1"/>
  <c r="Y1379" i="1" s="1"/>
  <c r="X1384" i="1"/>
  <c r="Y1384" i="1" s="1"/>
  <c r="X1389" i="1"/>
  <c r="Y1389" i="1" s="1"/>
  <c r="X1395" i="1"/>
  <c r="Y1395" i="1" s="1"/>
  <c r="X1400" i="1"/>
  <c r="Y1400" i="1" s="1"/>
  <c r="X1405" i="1"/>
  <c r="Y1405" i="1" s="1"/>
  <c r="X1411" i="1"/>
  <c r="Y1411" i="1" s="1"/>
  <c r="X1416" i="1"/>
  <c r="Y1416" i="1" s="1"/>
  <c r="X1421" i="1"/>
  <c r="Y1421" i="1" s="1"/>
  <c r="X1427" i="1"/>
  <c r="Y1427" i="1" s="1"/>
  <c r="X1432" i="1"/>
  <c r="Y1432" i="1" s="1"/>
  <c r="X1437" i="1"/>
  <c r="Y1437" i="1" s="1"/>
  <c r="X1443" i="1"/>
  <c r="Y1443" i="1" s="1"/>
  <c r="X1448" i="1"/>
  <c r="Y1448" i="1" s="1"/>
  <c r="X1453" i="1"/>
  <c r="Y1453" i="1" s="1"/>
  <c r="X1459" i="1"/>
  <c r="Y1459" i="1" s="1"/>
  <c r="X1464" i="1"/>
  <c r="Y1464" i="1" s="1"/>
  <c r="X1469" i="1"/>
  <c r="Y1469" i="1" s="1"/>
  <c r="X1475" i="1"/>
  <c r="Y1475" i="1" s="1"/>
  <c r="X1480" i="1"/>
  <c r="Y1480" i="1" s="1"/>
  <c r="X1485" i="1"/>
  <c r="Y1485" i="1" s="1"/>
  <c r="X1491" i="1"/>
  <c r="Y1491" i="1" s="1"/>
  <c r="X1496" i="1"/>
  <c r="Y1496" i="1" s="1"/>
  <c r="X1501" i="1"/>
  <c r="Y1501" i="1" s="1"/>
  <c r="X1507" i="1"/>
  <c r="Y1507" i="1" s="1"/>
  <c r="X1512" i="1"/>
  <c r="Y1512" i="1" s="1"/>
  <c r="X1517" i="1"/>
  <c r="Y1517" i="1" s="1"/>
  <c r="X1523" i="1"/>
  <c r="Y1523" i="1" s="1"/>
  <c r="X1528" i="1"/>
  <c r="Y1528" i="1" s="1"/>
  <c r="X1533" i="1"/>
  <c r="Y1533" i="1" s="1"/>
  <c r="X1539" i="1"/>
  <c r="Y1539" i="1" s="1"/>
  <c r="X1544" i="1"/>
  <c r="Y1544" i="1" s="1"/>
  <c r="X1549" i="1"/>
  <c r="Y1549" i="1" s="1"/>
  <c r="X1555" i="1"/>
  <c r="Y1555" i="1" s="1"/>
  <c r="X1560" i="1"/>
  <c r="Y1560" i="1" s="1"/>
  <c r="X1565" i="1"/>
  <c r="Y1565" i="1" s="1"/>
  <c r="X1571" i="1"/>
  <c r="Y1571" i="1" s="1"/>
  <c r="X1576" i="1"/>
  <c r="Y1576" i="1" s="1"/>
  <c r="X1581" i="1"/>
  <c r="Y1581" i="1" s="1"/>
  <c r="X1587" i="1"/>
  <c r="Y1587" i="1" s="1"/>
  <c r="X1592" i="1"/>
  <c r="Y1592" i="1" s="1"/>
  <c r="X1597" i="1"/>
  <c r="Y1597" i="1" s="1"/>
  <c r="X1603" i="1"/>
  <c r="Y1603" i="1" s="1"/>
  <c r="X1608" i="1"/>
  <c r="Y1608" i="1" s="1"/>
  <c r="X1613" i="1"/>
  <c r="Y1613" i="1" s="1"/>
  <c r="X1619" i="1"/>
  <c r="Y1619" i="1" s="1"/>
  <c r="X1624" i="1"/>
  <c r="Y1624" i="1" s="1"/>
  <c r="X1629" i="1"/>
  <c r="Y1629" i="1" s="1"/>
  <c r="X1635" i="1"/>
  <c r="Y1635" i="1" s="1"/>
  <c r="X1640" i="1"/>
  <c r="Y1640" i="1" s="1"/>
  <c r="X1645" i="1"/>
  <c r="Y1645" i="1" s="1"/>
  <c r="X1651" i="1"/>
  <c r="Y1651" i="1" s="1"/>
  <c r="X1656" i="1"/>
  <c r="Y1656" i="1" s="1"/>
  <c r="X1661" i="1"/>
  <c r="Y1661" i="1" s="1"/>
  <c r="X1667" i="1"/>
  <c r="Y1667" i="1" s="1"/>
  <c r="X1672" i="1"/>
  <c r="Y1672" i="1" s="1"/>
  <c r="X1677" i="1"/>
  <c r="Y1677" i="1" s="1"/>
  <c r="X1683" i="1"/>
  <c r="Y1683" i="1" s="1"/>
  <c r="X1688" i="1"/>
  <c r="Y1688" i="1" s="1"/>
  <c r="X1693" i="1"/>
  <c r="Y1693" i="1" s="1"/>
  <c r="X1699" i="1"/>
  <c r="Y1699" i="1" s="1"/>
  <c r="X1704" i="1"/>
  <c r="Y1704" i="1" s="1"/>
  <c r="X1709" i="1"/>
  <c r="Y1709" i="1" s="1"/>
  <c r="X1715" i="1"/>
  <c r="Y1715" i="1" s="1"/>
  <c r="X1720" i="1"/>
  <c r="Y1720" i="1" s="1"/>
  <c r="X1725" i="1"/>
  <c r="Y1725" i="1" s="1"/>
  <c r="X1731" i="1"/>
  <c r="Y1731" i="1" s="1"/>
  <c r="X1736" i="1"/>
  <c r="Y1736" i="1" s="1"/>
  <c r="X1741" i="1"/>
  <c r="Y1741" i="1" s="1"/>
  <c r="X1747" i="1"/>
  <c r="Y1747" i="1" s="1"/>
  <c r="X1752" i="1"/>
  <c r="Y1752" i="1" s="1"/>
  <c r="X1757" i="1"/>
  <c r="Y1757" i="1" s="1"/>
  <c r="X1763" i="1"/>
  <c r="Y1763" i="1" s="1"/>
  <c r="X1768" i="1"/>
  <c r="Y1768" i="1" s="1"/>
  <c r="X1773" i="1"/>
  <c r="Y1773" i="1" s="1"/>
  <c r="X1779" i="1"/>
  <c r="Y1779" i="1" s="1"/>
  <c r="X1784" i="1"/>
  <c r="Y1784" i="1" s="1"/>
  <c r="X1789" i="1"/>
  <c r="Y1789" i="1" s="1"/>
  <c r="X1795" i="1"/>
  <c r="Y1795" i="1" s="1"/>
  <c r="X1800" i="1"/>
  <c r="Y1800" i="1" s="1"/>
  <c r="X1805" i="1"/>
  <c r="Y1805" i="1" s="1"/>
  <c r="X1811" i="1"/>
  <c r="Y1811" i="1" s="1"/>
  <c r="X1816" i="1"/>
  <c r="Y1816" i="1" s="1"/>
  <c r="X1821" i="1"/>
  <c r="Y1821" i="1" s="1"/>
  <c r="X1827" i="1"/>
  <c r="Y1827" i="1" s="1"/>
  <c r="X1832" i="1"/>
  <c r="Y1832" i="1" s="1"/>
  <c r="X1837" i="1"/>
  <c r="Y1837" i="1" s="1"/>
  <c r="X1843" i="1"/>
  <c r="Y1843" i="1" s="1"/>
  <c r="X1848" i="1"/>
  <c r="Y1848" i="1" s="1"/>
  <c r="X1853" i="1"/>
  <c r="Y1853" i="1" s="1"/>
  <c r="X1859" i="1"/>
  <c r="Y1859" i="1" s="1"/>
  <c r="X1864" i="1"/>
  <c r="Y1864" i="1" s="1"/>
  <c r="X1869" i="1"/>
  <c r="Y1869" i="1" s="1"/>
  <c r="X98" i="1"/>
  <c r="Y98" i="1" s="1"/>
  <c r="X263" i="1"/>
  <c r="Y263" i="1" s="1"/>
  <c r="X391" i="1"/>
  <c r="Y391" i="1" s="1"/>
  <c r="X473" i="1"/>
  <c r="Y473" i="1" s="1"/>
  <c r="X537" i="1"/>
  <c r="Y537" i="1" s="1"/>
  <c r="X601" i="1"/>
  <c r="Y601" i="1" s="1"/>
  <c r="X665" i="1"/>
  <c r="Y665" i="1" s="1"/>
  <c r="X729" i="1"/>
  <c r="Y729" i="1" s="1"/>
  <c r="X793" i="1"/>
  <c r="Y793" i="1" s="1"/>
  <c r="X857" i="1"/>
  <c r="Y857" i="1" s="1"/>
  <c r="X921" i="1"/>
  <c r="Y921" i="1" s="1"/>
  <c r="X962" i="1"/>
  <c r="Y962" i="1" s="1"/>
  <c r="X994" i="1"/>
  <c r="Y994" i="1" s="1"/>
  <c r="X1026" i="1"/>
  <c r="Y1026" i="1" s="1"/>
  <c r="X1058" i="1"/>
  <c r="Y1058" i="1" s="1"/>
  <c r="X1090" i="1"/>
  <c r="Y1090" i="1" s="1"/>
  <c r="X1122" i="1"/>
  <c r="Y1122" i="1" s="1"/>
  <c r="X1154" i="1"/>
  <c r="Y1154" i="1" s="1"/>
  <c r="X1186" i="1"/>
  <c r="Y1186" i="1" s="1"/>
  <c r="X1218" i="1"/>
  <c r="Y1218" i="1" s="1"/>
  <c r="X1250" i="1"/>
  <c r="Y1250" i="1" s="1"/>
  <c r="X1282" i="1"/>
  <c r="Y1282" i="1" s="1"/>
  <c r="X1314" i="1"/>
  <c r="Y1314" i="1" s="1"/>
  <c r="X1346" i="1"/>
  <c r="Y1346" i="1" s="1"/>
  <c r="X1378" i="1"/>
  <c r="Y1378" i="1" s="1"/>
  <c r="X1410" i="1"/>
  <c r="Y1410" i="1" s="1"/>
  <c r="X1442" i="1"/>
  <c r="Y1442" i="1" s="1"/>
  <c r="X1474" i="1"/>
  <c r="Y1474" i="1" s="1"/>
  <c r="X1506" i="1"/>
  <c r="Y1506" i="1" s="1"/>
  <c r="X1538" i="1"/>
  <c r="Y1538" i="1" s="1"/>
  <c r="X1570" i="1"/>
  <c r="Y1570" i="1" s="1"/>
  <c r="X1602" i="1"/>
  <c r="Y1602" i="1" s="1"/>
  <c r="X1634" i="1"/>
  <c r="Y1634" i="1" s="1"/>
  <c r="X1666" i="1"/>
  <c r="Y1666" i="1" s="1"/>
  <c r="X1698" i="1"/>
  <c r="Y1698" i="1" s="1"/>
  <c r="X1730" i="1"/>
  <c r="Y1730" i="1" s="1"/>
  <c r="X1762" i="1"/>
  <c r="Y1762" i="1" s="1"/>
  <c r="X1794" i="1"/>
  <c r="Y1794" i="1" s="1"/>
  <c r="X1826" i="1"/>
  <c r="Y1826" i="1" s="1"/>
  <c r="X1858" i="1"/>
  <c r="Y1858" i="1" s="1"/>
  <c r="X1875" i="1"/>
  <c r="Y1875" i="1" s="1"/>
  <c r="X1880" i="1"/>
  <c r="Y1880" i="1" s="1"/>
  <c r="X1884" i="1"/>
  <c r="Y1884" i="1" s="1"/>
  <c r="X1889" i="1"/>
  <c r="Y1889" i="1" s="1"/>
  <c r="X1893" i="1"/>
  <c r="Y1893" i="1" s="1"/>
  <c r="X1898" i="1"/>
  <c r="Y1898" i="1" s="1"/>
  <c r="X1903" i="1"/>
  <c r="Y1903" i="1" s="1"/>
  <c r="X1907" i="1"/>
  <c r="Y1907" i="1" s="1"/>
  <c r="X1912" i="1"/>
  <c r="Y1912" i="1" s="1"/>
  <c r="X1916" i="1"/>
  <c r="Y1916" i="1" s="1"/>
  <c r="X1921" i="1"/>
  <c r="Y1921" i="1" s="1"/>
  <c r="X1925" i="1"/>
  <c r="Y1925" i="1" s="1"/>
  <c r="X1930" i="1"/>
  <c r="Y1930" i="1" s="1"/>
  <c r="X1935" i="1"/>
  <c r="Y1935" i="1" s="1"/>
  <c r="X1939" i="1"/>
  <c r="Y1939" i="1" s="1"/>
  <c r="X1944" i="1"/>
  <c r="Y1944" i="1" s="1"/>
  <c r="X1948" i="1"/>
  <c r="Y1948" i="1" s="1"/>
  <c r="X1953" i="1"/>
  <c r="Y1953" i="1" s="1"/>
  <c r="X1957" i="1"/>
  <c r="Y1957" i="1" s="1"/>
  <c r="X1962" i="1"/>
  <c r="Y1962" i="1" s="1"/>
  <c r="X1967" i="1"/>
  <c r="Y1967" i="1" s="1"/>
  <c r="X1973" i="1"/>
  <c r="Y1973" i="1" s="1"/>
  <c r="X1978" i="1"/>
  <c r="Y1978" i="1" s="1"/>
  <c r="X1983" i="1"/>
  <c r="Y1983" i="1" s="1"/>
  <c r="X1989" i="1"/>
  <c r="Y1989" i="1" s="1"/>
  <c r="X1994" i="1"/>
  <c r="Y1994" i="1" s="1"/>
  <c r="X1999" i="1"/>
  <c r="Y1999" i="1" s="1"/>
  <c r="X2005" i="1"/>
  <c r="Y2005" i="1" s="1"/>
  <c r="X2010" i="1"/>
  <c r="Y2010" i="1" s="1"/>
  <c r="X2015" i="1"/>
  <c r="Y2015" i="1" s="1"/>
  <c r="X2021" i="1"/>
  <c r="Y2021" i="1" s="1"/>
  <c r="X2026" i="1"/>
  <c r="Y2026" i="1" s="1"/>
  <c r="X2031" i="1"/>
  <c r="Y2031" i="1" s="1"/>
  <c r="X2037" i="1"/>
  <c r="Y2037" i="1" s="1"/>
  <c r="X2042" i="1"/>
  <c r="Y2042" i="1" s="1"/>
  <c r="X2047" i="1"/>
  <c r="Y2047" i="1" s="1"/>
  <c r="X2053" i="1"/>
  <c r="Y2053" i="1" s="1"/>
  <c r="X2058" i="1"/>
  <c r="Y2058" i="1" s="1"/>
  <c r="X2063" i="1"/>
  <c r="Y2063" i="1" s="1"/>
  <c r="X2069" i="1"/>
  <c r="Y2069" i="1" s="1"/>
  <c r="X2074" i="1"/>
  <c r="Y2074" i="1" s="1"/>
  <c r="X2079" i="1"/>
  <c r="Y2079" i="1" s="1"/>
  <c r="X2085" i="1"/>
  <c r="Y2085" i="1" s="1"/>
  <c r="X2090" i="1"/>
  <c r="Y2090" i="1" s="1"/>
  <c r="X2095" i="1"/>
  <c r="Y2095" i="1" s="1"/>
  <c r="X2101" i="1"/>
  <c r="Y2101" i="1" s="1"/>
  <c r="X2106" i="1"/>
  <c r="Y2106" i="1" s="1"/>
  <c r="X2111" i="1"/>
  <c r="Y2111" i="1" s="1"/>
  <c r="X2117" i="1"/>
  <c r="Y2117" i="1" s="1"/>
  <c r="X2122" i="1"/>
  <c r="Y2122" i="1" s="1"/>
  <c r="X2127" i="1"/>
  <c r="Y2127" i="1" s="1"/>
  <c r="X2133" i="1"/>
  <c r="Y2133" i="1" s="1"/>
  <c r="X2138" i="1"/>
  <c r="Y2138" i="1" s="1"/>
  <c r="X2143" i="1"/>
  <c r="Y2143" i="1" s="1"/>
  <c r="X2149" i="1"/>
  <c r="Y2149" i="1" s="1"/>
  <c r="X2154" i="1"/>
  <c r="Y2154" i="1" s="1"/>
  <c r="X2159" i="1"/>
  <c r="Y2159" i="1" s="1"/>
  <c r="X2165" i="1"/>
  <c r="Y2165" i="1" s="1"/>
  <c r="X2170" i="1"/>
  <c r="Y2170" i="1" s="1"/>
  <c r="X2175" i="1"/>
  <c r="Y2175" i="1" s="1"/>
  <c r="X2181" i="1"/>
  <c r="Y2181" i="1" s="1"/>
  <c r="X2186" i="1"/>
  <c r="Y2186" i="1" s="1"/>
  <c r="X2191" i="1"/>
  <c r="Y2191" i="1" s="1"/>
  <c r="X2197" i="1"/>
  <c r="Y2197" i="1" s="1"/>
  <c r="X2202" i="1"/>
  <c r="Y2202" i="1" s="1"/>
  <c r="X2207" i="1"/>
  <c r="Y2207" i="1" s="1"/>
  <c r="X2213" i="1"/>
  <c r="Y2213" i="1" s="1"/>
  <c r="X2218" i="1"/>
  <c r="Y2218" i="1" s="1"/>
  <c r="X2223" i="1"/>
  <c r="Y2223" i="1" s="1"/>
  <c r="X2229" i="1"/>
  <c r="Y2229" i="1" s="1"/>
  <c r="X2234" i="1"/>
  <c r="Y2234" i="1" s="1"/>
  <c r="X2239" i="1"/>
  <c r="Y2239" i="1" s="1"/>
  <c r="X2245" i="1"/>
  <c r="Y2245" i="1" s="1"/>
  <c r="X2250" i="1"/>
  <c r="Y2250" i="1" s="1"/>
  <c r="X2255" i="1"/>
  <c r="Y2255" i="1" s="1"/>
  <c r="X2261" i="1"/>
  <c r="Y2261" i="1" s="1"/>
  <c r="X2266" i="1"/>
  <c r="Y2266" i="1" s="1"/>
  <c r="X2271" i="1"/>
  <c r="Y2271" i="1" s="1"/>
  <c r="X2277" i="1"/>
  <c r="Y2277" i="1" s="1"/>
  <c r="X2282" i="1"/>
  <c r="Y2282" i="1" s="1"/>
  <c r="X2287" i="1"/>
  <c r="Y2287" i="1" s="1"/>
  <c r="X2293" i="1"/>
  <c r="Y2293" i="1" s="1"/>
  <c r="X2298" i="1"/>
  <c r="Y2298" i="1" s="1"/>
  <c r="X2303" i="1"/>
  <c r="Y2303" i="1" s="1"/>
  <c r="X2309" i="1"/>
  <c r="Y2309" i="1" s="1"/>
  <c r="X2314" i="1"/>
  <c r="Y2314" i="1" s="1"/>
  <c r="X2319" i="1"/>
  <c r="Y2319" i="1" s="1"/>
  <c r="X2325" i="1"/>
  <c r="Y2325" i="1" s="1"/>
  <c r="X2330" i="1"/>
  <c r="Y2330" i="1" s="1"/>
  <c r="X2335" i="1"/>
  <c r="Y2335" i="1" s="1"/>
  <c r="X2341" i="1"/>
  <c r="Y2341" i="1" s="1"/>
  <c r="X2346" i="1"/>
  <c r="Y2346" i="1" s="1"/>
  <c r="X2351" i="1"/>
  <c r="Y2351" i="1" s="1"/>
  <c r="X2357" i="1"/>
  <c r="Y2357" i="1" s="1"/>
  <c r="X2362" i="1"/>
  <c r="Y2362" i="1" s="1"/>
  <c r="X2367" i="1"/>
  <c r="Y2367" i="1" s="1"/>
  <c r="X2373" i="1"/>
  <c r="Y2373" i="1" s="1"/>
  <c r="X2378" i="1"/>
  <c r="Y2378" i="1" s="1"/>
  <c r="X2383" i="1"/>
  <c r="Y2383" i="1" s="1"/>
  <c r="X2389" i="1"/>
  <c r="Y2389" i="1" s="1"/>
  <c r="X2394" i="1"/>
  <c r="Y2394" i="1" s="1"/>
  <c r="X2399" i="1"/>
  <c r="Y2399" i="1" s="1"/>
  <c r="X2405" i="1"/>
  <c r="Y2405" i="1" s="1"/>
  <c r="X2410" i="1"/>
  <c r="Y2410" i="1" s="1"/>
  <c r="X2415" i="1"/>
  <c r="Y2415" i="1" s="1"/>
  <c r="X2421" i="1"/>
  <c r="Y2421" i="1" s="1"/>
  <c r="X2426" i="1"/>
  <c r="Y2426" i="1" s="1"/>
  <c r="X2431" i="1"/>
  <c r="Y2431" i="1" s="1"/>
  <c r="X2437" i="1"/>
  <c r="Y2437" i="1" s="1"/>
  <c r="X2442" i="1"/>
  <c r="Y2442" i="1" s="1"/>
  <c r="X2447" i="1"/>
  <c r="Y2447" i="1" s="1"/>
  <c r="X2453" i="1"/>
  <c r="Y2453" i="1" s="1"/>
  <c r="X2458" i="1"/>
  <c r="Y2458" i="1" s="1"/>
  <c r="X2463" i="1"/>
  <c r="Y2463" i="1" s="1"/>
  <c r="X2469" i="1"/>
  <c r="Y2469" i="1" s="1"/>
  <c r="X2474" i="1"/>
  <c r="Y2474" i="1" s="1"/>
  <c r="X2479" i="1"/>
  <c r="Y2479" i="1" s="1"/>
  <c r="X2485" i="1"/>
  <c r="Y2485" i="1" s="1"/>
  <c r="X2490" i="1"/>
  <c r="Y2490" i="1" s="1"/>
  <c r="X2495" i="1"/>
  <c r="Y2495" i="1" s="1"/>
  <c r="X2501" i="1"/>
  <c r="Y2501" i="1" s="1"/>
  <c r="X2506" i="1"/>
  <c r="Y2506" i="1" s="1"/>
  <c r="X2511" i="1"/>
  <c r="Y2511" i="1" s="1"/>
  <c r="X2517" i="1"/>
  <c r="Y2517" i="1" s="1"/>
  <c r="X2522" i="1"/>
  <c r="Y2522" i="1" s="1"/>
  <c r="X2527" i="1"/>
  <c r="Y2527" i="1" s="1"/>
  <c r="X2533" i="1"/>
  <c r="Y2533" i="1" s="1"/>
  <c r="X2538" i="1"/>
  <c r="Y2538" i="1" s="1"/>
  <c r="X2543" i="1"/>
  <c r="Y2543" i="1" s="1"/>
  <c r="X2549" i="1"/>
  <c r="Y2549" i="1" s="1"/>
  <c r="X2554" i="1"/>
  <c r="Y2554" i="1" s="1"/>
  <c r="X2559" i="1"/>
  <c r="Y2559" i="1" s="1"/>
  <c r="X2565" i="1"/>
  <c r="Y2565" i="1" s="1"/>
  <c r="X2570" i="1"/>
  <c r="Y2570" i="1" s="1"/>
  <c r="X2575" i="1"/>
  <c r="Y2575" i="1" s="1"/>
  <c r="X2581" i="1"/>
  <c r="Y2581" i="1" s="1"/>
  <c r="X2586" i="1"/>
  <c r="Y2586" i="1" s="1"/>
  <c r="X2591" i="1"/>
  <c r="Y2591" i="1" s="1"/>
  <c r="X2597" i="1"/>
  <c r="Y2597" i="1" s="1"/>
  <c r="X2602" i="1"/>
  <c r="Y2602" i="1" s="1"/>
  <c r="X2607" i="1"/>
  <c r="Y2607" i="1" s="1"/>
  <c r="X2613" i="1"/>
  <c r="Y2613" i="1" s="1"/>
  <c r="X2618" i="1"/>
  <c r="Y2618" i="1" s="1"/>
  <c r="X2623" i="1"/>
  <c r="Y2623" i="1" s="1"/>
  <c r="X2629" i="1"/>
  <c r="Y2629" i="1" s="1"/>
  <c r="X2634" i="1"/>
  <c r="Y2634" i="1" s="1"/>
  <c r="X2639" i="1"/>
  <c r="Y2639" i="1" s="1"/>
  <c r="X2645" i="1"/>
  <c r="Y2645" i="1" s="1"/>
  <c r="X2650" i="1"/>
  <c r="Y2650" i="1" s="1"/>
  <c r="X2655" i="1"/>
  <c r="Y2655" i="1" s="1"/>
  <c r="X2661" i="1"/>
  <c r="Y2661" i="1" s="1"/>
  <c r="X2666" i="1"/>
  <c r="Y2666" i="1" s="1"/>
  <c r="X2671" i="1"/>
  <c r="Y2671" i="1" s="1"/>
  <c r="X2677" i="1"/>
  <c r="Y2677" i="1" s="1"/>
  <c r="X2682" i="1"/>
  <c r="Y2682" i="1" s="1"/>
  <c r="X2687" i="1"/>
  <c r="Y2687" i="1" s="1"/>
  <c r="X2693" i="1"/>
  <c r="Y2693" i="1" s="1"/>
  <c r="X2698" i="1"/>
  <c r="Y2698" i="1" s="1"/>
  <c r="X2703" i="1"/>
  <c r="Y2703" i="1" s="1"/>
  <c r="X2709" i="1"/>
  <c r="Y2709" i="1" s="1"/>
  <c r="X2714" i="1"/>
  <c r="Y2714" i="1" s="1"/>
  <c r="X2719" i="1"/>
  <c r="Y2719" i="1" s="1"/>
  <c r="X2725" i="1"/>
  <c r="Y2725" i="1" s="1"/>
  <c r="X2730" i="1"/>
  <c r="Y2730" i="1" s="1"/>
  <c r="X2735" i="1"/>
  <c r="Y2735" i="1" s="1"/>
  <c r="X2741" i="1"/>
  <c r="Y2741" i="1" s="1"/>
  <c r="X2746" i="1"/>
  <c r="Y2746" i="1" s="1"/>
  <c r="X2751" i="1"/>
  <c r="Y2751" i="1" s="1"/>
  <c r="X2757" i="1"/>
  <c r="Y2757" i="1" s="1"/>
  <c r="X2762" i="1"/>
  <c r="Y2762" i="1" s="1"/>
  <c r="X2767" i="1"/>
  <c r="Y2767" i="1" s="1"/>
  <c r="X2773" i="1"/>
  <c r="Y2773" i="1" s="1"/>
  <c r="X2778" i="1"/>
  <c r="Y2778" i="1" s="1"/>
  <c r="X2783" i="1"/>
  <c r="Y2783" i="1" s="1"/>
  <c r="X2789" i="1"/>
  <c r="Y2789" i="1" s="1"/>
  <c r="X2794" i="1"/>
  <c r="Y2794" i="1" s="1"/>
  <c r="X2799" i="1"/>
  <c r="Y2799" i="1" s="1"/>
  <c r="X2805" i="1"/>
  <c r="Y2805" i="1" s="1"/>
  <c r="X2810" i="1"/>
  <c r="Y2810" i="1" s="1"/>
  <c r="X2815" i="1"/>
  <c r="Y2815" i="1" s="1"/>
  <c r="X2821" i="1"/>
  <c r="Y2821" i="1" s="1"/>
  <c r="X2826" i="1"/>
  <c r="Y2826" i="1" s="1"/>
  <c r="X2831" i="1"/>
  <c r="Y2831" i="1" s="1"/>
  <c r="X2837" i="1"/>
  <c r="Y2837" i="1" s="1"/>
  <c r="X2842" i="1"/>
  <c r="Y2842" i="1" s="1"/>
  <c r="X2847" i="1"/>
  <c r="Y2847" i="1" s="1"/>
  <c r="X2853" i="1"/>
  <c r="Y2853" i="1" s="1"/>
  <c r="X2858" i="1"/>
  <c r="Y2858" i="1" s="1"/>
  <c r="X2863" i="1"/>
  <c r="Y2863" i="1" s="1"/>
  <c r="X2869" i="1"/>
  <c r="Y2869" i="1" s="1"/>
  <c r="X2874" i="1"/>
  <c r="Y2874" i="1" s="1"/>
  <c r="X2879" i="1"/>
  <c r="Y2879" i="1" s="1"/>
  <c r="X2885" i="1"/>
  <c r="Y2885" i="1" s="1"/>
  <c r="X2890" i="1"/>
  <c r="Y2890" i="1" s="1"/>
  <c r="X2895" i="1"/>
  <c r="Y2895" i="1" s="1"/>
  <c r="X2901" i="1"/>
  <c r="Y2901" i="1" s="1"/>
  <c r="X2906" i="1"/>
  <c r="Y2906" i="1" s="1"/>
  <c r="X2911" i="1"/>
  <c r="Y2911" i="1" s="1"/>
  <c r="X2917" i="1"/>
  <c r="Y2917" i="1" s="1"/>
  <c r="X2922" i="1"/>
  <c r="Y2922" i="1" s="1"/>
  <c r="X2927" i="1"/>
  <c r="Y2927" i="1" s="1"/>
  <c r="X2933" i="1"/>
  <c r="Y2933" i="1" s="1"/>
  <c r="X2938" i="1"/>
  <c r="Y2938" i="1" s="1"/>
  <c r="X2943" i="1"/>
  <c r="Y2943" i="1" s="1"/>
  <c r="X2949" i="1"/>
  <c r="Y2949" i="1" s="1"/>
  <c r="X2954" i="1"/>
  <c r="Y2954" i="1" s="1"/>
  <c r="X2959" i="1"/>
  <c r="Y2959" i="1" s="1"/>
  <c r="X2965" i="1"/>
  <c r="Y2965" i="1" s="1"/>
  <c r="X2970" i="1"/>
  <c r="Y2970" i="1" s="1"/>
  <c r="X2975" i="1"/>
  <c r="Y2975" i="1" s="1"/>
  <c r="X2981" i="1"/>
  <c r="Y2981" i="1" s="1"/>
  <c r="X2986" i="1"/>
  <c r="Y2986" i="1" s="1"/>
  <c r="X2991" i="1"/>
  <c r="Y2991" i="1" s="1"/>
  <c r="X2997" i="1"/>
  <c r="Y2997" i="1" s="1"/>
  <c r="X3002" i="1"/>
  <c r="Y3002" i="1" s="1"/>
  <c r="X3007" i="1"/>
  <c r="Y3007" i="1" s="1"/>
  <c r="X3013" i="1"/>
  <c r="Y3013" i="1" s="1"/>
  <c r="X3018" i="1"/>
  <c r="Y3018" i="1" s="1"/>
  <c r="X3023" i="1"/>
  <c r="Y3023" i="1" s="1"/>
  <c r="X3029" i="1"/>
  <c r="Y3029" i="1" s="1"/>
  <c r="X3034" i="1"/>
  <c r="Y3034" i="1" s="1"/>
  <c r="X3039" i="1"/>
  <c r="Y3039" i="1" s="1"/>
  <c r="X3045" i="1"/>
  <c r="Y3045" i="1" s="1"/>
  <c r="X3050" i="1"/>
  <c r="Y3050" i="1" s="1"/>
  <c r="X3055" i="1"/>
  <c r="Y3055" i="1" s="1"/>
  <c r="X3061" i="1"/>
  <c r="Y3061" i="1" s="1"/>
  <c r="X3066" i="1"/>
  <c r="Y3066" i="1" s="1"/>
  <c r="X3071" i="1"/>
  <c r="Y3071" i="1" s="1"/>
  <c r="X3077" i="1"/>
  <c r="Y3077" i="1" s="1"/>
  <c r="X3082" i="1"/>
  <c r="Y3082" i="1" s="1"/>
  <c r="X3087" i="1"/>
  <c r="Y3087" i="1" s="1"/>
  <c r="X3093" i="1"/>
  <c r="Y3093" i="1" s="1"/>
  <c r="X3098" i="1"/>
  <c r="Y3098" i="1" s="1"/>
  <c r="X3103" i="1"/>
  <c r="Y3103" i="1" s="1"/>
  <c r="X3109" i="1"/>
  <c r="Y3109" i="1" s="1"/>
  <c r="X3114" i="1"/>
  <c r="Y3114" i="1" s="1"/>
  <c r="X3119" i="1"/>
  <c r="Y3119" i="1" s="1"/>
  <c r="X3125" i="1"/>
  <c r="Y3125" i="1" s="1"/>
  <c r="X3130" i="1"/>
  <c r="Y3130" i="1" s="1"/>
  <c r="X3135" i="1"/>
  <c r="Y3135" i="1" s="1"/>
  <c r="X3141" i="1"/>
  <c r="Y3141" i="1" s="1"/>
  <c r="X3146" i="1"/>
  <c r="Y3146" i="1" s="1"/>
  <c r="X3151" i="1"/>
  <c r="Y3151" i="1" s="1"/>
  <c r="X3157" i="1"/>
  <c r="Y3157" i="1" s="1"/>
  <c r="X3162" i="1"/>
  <c r="Y3162" i="1" s="1"/>
  <c r="X3167" i="1"/>
  <c r="Y3167" i="1" s="1"/>
  <c r="X3173" i="1"/>
  <c r="Y3173" i="1" s="1"/>
  <c r="X3178" i="1"/>
  <c r="Y3178" i="1" s="1"/>
  <c r="X3183" i="1"/>
  <c r="Y3183" i="1" s="1"/>
  <c r="X3189" i="1"/>
  <c r="Y3189" i="1" s="1"/>
  <c r="X3194" i="1"/>
  <c r="Y3194" i="1" s="1"/>
  <c r="X3199" i="1"/>
  <c r="Y3199" i="1" s="1"/>
  <c r="X3205" i="1"/>
  <c r="Y3205" i="1" s="1"/>
  <c r="X3210" i="1"/>
  <c r="Y3210" i="1" s="1"/>
  <c r="X3215" i="1"/>
  <c r="Y3215" i="1" s="1"/>
  <c r="X3221" i="1"/>
  <c r="Y3221" i="1" s="1"/>
  <c r="X3226" i="1"/>
  <c r="Y3226" i="1" s="1"/>
  <c r="X3231" i="1"/>
  <c r="Y3231" i="1" s="1"/>
  <c r="X3237" i="1"/>
  <c r="Y3237" i="1" s="1"/>
  <c r="X3242" i="1"/>
  <c r="Y3242" i="1" s="1"/>
  <c r="X3247" i="1"/>
  <c r="Y3247" i="1" s="1"/>
  <c r="X3253" i="1"/>
  <c r="Y3253" i="1" s="1"/>
  <c r="X3258" i="1"/>
  <c r="Y3258" i="1" s="1"/>
  <c r="X3263" i="1"/>
  <c r="Y3263" i="1" s="1"/>
  <c r="X3269" i="1"/>
  <c r="Y3269" i="1" s="1"/>
  <c r="X3274" i="1"/>
  <c r="Y3274" i="1" s="1"/>
  <c r="X3279" i="1"/>
  <c r="Y3279" i="1" s="1"/>
  <c r="X3285" i="1"/>
  <c r="Y3285" i="1" s="1"/>
  <c r="X3290" i="1"/>
  <c r="Y3290" i="1" s="1"/>
  <c r="X3295" i="1"/>
  <c r="Y3295" i="1" s="1"/>
  <c r="X3301" i="1"/>
  <c r="Y3301" i="1" s="1"/>
  <c r="X3306" i="1"/>
  <c r="Y3306" i="1" s="1"/>
  <c r="X3311" i="1"/>
  <c r="Y3311" i="1" s="1"/>
  <c r="X3317" i="1"/>
  <c r="Y3317" i="1" s="1"/>
  <c r="X3322" i="1"/>
  <c r="Y3322" i="1" s="1"/>
  <c r="X3327" i="1"/>
  <c r="Y3327" i="1" s="1"/>
  <c r="X3333" i="1"/>
  <c r="Y3333" i="1" s="1"/>
  <c r="X3338" i="1"/>
  <c r="Y3338" i="1" s="1"/>
  <c r="X3343" i="1"/>
  <c r="Y3343" i="1" s="1"/>
  <c r="X3349" i="1"/>
  <c r="Y3349" i="1" s="1"/>
  <c r="X3354" i="1"/>
  <c r="Y3354" i="1" s="1"/>
  <c r="X3359" i="1"/>
  <c r="Y3359" i="1" s="1"/>
  <c r="X3365" i="1"/>
  <c r="Y3365" i="1" s="1"/>
  <c r="X3370" i="1"/>
  <c r="Y3370" i="1" s="1"/>
  <c r="X3375" i="1"/>
  <c r="Y3375" i="1" s="1"/>
  <c r="X3381" i="1"/>
  <c r="Y3381" i="1" s="1"/>
  <c r="X3386" i="1"/>
  <c r="Y3386" i="1" s="1"/>
  <c r="X3391" i="1"/>
  <c r="Y3391" i="1" s="1"/>
  <c r="X3397" i="1"/>
  <c r="Y3397" i="1" s="1"/>
  <c r="X3402" i="1"/>
  <c r="Y3402" i="1" s="1"/>
  <c r="X3407" i="1"/>
  <c r="Y3407" i="1" s="1"/>
  <c r="X3413" i="1"/>
  <c r="Y3413" i="1" s="1"/>
  <c r="X3418" i="1"/>
  <c r="Y3418" i="1" s="1"/>
  <c r="X3423" i="1"/>
  <c r="Y3423" i="1" s="1"/>
  <c r="X3429" i="1"/>
  <c r="Y3429" i="1" s="1"/>
  <c r="X3434" i="1"/>
  <c r="Y3434" i="1" s="1"/>
  <c r="X3439" i="1"/>
  <c r="Y3439" i="1" s="1"/>
  <c r="X3445" i="1"/>
  <c r="Y3445" i="1" s="1"/>
  <c r="X3450" i="1"/>
  <c r="Y3450" i="1" s="1"/>
  <c r="X3455" i="1"/>
  <c r="Y3455" i="1" s="1"/>
  <c r="X3461" i="1"/>
  <c r="Y3461" i="1" s="1"/>
  <c r="X3466" i="1"/>
  <c r="Y3466" i="1" s="1"/>
  <c r="X3471" i="1"/>
  <c r="Y3471" i="1" s="1"/>
  <c r="X3477" i="1"/>
  <c r="Y3477" i="1" s="1"/>
  <c r="X3482" i="1"/>
  <c r="Y3482" i="1" s="1"/>
  <c r="X3487" i="1"/>
  <c r="Y3487" i="1" s="1"/>
  <c r="X3493" i="1"/>
  <c r="Y3493" i="1" s="1"/>
  <c r="X3498" i="1"/>
  <c r="Y3498" i="1" s="1"/>
  <c r="X3503" i="1"/>
  <c r="Y3503" i="1" s="1"/>
  <c r="X3509" i="1"/>
  <c r="Y3509" i="1" s="1"/>
  <c r="X3514" i="1"/>
  <c r="Y3514" i="1" s="1"/>
  <c r="X3519" i="1"/>
  <c r="Y3519" i="1" s="1"/>
  <c r="X3525" i="1"/>
  <c r="Y3525" i="1" s="1"/>
  <c r="X3530" i="1"/>
  <c r="Y3530" i="1" s="1"/>
  <c r="X3535" i="1"/>
  <c r="Y3535" i="1" s="1"/>
  <c r="X3541" i="1"/>
  <c r="Y3541" i="1" s="1"/>
  <c r="X3546" i="1"/>
  <c r="Y3546" i="1" s="1"/>
  <c r="X3551" i="1"/>
  <c r="Y3551" i="1" s="1"/>
  <c r="X3557" i="1"/>
  <c r="Y3557" i="1" s="1"/>
  <c r="X3562" i="1"/>
  <c r="Y3562" i="1" s="1"/>
  <c r="X3567" i="1"/>
  <c r="Y3567" i="1" s="1"/>
  <c r="X3573" i="1"/>
  <c r="Y3573" i="1" s="1"/>
  <c r="X3578" i="1"/>
  <c r="Y3578" i="1" s="1"/>
  <c r="X3583" i="1"/>
  <c r="Y3583" i="1" s="1"/>
  <c r="X3589" i="1"/>
  <c r="Y3589" i="1" s="1"/>
  <c r="X3594" i="1"/>
  <c r="Y3594" i="1" s="1"/>
  <c r="X3599" i="1"/>
  <c r="Y3599" i="1" s="1"/>
  <c r="X3605" i="1"/>
  <c r="Y3605" i="1" s="1"/>
  <c r="X3610" i="1"/>
  <c r="Y3610" i="1" s="1"/>
  <c r="X3615" i="1"/>
  <c r="Y3615" i="1" s="1"/>
  <c r="X3621" i="1"/>
  <c r="Y3621" i="1" s="1"/>
  <c r="X3626" i="1"/>
  <c r="Y3626" i="1" s="1"/>
  <c r="X3631" i="1"/>
  <c r="Y3631" i="1" s="1"/>
  <c r="X3637" i="1"/>
  <c r="Y3637" i="1" s="1"/>
  <c r="X3642" i="1"/>
  <c r="Y3642" i="1" s="1"/>
  <c r="X3647" i="1"/>
  <c r="Y3647" i="1" s="1"/>
  <c r="X3653" i="1"/>
  <c r="Y3653" i="1" s="1"/>
  <c r="X3658" i="1"/>
  <c r="Y3658" i="1" s="1"/>
  <c r="X3663" i="1"/>
  <c r="Y3663" i="1" s="1"/>
  <c r="X3669" i="1"/>
  <c r="Y3669" i="1" s="1"/>
  <c r="X3674" i="1"/>
  <c r="Y3674" i="1" s="1"/>
  <c r="X3679" i="1"/>
  <c r="Y3679" i="1" s="1"/>
  <c r="X3685" i="1"/>
  <c r="Y3685" i="1" s="1"/>
  <c r="X3690" i="1"/>
  <c r="Y3690" i="1" s="1"/>
  <c r="X3695" i="1"/>
  <c r="Y3695" i="1" s="1"/>
  <c r="X3701" i="1"/>
  <c r="Y3701" i="1" s="1"/>
  <c r="X3706" i="1"/>
  <c r="Y3706" i="1" s="1"/>
  <c r="X3711" i="1"/>
  <c r="Y3711" i="1" s="1"/>
  <c r="X3717" i="1"/>
  <c r="Y3717" i="1" s="1"/>
  <c r="X3722" i="1"/>
  <c r="Y3722" i="1" s="1"/>
  <c r="X3727" i="1"/>
  <c r="Y3727" i="1" s="1"/>
  <c r="X3733" i="1"/>
  <c r="Y3733" i="1" s="1"/>
  <c r="X3738" i="1"/>
  <c r="Y3738" i="1" s="1"/>
  <c r="X3743" i="1"/>
  <c r="Y3743" i="1" s="1"/>
  <c r="X3749" i="1"/>
  <c r="Y3749" i="1" s="1"/>
  <c r="X3754" i="1"/>
  <c r="Y3754" i="1" s="1"/>
  <c r="X3759" i="1"/>
  <c r="Y3759" i="1" s="1"/>
  <c r="X3765" i="1"/>
  <c r="Y3765" i="1" s="1"/>
  <c r="X3770" i="1"/>
  <c r="Y3770" i="1" s="1"/>
  <c r="X3775" i="1"/>
  <c r="Y3775" i="1" s="1"/>
  <c r="X3781" i="1"/>
  <c r="Y3781" i="1" s="1"/>
  <c r="X3786" i="1"/>
  <c r="Y3786" i="1" s="1"/>
  <c r="X3791" i="1"/>
  <c r="Y3791" i="1" s="1"/>
  <c r="X3797" i="1"/>
  <c r="Y3797" i="1" s="1"/>
  <c r="X3802" i="1"/>
  <c r="Y3802" i="1" s="1"/>
  <c r="X3807" i="1"/>
  <c r="Y3807" i="1" s="1"/>
  <c r="X3813" i="1"/>
  <c r="Y3813" i="1" s="1"/>
  <c r="X3818" i="1"/>
  <c r="Y3818" i="1" s="1"/>
  <c r="X3823" i="1"/>
  <c r="Y3823" i="1" s="1"/>
  <c r="X3829" i="1"/>
  <c r="Y3829" i="1" s="1"/>
  <c r="X3834" i="1"/>
  <c r="Y3834" i="1" s="1"/>
  <c r="X3839" i="1"/>
  <c r="Y3839" i="1" s="1"/>
  <c r="X3845" i="1"/>
  <c r="Y3845" i="1" s="1"/>
  <c r="X3850" i="1"/>
  <c r="Y3850" i="1" s="1"/>
  <c r="X3855" i="1"/>
  <c r="Y3855" i="1" s="1"/>
  <c r="X3861" i="1"/>
  <c r="Y3861" i="1" s="1"/>
  <c r="X3866" i="1"/>
  <c r="Y3866" i="1" s="1"/>
  <c r="X3871" i="1"/>
  <c r="Y3871" i="1" s="1"/>
  <c r="X3877" i="1"/>
  <c r="Y3877" i="1" s="1"/>
  <c r="X3882" i="1"/>
  <c r="Y3882" i="1" s="1"/>
  <c r="X3887" i="1"/>
  <c r="Y3887" i="1" s="1"/>
  <c r="X3893" i="1"/>
  <c r="Y3893" i="1" s="1"/>
  <c r="X3898" i="1"/>
  <c r="Y3898" i="1" s="1"/>
  <c r="X3903" i="1"/>
  <c r="Y3903" i="1" s="1"/>
  <c r="X3909" i="1"/>
  <c r="Y3909" i="1" s="1"/>
  <c r="X3914" i="1"/>
  <c r="Y3914" i="1" s="1"/>
  <c r="X3919" i="1"/>
  <c r="Y3919" i="1" s="1"/>
  <c r="X3925" i="1"/>
  <c r="Y3925" i="1" s="1"/>
  <c r="X3930" i="1"/>
  <c r="Y3930" i="1" s="1"/>
  <c r="X3935" i="1"/>
  <c r="Y3935" i="1" s="1"/>
  <c r="X3941" i="1"/>
  <c r="Y3941" i="1" s="1"/>
  <c r="X3946" i="1"/>
  <c r="Y3946" i="1" s="1"/>
  <c r="X3951" i="1"/>
  <c r="Y3951" i="1" s="1"/>
  <c r="X3957" i="1"/>
  <c r="Y3957" i="1" s="1"/>
  <c r="X3962" i="1"/>
  <c r="Y3962" i="1" s="1"/>
  <c r="X3967" i="1"/>
  <c r="Y3967" i="1" s="1"/>
  <c r="X3973" i="1"/>
  <c r="Y3973" i="1" s="1"/>
  <c r="X3978" i="1"/>
  <c r="Y3978" i="1" s="1"/>
  <c r="X3983" i="1"/>
  <c r="Y3983" i="1" s="1"/>
  <c r="X3989" i="1"/>
  <c r="Y3989" i="1" s="1"/>
  <c r="X3994" i="1"/>
  <c r="Y3994" i="1" s="1"/>
  <c r="X3999" i="1"/>
  <c r="Y3999" i="1" s="1"/>
  <c r="X4005" i="1"/>
  <c r="Y4005" i="1" s="1"/>
  <c r="X4010" i="1"/>
  <c r="Y4010" i="1" s="1"/>
  <c r="X4018" i="1"/>
  <c r="Y4018" i="1" s="1"/>
  <c r="X4026" i="1"/>
  <c r="Y4026" i="1" s="1"/>
  <c r="X4034" i="1"/>
  <c r="Y4034" i="1" s="1"/>
  <c r="X4042" i="1"/>
  <c r="Y4042" i="1" s="1"/>
  <c r="X4050" i="1"/>
  <c r="Y4050" i="1" s="1"/>
  <c r="X4058" i="1"/>
  <c r="Y4058" i="1" s="1"/>
  <c r="X4066" i="1"/>
  <c r="Y4066" i="1" s="1"/>
  <c r="X4074" i="1"/>
  <c r="Y4074" i="1" s="1"/>
  <c r="X4082" i="1"/>
  <c r="Y4082" i="1" s="1"/>
  <c r="X4090" i="1"/>
  <c r="Y4090" i="1" s="1"/>
  <c r="X4098" i="1"/>
  <c r="Y4098" i="1" s="1"/>
  <c r="X4106" i="1"/>
  <c r="Y4106" i="1" s="1"/>
  <c r="X4114" i="1"/>
  <c r="Y4114" i="1" s="1"/>
  <c r="X4122" i="1"/>
  <c r="Y4122" i="1" s="1"/>
  <c r="X4130" i="1"/>
  <c r="Y4130" i="1" s="1"/>
  <c r="X4138" i="1"/>
  <c r="Y4138" i="1" s="1"/>
  <c r="X4146" i="1"/>
  <c r="Y4146" i="1" s="1"/>
  <c r="X4154" i="1"/>
  <c r="Y4154" i="1" s="1"/>
  <c r="X4162" i="1"/>
  <c r="Y4162" i="1" s="1"/>
  <c r="X4170" i="1"/>
  <c r="Y4170" i="1" s="1"/>
  <c r="X4178" i="1"/>
  <c r="Y4178" i="1" s="1"/>
  <c r="X4186" i="1"/>
  <c r="Y4186" i="1" s="1"/>
  <c r="X4194" i="1"/>
  <c r="Y4194" i="1" s="1"/>
  <c r="X4202" i="1"/>
  <c r="Y4202" i="1" s="1"/>
  <c r="X4210" i="1"/>
  <c r="Y4210" i="1" s="1"/>
  <c r="X4218" i="1"/>
  <c r="Y4218" i="1" s="1"/>
  <c r="X4226" i="1"/>
  <c r="Y4226" i="1" s="1"/>
  <c r="X4234" i="1"/>
  <c r="Y4234" i="1" s="1"/>
  <c r="X4242" i="1"/>
  <c r="Y4242" i="1" s="1"/>
  <c r="X4250" i="1"/>
  <c r="Y4250" i="1" s="1"/>
  <c r="X4258" i="1"/>
  <c r="Y4258" i="1" s="1"/>
  <c r="X4266" i="1"/>
  <c r="Y4266" i="1" s="1"/>
  <c r="X4274" i="1"/>
  <c r="Y4274" i="1" s="1"/>
  <c r="X4282" i="1"/>
  <c r="Y4282" i="1" s="1"/>
  <c r="X4290" i="1"/>
  <c r="Y4290" i="1" s="1"/>
  <c r="X4298" i="1"/>
  <c r="Y4298" i="1" s="1"/>
  <c r="X4306" i="1"/>
  <c r="Y4306" i="1" s="1"/>
  <c r="X4314" i="1"/>
  <c r="Y4314" i="1" s="1"/>
  <c r="X4322" i="1"/>
  <c r="Y4322" i="1" s="1"/>
  <c r="X4330" i="1"/>
  <c r="Y4330" i="1" s="1"/>
  <c r="X4338" i="1"/>
  <c r="Y4338" i="1" s="1"/>
  <c r="X4346" i="1"/>
  <c r="Y4346" i="1" s="1"/>
  <c r="X4354" i="1"/>
  <c r="Y4354" i="1" s="1"/>
  <c r="X4362" i="1"/>
  <c r="Y4362" i="1" s="1"/>
  <c r="X4370" i="1"/>
  <c r="Y4370" i="1" s="1"/>
  <c r="X4378" i="1"/>
  <c r="Y4378" i="1" s="1"/>
  <c r="X4386" i="1"/>
  <c r="Y4386" i="1" s="1"/>
  <c r="X4394" i="1"/>
  <c r="Y4394" i="1" s="1"/>
  <c r="X4402" i="1"/>
  <c r="Y4402" i="1" s="1"/>
  <c r="X4410" i="1"/>
  <c r="Y4410" i="1" s="1"/>
  <c r="X4418" i="1"/>
  <c r="Y4418" i="1" s="1"/>
  <c r="X4426" i="1"/>
  <c r="Y4426" i="1" s="1"/>
  <c r="X4434" i="1"/>
  <c r="Y4434" i="1" s="1"/>
  <c r="X4442" i="1"/>
  <c r="Y4442" i="1" s="1"/>
  <c r="X4450" i="1"/>
  <c r="Y4450" i="1" s="1"/>
  <c r="X4458" i="1"/>
  <c r="Y4458" i="1" s="1"/>
  <c r="X4466" i="1"/>
  <c r="Y4466" i="1" s="1"/>
  <c r="X4474" i="1"/>
  <c r="Y4474" i="1" s="1"/>
  <c r="X4482" i="1"/>
  <c r="Y4482" i="1" s="1"/>
  <c r="X4490" i="1"/>
  <c r="Y4490" i="1" s="1"/>
  <c r="X4498" i="1"/>
  <c r="Y4498" i="1" s="1"/>
  <c r="X4506" i="1"/>
  <c r="Y4506" i="1" s="1"/>
  <c r="X4514" i="1"/>
  <c r="Y4514" i="1" s="1"/>
  <c r="X4522" i="1"/>
  <c r="Y4522" i="1" s="1"/>
  <c r="X4530" i="1"/>
  <c r="Y4530" i="1" s="1"/>
  <c r="X4538" i="1"/>
  <c r="Y4538" i="1" s="1"/>
  <c r="X4546" i="1"/>
  <c r="Y4546" i="1" s="1"/>
  <c r="X4554" i="1"/>
  <c r="Y4554" i="1" s="1"/>
  <c r="X4562" i="1"/>
  <c r="Y4562" i="1" s="1"/>
  <c r="X4570" i="1"/>
  <c r="Y4570" i="1" s="1"/>
  <c r="X4578" i="1"/>
  <c r="Y4578" i="1" s="1"/>
  <c r="X4586" i="1"/>
  <c r="Y4586" i="1" s="1"/>
  <c r="X4594" i="1"/>
  <c r="Y4594" i="1" s="1"/>
  <c r="X4602" i="1"/>
  <c r="Y4602" i="1" s="1"/>
  <c r="X4610" i="1"/>
  <c r="Y4610" i="1" s="1"/>
  <c r="X4618" i="1"/>
  <c r="Y4618" i="1" s="1"/>
  <c r="X4626" i="1"/>
  <c r="Y4626" i="1" s="1"/>
  <c r="X4634" i="1"/>
  <c r="Y4634" i="1" s="1"/>
  <c r="X4642" i="1"/>
  <c r="Y4642" i="1" s="1"/>
  <c r="X4650" i="1"/>
  <c r="Y4650" i="1" s="1"/>
  <c r="X4658" i="1"/>
  <c r="Y4658" i="1" s="1"/>
  <c r="X4666" i="1"/>
  <c r="Y4666" i="1" s="1"/>
  <c r="X4674" i="1"/>
  <c r="Y4674" i="1" s="1"/>
  <c r="X4682" i="1"/>
  <c r="Y4682" i="1" s="1"/>
  <c r="X4690" i="1"/>
  <c r="Y4690" i="1" s="1"/>
  <c r="X4698" i="1"/>
  <c r="Y4698" i="1" s="1"/>
  <c r="X4706" i="1"/>
  <c r="Y4706" i="1" s="1"/>
  <c r="X4714" i="1"/>
  <c r="Y4714" i="1" s="1"/>
  <c r="X4722" i="1"/>
  <c r="Y4722" i="1" s="1"/>
  <c r="X4730" i="1"/>
  <c r="Y4730" i="1" s="1"/>
  <c r="X4738" i="1"/>
  <c r="Y4738" i="1" s="1"/>
  <c r="X4746" i="1"/>
  <c r="Y4746" i="1" s="1"/>
  <c r="X4754" i="1"/>
  <c r="Y4754" i="1" s="1"/>
  <c r="X4762" i="1"/>
  <c r="Y4762" i="1" s="1"/>
  <c r="X4770" i="1"/>
  <c r="Y4770" i="1" s="1"/>
  <c r="X4778" i="1"/>
  <c r="Y4778" i="1" s="1"/>
  <c r="X4786" i="1"/>
  <c r="Y4786" i="1" s="1"/>
  <c r="X4794" i="1"/>
  <c r="Y4794" i="1" s="1"/>
  <c r="X4802" i="1"/>
  <c r="Y4802" i="1" s="1"/>
  <c r="X4810" i="1"/>
  <c r="Y4810" i="1" s="1"/>
  <c r="X4818" i="1"/>
  <c r="Y4818" i="1" s="1"/>
  <c r="X4826" i="1"/>
  <c r="Y4826" i="1" s="1"/>
  <c r="X4834" i="1"/>
  <c r="Y4834" i="1" s="1"/>
  <c r="X4842" i="1"/>
  <c r="Y4842" i="1" s="1"/>
  <c r="X4850" i="1"/>
  <c r="Y4850" i="1" s="1"/>
  <c r="X4858" i="1"/>
  <c r="Y4858" i="1" s="1"/>
  <c r="X4866" i="1"/>
  <c r="Y4866" i="1" s="1"/>
  <c r="X4874" i="1"/>
  <c r="Y4874" i="1" s="1"/>
  <c r="X4882" i="1"/>
  <c r="Y4882" i="1" s="1"/>
  <c r="X4890" i="1"/>
  <c r="Y4890" i="1" s="1"/>
  <c r="X4898" i="1"/>
  <c r="Y4898" i="1" s="1"/>
  <c r="X4906" i="1"/>
  <c r="Y4906" i="1" s="1"/>
  <c r="X4914" i="1"/>
  <c r="Y4914" i="1" s="1"/>
  <c r="X4922" i="1"/>
  <c r="Y4922" i="1" s="1"/>
  <c r="X4930" i="1"/>
  <c r="Y4930" i="1" s="1"/>
  <c r="X4938" i="1"/>
  <c r="Y4938" i="1" s="1"/>
  <c r="X4946" i="1"/>
  <c r="Y4946" i="1" s="1"/>
  <c r="X4954" i="1"/>
  <c r="Y4954" i="1" s="1"/>
  <c r="X4962" i="1"/>
  <c r="Y4962" i="1" s="1"/>
  <c r="X4970" i="1"/>
  <c r="Y4970" i="1" s="1"/>
  <c r="X4978" i="1"/>
  <c r="Y4978" i="1" s="1"/>
  <c r="X4986" i="1"/>
  <c r="Y4986" i="1" s="1"/>
  <c r="X4994" i="1"/>
  <c r="Y4994" i="1" s="1"/>
  <c r="X1886" i="1"/>
  <c r="Y1886" i="1" s="1"/>
  <c r="X1950" i="1"/>
  <c r="Y1950" i="1" s="1"/>
  <c r="X1988" i="1"/>
  <c r="Y1988" i="1" s="1"/>
  <c r="X2020" i="1"/>
  <c r="Y2020" i="1" s="1"/>
  <c r="X2052" i="1"/>
  <c r="Y2052" i="1" s="1"/>
  <c r="X2084" i="1"/>
  <c r="Y2084" i="1" s="1"/>
  <c r="X2116" i="1"/>
  <c r="Y2116" i="1" s="1"/>
  <c r="X2148" i="1"/>
  <c r="Y2148" i="1" s="1"/>
  <c r="X2180" i="1"/>
  <c r="Y2180" i="1" s="1"/>
  <c r="X2212" i="1"/>
  <c r="Y2212" i="1" s="1"/>
  <c r="X2244" i="1"/>
  <c r="Y2244" i="1" s="1"/>
  <c r="X2276" i="1"/>
  <c r="Y2276" i="1" s="1"/>
  <c r="X2308" i="1"/>
  <c r="Y2308" i="1" s="1"/>
  <c r="X2340" i="1"/>
  <c r="Y2340" i="1" s="1"/>
  <c r="X2372" i="1"/>
  <c r="Y2372" i="1" s="1"/>
  <c r="X2404" i="1"/>
  <c r="Y2404" i="1" s="1"/>
  <c r="X2436" i="1"/>
  <c r="Y2436" i="1" s="1"/>
  <c r="X2468" i="1"/>
  <c r="Y2468" i="1" s="1"/>
  <c r="X2500" i="1"/>
  <c r="Y2500" i="1" s="1"/>
  <c r="X2532" i="1"/>
  <c r="Y2532" i="1" s="1"/>
  <c r="X2564" i="1"/>
  <c r="Y2564" i="1" s="1"/>
  <c r="X2596" i="1"/>
  <c r="Y2596" i="1" s="1"/>
  <c r="X2628" i="1"/>
  <c r="Y2628" i="1" s="1"/>
  <c r="X2660" i="1"/>
  <c r="Y2660" i="1" s="1"/>
  <c r="X2692" i="1"/>
  <c r="Y2692" i="1" s="1"/>
  <c r="X2724" i="1"/>
  <c r="Y2724" i="1" s="1"/>
  <c r="X2756" i="1"/>
  <c r="Y2756" i="1" s="1"/>
  <c r="X2788" i="1"/>
  <c r="Y2788" i="1" s="1"/>
  <c r="X2820" i="1"/>
  <c r="Y2820" i="1" s="1"/>
  <c r="X2852" i="1"/>
  <c r="Y2852" i="1" s="1"/>
  <c r="X2884" i="1"/>
  <c r="Y2884" i="1" s="1"/>
  <c r="X2916" i="1"/>
  <c r="Y2916" i="1" s="1"/>
  <c r="X2948" i="1"/>
  <c r="Y2948" i="1" s="1"/>
  <c r="X2980" i="1"/>
  <c r="Y2980" i="1" s="1"/>
  <c r="X3012" i="1"/>
  <c r="Y3012" i="1" s="1"/>
  <c r="X3044" i="1"/>
  <c r="Y3044" i="1" s="1"/>
  <c r="X3076" i="1"/>
  <c r="Y3076" i="1" s="1"/>
  <c r="X3108" i="1"/>
  <c r="Y3108" i="1" s="1"/>
  <c r="X3140" i="1"/>
  <c r="Y3140" i="1" s="1"/>
  <c r="X3172" i="1"/>
  <c r="Y3172" i="1" s="1"/>
  <c r="X3204" i="1"/>
  <c r="Y3204" i="1" s="1"/>
  <c r="X3236" i="1"/>
  <c r="Y3236" i="1" s="1"/>
  <c r="X3268" i="1"/>
  <c r="Y3268" i="1" s="1"/>
  <c r="X3300" i="1"/>
  <c r="Y3300" i="1" s="1"/>
  <c r="X3332" i="1"/>
  <c r="Y3332" i="1" s="1"/>
  <c r="X3364" i="1"/>
  <c r="Y3364" i="1" s="1"/>
  <c r="X3396" i="1"/>
  <c r="Y3396" i="1" s="1"/>
  <c r="X3428" i="1"/>
  <c r="Y3428" i="1" s="1"/>
  <c r="X3460" i="1"/>
  <c r="Y3460" i="1" s="1"/>
  <c r="X3492" i="1"/>
  <c r="Y3492" i="1" s="1"/>
  <c r="X3524" i="1"/>
  <c r="Y3524" i="1" s="1"/>
  <c r="X3556" i="1"/>
  <c r="Y3556" i="1" s="1"/>
  <c r="X3588" i="1"/>
  <c r="Y3588" i="1" s="1"/>
  <c r="X3620" i="1"/>
  <c r="Y3620" i="1" s="1"/>
  <c r="X3652" i="1"/>
  <c r="Y3652" i="1" s="1"/>
  <c r="X3684" i="1"/>
  <c r="Y3684" i="1" s="1"/>
  <c r="X3716" i="1"/>
  <c r="Y3716" i="1" s="1"/>
  <c r="X3748" i="1"/>
  <c r="Y3748" i="1" s="1"/>
  <c r="X3780" i="1"/>
  <c r="Y3780" i="1" s="1"/>
  <c r="X3812" i="1"/>
  <c r="Y3812" i="1" s="1"/>
  <c r="X3844" i="1"/>
  <c r="Y3844" i="1" s="1"/>
  <c r="X3876" i="1"/>
  <c r="Y3876" i="1" s="1"/>
  <c r="X3908" i="1"/>
  <c r="Y3908" i="1" s="1"/>
  <c r="X3940" i="1"/>
  <c r="Y3940" i="1" s="1"/>
  <c r="X3972" i="1"/>
  <c r="Y3972" i="1" s="1"/>
  <c r="X4004" i="1"/>
  <c r="Y4004" i="1" s="1"/>
  <c r="X4023" i="1"/>
  <c r="Y4023" i="1" s="1"/>
  <c r="X4039" i="1"/>
  <c r="Y4039" i="1" s="1"/>
  <c r="X4055" i="1"/>
  <c r="Y4055" i="1" s="1"/>
  <c r="X4071" i="1"/>
  <c r="Y4071" i="1" s="1"/>
  <c r="X4087" i="1"/>
  <c r="Y4087" i="1" s="1"/>
  <c r="X4103" i="1"/>
  <c r="Y4103" i="1" s="1"/>
  <c r="X4119" i="1"/>
  <c r="Y4119" i="1" s="1"/>
  <c r="X4135" i="1"/>
  <c r="Y4135" i="1" s="1"/>
  <c r="X4151" i="1"/>
  <c r="Y4151" i="1" s="1"/>
  <c r="X4167" i="1"/>
  <c r="Y4167" i="1" s="1"/>
  <c r="X4183" i="1"/>
  <c r="Y4183" i="1" s="1"/>
  <c r="X4199" i="1"/>
  <c r="Y4199" i="1" s="1"/>
  <c r="X4215" i="1"/>
  <c r="Y4215" i="1" s="1"/>
  <c r="X4231" i="1"/>
  <c r="Y4231" i="1" s="1"/>
  <c r="X4247" i="1"/>
  <c r="Y4247" i="1" s="1"/>
  <c r="X4263" i="1"/>
  <c r="Y4263" i="1" s="1"/>
  <c r="X4279" i="1"/>
  <c r="Y4279" i="1" s="1"/>
  <c r="X4295" i="1"/>
  <c r="Y4295" i="1" s="1"/>
  <c r="X4311" i="1"/>
  <c r="Y4311" i="1" s="1"/>
  <c r="X4327" i="1"/>
  <c r="Y4327" i="1" s="1"/>
  <c r="X4343" i="1"/>
  <c r="Y4343" i="1" s="1"/>
  <c r="X4359" i="1"/>
  <c r="Y4359" i="1" s="1"/>
  <c r="X4375" i="1"/>
  <c r="Y4375" i="1" s="1"/>
  <c r="X4391" i="1"/>
  <c r="Y4391" i="1" s="1"/>
  <c r="X4407" i="1"/>
  <c r="Y4407" i="1" s="1"/>
  <c r="X4423" i="1"/>
  <c r="Y4423" i="1" s="1"/>
  <c r="X4439" i="1"/>
  <c r="Y4439" i="1" s="1"/>
  <c r="X4455" i="1"/>
  <c r="Y4455" i="1" s="1"/>
  <c r="X4471" i="1"/>
  <c r="Y4471" i="1" s="1"/>
  <c r="X4487" i="1"/>
  <c r="Y4487" i="1" s="1"/>
  <c r="X4503" i="1"/>
  <c r="Y4503" i="1" s="1"/>
  <c r="X4519" i="1"/>
  <c r="Y4519" i="1" s="1"/>
  <c r="X4535" i="1"/>
  <c r="Y4535" i="1" s="1"/>
  <c r="X4551" i="1"/>
  <c r="Y4551" i="1" s="1"/>
  <c r="X4567" i="1"/>
  <c r="Y4567" i="1" s="1"/>
  <c r="X4583" i="1"/>
  <c r="Y4583" i="1" s="1"/>
  <c r="X4599" i="1"/>
  <c r="Y4599" i="1" s="1"/>
  <c r="X4615" i="1"/>
  <c r="Y4615" i="1" s="1"/>
  <c r="X4631" i="1"/>
  <c r="Y4631" i="1" s="1"/>
  <c r="X4647" i="1"/>
  <c r="Y4647" i="1" s="1"/>
  <c r="X4663" i="1"/>
  <c r="Y4663" i="1" s="1"/>
  <c r="X4679" i="1"/>
  <c r="Y4679" i="1" s="1"/>
  <c r="X4695" i="1"/>
  <c r="Y4695" i="1" s="1"/>
  <c r="X4711" i="1"/>
  <c r="Y4711" i="1" s="1"/>
  <c r="X4727" i="1"/>
  <c r="Y4727" i="1" s="1"/>
  <c r="X4743" i="1"/>
  <c r="Y4743" i="1" s="1"/>
  <c r="X4759" i="1"/>
  <c r="Y4759" i="1" s="1"/>
  <c r="X4775" i="1"/>
  <c r="Y4775" i="1" s="1"/>
  <c r="X4791" i="1"/>
  <c r="Y4791" i="1" s="1"/>
  <c r="X4807" i="1"/>
  <c r="Y4807" i="1" s="1"/>
  <c r="X4823" i="1"/>
  <c r="Y4823" i="1" s="1"/>
  <c r="X4839" i="1"/>
  <c r="Y4839" i="1" s="1"/>
  <c r="X4855" i="1"/>
  <c r="Y4855" i="1" s="1"/>
  <c r="X4871" i="1"/>
  <c r="Y4871" i="1" s="1"/>
  <c r="X4887" i="1"/>
  <c r="Y4887" i="1" s="1"/>
  <c r="X4903" i="1"/>
  <c r="Y4903" i="1" s="1"/>
  <c r="X4919" i="1"/>
  <c r="Y4919" i="1" s="1"/>
  <c r="X4935" i="1"/>
  <c r="Y4935" i="1" s="1"/>
  <c r="X4951" i="1"/>
  <c r="Y4951" i="1" s="1"/>
  <c r="X4967" i="1"/>
  <c r="Y4967" i="1" s="1"/>
  <c r="X4983" i="1"/>
  <c r="Y4983" i="1" s="1"/>
  <c r="X4999" i="1"/>
  <c r="Y4999" i="1" s="1"/>
  <c r="X215" i="1"/>
  <c r="Y215" i="1" s="1"/>
  <c r="X343" i="1"/>
  <c r="Y343" i="1" s="1"/>
  <c r="X449" i="1"/>
  <c r="Y449" i="1" s="1"/>
  <c r="X513" i="1"/>
  <c r="Y513" i="1" s="1"/>
  <c r="X577" i="1"/>
  <c r="Y577" i="1" s="1"/>
  <c r="X641" i="1"/>
  <c r="Y641" i="1" s="1"/>
  <c r="X705" i="1"/>
  <c r="Y705" i="1" s="1"/>
  <c r="X769" i="1"/>
  <c r="Y769" i="1" s="1"/>
  <c r="X833" i="1"/>
  <c r="Y833" i="1" s="1"/>
  <c r="X897" i="1"/>
  <c r="Y897" i="1" s="1"/>
  <c r="X950" i="1"/>
  <c r="Y950" i="1" s="1"/>
  <c r="X982" i="1"/>
  <c r="Y982" i="1" s="1"/>
  <c r="X1014" i="1"/>
  <c r="Y1014" i="1" s="1"/>
  <c r="X1046" i="1"/>
  <c r="Y1046" i="1" s="1"/>
  <c r="X1078" i="1"/>
  <c r="Y1078" i="1" s="1"/>
  <c r="X1110" i="1"/>
  <c r="Y1110" i="1" s="1"/>
  <c r="X1142" i="1"/>
  <c r="Y1142" i="1" s="1"/>
  <c r="X1174" i="1"/>
  <c r="Y1174" i="1" s="1"/>
  <c r="X1206" i="1"/>
  <c r="Y1206" i="1" s="1"/>
  <c r="X1238" i="1"/>
  <c r="Y1238" i="1" s="1"/>
  <c r="X1270" i="1"/>
  <c r="Y1270" i="1" s="1"/>
  <c r="X1294" i="1"/>
  <c r="Y1294" i="1" s="1"/>
  <c r="X1326" i="1"/>
  <c r="Y1326" i="1" s="1"/>
  <c r="X1358" i="1"/>
  <c r="Y1358" i="1" s="1"/>
  <c r="X1390" i="1"/>
  <c r="Y1390" i="1" s="1"/>
  <c r="X1422" i="1"/>
  <c r="Y1422" i="1" s="1"/>
  <c r="X1454" i="1"/>
  <c r="Y1454" i="1" s="1"/>
  <c r="X1486" i="1"/>
  <c r="Y1486" i="1" s="1"/>
  <c r="X1518" i="1"/>
  <c r="Y1518" i="1" s="1"/>
  <c r="X1550" i="1"/>
  <c r="Y1550" i="1" s="1"/>
  <c r="X1582" i="1"/>
  <c r="Y1582" i="1" s="1"/>
  <c r="X1614" i="1"/>
  <c r="Y1614" i="1" s="1"/>
  <c r="X1646" i="1"/>
  <c r="Y1646" i="1" s="1"/>
  <c r="X1678" i="1"/>
  <c r="Y1678" i="1" s="1"/>
  <c r="X1710" i="1"/>
  <c r="Y1710" i="1" s="1"/>
  <c r="X1742" i="1"/>
  <c r="Y1742" i="1" s="1"/>
  <c r="X1774" i="1"/>
  <c r="Y1774" i="1" s="1"/>
  <c r="X1806" i="1"/>
  <c r="Y1806" i="1" s="1"/>
  <c r="X1838" i="1"/>
  <c r="Y1838" i="1" s="1"/>
  <c r="X1870" i="1"/>
  <c r="Y1870" i="1" s="1"/>
  <c r="X1926" i="1"/>
  <c r="Y1926" i="1" s="1"/>
  <c r="X1976" i="1"/>
  <c r="Y1976" i="1" s="1"/>
  <c r="X2008" i="1"/>
  <c r="Y2008" i="1" s="1"/>
  <c r="X2040" i="1"/>
  <c r="Y2040" i="1" s="1"/>
  <c r="X2072" i="1"/>
  <c r="Y2072" i="1" s="1"/>
  <c r="X2104" i="1"/>
  <c r="Y2104" i="1" s="1"/>
  <c r="X2136" i="1"/>
  <c r="Y2136" i="1" s="1"/>
  <c r="X2168" i="1"/>
  <c r="Y2168" i="1" s="1"/>
  <c r="X2200" i="1"/>
  <c r="Y2200" i="1" s="1"/>
  <c r="X2232" i="1"/>
  <c r="Y2232" i="1" s="1"/>
  <c r="X2264" i="1"/>
  <c r="Y2264" i="1" s="1"/>
  <c r="X2296" i="1"/>
  <c r="Y2296" i="1" s="1"/>
  <c r="X2328" i="1"/>
  <c r="Y2328" i="1" s="1"/>
  <c r="X2360" i="1"/>
  <c r="Y2360" i="1" s="1"/>
  <c r="X2392" i="1"/>
  <c r="Y2392" i="1" s="1"/>
  <c r="X2424" i="1"/>
  <c r="Y2424" i="1" s="1"/>
  <c r="X2456" i="1"/>
  <c r="Y2456" i="1" s="1"/>
  <c r="X2488" i="1"/>
  <c r="Y2488" i="1" s="1"/>
  <c r="X2520" i="1"/>
  <c r="Y2520" i="1" s="1"/>
  <c r="X2552" i="1"/>
  <c r="Y2552" i="1" s="1"/>
  <c r="X2584" i="1"/>
  <c r="Y2584" i="1" s="1"/>
  <c r="X2616" i="1"/>
  <c r="Y2616" i="1" s="1"/>
  <c r="X2648" i="1"/>
  <c r="Y2648" i="1" s="1"/>
  <c r="X2680" i="1"/>
  <c r="Y2680" i="1" s="1"/>
  <c r="X2712" i="1"/>
  <c r="Y2712" i="1" s="1"/>
  <c r="X2744" i="1"/>
  <c r="Y2744" i="1" s="1"/>
  <c r="X2776" i="1"/>
  <c r="Y2776" i="1" s="1"/>
  <c r="X2808" i="1"/>
  <c r="Y2808" i="1" s="1"/>
  <c r="X2840" i="1"/>
  <c r="Y2840" i="1" s="1"/>
  <c r="X2872" i="1"/>
  <c r="Y2872" i="1" s="1"/>
  <c r="X2904" i="1"/>
  <c r="Y2904" i="1" s="1"/>
  <c r="X2936" i="1"/>
  <c r="Y2936" i="1" s="1"/>
  <c r="X2968" i="1"/>
  <c r="Y2968" i="1" s="1"/>
  <c r="X3000" i="1"/>
  <c r="Y3000" i="1" s="1"/>
  <c r="X3032" i="1"/>
  <c r="Y3032" i="1" s="1"/>
  <c r="X3064" i="1"/>
  <c r="Y3064" i="1" s="1"/>
  <c r="X3096" i="1"/>
  <c r="Y3096" i="1" s="1"/>
  <c r="X3128" i="1"/>
  <c r="Y3128" i="1" s="1"/>
  <c r="X3160" i="1"/>
  <c r="Y3160" i="1" s="1"/>
  <c r="X3192" i="1"/>
  <c r="Y3192" i="1" s="1"/>
  <c r="X3224" i="1"/>
  <c r="Y3224" i="1" s="1"/>
  <c r="X3256" i="1"/>
  <c r="Y3256" i="1" s="1"/>
  <c r="X3280" i="1"/>
  <c r="Y3280" i="1" s="1"/>
  <c r="X3312" i="1"/>
  <c r="Y3312" i="1" s="1"/>
  <c r="X3344" i="1"/>
  <c r="Y3344" i="1" s="1"/>
  <c r="X3376" i="1"/>
  <c r="Y3376" i="1" s="1"/>
  <c r="X3408" i="1"/>
  <c r="Y3408" i="1" s="1"/>
  <c r="X3440" i="1"/>
  <c r="Y3440" i="1" s="1"/>
  <c r="X3472" i="1"/>
  <c r="Y3472" i="1" s="1"/>
  <c r="X3504" i="1"/>
  <c r="Y3504" i="1" s="1"/>
  <c r="X3536" i="1"/>
  <c r="Y3536" i="1" s="1"/>
  <c r="X3568" i="1"/>
  <c r="Y3568" i="1" s="1"/>
  <c r="X3600" i="1"/>
  <c r="Y3600" i="1" s="1"/>
  <c r="X3632" i="1"/>
  <c r="Y3632" i="1" s="1"/>
  <c r="X3664" i="1"/>
  <c r="Y3664" i="1" s="1"/>
  <c r="X3696" i="1"/>
  <c r="Y3696" i="1" s="1"/>
  <c r="X3728" i="1"/>
  <c r="Y3728" i="1" s="1"/>
  <c r="X3760" i="1"/>
  <c r="Y3760" i="1" s="1"/>
  <c r="X3792" i="1"/>
  <c r="Y3792" i="1" s="1"/>
  <c r="X3824" i="1"/>
  <c r="Y3824" i="1" s="1"/>
  <c r="X3856" i="1"/>
  <c r="Y3856" i="1" s="1"/>
  <c r="X3888" i="1"/>
  <c r="Y3888" i="1" s="1"/>
  <c r="X3920" i="1"/>
  <c r="Y3920" i="1" s="1"/>
  <c r="X3952" i="1"/>
  <c r="Y3952" i="1" s="1"/>
  <c r="X3984" i="1"/>
  <c r="Y3984" i="1" s="1"/>
  <c r="X4013" i="1"/>
  <c r="Y4013" i="1" s="1"/>
  <c r="X4029" i="1"/>
  <c r="Y4029" i="1" s="1"/>
  <c r="X4045" i="1"/>
  <c r="Y4045" i="1" s="1"/>
  <c r="X4061" i="1"/>
  <c r="Y4061" i="1" s="1"/>
  <c r="X4077" i="1"/>
  <c r="Y4077" i="1" s="1"/>
  <c r="X4093" i="1"/>
  <c r="Y4093" i="1" s="1"/>
  <c r="X4109" i="1"/>
  <c r="Y4109" i="1" s="1"/>
  <c r="X4125" i="1"/>
  <c r="Y4125" i="1" s="1"/>
  <c r="X4141" i="1"/>
  <c r="Y4141" i="1" s="1"/>
  <c r="X4157" i="1"/>
  <c r="Y4157" i="1" s="1"/>
  <c r="X4173" i="1"/>
  <c r="Y4173" i="1" s="1"/>
  <c r="X4189" i="1"/>
  <c r="Y4189" i="1" s="1"/>
  <c r="X4205" i="1"/>
  <c r="Y4205" i="1" s="1"/>
  <c r="X4221" i="1"/>
  <c r="Y4221" i="1" s="1"/>
  <c r="X4237" i="1"/>
  <c r="Y4237" i="1" s="1"/>
  <c r="X4253" i="1"/>
  <c r="Y4253" i="1" s="1"/>
  <c r="X4269" i="1"/>
  <c r="Y4269" i="1" s="1"/>
  <c r="X4285" i="1"/>
  <c r="Y4285" i="1" s="1"/>
  <c r="X4301" i="1"/>
  <c r="Y4301" i="1" s="1"/>
  <c r="X4317" i="1"/>
  <c r="Y4317" i="1" s="1"/>
  <c r="X4333" i="1"/>
  <c r="Y4333" i="1" s="1"/>
  <c r="X4349" i="1"/>
  <c r="Y4349" i="1" s="1"/>
  <c r="X4365" i="1"/>
  <c r="Y4365" i="1" s="1"/>
  <c r="X4381" i="1"/>
  <c r="Y4381" i="1" s="1"/>
  <c r="X4397" i="1"/>
  <c r="Y4397" i="1" s="1"/>
  <c r="X4413" i="1"/>
  <c r="Y4413" i="1" s="1"/>
  <c r="X4429" i="1"/>
  <c r="Y4429" i="1" s="1"/>
  <c r="X4445" i="1"/>
  <c r="Y4445" i="1" s="1"/>
  <c r="X4461" i="1"/>
  <c r="Y4461" i="1" s="1"/>
  <c r="X4477" i="1"/>
  <c r="Y4477" i="1" s="1"/>
  <c r="X4493" i="1"/>
  <c r="Y4493" i="1" s="1"/>
  <c r="X4509" i="1"/>
  <c r="Y4509" i="1" s="1"/>
  <c r="X4525" i="1"/>
  <c r="Y4525" i="1" s="1"/>
  <c r="X4541" i="1"/>
  <c r="Y4541" i="1" s="1"/>
  <c r="X4557" i="1"/>
  <c r="Y4557" i="1" s="1"/>
  <c r="X4573" i="1"/>
  <c r="Y4573" i="1" s="1"/>
  <c r="X4589" i="1"/>
  <c r="Y4589" i="1" s="1"/>
  <c r="X4605" i="1"/>
  <c r="Y4605" i="1" s="1"/>
  <c r="X4621" i="1"/>
  <c r="Y4621" i="1" s="1"/>
  <c r="X4637" i="1"/>
  <c r="Y4637" i="1" s="1"/>
  <c r="X4653" i="1"/>
  <c r="Y4653" i="1" s="1"/>
  <c r="X4669" i="1"/>
  <c r="Y4669" i="1" s="1"/>
  <c r="X4685" i="1"/>
  <c r="Y4685" i="1" s="1"/>
  <c r="X4701" i="1"/>
  <c r="Y4701" i="1" s="1"/>
  <c r="X4717" i="1"/>
  <c r="Y4717" i="1" s="1"/>
  <c r="X4733" i="1"/>
  <c r="Y4733" i="1" s="1"/>
  <c r="X4749" i="1"/>
  <c r="Y4749" i="1" s="1"/>
  <c r="X4765" i="1"/>
  <c r="Y4765" i="1" s="1"/>
  <c r="X4781" i="1"/>
  <c r="Y4781" i="1" s="1"/>
  <c r="X4797" i="1"/>
  <c r="Y4797" i="1" s="1"/>
  <c r="X4813" i="1"/>
  <c r="Y4813" i="1" s="1"/>
  <c r="X4829" i="1"/>
  <c r="Y4829" i="1" s="1"/>
  <c r="X4845" i="1"/>
  <c r="Y4845" i="1" s="1"/>
  <c r="X4861" i="1"/>
  <c r="Y4861" i="1" s="1"/>
  <c r="X4877" i="1"/>
  <c r="Y4877" i="1" s="1"/>
  <c r="X4893" i="1"/>
  <c r="Y4893" i="1" s="1"/>
  <c r="X4909" i="1"/>
  <c r="Y4909" i="1" s="1"/>
  <c r="X4925" i="1"/>
  <c r="Y4925" i="1" s="1"/>
  <c r="X4941" i="1"/>
  <c r="Y4941" i="1" s="1"/>
  <c r="X4957" i="1"/>
  <c r="Y4957" i="1" s="1"/>
  <c r="X4973" i="1"/>
  <c r="Y4973" i="1" s="1"/>
  <c r="X4989" i="1"/>
  <c r="Y4989" i="1" s="1"/>
  <c r="X3272" i="1"/>
  <c r="Y3272" i="1" s="1"/>
  <c r="X3304" i="1"/>
  <c r="Y3304" i="1" s="1"/>
  <c r="X3336" i="1"/>
  <c r="Y3336" i="1" s="1"/>
  <c r="X3368" i="1"/>
  <c r="Y3368" i="1" s="1"/>
  <c r="X3400" i="1"/>
  <c r="Y3400" i="1" s="1"/>
  <c r="X3432" i="1"/>
  <c r="Y3432" i="1" s="1"/>
  <c r="X3464" i="1"/>
  <c r="Y3464" i="1" s="1"/>
  <c r="X3496" i="1"/>
  <c r="Y3496" i="1" s="1"/>
  <c r="X3528" i="1"/>
  <c r="Y3528" i="1" s="1"/>
  <c r="X3560" i="1"/>
  <c r="Y3560" i="1" s="1"/>
  <c r="X3592" i="1"/>
  <c r="Y3592" i="1" s="1"/>
  <c r="X3624" i="1"/>
  <c r="Y3624" i="1" s="1"/>
  <c r="X3656" i="1"/>
  <c r="Y3656" i="1" s="1"/>
  <c r="X3688" i="1"/>
  <c r="Y3688" i="1" s="1"/>
  <c r="X3720" i="1"/>
  <c r="Y3720" i="1" s="1"/>
  <c r="X3752" i="1"/>
  <c r="Y3752" i="1" s="1"/>
  <c r="X3784" i="1"/>
  <c r="Y3784" i="1" s="1"/>
  <c r="X3816" i="1"/>
  <c r="Y3816" i="1" s="1"/>
  <c r="X3848" i="1"/>
  <c r="Y3848" i="1" s="1"/>
  <c r="X3880" i="1"/>
  <c r="Y3880" i="1" s="1"/>
  <c r="X3912" i="1"/>
  <c r="Y3912" i="1" s="1"/>
  <c r="X3944" i="1"/>
  <c r="Y3944" i="1" s="1"/>
  <c r="X3976" i="1"/>
  <c r="Y3976" i="1" s="1"/>
  <c r="X4008" i="1"/>
  <c r="Y4008" i="1" s="1"/>
  <c r="X4025" i="1"/>
  <c r="Y4025" i="1" s="1"/>
  <c r="X4041" i="1"/>
  <c r="Y4041" i="1" s="1"/>
  <c r="X4057" i="1"/>
  <c r="Y4057" i="1" s="1"/>
  <c r="X4073" i="1"/>
  <c r="Y4073" i="1" s="1"/>
  <c r="X4089" i="1"/>
  <c r="Y4089" i="1" s="1"/>
  <c r="X4105" i="1"/>
  <c r="Y4105" i="1" s="1"/>
  <c r="X4121" i="1"/>
  <c r="Y4121" i="1" s="1"/>
  <c r="X4137" i="1"/>
  <c r="Y4137" i="1" s="1"/>
  <c r="X4153" i="1"/>
  <c r="Y4153" i="1" s="1"/>
  <c r="X4169" i="1"/>
  <c r="Y4169" i="1" s="1"/>
  <c r="X4185" i="1"/>
  <c r="Y4185" i="1" s="1"/>
  <c r="X4201" i="1"/>
  <c r="Y4201" i="1" s="1"/>
  <c r="X4217" i="1"/>
  <c r="Y4217" i="1" s="1"/>
  <c r="X4233" i="1"/>
  <c r="Y4233" i="1" s="1"/>
  <c r="X4249" i="1"/>
  <c r="Y4249" i="1" s="1"/>
  <c r="X4265" i="1"/>
  <c r="Y4265" i="1" s="1"/>
  <c r="X4281" i="1"/>
  <c r="Y4281" i="1" s="1"/>
  <c r="X4297" i="1"/>
  <c r="Y4297" i="1" s="1"/>
  <c r="X4313" i="1"/>
  <c r="Y4313" i="1" s="1"/>
  <c r="X4329" i="1"/>
  <c r="Y4329" i="1" s="1"/>
  <c r="X4345" i="1"/>
  <c r="Y4345" i="1" s="1"/>
  <c r="X4361" i="1"/>
  <c r="Y4361" i="1" s="1"/>
  <c r="X4377" i="1"/>
  <c r="Y4377" i="1" s="1"/>
  <c r="X4393" i="1"/>
  <c r="Y4393" i="1" s="1"/>
  <c r="X4409" i="1"/>
  <c r="Y4409" i="1" s="1"/>
  <c r="X4425" i="1"/>
  <c r="Y4425" i="1" s="1"/>
  <c r="X4441" i="1"/>
  <c r="Y4441" i="1" s="1"/>
  <c r="X4457" i="1"/>
  <c r="Y4457" i="1" s="1"/>
  <c r="X4473" i="1"/>
  <c r="Y4473" i="1" s="1"/>
  <c r="X4489" i="1"/>
  <c r="Y4489" i="1" s="1"/>
  <c r="X4505" i="1"/>
  <c r="Y4505" i="1" s="1"/>
  <c r="X4521" i="1"/>
  <c r="Y4521" i="1" s="1"/>
  <c r="X4537" i="1"/>
  <c r="Y4537" i="1" s="1"/>
  <c r="X4553" i="1"/>
  <c r="Y4553" i="1" s="1"/>
  <c r="X4569" i="1"/>
  <c r="Y4569" i="1" s="1"/>
  <c r="X4585" i="1"/>
  <c r="Y4585" i="1" s="1"/>
  <c r="X4601" i="1"/>
  <c r="Y4601" i="1" s="1"/>
  <c r="X4617" i="1"/>
  <c r="Y4617" i="1" s="1"/>
  <c r="X4633" i="1"/>
  <c r="Y4633" i="1" s="1"/>
  <c r="X4649" i="1"/>
  <c r="Y4649" i="1" s="1"/>
  <c r="X4665" i="1"/>
  <c r="Y4665" i="1" s="1"/>
  <c r="X4681" i="1"/>
  <c r="Y4681" i="1" s="1"/>
  <c r="X4697" i="1"/>
  <c r="Y4697" i="1" s="1"/>
  <c r="X4713" i="1"/>
  <c r="Y4713" i="1" s="1"/>
  <c r="X4729" i="1"/>
  <c r="Y4729" i="1" s="1"/>
  <c r="X4745" i="1"/>
  <c r="Y4745" i="1" s="1"/>
  <c r="X4761" i="1"/>
  <c r="Y4761" i="1" s="1"/>
  <c r="X4777" i="1"/>
  <c r="Y4777" i="1" s="1"/>
  <c r="X4793" i="1"/>
  <c r="Y4793" i="1" s="1"/>
  <c r="X4809" i="1"/>
  <c r="Y4809" i="1" s="1"/>
  <c r="X4825" i="1"/>
  <c r="Y4825" i="1" s="1"/>
  <c r="X4841" i="1"/>
  <c r="Y4841" i="1" s="1"/>
  <c r="X4857" i="1"/>
  <c r="Y4857" i="1" s="1"/>
  <c r="X4873" i="1"/>
  <c r="Y4873" i="1" s="1"/>
  <c r="X4889" i="1"/>
  <c r="Y4889" i="1" s="1"/>
  <c r="X4905" i="1"/>
  <c r="Y4905" i="1" s="1"/>
  <c r="X4921" i="1"/>
  <c r="Y4921" i="1" s="1"/>
  <c r="X4937" i="1"/>
  <c r="Y4937" i="1" s="1"/>
  <c r="X4953" i="1"/>
  <c r="Y4953" i="1" s="1"/>
  <c r="X4969" i="1"/>
  <c r="Y4969" i="1" s="1"/>
  <c r="X4985" i="1"/>
  <c r="Y4985" i="1" s="1"/>
  <c r="X5001" i="1"/>
  <c r="Y5001" i="1" s="1"/>
  <c r="B36" i="1"/>
  <c r="B35" i="1"/>
  <c r="B34" i="1"/>
  <c r="B33" i="1"/>
  <c r="X3" i="1"/>
  <c r="Y3" i="1" s="1"/>
  <c r="X7" i="1"/>
  <c r="Y7" i="1" s="1"/>
  <c r="X11" i="1"/>
  <c r="Y11" i="1" s="1"/>
  <c r="X15" i="1"/>
  <c r="Y15" i="1" s="1"/>
  <c r="X19" i="1"/>
  <c r="Y19" i="1" s="1"/>
  <c r="X23" i="1"/>
  <c r="Y23" i="1" s="1"/>
  <c r="X27" i="1"/>
  <c r="Y27" i="1" s="1"/>
  <c r="X31" i="1"/>
  <c r="Y31" i="1" s="1"/>
  <c r="X36" i="1"/>
  <c r="Y36" i="1" s="1"/>
  <c r="X40" i="1"/>
  <c r="Y40" i="1" s="1"/>
  <c r="X44" i="1"/>
  <c r="Y44" i="1" s="1"/>
  <c r="X48" i="1"/>
  <c r="Y48" i="1" s="1"/>
  <c r="X52" i="1"/>
  <c r="Y52" i="1" s="1"/>
  <c r="X56" i="1"/>
  <c r="Y56" i="1" s="1"/>
  <c r="X60" i="1"/>
  <c r="Y60" i="1" s="1"/>
  <c r="X64" i="1"/>
  <c r="Y64" i="1" s="1"/>
  <c r="X69" i="1"/>
  <c r="Y69" i="1" s="1"/>
  <c r="X73" i="1"/>
  <c r="Y73" i="1" s="1"/>
  <c r="X77" i="1"/>
  <c r="Y77" i="1" s="1"/>
  <c r="X81" i="1"/>
  <c r="Y81" i="1" s="1"/>
  <c r="X85" i="1"/>
  <c r="Y85" i="1" s="1"/>
  <c r="X89" i="1"/>
  <c r="Y89" i="1" s="1"/>
  <c r="X93" i="1"/>
  <c r="Y93" i="1" s="1"/>
  <c r="X97" i="1"/>
  <c r="Y97" i="1" s="1"/>
  <c r="X102" i="1"/>
  <c r="Y102" i="1" s="1"/>
  <c r="X106" i="1"/>
  <c r="Y106" i="1" s="1"/>
  <c r="X110" i="1"/>
  <c r="Y110" i="1" s="1"/>
  <c r="X114" i="1"/>
  <c r="Y114" i="1" s="1"/>
  <c r="X118" i="1"/>
  <c r="Y118" i="1" s="1"/>
  <c r="X122" i="1"/>
  <c r="Y122" i="1" s="1"/>
  <c r="X126" i="1"/>
  <c r="Y126" i="1" s="1"/>
  <c r="X131" i="1"/>
  <c r="Y131" i="1" s="1"/>
  <c r="X135" i="1"/>
  <c r="Y135" i="1" s="1"/>
  <c r="X139" i="1"/>
  <c r="Y139" i="1" s="1"/>
  <c r="X143" i="1"/>
  <c r="Y143" i="1" s="1"/>
  <c r="X147" i="1"/>
  <c r="Y147" i="1" s="1"/>
  <c r="X151" i="1"/>
  <c r="Y151" i="1" s="1"/>
  <c r="X155" i="1"/>
  <c r="Y155" i="1" s="1"/>
  <c r="X159" i="1"/>
  <c r="Y159" i="1" s="1"/>
  <c r="X164" i="1"/>
  <c r="Y164" i="1" s="1"/>
  <c r="X168" i="1"/>
  <c r="Y168" i="1" s="1"/>
  <c r="X172" i="1"/>
  <c r="Y172" i="1" s="1"/>
  <c r="X176" i="1"/>
  <c r="Y176" i="1" s="1"/>
  <c r="X180" i="1"/>
  <c r="Y180" i="1" s="1"/>
  <c r="X185" i="1"/>
  <c r="Y185" i="1" s="1"/>
  <c r="X189" i="1"/>
  <c r="Y189" i="1" s="1"/>
  <c r="X193" i="1"/>
  <c r="Y193" i="1" s="1"/>
  <c r="X197" i="1"/>
  <c r="Y197" i="1" s="1"/>
  <c r="X202" i="1"/>
  <c r="Y202" i="1" s="1"/>
  <c r="X206" i="1"/>
  <c r="Y206" i="1" s="1"/>
  <c r="X210" i="1"/>
  <c r="Y210" i="1" s="1"/>
  <c r="X214" i="1"/>
  <c r="Y214" i="1" s="1"/>
  <c r="X219" i="1"/>
  <c r="Y219" i="1" s="1"/>
  <c r="X223" i="1"/>
  <c r="Y223" i="1" s="1"/>
  <c r="X227" i="1"/>
  <c r="Y227" i="1" s="1"/>
  <c r="X232" i="1"/>
  <c r="Y232" i="1" s="1"/>
  <c r="X236" i="1"/>
  <c r="Y236" i="1" s="1"/>
  <c r="X240" i="1"/>
  <c r="Y240" i="1" s="1"/>
  <c r="X244" i="1"/>
  <c r="Y244" i="1" s="1"/>
  <c r="X249" i="1"/>
  <c r="Y249" i="1" s="1"/>
  <c r="X253" i="1"/>
  <c r="Y253" i="1" s="1"/>
  <c r="X257" i="1"/>
  <c r="Y257" i="1" s="1"/>
  <c r="X261" i="1"/>
  <c r="Y261" i="1" s="1"/>
  <c r="X266" i="1"/>
  <c r="Y266" i="1" s="1"/>
  <c r="X270" i="1"/>
  <c r="Y270" i="1" s="1"/>
  <c r="X274" i="1"/>
  <c r="Y274" i="1" s="1"/>
  <c r="X278" i="1"/>
  <c r="Y278" i="1" s="1"/>
  <c r="X283" i="1"/>
  <c r="Y283" i="1" s="1"/>
  <c r="X287" i="1"/>
  <c r="Y287" i="1" s="1"/>
  <c r="X291" i="1"/>
  <c r="Y291" i="1" s="1"/>
  <c r="X296" i="1"/>
  <c r="Y296" i="1" s="1"/>
  <c r="X300" i="1"/>
  <c r="Y300" i="1" s="1"/>
  <c r="X304" i="1"/>
  <c r="Y304" i="1" s="1"/>
  <c r="X308" i="1"/>
  <c r="Y308" i="1" s="1"/>
  <c r="X313" i="1"/>
  <c r="Y313" i="1" s="1"/>
  <c r="X317" i="1"/>
  <c r="Y317" i="1" s="1"/>
  <c r="X321" i="1"/>
  <c r="Y321" i="1" s="1"/>
  <c r="X325" i="1"/>
  <c r="Y325" i="1" s="1"/>
  <c r="X330" i="1"/>
  <c r="Y330" i="1" s="1"/>
  <c r="X334" i="1"/>
  <c r="Y334" i="1" s="1"/>
  <c r="X338" i="1"/>
  <c r="Y338" i="1" s="1"/>
  <c r="X342" i="1"/>
  <c r="Y342" i="1" s="1"/>
  <c r="X347" i="1"/>
  <c r="Y347" i="1" s="1"/>
  <c r="X351" i="1"/>
  <c r="Y351" i="1" s="1"/>
  <c r="X355" i="1"/>
  <c r="Y355" i="1" s="1"/>
  <c r="X360" i="1"/>
  <c r="Y360" i="1" s="1"/>
  <c r="X364" i="1"/>
  <c r="Y364" i="1" s="1"/>
  <c r="X368" i="1"/>
  <c r="Y368" i="1" s="1"/>
  <c r="X372" i="1"/>
  <c r="Y372" i="1" s="1"/>
  <c r="X377" i="1"/>
  <c r="Y377" i="1" s="1"/>
  <c r="X381" i="1"/>
  <c r="Y381" i="1" s="1"/>
  <c r="X385" i="1"/>
  <c r="Y385" i="1" s="1"/>
  <c r="X389" i="1"/>
  <c r="Y389" i="1" s="1"/>
  <c r="X394" i="1"/>
  <c r="Y394" i="1" s="1"/>
  <c r="X398" i="1"/>
  <c r="Y398" i="1" s="1"/>
  <c r="X402" i="1"/>
  <c r="Y402" i="1" s="1"/>
  <c r="X406" i="1"/>
  <c r="Y406" i="1" s="1"/>
  <c r="X411" i="1"/>
  <c r="Y411" i="1" s="1"/>
  <c r="X415" i="1"/>
  <c r="Y415" i="1" s="1"/>
  <c r="X419" i="1"/>
  <c r="Y419" i="1" s="1"/>
  <c r="X424" i="1"/>
  <c r="Y424" i="1" s="1"/>
  <c r="X428" i="1"/>
  <c r="Y428" i="1" s="1"/>
  <c r="X432" i="1"/>
  <c r="Y432" i="1" s="1"/>
  <c r="X437" i="1"/>
  <c r="Y437" i="1" s="1"/>
  <c r="X442" i="1"/>
  <c r="Y442" i="1" s="1"/>
  <c r="X446" i="1"/>
  <c r="Y446" i="1" s="1"/>
  <c r="X451" i="1"/>
  <c r="Y451" i="1" s="1"/>
  <c r="X455" i="1"/>
  <c r="Y455" i="1" s="1"/>
  <c r="X460" i="1"/>
  <c r="Y460" i="1" s="1"/>
  <c r="X464" i="1"/>
  <c r="Y464" i="1" s="1"/>
  <c r="X469" i="1"/>
  <c r="Y469" i="1" s="1"/>
  <c r="X474" i="1"/>
  <c r="Y474" i="1" s="1"/>
  <c r="X478" i="1"/>
  <c r="Y478" i="1" s="1"/>
  <c r="X483" i="1"/>
  <c r="Y483" i="1" s="1"/>
  <c r="X487" i="1"/>
  <c r="Y487" i="1" s="1"/>
  <c r="X492" i="1"/>
  <c r="Y492" i="1" s="1"/>
  <c r="X496" i="1"/>
  <c r="Y496" i="1" s="1"/>
  <c r="X501" i="1"/>
  <c r="Y501" i="1" s="1"/>
  <c r="X506" i="1"/>
  <c r="Y506" i="1" s="1"/>
  <c r="X510" i="1"/>
  <c r="Y510" i="1" s="1"/>
  <c r="X515" i="1"/>
  <c r="Y515" i="1" s="1"/>
  <c r="X519" i="1"/>
  <c r="Y519" i="1" s="1"/>
  <c r="X524" i="1"/>
  <c r="Y524" i="1" s="1"/>
  <c r="X528" i="1"/>
  <c r="Y528" i="1" s="1"/>
  <c r="X533" i="1"/>
  <c r="Y533" i="1" s="1"/>
  <c r="X538" i="1"/>
  <c r="Y538" i="1" s="1"/>
  <c r="X542" i="1"/>
  <c r="Y542" i="1" s="1"/>
  <c r="X547" i="1"/>
  <c r="Y547" i="1" s="1"/>
  <c r="X551" i="1"/>
  <c r="Y551" i="1" s="1"/>
  <c r="X556" i="1"/>
  <c r="Y556" i="1" s="1"/>
  <c r="X560" i="1"/>
  <c r="Y560" i="1" s="1"/>
  <c r="X565" i="1"/>
  <c r="Y565" i="1" s="1"/>
  <c r="X570" i="1"/>
  <c r="Y570" i="1" s="1"/>
  <c r="X574" i="1"/>
  <c r="Y574" i="1" s="1"/>
  <c r="X579" i="1"/>
  <c r="Y579" i="1" s="1"/>
  <c r="X583" i="1"/>
  <c r="Y583" i="1" s="1"/>
  <c r="X588" i="1"/>
  <c r="Y588" i="1" s="1"/>
  <c r="X592" i="1"/>
  <c r="Y592" i="1" s="1"/>
  <c r="X597" i="1"/>
  <c r="Y597" i="1" s="1"/>
  <c r="X602" i="1"/>
  <c r="Y602" i="1" s="1"/>
  <c r="X606" i="1"/>
  <c r="Y606" i="1" s="1"/>
  <c r="X611" i="1"/>
  <c r="Y611" i="1" s="1"/>
  <c r="X615" i="1"/>
  <c r="Y615" i="1" s="1"/>
  <c r="X620" i="1"/>
  <c r="Y620" i="1" s="1"/>
  <c r="X624" i="1"/>
  <c r="Y624" i="1" s="1"/>
  <c r="X629" i="1"/>
  <c r="Y629" i="1" s="1"/>
  <c r="X634" i="1"/>
  <c r="Y634" i="1" s="1"/>
  <c r="X638" i="1"/>
  <c r="Y638" i="1" s="1"/>
  <c r="X643" i="1"/>
  <c r="Y643" i="1" s="1"/>
  <c r="X647" i="1"/>
  <c r="Y647" i="1" s="1"/>
  <c r="X652" i="1"/>
  <c r="Y652" i="1" s="1"/>
  <c r="X656" i="1"/>
  <c r="Y656" i="1" s="1"/>
  <c r="X661" i="1"/>
  <c r="Y661" i="1" s="1"/>
  <c r="X666" i="1"/>
  <c r="Y666" i="1" s="1"/>
  <c r="X670" i="1"/>
  <c r="Y670" i="1" s="1"/>
  <c r="X675" i="1"/>
  <c r="Y675" i="1" s="1"/>
  <c r="X679" i="1"/>
  <c r="Y679" i="1" s="1"/>
  <c r="X684" i="1"/>
  <c r="Y684" i="1" s="1"/>
  <c r="X688" i="1"/>
  <c r="Y688" i="1" s="1"/>
  <c r="X693" i="1"/>
  <c r="Y693" i="1" s="1"/>
  <c r="X698" i="1"/>
  <c r="Y698" i="1" s="1"/>
  <c r="X702" i="1"/>
  <c r="Y702" i="1" s="1"/>
  <c r="X707" i="1"/>
  <c r="Y707" i="1" s="1"/>
  <c r="X711" i="1"/>
  <c r="Y711" i="1" s="1"/>
  <c r="X716" i="1"/>
  <c r="Y716" i="1" s="1"/>
  <c r="X720" i="1"/>
  <c r="Y720" i="1" s="1"/>
  <c r="X725" i="1"/>
  <c r="Y725" i="1" s="1"/>
  <c r="X730" i="1"/>
  <c r="Y730" i="1" s="1"/>
  <c r="X734" i="1"/>
  <c r="Y734" i="1" s="1"/>
  <c r="X739" i="1"/>
  <c r="Y739" i="1" s="1"/>
  <c r="X743" i="1"/>
  <c r="Y743" i="1" s="1"/>
  <c r="X748" i="1"/>
  <c r="Y748" i="1" s="1"/>
  <c r="X752" i="1"/>
  <c r="Y752" i="1" s="1"/>
  <c r="X757" i="1"/>
  <c r="Y757" i="1" s="1"/>
  <c r="X762" i="1"/>
  <c r="Y762" i="1" s="1"/>
  <c r="X766" i="1"/>
  <c r="Y766" i="1" s="1"/>
  <c r="X771" i="1"/>
  <c r="Y771" i="1" s="1"/>
  <c r="X775" i="1"/>
  <c r="Y775" i="1" s="1"/>
  <c r="X780" i="1"/>
  <c r="Y780" i="1" s="1"/>
  <c r="X784" i="1"/>
  <c r="Y784" i="1" s="1"/>
  <c r="X789" i="1"/>
  <c r="Y789" i="1" s="1"/>
  <c r="X794" i="1"/>
  <c r="Y794" i="1" s="1"/>
  <c r="X798" i="1"/>
  <c r="Y798" i="1" s="1"/>
  <c r="X803" i="1"/>
  <c r="Y803" i="1" s="1"/>
  <c r="X807" i="1"/>
  <c r="Y807" i="1" s="1"/>
  <c r="X812" i="1"/>
  <c r="Y812" i="1" s="1"/>
  <c r="X816" i="1"/>
  <c r="Y816" i="1" s="1"/>
  <c r="X821" i="1"/>
  <c r="Y821" i="1" s="1"/>
  <c r="X826" i="1"/>
  <c r="Y826" i="1" s="1"/>
  <c r="X830" i="1"/>
  <c r="Y830" i="1" s="1"/>
  <c r="X835" i="1"/>
  <c r="Y835" i="1" s="1"/>
  <c r="X839" i="1"/>
  <c r="Y839" i="1" s="1"/>
  <c r="X844" i="1"/>
  <c r="Y844" i="1" s="1"/>
  <c r="X848" i="1"/>
  <c r="Y848" i="1" s="1"/>
  <c r="X853" i="1"/>
  <c r="Y853" i="1" s="1"/>
  <c r="X858" i="1"/>
  <c r="Y858" i="1" s="1"/>
  <c r="X862" i="1"/>
  <c r="Y862" i="1" s="1"/>
  <c r="X867" i="1"/>
  <c r="Y867" i="1" s="1"/>
  <c r="X871" i="1"/>
  <c r="Y871" i="1" s="1"/>
  <c r="X876" i="1"/>
  <c r="Y876" i="1" s="1"/>
  <c r="X880" i="1"/>
  <c r="Y880" i="1" s="1"/>
  <c r="X885" i="1"/>
  <c r="Y885" i="1" s="1"/>
  <c r="X890" i="1"/>
  <c r="Y890" i="1" s="1"/>
  <c r="X894" i="1"/>
  <c r="Y894" i="1" s="1"/>
  <c r="X899" i="1"/>
  <c r="Y899" i="1" s="1"/>
  <c r="X903" i="1"/>
  <c r="Y903" i="1" s="1"/>
  <c r="X908" i="1"/>
  <c r="Y908" i="1" s="1"/>
  <c r="X912" i="1"/>
  <c r="Y912" i="1" s="1"/>
  <c r="X917" i="1"/>
  <c r="Y917" i="1" s="1"/>
  <c r="X922" i="1"/>
  <c r="Y922" i="1" s="1"/>
  <c r="X926" i="1"/>
  <c r="Y926" i="1" s="1"/>
  <c r="X931" i="1"/>
  <c r="Y931" i="1" s="1"/>
  <c r="X935" i="1"/>
  <c r="Y935" i="1" s="1"/>
  <c r="X940" i="1"/>
  <c r="Y940" i="1" s="1"/>
  <c r="X945" i="1"/>
  <c r="Y945" i="1" s="1"/>
  <c r="X951" i="1"/>
  <c r="Y951" i="1" s="1"/>
  <c r="X956" i="1"/>
  <c r="Y956" i="1" s="1"/>
  <c r="X961" i="1"/>
  <c r="Y961" i="1" s="1"/>
  <c r="X967" i="1"/>
  <c r="Y967" i="1" s="1"/>
  <c r="X972" i="1"/>
  <c r="Y972" i="1" s="1"/>
  <c r="X977" i="1"/>
  <c r="Y977" i="1" s="1"/>
  <c r="X983" i="1"/>
  <c r="Y983" i="1" s="1"/>
  <c r="X988" i="1"/>
  <c r="Y988" i="1" s="1"/>
  <c r="X993" i="1"/>
  <c r="Y993" i="1" s="1"/>
  <c r="X999" i="1"/>
  <c r="Y999" i="1" s="1"/>
  <c r="X1004" i="1"/>
  <c r="Y1004" i="1" s="1"/>
  <c r="X1009" i="1"/>
  <c r="Y1009" i="1" s="1"/>
  <c r="X1015" i="1"/>
  <c r="Y1015" i="1" s="1"/>
  <c r="X1020" i="1"/>
  <c r="Y1020" i="1" s="1"/>
  <c r="X1025" i="1"/>
  <c r="Y1025" i="1" s="1"/>
  <c r="X1031" i="1"/>
  <c r="Y1031" i="1" s="1"/>
  <c r="X1036" i="1"/>
  <c r="Y1036" i="1" s="1"/>
  <c r="X1041" i="1"/>
  <c r="Y1041" i="1" s="1"/>
  <c r="X1047" i="1"/>
  <c r="Y1047" i="1" s="1"/>
  <c r="X1052" i="1"/>
  <c r="Y1052" i="1" s="1"/>
  <c r="X1057" i="1"/>
  <c r="Y1057" i="1" s="1"/>
  <c r="X1063" i="1"/>
  <c r="Y1063" i="1" s="1"/>
  <c r="X1068" i="1"/>
  <c r="Y1068" i="1" s="1"/>
  <c r="X1073" i="1"/>
  <c r="Y1073" i="1" s="1"/>
  <c r="X1079" i="1"/>
  <c r="Y1079" i="1" s="1"/>
  <c r="X1084" i="1"/>
  <c r="Y1084" i="1" s="1"/>
  <c r="X1089" i="1"/>
  <c r="Y1089" i="1" s="1"/>
  <c r="X1095" i="1"/>
  <c r="Y1095" i="1" s="1"/>
  <c r="X1100" i="1"/>
  <c r="Y1100" i="1" s="1"/>
  <c r="X1105" i="1"/>
  <c r="Y1105" i="1" s="1"/>
  <c r="X1111" i="1"/>
  <c r="Y1111" i="1" s="1"/>
  <c r="X1116" i="1"/>
  <c r="Y1116" i="1" s="1"/>
  <c r="X1121" i="1"/>
  <c r="Y1121" i="1" s="1"/>
  <c r="X1127" i="1"/>
  <c r="Y1127" i="1" s="1"/>
  <c r="X1132" i="1"/>
  <c r="Y1132" i="1" s="1"/>
  <c r="X1137" i="1"/>
  <c r="Y1137" i="1" s="1"/>
  <c r="X1143" i="1"/>
  <c r="Y1143" i="1" s="1"/>
  <c r="X1148" i="1"/>
  <c r="Y1148" i="1" s="1"/>
  <c r="X1153" i="1"/>
  <c r="Y1153" i="1" s="1"/>
  <c r="X1159" i="1"/>
  <c r="Y1159" i="1" s="1"/>
  <c r="X1164" i="1"/>
  <c r="Y1164" i="1" s="1"/>
  <c r="X1169" i="1"/>
  <c r="Y1169" i="1" s="1"/>
  <c r="X1175" i="1"/>
  <c r="Y1175" i="1" s="1"/>
  <c r="X1180" i="1"/>
  <c r="Y1180" i="1" s="1"/>
  <c r="X1185" i="1"/>
  <c r="Y1185" i="1" s="1"/>
  <c r="X1191" i="1"/>
  <c r="Y1191" i="1" s="1"/>
  <c r="X1196" i="1"/>
  <c r="Y1196" i="1" s="1"/>
  <c r="X1201" i="1"/>
  <c r="Y1201" i="1" s="1"/>
  <c r="X1207" i="1"/>
  <c r="Y1207" i="1" s="1"/>
  <c r="X1212" i="1"/>
  <c r="Y1212" i="1" s="1"/>
  <c r="X1217" i="1"/>
  <c r="Y1217" i="1" s="1"/>
  <c r="X1223" i="1"/>
  <c r="Y1223" i="1" s="1"/>
  <c r="X1228" i="1"/>
  <c r="Y1228" i="1" s="1"/>
  <c r="X1233" i="1"/>
  <c r="Y1233" i="1" s="1"/>
  <c r="X1239" i="1"/>
  <c r="Y1239" i="1" s="1"/>
  <c r="X1244" i="1"/>
  <c r="Y1244" i="1" s="1"/>
  <c r="X1249" i="1"/>
  <c r="Y1249" i="1" s="1"/>
  <c r="X1255" i="1"/>
  <c r="Y1255" i="1" s="1"/>
  <c r="X1260" i="1"/>
  <c r="Y1260" i="1" s="1"/>
  <c r="X1265" i="1"/>
  <c r="Y1265" i="1" s="1"/>
  <c r="X1271" i="1"/>
  <c r="Y1271" i="1" s="1"/>
  <c r="X1276" i="1"/>
  <c r="Y1276" i="1" s="1"/>
  <c r="X1281" i="1"/>
  <c r="Y1281" i="1" s="1"/>
  <c r="X1287" i="1"/>
  <c r="Y1287" i="1" s="1"/>
  <c r="X1292" i="1"/>
  <c r="Y1292" i="1" s="1"/>
  <c r="X1297" i="1"/>
  <c r="Y1297" i="1" s="1"/>
  <c r="X1303" i="1"/>
  <c r="Y1303" i="1" s="1"/>
  <c r="X1308" i="1"/>
  <c r="Y1308" i="1" s="1"/>
  <c r="X1313" i="1"/>
  <c r="Y1313" i="1" s="1"/>
  <c r="X1319" i="1"/>
  <c r="Y1319" i="1" s="1"/>
  <c r="X1324" i="1"/>
  <c r="Y1324" i="1" s="1"/>
  <c r="X1329" i="1"/>
  <c r="Y1329" i="1" s="1"/>
  <c r="X1335" i="1"/>
  <c r="Y1335" i="1" s="1"/>
  <c r="X1340" i="1"/>
  <c r="Y1340" i="1" s="1"/>
  <c r="X1345" i="1"/>
  <c r="Y1345" i="1" s="1"/>
  <c r="X1351" i="1"/>
  <c r="Y1351" i="1" s="1"/>
  <c r="X1356" i="1"/>
  <c r="Y1356" i="1" s="1"/>
  <c r="X1361" i="1"/>
  <c r="Y1361" i="1" s="1"/>
  <c r="X1367" i="1"/>
  <c r="Y1367" i="1" s="1"/>
  <c r="X1372" i="1"/>
  <c r="Y1372" i="1" s="1"/>
  <c r="X1377" i="1"/>
  <c r="Y1377" i="1" s="1"/>
  <c r="X1383" i="1"/>
  <c r="Y1383" i="1" s="1"/>
  <c r="X1388" i="1"/>
  <c r="Y1388" i="1" s="1"/>
  <c r="X1393" i="1"/>
  <c r="Y1393" i="1" s="1"/>
  <c r="X1399" i="1"/>
  <c r="Y1399" i="1" s="1"/>
  <c r="X1404" i="1"/>
  <c r="Y1404" i="1" s="1"/>
  <c r="X1409" i="1"/>
  <c r="Y1409" i="1" s="1"/>
  <c r="X1415" i="1"/>
  <c r="Y1415" i="1" s="1"/>
  <c r="X1420" i="1"/>
  <c r="Y1420" i="1" s="1"/>
  <c r="X1425" i="1"/>
  <c r="Y1425" i="1" s="1"/>
  <c r="X1431" i="1"/>
  <c r="Y1431" i="1" s="1"/>
  <c r="X1436" i="1"/>
  <c r="Y1436" i="1" s="1"/>
  <c r="X1441" i="1"/>
  <c r="Y1441" i="1" s="1"/>
  <c r="X1447" i="1"/>
  <c r="Y1447" i="1" s="1"/>
  <c r="X1452" i="1"/>
  <c r="Y1452" i="1" s="1"/>
  <c r="X1457" i="1"/>
  <c r="Y1457" i="1" s="1"/>
  <c r="X1463" i="1"/>
  <c r="Y1463" i="1" s="1"/>
  <c r="X1468" i="1"/>
  <c r="Y1468" i="1" s="1"/>
  <c r="X1473" i="1"/>
  <c r="Y1473" i="1" s="1"/>
  <c r="X1479" i="1"/>
  <c r="Y1479" i="1" s="1"/>
  <c r="X1484" i="1"/>
  <c r="Y1484" i="1" s="1"/>
  <c r="X1489" i="1"/>
  <c r="Y1489" i="1" s="1"/>
  <c r="X1495" i="1"/>
  <c r="Y1495" i="1" s="1"/>
  <c r="X1500" i="1"/>
  <c r="Y1500" i="1" s="1"/>
  <c r="X1505" i="1"/>
  <c r="Y1505" i="1" s="1"/>
  <c r="X1511" i="1"/>
  <c r="Y1511" i="1" s="1"/>
  <c r="X1516" i="1"/>
  <c r="Y1516" i="1" s="1"/>
  <c r="X1521" i="1"/>
  <c r="Y1521" i="1" s="1"/>
  <c r="X1527" i="1"/>
  <c r="Y1527" i="1" s="1"/>
  <c r="X1532" i="1"/>
  <c r="Y1532" i="1" s="1"/>
  <c r="X1537" i="1"/>
  <c r="Y1537" i="1" s="1"/>
  <c r="X1543" i="1"/>
  <c r="Y1543" i="1" s="1"/>
  <c r="X1548" i="1"/>
  <c r="Y1548" i="1" s="1"/>
  <c r="X1553" i="1"/>
  <c r="Y1553" i="1" s="1"/>
  <c r="X1559" i="1"/>
  <c r="Y1559" i="1" s="1"/>
  <c r="X1564" i="1"/>
  <c r="Y1564" i="1" s="1"/>
  <c r="X1569" i="1"/>
  <c r="Y1569" i="1" s="1"/>
  <c r="X1575" i="1"/>
  <c r="Y1575" i="1" s="1"/>
  <c r="X1580" i="1"/>
  <c r="Y1580" i="1" s="1"/>
  <c r="X1585" i="1"/>
  <c r="Y1585" i="1" s="1"/>
  <c r="X1591" i="1"/>
  <c r="Y1591" i="1" s="1"/>
  <c r="X1596" i="1"/>
  <c r="Y1596" i="1" s="1"/>
  <c r="X1601" i="1"/>
  <c r="Y1601" i="1" s="1"/>
  <c r="X1607" i="1"/>
  <c r="Y1607" i="1" s="1"/>
  <c r="X1612" i="1"/>
  <c r="Y1612" i="1" s="1"/>
  <c r="X1617" i="1"/>
  <c r="Y1617" i="1" s="1"/>
  <c r="X1623" i="1"/>
  <c r="Y1623" i="1" s="1"/>
  <c r="X1628" i="1"/>
  <c r="Y1628" i="1" s="1"/>
  <c r="X1633" i="1"/>
  <c r="Y1633" i="1" s="1"/>
  <c r="X1639" i="1"/>
  <c r="Y1639" i="1" s="1"/>
  <c r="X1644" i="1"/>
  <c r="Y1644" i="1" s="1"/>
  <c r="X1649" i="1"/>
  <c r="Y1649" i="1" s="1"/>
  <c r="X1655" i="1"/>
  <c r="Y1655" i="1" s="1"/>
  <c r="X1660" i="1"/>
  <c r="Y1660" i="1" s="1"/>
  <c r="X1665" i="1"/>
  <c r="Y1665" i="1" s="1"/>
  <c r="X1671" i="1"/>
  <c r="Y1671" i="1" s="1"/>
  <c r="X1676" i="1"/>
  <c r="Y1676" i="1" s="1"/>
  <c r="X1681" i="1"/>
  <c r="Y1681" i="1" s="1"/>
  <c r="X1687" i="1"/>
  <c r="Y1687" i="1" s="1"/>
  <c r="X1692" i="1"/>
  <c r="Y1692" i="1" s="1"/>
  <c r="X1697" i="1"/>
  <c r="Y1697" i="1" s="1"/>
  <c r="X1703" i="1"/>
  <c r="Y1703" i="1" s="1"/>
  <c r="X1708" i="1"/>
  <c r="Y1708" i="1" s="1"/>
  <c r="X1713" i="1"/>
  <c r="Y1713" i="1" s="1"/>
  <c r="X1719" i="1"/>
  <c r="Y1719" i="1" s="1"/>
  <c r="X1724" i="1"/>
  <c r="Y1724" i="1" s="1"/>
  <c r="X1729" i="1"/>
  <c r="Y1729" i="1" s="1"/>
  <c r="X1735" i="1"/>
  <c r="Y1735" i="1" s="1"/>
  <c r="X1740" i="1"/>
  <c r="Y1740" i="1" s="1"/>
  <c r="X1745" i="1"/>
  <c r="Y1745" i="1" s="1"/>
  <c r="X1751" i="1"/>
  <c r="Y1751" i="1" s="1"/>
  <c r="X1756" i="1"/>
  <c r="Y1756" i="1" s="1"/>
  <c r="X1761" i="1"/>
  <c r="Y1761" i="1" s="1"/>
  <c r="X1767" i="1"/>
  <c r="Y1767" i="1" s="1"/>
  <c r="X1772" i="1"/>
  <c r="Y1772" i="1" s="1"/>
  <c r="X1777" i="1"/>
  <c r="Y1777" i="1" s="1"/>
  <c r="X1783" i="1"/>
  <c r="Y1783" i="1" s="1"/>
  <c r="X1788" i="1"/>
  <c r="Y1788" i="1" s="1"/>
  <c r="X1793" i="1"/>
  <c r="Y1793" i="1" s="1"/>
  <c r="X1799" i="1"/>
  <c r="Y1799" i="1" s="1"/>
  <c r="X1804" i="1"/>
  <c r="Y1804" i="1" s="1"/>
  <c r="X1809" i="1"/>
  <c r="Y1809" i="1" s="1"/>
  <c r="X1815" i="1"/>
  <c r="Y1815" i="1" s="1"/>
  <c r="X1820" i="1"/>
  <c r="Y1820" i="1" s="1"/>
  <c r="X1825" i="1"/>
  <c r="Y1825" i="1" s="1"/>
  <c r="X1831" i="1"/>
  <c r="Y1831" i="1" s="1"/>
  <c r="X1836" i="1"/>
  <c r="Y1836" i="1" s="1"/>
  <c r="X1841" i="1"/>
  <c r="Y1841" i="1" s="1"/>
  <c r="X1847" i="1"/>
  <c r="Y1847" i="1" s="1"/>
  <c r="X1852" i="1"/>
  <c r="Y1852" i="1" s="1"/>
  <c r="X1857" i="1"/>
  <c r="Y1857" i="1" s="1"/>
  <c r="X1863" i="1"/>
  <c r="Y1863" i="1" s="1"/>
  <c r="X1868" i="1"/>
  <c r="Y1868" i="1" s="1"/>
  <c r="X34" i="1"/>
  <c r="Y34" i="1" s="1"/>
  <c r="X231" i="1"/>
  <c r="Y231" i="1" s="1"/>
  <c r="X359" i="1"/>
  <c r="Y359" i="1" s="1"/>
  <c r="X457" i="1"/>
  <c r="Y457" i="1" s="1"/>
  <c r="X521" i="1"/>
  <c r="Y521" i="1" s="1"/>
  <c r="X585" i="1"/>
  <c r="Y585" i="1" s="1"/>
  <c r="X649" i="1"/>
  <c r="Y649" i="1" s="1"/>
  <c r="X713" i="1"/>
  <c r="Y713" i="1" s="1"/>
  <c r="X777" i="1"/>
  <c r="Y777" i="1" s="1"/>
  <c r="X841" i="1"/>
  <c r="Y841" i="1" s="1"/>
  <c r="X905" i="1"/>
  <c r="Y905" i="1" s="1"/>
  <c r="X954" i="1"/>
  <c r="Y954" i="1" s="1"/>
  <c r="X986" i="1"/>
  <c r="Y986" i="1" s="1"/>
  <c r="X1018" i="1"/>
  <c r="Y1018" i="1" s="1"/>
  <c r="X1050" i="1"/>
  <c r="Y1050" i="1" s="1"/>
  <c r="X1082" i="1"/>
  <c r="Y1082" i="1" s="1"/>
  <c r="X1114" i="1"/>
  <c r="Y1114" i="1" s="1"/>
  <c r="X1146" i="1"/>
  <c r="Y1146" i="1" s="1"/>
  <c r="X1178" i="1"/>
  <c r="Y1178" i="1" s="1"/>
  <c r="X1210" i="1"/>
  <c r="Y1210" i="1" s="1"/>
  <c r="X1242" i="1"/>
  <c r="Y1242" i="1" s="1"/>
  <c r="X1274" i="1"/>
  <c r="Y1274" i="1" s="1"/>
  <c r="X1306" i="1"/>
  <c r="Y1306" i="1" s="1"/>
  <c r="X1338" i="1"/>
  <c r="Y1338" i="1" s="1"/>
  <c r="X1370" i="1"/>
  <c r="Y1370" i="1" s="1"/>
  <c r="X1402" i="1"/>
  <c r="Y1402" i="1" s="1"/>
  <c r="X1434" i="1"/>
  <c r="Y1434" i="1" s="1"/>
  <c r="X1466" i="1"/>
  <c r="Y1466" i="1" s="1"/>
  <c r="X1498" i="1"/>
  <c r="Y1498" i="1" s="1"/>
  <c r="X1530" i="1"/>
  <c r="Y1530" i="1" s="1"/>
  <c r="X1562" i="1"/>
  <c r="Y1562" i="1" s="1"/>
  <c r="X1594" i="1"/>
  <c r="Y1594" i="1" s="1"/>
  <c r="X1626" i="1"/>
  <c r="Y1626" i="1" s="1"/>
  <c r="X1658" i="1"/>
  <c r="Y1658" i="1" s="1"/>
  <c r="X1690" i="1"/>
  <c r="Y1690" i="1" s="1"/>
  <c r="X1722" i="1"/>
  <c r="Y1722" i="1" s="1"/>
  <c r="X1754" i="1"/>
  <c r="Y1754" i="1" s="1"/>
  <c r="X1786" i="1"/>
  <c r="Y1786" i="1" s="1"/>
  <c r="X1818" i="1"/>
  <c r="Y1818" i="1" s="1"/>
  <c r="X1850" i="1"/>
  <c r="Y1850" i="1" s="1"/>
  <c r="X1874" i="1"/>
  <c r="Y1874" i="1" s="1"/>
  <c r="X1879" i="1"/>
  <c r="Y1879" i="1" s="1"/>
  <c r="X1883" i="1"/>
  <c r="Y1883" i="1" s="1"/>
  <c r="X1888" i="1"/>
  <c r="Y1888" i="1" s="1"/>
  <c r="X1892" i="1"/>
  <c r="Y1892" i="1" s="1"/>
  <c r="X1897" i="1"/>
  <c r="Y1897" i="1" s="1"/>
  <c r="X1901" i="1"/>
  <c r="Y1901" i="1" s="1"/>
  <c r="X1906" i="1"/>
  <c r="Y1906" i="1" s="1"/>
  <c r="X1911" i="1"/>
  <c r="Y1911" i="1" s="1"/>
  <c r="X1915" i="1"/>
  <c r="Y1915" i="1" s="1"/>
  <c r="X1920" i="1"/>
  <c r="Y1920" i="1" s="1"/>
  <c r="X1924" i="1"/>
  <c r="Y1924" i="1" s="1"/>
  <c r="X1929" i="1"/>
  <c r="Y1929" i="1" s="1"/>
  <c r="X1933" i="1"/>
  <c r="Y1933" i="1" s="1"/>
  <c r="X1938" i="1"/>
  <c r="Y1938" i="1" s="1"/>
  <c r="X1943" i="1"/>
  <c r="Y1943" i="1" s="1"/>
  <c r="X1947" i="1"/>
  <c r="Y1947" i="1" s="1"/>
  <c r="X1952" i="1"/>
  <c r="Y1952" i="1" s="1"/>
  <c r="X1956" i="1"/>
  <c r="Y1956" i="1" s="1"/>
  <c r="X1961" i="1"/>
  <c r="Y1961" i="1" s="1"/>
  <c r="X1966" i="1"/>
  <c r="Y1966" i="1" s="1"/>
  <c r="X1971" i="1"/>
  <c r="Y1971" i="1" s="1"/>
  <c r="X1977" i="1"/>
  <c r="Y1977" i="1" s="1"/>
  <c r="X1982" i="1"/>
  <c r="Y1982" i="1" s="1"/>
  <c r="X1987" i="1"/>
  <c r="Y1987" i="1" s="1"/>
  <c r="X1993" i="1"/>
  <c r="Y1993" i="1" s="1"/>
  <c r="X1998" i="1"/>
  <c r="Y1998" i="1" s="1"/>
  <c r="X2003" i="1"/>
  <c r="Y2003" i="1" s="1"/>
  <c r="X2009" i="1"/>
  <c r="Y2009" i="1" s="1"/>
  <c r="X2014" i="1"/>
  <c r="Y2014" i="1" s="1"/>
  <c r="X2019" i="1"/>
  <c r="Y2019" i="1" s="1"/>
  <c r="X2025" i="1"/>
  <c r="Y2025" i="1" s="1"/>
  <c r="X2030" i="1"/>
  <c r="Y2030" i="1" s="1"/>
  <c r="X2035" i="1"/>
  <c r="Y2035" i="1" s="1"/>
  <c r="X2041" i="1"/>
  <c r="Y2041" i="1" s="1"/>
  <c r="X2046" i="1"/>
  <c r="Y2046" i="1" s="1"/>
  <c r="X2051" i="1"/>
  <c r="Y2051" i="1" s="1"/>
  <c r="X2057" i="1"/>
  <c r="Y2057" i="1" s="1"/>
  <c r="X2062" i="1"/>
  <c r="Y2062" i="1" s="1"/>
  <c r="X2067" i="1"/>
  <c r="Y2067" i="1" s="1"/>
  <c r="X2073" i="1"/>
  <c r="Y2073" i="1" s="1"/>
  <c r="X2078" i="1"/>
  <c r="Y2078" i="1" s="1"/>
  <c r="X2083" i="1"/>
  <c r="Y2083" i="1" s="1"/>
  <c r="X2089" i="1"/>
  <c r="Y2089" i="1" s="1"/>
  <c r="X2094" i="1"/>
  <c r="Y2094" i="1" s="1"/>
  <c r="X2099" i="1"/>
  <c r="Y2099" i="1" s="1"/>
  <c r="X2105" i="1"/>
  <c r="Y2105" i="1" s="1"/>
  <c r="X2110" i="1"/>
  <c r="Y2110" i="1" s="1"/>
  <c r="X2115" i="1"/>
  <c r="Y2115" i="1" s="1"/>
  <c r="X2121" i="1"/>
  <c r="Y2121" i="1" s="1"/>
  <c r="X2126" i="1"/>
  <c r="Y2126" i="1" s="1"/>
  <c r="X2131" i="1"/>
  <c r="Y2131" i="1" s="1"/>
  <c r="X2137" i="1"/>
  <c r="Y2137" i="1" s="1"/>
  <c r="X2142" i="1"/>
  <c r="Y2142" i="1" s="1"/>
  <c r="X2147" i="1"/>
  <c r="Y2147" i="1" s="1"/>
  <c r="X2153" i="1"/>
  <c r="Y2153" i="1" s="1"/>
  <c r="X2158" i="1"/>
  <c r="Y2158" i="1" s="1"/>
  <c r="X2163" i="1"/>
  <c r="Y2163" i="1" s="1"/>
  <c r="X2169" i="1"/>
  <c r="Y2169" i="1" s="1"/>
  <c r="X2174" i="1"/>
  <c r="Y2174" i="1" s="1"/>
  <c r="X2179" i="1"/>
  <c r="Y2179" i="1" s="1"/>
  <c r="X2185" i="1"/>
  <c r="Y2185" i="1" s="1"/>
  <c r="X2190" i="1"/>
  <c r="Y2190" i="1" s="1"/>
  <c r="X2195" i="1"/>
  <c r="Y2195" i="1" s="1"/>
  <c r="X2201" i="1"/>
  <c r="Y2201" i="1" s="1"/>
  <c r="X2206" i="1"/>
  <c r="Y2206" i="1" s="1"/>
  <c r="X2211" i="1"/>
  <c r="Y2211" i="1" s="1"/>
  <c r="X2217" i="1"/>
  <c r="Y2217" i="1" s="1"/>
  <c r="X2222" i="1"/>
  <c r="Y2222" i="1" s="1"/>
  <c r="X2227" i="1"/>
  <c r="Y2227" i="1" s="1"/>
  <c r="X2233" i="1"/>
  <c r="Y2233" i="1" s="1"/>
  <c r="X2238" i="1"/>
  <c r="Y2238" i="1" s="1"/>
  <c r="X2243" i="1"/>
  <c r="Y2243" i="1" s="1"/>
  <c r="X2249" i="1"/>
  <c r="Y2249" i="1" s="1"/>
  <c r="X2254" i="1"/>
  <c r="Y2254" i="1" s="1"/>
  <c r="X2259" i="1"/>
  <c r="Y2259" i="1" s="1"/>
  <c r="X2265" i="1"/>
  <c r="Y2265" i="1" s="1"/>
  <c r="X2270" i="1"/>
  <c r="Y2270" i="1" s="1"/>
  <c r="X2275" i="1"/>
  <c r="Y2275" i="1" s="1"/>
  <c r="X2281" i="1"/>
  <c r="Y2281" i="1" s="1"/>
  <c r="X2286" i="1"/>
  <c r="Y2286" i="1" s="1"/>
  <c r="X2291" i="1"/>
  <c r="Y2291" i="1" s="1"/>
  <c r="X2297" i="1"/>
  <c r="Y2297" i="1" s="1"/>
  <c r="X2302" i="1"/>
  <c r="Y2302" i="1" s="1"/>
  <c r="X2307" i="1"/>
  <c r="Y2307" i="1" s="1"/>
  <c r="X2313" i="1"/>
  <c r="Y2313" i="1" s="1"/>
  <c r="X2318" i="1"/>
  <c r="Y2318" i="1" s="1"/>
  <c r="X2323" i="1"/>
  <c r="Y2323" i="1" s="1"/>
  <c r="X2329" i="1"/>
  <c r="Y2329" i="1" s="1"/>
  <c r="X2334" i="1"/>
  <c r="Y2334" i="1" s="1"/>
  <c r="X2339" i="1"/>
  <c r="Y2339" i="1" s="1"/>
  <c r="X2345" i="1"/>
  <c r="Y2345" i="1" s="1"/>
  <c r="X2350" i="1"/>
  <c r="Y2350" i="1" s="1"/>
  <c r="X2355" i="1"/>
  <c r="Y2355" i="1" s="1"/>
  <c r="X2361" i="1"/>
  <c r="Y2361" i="1" s="1"/>
  <c r="X2366" i="1"/>
  <c r="Y2366" i="1" s="1"/>
  <c r="X2371" i="1"/>
  <c r="Y2371" i="1" s="1"/>
  <c r="X2377" i="1"/>
  <c r="Y2377" i="1" s="1"/>
  <c r="X2382" i="1"/>
  <c r="Y2382" i="1" s="1"/>
  <c r="X2387" i="1"/>
  <c r="Y2387" i="1" s="1"/>
  <c r="X2393" i="1"/>
  <c r="Y2393" i="1" s="1"/>
  <c r="X2398" i="1"/>
  <c r="Y2398" i="1" s="1"/>
  <c r="X2403" i="1"/>
  <c r="Y2403" i="1" s="1"/>
  <c r="X2409" i="1"/>
  <c r="Y2409" i="1" s="1"/>
  <c r="X2414" i="1"/>
  <c r="Y2414" i="1" s="1"/>
  <c r="X2419" i="1"/>
  <c r="Y2419" i="1" s="1"/>
  <c r="X2425" i="1"/>
  <c r="Y2425" i="1" s="1"/>
  <c r="X2430" i="1"/>
  <c r="Y2430" i="1" s="1"/>
  <c r="X2435" i="1"/>
  <c r="Y2435" i="1" s="1"/>
  <c r="X2441" i="1"/>
  <c r="Y2441" i="1" s="1"/>
  <c r="X2446" i="1"/>
  <c r="Y2446" i="1" s="1"/>
  <c r="X2451" i="1"/>
  <c r="Y2451" i="1" s="1"/>
  <c r="X2457" i="1"/>
  <c r="Y2457" i="1" s="1"/>
  <c r="X2462" i="1"/>
  <c r="Y2462" i="1" s="1"/>
  <c r="X2467" i="1"/>
  <c r="Y2467" i="1" s="1"/>
  <c r="X2473" i="1"/>
  <c r="Y2473" i="1" s="1"/>
  <c r="X2478" i="1"/>
  <c r="Y2478" i="1" s="1"/>
  <c r="X2483" i="1"/>
  <c r="Y2483" i="1" s="1"/>
  <c r="X2489" i="1"/>
  <c r="Y2489" i="1" s="1"/>
  <c r="X2494" i="1"/>
  <c r="Y2494" i="1" s="1"/>
  <c r="X2499" i="1"/>
  <c r="Y2499" i="1" s="1"/>
  <c r="X2505" i="1"/>
  <c r="Y2505" i="1" s="1"/>
  <c r="X2510" i="1"/>
  <c r="Y2510" i="1" s="1"/>
  <c r="X2515" i="1"/>
  <c r="Y2515" i="1" s="1"/>
  <c r="X2521" i="1"/>
  <c r="Y2521" i="1" s="1"/>
  <c r="X2526" i="1"/>
  <c r="Y2526" i="1" s="1"/>
  <c r="X2531" i="1"/>
  <c r="Y2531" i="1" s="1"/>
  <c r="X2537" i="1"/>
  <c r="Y2537" i="1" s="1"/>
  <c r="X2542" i="1"/>
  <c r="Y2542" i="1" s="1"/>
  <c r="X2547" i="1"/>
  <c r="Y2547" i="1" s="1"/>
  <c r="X2553" i="1"/>
  <c r="Y2553" i="1" s="1"/>
  <c r="X2558" i="1"/>
  <c r="Y2558" i="1" s="1"/>
  <c r="X2563" i="1"/>
  <c r="Y2563" i="1" s="1"/>
  <c r="X2569" i="1"/>
  <c r="Y2569" i="1" s="1"/>
  <c r="X2574" i="1"/>
  <c r="Y2574" i="1" s="1"/>
  <c r="X2579" i="1"/>
  <c r="Y2579" i="1" s="1"/>
  <c r="X2585" i="1"/>
  <c r="Y2585" i="1" s="1"/>
  <c r="X2590" i="1"/>
  <c r="Y2590" i="1" s="1"/>
  <c r="X2595" i="1"/>
  <c r="Y2595" i="1" s="1"/>
  <c r="X2601" i="1"/>
  <c r="Y2601" i="1" s="1"/>
  <c r="X2606" i="1"/>
  <c r="Y2606" i="1" s="1"/>
  <c r="X2611" i="1"/>
  <c r="Y2611" i="1" s="1"/>
  <c r="X2617" i="1"/>
  <c r="Y2617" i="1" s="1"/>
  <c r="X2622" i="1"/>
  <c r="Y2622" i="1" s="1"/>
  <c r="X2627" i="1"/>
  <c r="Y2627" i="1" s="1"/>
  <c r="X2633" i="1"/>
  <c r="Y2633" i="1" s="1"/>
  <c r="X2638" i="1"/>
  <c r="Y2638" i="1" s="1"/>
  <c r="X2643" i="1"/>
  <c r="Y2643" i="1" s="1"/>
  <c r="X2649" i="1"/>
  <c r="Y2649" i="1" s="1"/>
  <c r="X2654" i="1"/>
  <c r="Y2654" i="1" s="1"/>
  <c r="X2659" i="1"/>
  <c r="Y2659" i="1" s="1"/>
  <c r="X2665" i="1"/>
  <c r="Y2665" i="1" s="1"/>
  <c r="X2670" i="1"/>
  <c r="Y2670" i="1" s="1"/>
  <c r="X2675" i="1"/>
  <c r="Y2675" i="1" s="1"/>
  <c r="X2681" i="1"/>
  <c r="Y2681" i="1" s="1"/>
  <c r="X2686" i="1"/>
  <c r="Y2686" i="1" s="1"/>
  <c r="X2691" i="1"/>
  <c r="Y2691" i="1" s="1"/>
  <c r="X2697" i="1"/>
  <c r="Y2697" i="1" s="1"/>
  <c r="X2702" i="1"/>
  <c r="Y2702" i="1" s="1"/>
  <c r="X2707" i="1"/>
  <c r="Y2707" i="1" s="1"/>
  <c r="X2713" i="1"/>
  <c r="Y2713" i="1" s="1"/>
  <c r="X2718" i="1"/>
  <c r="Y2718" i="1" s="1"/>
  <c r="X2723" i="1"/>
  <c r="Y2723" i="1" s="1"/>
  <c r="X2729" i="1"/>
  <c r="Y2729" i="1" s="1"/>
  <c r="X2734" i="1"/>
  <c r="Y2734" i="1" s="1"/>
  <c r="X2739" i="1"/>
  <c r="Y2739" i="1" s="1"/>
  <c r="X2745" i="1"/>
  <c r="Y2745" i="1" s="1"/>
  <c r="X2750" i="1"/>
  <c r="Y2750" i="1" s="1"/>
  <c r="X2755" i="1"/>
  <c r="Y2755" i="1" s="1"/>
  <c r="X2761" i="1"/>
  <c r="Y2761" i="1" s="1"/>
  <c r="X2766" i="1"/>
  <c r="Y2766" i="1" s="1"/>
  <c r="X2771" i="1"/>
  <c r="Y2771" i="1" s="1"/>
  <c r="X2777" i="1"/>
  <c r="Y2777" i="1" s="1"/>
  <c r="X2782" i="1"/>
  <c r="Y2782" i="1" s="1"/>
  <c r="X2787" i="1"/>
  <c r="Y2787" i="1" s="1"/>
  <c r="X2793" i="1"/>
  <c r="Y2793" i="1" s="1"/>
  <c r="X2798" i="1"/>
  <c r="Y2798" i="1" s="1"/>
  <c r="X2803" i="1"/>
  <c r="Y2803" i="1" s="1"/>
  <c r="X2809" i="1"/>
  <c r="Y2809" i="1" s="1"/>
  <c r="X2814" i="1"/>
  <c r="Y2814" i="1" s="1"/>
  <c r="X2819" i="1"/>
  <c r="Y2819" i="1" s="1"/>
  <c r="X2825" i="1"/>
  <c r="Y2825" i="1" s="1"/>
  <c r="X2830" i="1"/>
  <c r="Y2830" i="1" s="1"/>
  <c r="X2835" i="1"/>
  <c r="Y2835" i="1" s="1"/>
  <c r="X2841" i="1"/>
  <c r="Y2841" i="1" s="1"/>
  <c r="X2846" i="1"/>
  <c r="Y2846" i="1" s="1"/>
  <c r="X2851" i="1"/>
  <c r="Y2851" i="1" s="1"/>
  <c r="X2857" i="1"/>
  <c r="Y2857" i="1" s="1"/>
  <c r="X2862" i="1"/>
  <c r="Y2862" i="1" s="1"/>
  <c r="X2867" i="1"/>
  <c r="Y2867" i="1" s="1"/>
  <c r="X2873" i="1"/>
  <c r="Y2873" i="1" s="1"/>
  <c r="X2878" i="1"/>
  <c r="Y2878" i="1" s="1"/>
  <c r="X2883" i="1"/>
  <c r="Y2883" i="1" s="1"/>
  <c r="X2889" i="1"/>
  <c r="Y2889" i="1" s="1"/>
  <c r="X2894" i="1"/>
  <c r="Y2894" i="1" s="1"/>
  <c r="X2899" i="1"/>
  <c r="Y2899" i="1" s="1"/>
  <c r="X2905" i="1"/>
  <c r="Y2905" i="1" s="1"/>
  <c r="X2910" i="1"/>
  <c r="Y2910" i="1" s="1"/>
  <c r="X2915" i="1"/>
  <c r="Y2915" i="1" s="1"/>
  <c r="X2921" i="1"/>
  <c r="Y2921" i="1" s="1"/>
  <c r="X2926" i="1"/>
  <c r="Y2926" i="1" s="1"/>
  <c r="X2931" i="1"/>
  <c r="Y2931" i="1" s="1"/>
  <c r="X2937" i="1"/>
  <c r="Y2937" i="1" s="1"/>
  <c r="X2942" i="1"/>
  <c r="Y2942" i="1" s="1"/>
  <c r="X2947" i="1"/>
  <c r="Y2947" i="1" s="1"/>
  <c r="X2953" i="1"/>
  <c r="Y2953" i="1" s="1"/>
  <c r="X2958" i="1"/>
  <c r="Y2958" i="1" s="1"/>
  <c r="X2963" i="1"/>
  <c r="Y2963" i="1" s="1"/>
  <c r="X2969" i="1"/>
  <c r="Y2969" i="1" s="1"/>
  <c r="X2974" i="1"/>
  <c r="Y2974" i="1" s="1"/>
  <c r="X2979" i="1"/>
  <c r="Y2979" i="1" s="1"/>
  <c r="X2985" i="1"/>
  <c r="Y2985" i="1" s="1"/>
  <c r="X2990" i="1"/>
  <c r="Y2990" i="1" s="1"/>
  <c r="X2995" i="1"/>
  <c r="Y2995" i="1" s="1"/>
  <c r="X3001" i="1"/>
  <c r="Y3001" i="1" s="1"/>
  <c r="X3006" i="1"/>
  <c r="Y3006" i="1" s="1"/>
  <c r="X3011" i="1"/>
  <c r="Y3011" i="1" s="1"/>
  <c r="X3017" i="1"/>
  <c r="Y3017" i="1" s="1"/>
  <c r="X3022" i="1"/>
  <c r="Y3022" i="1" s="1"/>
  <c r="X3027" i="1"/>
  <c r="Y3027" i="1" s="1"/>
  <c r="X3033" i="1"/>
  <c r="Y3033" i="1" s="1"/>
  <c r="X3038" i="1"/>
  <c r="Y3038" i="1" s="1"/>
  <c r="X3043" i="1"/>
  <c r="Y3043" i="1" s="1"/>
  <c r="X3049" i="1"/>
  <c r="Y3049" i="1" s="1"/>
  <c r="X3054" i="1"/>
  <c r="Y3054" i="1" s="1"/>
  <c r="X3059" i="1"/>
  <c r="Y3059" i="1" s="1"/>
  <c r="X3065" i="1"/>
  <c r="Y3065" i="1" s="1"/>
  <c r="X3070" i="1"/>
  <c r="Y3070" i="1" s="1"/>
  <c r="X3075" i="1"/>
  <c r="Y3075" i="1" s="1"/>
  <c r="X3081" i="1"/>
  <c r="Y3081" i="1" s="1"/>
  <c r="X3086" i="1"/>
  <c r="Y3086" i="1" s="1"/>
  <c r="X3091" i="1"/>
  <c r="Y3091" i="1" s="1"/>
  <c r="X3097" i="1"/>
  <c r="Y3097" i="1" s="1"/>
  <c r="X3102" i="1"/>
  <c r="Y3102" i="1" s="1"/>
  <c r="X3107" i="1"/>
  <c r="Y3107" i="1" s="1"/>
  <c r="X3113" i="1"/>
  <c r="Y3113" i="1" s="1"/>
  <c r="X3118" i="1"/>
  <c r="Y3118" i="1" s="1"/>
  <c r="X3123" i="1"/>
  <c r="Y3123" i="1" s="1"/>
  <c r="X3129" i="1"/>
  <c r="Y3129" i="1" s="1"/>
  <c r="X3134" i="1"/>
  <c r="Y3134" i="1" s="1"/>
  <c r="X3139" i="1"/>
  <c r="Y3139" i="1" s="1"/>
  <c r="X3145" i="1"/>
  <c r="Y3145" i="1" s="1"/>
  <c r="X3150" i="1"/>
  <c r="Y3150" i="1" s="1"/>
  <c r="X3155" i="1"/>
  <c r="Y3155" i="1" s="1"/>
  <c r="X3161" i="1"/>
  <c r="Y3161" i="1" s="1"/>
  <c r="X3166" i="1"/>
  <c r="Y3166" i="1" s="1"/>
  <c r="X3171" i="1"/>
  <c r="Y3171" i="1" s="1"/>
  <c r="X3177" i="1"/>
  <c r="Y3177" i="1" s="1"/>
  <c r="X3182" i="1"/>
  <c r="Y3182" i="1" s="1"/>
  <c r="X3187" i="1"/>
  <c r="Y3187" i="1" s="1"/>
  <c r="X3193" i="1"/>
  <c r="Y3193" i="1" s="1"/>
  <c r="X3198" i="1"/>
  <c r="Y3198" i="1" s="1"/>
  <c r="X3203" i="1"/>
  <c r="Y3203" i="1" s="1"/>
  <c r="X3209" i="1"/>
  <c r="Y3209" i="1" s="1"/>
  <c r="X3214" i="1"/>
  <c r="Y3214" i="1" s="1"/>
  <c r="X3219" i="1"/>
  <c r="Y3219" i="1" s="1"/>
  <c r="X3225" i="1"/>
  <c r="Y3225" i="1" s="1"/>
  <c r="X3230" i="1"/>
  <c r="Y3230" i="1" s="1"/>
  <c r="X3235" i="1"/>
  <c r="Y3235" i="1" s="1"/>
  <c r="X3241" i="1"/>
  <c r="Y3241" i="1" s="1"/>
  <c r="X3246" i="1"/>
  <c r="Y3246" i="1" s="1"/>
  <c r="X3251" i="1"/>
  <c r="Y3251" i="1" s="1"/>
  <c r="X3257" i="1"/>
  <c r="Y3257" i="1" s="1"/>
  <c r="X3262" i="1"/>
  <c r="Y3262" i="1" s="1"/>
  <c r="X3267" i="1"/>
  <c r="Y3267" i="1" s="1"/>
  <c r="X3273" i="1"/>
  <c r="Y3273" i="1" s="1"/>
  <c r="X3278" i="1"/>
  <c r="Y3278" i="1" s="1"/>
  <c r="X3283" i="1"/>
  <c r="Y3283" i="1" s="1"/>
  <c r="X3289" i="1"/>
  <c r="Y3289" i="1" s="1"/>
  <c r="X3294" i="1"/>
  <c r="Y3294" i="1" s="1"/>
  <c r="X3299" i="1"/>
  <c r="Y3299" i="1" s="1"/>
  <c r="X3305" i="1"/>
  <c r="Y3305" i="1" s="1"/>
  <c r="X3310" i="1"/>
  <c r="Y3310" i="1" s="1"/>
  <c r="X3315" i="1"/>
  <c r="Y3315" i="1" s="1"/>
  <c r="X3321" i="1"/>
  <c r="Y3321" i="1" s="1"/>
  <c r="X3326" i="1"/>
  <c r="Y3326" i="1" s="1"/>
  <c r="X3331" i="1"/>
  <c r="Y3331" i="1" s="1"/>
  <c r="X3337" i="1"/>
  <c r="Y3337" i="1" s="1"/>
  <c r="X3342" i="1"/>
  <c r="Y3342" i="1" s="1"/>
  <c r="X3347" i="1"/>
  <c r="Y3347" i="1" s="1"/>
  <c r="X3353" i="1"/>
  <c r="Y3353" i="1" s="1"/>
  <c r="X3358" i="1"/>
  <c r="Y3358" i="1" s="1"/>
  <c r="X3363" i="1"/>
  <c r="Y3363" i="1" s="1"/>
  <c r="X3369" i="1"/>
  <c r="Y3369" i="1" s="1"/>
  <c r="X3374" i="1"/>
  <c r="Y3374" i="1" s="1"/>
  <c r="X3379" i="1"/>
  <c r="Y3379" i="1" s="1"/>
  <c r="X3385" i="1"/>
  <c r="Y3385" i="1" s="1"/>
  <c r="X3390" i="1"/>
  <c r="Y3390" i="1" s="1"/>
  <c r="X3395" i="1"/>
  <c r="Y3395" i="1" s="1"/>
  <c r="X3401" i="1"/>
  <c r="Y3401" i="1" s="1"/>
  <c r="X3406" i="1"/>
  <c r="Y3406" i="1" s="1"/>
  <c r="X3411" i="1"/>
  <c r="Y3411" i="1" s="1"/>
  <c r="X3417" i="1"/>
  <c r="Y3417" i="1" s="1"/>
  <c r="X3422" i="1"/>
  <c r="Y3422" i="1" s="1"/>
  <c r="X3427" i="1"/>
  <c r="Y3427" i="1" s="1"/>
  <c r="X3433" i="1"/>
  <c r="Y3433" i="1" s="1"/>
  <c r="X3438" i="1"/>
  <c r="Y3438" i="1" s="1"/>
  <c r="X3443" i="1"/>
  <c r="Y3443" i="1" s="1"/>
  <c r="X3449" i="1"/>
  <c r="Y3449" i="1" s="1"/>
  <c r="X3454" i="1"/>
  <c r="Y3454" i="1" s="1"/>
  <c r="X3459" i="1"/>
  <c r="Y3459" i="1" s="1"/>
  <c r="X3465" i="1"/>
  <c r="Y3465" i="1" s="1"/>
  <c r="X3470" i="1"/>
  <c r="Y3470" i="1" s="1"/>
  <c r="X3475" i="1"/>
  <c r="Y3475" i="1" s="1"/>
  <c r="X3481" i="1"/>
  <c r="Y3481" i="1" s="1"/>
  <c r="X3486" i="1"/>
  <c r="Y3486" i="1" s="1"/>
  <c r="X3491" i="1"/>
  <c r="Y3491" i="1" s="1"/>
  <c r="X3497" i="1"/>
  <c r="Y3497" i="1" s="1"/>
  <c r="X3502" i="1"/>
  <c r="Y3502" i="1" s="1"/>
  <c r="X3507" i="1"/>
  <c r="Y3507" i="1" s="1"/>
  <c r="X3513" i="1"/>
  <c r="Y3513" i="1" s="1"/>
  <c r="X3518" i="1"/>
  <c r="Y3518" i="1" s="1"/>
  <c r="X3523" i="1"/>
  <c r="Y3523" i="1" s="1"/>
  <c r="X3529" i="1"/>
  <c r="Y3529" i="1" s="1"/>
  <c r="X3534" i="1"/>
  <c r="Y3534" i="1" s="1"/>
  <c r="X3539" i="1"/>
  <c r="Y3539" i="1" s="1"/>
  <c r="X3545" i="1"/>
  <c r="Y3545" i="1" s="1"/>
  <c r="X3550" i="1"/>
  <c r="Y3550" i="1" s="1"/>
  <c r="X3555" i="1"/>
  <c r="Y3555" i="1" s="1"/>
  <c r="X3561" i="1"/>
  <c r="Y3561" i="1" s="1"/>
  <c r="X3566" i="1"/>
  <c r="Y3566" i="1" s="1"/>
  <c r="X3571" i="1"/>
  <c r="Y3571" i="1" s="1"/>
  <c r="X3577" i="1"/>
  <c r="Y3577" i="1" s="1"/>
  <c r="X3582" i="1"/>
  <c r="Y3582" i="1" s="1"/>
  <c r="X3587" i="1"/>
  <c r="Y3587" i="1" s="1"/>
  <c r="X3593" i="1"/>
  <c r="Y3593" i="1" s="1"/>
  <c r="X3598" i="1"/>
  <c r="Y3598" i="1" s="1"/>
  <c r="X3603" i="1"/>
  <c r="Y3603" i="1" s="1"/>
  <c r="X3609" i="1"/>
  <c r="Y3609" i="1" s="1"/>
  <c r="X3614" i="1"/>
  <c r="Y3614" i="1" s="1"/>
  <c r="X3619" i="1"/>
  <c r="Y3619" i="1" s="1"/>
  <c r="X3625" i="1"/>
  <c r="Y3625" i="1" s="1"/>
  <c r="X3630" i="1"/>
  <c r="Y3630" i="1" s="1"/>
  <c r="X3635" i="1"/>
  <c r="Y3635" i="1" s="1"/>
  <c r="X3641" i="1"/>
  <c r="Y3641" i="1" s="1"/>
  <c r="X3646" i="1"/>
  <c r="Y3646" i="1" s="1"/>
  <c r="X3651" i="1"/>
  <c r="Y3651" i="1" s="1"/>
  <c r="X3657" i="1"/>
  <c r="Y3657" i="1" s="1"/>
  <c r="X3662" i="1"/>
  <c r="Y3662" i="1" s="1"/>
  <c r="X3667" i="1"/>
  <c r="Y3667" i="1" s="1"/>
  <c r="X3673" i="1"/>
  <c r="Y3673" i="1" s="1"/>
  <c r="X3678" i="1"/>
  <c r="Y3678" i="1" s="1"/>
  <c r="X3683" i="1"/>
  <c r="Y3683" i="1" s="1"/>
  <c r="X3689" i="1"/>
  <c r="Y3689" i="1" s="1"/>
  <c r="X3694" i="1"/>
  <c r="Y3694" i="1" s="1"/>
  <c r="X3699" i="1"/>
  <c r="Y3699" i="1" s="1"/>
  <c r="X3705" i="1"/>
  <c r="Y3705" i="1" s="1"/>
  <c r="X3710" i="1"/>
  <c r="Y3710" i="1" s="1"/>
  <c r="X3715" i="1"/>
  <c r="Y3715" i="1" s="1"/>
  <c r="X3721" i="1"/>
  <c r="Y3721" i="1" s="1"/>
  <c r="X3726" i="1"/>
  <c r="Y3726" i="1" s="1"/>
  <c r="X3731" i="1"/>
  <c r="Y3731" i="1" s="1"/>
  <c r="X3737" i="1"/>
  <c r="Y3737" i="1" s="1"/>
  <c r="X3742" i="1"/>
  <c r="Y3742" i="1" s="1"/>
  <c r="X3747" i="1"/>
  <c r="Y3747" i="1" s="1"/>
  <c r="X3753" i="1"/>
  <c r="Y3753" i="1" s="1"/>
  <c r="X3758" i="1"/>
  <c r="Y3758" i="1" s="1"/>
  <c r="X3763" i="1"/>
  <c r="Y3763" i="1" s="1"/>
  <c r="X3769" i="1"/>
  <c r="Y3769" i="1" s="1"/>
  <c r="X3774" i="1"/>
  <c r="Y3774" i="1" s="1"/>
  <c r="X3779" i="1"/>
  <c r="Y3779" i="1" s="1"/>
  <c r="X3785" i="1"/>
  <c r="Y3785" i="1" s="1"/>
  <c r="X3790" i="1"/>
  <c r="Y3790" i="1" s="1"/>
  <c r="X3795" i="1"/>
  <c r="Y3795" i="1" s="1"/>
  <c r="X3801" i="1"/>
  <c r="Y3801" i="1" s="1"/>
  <c r="X3806" i="1"/>
  <c r="Y3806" i="1" s="1"/>
  <c r="X3811" i="1"/>
  <c r="Y3811" i="1" s="1"/>
  <c r="X3817" i="1"/>
  <c r="Y3817" i="1" s="1"/>
  <c r="X3822" i="1"/>
  <c r="Y3822" i="1" s="1"/>
  <c r="X3827" i="1"/>
  <c r="Y3827" i="1" s="1"/>
  <c r="X3833" i="1"/>
  <c r="Y3833" i="1" s="1"/>
  <c r="X3838" i="1"/>
  <c r="Y3838" i="1" s="1"/>
  <c r="X3843" i="1"/>
  <c r="Y3843" i="1" s="1"/>
  <c r="X3849" i="1"/>
  <c r="Y3849" i="1" s="1"/>
  <c r="X3854" i="1"/>
  <c r="Y3854" i="1" s="1"/>
  <c r="X3859" i="1"/>
  <c r="Y3859" i="1" s="1"/>
  <c r="X3865" i="1"/>
  <c r="Y3865" i="1" s="1"/>
  <c r="X3870" i="1"/>
  <c r="Y3870" i="1" s="1"/>
  <c r="X3875" i="1"/>
  <c r="Y3875" i="1" s="1"/>
  <c r="X3881" i="1"/>
  <c r="Y3881" i="1" s="1"/>
  <c r="X3886" i="1"/>
  <c r="Y3886" i="1" s="1"/>
  <c r="X3891" i="1"/>
  <c r="Y3891" i="1" s="1"/>
  <c r="X3897" i="1"/>
  <c r="Y3897" i="1" s="1"/>
  <c r="X3902" i="1"/>
  <c r="Y3902" i="1" s="1"/>
  <c r="X3907" i="1"/>
  <c r="Y3907" i="1" s="1"/>
  <c r="X3913" i="1"/>
  <c r="Y3913" i="1" s="1"/>
  <c r="X3918" i="1"/>
  <c r="Y3918" i="1" s="1"/>
  <c r="X3923" i="1"/>
  <c r="Y3923" i="1" s="1"/>
  <c r="X3929" i="1"/>
  <c r="Y3929" i="1" s="1"/>
  <c r="X3934" i="1"/>
  <c r="Y3934" i="1" s="1"/>
  <c r="X3939" i="1"/>
  <c r="Y3939" i="1" s="1"/>
  <c r="X3945" i="1"/>
  <c r="Y3945" i="1" s="1"/>
  <c r="X3950" i="1"/>
  <c r="Y3950" i="1" s="1"/>
  <c r="X3955" i="1"/>
  <c r="Y3955" i="1" s="1"/>
  <c r="X3961" i="1"/>
  <c r="Y3961" i="1" s="1"/>
  <c r="X3966" i="1"/>
  <c r="Y3966" i="1" s="1"/>
  <c r="X3971" i="1"/>
  <c r="Y3971" i="1" s="1"/>
  <c r="X3977" i="1"/>
  <c r="Y3977" i="1" s="1"/>
  <c r="X3982" i="1"/>
  <c r="Y3982" i="1" s="1"/>
  <c r="X3987" i="1"/>
  <c r="Y3987" i="1" s="1"/>
  <c r="X3993" i="1"/>
  <c r="Y3993" i="1" s="1"/>
  <c r="X3998" i="1"/>
  <c r="Y3998" i="1" s="1"/>
  <c r="X4003" i="1"/>
  <c r="Y4003" i="1" s="1"/>
  <c r="X4009" i="1"/>
  <c r="Y4009" i="1" s="1"/>
  <c r="X4016" i="1"/>
  <c r="Y4016" i="1" s="1"/>
  <c r="X4024" i="1"/>
  <c r="Y4024" i="1" s="1"/>
  <c r="X4032" i="1"/>
  <c r="Y4032" i="1" s="1"/>
  <c r="X4040" i="1"/>
  <c r="Y4040" i="1" s="1"/>
  <c r="X4048" i="1"/>
  <c r="Y4048" i="1" s="1"/>
  <c r="X4056" i="1"/>
  <c r="Y4056" i="1" s="1"/>
  <c r="X4064" i="1"/>
  <c r="Y4064" i="1" s="1"/>
  <c r="X4072" i="1"/>
  <c r="Y4072" i="1" s="1"/>
  <c r="X4080" i="1"/>
  <c r="Y4080" i="1" s="1"/>
  <c r="X4088" i="1"/>
  <c r="Y4088" i="1" s="1"/>
  <c r="X4096" i="1"/>
  <c r="Y4096" i="1" s="1"/>
  <c r="X4104" i="1"/>
  <c r="Y4104" i="1" s="1"/>
  <c r="X4112" i="1"/>
  <c r="Y4112" i="1" s="1"/>
  <c r="X4120" i="1"/>
  <c r="Y4120" i="1" s="1"/>
  <c r="X4128" i="1"/>
  <c r="Y4128" i="1" s="1"/>
  <c r="X4136" i="1"/>
  <c r="Y4136" i="1" s="1"/>
  <c r="X4144" i="1"/>
  <c r="Y4144" i="1" s="1"/>
  <c r="X4152" i="1"/>
  <c r="Y4152" i="1" s="1"/>
  <c r="X4160" i="1"/>
  <c r="Y4160" i="1" s="1"/>
  <c r="X4168" i="1"/>
  <c r="Y4168" i="1" s="1"/>
  <c r="X4176" i="1"/>
  <c r="Y4176" i="1" s="1"/>
  <c r="X4184" i="1"/>
  <c r="Y4184" i="1" s="1"/>
  <c r="X4192" i="1"/>
  <c r="Y4192" i="1" s="1"/>
  <c r="X4200" i="1"/>
  <c r="Y4200" i="1" s="1"/>
  <c r="X4208" i="1"/>
  <c r="Y4208" i="1" s="1"/>
  <c r="X4216" i="1"/>
  <c r="Y4216" i="1" s="1"/>
  <c r="X4224" i="1"/>
  <c r="Y4224" i="1" s="1"/>
  <c r="X4232" i="1"/>
  <c r="Y4232" i="1" s="1"/>
  <c r="X4240" i="1"/>
  <c r="Y4240" i="1" s="1"/>
  <c r="X4248" i="1"/>
  <c r="Y4248" i="1" s="1"/>
  <c r="X4256" i="1"/>
  <c r="Y4256" i="1" s="1"/>
  <c r="X4264" i="1"/>
  <c r="Y4264" i="1" s="1"/>
  <c r="X4272" i="1"/>
  <c r="Y4272" i="1" s="1"/>
  <c r="X4280" i="1"/>
  <c r="Y4280" i="1" s="1"/>
  <c r="X4288" i="1"/>
  <c r="Y4288" i="1" s="1"/>
  <c r="X4296" i="1"/>
  <c r="Y4296" i="1" s="1"/>
  <c r="X4304" i="1"/>
  <c r="Y4304" i="1" s="1"/>
  <c r="X4312" i="1"/>
  <c r="Y4312" i="1" s="1"/>
  <c r="X4320" i="1"/>
  <c r="Y4320" i="1" s="1"/>
  <c r="X4328" i="1"/>
  <c r="Y4328" i="1" s="1"/>
  <c r="X4336" i="1"/>
  <c r="Y4336" i="1" s="1"/>
  <c r="X4344" i="1"/>
  <c r="Y4344" i="1" s="1"/>
  <c r="X4352" i="1"/>
  <c r="Y4352" i="1" s="1"/>
  <c r="X4360" i="1"/>
  <c r="Y4360" i="1" s="1"/>
  <c r="X4368" i="1"/>
  <c r="Y4368" i="1" s="1"/>
  <c r="X4376" i="1"/>
  <c r="Y4376" i="1" s="1"/>
  <c r="X4384" i="1"/>
  <c r="Y4384" i="1" s="1"/>
  <c r="X4392" i="1"/>
  <c r="Y4392" i="1" s="1"/>
  <c r="X4400" i="1"/>
  <c r="Y4400" i="1" s="1"/>
  <c r="X4408" i="1"/>
  <c r="Y4408" i="1" s="1"/>
  <c r="X4416" i="1"/>
  <c r="Y4416" i="1" s="1"/>
  <c r="X4424" i="1"/>
  <c r="Y4424" i="1" s="1"/>
  <c r="X4432" i="1"/>
  <c r="Y4432" i="1" s="1"/>
  <c r="X4440" i="1"/>
  <c r="Y4440" i="1" s="1"/>
  <c r="X4448" i="1"/>
  <c r="Y4448" i="1" s="1"/>
  <c r="X4456" i="1"/>
  <c r="Y4456" i="1" s="1"/>
  <c r="X4464" i="1"/>
  <c r="Y4464" i="1" s="1"/>
  <c r="X4472" i="1"/>
  <c r="Y4472" i="1" s="1"/>
  <c r="X4480" i="1"/>
  <c r="Y4480" i="1" s="1"/>
  <c r="X4488" i="1"/>
  <c r="Y4488" i="1" s="1"/>
  <c r="X4496" i="1"/>
  <c r="Y4496" i="1" s="1"/>
  <c r="X4504" i="1"/>
  <c r="Y4504" i="1" s="1"/>
  <c r="X4512" i="1"/>
  <c r="Y4512" i="1" s="1"/>
  <c r="X4520" i="1"/>
  <c r="Y4520" i="1" s="1"/>
  <c r="X4528" i="1"/>
  <c r="Y4528" i="1" s="1"/>
  <c r="X4536" i="1"/>
  <c r="Y4536" i="1" s="1"/>
  <c r="X4544" i="1"/>
  <c r="Y4544" i="1" s="1"/>
  <c r="X4552" i="1"/>
  <c r="Y4552" i="1" s="1"/>
  <c r="X4560" i="1"/>
  <c r="Y4560" i="1" s="1"/>
  <c r="X4568" i="1"/>
  <c r="Y4568" i="1" s="1"/>
  <c r="X4576" i="1"/>
  <c r="Y4576" i="1" s="1"/>
  <c r="X4584" i="1"/>
  <c r="Y4584" i="1" s="1"/>
  <c r="X4592" i="1"/>
  <c r="Y4592" i="1" s="1"/>
  <c r="X4600" i="1"/>
  <c r="Y4600" i="1" s="1"/>
  <c r="X4608" i="1"/>
  <c r="Y4608" i="1" s="1"/>
  <c r="X4616" i="1"/>
  <c r="Y4616" i="1" s="1"/>
  <c r="X4624" i="1"/>
  <c r="Y4624" i="1" s="1"/>
  <c r="X4632" i="1"/>
  <c r="Y4632" i="1" s="1"/>
  <c r="X4640" i="1"/>
  <c r="Y4640" i="1" s="1"/>
  <c r="X4648" i="1"/>
  <c r="Y4648" i="1" s="1"/>
  <c r="X4656" i="1"/>
  <c r="Y4656" i="1" s="1"/>
  <c r="X4664" i="1"/>
  <c r="Y4664" i="1" s="1"/>
  <c r="X4672" i="1"/>
  <c r="Y4672" i="1" s="1"/>
  <c r="X4680" i="1"/>
  <c r="Y4680" i="1" s="1"/>
  <c r="X4688" i="1"/>
  <c r="Y4688" i="1" s="1"/>
  <c r="X4696" i="1"/>
  <c r="Y4696" i="1" s="1"/>
  <c r="X4704" i="1"/>
  <c r="Y4704" i="1" s="1"/>
  <c r="X4712" i="1"/>
  <c r="Y4712" i="1" s="1"/>
  <c r="X4720" i="1"/>
  <c r="Y4720" i="1" s="1"/>
  <c r="X4728" i="1"/>
  <c r="Y4728" i="1" s="1"/>
  <c r="X4736" i="1"/>
  <c r="Y4736" i="1" s="1"/>
  <c r="X4744" i="1"/>
  <c r="Y4744" i="1" s="1"/>
  <c r="X4752" i="1"/>
  <c r="Y4752" i="1" s="1"/>
  <c r="X4760" i="1"/>
  <c r="Y4760" i="1" s="1"/>
  <c r="X4768" i="1"/>
  <c r="Y4768" i="1" s="1"/>
  <c r="X4776" i="1"/>
  <c r="Y4776" i="1" s="1"/>
  <c r="X4784" i="1"/>
  <c r="Y4784" i="1" s="1"/>
  <c r="X4792" i="1"/>
  <c r="Y4792" i="1" s="1"/>
  <c r="X4800" i="1"/>
  <c r="Y4800" i="1" s="1"/>
  <c r="X4808" i="1"/>
  <c r="Y4808" i="1" s="1"/>
  <c r="X4816" i="1"/>
  <c r="Y4816" i="1" s="1"/>
  <c r="X4824" i="1"/>
  <c r="Y4824" i="1" s="1"/>
  <c r="X4832" i="1"/>
  <c r="Y4832" i="1" s="1"/>
  <c r="X4840" i="1"/>
  <c r="Y4840" i="1" s="1"/>
  <c r="X4848" i="1"/>
  <c r="Y4848" i="1" s="1"/>
  <c r="X4856" i="1"/>
  <c r="Y4856" i="1" s="1"/>
  <c r="X4864" i="1"/>
  <c r="Y4864" i="1" s="1"/>
  <c r="X4872" i="1"/>
  <c r="Y4872" i="1" s="1"/>
  <c r="X4880" i="1"/>
  <c r="Y4880" i="1" s="1"/>
  <c r="X4888" i="1"/>
  <c r="Y4888" i="1" s="1"/>
  <c r="X4896" i="1"/>
  <c r="Y4896" i="1" s="1"/>
  <c r="X4904" i="1"/>
  <c r="Y4904" i="1" s="1"/>
  <c r="X4912" i="1"/>
  <c r="Y4912" i="1" s="1"/>
  <c r="X4920" i="1"/>
  <c r="Y4920" i="1" s="1"/>
  <c r="X4928" i="1"/>
  <c r="Y4928" i="1" s="1"/>
  <c r="X4936" i="1"/>
  <c r="Y4936" i="1" s="1"/>
  <c r="X4944" i="1"/>
  <c r="Y4944" i="1" s="1"/>
  <c r="X4952" i="1"/>
  <c r="Y4952" i="1" s="1"/>
  <c r="X4960" i="1"/>
  <c r="Y4960" i="1" s="1"/>
  <c r="X4968" i="1"/>
  <c r="Y4968" i="1" s="1"/>
  <c r="X4976" i="1"/>
  <c r="Y4976" i="1" s="1"/>
  <c r="X4984" i="1"/>
  <c r="Y4984" i="1" s="1"/>
  <c r="X4992" i="1"/>
  <c r="Y4992" i="1" s="1"/>
  <c r="X5000" i="1"/>
  <c r="Y5000" i="1" s="1"/>
  <c r="X1934" i="1"/>
  <c r="Y1934" i="1" s="1"/>
  <c r="X1980" i="1"/>
  <c r="Y1980" i="1" s="1"/>
  <c r="X2012" i="1"/>
  <c r="Y2012" i="1" s="1"/>
  <c r="X2044" i="1"/>
  <c r="Y2044" i="1" s="1"/>
  <c r="X2076" i="1"/>
  <c r="Y2076" i="1" s="1"/>
  <c r="X2108" i="1"/>
  <c r="Y2108" i="1" s="1"/>
  <c r="X2140" i="1"/>
  <c r="Y2140" i="1" s="1"/>
  <c r="X2172" i="1"/>
  <c r="Y2172" i="1" s="1"/>
  <c r="X2204" i="1"/>
  <c r="Y2204" i="1" s="1"/>
  <c r="X2236" i="1"/>
  <c r="Y2236" i="1" s="1"/>
  <c r="X2268" i="1"/>
  <c r="Y2268" i="1" s="1"/>
  <c r="X2300" i="1"/>
  <c r="Y2300" i="1" s="1"/>
  <c r="X2332" i="1"/>
  <c r="Y2332" i="1" s="1"/>
  <c r="X2364" i="1"/>
  <c r="Y2364" i="1" s="1"/>
  <c r="X2396" i="1"/>
  <c r="Y2396" i="1" s="1"/>
  <c r="X2428" i="1"/>
  <c r="Y2428" i="1" s="1"/>
  <c r="X2460" i="1"/>
  <c r="Y2460" i="1" s="1"/>
  <c r="X2492" i="1"/>
  <c r="Y2492" i="1" s="1"/>
  <c r="X2524" i="1"/>
  <c r="Y2524" i="1" s="1"/>
  <c r="X2556" i="1"/>
  <c r="Y2556" i="1" s="1"/>
  <c r="X2588" i="1"/>
  <c r="Y2588" i="1" s="1"/>
  <c r="X2620" i="1"/>
  <c r="Y2620" i="1" s="1"/>
  <c r="X2652" i="1"/>
  <c r="Y2652" i="1" s="1"/>
  <c r="X2684" i="1"/>
  <c r="Y2684" i="1" s="1"/>
  <c r="X2716" i="1"/>
  <c r="Y2716" i="1" s="1"/>
  <c r="X2748" i="1"/>
  <c r="Y2748" i="1" s="1"/>
  <c r="X2780" i="1"/>
  <c r="Y2780" i="1" s="1"/>
  <c r="X2812" i="1"/>
  <c r="Y2812" i="1" s="1"/>
  <c r="X2844" i="1"/>
  <c r="Y2844" i="1" s="1"/>
  <c r="X2876" i="1"/>
  <c r="Y2876" i="1" s="1"/>
  <c r="X2908" i="1"/>
  <c r="Y2908" i="1" s="1"/>
  <c r="X2940" i="1"/>
  <c r="Y2940" i="1" s="1"/>
  <c r="X2972" i="1"/>
  <c r="Y2972" i="1" s="1"/>
  <c r="X3004" i="1"/>
  <c r="Y3004" i="1" s="1"/>
  <c r="X3036" i="1"/>
  <c r="Y3036" i="1" s="1"/>
  <c r="X3068" i="1"/>
  <c r="Y3068" i="1" s="1"/>
  <c r="X3100" i="1"/>
  <c r="Y3100" i="1" s="1"/>
  <c r="X3132" i="1"/>
  <c r="Y3132" i="1" s="1"/>
  <c r="X3164" i="1"/>
  <c r="Y3164" i="1" s="1"/>
  <c r="X3196" i="1"/>
  <c r="Y3196" i="1" s="1"/>
  <c r="X3228" i="1"/>
  <c r="Y3228" i="1" s="1"/>
  <c r="X3260" i="1"/>
  <c r="Y3260" i="1" s="1"/>
  <c r="X3292" i="1"/>
  <c r="Y3292" i="1" s="1"/>
  <c r="X3324" i="1"/>
  <c r="Y3324" i="1" s="1"/>
  <c r="X3356" i="1"/>
  <c r="Y3356" i="1" s="1"/>
  <c r="X3388" i="1"/>
  <c r="Y3388" i="1" s="1"/>
  <c r="X3420" i="1"/>
  <c r="Y3420" i="1" s="1"/>
  <c r="X3452" i="1"/>
  <c r="Y3452" i="1" s="1"/>
  <c r="X3484" i="1"/>
  <c r="Y3484" i="1" s="1"/>
  <c r="X3516" i="1"/>
  <c r="Y3516" i="1" s="1"/>
  <c r="X3548" i="1"/>
  <c r="Y3548" i="1" s="1"/>
  <c r="X3580" i="1"/>
  <c r="Y3580" i="1" s="1"/>
  <c r="X3612" i="1"/>
  <c r="Y3612" i="1" s="1"/>
  <c r="X3644" i="1"/>
  <c r="Y3644" i="1" s="1"/>
  <c r="X3676" i="1"/>
  <c r="Y3676" i="1" s="1"/>
  <c r="X3708" i="1"/>
  <c r="Y3708" i="1" s="1"/>
  <c r="X3740" i="1"/>
  <c r="Y3740" i="1" s="1"/>
  <c r="X3772" i="1"/>
  <c r="Y3772" i="1" s="1"/>
  <c r="X3804" i="1"/>
  <c r="Y3804" i="1" s="1"/>
  <c r="X3836" i="1"/>
  <c r="Y3836" i="1" s="1"/>
  <c r="X3868" i="1"/>
  <c r="Y3868" i="1" s="1"/>
  <c r="X3900" i="1"/>
  <c r="Y3900" i="1" s="1"/>
  <c r="X3932" i="1"/>
  <c r="Y3932" i="1" s="1"/>
  <c r="X3964" i="1"/>
  <c r="Y3964" i="1" s="1"/>
  <c r="X3996" i="1"/>
  <c r="Y3996" i="1" s="1"/>
  <c r="X4019" i="1"/>
  <c r="Y4019" i="1" s="1"/>
  <c r="X4035" i="1"/>
  <c r="Y4035" i="1" s="1"/>
  <c r="X4051" i="1"/>
  <c r="Y4051" i="1" s="1"/>
  <c r="X4067" i="1"/>
  <c r="Y4067" i="1" s="1"/>
  <c r="X4083" i="1"/>
  <c r="Y4083" i="1" s="1"/>
  <c r="X4099" i="1"/>
  <c r="Y4099" i="1" s="1"/>
  <c r="X4115" i="1"/>
  <c r="Y4115" i="1" s="1"/>
  <c r="X4131" i="1"/>
  <c r="Y4131" i="1" s="1"/>
  <c r="X4147" i="1"/>
  <c r="Y4147" i="1" s="1"/>
  <c r="X4163" i="1"/>
  <c r="Y4163" i="1" s="1"/>
  <c r="X4179" i="1"/>
  <c r="Y4179" i="1" s="1"/>
  <c r="X4195" i="1"/>
  <c r="Y4195" i="1" s="1"/>
  <c r="X4211" i="1"/>
  <c r="Y4211" i="1" s="1"/>
  <c r="X4227" i="1"/>
  <c r="Y4227" i="1" s="1"/>
  <c r="X4243" i="1"/>
  <c r="Y4243" i="1" s="1"/>
  <c r="X4259" i="1"/>
  <c r="Y4259" i="1" s="1"/>
  <c r="X4275" i="1"/>
  <c r="Y4275" i="1" s="1"/>
  <c r="X4291" i="1"/>
  <c r="Y4291" i="1" s="1"/>
  <c r="X4307" i="1"/>
  <c r="Y4307" i="1" s="1"/>
  <c r="X4323" i="1"/>
  <c r="Y4323" i="1" s="1"/>
  <c r="X4339" i="1"/>
  <c r="Y4339" i="1" s="1"/>
  <c r="X4355" i="1"/>
  <c r="Y4355" i="1" s="1"/>
  <c r="X4371" i="1"/>
  <c r="Y4371" i="1" s="1"/>
  <c r="X4387" i="1"/>
  <c r="Y4387" i="1" s="1"/>
  <c r="X4403" i="1"/>
  <c r="Y4403" i="1" s="1"/>
  <c r="X4419" i="1"/>
  <c r="Y4419" i="1" s="1"/>
  <c r="X4435" i="1"/>
  <c r="Y4435" i="1" s="1"/>
  <c r="X4451" i="1"/>
  <c r="Y4451" i="1" s="1"/>
  <c r="X4467" i="1"/>
  <c r="Y4467" i="1" s="1"/>
  <c r="X4483" i="1"/>
  <c r="Y4483" i="1" s="1"/>
  <c r="X4499" i="1"/>
  <c r="Y4499" i="1" s="1"/>
  <c r="X4515" i="1"/>
  <c r="Y4515" i="1" s="1"/>
  <c r="X4531" i="1"/>
  <c r="Y4531" i="1" s="1"/>
  <c r="X4547" i="1"/>
  <c r="Y4547" i="1" s="1"/>
  <c r="X4563" i="1"/>
  <c r="Y4563" i="1" s="1"/>
  <c r="X4579" i="1"/>
  <c r="Y4579" i="1" s="1"/>
  <c r="X4595" i="1"/>
  <c r="Y4595" i="1" s="1"/>
  <c r="X4611" i="1"/>
  <c r="Y4611" i="1" s="1"/>
  <c r="X4627" i="1"/>
  <c r="Y4627" i="1" s="1"/>
  <c r="X4643" i="1"/>
  <c r="Y4643" i="1" s="1"/>
  <c r="X4659" i="1"/>
  <c r="Y4659" i="1" s="1"/>
  <c r="X4675" i="1"/>
  <c r="Y4675" i="1" s="1"/>
  <c r="X4691" i="1"/>
  <c r="Y4691" i="1" s="1"/>
  <c r="X4707" i="1"/>
  <c r="Y4707" i="1" s="1"/>
  <c r="X4723" i="1"/>
  <c r="Y4723" i="1" s="1"/>
  <c r="X4739" i="1"/>
  <c r="Y4739" i="1" s="1"/>
  <c r="X4755" i="1"/>
  <c r="Y4755" i="1" s="1"/>
  <c r="X4771" i="1"/>
  <c r="Y4771" i="1" s="1"/>
  <c r="X4787" i="1"/>
  <c r="Y4787" i="1" s="1"/>
  <c r="X4803" i="1"/>
  <c r="Y4803" i="1" s="1"/>
  <c r="X4819" i="1"/>
  <c r="Y4819" i="1" s="1"/>
  <c r="X4835" i="1"/>
  <c r="Y4835" i="1" s="1"/>
  <c r="X4851" i="1"/>
  <c r="Y4851" i="1" s="1"/>
  <c r="X4867" i="1"/>
  <c r="Y4867" i="1" s="1"/>
  <c r="X4883" i="1"/>
  <c r="Y4883" i="1" s="1"/>
  <c r="X4899" i="1"/>
  <c r="Y4899" i="1" s="1"/>
  <c r="X4915" i="1"/>
  <c r="Y4915" i="1" s="1"/>
  <c r="X4931" i="1"/>
  <c r="Y4931" i="1" s="1"/>
  <c r="X4947" i="1"/>
  <c r="Y4947" i="1" s="1"/>
  <c r="X4963" i="1"/>
  <c r="Y4963" i="1" s="1"/>
  <c r="X4979" i="1"/>
  <c r="Y4979" i="1" s="1"/>
  <c r="X4995" i="1"/>
  <c r="Y4995" i="1" s="1"/>
  <c r="X183" i="1"/>
  <c r="Y183" i="1" s="1"/>
  <c r="X311" i="1"/>
  <c r="Y311" i="1" s="1"/>
  <c r="X433" i="1"/>
  <c r="Y433" i="1" s="1"/>
  <c r="X497" i="1"/>
  <c r="Y497" i="1" s="1"/>
  <c r="X561" i="1"/>
  <c r="Y561" i="1" s="1"/>
  <c r="X625" i="1"/>
  <c r="Y625" i="1" s="1"/>
  <c r="X689" i="1"/>
  <c r="Y689" i="1" s="1"/>
  <c r="X753" i="1"/>
  <c r="Y753" i="1" s="1"/>
  <c r="X817" i="1"/>
  <c r="Y817" i="1" s="1"/>
  <c r="X881" i="1"/>
  <c r="Y881" i="1" s="1"/>
  <c r="X942" i="1"/>
  <c r="Y942" i="1" s="1"/>
  <c r="X974" i="1"/>
  <c r="Y974" i="1" s="1"/>
  <c r="X1006" i="1"/>
  <c r="Y1006" i="1" s="1"/>
  <c r="X1038" i="1"/>
  <c r="Y1038" i="1" s="1"/>
  <c r="X1070" i="1"/>
  <c r="Y1070" i="1" s="1"/>
  <c r="X1102" i="1"/>
  <c r="Y1102" i="1" s="1"/>
  <c r="X1134" i="1"/>
  <c r="Y1134" i="1" s="1"/>
  <c r="X1166" i="1"/>
  <c r="Y1166" i="1" s="1"/>
  <c r="X1198" i="1"/>
  <c r="Y1198" i="1" s="1"/>
  <c r="X1230" i="1"/>
  <c r="Y1230" i="1" s="1"/>
  <c r="X1262" i="1"/>
  <c r="Y1262" i="1" s="1"/>
  <c r="X1286" i="1"/>
  <c r="Y1286" i="1" s="1"/>
  <c r="X1318" i="1"/>
  <c r="Y1318" i="1" s="1"/>
  <c r="X1350" i="1"/>
  <c r="Y1350" i="1" s="1"/>
  <c r="X1382" i="1"/>
  <c r="Y1382" i="1" s="1"/>
  <c r="X1414" i="1"/>
  <c r="Y1414" i="1" s="1"/>
  <c r="X1446" i="1"/>
  <c r="Y1446" i="1" s="1"/>
  <c r="X1478" i="1"/>
  <c r="Y1478" i="1" s="1"/>
  <c r="X1510" i="1"/>
  <c r="Y1510" i="1" s="1"/>
  <c r="X1542" i="1"/>
  <c r="Y1542" i="1" s="1"/>
  <c r="X1574" i="1"/>
  <c r="Y1574" i="1" s="1"/>
  <c r="X1606" i="1"/>
  <c r="Y1606" i="1" s="1"/>
  <c r="X1638" i="1"/>
  <c r="Y1638" i="1" s="1"/>
  <c r="X1670" i="1"/>
  <c r="Y1670" i="1" s="1"/>
  <c r="X1702" i="1"/>
  <c r="Y1702" i="1" s="1"/>
  <c r="X1734" i="1"/>
  <c r="Y1734" i="1" s="1"/>
  <c r="X1766" i="1"/>
  <c r="Y1766" i="1" s="1"/>
  <c r="X1798" i="1"/>
  <c r="Y1798" i="1" s="1"/>
  <c r="X1830" i="1"/>
  <c r="Y1830" i="1" s="1"/>
  <c r="X1862" i="1"/>
  <c r="Y1862" i="1" s="1"/>
  <c r="X1910" i="1"/>
  <c r="Y1910" i="1" s="1"/>
  <c r="X1968" i="1"/>
  <c r="Y1968" i="1" s="1"/>
  <c r="X2000" i="1"/>
  <c r="Y2000" i="1" s="1"/>
  <c r="X2032" i="1"/>
  <c r="Y2032" i="1" s="1"/>
  <c r="X2064" i="1"/>
  <c r="Y2064" i="1" s="1"/>
  <c r="X2096" i="1"/>
  <c r="Y2096" i="1" s="1"/>
  <c r="X2128" i="1"/>
  <c r="Y2128" i="1" s="1"/>
  <c r="X2160" i="1"/>
  <c r="Y2160" i="1" s="1"/>
  <c r="X2192" i="1"/>
  <c r="Y2192" i="1" s="1"/>
  <c r="X2224" i="1"/>
  <c r="Y2224" i="1" s="1"/>
  <c r="X2256" i="1"/>
  <c r="Y2256" i="1" s="1"/>
  <c r="X2288" i="1"/>
  <c r="Y2288" i="1" s="1"/>
  <c r="X2320" i="1"/>
  <c r="Y2320" i="1" s="1"/>
  <c r="X2352" i="1"/>
  <c r="Y2352" i="1" s="1"/>
  <c r="X2384" i="1"/>
  <c r="Y2384" i="1" s="1"/>
  <c r="X2416" i="1"/>
  <c r="Y2416" i="1" s="1"/>
  <c r="X2448" i="1"/>
  <c r="Y2448" i="1" s="1"/>
  <c r="X2480" i="1"/>
  <c r="Y2480" i="1" s="1"/>
  <c r="X2512" i="1"/>
  <c r="Y2512" i="1" s="1"/>
  <c r="X2544" i="1"/>
  <c r="Y2544" i="1" s="1"/>
  <c r="X2576" i="1"/>
  <c r="Y2576" i="1" s="1"/>
  <c r="X2608" i="1"/>
  <c r="Y2608" i="1" s="1"/>
  <c r="X2640" i="1"/>
  <c r="Y2640" i="1" s="1"/>
  <c r="X2672" i="1"/>
  <c r="Y2672" i="1" s="1"/>
  <c r="X2704" i="1"/>
  <c r="Y2704" i="1" s="1"/>
  <c r="X2736" i="1"/>
  <c r="Y2736" i="1" s="1"/>
  <c r="X2768" i="1"/>
  <c r="Y2768" i="1" s="1"/>
  <c r="X2800" i="1"/>
  <c r="Y2800" i="1" s="1"/>
  <c r="X2832" i="1"/>
  <c r="Y2832" i="1" s="1"/>
  <c r="X2864" i="1"/>
  <c r="Y2864" i="1" s="1"/>
  <c r="X2896" i="1"/>
  <c r="Y2896" i="1" s="1"/>
  <c r="X2928" i="1"/>
  <c r="Y2928" i="1" s="1"/>
  <c r="X2960" i="1"/>
  <c r="Y2960" i="1" s="1"/>
  <c r="X2992" i="1"/>
  <c r="Y2992" i="1" s="1"/>
  <c r="X3024" i="1"/>
  <c r="Y3024" i="1" s="1"/>
  <c r="X3056" i="1"/>
  <c r="Y3056" i="1" s="1"/>
  <c r="X3088" i="1"/>
  <c r="Y3088" i="1" s="1"/>
  <c r="X3120" i="1"/>
  <c r="Y3120" i="1" s="1"/>
  <c r="X3152" i="1"/>
  <c r="Y3152" i="1" s="1"/>
  <c r="X3184" i="1"/>
  <c r="Y3184" i="1" s="1"/>
  <c r="X3216" i="1"/>
  <c r="Y3216" i="1" s="1"/>
  <c r="X3248" i="1"/>
  <c r="Y3248" i="1" s="1"/>
  <c r="X6" i="1"/>
  <c r="Y6" i="1" s="1"/>
  <c r="X10" i="1"/>
  <c r="Y10" i="1" s="1"/>
  <c r="X14" i="1"/>
  <c r="Y14" i="1" s="1"/>
  <c r="X18" i="1"/>
  <c r="Y18" i="1" s="1"/>
  <c r="X22" i="1"/>
  <c r="Y22" i="1" s="1"/>
  <c r="X26" i="1"/>
  <c r="Y26" i="1" s="1"/>
  <c r="X30" i="1"/>
  <c r="Y30" i="1" s="1"/>
  <c r="X35" i="1"/>
  <c r="Y35" i="1" s="1"/>
  <c r="X39" i="1"/>
  <c r="Y39" i="1" s="1"/>
  <c r="X43" i="1"/>
  <c r="Y43" i="1" s="1"/>
  <c r="X47" i="1"/>
  <c r="Y47" i="1" s="1"/>
  <c r="X51" i="1"/>
  <c r="Y51" i="1" s="1"/>
  <c r="X55" i="1"/>
  <c r="Y55" i="1" s="1"/>
  <c r="X59" i="1"/>
  <c r="Y59" i="1" s="1"/>
  <c r="X63" i="1"/>
  <c r="Y63" i="1" s="1"/>
  <c r="X68" i="1"/>
  <c r="Y68" i="1" s="1"/>
  <c r="X72" i="1"/>
  <c r="Y72" i="1" s="1"/>
  <c r="X76" i="1"/>
  <c r="Y76" i="1" s="1"/>
  <c r="X80" i="1"/>
  <c r="Y80" i="1" s="1"/>
  <c r="X84" i="1"/>
  <c r="Y84" i="1" s="1"/>
  <c r="X88" i="1"/>
  <c r="Y88" i="1" s="1"/>
  <c r="X92" i="1"/>
  <c r="Y92" i="1" s="1"/>
  <c r="X96" i="1"/>
  <c r="Y96" i="1" s="1"/>
  <c r="X101" i="1"/>
  <c r="Y101" i="1" s="1"/>
  <c r="X105" i="1"/>
  <c r="Y105" i="1" s="1"/>
  <c r="X109" i="1"/>
  <c r="Y109" i="1" s="1"/>
  <c r="X113" i="1"/>
  <c r="Y113" i="1" s="1"/>
  <c r="X117" i="1"/>
  <c r="Y117" i="1" s="1"/>
  <c r="X121" i="1"/>
  <c r="Y121" i="1" s="1"/>
  <c r="X125" i="1"/>
  <c r="Y125" i="1" s="1"/>
  <c r="X129" i="1"/>
  <c r="Y129" i="1" s="1"/>
  <c r="X134" i="1"/>
  <c r="Y134" i="1" s="1"/>
  <c r="X138" i="1"/>
  <c r="Y138" i="1" s="1"/>
  <c r="X142" i="1"/>
  <c r="Y142" i="1" s="1"/>
  <c r="X146" i="1"/>
  <c r="Y146" i="1" s="1"/>
  <c r="X150" i="1"/>
  <c r="Y150" i="1" s="1"/>
  <c r="X154" i="1"/>
  <c r="Y154" i="1" s="1"/>
  <c r="X158" i="1"/>
  <c r="Y158" i="1" s="1"/>
  <c r="X163" i="1"/>
  <c r="Y163" i="1" s="1"/>
  <c r="X167" i="1"/>
  <c r="Y167" i="1" s="1"/>
  <c r="X171" i="1"/>
  <c r="Y171" i="1" s="1"/>
  <c r="X175" i="1"/>
  <c r="Y175" i="1" s="1"/>
  <c r="X179" i="1"/>
  <c r="Y179" i="1" s="1"/>
  <c r="X184" i="1"/>
  <c r="Y184" i="1" s="1"/>
  <c r="X188" i="1"/>
  <c r="Y188" i="1" s="1"/>
  <c r="X192" i="1"/>
  <c r="Y192" i="1" s="1"/>
  <c r="X196" i="1"/>
  <c r="Y196" i="1" s="1"/>
  <c r="X201" i="1"/>
  <c r="Y201" i="1" s="1"/>
  <c r="X205" i="1"/>
  <c r="Y205" i="1" s="1"/>
  <c r="X209" i="1"/>
  <c r="Y209" i="1" s="1"/>
  <c r="X213" i="1"/>
  <c r="Y213" i="1" s="1"/>
  <c r="X218" i="1"/>
  <c r="Y218" i="1" s="1"/>
  <c r="X222" i="1"/>
  <c r="Y222" i="1" s="1"/>
  <c r="X226" i="1"/>
  <c r="Y226" i="1" s="1"/>
  <c r="X230" i="1"/>
  <c r="Y230" i="1" s="1"/>
  <c r="X235" i="1"/>
  <c r="Y235" i="1" s="1"/>
  <c r="X239" i="1"/>
  <c r="Y239" i="1" s="1"/>
  <c r="X243" i="1"/>
  <c r="Y243" i="1" s="1"/>
  <c r="X248" i="1"/>
  <c r="Y248" i="1" s="1"/>
  <c r="X252" i="1"/>
  <c r="Y252" i="1" s="1"/>
  <c r="X256" i="1"/>
  <c r="Y256" i="1" s="1"/>
  <c r="X260" i="1"/>
  <c r="Y260" i="1" s="1"/>
  <c r="X265" i="1"/>
  <c r="Y265" i="1" s="1"/>
  <c r="X269" i="1"/>
  <c r="Y269" i="1" s="1"/>
  <c r="X273" i="1"/>
  <c r="Y273" i="1" s="1"/>
  <c r="X277" i="1"/>
  <c r="Y277" i="1" s="1"/>
  <c r="X282" i="1"/>
  <c r="Y282" i="1" s="1"/>
  <c r="X286" i="1"/>
  <c r="Y286" i="1" s="1"/>
  <c r="X290" i="1"/>
  <c r="Y290" i="1" s="1"/>
  <c r="X294" i="1"/>
  <c r="Y294" i="1" s="1"/>
  <c r="X299" i="1"/>
  <c r="Y299" i="1" s="1"/>
  <c r="X303" i="1"/>
  <c r="Y303" i="1" s="1"/>
  <c r="X307" i="1"/>
  <c r="Y307" i="1" s="1"/>
  <c r="X312" i="1"/>
  <c r="Y312" i="1" s="1"/>
  <c r="X316" i="1"/>
  <c r="Y316" i="1" s="1"/>
  <c r="X320" i="1"/>
  <c r="Y320" i="1" s="1"/>
  <c r="X324" i="1"/>
  <c r="Y324" i="1" s="1"/>
  <c r="X329" i="1"/>
  <c r="Y329" i="1" s="1"/>
  <c r="X333" i="1"/>
  <c r="Y333" i="1" s="1"/>
  <c r="X337" i="1"/>
  <c r="Y337" i="1" s="1"/>
  <c r="X341" i="1"/>
  <c r="Y341" i="1" s="1"/>
  <c r="X346" i="1"/>
  <c r="Y346" i="1" s="1"/>
  <c r="X350" i="1"/>
  <c r="Y350" i="1" s="1"/>
  <c r="X354" i="1"/>
  <c r="Y354" i="1" s="1"/>
  <c r="X358" i="1"/>
  <c r="Y358" i="1" s="1"/>
  <c r="X363" i="1"/>
  <c r="Y363" i="1" s="1"/>
  <c r="X367" i="1"/>
  <c r="Y367" i="1" s="1"/>
  <c r="X371" i="1"/>
  <c r="Y371" i="1" s="1"/>
  <c r="X376" i="1"/>
  <c r="Y376" i="1" s="1"/>
  <c r="X380" i="1"/>
  <c r="Y380" i="1" s="1"/>
  <c r="X384" i="1"/>
  <c r="Y384" i="1" s="1"/>
  <c r="X388" i="1"/>
  <c r="Y388" i="1" s="1"/>
  <c r="X393" i="1"/>
  <c r="Y393" i="1" s="1"/>
  <c r="X397" i="1"/>
  <c r="Y397" i="1" s="1"/>
  <c r="X401" i="1"/>
  <c r="Y401" i="1" s="1"/>
  <c r="X405" i="1"/>
  <c r="Y405" i="1" s="1"/>
  <c r="X410" i="1"/>
  <c r="Y410" i="1" s="1"/>
  <c r="X414" i="1"/>
  <c r="Y414" i="1" s="1"/>
  <c r="X418" i="1"/>
  <c r="Y418" i="1" s="1"/>
  <c r="X422" i="1"/>
  <c r="Y422" i="1" s="1"/>
  <c r="X427" i="1"/>
  <c r="Y427" i="1" s="1"/>
  <c r="X431" i="1"/>
  <c r="Y431" i="1" s="1"/>
  <c r="X436" i="1"/>
  <c r="Y436" i="1" s="1"/>
  <c r="X440" i="1"/>
  <c r="Y440" i="1" s="1"/>
  <c r="X445" i="1"/>
  <c r="Y445" i="1" s="1"/>
  <c r="X450" i="1"/>
  <c r="Y450" i="1" s="1"/>
  <c r="X454" i="1"/>
  <c r="Y454" i="1" s="1"/>
  <c r="X459" i="1"/>
  <c r="Y459" i="1" s="1"/>
  <c r="X463" i="1"/>
  <c r="Y463" i="1" s="1"/>
  <c r="X468" i="1"/>
  <c r="Y468" i="1" s="1"/>
  <c r="X472" i="1"/>
  <c r="Y472" i="1" s="1"/>
  <c r="X477" i="1"/>
  <c r="Y477" i="1" s="1"/>
  <c r="X482" i="1"/>
  <c r="Y482" i="1" s="1"/>
  <c r="X486" i="1"/>
  <c r="Y486" i="1" s="1"/>
  <c r="X491" i="1"/>
  <c r="Y491" i="1" s="1"/>
  <c r="X495" i="1"/>
  <c r="Y495" i="1" s="1"/>
  <c r="X500" i="1"/>
  <c r="Y500" i="1" s="1"/>
  <c r="X504" i="1"/>
  <c r="Y504" i="1" s="1"/>
  <c r="X509" i="1"/>
  <c r="Y509" i="1" s="1"/>
  <c r="X514" i="1"/>
  <c r="Y514" i="1" s="1"/>
  <c r="X518" i="1"/>
  <c r="Y518" i="1" s="1"/>
  <c r="X523" i="1"/>
  <c r="Y523" i="1" s="1"/>
  <c r="X527" i="1"/>
  <c r="Y527" i="1" s="1"/>
  <c r="X532" i="1"/>
  <c r="Y532" i="1" s="1"/>
  <c r="X536" i="1"/>
  <c r="Y536" i="1" s="1"/>
  <c r="X541" i="1"/>
  <c r="Y541" i="1" s="1"/>
  <c r="X546" i="1"/>
  <c r="Y546" i="1" s="1"/>
  <c r="X550" i="1"/>
  <c r="Y550" i="1" s="1"/>
  <c r="X555" i="1"/>
  <c r="Y555" i="1" s="1"/>
  <c r="X559" i="1"/>
  <c r="Y559" i="1" s="1"/>
  <c r="X564" i="1"/>
  <c r="Y564" i="1" s="1"/>
  <c r="X568" i="1"/>
  <c r="Y568" i="1" s="1"/>
  <c r="X573" i="1"/>
  <c r="Y573" i="1" s="1"/>
  <c r="X578" i="1"/>
  <c r="Y578" i="1" s="1"/>
  <c r="X582" i="1"/>
  <c r="Y582" i="1" s="1"/>
  <c r="X587" i="1"/>
  <c r="Y587" i="1" s="1"/>
  <c r="X591" i="1"/>
  <c r="Y591" i="1" s="1"/>
  <c r="X596" i="1"/>
  <c r="Y596" i="1" s="1"/>
  <c r="X600" i="1"/>
  <c r="Y600" i="1" s="1"/>
  <c r="X605" i="1"/>
  <c r="Y605" i="1" s="1"/>
  <c r="X610" i="1"/>
  <c r="Y610" i="1" s="1"/>
  <c r="X614" i="1"/>
  <c r="Y614" i="1" s="1"/>
  <c r="X619" i="1"/>
  <c r="Y619" i="1" s="1"/>
  <c r="X623" i="1"/>
  <c r="Y623" i="1" s="1"/>
  <c r="X628" i="1"/>
  <c r="Y628" i="1" s="1"/>
  <c r="X632" i="1"/>
  <c r="Y632" i="1" s="1"/>
  <c r="X637" i="1"/>
  <c r="Y637" i="1" s="1"/>
  <c r="X642" i="1"/>
  <c r="Y642" i="1" s="1"/>
  <c r="X646" i="1"/>
  <c r="Y646" i="1" s="1"/>
  <c r="X651" i="1"/>
  <c r="Y651" i="1" s="1"/>
  <c r="X655" i="1"/>
  <c r="Y655" i="1" s="1"/>
  <c r="X660" i="1"/>
  <c r="Y660" i="1" s="1"/>
  <c r="X664" i="1"/>
  <c r="Y664" i="1" s="1"/>
  <c r="X669" i="1"/>
  <c r="Y669" i="1" s="1"/>
  <c r="X674" i="1"/>
  <c r="Y674" i="1" s="1"/>
  <c r="X678" i="1"/>
  <c r="Y678" i="1" s="1"/>
  <c r="X683" i="1"/>
  <c r="Y683" i="1" s="1"/>
  <c r="X687" i="1"/>
  <c r="Y687" i="1" s="1"/>
  <c r="X692" i="1"/>
  <c r="Y692" i="1" s="1"/>
  <c r="X696" i="1"/>
  <c r="Y696" i="1" s="1"/>
  <c r="X701" i="1"/>
  <c r="Y701" i="1" s="1"/>
  <c r="X706" i="1"/>
  <c r="Y706" i="1" s="1"/>
  <c r="X710" i="1"/>
  <c r="Y710" i="1" s="1"/>
  <c r="X715" i="1"/>
  <c r="Y715" i="1" s="1"/>
  <c r="X719" i="1"/>
  <c r="Y719" i="1" s="1"/>
  <c r="X724" i="1"/>
  <c r="Y724" i="1" s="1"/>
  <c r="X728" i="1"/>
  <c r="Y728" i="1" s="1"/>
  <c r="X733" i="1"/>
  <c r="Y733" i="1" s="1"/>
  <c r="X738" i="1"/>
  <c r="Y738" i="1" s="1"/>
  <c r="X742" i="1"/>
  <c r="Y742" i="1" s="1"/>
  <c r="X747" i="1"/>
  <c r="Y747" i="1" s="1"/>
  <c r="X751" i="1"/>
  <c r="Y751" i="1" s="1"/>
  <c r="X756" i="1"/>
  <c r="Y756" i="1" s="1"/>
  <c r="X760" i="1"/>
  <c r="Y760" i="1" s="1"/>
  <c r="X765" i="1"/>
  <c r="Y765" i="1" s="1"/>
  <c r="X770" i="1"/>
  <c r="Y770" i="1" s="1"/>
  <c r="X774" i="1"/>
  <c r="Y774" i="1" s="1"/>
  <c r="X779" i="1"/>
  <c r="Y779" i="1" s="1"/>
  <c r="X783" i="1"/>
  <c r="Y783" i="1" s="1"/>
  <c r="X788" i="1"/>
  <c r="Y788" i="1" s="1"/>
  <c r="X792" i="1"/>
  <c r="Y792" i="1" s="1"/>
  <c r="X797" i="1"/>
  <c r="Y797" i="1" s="1"/>
  <c r="X802" i="1"/>
  <c r="Y802" i="1" s="1"/>
  <c r="X806" i="1"/>
  <c r="Y806" i="1" s="1"/>
  <c r="X811" i="1"/>
  <c r="Y811" i="1" s="1"/>
  <c r="X815" i="1"/>
  <c r="Y815" i="1" s="1"/>
  <c r="X820" i="1"/>
  <c r="Y820" i="1" s="1"/>
  <c r="X824" i="1"/>
  <c r="Y824" i="1" s="1"/>
  <c r="X829" i="1"/>
  <c r="Y829" i="1" s="1"/>
  <c r="X834" i="1"/>
  <c r="Y834" i="1" s="1"/>
  <c r="X838" i="1"/>
  <c r="Y838" i="1" s="1"/>
  <c r="X843" i="1"/>
  <c r="Y843" i="1" s="1"/>
  <c r="X847" i="1"/>
  <c r="Y847" i="1" s="1"/>
  <c r="X852" i="1"/>
  <c r="Y852" i="1" s="1"/>
  <c r="X856" i="1"/>
  <c r="Y856" i="1" s="1"/>
  <c r="X861" i="1"/>
  <c r="Y861" i="1" s="1"/>
  <c r="X866" i="1"/>
  <c r="Y866" i="1" s="1"/>
  <c r="X870" i="1"/>
  <c r="Y870" i="1" s="1"/>
  <c r="X875" i="1"/>
  <c r="Y875" i="1" s="1"/>
  <c r="X879" i="1"/>
  <c r="Y879" i="1" s="1"/>
  <c r="X884" i="1"/>
  <c r="Y884" i="1" s="1"/>
  <c r="X888" i="1"/>
  <c r="Y888" i="1" s="1"/>
  <c r="X893" i="1"/>
  <c r="Y893" i="1" s="1"/>
  <c r="X898" i="1"/>
  <c r="Y898" i="1" s="1"/>
  <c r="X902" i="1"/>
  <c r="Y902" i="1" s="1"/>
  <c r="X907" i="1"/>
  <c r="Y907" i="1" s="1"/>
  <c r="X911" i="1"/>
  <c r="Y911" i="1" s="1"/>
  <c r="X916" i="1"/>
  <c r="Y916" i="1" s="1"/>
  <c r="X920" i="1"/>
  <c r="Y920" i="1" s="1"/>
  <c r="X925" i="1"/>
  <c r="Y925" i="1" s="1"/>
  <c r="X930" i="1"/>
  <c r="Y930" i="1" s="1"/>
  <c r="X934" i="1"/>
  <c r="Y934" i="1" s="1"/>
  <c r="X939" i="1"/>
  <c r="Y939" i="1" s="1"/>
  <c r="X944" i="1"/>
  <c r="Y944" i="1" s="1"/>
  <c r="X949" i="1"/>
  <c r="Y949" i="1" s="1"/>
  <c r="X955" i="1"/>
  <c r="Y955" i="1" s="1"/>
  <c r="X960" i="1"/>
  <c r="Y960" i="1" s="1"/>
  <c r="X965" i="1"/>
  <c r="Y965" i="1" s="1"/>
  <c r="X971" i="1"/>
  <c r="Y971" i="1" s="1"/>
  <c r="X976" i="1"/>
  <c r="Y976" i="1" s="1"/>
  <c r="X981" i="1"/>
  <c r="Y981" i="1" s="1"/>
  <c r="X987" i="1"/>
  <c r="Y987" i="1" s="1"/>
  <c r="X992" i="1"/>
  <c r="Y992" i="1" s="1"/>
  <c r="X997" i="1"/>
  <c r="Y997" i="1" s="1"/>
  <c r="X1003" i="1"/>
  <c r="Y1003" i="1" s="1"/>
  <c r="X1008" i="1"/>
  <c r="Y1008" i="1" s="1"/>
  <c r="X1013" i="1"/>
  <c r="Y1013" i="1" s="1"/>
  <c r="X1019" i="1"/>
  <c r="Y1019" i="1" s="1"/>
  <c r="X1024" i="1"/>
  <c r="Y1024" i="1" s="1"/>
  <c r="X1029" i="1"/>
  <c r="Y1029" i="1" s="1"/>
  <c r="X1035" i="1"/>
  <c r="Y1035" i="1" s="1"/>
  <c r="X1040" i="1"/>
  <c r="Y1040" i="1" s="1"/>
  <c r="X1045" i="1"/>
  <c r="Y1045" i="1" s="1"/>
  <c r="X1051" i="1"/>
  <c r="Y1051" i="1" s="1"/>
  <c r="X1056" i="1"/>
  <c r="Y1056" i="1" s="1"/>
  <c r="X1061" i="1"/>
  <c r="Y1061" i="1" s="1"/>
  <c r="X1067" i="1"/>
  <c r="Y1067" i="1" s="1"/>
  <c r="X1072" i="1"/>
  <c r="Y1072" i="1" s="1"/>
  <c r="X1077" i="1"/>
  <c r="Y1077" i="1" s="1"/>
  <c r="X1083" i="1"/>
  <c r="Y1083" i="1" s="1"/>
  <c r="X1088" i="1"/>
  <c r="Y1088" i="1" s="1"/>
  <c r="X1093" i="1"/>
  <c r="Y1093" i="1" s="1"/>
  <c r="X1099" i="1"/>
  <c r="Y1099" i="1" s="1"/>
  <c r="X1104" i="1"/>
  <c r="Y1104" i="1" s="1"/>
  <c r="X1109" i="1"/>
  <c r="Y1109" i="1" s="1"/>
  <c r="X1115" i="1"/>
  <c r="Y1115" i="1" s="1"/>
  <c r="X1120" i="1"/>
  <c r="Y1120" i="1" s="1"/>
  <c r="X1125" i="1"/>
  <c r="Y1125" i="1" s="1"/>
  <c r="X1131" i="1"/>
  <c r="Y1131" i="1" s="1"/>
  <c r="X1136" i="1"/>
  <c r="Y1136" i="1" s="1"/>
  <c r="X1141" i="1"/>
  <c r="Y1141" i="1" s="1"/>
  <c r="X1147" i="1"/>
  <c r="Y1147" i="1" s="1"/>
  <c r="X1152" i="1"/>
  <c r="Y1152" i="1" s="1"/>
  <c r="X1157" i="1"/>
  <c r="Y1157" i="1" s="1"/>
  <c r="X1163" i="1"/>
  <c r="Y1163" i="1" s="1"/>
  <c r="X1168" i="1"/>
  <c r="Y1168" i="1" s="1"/>
  <c r="X1173" i="1"/>
  <c r="Y1173" i="1" s="1"/>
  <c r="X1179" i="1"/>
  <c r="Y1179" i="1" s="1"/>
  <c r="X1184" i="1"/>
  <c r="Y1184" i="1" s="1"/>
  <c r="X1189" i="1"/>
  <c r="Y1189" i="1" s="1"/>
  <c r="X1195" i="1"/>
  <c r="Y1195" i="1" s="1"/>
  <c r="X1200" i="1"/>
  <c r="Y1200" i="1" s="1"/>
  <c r="X1205" i="1"/>
  <c r="Y1205" i="1" s="1"/>
  <c r="X1211" i="1"/>
  <c r="Y1211" i="1" s="1"/>
  <c r="X1216" i="1"/>
  <c r="Y1216" i="1" s="1"/>
  <c r="X1221" i="1"/>
  <c r="Y1221" i="1" s="1"/>
  <c r="X1227" i="1"/>
  <c r="Y1227" i="1" s="1"/>
  <c r="X1232" i="1"/>
  <c r="Y1232" i="1" s="1"/>
  <c r="X1237" i="1"/>
  <c r="Y1237" i="1" s="1"/>
  <c r="X1243" i="1"/>
  <c r="Y1243" i="1" s="1"/>
  <c r="X1248" i="1"/>
  <c r="Y1248" i="1" s="1"/>
  <c r="X1253" i="1"/>
  <c r="Y1253" i="1" s="1"/>
  <c r="X1259" i="1"/>
  <c r="Y1259" i="1" s="1"/>
  <c r="X1264" i="1"/>
  <c r="Y1264" i="1" s="1"/>
  <c r="X1269" i="1"/>
  <c r="Y1269" i="1" s="1"/>
  <c r="X1275" i="1"/>
  <c r="Y1275" i="1" s="1"/>
  <c r="X1280" i="1"/>
  <c r="Y1280" i="1" s="1"/>
  <c r="X1285" i="1"/>
  <c r="Y1285" i="1" s="1"/>
  <c r="X1291" i="1"/>
  <c r="Y1291" i="1" s="1"/>
  <c r="X1296" i="1"/>
  <c r="Y1296" i="1" s="1"/>
  <c r="X1301" i="1"/>
  <c r="Y1301" i="1" s="1"/>
  <c r="X1307" i="1"/>
  <c r="Y1307" i="1" s="1"/>
  <c r="X1312" i="1"/>
  <c r="Y1312" i="1" s="1"/>
  <c r="X1317" i="1"/>
  <c r="Y1317" i="1" s="1"/>
  <c r="X1323" i="1"/>
  <c r="Y1323" i="1" s="1"/>
  <c r="X1328" i="1"/>
  <c r="Y1328" i="1" s="1"/>
  <c r="X1333" i="1"/>
  <c r="Y1333" i="1" s="1"/>
  <c r="X1339" i="1"/>
  <c r="Y1339" i="1" s="1"/>
  <c r="X1344" i="1"/>
  <c r="Y1344" i="1" s="1"/>
  <c r="X1349" i="1"/>
  <c r="Y1349" i="1" s="1"/>
  <c r="X1355" i="1"/>
  <c r="Y1355" i="1" s="1"/>
  <c r="X1360" i="1"/>
  <c r="Y1360" i="1" s="1"/>
  <c r="X1365" i="1"/>
  <c r="Y1365" i="1" s="1"/>
  <c r="X1371" i="1"/>
  <c r="Y1371" i="1" s="1"/>
  <c r="X1376" i="1"/>
  <c r="Y1376" i="1" s="1"/>
  <c r="X1381" i="1"/>
  <c r="Y1381" i="1" s="1"/>
  <c r="X1387" i="1"/>
  <c r="Y1387" i="1" s="1"/>
  <c r="X1392" i="1"/>
  <c r="Y1392" i="1" s="1"/>
  <c r="X1397" i="1"/>
  <c r="Y1397" i="1" s="1"/>
  <c r="X1403" i="1"/>
  <c r="Y1403" i="1" s="1"/>
  <c r="X1408" i="1"/>
  <c r="Y1408" i="1" s="1"/>
  <c r="X1413" i="1"/>
  <c r="Y1413" i="1" s="1"/>
  <c r="X1419" i="1"/>
  <c r="Y1419" i="1" s="1"/>
  <c r="X1424" i="1"/>
  <c r="Y1424" i="1" s="1"/>
  <c r="X1429" i="1"/>
  <c r="Y1429" i="1" s="1"/>
  <c r="X1435" i="1"/>
  <c r="Y1435" i="1" s="1"/>
  <c r="X1440" i="1"/>
  <c r="Y1440" i="1" s="1"/>
  <c r="X1445" i="1"/>
  <c r="Y1445" i="1" s="1"/>
  <c r="X1451" i="1"/>
  <c r="Y1451" i="1" s="1"/>
  <c r="X1456" i="1"/>
  <c r="Y1456" i="1" s="1"/>
  <c r="X1461" i="1"/>
  <c r="Y1461" i="1" s="1"/>
  <c r="X1467" i="1"/>
  <c r="Y1467" i="1" s="1"/>
  <c r="X1472" i="1"/>
  <c r="Y1472" i="1" s="1"/>
  <c r="X1477" i="1"/>
  <c r="Y1477" i="1" s="1"/>
  <c r="X1483" i="1"/>
  <c r="Y1483" i="1" s="1"/>
  <c r="X1488" i="1"/>
  <c r="Y1488" i="1" s="1"/>
  <c r="X1493" i="1"/>
  <c r="Y1493" i="1" s="1"/>
  <c r="X1499" i="1"/>
  <c r="Y1499" i="1" s="1"/>
  <c r="X1504" i="1"/>
  <c r="Y1504" i="1" s="1"/>
  <c r="X1509" i="1"/>
  <c r="Y1509" i="1" s="1"/>
  <c r="X1515" i="1"/>
  <c r="Y1515" i="1" s="1"/>
  <c r="X1520" i="1"/>
  <c r="Y1520" i="1" s="1"/>
  <c r="X1525" i="1"/>
  <c r="Y1525" i="1" s="1"/>
  <c r="X1531" i="1"/>
  <c r="Y1531" i="1" s="1"/>
  <c r="X1536" i="1"/>
  <c r="Y1536" i="1" s="1"/>
  <c r="X1541" i="1"/>
  <c r="Y1541" i="1" s="1"/>
  <c r="X1547" i="1"/>
  <c r="Y1547" i="1" s="1"/>
  <c r="X1552" i="1"/>
  <c r="Y1552" i="1" s="1"/>
  <c r="X1557" i="1"/>
  <c r="Y1557" i="1" s="1"/>
  <c r="X1563" i="1"/>
  <c r="Y1563" i="1" s="1"/>
  <c r="X1568" i="1"/>
  <c r="Y1568" i="1" s="1"/>
  <c r="X1573" i="1"/>
  <c r="Y1573" i="1" s="1"/>
  <c r="X1579" i="1"/>
  <c r="Y1579" i="1" s="1"/>
  <c r="X1584" i="1"/>
  <c r="Y1584" i="1" s="1"/>
  <c r="X1589" i="1"/>
  <c r="Y1589" i="1" s="1"/>
  <c r="X1595" i="1"/>
  <c r="Y1595" i="1" s="1"/>
  <c r="X1600" i="1"/>
  <c r="Y1600" i="1" s="1"/>
  <c r="X1605" i="1"/>
  <c r="Y1605" i="1" s="1"/>
  <c r="X1611" i="1"/>
  <c r="Y1611" i="1" s="1"/>
  <c r="X1616" i="1"/>
  <c r="Y1616" i="1" s="1"/>
  <c r="X1621" i="1"/>
  <c r="Y1621" i="1" s="1"/>
  <c r="X1627" i="1"/>
  <c r="Y1627" i="1" s="1"/>
  <c r="X1632" i="1"/>
  <c r="Y1632" i="1" s="1"/>
  <c r="X1637" i="1"/>
  <c r="Y1637" i="1" s="1"/>
  <c r="X1643" i="1"/>
  <c r="Y1643" i="1" s="1"/>
  <c r="X1648" i="1"/>
  <c r="Y1648" i="1" s="1"/>
  <c r="X1653" i="1"/>
  <c r="Y1653" i="1" s="1"/>
  <c r="X1659" i="1"/>
  <c r="Y1659" i="1" s="1"/>
  <c r="X1664" i="1"/>
  <c r="Y1664" i="1" s="1"/>
  <c r="X1669" i="1"/>
  <c r="Y1669" i="1" s="1"/>
  <c r="X1675" i="1"/>
  <c r="Y1675" i="1" s="1"/>
  <c r="X1680" i="1"/>
  <c r="Y1680" i="1" s="1"/>
  <c r="X1685" i="1"/>
  <c r="Y1685" i="1" s="1"/>
  <c r="X1691" i="1"/>
  <c r="Y1691" i="1" s="1"/>
  <c r="X1696" i="1"/>
  <c r="Y1696" i="1" s="1"/>
  <c r="X1701" i="1"/>
  <c r="Y1701" i="1" s="1"/>
  <c r="X1707" i="1"/>
  <c r="Y1707" i="1" s="1"/>
  <c r="X1712" i="1"/>
  <c r="Y1712" i="1" s="1"/>
  <c r="X1717" i="1"/>
  <c r="Y1717" i="1" s="1"/>
  <c r="X1723" i="1"/>
  <c r="Y1723" i="1" s="1"/>
  <c r="X1728" i="1"/>
  <c r="Y1728" i="1" s="1"/>
  <c r="X1733" i="1"/>
  <c r="Y1733" i="1" s="1"/>
  <c r="X1739" i="1"/>
  <c r="Y1739" i="1" s="1"/>
  <c r="X1744" i="1"/>
  <c r="Y1744" i="1" s="1"/>
  <c r="X1749" i="1"/>
  <c r="Y1749" i="1" s="1"/>
  <c r="X1755" i="1"/>
  <c r="Y1755" i="1" s="1"/>
  <c r="X1760" i="1"/>
  <c r="Y1760" i="1" s="1"/>
  <c r="X1765" i="1"/>
  <c r="Y1765" i="1" s="1"/>
  <c r="X1771" i="1"/>
  <c r="Y1771" i="1" s="1"/>
  <c r="X1776" i="1"/>
  <c r="Y1776" i="1" s="1"/>
  <c r="X1781" i="1"/>
  <c r="Y1781" i="1" s="1"/>
  <c r="X1787" i="1"/>
  <c r="Y1787" i="1" s="1"/>
  <c r="X1792" i="1"/>
  <c r="Y1792" i="1" s="1"/>
  <c r="X1797" i="1"/>
  <c r="Y1797" i="1" s="1"/>
  <c r="X1803" i="1"/>
  <c r="Y1803" i="1" s="1"/>
  <c r="X1808" i="1"/>
  <c r="Y1808" i="1" s="1"/>
  <c r="X1813" i="1"/>
  <c r="Y1813" i="1" s="1"/>
  <c r="X1819" i="1"/>
  <c r="Y1819" i="1" s="1"/>
  <c r="X1824" i="1"/>
  <c r="Y1824" i="1" s="1"/>
  <c r="X1829" i="1"/>
  <c r="Y1829" i="1" s="1"/>
  <c r="X1835" i="1"/>
  <c r="Y1835" i="1" s="1"/>
  <c r="X1840" i="1"/>
  <c r="Y1840" i="1" s="1"/>
  <c r="X1845" i="1"/>
  <c r="Y1845" i="1" s="1"/>
  <c r="X1851" i="1"/>
  <c r="Y1851" i="1" s="1"/>
  <c r="X1856" i="1"/>
  <c r="Y1856" i="1" s="1"/>
  <c r="X1861" i="1"/>
  <c r="Y1861" i="1" s="1"/>
  <c r="X1867" i="1"/>
  <c r="Y1867" i="1" s="1"/>
  <c r="X1872" i="1"/>
  <c r="Y1872" i="1" s="1"/>
  <c r="X199" i="1"/>
  <c r="Y199" i="1" s="1"/>
  <c r="X327" i="1"/>
  <c r="Y327" i="1" s="1"/>
  <c r="X441" i="1"/>
  <c r="Y441" i="1" s="1"/>
  <c r="X505" i="1"/>
  <c r="Y505" i="1" s="1"/>
  <c r="X569" i="1"/>
  <c r="Y569" i="1" s="1"/>
  <c r="X633" i="1"/>
  <c r="Y633" i="1" s="1"/>
  <c r="X697" i="1"/>
  <c r="Y697" i="1" s="1"/>
  <c r="X761" i="1"/>
  <c r="Y761" i="1" s="1"/>
  <c r="X825" i="1"/>
  <c r="Y825" i="1" s="1"/>
  <c r="X889" i="1"/>
  <c r="Y889" i="1" s="1"/>
  <c r="X946" i="1"/>
  <c r="Y946" i="1" s="1"/>
  <c r="X978" i="1"/>
  <c r="Y978" i="1" s="1"/>
  <c r="X1010" i="1"/>
  <c r="Y1010" i="1" s="1"/>
  <c r="X1042" i="1"/>
  <c r="Y1042" i="1" s="1"/>
  <c r="X1074" i="1"/>
  <c r="Y1074" i="1" s="1"/>
  <c r="X1106" i="1"/>
  <c r="Y1106" i="1" s="1"/>
  <c r="X1138" i="1"/>
  <c r="Y1138" i="1" s="1"/>
  <c r="X1170" i="1"/>
  <c r="Y1170" i="1" s="1"/>
  <c r="X1202" i="1"/>
  <c r="Y1202" i="1" s="1"/>
  <c r="X1234" i="1"/>
  <c r="Y1234" i="1" s="1"/>
  <c r="X1266" i="1"/>
  <c r="Y1266" i="1" s="1"/>
  <c r="X1298" i="1"/>
  <c r="Y1298" i="1" s="1"/>
  <c r="X1330" i="1"/>
  <c r="Y1330" i="1" s="1"/>
  <c r="X1362" i="1"/>
  <c r="Y1362" i="1" s="1"/>
  <c r="X1394" i="1"/>
  <c r="Y1394" i="1" s="1"/>
  <c r="X1426" i="1"/>
  <c r="Y1426" i="1" s="1"/>
  <c r="X1458" i="1"/>
  <c r="Y1458" i="1" s="1"/>
  <c r="X1490" i="1"/>
  <c r="Y1490" i="1" s="1"/>
  <c r="X1522" i="1"/>
  <c r="Y1522" i="1" s="1"/>
  <c r="X1554" i="1"/>
  <c r="Y1554" i="1" s="1"/>
  <c r="X1586" i="1"/>
  <c r="Y1586" i="1" s="1"/>
  <c r="X1618" i="1"/>
  <c r="Y1618" i="1" s="1"/>
  <c r="X1650" i="1"/>
  <c r="Y1650" i="1" s="1"/>
  <c r="X1682" i="1"/>
  <c r="Y1682" i="1" s="1"/>
  <c r="X1714" i="1"/>
  <c r="Y1714" i="1" s="1"/>
  <c r="X1746" i="1"/>
  <c r="Y1746" i="1" s="1"/>
  <c r="X1778" i="1"/>
  <c r="Y1778" i="1" s="1"/>
  <c r="X1810" i="1"/>
  <c r="Y1810" i="1" s="1"/>
  <c r="X1842" i="1"/>
  <c r="Y1842" i="1" s="1"/>
  <c r="X1873" i="1"/>
  <c r="Y1873" i="1" s="1"/>
  <c r="X1877" i="1"/>
  <c r="Y1877" i="1" s="1"/>
  <c r="X1882" i="1"/>
  <c r="Y1882" i="1" s="1"/>
  <c r="X1887" i="1"/>
  <c r="Y1887" i="1" s="1"/>
  <c r="X1891" i="1"/>
  <c r="Y1891" i="1" s="1"/>
  <c r="X1896" i="1"/>
  <c r="Y1896" i="1" s="1"/>
  <c r="X1900" i="1"/>
  <c r="Y1900" i="1" s="1"/>
  <c r="X1905" i="1"/>
  <c r="Y1905" i="1" s="1"/>
  <c r="X1909" i="1"/>
  <c r="Y1909" i="1" s="1"/>
  <c r="X1914" i="1"/>
  <c r="Y1914" i="1" s="1"/>
  <c r="X1919" i="1"/>
  <c r="Y1919" i="1" s="1"/>
  <c r="X1923" i="1"/>
  <c r="Y1923" i="1" s="1"/>
  <c r="X1928" i="1"/>
  <c r="Y1928" i="1" s="1"/>
  <c r="X1932" i="1"/>
  <c r="Y1932" i="1" s="1"/>
  <c r="X1937" i="1"/>
  <c r="Y1937" i="1" s="1"/>
  <c r="X1941" i="1"/>
  <c r="Y1941" i="1" s="1"/>
  <c r="X1946" i="1"/>
  <c r="Y1946" i="1" s="1"/>
  <c r="X1951" i="1"/>
  <c r="Y1951" i="1" s="1"/>
  <c r="X1955" i="1"/>
  <c r="Y1955" i="1" s="1"/>
  <c r="X1960" i="1"/>
  <c r="Y1960" i="1" s="1"/>
  <c r="X1965" i="1"/>
  <c r="Y1965" i="1" s="1"/>
  <c r="X1970" i="1"/>
  <c r="Y1970" i="1" s="1"/>
  <c r="X1975" i="1"/>
  <c r="Y1975" i="1" s="1"/>
  <c r="X1981" i="1"/>
  <c r="Y1981" i="1" s="1"/>
  <c r="X1986" i="1"/>
  <c r="Y1986" i="1" s="1"/>
  <c r="X1991" i="1"/>
  <c r="Y1991" i="1" s="1"/>
  <c r="X1997" i="1"/>
  <c r="Y1997" i="1" s="1"/>
  <c r="X2002" i="1"/>
  <c r="Y2002" i="1" s="1"/>
  <c r="X2007" i="1"/>
  <c r="Y2007" i="1" s="1"/>
  <c r="X2013" i="1"/>
  <c r="Y2013" i="1" s="1"/>
  <c r="X2018" i="1"/>
  <c r="Y2018" i="1" s="1"/>
  <c r="X2023" i="1"/>
  <c r="Y2023" i="1" s="1"/>
  <c r="X2029" i="1"/>
  <c r="Y2029" i="1" s="1"/>
  <c r="X2034" i="1"/>
  <c r="Y2034" i="1" s="1"/>
  <c r="X2039" i="1"/>
  <c r="Y2039" i="1" s="1"/>
  <c r="X2045" i="1"/>
  <c r="Y2045" i="1" s="1"/>
  <c r="X2050" i="1"/>
  <c r="Y2050" i="1" s="1"/>
  <c r="X2055" i="1"/>
  <c r="Y2055" i="1" s="1"/>
  <c r="X2061" i="1"/>
  <c r="Y2061" i="1" s="1"/>
  <c r="X2066" i="1"/>
  <c r="Y2066" i="1" s="1"/>
  <c r="X2071" i="1"/>
  <c r="Y2071" i="1" s="1"/>
  <c r="X2077" i="1"/>
  <c r="Y2077" i="1" s="1"/>
  <c r="X2082" i="1"/>
  <c r="Y2082" i="1" s="1"/>
  <c r="X2087" i="1"/>
  <c r="Y2087" i="1" s="1"/>
  <c r="X2093" i="1"/>
  <c r="Y2093" i="1" s="1"/>
  <c r="X2098" i="1"/>
  <c r="Y2098" i="1" s="1"/>
  <c r="X2103" i="1"/>
  <c r="Y2103" i="1" s="1"/>
  <c r="X2109" i="1"/>
  <c r="Y2109" i="1" s="1"/>
  <c r="X2114" i="1"/>
  <c r="Y2114" i="1" s="1"/>
  <c r="X2119" i="1"/>
  <c r="Y2119" i="1" s="1"/>
  <c r="X2125" i="1"/>
  <c r="Y2125" i="1" s="1"/>
  <c r="X2130" i="1"/>
  <c r="Y2130" i="1" s="1"/>
  <c r="X2135" i="1"/>
  <c r="Y2135" i="1" s="1"/>
  <c r="X2141" i="1"/>
  <c r="Y2141" i="1" s="1"/>
  <c r="X2146" i="1"/>
  <c r="Y2146" i="1" s="1"/>
  <c r="X2151" i="1"/>
  <c r="Y2151" i="1" s="1"/>
  <c r="X2157" i="1"/>
  <c r="Y2157" i="1" s="1"/>
  <c r="X2162" i="1"/>
  <c r="Y2162" i="1" s="1"/>
  <c r="X2167" i="1"/>
  <c r="Y2167" i="1" s="1"/>
  <c r="X2173" i="1"/>
  <c r="Y2173" i="1" s="1"/>
  <c r="X2178" i="1"/>
  <c r="Y2178" i="1" s="1"/>
  <c r="X2183" i="1"/>
  <c r="Y2183" i="1" s="1"/>
  <c r="X2189" i="1"/>
  <c r="Y2189" i="1" s="1"/>
  <c r="X2194" i="1"/>
  <c r="Y2194" i="1" s="1"/>
  <c r="X2199" i="1"/>
  <c r="Y2199" i="1" s="1"/>
  <c r="X2205" i="1"/>
  <c r="Y2205" i="1" s="1"/>
  <c r="X2210" i="1"/>
  <c r="Y2210" i="1" s="1"/>
  <c r="X2215" i="1"/>
  <c r="Y2215" i="1" s="1"/>
  <c r="X2221" i="1"/>
  <c r="Y2221" i="1" s="1"/>
  <c r="X2226" i="1"/>
  <c r="Y2226" i="1" s="1"/>
  <c r="X2231" i="1"/>
  <c r="Y2231" i="1" s="1"/>
  <c r="X2237" i="1"/>
  <c r="Y2237" i="1" s="1"/>
  <c r="X2242" i="1"/>
  <c r="Y2242" i="1" s="1"/>
  <c r="X2247" i="1"/>
  <c r="Y2247" i="1" s="1"/>
  <c r="X2253" i="1"/>
  <c r="Y2253" i="1" s="1"/>
  <c r="X2258" i="1"/>
  <c r="Y2258" i="1" s="1"/>
  <c r="X2263" i="1"/>
  <c r="Y2263" i="1" s="1"/>
  <c r="X2269" i="1"/>
  <c r="Y2269" i="1" s="1"/>
  <c r="X2274" i="1"/>
  <c r="Y2274" i="1" s="1"/>
  <c r="X2279" i="1"/>
  <c r="Y2279" i="1" s="1"/>
  <c r="X2285" i="1"/>
  <c r="Y2285" i="1" s="1"/>
  <c r="X2290" i="1"/>
  <c r="Y2290" i="1" s="1"/>
  <c r="X2295" i="1"/>
  <c r="Y2295" i="1" s="1"/>
  <c r="X2301" i="1"/>
  <c r="Y2301" i="1" s="1"/>
  <c r="X2306" i="1"/>
  <c r="Y2306" i="1" s="1"/>
  <c r="X2311" i="1"/>
  <c r="Y2311" i="1" s="1"/>
  <c r="X2317" i="1"/>
  <c r="Y2317" i="1" s="1"/>
  <c r="X2322" i="1"/>
  <c r="Y2322" i="1" s="1"/>
  <c r="X2327" i="1"/>
  <c r="Y2327" i="1" s="1"/>
  <c r="X2333" i="1"/>
  <c r="Y2333" i="1" s="1"/>
  <c r="X2338" i="1"/>
  <c r="Y2338" i="1" s="1"/>
  <c r="X2343" i="1"/>
  <c r="Y2343" i="1" s="1"/>
  <c r="X2349" i="1"/>
  <c r="Y2349" i="1" s="1"/>
  <c r="X2354" i="1"/>
  <c r="Y2354" i="1" s="1"/>
  <c r="X2359" i="1"/>
  <c r="Y2359" i="1" s="1"/>
  <c r="X2365" i="1"/>
  <c r="Y2365" i="1" s="1"/>
  <c r="X2370" i="1"/>
  <c r="Y2370" i="1" s="1"/>
  <c r="X2375" i="1"/>
  <c r="Y2375" i="1" s="1"/>
  <c r="X2381" i="1"/>
  <c r="Y2381" i="1" s="1"/>
  <c r="X2386" i="1"/>
  <c r="Y2386" i="1" s="1"/>
  <c r="X2391" i="1"/>
  <c r="Y2391" i="1" s="1"/>
  <c r="X2397" i="1"/>
  <c r="Y2397" i="1" s="1"/>
  <c r="X2402" i="1"/>
  <c r="Y2402" i="1" s="1"/>
  <c r="X2407" i="1"/>
  <c r="Y2407" i="1" s="1"/>
  <c r="X2413" i="1"/>
  <c r="Y2413" i="1" s="1"/>
  <c r="X2418" i="1"/>
  <c r="Y2418" i="1" s="1"/>
  <c r="X2423" i="1"/>
  <c r="Y2423" i="1" s="1"/>
  <c r="X2429" i="1"/>
  <c r="Y2429" i="1" s="1"/>
  <c r="X2434" i="1"/>
  <c r="Y2434" i="1" s="1"/>
  <c r="X2439" i="1"/>
  <c r="Y2439" i="1" s="1"/>
  <c r="X2445" i="1"/>
  <c r="Y2445" i="1" s="1"/>
  <c r="X2450" i="1"/>
  <c r="Y2450" i="1" s="1"/>
  <c r="X2455" i="1"/>
  <c r="Y2455" i="1" s="1"/>
  <c r="X2461" i="1"/>
  <c r="Y2461" i="1" s="1"/>
  <c r="X2466" i="1"/>
  <c r="Y2466" i="1" s="1"/>
  <c r="X2471" i="1"/>
  <c r="Y2471" i="1" s="1"/>
  <c r="X2477" i="1"/>
  <c r="Y2477" i="1" s="1"/>
  <c r="X2482" i="1"/>
  <c r="Y2482" i="1" s="1"/>
  <c r="X2487" i="1"/>
  <c r="Y2487" i="1" s="1"/>
  <c r="X2493" i="1"/>
  <c r="Y2493" i="1" s="1"/>
  <c r="X2498" i="1"/>
  <c r="Y2498" i="1" s="1"/>
  <c r="X2503" i="1"/>
  <c r="Y2503" i="1" s="1"/>
  <c r="X2509" i="1"/>
  <c r="Y2509" i="1" s="1"/>
  <c r="X2514" i="1"/>
  <c r="Y2514" i="1" s="1"/>
  <c r="X2519" i="1"/>
  <c r="Y2519" i="1" s="1"/>
  <c r="X2525" i="1"/>
  <c r="Y2525" i="1" s="1"/>
  <c r="X2530" i="1"/>
  <c r="Y2530" i="1" s="1"/>
  <c r="X2535" i="1"/>
  <c r="Y2535" i="1" s="1"/>
  <c r="X2541" i="1"/>
  <c r="Y2541" i="1" s="1"/>
  <c r="X2546" i="1"/>
  <c r="Y2546" i="1" s="1"/>
  <c r="X2551" i="1"/>
  <c r="Y2551" i="1" s="1"/>
  <c r="X2557" i="1"/>
  <c r="Y2557" i="1" s="1"/>
  <c r="X2562" i="1"/>
  <c r="Y2562" i="1" s="1"/>
  <c r="X2567" i="1"/>
  <c r="Y2567" i="1" s="1"/>
  <c r="X2573" i="1"/>
  <c r="Y2573" i="1" s="1"/>
  <c r="X2578" i="1"/>
  <c r="Y2578" i="1" s="1"/>
  <c r="X2583" i="1"/>
  <c r="Y2583" i="1" s="1"/>
  <c r="X2589" i="1"/>
  <c r="Y2589" i="1" s="1"/>
  <c r="X2594" i="1"/>
  <c r="Y2594" i="1" s="1"/>
  <c r="X2599" i="1"/>
  <c r="Y2599" i="1" s="1"/>
  <c r="X2605" i="1"/>
  <c r="Y2605" i="1" s="1"/>
  <c r="X2610" i="1"/>
  <c r="Y2610" i="1" s="1"/>
  <c r="X2615" i="1"/>
  <c r="Y2615" i="1" s="1"/>
  <c r="X2621" i="1"/>
  <c r="Y2621" i="1" s="1"/>
  <c r="X2626" i="1"/>
  <c r="Y2626" i="1" s="1"/>
  <c r="X2631" i="1"/>
  <c r="Y2631" i="1" s="1"/>
  <c r="X2637" i="1"/>
  <c r="Y2637" i="1" s="1"/>
  <c r="X2642" i="1"/>
  <c r="Y2642" i="1" s="1"/>
  <c r="X2647" i="1"/>
  <c r="Y2647" i="1" s="1"/>
  <c r="X2653" i="1"/>
  <c r="Y2653" i="1" s="1"/>
  <c r="X2658" i="1"/>
  <c r="Y2658" i="1" s="1"/>
  <c r="X2663" i="1"/>
  <c r="Y2663" i="1" s="1"/>
  <c r="X2669" i="1"/>
  <c r="Y2669" i="1" s="1"/>
  <c r="X2674" i="1"/>
  <c r="Y2674" i="1" s="1"/>
  <c r="X2679" i="1"/>
  <c r="Y2679" i="1" s="1"/>
  <c r="X2685" i="1"/>
  <c r="Y2685" i="1" s="1"/>
  <c r="X2690" i="1"/>
  <c r="Y2690" i="1" s="1"/>
  <c r="X2695" i="1"/>
  <c r="Y2695" i="1" s="1"/>
  <c r="X2701" i="1"/>
  <c r="Y2701" i="1" s="1"/>
  <c r="X2706" i="1"/>
  <c r="Y2706" i="1" s="1"/>
  <c r="X2711" i="1"/>
  <c r="Y2711" i="1" s="1"/>
  <c r="X2717" i="1"/>
  <c r="Y2717" i="1" s="1"/>
  <c r="X2722" i="1"/>
  <c r="Y2722" i="1" s="1"/>
  <c r="X2727" i="1"/>
  <c r="Y2727" i="1" s="1"/>
  <c r="X2733" i="1"/>
  <c r="Y2733" i="1" s="1"/>
  <c r="X2738" i="1"/>
  <c r="Y2738" i="1" s="1"/>
  <c r="X2743" i="1"/>
  <c r="Y2743" i="1" s="1"/>
  <c r="X2749" i="1"/>
  <c r="Y2749" i="1" s="1"/>
  <c r="X2754" i="1"/>
  <c r="Y2754" i="1" s="1"/>
  <c r="X2759" i="1"/>
  <c r="Y2759" i="1" s="1"/>
  <c r="X2765" i="1"/>
  <c r="Y2765" i="1" s="1"/>
  <c r="X2770" i="1"/>
  <c r="Y2770" i="1" s="1"/>
  <c r="X2775" i="1"/>
  <c r="Y2775" i="1" s="1"/>
  <c r="X2781" i="1"/>
  <c r="Y2781" i="1" s="1"/>
  <c r="X2786" i="1"/>
  <c r="Y2786" i="1" s="1"/>
  <c r="X2791" i="1"/>
  <c r="Y2791" i="1" s="1"/>
  <c r="X2797" i="1"/>
  <c r="Y2797" i="1" s="1"/>
  <c r="X2802" i="1"/>
  <c r="Y2802" i="1" s="1"/>
  <c r="X2807" i="1"/>
  <c r="Y2807" i="1" s="1"/>
  <c r="X2813" i="1"/>
  <c r="Y2813" i="1" s="1"/>
  <c r="X2818" i="1"/>
  <c r="Y2818" i="1" s="1"/>
  <c r="X2823" i="1"/>
  <c r="Y2823" i="1" s="1"/>
  <c r="X2829" i="1"/>
  <c r="Y2829" i="1" s="1"/>
  <c r="X2834" i="1"/>
  <c r="Y2834" i="1" s="1"/>
  <c r="X2839" i="1"/>
  <c r="Y2839" i="1" s="1"/>
  <c r="X2845" i="1"/>
  <c r="Y2845" i="1" s="1"/>
  <c r="X2850" i="1"/>
  <c r="Y2850" i="1" s="1"/>
  <c r="X2855" i="1"/>
  <c r="Y2855" i="1" s="1"/>
  <c r="X2861" i="1"/>
  <c r="Y2861" i="1" s="1"/>
  <c r="X2866" i="1"/>
  <c r="Y2866" i="1" s="1"/>
  <c r="X2871" i="1"/>
  <c r="Y2871" i="1" s="1"/>
  <c r="X2877" i="1"/>
  <c r="Y2877" i="1" s="1"/>
  <c r="X2882" i="1"/>
  <c r="Y2882" i="1" s="1"/>
  <c r="X2887" i="1"/>
  <c r="Y2887" i="1" s="1"/>
  <c r="X2893" i="1"/>
  <c r="Y2893" i="1" s="1"/>
  <c r="X2898" i="1"/>
  <c r="Y2898" i="1" s="1"/>
  <c r="X2903" i="1"/>
  <c r="Y2903" i="1" s="1"/>
  <c r="X2909" i="1"/>
  <c r="Y2909" i="1" s="1"/>
  <c r="X2914" i="1"/>
  <c r="Y2914" i="1" s="1"/>
  <c r="X2919" i="1"/>
  <c r="Y2919" i="1" s="1"/>
  <c r="X2925" i="1"/>
  <c r="Y2925" i="1" s="1"/>
  <c r="X2930" i="1"/>
  <c r="Y2930" i="1" s="1"/>
  <c r="X2935" i="1"/>
  <c r="Y2935" i="1" s="1"/>
  <c r="X2941" i="1"/>
  <c r="Y2941" i="1" s="1"/>
  <c r="X2946" i="1"/>
  <c r="Y2946" i="1" s="1"/>
  <c r="X2951" i="1"/>
  <c r="Y2951" i="1" s="1"/>
  <c r="X2957" i="1"/>
  <c r="Y2957" i="1" s="1"/>
  <c r="X2962" i="1"/>
  <c r="Y2962" i="1" s="1"/>
  <c r="X2967" i="1"/>
  <c r="Y2967" i="1" s="1"/>
  <c r="X2973" i="1"/>
  <c r="Y2973" i="1" s="1"/>
  <c r="X2978" i="1"/>
  <c r="Y2978" i="1" s="1"/>
  <c r="X2983" i="1"/>
  <c r="Y2983" i="1" s="1"/>
  <c r="X2989" i="1"/>
  <c r="Y2989" i="1" s="1"/>
  <c r="X2994" i="1"/>
  <c r="Y2994" i="1" s="1"/>
  <c r="X2999" i="1"/>
  <c r="Y2999" i="1" s="1"/>
  <c r="X3005" i="1"/>
  <c r="Y3005" i="1" s="1"/>
  <c r="X3010" i="1"/>
  <c r="Y3010" i="1" s="1"/>
  <c r="X3015" i="1"/>
  <c r="Y3015" i="1" s="1"/>
  <c r="X3021" i="1"/>
  <c r="Y3021" i="1" s="1"/>
  <c r="X3026" i="1"/>
  <c r="Y3026" i="1" s="1"/>
  <c r="X3031" i="1"/>
  <c r="Y3031" i="1" s="1"/>
  <c r="X3037" i="1"/>
  <c r="Y3037" i="1" s="1"/>
  <c r="X3042" i="1"/>
  <c r="Y3042" i="1" s="1"/>
  <c r="X3047" i="1"/>
  <c r="Y3047" i="1" s="1"/>
  <c r="X3053" i="1"/>
  <c r="Y3053" i="1" s="1"/>
  <c r="X3058" i="1"/>
  <c r="Y3058" i="1" s="1"/>
  <c r="X3063" i="1"/>
  <c r="Y3063" i="1" s="1"/>
  <c r="X3069" i="1"/>
  <c r="Y3069" i="1" s="1"/>
  <c r="X3074" i="1"/>
  <c r="Y3074" i="1" s="1"/>
  <c r="X3079" i="1"/>
  <c r="Y3079" i="1" s="1"/>
  <c r="X3085" i="1"/>
  <c r="Y3085" i="1" s="1"/>
  <c r="X3090" i="1"/>
  <c r="Y3090" i="1" s="1"/>
  <c r="X3095" i="1"/>
  <c r="Y3095" i="1" s="1"/>
  <c r="X3101" i="1"/>
  <c r="Y3101" i="1" s="1"/>
  <c r="X3106" i="1"/>
  <c r="Y3106" i="1" s="1"/>
  <c r="X3111" i="1"/>
  <c r="Y3111" i="1" s="1"/>
  <c r="X3117" i="1"/>
  <c r="Y3117" i="1" s="1"/>
  <c r="X3122" i="1"/>
  <c r="Y3122" i="1" s="1"/>
  <c r="X3127" i="1"/>
  <c r="Y3127" i="1" s="1"/>
  <c r="X3133" i="1"/>
  <c r="Y3133" i="1" s="1"/>
  <c r="X3138" i="1"/>
  <c r="Y3138" i="1" s="1"/>
  <c r="X3143" i="1"/>
  <c r="Y3143" i="1" s="1"/>
  <c r="X3149" i="1"/>
  <c r="Y3149" i="1" s="1"/>
  <c r="X3154" i="1"/>
  <c r="Y3154" i="1" s="1"/>
  <c r="X3159" i="1"/>
  <c r="Y3159" i="1" s="1"/>
  <c r="X3165" i="1"/>
  <c r="Y3165" i="1" s="1"/>
  <c r="X3170" i="1"/>
  <c r="Y3170" i="1" s="1"/>
  <c r="X3175" i="1"/>
  <c r="Y3175" i="1" s="1"/>
  <c r="X3181" i="1"/>
  <c r="Y3181" i="1" s="1"/>
  <c r="X3186" i="1"/>
  <c r="Y3186" i="1" s="1"/>
  <c r="X3191" i="1"/>
  <c r="Y3191" i="1" s="1"/>
  <c r="X3197" i="1"/>
  <c r="Y3197" i="1" s="1"/>
  <c r="X3202" i="1"/>
  <c r="Y3202" i="1" s="1"/>
  <c r="X3207" i="1"/>
  <c r="Y3207" i="1" s="1"/>
  <c r="X3213" i="1"/>
  <c r="Y3213" i="1" s="1"/>
  <c r="X3218" i="1"/>
  <c r="Y3218" i="1" s="1"/>
  <c r="X3223" i="1"/>
  <c r="Y3223" i="1" s="1"/>
  <c r="X3229" i="1"/>
  <c r="Y3229" i="1" s="1"/>
  <c r="X3234" i="1"/>
  <c r="Y3234" i="1" s="1"/>
  <c r="X3239" i="1"/>
  <c r="Y3239" i="1" s="1"/>
  <c r="X3245" i="1"/>
  <c r="Y3245" i="1" s="1"/>
  <c r="X3250" i="1"/>
  <c r="Y3250" i="1" s="1"/>
  <c r="X3255" i="1"/>
  <c r="Y3255" i="1" s="1"/>
  <c r="X3261" i="1"/>
  <c r="Y3261" i="1" s="1"/>
  <c r="X3266" i="1"/>
  <c r="Y3266" i="1" s="1"/>
  <c r="X3271" i="1"/>
  <c r="Y3271" i="1" s="1"/>
  <c r="X3277" i="1"/>
  <c r="Y3277" i="1" s="1"/>
  <c r="X3282" i="1"/>
  <c r="Y3282" i="1" s="1"/>
  <c r="X3287" i="1"/>
  <c r="Y3287" i="1" s="1"/>
  <c r="X3293" i="1"/>
  <c r="Y3293" i="1" s="1"/>
  <c r="X3298" i="1"/>
  <c r="Y3298" i="1" s="1"/>
  <c r="X3303" i="1"/>
  <c r="Y3303" i="1" s="1"/>
  <c r="X3309" i="1"/>
  <c r="Y3309" i="1" s="1"/>
  <c r="X3314" i="1"/>
  <c r="Y3314" i="1" s="1"/>
  <c r="X3319" i="1"/>
  <c r="Y3319" i="1" s="1"/>
  <c r="X3325" i="1"/>
  <c r="Y3325" i="1" s="1"/>
  <c r="X3330" i="1"/>
  <c r="Y3330" i="1" s="1"/>
  <c r="X3335" i="1"/>
  <c r="Y3335" i="1" s="1"/>
  <c r="X3341" i="1"/>
  <c r="Y3341" i="1" s="1"/>
  <c r="X3346" i="1"/>
  <c r="Y3346" i="1" s="1"/>
  <c r="X3351" i="1"/>
  <c r="Y3351" i="1" s="1"/>
  <c r="X3357" i="1"/>
  <c r="Y3357" i="1" s="1"/>
  <c r="X3362" i="1"/>
  <c r="Y3362" i="1" s="1"/>
  <c r="X3367" i="1"/>
  <c r="Y3367" i="1" s="1"/>
  <c r="X3373" i="1"/>
  <c r="Y3373" i="1" s="1"/>
  <c r="X3378" i="1"/>
  <c r="Y3378" i="1" s="1"/>
  <c r="X3383" i="1"/>
  <c r="Y3383" i="1" s="1"/>
  <c r="X3389" i="1"/>
  <c r="Y3389" i="1" s="1"/>
  <c r="X3394" i="1"/>
  <c r="Y3394" i="1" s="1"/>
  <c r="X3399" i="1"/>
  <c r="Y3399" i="1" s="1"/>
  <c r="X3405" i="1"/>
  <c r="Y3405" i="1" s="1"/>
  <c r="X3410" i="1"/>
  <c r="Y3410" i="1" s="1"/>
  <c r="X3415" i="1"/>
  <c r="Y3415" i="1" s="1"/>
  <c r="X3421" i="1"/>
  <c r="Y3421" i="1" s="1"/>
  <c r="X3426" i="1"/>
  <c r="Y3426" i="1" s="1"/>
  <c r="X3431" i="1"/>
  <c r="Y3431" i="1" s="1"/>
  <c r="X3437" i="1"/>
  <c r="Y3437" i="1" s="1"/>
  <c r="X3442" i="1"/>
  <c r="Y3442" i="1" s="1"/>
  <c r="X3447" i="1"/>
  <c r="Y3447" i="1" s="1"/>
  <c r="X3453" i="1"/>
  <c r="Y3453" i="1" s="1"/>
  <c r="X3458" i="1"/>
  <c r="Y3458" i="1" s="1"/>
  <c r="X3463" i="1"/>
  <c r="Y3463" i="1" s="1"/>
  <c r="X3469" i="1"/>
  <c r="Y3469" i="1" s="1"/>
  <c r="X3474" i="1"/>
  <c r="Y3474" i="1" s="1"/>
  <c r="X3479" i="1"/>
  <c r="Y3479" i="1" s="1"/>
  <c r="X3485" i="1"/>
  <c r="Y3485" i="1" s="1"/>
  <c r="X3490" i="1"/>
  <c r="Y3490" i="1" s="1"/>
  <c r="X3495" i="1"/>
  <c r="Y3495" i="1" s="1"/>
  <c r="X3501" i="1"/>
  <c r="Y3501" i="1" s="1"/>
  <c r="X3506" i="1"/>
  <c r="Y3506" i="1" s="1"/>
  <c r="X3511" i="1"/>
  <c r="Y3511" i="1" s="1"/>
  <c r="X3517" i="1"/>
  <c r="Y3517" i="1" s="1"/>
  <c r="X3522" i="1"/>
  <c r="Y3522" i="1" s="1"/>
  <c r="X3527" i="1"/>
  <c r="Y3527" i="1" s="1"/>
  <c r="X3533" i="1"/>
  <c r="Y3533" i="1" s="1"/>
  <c r="X3538" i="1"/>
  <c r="Y3538" i="1" s="1"/>
  <c r="X3543" i="1"/>
  <c r="Y3543" i="1" s="1"/>
  <c r="X3549" i="1"/>
  <c r="Y3549" i="1" s="1"/>
  <c r="X3554" i="1"/>
  <c r="Y3554" i="1" s="1"/>
  <c r="X3559" i="1"/>
  <c r="Y3559" i="1" s="1"/>
  <c r="X3565" i="1"/>
  <c r="Y3565" i="1" s="1"/>
  <c r="X3570" i="1"/>
  <c r="Y3570" i="1" s="1"/>
  <c r="X3575" i="1"/>
  <c r="Y3575" i="1" s="1"/>
  <c r="X3581" i="1"/>
  <c r="Y3581" i="1" s="1"/>
  <c r="X3586" i="1"/>
  <c r="Y3586" i="1" s="1"/>
  <c r="X3591" i="1"/>
  <c r="Y3591" i="1" s="1"/>
  <c r="X3597" i="1"/>
  <c r="Y3597" i="1" s="1"/>
  <c r="X3602" i="1"/>
  <c r="Y3602" i="1" s="1"/>
  <c r="X3607" i="1"/>
  <c r="Y3607" i="1" s="1"/>
  <c r="X3613" i="1"/>
  <c r="Y3613" i="1" s="1"/>
  <c r="X3618" i="1"/>
  <c r="Y3618" i="1" s="1"/>
  <c r="X3623" i="1"/>
  <c r="Y3623" i="1" s="1"/>
  <c r="X3629" i="1"/>
  <c r="Y3629" i="1" s="1"/>
  <c r="X3634" i="1"/>
  <c r="Y3634" i="1" s="1"/>
  <c r="X3639" i="1"/>
  <c r="Y3639" i="1" s="1"/>
  <c r="X3645" i="1"/>
  <c r="Y3645" i="1" s="1"/>
  <c r="X3650" i="1"/>
  <c r="Y3650" i="1" s="1"/>
  <c r="X3655" i="1"/>
  <c r="Y3655" i="1" s="1"/>
  <c r="X3661" i="1"/>
  <c r="Y3661" i="1" s="1"/>
  <c r="X3666" i="1"/>
  <c r="Y3666" i="1" s="1"/>
  <c r="X3671" i="1"/>
  <c r="Y3671" i="1" s="1"/>
  <c r="X3677" i="1"/>
  <c r="Y3677" i="1" s="1"/>
  <c r="X3682" i="1"/>
  <c r="Y3682" i="1" s="1"/>
  <c r="X3687" i="1"/>
  <c r="Y3687" i="1" s="1"/>
  <c r="X3693" i="1"/>
  <c r="Y3693" i="1" s="1"/>
  <c r="X3698" i="1"/>
  <c r="Y3698" i="1" s="1"/>
  <c r="X3703" i="1"/>
  <c r="Y3703" i="1" s="1"/>
  <c r="X3709" i="1"/>
  <c r="Y3709" i="1" s="1"/>
  <c r="X3714" i="1"/>
  <c r="Y3714" i="1" s="1"/>
  <c r="X3719" i="1"/>
  <c r="Y3719" i="1" s="1"/>
  <c r="X3725" i="1"/>
  <c r="Y3725" i="1" s="1"/>
  <c r="X3730" i="1"/>
  <c r="Y3730" i="1" s="1"/>
  <c r="X3735" i="1"/>
  <c r="Y3735" i="1" s="1"/>
  <c r="X3741" i="1"/>
  <c r="Y3741" i="1" s="1"/>
  <c r="X3746" i="1"/>
  <c r="Y3746" i="1" s="1"/>
  <c r="X3751" i="1"/>
  <c r="Y3751" i="1" s="1"/>
  <c r="X3757" i="1"/>
  <c r="Y3757" i="1" s="1"/>
  <c r="X3762" i="1"/>
  <c r="Y3762" i="1" s="1"/>
  <c r="X3767" i="1"/>
  <c r="Y3767" i="1" s="1"/>
  <c r="X3773" i="1"/>
  <c r="Y3773" i="1" s="1"/>
  <c r="X3778" i="1"/>
  <c r="Y3778" i="1" s="1"/>
  <c r="X3783" i="1"/>
  <c r="Y3783" i="1" s="1"/>
  <c r="X3789" i="1"/>
  <c r="Y3789" i="1" s="1"/>
  <c r="X3794" i="1"/>
  <c r="Y3794" i="1" s="1"/>
  <c r="X3799" i="1"/>
  <c r="Y3799" i="1" s="1"/>
  <c r="X3805" i="1"/>
  <c r="Y3805" i="1" s="1"/>
  <c r="X3810" i="1"/>
  <c r="Y3810" i="1" s="1"/>
  <c r="X3815" i="1"/>
  <c r="Y3815" i="1" s="1"/>
  <c r="X3821" i="1"/>
  <c r="Y3821" i="1" s="1"/>
  <c r="X3826" i="1"/>
  <c r="Y3826" i="1" s="1"/>
  <c r="X3831" i="1"/>
  <c r="Y3831" i="1" s="1"/>
  <c r="X3837" i="1"/>
  <c r="Y3837" i="1" s="1"/>
  <c r="X3842" i="1"/>
  <c r="Y3842" i="1" s="1"/>
  <c r="X3847" i="1"/>
  <c r="Y3847" i="1" s="1"/>
  <c r="X3853" i="1"/>
  <c r="Y3853" i="1" s="1"/>
  <c r="X3858" i="1"/>
  <c r="Y3858" i="1" s="1"/>
  <c r="X3863" i="1"/>
  <c r="Y3863" i="1" s="1"/>
  <c r="X3869" i="1"/>
  <c r="Y3869" i="1" s="1"/>
  <c r="X3874" i="1"/>
  <c r="Y3874" i="1" s="1"/>
  <c r="X3879" i="1"/>
  <c r="Y3879" i="1" s="1"/>
  <c r="X3885" i="1"/>
  <c r="Y3885" i="1" s="1"/>
  <c r="X3890" i="1"/>
  <c r="Y3890" i="1" s="1"/>
  <c r="X3895" i="1"/>
  <c r="Y3895" i="1" s="1"/>
  <c r="X3901" i="1"/>
  <c r="Y3901" i="1" s="1"/>
  <c r="X3906" i="1"/>
  <c r="Y3906" i="1" s="1"/>
  <c r="X3911" i="1"/>
  <c r="Y3911" i="1" s="1"/>
  <c r="X3917" i="1"/>
  <c r="Y3917" i="1" s="1"/>
  <c r="X3922" i="1"/>
  <c r="Y3922" i="1" s="1"/>
  <c r="X3927" i="1"/>
  <c r="Y3927" i="1" s="1"/>
  <c r="X3933" i="1"/>
  <c r="Y3933" i="1" s="1"/>
  <c r="X3938" i="1"/>
  <c r="Y3938" i="1" s="1"/>
  <c r="X3943" i="1"/>
  <c r="Y3943" i="1" s="1"/>
  <c r="X3949" i="1"/>
  <c r="Y3949" i="1" s="1"/>
  <c r="X3954" i="1"/>
  <c r="Y3954" i="1" s="1"/>
  <c r="X3959" i="1"/>
  <c r="Y3959" i="1" s="1"/>
  <c r="X3965" i="1"/>
  <c r="Y3965" i="1" s="1"/>
  <c r="X3970" i="1"/>
  <c r="Y3970" i="1" s="1"/>
  <c r="X3975" i="1"/>
  <c r="Y3975" i="1" s="1"/>
  <c r="X3981" i="1"/>
  <c r="Y3981" i="1" s="1"/>
  <c r="X3986" i="1"/>
  <c r="Y3986" i="1" s="1"/>
  <c r="X3991" i="1"/>
  <c r="Y3991" i="1" s="1"/>
  <c r="X3997" i="1"/>
  <c r="Y3997" i="1" s="1"/>
  <c r="X4002" i="1"/>
  <c r="Y4002" i="1" s="1"/>
  <c r="X4007" i="1"/>
  <c r="Y4007" i="1" s="1"/>
  <c r="X4014" i="1"/>
  <c r="Y4014" i="1" s="1"/>
  <c r="X4022" i="1"/>
  <c r="Y4022" i="1" s="1"/>
  <c r="X4030" i="1"/>
  <c r="Y4030" i="1" s="1"/>
  <c r="X4038" i="1"/>
  <c r="Y4038" i="1" s="1"/>
  <c r="X4046" i="1"/>
  <c r="Y4046" i="1" s="1"/>
  <c r="X4054" i="1"/>
  <c r="Y4054" i="1" s="1"/>
  <c r="X4062" i="1"/>
  <c r="Y4062" i="1" s="1"/>
  <c r="X4070" i="1"/>
  <c r="Y4070" i="1" s="1"/>
  <c r="X4078" i="1"/>
  <c r="Y4078" i="1" s="1"/>
  <c r="X4086" i="1"/>
  <c r="Y4086" i="1" s="1"/>
  <c r="X4094" i="1"/>
  <c r="Y4094" i="1" s="1"/>
  <c r="X4102" i="1"/>
  <c r="Y4102" i="1" s="1"/>
  <c r="X4110" i="1"/>
  <c r="Y4110" i="1" s="1"/>
  <c r="X4118" i="1"/>
  <c r="Y4118" i="1" s="1"/>
  <c r="X4126" i="1"/>
  <c r="Y4126" i="1" s="1"/>
  <c r="X4134" i="1"/>
  <c r="Y4134" i="1" s="1"/>
  <c r="X4142" i="1"/>
  <c r="Y4142" i="1" s="1"/>
  <c r="X4150" i="1"/>
  <c r="Y4150" i="1" s="1"/>
  <c r="X4158" i="1"/>
  <c r="Y4158" i="1" s="1"/>
  <c r="X4166" i="1"/>
  <c r="Y4166" i="1" s="1"/>
  <c r="X4174" i="1"/>
  <c r="Y4174" i="1" s="1"/>
  <c r="X4182" i="1"/>
  <c r="Y4182" i="1" s="1"/>
  <c r="X4190" i="1"/>
  <c r="Y4190" i="1" s="1"/>
  <c r="X4198" i="1"/>
  <c r="Y4198" i="1" s="1"/>
  <c r="X4206" i="1"/>
  <c r="Y4206" i="1" s="1"/>
  <c r="X4214" i="1"/>
  <c r="Y4214" i="1" s="1"/>
  <c r="X4222" i="1"/>
  <c r="Y4222" i="1" s="1"/>
  <c r="X4230" i="1"/>
  <c r="Y4230" i="1" s="1"/>
  <c r="X4238" i="1"/>
  <c r="Y4238" i="1" s="1"/>
  <c r="X4246" i="1"/>
  <c r="Y4246" i="1" s="1"/>
  <c r="X4254" i="1"/>
  <c r="Y4254" i="1" s="1"/>
  <c r="X4262" i="1"/>
  <c r="Y4262" i="1" s="1"/>
  <c r="X4270" i="1"/>
  <c r="Y4270" i="1" s="1"/>
  <c r="X4278" i="1"/>
  <c r="Y4278" i="1" s="1"/>
  <c r="X4286" i="1"/>
  <c r="Y4286" i="1" s="1"/>
  <c r="X4294" i="1"/>
  <c r="Y4294" i="1" s="1"/>
  <c r="X4302" i="1"/>
  <c r="Y4302" i="1" s="1"/>
  <c r="X4310" i="1"/>
  <c r="Y4310" i="1" s="1"/>
  <c r="X4318" i="1"/>
  <c r="Y4318" i="1" s="1"/>
  <c r="X4326" i="1"/>
  <c r="Y4326" i="1" s="1"/>
  <c r="X4334" i="1"/>
  <c r="Y4334" i="1" s="1"/>
  <c r="X4342" i="1"/>
  <c r="Y4342" i="1" s="1"/>
  <c r="X4350" i="1"/>
  <c r="Y4350" i="1" s="1"/>
  <c r="X4358" i="1"/>
  <c r="Y4358" i="1" s="1"/>
  <c r="X4366" i="1"/>
  <c r="Y4366" i="1" s="1"/>
  <c r="X4374" i="1"/>
  <c r="Y4374" i="1" s="1"/>
  <c r="X4382" i="1"/>
  <c r="Y4382" i="1" s="1"/>
  <c r="X4390" i="1"/>
  <c r="Y4390" i="1" s="1"/>
  <c r="X4398" i="1"/>
  <c r="Y4398" i="1" s="1"/>
  <c r="X4406" i="1"/>
  <c r="Y4406" i="1" s="1"/>
  <c r="X4414" i="1"/>
  <c r="Y4414" i="1" s="1"/>
  <c r="X4422" i="1"/>
  <c r="Y4422" i="1" s="1"/>
  <c r="X4430" i="1"/>
  <c r="Y4430" i="1" s="1"/>
  <c r="X4438" i="1"/>
  <c r="Y4438" i="1" s="1"/>
  <c r="X4446" i="1"/>
  <c r="Y4446" i="1" s="1"/>
  <c r="X4454" i="1"/>
  <c r="Y4454" i="1" s="1"/>
  <c r="X4462" i="1"/>
  <c r="Y4462" i="1" s="1"/>
  <c r="X4470" i="1"/>
  <c r="Y4470" i="1" s="1"/>
  <c r="X4478" i="1"/>
  <c r="Y4478" i="1" s="1"/>
  <c r="X4486" i="1"/>
  <c r="Y4486" i="1" s="1"/>
  <c r="X4494" i="1"/>
  <c r="Y4494" i="1" s="1"/>
  <c r="X4502" i="1"/>
  <c r="Y4502" i="1" s="1"/>
  <c r="X4510" i="1"/>
  <c r="Y4510" i="1" s="1"/>
  <c r="X4518" i="1"/>
  <c r="Y4518" i="1" s="1"/>
  <c r="X4526" i="1"/>
  <c r="Y4526" i="1" s="1"/>
  <c r="X4534" i="1"/>
  <c r="Y4534" i="1" s="1"/>
  <c r="X4542" i="1"/>
  <c r="Y4542" i="1" s="1"/>
  <c r="X4550" i="1"/>
  <c r="Y4550" i="1" s="1"/>
  <c r="X4558" i="1"/>
  <c r="Y4558" i="1" s="1"/>
  <c r="X4566" i="1"/>
  <c r="Y4566" i="1" s="1"/>
  <c r="X4574" i="1"/>
  <c r="Y4574" i="1" s="1"/>
  <c r="X4582" i="1"/>
  <c r="Y4582" i="1" s="1"/>
  <c r="X4590" i="1"/>
  <c r="Y4590" i="1" s="1"/>
  <c r="X4598" i="1"/>
  <c r="Y4598" i="1" s="1"/>
  <c r="X4606" i="1"/>
  <c r="Y4606" i="1" s="1"/>
  <c r="X4614" i="1"/>
  <c r="Y4614" i="1" s="1"/>
  <c r="X4622" i="1"/>
  <c r="Y4622" i="1" s="1"/>
  <c r="X4630" i="1"/>
  <c r="Y4630" i="1" s="1"/>
  <c r="X4638" i="1"/>
  <c r="Y4638" i="1" s="1"/>
  <c r="X4646" i="1"/>
  <c r="Y4646" i="1" s="1"/>
  <c r="X4654" i="1"/>
  <c r="Y4654" i="1" s="1"/>
  <c r="X4662" i="1"/>
  <c r="Y4662" i="1" s="1"/>
  <c r="X4670" i="1"/>
  <c r="Y4670" i="1" s="1"/>
  <c r="X4678" i="1"/>
  <c r="Y4678" i="1" s="1"/>
  <c r="X4686" i="1"/>
  <c r="Y4686" i="1" s="1"/>
  <c r="X4694" i="1"/>
  <c r="Y4694" i="1" s="1"/>
  <c r="X4702" i="1"/>
  <c r="Y4702" i="1" s="1"/>
  <c r="X4710" i="1"/>
  <c r="Y4710" i="1" s="1"/>
  <c r="X4718" i="1"/>
  <c r="Y4718" i="1" s="1"/>
  <c r="X4726" i="1"/>
  <c r="Y4726" i="1" s="1"/>
  <c r="X4734" i="1"/>
  <c r="Y4734" i="1" s="1"/>
  <c r="X4742" i="1"/>
  <c r="Y4742" i="1" s="1"/>
  <c r="X4750" i="1"/>
  <c r="Y4750" i="1" s="1"/>
  <c r="X4758" i="1"/>
  <c r="Y4758" i="1" s="1"/>
  <c r="X4766" i="1"/>
  <c r="Y4766" i="1" s="1"/>
  <c r="X4774" i="1"/>
  <c r="Y4774" i="1" s="1"/>
  <c r="X4782" i="1"/>
  <c r="Y4782" i="1" s="1"/>
  <c r="X4790" i="1"/>
  <c r="Y4790" i="1" s="1"/>
  <c r="X4798" i="1"/>
  <c r="Y4798" i="1" s="1"/>
  <c r="X4806" i="1"/>
  <c r="Y4806" i="1" s="1"/>
  <c r="X4814" i="1"/>
  <c r="Y4814" i="1" s="1"/>
  <c r="X4822" i="1"/>
  <c r="Y4822" i="1" s="1"/>
  <c r="X4830" i="1"/>
  <c r="Y4830" i="1" s="1"/>
  <c r="X4838" i="1"/>
  <c r="Y4838" i="1" s="1"/>
  <c r="X4846" i="1"/>
  <c r="Y4846" i="1" s="1"/>
  <c r="X4854" i="1"/>
  <c r="Y4854" i="1" s="1"/>
  <c r="X4862" i="1"/>
  <c r="Y4862" i="1" s="1"/>
  <c r="X4870" i="1"/>
  <c r="Y4870" i="1" s="1"/>
  <c r="X4878" i="1"/>
  <c r="Y4878" i="1" s="1"/>
  <c r="X4886" i="1"/>
  <c r="Y4886" i="1" s="1"/>
  <c r="X4894" i="1"/>
  <c r="Y4894" i="1" s="1"/>
  <c r="X4902" i="1"/>
  <c r="Y4902" i="1" s="1"/>
  <c r="X4910" i="1"/>
  <c r="Y4910" i="1" s="1"/>
  <c r="X4918" i="1"/>
  <c r="Y4918" i="1" s="1"/>
  <c r="X4926" i="1"/>
  <c r="Y4926" i="1" s="1"/>
  <c r="X4934" i="1"/>
  <c r="Y4934" i="1" s="1"/>
  <c r="X4942" i="1"/>
  <c r="Y4942" i="1" s="1"/>
  <c r="X4950" i="1"/>
  <c r="Y4950" i="1" s="1"/>
  <c r="X4958" i="1"/>
  <c r="Y4958" i="1" s="1"/>
  <c r="X4966" i="1"/>
  <c r="Y4966" i="1" s="1"/>
  <c r="X4974" i="1"/>
  <c r="Y4974" i="1" s="1"/>
  <c r="X4982" i="1"/>
  <c r="Y4982" i="1" s="1"/>
  <c r="X4990" i="1"/>
  <c r="Y4990" i="1" s="1"/>
  <c r="X4998" i="1"/>
  <c r="Y4998" i="1" s="1"/>
  <c r="X1918" i="1"/>
  <c r="Y1918" i="1" s="1"/>
  <c r="X1972" i="1"/>
  <c r="Y1972" i="1" s="1"/>
  <c r="X2004" i="1"/>
  <c r="Y2004" i="1" s="1"/>
  <c r="X2036" i="1"/>
  <c r="Y2036" i="1" s="1"/>
  <c r="X2068" i="1"/>
  <c r="Y2068" i="1" s="1"/>
  <c r="X2100" i="1"/>
  <c r="Y2100" i="1" s="1"/>
  <c r="X2132" i="1"/>
  <c r="Y2132" i="1" s="1"/>
  <c r="X2164" i="1"/>
  <c r="Y2164" i="1" s="1"/>
  <c r="X2196" i="1"/>
  <c r="Y2196" i="1" s="1"/>
  <c r="X2228" i="1"/>
  <c r="Y2228" i="1" s="1"/>
  <c r="X2260" i="1"/>
  <c r="Y2260" i="1" s="1"/>
  <c r="X2292" i="1"/>
  <c r="Y2292" i="1" s="1"/>
  <c r="X2324" i="1"/>
  <c r="Y2324" i="1" s="1"/>
  <c r="X2356" i="1"/>
  <c r="Y2356" i="1" s="1"/>
  <c r="X2388" i="1"/>
  <c r="Y2388" i="1" s="1"/>
  <c r="X2420" i="1"/>
  <c r="Y2420" i="1" s="1"/>
  <c r="X2452" i="1"/>
  <c r="Y2452" i="1" s="1"/>
  <c r="X2484" i="1"/>
  <c r="Y2484" i="1" s="1"/>
  <c r="X2516" i="1"/>
  <c r="Y2516" i="1" s="1"/>
  <c r="X2548" i="1"/>
  <c r="Y2548" i="1" s="1"/>
  <c r="X2580" i="1"/>
  <c r="Y2580" i="1" s="1"/>
  <c r="X2612" i="1"/>
  <c r="Y2612" i="1" s="1"/>
  <c r="X2644" i="1"/>
  <c r="Y2644" i="1" s="1"/>
  <c r="X2676" i="1"/>
  <c r="Y2676" i="1" s="1"/>
  <c r="X2708" i="1"/>
  <c r="Y2708" i="1" s="1"/>
  <c r="X2740" i="1"/>
  <c r="Y2740" i="1" s="1"/>
  <c r="X2772" i="1"/>
  <c r="Y2772" i="1" s="1"/>
  <c r="X2804" i="1"/>
  <c r="Y2804" i="1" s="1"/>
  <c r="X2836" i="1"/>
  <c r="Y2836" i="1" s="1"/>
  <c r="X2868" i="1"/>
  <c r="Y2868" i="1" s="1"/>
  <c r="X2900" i="1"/>
  <c r="Y2900" i="1" s="1"/>
  <c r="X2932" i="1"/>
  <c r="Y2932" i="1" s="1"/>
  <c r="X2964" i="1"/>
  <c r="Y2964" i="1" s="1"/>
  <c r="X2996" i="1"/>
  <c r="Y2996" i="1" s="1"/>
  <c r="X3028" i="1"/>
  <c r="Y3028" i="1" s="1"/>
  <c r="X3060" i="1"/>
  <c r="Y3060" i="1" s="1"/>
  <c r="X3092" i="1"/>
  <c r="Y3092" i="1" s="1"/>
  <c r="X3124" i="1"/>
  <c r="Y3124" i="1" s="1"/>
  <c r="X3156" i="1"/>
  <c r="Y3156" i="1" s="1"/>
  <c r="X3188" i="1"/>
  <c r="Y3188" i="1" s="1"/>
  <c r="X3220" i="1"/>
  <c r="Y3220" i="1" s="1"/>
  <c r="X3252" i="1"/>
  <c r="Y3252" i="1" s="1"/>
  <c r="X3284" i="1"/>
  <c r="Y3284" i="1" s="1"/>
  <c r="X3316" i="1"/>
  <c r="Y3316" i="1" s="1"/>
  <c r="X3348" i="1"/>
  <c r="Y3348" i="1" s="1"/>
  <c r="X3380" i="1"/>
  <c r="Y3380" i="1" s="1"/>
  <c r="X3412" i="1"/>
  <c r="Y3412" i="1" s="1"/>
  <c r="X3444" i="1"/>
  <c r="Y3444" i="1" s="1"/>
  <c r="X3476" i="1"/>
  <c r="Y3476" i="1" s="1"/>
  <c r="X3508" i="1"/>
  <c r="Y3508" i="1" s="1"/>
  <c r="X3540" i="1"/>
  <c r="Y3540" i="1" s="1"/>
  <c r="X3572" i="1"/>
  <c r="Y3572" i="1" s="1"/>
  <c r="X3604" i="1"/>
  <c r="Y3604" i="1" s="1"/>
  <c r="X3636" i="1"/>
  <c r="Y3636" i="1" s="1"/>
  <c r="X3668" i="1"/>
  <c r="Y3668" i="1" s="1"/>
  <c r="X3700" i="1"/>
  <c r="Y3700" i="1" s="1"/>
  <c r="X3732" i="1"/>
  <c r="Y3732" i="1" s="1"/>
  <c r="X3764" i="1"/>
  <c r="Y3764" i="1" s="1"/>
  <c r="X3796" i="1"/>
  <c r="Y3796" i="1" s="1"/>
  <c r="X3828" i="1"/>
  <c r="Y3828" i="1" s="1"/>
  <c r="X3860" i="1"/>
  <c r="Y3860" i="1" s="1"/>
  <c r="X3892" i="1"/>
  <c r="Y3892" i="1" s="1"/>
  <c r="X3924" i="1"/>
  <c r="Y3924" i="1" s="1"/>
  <c r="X3956" i="1"/>
  <c r="Y3956" i="1" s="1"/>
  <c r="X3988" i="1"/>
  <c r="Y3988" i="1" s="1"/>
  <c r="X4015" i="1"/>
  <c r="Y4015" i="1" s="1"/>
  <c r="X4031" i="1"/>
  <c r="Y4031" i="1" s="1"/>
  <c r="X4047" i="1"/>
  <c r="Y4047" i="1" s="1"/>
  <c r="X4063" i="1"/>
  <c r="Y4063" i="1" s="1"/>
  <c r="X4079" i="1"/>
  <c r="Y4079" i="1" s="1"/>
  <c r="X4095" i="1"/>
  <c r="Y4095" i="1" s="1"/>
  <c r="X4111" i="1"/>
  <c r="Y4111" i="1" s="1"/>
  <c r="X4127" i="1"/>
  <c r="Y4127" i="1" s="1"/>
  <c r="X4143" i="1"/>
  <c r="Y4143" i="1" s="1"/>
  <c r="X4159" i="1"/>
  <c r="Y4159" i="1" s="1"/>
  <c r="X4175" i="1"/>
  <c r="Y4175" i="1" s="1"/>
  <c r="X4191" i="1"/>
  <c r="Y4191" i="1" s="1"/>
  <c r="X4207" i="1"/>
  <c r="Y4207" i="1" s="1"/>
  <c r="X4223" i="1"/>
  <c r="Y4223" i="1" s="1"/>
  <c r="X4239" i="1"/>
  <c r="Y4239" i="1" s="1"/>
  <c r="X4255" i="1"/>
  <c r="Y4255" i="1" s="1"/>
  <c r="X4271" i="1"/>
  <c r="Y4271" i="1" s="1"/>
  <c r="X4287" i="1"/>
  <c r="Y4287" i="1" s="1"/>
  <c r="X4303" i="1"/>
  <c r="Y4303" i="1" s="1"/>
  <c r="X4319" i="1"/>
  <c r="Y4319" i="1" s="1"/>
  <c r="X4335" i="1"/>
  <c r="Y4335" i="1" s="1"/>
  <c r="X4351" i="1"/>
  <c r="Y4351" i="1" s="1"/>
  <c r="X4367" i="1"/>
  <c r="Y4367" i="1" s="1"/>
  <c r="X4383" i="1"/>
  <c r="Y4383" i="1" s="1"/>
  <c r="X4399" i="1"/>
  <c r="Y4399" i="1" s="1"/>
  <c r="X4415" i="1"/>
  <c r="Y4415" i="1" s="1"/>
  <c r="X4431" i="1"/>
  <c r="Y4431" i="1" s="1"/>
  <c r="X4447" i="1"/>
  <c r="Y4447" i="1" s="1"/>
  <c r="X4463" i="1"/>
  <c r="Y4463" i="1" s="1"/>
  <c r="X4479" i="1"/>
  <c r="Y4479" i="1" s="1"/>
  <c r="X4495" i="1"/>
  <c r="Y4495" i="1" s="1"/>
  <c r="X4511" i="1"/>
  <c r="Y4511" i="1" s="1"/>
  <c r="X4527" i="1"/>
  <c r="Y4527" i="1" s="1"/>
  <c r="X4543" i="1"/>
  <c r="Y4543" i="1" s="1"/>
  <c r="X4559" i="1"/>
  <c r="Y4559" i="1" s="1"/>
  <c r="X4575" i="1"/>
  <c r="Y4575" i="1" s="1"/>
  <c r="X4591" i="1"/>
  <c r="Y4591" i="1" s="1"/>
  <c r="X4607" i="1"/>
  <c r="Y4607" i="1" s="1"/>
  <c r="X4623" i="1"/>
  <c r="Y4623" i="1" s="1"/>
  <c r="X4639" i="1"/>
  <c r="Y4639" i="1" s="1"/>
  <c r="X4655" i="1"/>
  <c r="Y4655" i="1" s="1"/>
  <c r="X4671" i="1"/>
  <c r="Y4671" i="1" s="1"/>
  <c r="X4687" i="1"/>
  <c r="Y4687" i="1" s="1"/>
  <c r="X4703" i="1"/>
  <c r="Y4703" i="1" s="1"/>
  <c r="X4719" i="1"/>
  <c r="Y4719" i="1" s="1"/>
  <c r="X4735" i="1"/>
  <c r="Y4735" i="1" s="1"/>
  <c r="X4751" i="1"/>
  <c r="Y4751" i="1" s="1"/>
  <c r="X4767" i="1"/>
  <c r="Y4767" i="1" s="1"/>
  <c r="X4783" i="1"/>
  <c r="Y4783" i="1" s="1"/>
  <c r="X4799" i="1"/>
  <c r="Y4799" i="1" s="1"/>
  <c r="X4815" i="1"/>
  <c r="Y4815" i="1" s="1"/>
  <c r="X4831" i="1"/>
  <c r="Y4831" i="1" s="1"/>
  <c r="X4847" i="1"/>
  <c r="Y4847" i="1" s="1"/>
  <c r="X4863" i="1"/>
  <c r="Y4863" i="1" s="1"/>
  <c r="X4879" i="1"/>
  <c r="Y4879" i="1" s="1"/>
  <c r="X4895" i="1"/>
  <c r="Y4895" i="1" s="1"/>
  <c r="X4911" i="1"/>
  <c r="Y4911" i="1" s="1"/>
  <c r="X4927" i="1"/>
  <c r="Y4927" i="1" s="1"/>
  <c r="X4943" i="1"/>
  <c r="Y4943" i="1" s="1"/>
  <c r="X4959" i="1"/>
  <c r="Y4959" i="1" s="1"/>
  <c r="X4975" i="1"/>
  <c r="Y4975" i="1" s="1"/>
  <c r="X4991" i="1"/>
  <c r="Y4991" i="1" s="1"/>
  <c r="X130" i="1"/>
  <c r="Y130" i="1" s="1"/>
  <c r="X279" i="1"/>
  <c r="Y279" i="1" s="1"/>
  <c r="X407" i="1"/>
  <c r="Y407" i="1" s="1"/>
  <c r="X481" i="1"/>
  <c r="Y481" i="1" s="1"/>
  <c r="X545" i="1"/>
  <c r="Y545" i="1" s="1"/>
  <c r="X609" i="1"/>
  <c r="Y609" i="1" s="1"/>
  <c r="X673" i="1"/>
  <c r="Y673" i="1" s="1"/>
  <c r="X737" i="1"/>
  <c r="Y737" i="1" s="1"/>
  <c r="X801" i="1"/>
  <c r="Y801" i="1" s="1"/>
  <c r="X865" i="1"/>
  <c r="Y865" i="1" s="1"/>
  <c r="X929" i="1"/>
  <c r="Y929" i="1" s="1"/>
  <c r="X966" i="1"/>
  <c r="Y966" i="1" s="1"/>
  <c r="X998" i="1"/>
  <c r="Y998" i="1" s="1"/>
  <c r="X1030" i="1"/>
  <c r="Y1030" i="1" s="1"/>
  <c r="X1062" i="1"/>
  <c r="Y1062" i="1" s="1"/>
  <c r="X1094" i="1"/>
  <c r="Y1094" i="1" s="1"/>
  <c r="X1126" i="1"/>
  <c r="Y1126" i="1" s="1"/>
  <c r="X1158" i="1"/>
  <c r="Y1158" i="1" s="1"/>
  <c r="X1190" i="1"/>
  <c r="Y1190" i="1" s="1"/>
  <c r="X1222" i="1"/>
  <c r="Y1222" i="1" s="1"/>
  <c r="X1254" i="1"/>
  <c r="Y1254" i="1" s="1"/>
  <c r="X1278" i="1"/>
  <c r="Y1278" i="1" s="1"/>
  <c r="X1310" i="1"/>
  <c r="Y1310" i="1" s="1"/>
  <c r="X1342" i="1"/>
  <c r="Y1342" i="1" s="1"/>
  <c r="X1374" i="1"/>
  <c r="Y1374" i="1" s="1"/>
  <c r="X1406" i="1"/>
  <c r="Y1406" i="1" s="1"/>
  <c r="X1438" i="1"/>
  <c r="Y1438" i="1" s="1"/>
  <c r="X1470" i="1"/>
  <c r="Y1470" i="1" s="1"/>
  <c r="X1502" i="1"/>
  <c r="Y1502" i="1" s="1"/>
  <c r="X1534" i="1"/>
  <c r="Y1534" i="1" s="1"/>
  <c r="X1566" i="1"/>
  <c r="Y1566" i="1" s="1"/>
  <c r="X1598" i="1"/>
  <c r="Y1598" i="1" s="1"/>
  <c r="X1630" i="1"/>
  <c r="Y1630" i="1" s="1"/>
  <c r="X1662" i="1"/>
  <c r="Y1662" i="1" s="1"/>
  <c r="X1694" i="1"/>
  <c r="Y1694" i="1" s="1"/>
  <c r="X1726" i="1"/>
  <c r="Y1726" i="1" s="1"/>
  <c r="X1758" i="1"/>
  <c r="Y1758" i="1" s="1"/>
  <c r="X1790" i="1"/>
  <c r="Y1790" i="1" s="1"/>
  <c r="X1822" i="1"/>
  <c r="Y1822" i="1" s="1"/>
  <c r="X1854" i="1"/>
  <c r="Y1854" i="1" s="1"/>
  <c r="X1894" i="1"/>
  <c r="Y1894" i="1" s="1"/>
  <c r="X1958" i="1"/>
  <c r="Y1958" i="1" s="1"/>
  <c r="X1992" i="1"/>
  <c r="Y1992" i="1" s="1"/>
  <c r="X2024" i="1"/>
  <c r="Y2024" i="1" s="1"/>
  <c r="X2056" i="1"/>
  <c r="Y2056" i="1" s="1"/>
  <c r="X2088" i="1"/>
  <c r="Y2088" i="1" s="1"/>
  <c r="X2120" i="1"/>
  <c r="Y2120" i="1" s="1"/>
  <c r="X2152" i="1"/>
  <c r="Y2152" i="1" s="1"/>
  <c r="X2184" i="1"/>
  <c r="Y2184" i="1" s="1"/>
  <c r="X2216" i="1"/>
  <c r="Y2216" i="1" s="1"/>
  <c r="X2248" i="1"/>
  <c r="Y2248" i="1" s="1"/>
  <c r="X2280" i="1"/>
  <c r="Y2280" i="1" s="1"/>
  <c r="X2312" i="1"/>
  <c r="Y2312" i="1" s="1"/>
  <c r="X2344" i="1"/>
  <c r="Y2344" i="1" s="1"/>
  <c r="X2376" i="1"/>
  <c r="Y2376" i="1" s="1"/>
  <c r="X2408" i="1"/>
  <c r="Y2408" i="1" s="1"/>
  <c r="X2440" i="1"/>
  <c r="Y2440" i="1" s="1"/>
  <c r="X2472" i="1"/>
  <c r="Y2472" i="1" s="1"/>
  <c r="X2504" i="1"/>
  <c r="Y2504" i="1" s="1"/>
  <c r="X2536" i="1"/>
  <c r="Y2536" i="1" s="1"/>
  <c r="X2568" i="1"/>
  <c r="Y2568" i="1" s="1"/>
  <c r="X2600" i="1"/>
  <c r="Y2600" i="1" s="1"/>
  <c r="X2632" i="1"/>
  <c r="Y2632" i="1" s="1"/>
  <c r="X2664" i="1"/>
  <c r="Y2664" i="1" s="1"/>
  <c r="X2696" i="1"/>
  <c r="Y2696" i="1" s="1"/>
  <c r="X2728" i="1"/>
  <c r="Y2728" i="1" s="1"/>
  <c r="X2760" i="1"/>
  <c r="Y2760" i="1" s="1"/>
  <c r="X2792" i="1"/>
  <c r="Y2792" i="1" s="1"/>
  <c r="X2824" i="1"/>
  <c r="Y2824" i="1" s="1"/>
  <c r="X2856" i="1"/>
  <c r="Y2856" i="1" s="1"/>
  <c r="X2888" i="1"/>
  <c r="Y2888" i="1" s="1"/>
  <c r="X2920" i="1"/>
  <c r="Y2920" i="1" s="1"/>
  <c r="X2952" i="1"/>
  <c r="Y2952" i="1" s="1"/>
  <c r="X2984" i="1"/>
  <c r="Y2984" i="1" s="1"/>
  <c r="X3016" i="1"/>
  <c r="Y3016" i="1" s="1"/>
  <c r="X3048" i="1"/>
  <c r="Y3048" i="1" s="1"/>
  <c r="X3080" i="1"/>
  <c r="Y3080" i="1" s="1"/>
  <c r="X3112" i="1"/>
  <c r="Y3112" i="1" s="1"/>
  <c r="X3144" i="1"/>
  <c r="Y3144" i="1" s="1"/>
  <c r="X3176" i="1"/>
  <c r="Y3176" i="1" s="1"/>
  <c r="X3208" i="1"/>
  <c r="Y3208" i="1" s="1"/>
  <c r="X3240" i="1"/>
  <c r="Y3240" i="1" s="1"/>
  <c r="X3264" i="1"/>
  <c r="Y3264" i="1" s="1"/>
  <c r="X3296" i="1"/>
  <c r="Y3296" i="1" s="1"/>
  <c r="X3328" i="1"/>
  <c r="Y3328" i="1" s="1"/>
  <c r="X3360" i="1"/>
  <c r="Y3360" i="1" s="1"/>
  <c r="X3392" i="1"/>
  <c r="Y3392" i="1" s="1"/>
  <c r="X3424" i="1"/>
  <c r="Y3424" i="1" s="1"/>
  <c r="X3456" i="1"/>
  <c r="Y3456" i="1" s="1"/>
  <c r="X3488" i="1"/>
  <c r="Y3488" i="1" s="1"/>
  <c r="X3520" i="1"/>
  <c r="Y3520" i="1" s="1"/>
  <c r="X3552" i="1"/>
  <c r="Y3552" i="1" s="1"/>
  <c r="X3584" i="1"/>
  <c r="Y3584" i="1" s="1"/>
  <c r="X3616" i="1"/>
  <c r="Y3616" i="1" s="1"/>
  <c r="X3648" i="1"/>
  <c r="Y3648" i="1" s="1"/>
  <c r="X3680" i="1"/>
  <c r="Y3680" i="1" s="1"/>
  <c r="X3712" i="1"/>
  <c r="Y3712" i="1" s="1"/>
  <c r="X3744" i="1"/>
  <c r="Y3744" i="1" s="1"/>
  <c r="X3776" i="1"/>
  <c r="Y3776" i="1" s="1"/>
  <c r="X3808" i="1"/>
  <c r="Y3808" i="1" s="1"/>
  <c r="X3840" i="1"/>
  <c r="Y3840" i="1" s="1"/>
  <c r="X3872" i="1"/>
  <c r="Y3872" i="1" s="1"/>
  <c r="X3904" i="1"/>
  <c r="Y3904" i="1" s="1"/>
  <c r="X3936" i="1"/>
  <c r="Y3936" i="1" s="1"/>
  <c r="X3968" i="1"/>
  <c r="Y3968" i="1" s="1"/>
  <c r="X4000" i="1"/>
  <c r="Y4000" i="1" s="1"/>
  <c r="X4021" i="1"/>
  <c r="Y4021" i="1" s="1"/>
  <c r="X4037" i="1"/>
  <c r="Y4037" i="1" s="1"/>
  <c r="X4053" i="1"/>
  <c r="Y4053" i="1" s="1"/>
  <c r="X4069" i="1"/>
  <c r="Y4069" i="1" s="1"/>
  <c r="X4085" i="1"/>
  <c r="Y4085" i="1" s="1"/>
  <c r="X4101" i="1"/>
  <c r="Y4101" i="1" s="1"/>
  <c r="X4117" i="1"/>
  <c r="Y4117" i="1" s="1"/>
  <c r="X4133" i="1"/>
  <c r="Y4133" i="1" s="1"/>
  <c r="X4149" i="1"/>
  <c r="Y4149" i="1" s="1"/>
  <c r="X4165" i="1"/>
  <c r="Y4165" i="1" s="1"/>
  <c r="X4181" i="1"/>
  <c r="Y4181" i="1" s="1"/>
  <c r="X4197" i="1"/>
  <c r="Y4197" i="1" s="1"/>
  <c r="X4213" i="1"/>
  <c r="Y4213" i="1" s="1"/>
  <c r="X4229" i="1"/>
  <c r="Y4229" i="1" s="1"/>
  <c r="X4245" i="1"/>
  <c r="Y4245" i="1" s="1"/>
  <c r="X4261" i="1"/>
  <c r="Y4261" i="1" s="1"/>
  <c r="X4277" i="1"/>
  <c r="Y4277" i="1" s="1"/>
  <c r="X4293" i="1"/>
  <c r="Y4293" i="1" s="1"/>
  <c r="X4309" i="1"/>
  <c r="Y4309" i="1" s="1"/>
  <c r="X4325" i="1"/>
  <c r="Y4325" i="1" s="1"/>
  <c r="X4341" i="1"/>
  <c r="Y4341" i="1" s="1"/>
  <c r="X4357" i="1"/>
  <c r="Y4357" i="1" s="1"/>
  <c r="X4373" i="1"/>
  <c r="Y4373" i="1" s="1"/>
  <c r="X4389" i="1"/>
  <c r="Y4389" i="1" s="1"/>
  <c r="X4405" i="1"/>
  <c r="Y4405" i="1" s="1"/>
  <c r="X4421" i="1"/>
  <c r="Y4421" i="1" s="1"/>
  <c r="X4437" i="1"/>
  <c r="Y4437" i="1" s="1"/>
  <c r="X4453" i="1"/>
  <c r="Y4453" i="1" s="1"/>
  <c r="X4469" i="1"/>
  <c r="Y4469" i="1" s="1"/>
  <c r="X4485" i="1"/>
  <c r="Y4485" i="1" s="1"/>
  <c r="X4501" i="1"/>
  <c r="Y4501" i="1" s="1"/>
  <c r="X4517" i="1"/>
  <c r="Y4517" i="1" s="1"/>
  <c r="X4533" i="1"/>
  <c r="Y4533" i="1" s="1"/>
  <c r="X4549" i="1"/>
  <c r="Y4549" i="1" s="1"/>
  <c r="X4565" i="1"/>
  <c r="Y4565" i="1" s="1"/>
  <c r="X4581" i="1"/>
  <c r="Y4581" i="1" s="1"/>
  <c r="X4597" i="1"/>
  <c r="Y4597" i="1" s="1"/>
  <c r="X4613" i="1"/>
  <c r="Y4613" i="1" s="1"/>
  <c r="X4629" i="1"/>
  <c r="Y4629" i="1" s="1"/>
  <c r="X4645" i="1"/>
  <c r="Y4645" i="1" s="1"/>
  <c r="X4661" i="1"/>
  <c r="Y4661" i="1" s="1"/>
  <c r="X4677" i="1"/>
  <c r="Y4677" i="1" s="1"/>
  <c r="X4693" i="1"/>
  <c r="Y4693" i="1" s="1"/>
  <c r="X4709" i="1"/>
  <c r="Y4709" i="1" s="1"/>
  <c r="X4725" i="1"/>
  <c r="Y4725" i="1" s="1"/>
  <c r="X4741" i="1"/>
  <c r="Y4741" i="1" s="1"/>
  <c r="X4757" i="1"/>
  <c r="Y4757" i="1" s="1"/>
  <c r="X4773" i="1"/>
  <c r="Y4773" i="1" s="1"/>
  <c r="X4789" i="1"/>
  <c r="Y4789" i="1" s="1"/>
  <c r="X4805" i="1"/>
  <c r="Y4805" i="1" s="1"/>
  <c r="X4821" i="1"/>
  <c r="Y4821" i="1" s="1"/>
  <c r="X4837" i="1"/>
  <c r="Y4837" i="1" s="1"/>
  <c r="X4853" i="1"/>
  <c r="Y4853" i="1" s="1"/>
  <c r="X4869" i="1"/>
  <c r="Y4869" i="1" s="1"/>
  <c r="X4885" i="1"/>
  <c r="Y4885" i="1" s="1"/>
  <c r="X4901" i="1"/>
  <c r="Y4901" i="1" s="1"/>
  <c r="X4917" i="1"/>
  <c r="Y4917" i="1" s="1"/>
  <c r="X4933" i="1"/>
  <c r="Y4933" i="1" s="1"/>
  <c r="X4949" i="1"/>
  <c r="Y4949" i="1" s="1"/>
  <c r="X4965" i="1"/>
  <c r="Y4965" i="1" s="1"/>
  <c r="X4981" i="1"/>
  <c r="Y4981" i="1" s="1"/>
  <c r="X4997" i="1"/>
  <c r="Y4997" i="1" s="1"/>
  <c r="X3288" i="1"/>
  <c r="Y3288" i="1" s="1"/>
  <c r="X3320" i="1"/>
  <c r="Y3320" i="1" s="1"/>
  <c r="X3352" i="1"/>
  <c r="Y3352" i="1" s="1"/>
  <c r="X3384" i="1"/>
  <c r="Y3384" i="1" s="1"/>
  <c r="X3416" i="1"/>
  <c r="Y3416" i="1" s="1"/>
  <c r="X3448" i="1"/>
  <c r="Y3448" i="1" s="1"/>
  <c r="X3480" i="1"/>
  <c r="Y3480" i="1" s="1"/>
  <c r="X3512" i="1"/>
  <c r="Y3512" i="1" s="1"/>
  <c r="X3544" i="1"/>
  <c r="Y3544" i="1" s="1"/>
  <c r="X3576" i="1"/>
  <c r="Y3576" i="1" s="1"/>
  <c r="X3608" i="1"/>
  <c r="Y3608" i="1" s="1"/>
  <c r="X3640" i="1"/>
  <c r="Y3640" i="1" s="1"/>
  <c r="X3672" i="1"/>
  <c r="Y3672" i="1" s="1"/>
  <c r="X3704" i="1"/>
  <c r="Y3704" i="1" s="1"/>
  <c r="X3736" i="1"/>
  <c r="Y3736" i="1" s="1"/>
  <c r="X3768" i="1"/>
  <c r="Y3768" i="1" s="1"/>
  <c r="X3800" i="1"/>
  <c r="Y3800" i="1" s="1"/>
  <c r="X3832" i="1"/>
  <c r="Y3832" i="1" s="1"/>
  <c r="X3864" i="1"/>
  <c r="Y3864" i="1" s="1"/>
  <c r="X3896" i="1"/>
  <c r="Y3896" i="1" s="1"/>
  <c r="X3928" i="1"/>
  <c r="Y3928" i="1" s="1"/>
  <c r="X3960" i="1"/>
  <c r="Y3960" i="1" s="1"/>
  <c r="X3992" i="1"/>
  <c r="Y3992" i="1" s="1"/>
  <c r="X4017" i="1"/>
  <c r="Y4017" i="1" s="1"/>
  <c r="X4033" i="1"/>
  <c r="Y4033" i="1" s="1"/>
  <c r="X4049" i="1"/>
  <c r="Y4049" i="1" s="1"/>
  <c r="X4065" i="1"/>
  <c r="Y4065" i="1" s="1"/>
  <c r="X4081" i="1"/>
  <c r="Y4081" i="1" s="1"/>
  <c r="X4097" i="1"/>
  <c r="Y4097" i="1" s="1"/>
  <c r="X4113" i="1"/>
  <c r="Y4113" i="1" s="1"/>
  <c r="X4129" i="1"/>
  <c r="Y4129" i="1" s="1"/>
  <c r="X4145" i="1"/>
  <c r="Y4145" i="1" s="1"/>
  <c r="X4161" i="1"/>
  <c r="Y4161" i="1" s="1"/>
  <c r="X4177" i="1"/>
  <c r="Y4177" i="1" s="1"/>
  <c r="X4193" i="1"/>
  <c r="Y4193" i="1" s="1"/>
  <c r="X4209" i="1"/>
  <c r="Y4209" i="1" s="1"/>
  <c r="X4225" i="1"/>
  <c r="Y4225" i="1" s="1"/>
  <c r="X4241" i="1"/>
  <c r="Y4241" i="1" s="1"/>
  <c r="X4257" i="1"/>
  <c r="Y4257" i="1" s="1"/>
  <c r="X4273" i="1"/>
  <c r="Y4273" i="1" s="1"/>
  <c r="X4289" i="1"/>
  <c r="Y4289" i="1" s="1"/>
  <c r="X4305" i="1"/>
  <c r="Y4305" i="1" s="1"/>
  <c r="X4321" i="1"/>
  <c r="Y4321" i="1" s="1"/>
  <c r="X4337" i="1"/>
  <c r="Y4337" i="1" s="1"/>
  <c r="X4353" i="1"/>
  <c r="Y4353" i="1" s="1"/>
  <c r="X4369" i="1"/>
  <c r="Y4369" i="1" s="1"/>
  <c r="X4385" i="1"/>
  <c r="Y4385" i="1" s="1"/>
  <c r="X4401" i="1"/>
  <c r="Y4401" i="1" s="1"/>
  <c r="X4417" i="1"/>
  <c r="Y4417" i="1" s="1"/>
  <c r="X4433" i="1"/>
  <c r="Y4433" i="1" s="1"/>
  <c r="X4449" i="1"/>
  <c r="Y4449" i="1" s="1"/>
  <c r="X4465" i="1"/>
  <c r="Y4465" i="1" s="1"/>
  <c r="X4481" i="1"/>
  <c r="Y4481" i="1" s="1"/>
  <c r="X4497" i="1"/>
  <c r="Y4497" i="1" s="1"/>
  <c r="X4513" i="1"/>
  <c r="Y4513" i="1" s="1"/>
  <c r="X4529" i="1"/>
  <c r="Y4529" i="1" s="1"/>
  <c r="X4545" i="1"/>
  <c r="Y4545" i="1" s="1"/>
  <c r="X4561" i="1"/>
  <c r="Y4561" i="1" s="1"/>
  <c r="X4577" i="1"/>
  <c r="Y4577" i="1" s="1"/>
  <c r="X4593" i="1"/>
  <c r="Y4593" i="1" s="1"/>
  <c r="X4609" i="1"/>
  <c r="Y4609" i="1" s="1"/>
  <c r="X4625" i="1"/>
  <c r="Y4625" i="1" s="1"/>
  <c r="X4641" i="1"/>
  <c r="Y4641" i="1" s="1"/>
  <c r="X4657" i="1"/>
  <c r="Y4657" i="1" s="1"/>
  <c r="X4673" i="1"/>
  <c r="Y4673" i="1" s="1"/>
  <c r="X4689" i="1"/>
  <c r="Y4689" i="1" s="1"/>
  <c r="X4705" i="1"/>
  <c r="Y4705" i="1" s="1"/>
  <c r="X4721" i="1"/>
  <c r="Y4721" i="1" s="1"/>
  <c r="X4737" i="1"/>
  <c r="Y4737" i="1" s="1"/>
  <c r="X4753" i="1"/>
  <c r="Y4753" i="1" s="1"/>
  <c r="X4769" i="1"/>
  <c r="Y4769" i="1" s="1"/>
  <c r="X4785" i="1"/>
  <c r="Y4785" i="1" s="1"/>
  <c r="X4801" i="1"/>
  <c r="Y4801" i="1" s="1"/>
  <c r="X4817" i="1"/>
  <c r="Y4817" i="1" s="1"/>
  <c r="X4833" i="1"/>
  <c r="Y4833" i="1" s="1"/>
  <c r="X4849" i="1"/>
  <c r="Y4849" i="1" s="1"/>
  <c r="X4865" i="1"/>
  <c r="Y4865" i="1" s="1"/>
  <c r="X4881" i="1"/>
  <c r="Y4881" i="1" s="1"/>
  <c r="X4897" i="1"/>
  <c r="Y4897" i="1" s="1"/>
  <c r="X4913" i="1"/>
  <c r="Y4913" i="1" s="1"/>
  <c r="X4929" i="1"/>
  <c r="Y4929" i="1" s="1"/>
  <c r="X4945" i="1"/>
  <c r="Y4945" i="1" s="1"/>
  <c r="X4961" i="1"/>
  <c r="Y4961" i="1" s="1"/>
  <c r="X4977" i="1"/>
  <c r="Y4977" i="1" s="1"/>
  <c r="X4993" i="1"/>
  <c r="Y4993" i="1" s="1"/>
  <c r="AT4" i="1"/>
  <c r="AP21" i="1" l="1"/>
  <c r="AT5" i="1" s="1"/>
  <c r="AG24" i="1"/>
  <c r="AT3" i="1" s="1"/>
  <c r="AA2" i="1"/>
  <c r="B24" i="1" s="1"/>
  <c r="AP28" i="1"/>
  <c r="AS28" i="1" s="1"/>
  <c r="AH31" i="1"/>
  <c r="AR30" i="1"/>
  <c r="AI30" i="1"/>
  <c r="AK30" i="1"/>
  <c r="AJ30" i="1"/>
  <c r="AL30" i="1"/>
  <c r="AO29" i="1"/>
  <c r="AM29" i="1"/>
  <c r="AN29" i="1"/>
  <c r="AP29" i="1" l="1"/>
  <c r="AS29" i="1" s="1"/>
  <c r="AH32" i="1"/>
  <c r="AR31" i="1"/>
  <c r="AO30" i="1"/>
  <c r="AM30" i="1"/>
  <c r="AN30" i="1"/>
  <c r="AK31" i="1"/>
  <c r="AL31" i="1"/>
  <c r="AI31" i="1"/>
  <c r="AJ31" i="1"/>
  <c r="AP30" i="1" l="1"/>
  <c r="AH33" i="1"/>
  <c r="AR32" i="1"/>
  <c r="AM31" i="1"/>
  <c r="AO31" i="1"/>
  <c r="AN31" i="1"/>
  <c r="AK32" i="1"/>
  <c r="AI32" i="1"/>
  <c r="AJ32" i="1"/>
  <c r="AL32" i="1"/>
  <c r="AS30" i="1"/>
  <c r="AP31" i="1" l="1"/>
  <c r="AS31" i="1" s="1"/>
  <c r="AH34" i="1"/>
  <c r="AR33" i="1"/>
  <c r="AO32" i="1"/>
  <c r="AM32" i="1"/>
  <c r="AN32" i="1"/>
  <c r="AK33" i="1"/>
  <c r="AI33" i="1"/>
  <c r="AL33" i="1"/>
  <c r="AJ33" i="1"/>
  <c r="AP32" i="1" l="1"/>
  <c r="AS32" i="1" s="1"/>
  <c r="AH35" i="1"/>
  <c r="AR34" i="1"/>
  <c r="AO33" i="1"/>
  <c r="AM33" i="1"/>
  <c r="AN33" i="1"/>
  <c r="AI34" i="1"/>
  <c r="AJ34" i="1"/>
  <c r="AK34" i="1"/>
  <c r="AL34" i="1"/>
  <c r="AP33" i="1" l="1"/>
  <c r="AS33" i="1" s="1"/>
  <c r="AH36" i="1"/>
  <c r="AR35" i="1"/>
  <c r="AO34" i="1"/>
  <c r="AM34" i="1"/>
  <c r="AN34" i="1"/>
  <c r="AK35" i="1"/>
  <c r="AL35" i="1"/>
  <c r="AI35" i="1"/>
  <c r="AJ35" i="1"/>
  <c r="AP34" i="1" l="1"/>
  <c r="AS34" i="1" s="1"/>
  <c r="AH37" i="1"/>
  <c r="AR36" i="1"/>
  <c r="AO35" i="1"/>
  <c r="AM35" i="1"/>
  <c r="AN35" i="1"/>
  <c r="AK36" i="1"/>
  <c r="AI36" i="1"/>
  <c r="AJ36" i="1"/>
  <c r="AL36" i="1"/>
  <c r="AP35" i="1" l="1"/>
  <c r="AH38" i="1"/>
  <c r="AR37" i="1"/>
  <c r="AO36" i="1"/>
  <c r="AM36" i="1"/>
  <c r="AN36" i="1"/>
  <c r="AK37" i="1"/>
  <c r="AI37" i="1"/>
  <c r="AL37" i="1"/>
  <c r="AJ37" i="1"/>
  <c r="AS35" i="1"/>
  <c r="AH39" i="1" l="1"/>
  <c r="AR38" i="1"/>
  <c r="AP36" i="1"/>
  <c r="AS36" i="1" s="1"/>
  <c r="AI38" i="1"/>
  <c r="AK38" i="1"/>
  <c r="AJ38" i="1"/>
  <c r="AL38" i="1"/>
  <c r="AO37" i="1"/>
  <c r="AM37" i="1"/>
  <c r="AN37" i="1"/>
  <c r="AP37" i="1" l="1"/>
  <c r="AS37" i="1" s="1"/>
  <c r="AH40" i="1"/>
  <c r="AR39" i="1"/>
  <c r="AO38" i="1"/>
  <c r="AM38" i="1"/>
  <c r="AN38" i="1"/>
  <c r="AK39" i="1"/>
  <c r="AL39" i="1"/>
  <c r="AI39" i="1"/>
  <c r="AJ39" i="1"/>
  <c r="AP38" i="1" l="1"/>
  <c r="AH41" i="1"/>
  <c r="AR40" i="1"/>
  <c r="AM39" i="1"/>
  <c r="AO39" i="1"/>
  <c r="AN39" i="1"/>
  <c r="AK40" i="1"/>
  <c r="AI40" i="1"/>
  <c r="AJ40" i="1"/>
  <c r="AL40" i="1"/>
  <c r="AS38" i="1"/>
  <c r="AP39" i="1" l="1"/>
  <c r="AH42" i="1"/>
  <c r="AR41" i="1"/>
  <c r="AO40" i="1"/>
  <c r="AM40" i="1"/>
  <c r="AN40" i="1"/>
  <c r="AK41" i="1"/>
  <c r="AI41" i="1"/>
  <c r="AL41" i="1"/>
  <c r="AJ41" i="1"/>
  <c r="AS39" i="1"/>
  <c r="AH43" i="1" l="1"/>
  <c r="AR42" i="1"/>
  <c r="AP40" i="1"/>
  <c r="AS40" i="1" s="1"/>
  <c r="AI42" i="1"/>
  <c r="AJ42" i="1"/>
  <c r="AK42" i="1"/>
  <c r="AL42" i="1"/>
  <c r="AO41" i="1"/>
  <c r="AM41" i="1"/>
  <c r="AN41" i="1"/>
  <c r="AP41" i="1" l="1"/>
  <c r="AS41" i="1" s="1"/>
  <c r="AH44" i="1"/>
  <c r="AR43" i="1"/>
  <c r="AO42" i="1"/>
  <c r="AM42" i="1"/>
  <c r="AN42" i="1"/>
  <c r="AK43" i="1"/>
  <c r="AL43" i="1"/>
  <c r="AI43" i="1"/>
  <c r="AJ43" i="1"/>
  <c r="AP42" i="1" l="1"/>
  <c r="AH45" i="1"/>
  <c r="AR44" i="1"/>
  <c r="AO43" i="1"/>
  <c r="AM43" i="1"/>
  <c r="AN43" i="1"/>
  <c r="AK44" i="1"/>
  <c r="AI44" i="1"/>
  <c r="AJ44" i="1"/>
  <c r="AL44" i="1"/>
  <c r="AS42" i="1"/>
  <c r="AH46" i="1" l="1"/>
  <c r="AR45" i="1"/>
  <c r="AP43" i="1"/>
  <c r="AO44" i="1"/>
  <c r="AM44" i="1"/>
  <c r="AN44" i="1"/>
  <c r="AK45" i="1"/>
  <c r="AI45" i="1"/>
  <c r="AL45" i="1"/>
  <c r="AJ45" i="1"/>
  <c r="AS43" i="1"/>
  <c r="AP44" i="1" l="1"/>
  <c r="AS44" i="1" s="1"/>
  <c r="AH47" i="1"/>
  <c r="AR46" i="1"/>
  <c r="AO45" i="1"/>
  <c r="AM45" i="1"/>
  <c r="AN45" i="1"/>
  <c r="AI46" i="1"/>
  <c r="AK46" i="1"/>
  <c r="AJ46" i="1"/>
  <c r="AL46" i="1"/>
  <c r="AP45" i="1" l="1"/>
  <c r="AS45" i="1" s="1"/>
  <c r="AH48" i="1"/>
  <c r="AR47" i="1"/>
  <c r="AO46" i="1"/>
  <c r="AM46" i="1"/>
  <c r="AN46" i="1"/>
  <c r="AK47" i="1"/>
  <c r="AL47" i="1"/>
  <c r="AI47" i="1"/>
  <c r="AJ47" i="1"/>
  <c r="AP46" i="1" l="1"/>
  <c r="AS46" i="1" s="1"/>
  <c r="AH49" i="1"/>
  <c r="AR48" i="1"/>
  <c r="AM47" i="1"/>
  <c r="AO47" i="1"/>
  <c r="AN47" i="1"/>
  <c r="AK48" i="1"/>
  <c r="AI48" i="1"/>
  <c r="AJ48" i="1"/>
  <c r="AL48" i="1"/>
  <c r="AH50" i="1" l="1"/>
  <c r="AR49" i="1"/>
  <c r="AP47" i="1"/>
  <c r="AS47" i="1" s="1"/>
  <c r="AO48" i="1"/>
  <c r="AM48" i="1"/>
  <c r="AN48" i="1"/>
  <c r="AK49" i="1"/>
  <c r="AI49" i="1"/>
  <c r="AL49" i="1"/>
  <c r="AJ49" i="1"/>
  <c r="AP48" i="1" l="1"/>
  <c r="AS48" i="1" s="1"/>
  <c r="AH51" i="1"/>
  <c r="AR50" i="1"/>
  <c r="AO49" i="1"/>
  <c r="AM49" i="1"/>
  <c r="AN49" i="1"/>
  <c r="AI50" i="1"/>
  <c r="AJ50" i="1"/>
  <c r="AK50" i="1"/>
  <c r="AL50" i="1"/>
  <c r="AP49" i="1" l="1"/>
  <c r="AS49" i="1" s="1"/>
  <c r="AH52" i="1"/>
  <c r="AR51" i="1"/>
  <c r="AK51" i="1"/>
  <c r="AL51" i="1"/>
  <c r="AI51" i="1"/>
  <c r="AJ51" i="1"/>
  <c r="AO50" i="1"/>
  <c r="AM50" i="1"/>
  <c r="AN50" i="1"/>
  <c r="AH53" i="1" l="1"/>
  <c r="AR52" i="1"/>
  <c r="AP50" i="1"/>
  <c r="AS50" i="1" s="1"/>
  <c r="AO51" i="1"/>
  <c r="AM51" i="1"/>
  <c r="AN51" i="1"/>
  <c r="AK52" i="1"/>
  <c r="AI52" i="1"/>
  <c r="AJ52" i="1"/>
  <c r="AL52" i="1"/>
  <c r="AP51" i="1" l="1"/>
  <c r="AS51" i="1" s="1"/>
  <c r="AH54" i="1"/>
  <c r="AR53" i="1"/>
  <c r="AO52" i="1"/>
  <c r="AM52" i="1"/>
  <c r="AN52" i="1"/>
  <c r="AK53" i="1"/>
  <c r="AI53" i="1"/>
  <c r="AL53" i="1"/>
  <c r="AJ53" i="1"/>
  <c r="AP52" i="1" l="1"/>
  <c r="AS52" i="1" s="1"/>
  <c r="AH55" i="1"/>
  <c r="AR54" i="1"/>
  <c r="AO53" i="1"/>
  <c r="AM53" i="1"/>
  <c r="AN53" i="1"/>
  <c r="AI54" i="1"/>
  <c r="AK54" i="1"/>
  <c r="AJ54" i="1"/>
  <c r="AL54" i="1"/>
  <c r="AP53" i="1" l="1"/>
  <c r="AS53" i="1" s="1"/>
  <c r="AH56" i="1"/>
  <c r="AR55" i="1"/>
  <c r="AO54" i="1"/>
  <c r="AM54" i="1"/>
  <c r="AN54" i="1"/>
  <c r="AK55" i="1"/>
  <c r="AL55" i="1"/>
  <c r="AI55" i="1"/>
  <c r="AJ55" i="1"/>
  <c r="AP54" i="1" l="1"/>
  <c r="AS54" i="1" s="1"/>
  <c r="AH57" i="1"/>
  <c r="AR56" i="1"/>
  <c r="AM55" i="1"/>
  <c r="AO55" i="1"/>
  <c r="AN55" i="1"/>
  <c r="AK56" i="1"/>
  <c r="AI56" i="1"/>
  <c r="AJ56" i="1"/>
  <c r="AL56" i="1"/>
  <c r="AP55" i="1" l="1"/>
  <c r="AH58" i="1"/>
  <c r="AR57" i="1"/>
  <c r="AO56" i="1"/>
  <c r="AM56" i="1"/>
  <c r="AN56" i="1"/>
  <c r="AK57" i="1"/>
  <c r="AI57" i="1"/>
  <c r="AL57" i="1"/>
  <c r="AJ57" i="1"/>
  <c r="AS55" i="1"/>
  <c r="AH59" i="1" l="1"/>
  <c r="AR58" i="1"/>
  <c r="AP56" i="1"/>
  <c r="AS56" i="1" s="1"/>
  <c r="AI58" i="1"/>
  <c r="AJ58" i="1"/>
  <c r="AK58" i="1"/>
  <c r="AL58" i="1"/>
  <c r="AO57" i="1"/>
  <c r="AM57" i="1"/>
  <c r="AN57" i="1"/>
  <c r="AP57" i="1" l="1"/>
  <c r="AS57" i="1" s="1"/>
  <c r="AH60" i="1"/>
  <c r="AR59" i="1"/>
  <c r="AO58" i="1"/>
  <c r="AM58" i="1"/>
  <c r="AN58" i="1"/>
  <c r="AK59" i="1"/>
  <c r="AL59" i="1"/>
  <c r="AI59" i="1"/>
  <c r="AJ59" i="1"/>
  <c r="AP58" i="1" l="1"/>
  <c r="AH61" i="1"/>
  <c r="AR60" i="1"/>
  <c r="AO59" i="1"/>
  <c r="AM59" i="1"/>
  <c r="AN59" i="1"/>
  <c r="AK60" i="1"/>
  <c r="AI60" i="1"/>
  <c r="AJ60" i="1"/>
  <c r="AL60" i="1"/>
  <c r="AS58" i="1"/>
  <c r="AH62" i="1" l="1"/>
  <c r="AR61" i="1"/>
  <c r="AP59" i="1"/>
  <c r="AO60" i="1"/>
  <c r="AM60" i="1"/>
  <c r="AN60" i="1"/>
  <c r="AK61" i="1"/>
  <c r="AI61" i="1"/>
  <c r="AL61" i="1"/>
  <c r="AJ61" i="1"/>
  <c r="AS59" i="1"/>
  <c r="AH63" i="1" l="1"/>
  <c r="AR62" i="1"/>
  <c r="AP60" i="1"/>
  <c r="AS60" i="1" s="1"/>
  <c r="AI62" i="1"/>
  <c r="AK62" i="1"/>
  <c r="AJ62" i="1"/>
  <c r="AL62" i="1"/>
  <c r="AO61" i="1"/>
  <c r="AM61" i="1"/>
  <c r="AN61" i="1"/>
  <c r="AP61" i="1" l="1"/>
  <c r="AS61" i="1" s="1"/>
  <c r="AH64" i="1"/>
  <c r="AR63" i="1"/>
  <c r="AO62" i="1"/>
  <c r="AM62" i="1"/>
  <c r="AN62" i="1"/>
  <c r="AK63" i="1"/>
  <c r="AL63" i="1"/>
  <c r="AI63" i="1"/>
  <c r="AJ63" i="1"/>
  <c r="AP62" i="1" l="1"/>
  <c r="AH65" i="1"/>
  <c r="AR64" i="1"/>
  <c r="AM63" i="1"/>
  <c r="AO63" i="1"/>
  <c r="AN63" i="1"/>
  <c r="AK64" i="1"/>
  <c r="AI64" i="1"/>
  <c r="AJ64" i="1"/>
  <c r="AL64" i="1"/>
  <c r="AS62" i="1"/>
  <c r="AP63" i="1" l="1"/>
  <c r="AH66" i="1"/>
  <c r="AR65" i="1"/>
  <c r="AO64" i="1"/>
  <c r="AM64" i="1"/>
  <c r="AN64" i="1"/>
  <c r="AK65" i="1"/>
  <c r="AI65" i="1"/>
  <c r="AL65" i="1"/>
  <c r="AJ65" i="1"/>
  <c r="AS63" i="1"/>
  <c r="AH67" i="1" l="1"/>
  <c r="AR66" i="1"/>
  <c r="AP64" i="1"/>
  <c r="AS64" i="1" s="1"/>
  <c r="AO65" i="1"/>
  <c r="AM65" i="1"/>
  <c r="AN65" i="1"/>
  <c r="AI66" i="1"/>
  <c r="AJ66" i="1"/>
  <c r="AK66" i="1"/>
  <c r="AL66" i="1"/>
  <c r="AP65" i="1" l="1"/>
  <c r="AS65" i="1" s="1"/>
  <c r="AH68" i="1"/>
  <c r="AR67" i="1"/>
  <c r="AO66" i="1"/>
  <c r="AM66" i="1"/>
  <c r="AN66" i="1"/>
  <c r="AK67" i="1"/>
  <c r="AL67" i="1"/>
  <c r="AI67" i="1"/>
  <c r="AJ67" i="1"/>
  <c r="AP66" i="1" l="1"/>
  <c r="AS66" i="1" s="1"/>
  <c r="AH69" i="1"/>
  <c r="AR68" i="1"/>
  <c r="AO67" i="1"/>
  <c r="AM67" i="1"/>
  <c r="AN67" i="1"/>
  <c r="AK68" i="1"/>
  <c r="AI68" i="1"/>
  <c r="AJ68" i="1"/>
  <c r="AL68" i="1"/>
  <c r="AH70" i="1" l="1"/>
  <c r="AR69" i="1"/>
  <c r="AP67" i="1"/>
  <c r="AS67" i="1" s="1"/>
  <c r="AO68" i="1"/>
  <c r="AM68" i="1"/>
  <c r="AN68" i="1"/>
  <c r="AK69" i="1"/>
  <c r="AI69" i="1"/>
  <c r="AL69" i="1"/>
  <c r="AJ69" i="1"/>
  <c r="AP68" i="1" l="1"/>
  <c r="AS68" i="1" s="1"/>
  <c r="AH71" i="1"/>
  <c r="AR70" i="1"/>
  <c r="AI70" i="1"/>
  <c r="AK70" i="1"/>
  <c r="AJ70" i="1"/>
  <c r="AL70" i="1"/>
  <c r="AO69" i="1"/>
  <c r="AM69" i="1"/>
  <c r="AN69" i="1"/>
  <c r="AP69" i="1" l="1"/>
  <c r="AS69" i="1" s="1"/>
  <c r="AH72" i="1"/>
  <c r="AR71" i="1"/>
  <c r="AO70" i="1"/>
  <c r="AM70" i="1"/>
  <c r="AN70" i="1"/>
  <c r="AK71" i="1"/>
  <c r="AL71" i="1"/>
  <c r="AI71" i="1"/>
  <c r="AJ71" i="1"/>
  <c r="AH73" i="1" l="1"/>
  <c r="AR72" i="1"/>
  <c r="AP70" i="1"/>
  <c r="AS70" i="1" s="1"/>
  <c r="AM71" i="1"/>
  <c r="AO71" i="1"/>
  <c r="AN71" i="1"/>
  <c r="AK72" i="1"/>
  <c r="AI72" i="1"/>
  <c r="AJ72" i="1"/>
  <c r="AL72" i="1"/>
  <c r="AH74" i="1" l="1"/>
  <c r="AR73" i="1"/>
  <c r="AP71" i="1"/>
  <c r="AS71" i="1" s="1"/>
  <c r="AO72" i="1"/>
  <c r="AM72" i="1"/>
  <c r="AN72" i="1"/>
  <c r="AK73" i="1"/>
  <c r="AI73" i="1"/>
  <c r="AL73" i="1"/>
  <c r="AJ73" i="1"/>
  <c r="AP72" i="1" l="1"/>
  <c r="AS72" i="1" s="1"/>
  <c r="AH75" i="1"/>
  <c r="AR74" i="1"/>
  <c r="AI74" i="1"/>
  <c r="AJ74" i="1"/>
  <c r="AK74" i="1"/>
  <c r="AL74" i="1"/>
  <c r="AO73" i="1"/>
  <c r="AM73" i="1"/>
  <c r="AN73" i="1"/>
  <c r="AH76" i="1" l="1"/>
  <c r="AR75" i="1"/>
  <c r="AP73" i="1"/>
  <c r="AS73" i="1" s="1"/>
  <c r="AO74" i="1"/>
  <c r="AM74" i="1"/>
  <c r="AN74" i="1"/>
  <c r="AK75" i="1"/>
  <c r="AL75" i="1"/>
  <c r="AI75" i="1"/>
  <c r="AJ75" i="1"/>
  <c r="AH77" i="1" l="1"/>
  <c r="AR76" i="1"/>
  <c r="AP74" i="1"/>
  <c r="AS74" i="1" s="1"/>
  <c r="AO75" i="1"/>
  <c r="AM75" i="1"/>
  <c r="AN75" i="1"/>
  <c r="AK76" i="1"/>
  <c r="AI76" i="1"/>
  <c r="AJ76" i="1"/>
  <c r="AL76" i="1"/>
  <c r="AP75" i="1" l="1"/>
  <c r="AH78" i="1"/>
  <c r="AR77" i="1"/>
  <c r="AO76" i="1"/>
  <c r="AM76" i="1"/>
  <c r="AN76" i="1"/>
  <c r="AK77" i="1"/>
  <c r="AI77" i="1"/>
  <c r="AL77" i="1"/>
  <c r="AJ77" i="1"/>
  <c r="AS75" i="1"/>
  <c r="AH79" i="1" l="1"/>
  <c r="AR78" i="1"/>
  <c r="AP76" i="1"/>
  <c r="AS76" i="1" s="1"/>
  <c r="AI78" i="1"/>
  <c r="AK78" i="1"/>
  <c r="AJ78" i="1"/>
  <c r="AL78" i="1"/>
  <c r="AO77" i="1"/>
  <c r="AM77" i="1"/>
  <c r="AN77" i="1"/>
  <c r="AP77" i="1" l="1"/>
  <c r="AS77" i="1" s="1"/>
  <c r="AH80" i="1"/>
  <c r="AR79" i="1"/>
  <c r="AO78" i="1"/>
  <c r="AM78" i="1"/>
  <c r="AN78" i="1"/>
  <c r="AK79" i="1"/>
  <c r="AL79" i="1"/>
  <c r="AI79" i="1"/>
  <c r="AJ79" i="1"/>
  <c r="AH81" i="1" l="1"/>
  <c r="AR80" i="1"/>
  <c r="AP78" i="1"/>
  <c r="AS78" i="1" s="1"/>
  <c r="AM79" i="1"/>
  <c r="AO79" i="1"/>
  <c r="AN79" i="1"/>
  <c r="AK80" i="1"/>
  <c r="AI80" i="1"/>
  <c r="AJ80" i="1"/>
  <c r="AL80" i="1"/>
  <c r="AP79" i="1" l="1"/>
  <c r="AH82" i="1"/>
  <c r="AR81" i="1"/>
  <c r="AO80" i="1"/>
  <c r="AM80" i="1"/>
  <c r="AN80" i="1"/>
  <c r="AK81" i="1"/>
  <c r="AI81" i="1"/>
  <c r="AL81" i="1"/>
  <c r="AJ81" i="1"/>
  <c r="AS79" i="1"/>
  <c r="AH83" i="1" l="1"/>
  <c r="AR82" i="1"/>
  <c r="AP80" i="1"/>
  <c r="AS80" i="1" s="1"/>
  <c r="AO81" i="1"/>
  <c r="AM81" i="1"/>
  <c r="AN81" i="1"/>
  <c r="AI82" i="1"/>
  <c r="AJ82" i="1"/>
  <c r="AK82" i="1"/>
  <c r="AL82" i="1"/>
  <c r="AP81" i="1" l="1"/>
  <c r="AS81" i="1" s="1"/>
  <c r="AH84" i="1"/>
  <c r="AR83" i="1"/>
  <c r="AO82" i="1"/>
  <c r="AM82" i="1"/>
  <c r="AN82" i="1"/>
  <c r="AK83" i="1"/>
  <c r="AL83" i="1"/>
  <c r="AI83" i="1"/>
  <c r="AJ83" i="1"/>
  <c r="AH85" i="1" l="1"/>
  <c r="AR84" i="1"/>
  <c r="AP82" i="1"/>
  <c r="AS82" i="1" s="1"/>
  <c r="AO83" i="1"/>
  <c r="AM83" i="1"/>
  <c r="AN83" i="1"/>
  <c r="AK84" i="1"/>
  <c r="AI84" i="1"/>
  <c r="AJ84" i="1"/>
  <c r="AL84" i="1"/>
  <c r="AP83" i="1" l="1"/>
  <c r="AS83" i="1" s="1"/>
  <c r="AH86" i="1"/>
  <c r="AR85" i="1"/>
  <c r="AO84" i="1"/>
  <c r="AM84" i="1"/>
  <c r="AN84" i="1"/>
  <c r="AK85" i="1"/>
  <c r="AI85" i="1"/>
  <c r="AL85" i="1"/>
  <c r="AJ85" i="1"/>
  <c r="AH87" i="1" l="1"/>
  <c r="AR86" i="1"/>
  <c r="AP84" i="1"/>
  <c r="AS84" i="1" s="1"/>
  <c r="AI86" i="1"/>
  <c r="AK86" i="1"/>
  <c r="AJ86" i="1"/>
  <c r="AL86" i="1"/>
  <c r="AO85" i="1"/>
  <c r="AM85" i="1"/>
  <c r="AN85" i="1"/>
  <c r="AP85" i="1" l="1"/>
  <c r="AS85" i="1" s="1"/>
  <c r="AH88" i="1"/>
  <c r="AR87" i="1"/>
  <c r="AO86" i="1"/>
  <c r="AM86" i="1"/>
  <c r="AN86" i="1"/>
  <c r="AK87" i="1"/>
  <c r="AL87" i="1"/>
  <c r="AI87" i="1"/>
  <c r="AJ87" i="1"/>
  <c r="AP86" i="1" l="1"/>
  <c r="AH89" i="1"/>
  <c r="AR88" i="1"/>
  <c r="AM87" i="1"/>
  <c r="AO87" i="1"/>
  <c r="AN87" i="1"/>
  <c r="AK88" i="1"/>
  <c r="AI88" i="1"/>
  <c r="AJ88" i="1"/>
  <c r="AL88" i="1"/>
  <c r="AS86" i="1"/>
  <c r="AP87" i="1" l="1"/>
  <c r="AS87" i="1" s="1"/>
  <c r="AH90" i="1"/>
  <c r="AR89" i="1"/>
  <c r="AO88" i="1"/>
  <c r="AM88" i="1"/>
  <c r="AN88" i="1"/>
  <c r="AK89" i="1"/>
  <c r="AI89" i="1"/>
  <c r="AL89" i="1"/>
  <c r="AJ89" i="1"/>
  <c r="AH91" i="1" l="1"/>
  <c r="AR90" i="1"/>
  <c r="AP88" i="1"/>
  <c r="AS88" i="1" s="1"/>
  <c r="AO89" i="1"/>
  <c r="AM89" i="1"/>
  <c r="AN89" i="1"/>
  <c r="AI90" i="1"/>
  <c r="AJ90" i="1"/>
  <c r="AK90" i="1"/>
  <c r="AL90" i="1"/>
  <c r="AP89" i="1" l="1"/>
  <c r="AS89" i="1" s="1"/>
  <c r="AH92" i="1"/>
  <c r="AR91" i="1"/>
  <c r="AK91" i="1"/>
  <c r="AL91" i="1"/>
  <c r="AI91" i="1"/>
  <c r="AJ91" i="1"/>
  <c r="AO90" i="1"/>
  <c r="AM90" i="1"/>
  <c r="AN90" i="1"/>
  <c r="AH93" i="1" l="1"/>
  <c r="AR92" i="1"/>
  <c r="AP90" i="1"/>
  <c r="AS90" i="1" s="1"/>
  <c r="AO91" i="1"/>
  <c r="AM91" i="1"/>
  <c r="AN91" i="1"/>
  <c r="AK92" i="1"/>
  <c r="AI92" i="1"/>
  <c r="AJ92" i="1"/>
  <c r="AL92" i="1"/>
  <c r="AP91" i="1" l="1"/>
  <c r="AH94" i="1"/>
  <c r="AR93" i="1"/>
  <c r="AO92" i="1"/>
  <c r="AM92" i="1"/>
  <c r="AN92" i="1"/>
  <c r="AK93" i="1"/>
  <c r="AI93" i="1"/>
  <c r="AL93" i="1"/>
  <c r="AJ93" i="1"/>
  <c r="AS91" i="1"/>
  <c r="AH95" i="1" l="1"/>
  <c r="AR94" i="1"/>
  <c r="AP92" i="1"/>
  <c r="AS92" i="1" s="1"/>
  <c r="AO93" i="1"/>
  <c r="AM93" i="1"/>
  <c r="AN93" i="1"/>
  <c r="AI94" i="1"/>
  <c r="AK94" i="1"/>
  <c r="AJ94" i="1"/>
  <c r="AL94" i="1"/>
  <c r="AP93" i="1" l="1"/>
  <c r="AS93" i="1" s="1"/>
  <c r="AH96" i="1"/>
  <c r="AR95" i="1"/>
  <c r="AO94" i="1"/>
  <c r="AM94" i="1"/>
  <c r="AN94" i="1"/>
  <c r="AK95" i="1"/>
  <c r="AL95" i="1"/>
  <c r="AI95" i="1"/>
  <c r="AJ95" i="1"/>
  <c r="AP94" i="1" l="1"/>
  <c r="AS94" i="1" s="1"/>
  <c r="AH97" i="1"/>
  <c r="AR96" i="1"/>
  <c r="AM95" i="1"/>
  <c r="AO95" i="1"/>
  <c r="AN95" i="1"/>
  <c r="AK96" i="1"/>
  <c r="AI96" i="1"/>
  <c r="AJ96" i="1"/>
  <c r="AL96" i="1"/>
  <c r="AH98" i="1" l="1"/>
  <c r="AR97" i="1"/>
  <c r="AP95" i="1"/>
  <c r="AS95" i="1" s="1"/>
  <c r="AO96" i="1"/>
  <c r="AM96" i="1"/>
  <c r="AN96" i="1"/>
  <c r="AK97" i="1"/>
  <c r="AI97" i="1"/>
  <c r="AL97" i="1"/>
  <c r="AJ97" i="1"/>
  <c r="AP96" i="1" l="1"/>
  <c r="AS96" i="1" s="1"/>
  <c r="AH99" i="1"/>
  <c r="AR98" i="1"/>
  <c r="AO97" i="1"/>
  <c r="AM97" i="1"/>
  <c r="AN97" i="1"/>
  <c r="AI98" i="1"/>
  <c r="AJ98" i="1"/>
  <c r="AK98" i="1"/>
  <c r="AL98" i="1"/>
  <c r="AP97" i="1" l="1"/>
  <c r="AS97" i="1" s="1"/>
  <c r="AH100" i="1"/>
  <c r="AR99" i="1"/>
  <c r="AO98" i="1"/>
  <c r="AM98" i="1"/>
  <c r="AN98" i="1"/>
  <c r="AK99" i="1"/>
  <c r="AL99" i="1"/>
  <c r="AI99" i="1"/>
  <c r="AJ99" i="1"/>
  <c r="AP98" i="1" l="1"/>
  <c r="AS98" i="1" s="1"/>
  <c r="AH101" i="1"/>
  <c r="AR100" i="1"/>
  <c r="AO99" i="1"/>
  <c r="AM99" i="1"/>
  <c r="AN99" i="1"/>
  <c r="AK100" i="1"/>
  <c r="AI100" i="1"/>
  <c r="AJ100" i="1"/>
  <c r="AL100" i="1"/>
  <c r="AP99" i="1" l="1"/>
  <c r="AS99" i="1" s="1"/>
  <c r="AH102" i="1"/>
  <c r="AR101" i="1"/>
  <c r="AO100" i="1"/>
  <c r="AM100" i="1"/>
  <c r="AN100" i="1"/>
  <c r="AK101" i="1"/>
  <c r="AI101" i="1"/>
  <c r="AL101" i="1"/>
  <c r="AJ101" i="1"/>
  <c r="AP100" i="1" l="1"/>
  <c r="AS100" i="1" s="1"/>
  <c r="AH103" i="1"/>
  <c r="AR102" i="1"/>
  <c r="AO101" i="1"/>
  <c r="AM101" i="1"/>
  <c r="AN101" i="1"/>
  <c r="AI102" i="1"/>
  <c r="AK102" i="1"/>
  <c r="AJ102" i="1"/>
  <c r="AL102" i="1"/>
  <c r="AP101" i="1" l="1"/>
  <c r="AS101" i="1" s="1"/>
  <c r="AH104" i="1"/>
  <c r="AR103" i="1"/>
  <c r="AO102" i="1"/>
  <c r="AM102" i="1"/>
  <c r="AN102" i="1"/>
  <c r="AK103" i="1"/>
  <c r="AL103" i="1"/>
  <c r="AI103" i="1"/>
  <c r="AJ103" i="1"/>
  <c r="AH105" i="1" l="1"/>
  <c r="AR104" i="1"/>
  <c r="AP102" i="1"/>
  <c r="AS102" i="1" s="1"/>
  <c r="AM103" i="1"/>
  <c r="AO103" i="1"/>
  <c r="AN103" i="1"/>
  <c r="AK104" i="1"/>
  <c r="AI104" i="1"/>
  <c r="AJ104" i="1"/>
  <c r="AL104" i="1"/>
  <c r="AP103" i="1" l="1"/>
  <c r="AS103" i="1" s="1"/>
  <c r="AH106" i="1"/>
  <c r="AR105" i="1"/>
  <c r="AO104" i="1"/>
  <c r="AM104" i="1"/>
  <c r="AN104" i="1"/>
  <c r="AK105" i="1"/>
  <c r="AI105" i="1"/>
  <c r="AL105" i="1"/>
  <c r="AJ105" i="1"/>
  <c r="AH107" i="1" l="1"/>
  <c r="AR106" i="1"/>
  <c r="AP104" i="1"/>
  <c r="AS104" i="1" s="1"/>
  <c r="AO105" i="1"/>
  <c r="AM105" i="1"/>
  <c r="AN105" i="1"/>
  <c r="AI106" i="1"/>
  <c r="AJ106" i="1"/>
  <c r="AK106" i="1"/>
  <c r="AL106" i="1"/>
  <c r="AP105" i="1" l="1"/>
  <c r="AS105" i="1" s="1"/>
  <c r="AH108" i="1"/>
  <c r="AR107" i="1"/>
  <c r="AO106" i="1"/>
  <c r="AM106" i="1"/>
  <c r="AN106" i="1"/>
  <c r="AK107" i="1"/>
  <c r="AL107" i="1"/>
  <c r="AI107" i="1"/>
  <c r="AJ107" i="1"/>
  <c r="AP106" i="1" l="1"/>
  <c r="AS106" i="1" s="1"/>
  <c r="AH109" i="1"/>
  <c r="AR108" i="1"/>
  <c r="AO107" i="1"/>
  <c r="AM107" i="1"/>
  <c r="AN107" i="1"/>
  <c r="AK108" i="1"/>
  <c r="AI108" i="1"/>
  <c r="AJ108" i="1"/>
  <c r="AL108" i="1"/>
  <c r="AP107" i="1" l="1"/>
  <c r="AS107" i="1" s="1"/>
  <c r="AH110" i="1"/>
  <c r="AR109" i="1"/>
  <c r="AO108" i="1"/>
  <c r="AM108" i="1"/>
  <c r="AN108" i="1"/>
  <c r="AK109" i="1"/>
  <c r="AI109" i="1"/>
  <c r="AL109" i="1"/>
  <c r="AJ109" i="1"/>
  <c r="AP108" i="1" l="1"/>
  <c r="AS108" i="1" s="1"/>
  <c r="AH111" i="1"/>
  <c r="AR110" i="1"/>
  <c r="AO109" i="1"/>
  <c r="AM109" i="1"/>
  <c r="AN109" i="1"/>
  <c r="AI110" i="1"/>
  <c r="AK110" i="1"/>
  <c r="AJ110" i="1"/>
  <c r="AL110" i="1"/>
  <c r="AP109" i="1" l="1"/>
  <c r="AS109" i="1" s="1"/>
  <c r="AH112" i="1"/>
  <c r="AR111" i="1"/>
  <c r="AO110" i="1"/>
  <c r="AM110" i="1"/>
  <c r="AN110" i="1"/>
  <c r="AK111" i="1"/>
  <c r="AL111" i="1"/>
  <c r="AI111" i="1"/>
  <c r="AJ111" i="1"/>
  <c r="AP110" i="1" l="1"/>
  <c r="AS110" i="1" s="1"/>
  <c r="AH113" i="1"/>
  <c r="AR112" i="1"/>
  <c r="AM111" i="1"/>
  <c r="AO111" i="1"/>
  <c r="AN111" i="1"/>
  <c r="AK112" i="1"/>
  <c r="AI112" i="1"/>
  <c r="AJ112" i="1"/>
  <c r="AL112" i="1"/>
  <c r="AP111" i="1" l="1"/>
  <c r="AS111" i="1" s="1"/>
  <c r="AH114" i="1"/>
  <c r="AR113" i="1"/>
  <c r="AO112" i="1"/>
  <c r="AM112" i="1"/>
  <c r="AN112" i="1"/>
  <c r="AK113" i="1"/>
  <c r="AI113" i="1"/>
  <c r="AL113" i="1"/>
  <c r="AJ113" i="1"/>
  <c r="AP112" i="1" l="1"/>
  <c r="AS112" i="1" s="1"/>
  <c r="AH115" i="1"/>
  <c r="AR114" i="1"/>
  <c r="AO113" i="1"/>
  <c r="AM113" i="1"/>
  <c r="AN113" i="1"/>
  <c r="AI114" i="1"/>
  <c r="AJ114" i="1"/>
  <c r="AK114" i="1"/>
  <c r="AL114" i="1"/>
  <c r="AP113" i="1" l="1"/>
  <c r="AS113" i="1" s="1"/>
  <c r="AH116" i="1"/>
  <c r="AR115" i="1"/>
  <c r="AO114" i="1"/>
  <c r="AM114" i="1"/>
  <c r="AN114" i="1"/>
  <c r="AK115" i="1"/>
  <c r="AL115" i="1"/>
  <c r="AI115" i="1"/>
  <c r="AJ115" i="1"/>
  <c r="AP114" i="1" l="1"/>
  <c r="AS114" i="1" s="1"/>
  <c r="AH117" i="1"/>
  <c r="AR116" i="1"/>
  <c r="AO115" i="1"/>
  <c r="AM115" i="1"/>
  <c r="AN115" i="1"/>
  <c r="AK116" i="1"/>
  <c r="AI116" i="1"/>
  <c r="AJ116" i="1"/>
  <c r="AL116" i="1"/>
  <c r="AP115" i="1" l="1"/>
  <c r="AS115" i="1" s="1"/>
  <c r="AH118" i="1"/>
  <c r="AR117" i="1"/>
  <c r="AO116" i="1"/>
  <c r="AM116" i="1"/>
  <c r="AN116" i="1"/>
  <c r="AK117" i="1"/>
  <c r="AI117" i="1"/>
  <c r="AL117" i="1"/>
  <c r="AJ117" i="1"/>
  <c r="AP116" i="1" l="1"/>
  <c r="AS116" i="1" s="1"/>
  <c r="AH119" i="1"/>
  <c r="AR118" i="1"/>
  <c r="AO117" i="1"/>
  <c r="AM117" i="1"/>
  <c r="AN117" i="1"/>
  <c r="AI118" i="1"/>
  <c r="AK118" i="1"/>
  <c r="AJ118" i="1"/>
  <c r="AL118" i="1"/>
  <c r="AP117" i="1" l="1"/>
  <c r="AS117" i="1" s="1"/>
  <c r="AH120" i="1"/>
  <c r="AR119" i="1"/>
  <c r="AO118" i="1"/>
  <c r="AM118" i="1"/>
  <c r="AN118" i="1"/>
  <c r="AK119" i="1"/>
  <c r="AL119" i="1"/>
  <c r="AI119" i="1"/>
  <c r="AJ119" i="1"/>
  <c r="AH121" i="1" l="1"/>
  <c r="AR120" i="1"/>
  <c r="AP118" i="1"/>
  <c r="AS118" i="1" s="1"/>
  <c r="AM119" i="1"/>
  <c r="AO119" i="1"/>
  <c r="AN119" i="1"/>
  <c r="AK120" i="1"/>
  <c r="AI120" i="1"/>
  <c r="AJ120" i="1"/>
  <c r="AL120" i="1"/>
  <c r="AP119" i="1" l="1"/>
  <c r="AS119" i="1" s="1"/>
  <c r="AH122" i="1"/>
  <c r="AR121" i="1"/>
  <c r="AO120" i="1"/>
  <c r="AM120" i="1"/>
  <c r="AN120" i="1"/>
  <c r="AK121" i="1"/>
  <c r="AI121" i="1"/>
  <c r="AL121" i="1"/>
  <c r="AJ121" i="1"/>
  <c r="AH123" i="1" l="1"/>
  <c r="AR122" i="1"/>
  <c r="AP120" i="1"/>
  <c r="AS120" i="1" s="1"/>
  <c r="AO121" i="1"/>
  <c r="AM121" i="1"/>
  <c r="AN121" i="1"/>
  <c r="AI122" i="1"/>
  <c r="AJ122" i="1"/>
  <c r="AK122" i="1"/>
  <c r="AL122" i="1"/>
  <c r="AP121" i="1" l="1"/>
  <c r="AS121" i="1" s="1"/>
  <c r="AH124" i="1"/>
  <c r="AR123" i="1"/>
  <c r="AO122" i="1"/>
  <c r="AM122" i="1"/>
  <c r="AN122" i="1"/>
  <c r="AK123" i="1"/>
  <c r="AL123" i="1"/>
  <c r="AI123" i="1"/>
  <c r="AJ123" i="1"/>
  <c r="AP122" i="1" l="1"/>
  <c r="AS122" i="1" s="1"/>
  <c r="AH125" i="1"/>
  <c r="AR124" i="1"/>
  <c r="AO123" i="1"/>
  <c r="AM123" i="1"/>
  <c r="AN123" i="1"/>
  <c r="AK124" i="1"/>
  <c r="AI124" i="1"/>
  <c r="AJ124" i="1"/>
  <c r="AL124" i="1"/>
  <c r="AP123" i="1" l="1"/>
  <c r="AS123" i="1" s="1"/>
  <c r="AH126" i="1"/>
  <c r="AR125" i="1"/>
  <c r="AO124" i="1"/>
  <c r="AM124" i="1"/>
  <c r="AN124" i="1"/>
  <c r="AK125" i="1"/>
  <c r="AI125" i="1"/>
  <c r="AL125" i="1"/>
  <c r="AJ125" i="1"/>
  <c r="AP124" i="1" l="1"/>
  <c r="AS124" i="1" s="1"/>
  <c r="AH127" i="1"/>
  <c r="AR126" i="1"/>
  <c r="AO125" i="1"/>
  <c r="AM125" i="1"/>
  <c r="AN125" i="1"/>
  <c r="AI126" i="1"/>
  <c r="AK126" i="1"/>
  <c r="AJ126" i="1"/>
  <c r="AL126" i="1"/>
  <c r="AP125" i="1" l="1"/>
  <c r="AS125" i="1" s="1"/>
  <c r="AH128" i="1"/>
  <c r="AR127" i="1"/>
  <c r="AO126" i="1"/>
  <c r="AM126" i="1"/>
  <c r="AN126" i="1"/>
  <c r="AK127" i="1"/>
  <c r="AL127" i="1"/>
  <c r="AI127" i="1"/>
  <c r="AJ127" i="1"/>
  <c r="AP126" i="1" l="1"/>
  <c r="AS126" i="1" s="1"/>
  <c r="AH129" i="1"/>
  <c r="AR128" i="1"/>
  <c r="AM127" i="1"/>
  <c r="AO127" i="1"/>
  <c r="AN127" i="1"/>
  <c r="AK128" i="1"/>
  <c r="AI128" i="1"/>
  <c r="AJ128" i="1"/>
  <c r="AL128" i="1"/>
  <c r="AP127" i="1" l="1"/>
  <c r="AS127" i="1" s="1"/>
  <c r="AH130" i="1"/>
  <c r="AR129" i="1"/>
  <c r="AO128" i="1"/>
  <c r="AM128" i="1"/>
  <c r="AN128" i="1"/>
  <c r="AK129" i="1"/>
  <c r="AI129" i="1"/>
  <c r="AL129" i="1"/>
  <c r="AJ129" i="1"/>
  <c r="AP128" i="1" l="1"/>
  <c r="AS128" i="1" s="1"/>
  <c r="AH131" i="1"/>
  <c r="AR130" i="1"/>
  <c r="AO129" i="1"/>
  <c r="AM129" i="1"/>
  <c r="AN129" i="1"/>
  <c r="AI130" i="1"/>
  <c r="AJ130" i="1"/>
  <c r="AK130" i="1"/>
  <c r="AL130" i="1"/>
  <c r="AP129" i="1" l="1"/>
  <c r="AS129" i="1" s="1"/>
  <c r="AH132" i="1"/>
  <c r="AR131" i="1"/>
  <c r="AO130" i="1"/>
  <c r="AM130" i="1"/>
  <c r="AN130" i="1"/>
  <c r="AK131" i="1"/>
  <c r="AL131" i="1"/>
  <c r="AI131" i="1"/>
  <c r="AJ131" i="1"/>
  <c r="AP130" i="1" l="1"/>
  <c r="AS130" i="1" s="1"/>
  <c r="AH133" i="1"/>
  <c r="AR132" i="1"/>
  <c r="AO131" i="1"/>
  <c r="AM131" i="1"/>
  <c r="AN131" i="1"/>
  <c r="AK132" i="1"/>
  <c r="AI132" i="1"/>
  <c r="AJ132" i="1"/>
  <c r="AL132" i="1"/>
  <c r="AP131" i="1" l="1"/>
  <c r="AS131" i="1" s="1"/>
  <c r="AH134" i="1"/>
  <c r="AR133" i="1"/>
  <c r="AO132" i="1"/>
  <c r="AM132" i="1"/>
  <c r="AN132" i="1"/>
  <c r="AK133" i="1"/>
  <c r="AI133" i="1"/>
  <c r="AL133" i="1"/>
  <c r="AJ133" i="1"/>
  <c r="AP132" i="1" l="1"/>
  <c r="AS132" i="1" s="1"/>
  <c r="AH135" i="1"/>
  <c r="AR134" i="1"/>
  <c r="AO133" i="1"/>
  <c r="AM133" i="1"/>
  <c r="AN133" i="1"/>
  <c r="AI134" i="1"/>
  <c r="AK134" i="1"/>
  <c r="AJ134" i="1"/>
  <c r="AL134" i="1"/>
  <c r="AP133" i="1" l="1"/>
  <c r="AS133" i="1" s="1"/>
  <c r="AH136" i="1"/>
  <c r="AR135" i="1"/>
  <c r="AO134" i="1"/>
  <c r="AM134" i="1"/>
  <c r="AP134" i="1" s="1"/>
  <c r="AN134" i="1"/>
  <c r="AK135" i="1"/>
  <c r="AL135" i="1"/>
  <c r="AI135" i="1"/>
  <c r="AJ135" i="1"/>
  <c r="AH137" i="1" l="1"/>
  <c r="AR136" i="1"/>
  <c r="AS134" i="1"/>
  <c r="AM135" i="1"/>
  <c r="AO135" i="1"/>
  <c r="AN135" i="1"/>
  <c r="AK136" i="1"/>
  <c r="AI136" i="1"/>
  <c r="AJ136" i="1"/>
  <c r="AL136" i="1"/>
  <c r="AP135" i="1" l="1"/>
  <c r="AS135" i="1" s="1"/>
  <c r="AH138" i="1"/>
  <c r="AR137" i="1"/>
  <c r="AO136" i="1"/>
  <c r="AM136" i="1"/>
  <c r="AN136" i="1"/>
  <c r="AK137" i="1"/>
  <c r="AI137" i="1"/>
  <c r="AL137" i="1"/>
  <c r="AJ137" i="1"/>
  <c r="AP136" i="1" l="1"/>
  <c r="AS136" i="1" s="1"/>
  <c r="AH139" i="1"/>
  <c r="AR138" i="1"/>
  <c r="AO137" i="1"/>
  <c r="AM137" i="1"/>
  <c r="AN137" i="1"/>
  <c r="AI138" i="1"/>
  <c r="AJ138" i="1"/>
  <c r="AK138" i="1"/>
  <c r="AL138" i="1"/>
  <c r="AP137" i="1" l="1"/>
  <c r="AS137" i="1" s="1"/>
  <c r="AH140" i="1"/>
  <c r="AR139" i="1"/>
  <c r="AO138" i="1"/>
  <c r="AM138" i="1"/>
  <c r="AN138" i="1"/>
  <c r="AK139" i="1"/>
  <c r="AL139" i="1"/>
  <c r="AI139" i="1"/>
  <c r="AJ139" i="1"/>
  <c r="AP138" i="1" l="1"/>
  <c r="AS138" i="1" s="1"/>
  <c r="AH141" i="1"/>
  <c r="AR140" i="1"/>
  <c r="AO139" i="1"/>
  <c r="AM139" i="1"/>
  <c r="AN139" i="1"/>
  <c r="AK140" i="1"/>
  <c r="AI140" i="1"/>
  <c r="AJ140" i="1"/>
  <c r="AL140" i="1"/>
  <c r="AP139" i="1" l="1"/>
  <c r="AS139" i="1" s="1"/>
  <c r="AH142" i="1"/>
  <c r="AR141" i="1"/>
  <c r="AO140" i="1"/>
  <c r="AM140" i="1"/>
  <c r="AN140" i="1"/>
  <c r="AK141" i="1"/>
  <c r="AI141" i="1"/>
  <c r="AL141" i="1"/>
  <c r="AJ141" i="1"/>
  <c r="AP140" i="1" l="1"/>
  <c r="AS140" i="1" s="1"/>
  <c r="AH143" i="1"/>
  <c r="AR142" i="1"/>
  <c r="AO141" i="1"/>
  <c r="AM141" i="1"/>
  <c r="AN141" i="1"/>
  <c r="AI142" i="1"/>
  <c r="AK142" i="1"/>
  <c r="AJ142" i="1"/>
  <c r="AL142" i="1"/>
  <c r="AP141" i="1" l="1"/>
  <c r="AS141" i="1" s="1"/>
  <c r="AH144" i="1"/>
  <c r="AR143" i="1"/>
  <c r="AO142" i="1"/>
  <c r="AM142" i="1"/>
  <c r="AN142" i="1"/>
  <c r="AK143" i="1"/>
  <c r="AL143" i="1"/>
  <c r="AI143" i="1"/>
  <c r="AJ143" i="1"/>
  <c r="AH145" i="1" l="1"/>
  <c r="AR144" i="1"/>
  <c r="AP142" i="1"/>
  <c r="AS142" i="1" s="1"/>
  <c r="AM143" i="1"/>
  <c r="AO143" i="1"/>
  <c r="AN143" i="1"/>
  <c r="AK144" i="1"/>
  <c r="AI144" i="1"/>
  <c r="AJ144" i="1"/>
  <c r="AL144" i="1"/>
  <c r="AP143" i="1" l="1"/>
  <c r="AS143" i="1" s="1"/>
  <c r="AH146" i="1"/>
  <c r="AR145" i="1"/>
  <c r="AO144" i="1"/>
  <c r="AM144" i="1"/>
  <c r="AN144" i="1"/>
  <c r="AK145" i="1"/>
  <c r="AI145" i="1"/>
  <c r="AL145" i="1"/>
  <c r="AJ145" i="1"/>
  <c r="AP144" i="1" l="1"/>
  <c r="AS144" i="1" s="1"/>
  <c r="AH147" i="1"/>
  <c r="AR146" i="1"/>
  <c r="AO145" i="1"/>
  <c r="AM145" i="1"/>
  <c r="AN145" i="1"/>
  <c r="AI146" i="1"/>
  <c r="AJ146" i="1"/>
  <c r="AK146" i="1"/>
  <c r="AL146" i="1"/>
  <c r="AP145" i="1" l="1"/>
  <c r="AS145" i="1" s="1"/>
  <c r="AH148" i="1"/>
  <c r="AR147" i="1"/>
  <c r="AO146" i="1"/>
  <c r="AM146" i="1"/>
  <c r="AN146" i="1"/>
  <c r="AK147" i="1"/>
  <c r="AL147" i="1"/>
  <c r="AI147" i="1"/>
  <c r="AJ147" i="1"/>
  <c r="AP146" i="1" l="1"/>
  <c r="AS146" i="1" s="1"/>
  <c r="AH149" i="1"/>
  <c r="AR148" i="1"/>
  <c r="AO147" i="1"/>
  <c r="AM147" i="1"/>
  <c r="AN147" i="1"/>
  <c r="AK148" i="1"/>
  <c r="AI148" i="1"/>
  <c r="AJ148" i="1"/>
  <c r="AL148" i="1"/>
  <c r="AP147" i="1" l="1"/>
  <c r="AS147" i="1" s="1"/>
  <c r="AH150" i="1"/>
  <c r="AR149" i="1"/>
  <c r="AO148" i="1"/>
  <c r="AM148" i="1"/>
  <c r="AN148" i="1"/>
  <c r="AK149" i="1"/>
  <c r="AI149" i="1"/>
  <c r="AL149" i="1"/>
  <c r="AJ149" i="1"/>
  <c r="AP148" i="1" l="1"/>
  <c r="AS148" i="1" s="1"/>
  <c r="AH151" i="1"/>
  <c r="AR150" i="1"/>
  <c r="AO149" i="1"/>
  <c r="AM149" i="1"/>
  <c r="AN149" i="1"/>
  <c r="AI150" i="1"/>
  <c r="AK150" i="1"/>
  <c r="AJ150" i="1"/>
  <c r="AL150" i="1"/>
  <c r="AP149" i="1" l="1"/>
  <c r="AS149" i="1" s="1"/>
  <c r="AH152" i="1"/>
  <c r="AR151" i="1"/>
  <c r="AO150" i="1"/>
  <c r="AM150" i="1"/>
  <c r="AN150" i="1"/>
  <c r="AK151" i="1"/>
  <c r="AL151" i="1"/>
  <c r="AI151" i="1"/>
  <c r="AJ151" i="1"/>
  <c r="AP150" i="1" l="1"/>
  <c r="AS150" i="1" s="1"/>
  <c r="AH153" i="1"/>
  <c r="AR152" i="1"/>
  <c r="AM151" i="1"/>
  <c r="AO151" i="1"/>
  <c r="AN151" i="1"/>
  <c r="AK152" i="1"/>
  <c r="AI152" i="1"/>
  <c r="AJ152" i="1"/>
  <c r="AL152" i="1"/>
  <c r="AP151" i="1" l="1"/>
  <c r="AS151" i="1" s="1"/>
  <c r="AH154" i="1"/>
  <c r="AR153" i="1"/>
  <c r="AO152" i="1"/>
  <c r="AM152" i="1"/>
  <c r="AN152" i="1"/>
  <c r="AK153" i="1"/>
  <c r="AI153" i="1"/>
  <c r="AL153" i="1"/>
  <c r="AJ153" i="1"/>
  <c r="AP152" i="1" l="1"/>
  <c r="AS152" i="1" s="1"/>
  <c r="AH155" i="1"/>
  <c r="AR154" i="1"/>
  <c r="AO153" i="1"/>
  <c r="AM153" i="1"/>
  <c r="AN153" i="1"/>
  <c r="AI154" i="1"/>
  <c r="AJ154" i="1"/>
  <c r="AK154" i="1"/>
  <c r="AL154" i="1"/>
  <c r="AP153" i="1" l="1"/>
  <c r="AS153" i="1" s="1"/>
  <c r="AH156" i="1"/>
  <c r="AR155" i="1"/>
  <c r="AO154" i="1"/>
  <c r="AM154" i="1"/>
  <c r="AN154" i="1"/>
  <c r="AK155" i="1"/>
  <c r="AL155" i="1"/>
  <c r="AI155" i="1"/>
  <c r="AJ155" i="1"/>
  <c r="AP154" i="1" l="1"/>
  <c r="AS154" i="1" s="1"/>
  <c r="AH157" i="1"/>
  <c r="AR156" i="1"/>
  <c r="AO155" i="1"/>
  <c r="AM155" i="1"/>
  <c r="AN155" i="1"/>
  <c r="AK156" i="1"/>
  <c r="AI156" i="1"/>
  <c r="AJ156" i="1"/>
  <c r="AL156" i="1"/>
  <c r="AP155" i="1" l="1"/>
  <c r="AS155" i="1" s="1"/>
  <c r="AH158" i="1"/>
  <c r="AR157" i="1"/>
  <c r="AO156" i="1"/>
  <c r="AM156" i="1"/>
  <c r="AN156" i="1"/>
  <c r="AK157" i="1"/>
  <c r="AI157" i="1"/>
  <c r="AL157" i="1"/>
  <c r="AJ157" i="1"/>
  <c r="AP156" i="1" l="1"/>
  <c r="AS156" i="1" s="1"/>
  <c r="AH159" i="1"/>
  <c r="AR158" i="1"/>
  <c r="AO157" i="1"/>
  <c r="AM157" i="1"/>
  <c r="AN157" i="1"/>
  <c r="AI158" i="1"/>
  <c r="AK158" i="1"/>
  <c r="AJ158" i="1"/>
  <c r="AL158" i="1"/>
  <c r="AP157" i="1" l="1"/>
  <c r="AS157" i="1" s="1"/>
  <c r="AH160" i="1"/>
  <c r="AR159" i="1"/>
  <c r="AO158" i="1"/>
  <c r="AM158" i="1"/>
  <c r="AN158" i="1"/>
  <c r="AK159" i="1"/>
  <c r="AL159" i="1"/>
  <c r="AI159" i="1"/>
  <c r="AJ159" i="1"/>
  <c r="AP158" i="1" l="1"/>
  <c r="AS158" i="1" s="1"/>
  <c r="AH161" i="1"/>
  <c r="AR160" i="1"/>
  <c r="AM159" i="1"/>
  <c r="AO159" i="1"/>
  <c r="AN159" i="1"/>
  <c r="AK160" i="1"/>
  <c r="AI160" i="1"/>
  <c r="AJ160" i="1"/>
  <c r="AL160" i="1"/>
  <c r="AP159" i="1" l="1"/>
  <c r="AS159" i="1" s="1"/>
  <c r="AH162" i="1"/>
  <c r="AR161" i="1"/>
  <c r="AO160" i="1"/>
  <c r="AM160" i="1"/>
  <c r="AN160" i="1"/>
  <c r="AK161" i="1"/>
  <c r="AI161" i="1"/>
  <c r="AL161" i="1"/>
  <c r="AJ161" i="1"/>
  <c r="AP160" i="1" l="1"/>
  <c r="AS160" i="1" s="1"/>
  <c r="AH163" i="1"/>
  <c r="AR162" i="1"/>
  <c r="AO161" i="1"/>
  <c r="AM161" i="1"/>
  <c r="AN161" i="1"/>
  <c r="AI162" i="1"/>
  <c r="AJ162" i="1"/>
  <c r="AK162" i="1"/>
  <c r="AL162" i="1"/>
  <c r="AP161" i="1" l="1"/>
  <c r="AS161" i="1" s="1"/>
  <c r="AH164" i="1"/>
  <c r="AR163" i="1"/>
  <c r="AO162" i="1"/>
  <c r="AM162" i="1"/>
  <c r="AN162" i="1"/>
  <c r="AK163" i="1"/>
  <c r="AL163" i="1"/>
  <c r="AI163" i="1"/>
  <c r="AJ163" i="1"/>
  <c r="AP162" i="1" l="1"/>
  <c r="AS162" i="1" s="1"/>
  <c r="AH165" i="1"/>
  <c r="AR164" i="1"/>
  <c r="AO163" i="1"/>
  <c r="AM163" i="1"/>
  <c r="AN163" i="1"/>
  <c r="AK164" i="1"/>
  <c r="AI164" i="1"/>
  <c r="AJ164" i="1"/>
  <c r="AL164" i="1"/>
  <c r="AP163" i="1" l="1"/>
  <c r="AS163" i="1" s="1"/>
  <c r="AH166" i="1"/>
  <c r="AR165" i="1"/>
  <c r="AO164" i="1"/>
  <c r="AM164" i="1"/>
  <c r="AN164" i="1"/>
  <c r="AK165" i="1"/>
  <c r="AI165" i="1"/>
  <c r="AL165" i="1"/>
  <c r="AJ165" i="1"/>
  <c r="AP164" i="1" l="1"/>
  <c r="AS164" i="1" s="1"/>
  <c r="AH167" i="1"/>
  <c r="AR166" i="1"/>
  <c r="AO165" i="1"/>
  <c r="AM165" i="1"/>
  <c r="AN165" i="1"/>
  <c r="AI166" i="1"/>
  <c r="AK166" i="1"/>
  <c r="AJ166" i="1"/>
  <c r="AL166" i="1"/>
  <c r="AP165" i="1" l="1"/>
  <c r="AH168" i="1"/>
  <c r="AR167" i="1"/>
  <c r="AP167" i="1"/>
  <c r="AS165" i="1"/>
  <c r="AO166" i="1"/>
  <c r="AM166" i="1"/>
  <c r="AN166" i="1"/>
  <c r="AK167" i="1"/>
  <c r="AL167" i="1"/>
  <c r="AI167" i="1"/>
  <c r="AJ167" i="1"/>
  <c r="AP166" i="1" l="1"/>
  <c r="AS166" i="1" s="1"/>
  <c r="AH169" i="1"/>
  <c r="AP168" i="1"/>
  <c r="AR168" i="1"/>
  <c r="AM167" i="1"/>
  <c r="AO167" i="1"/>
  <c r="AN167" i="1"/>
  <c r="AK168" i="1"/>
  <c r="AI168" i="1"/>
  <c r="AJ168" i="1"/>
  <c r="AL168" i="1"/>
  <c r="AH170" i="1" l="1"/>
  <c r="AP169" i="1"/>
  <c r="AR169" i="1"/>
  <c r="AS167" i="1"/>
  <c r="AO168" i="1"/>
  <c r="AM168" i="1"/>
  <c r="AS168" i="1" s="1"/>
  <c r="AN168" i="1"/>
  <c r="AK169" i="1"/>
  <c r="AI169" i="1"/>
  <c r="AL169" i="1"/>
  <c r="AJ169" i="1"/>
  <c r="AH171" i="1" l="1"/>
  <c r="AP170" i="1"/>
  <c r="AR170" i="1"/>
  <c r="AO169" i="1"/>
  <c r="AM169" i="1"/>
  <c r="AN169" i="1"/>
  <c r="AI170" i="1"/>
  <c r="AJ170" i="1"/>
  <c r="AK170" i="1"/>
  <c r="AL170" i="1"/>
  <c r="AH172" i="1" l="1"/>
  <c r="AR171" i="1"/>
  <c r="AP171" i="1"/>
  <c r="AS169" i="1"/>
  <c r="AO170" i="1"/>
  <c r="AM170" i="1"/>
  <c r="AN170" i="1"/>
  <c r="AK171" i="1"/>
  <c r="AL171" i="1"/>
  <c r="AI171" i="1"/>
  <c r="AJ171" i="1"/>
  <c r="AH173" i="1" l="1"/>
  <c r="AP172" i="1"/>
  <c r="AR172" i="1"/>
  <c r="AS170" i="1"/>
  <c r="AO171" i="1"/>
  <c r="AM171" i="1"/>
  <c r="AN171" i="1"/>
  <c r="AK172" i="1"/>
  <c r="AI172" i="1"/>
  <c r="AJ172" i="1"/>
  <c r="AL172" i="1"/>
  <c r="AH174" i="1" l="1"/>
  <c r="AP173" i="1"/>
  <c r="AR173" i="1"/>
  <c r="AS171" i="1"/>
  <c r="AO172" i="1"/>
  <c r="AM172" i="1"/>
  <c r="AN172" i="1"/>
  <c r="AK173" i="1"/>
  <c r="AI173" i="1"/>
  <c r="AL173" i="1"/>
  <c r="AJ173" i="1"/>
  <c r="AH175" i="1" l="1"/>
  <c r="AP174" i="1"/>
  <c r="AR174" i="1"/>
  <c r="AS172" i="1"/>
  <c r="AO173" i="1"/>
  <c r="AM173" i="1"/>
  <c r="AN173" i="1"/>
  <c r="AI174" i="1"/>
  <c r="AK174" i="1"/>
  <c r="AJ174" i="1"/>
  <c r="AL174" i="1"/>
  <c r="AH176" i="1" l="1"/>
  <c r="AR175" i="1"/>
  <c r="AP175" i="1"/>
  <c r="AS173" i="1"/>
  <c r="AO174" i="1"/>
  <c r="AM174" i="1"/>
  <c r="AN174" i="1"/>
  <c r="AK175" i="1"/>
  <c r="AL175" i="1"/>
  <c r="AI175" i="1"/>
  <c r="AJ175" i="1"/>
  <c r="AH177" i="1" l="1"/>
  <c r="AP176" i="1"/>
  <c r="AR176" i="1"/>
  <c r="AS174" i="1"/>
  <c r="AM175" i="1"/>
  <c r="AO175" i="1"/>
  <c r="AN175" i="1"/>
  <c r="AK176" i="1"/>
  <c r="AI176" i="1"/>
  <c r="AJ176" i="1"/>
  <c r="AL176" i="1"/>
  <c r="AH178" i="1" l="1"/>
  <c r="AP177" i="1"/>
  <c r="AR177" i="1"/>
  <c r="AS175" i="1"/>
  <c r="AO176" i="1"/>
  <c r="AM176" i="1"/>
  <c r="AN176" i="1"/>
  <c r="AK177" i="1"/>
  <c r="AI177" i="1"/>
  <c r="AL177" i="1"/>
  <c r="AJ177" i="1"/>
  <c r="AH179" i="1" l="1"/>
  <c r="AP178" i="1"/>
  <c r="AR178" i="1"/>
  <c r="AS176" i="1"/>
  <c r="AO177" i="1"/>
  <c r="AM177" i="1"/>
  <c r="AN177" i="1"/>
  <c r="AI178" i="1"/>
  <c r="AJ178" i="1"/>
  <c r="AK178" i="1"/>
  <c r="AL178" i="1"/>
  <c r="AH180" i="1" l="1"/>
  <c r="AR179" i="1"/>
  <c r="AP179" i="1"/>
  <c r="AS177" i="1"/>
  <c r="AO178" i="1"/>
  <c r="AM178" i="1"/>
  <c r="AN178" i="1"/>
  <c r="AK179" i="1"/>
  <c r="AL179" i="1"/>
  <c r="AI179" i="1"/>
  <c r="AJ179" i="1"/>
  <c r="AH181" i="1" l="1"/>
  <c r="AP180" i="1"/>
  <c r="AR180" i="1"/>
  <c r="AS178" i="1"/>
  <c r="AO179" i="1"/>
  <c r="AM179" i="1"/>
  <c r="AN179" i="1"/>
  <c r="AK180" i="1"/>
  <c r="AI180" i="1"/>
  <c r="AJ180" i="1"/>
  <c r="AL180" i="1"/>
  <c r="AH182" i="1" l="1"/>
  <c r="AP181" i="1"/>
  <c r="AR181" i="1"/>
  <c r="AS179" i="1"/>
  <c r="AO180" i="1"/>
  <c r="AM180" i="1"/>
  <c r="AN180" i="1"/>
  <c r="AK181" i="1"/>
  <c r="AI181" i="1"/>
  <c r="AL181" i="1"/>
  <c r="AJ181" i="1"/>
  <c r="AH183" i="1" l="1"/>
  <c r="AP182" i="1"/>
  <c r="AR182" i="1"/>
  <c r="AS180" i="1"/>
  <c r="AO181" i="1"/>
  <c r="AM181" i="1"/>
  <c r="AN181" i="1"/>
  <c r="AI182" i="1"/>
  <c r="AK182" i="1"/>
  <c r="AJ182" i="1"/>
  <c r="AL182" i="1"/>
  <c r="AH184" i="1" l="1"/>
  <c r="AR183" i="1"/>
  <c r="AP183" i="1"/>
  <c r="AS181" i="1"/>
  <c r="AO182" i="1"/>
  <c r="AM182" i="1"/>
  <c r="AN182" i="1"/>
  <c r="AK183" i="1"/>
  <c r="AL183" i="1"/>
  <c r="AI183" i="1"/>
  <c r="AJ183" i="1"/>
  <c r="AH185" i="1" l="1"/>
  <c r="AP184" i="1"/>
  <c r="AR184" i="1"/>
  <c r="AS182" i="1"/>
  <c r="AM183" i="1"/>
  <c r="AO183" i="1"/>
  <c r="AN183" i="1"/>
  <c r="AK184" i="1"/>
  <c r="AI184" i="1"/>
  <c r="AJ184" i="1"/>
  <c r="AL184" i="1"/>
  <c r="AH186" i="1" l="1"/>
  <c r="AP185" i="1"/>
  <c r="AR185" i="1"/>
  <c r="AS183" i="1"/>
  <c r="AO184" i="1"/>
  <c r="AM184" i="1"/>
  <c r="AN184" i="1"/>
  <c r="AK185" i="1"/>
  <c r="AI185" i="1"/>
  <c r="AL185" i="1"/>
  <c r="AJ185" i="1"/>
  <c r="AH187" i="1" l="1"/>
  <c r="AP186" i="1"/>
  <c r="AR186" i="1"/>
  <c r="AS184" i="1"/>
  <c r="AO185" i="1"/>
  <c r="AM185" i="1"/>
  <c r="AN185" i="1"/>
  <c r="AI186" i="1"/>
  <c r="AJ186" i="1"/>
  <c r="AK186" i="1"/>
  <c r="AL186" i="1"/>
  <c r="AH188" i="1" l="1"/>
  <c r="AR187" i="1"/>
  <c r="AP187" i="1"/>
  <c r="AS185" i="1"/>
  <c r="AO186" i="1"/>
  <c r="AM186" i="1"/>
  <c r="AN186" i="1"/>
  <c r="AK187" i="1"/>
  <c r="AL187" i="1"/>
  <c r="AI187" i="1"/>
  <c r="AJ187" i="1"/>
  <c r="AH189" i="1" l="1"/>
  <c r="AP188" i="1"/>
  <c r="AR188" i="1"/>
  <c r="AS186" i="1"/>
  <c r="AO187" i="1"/>
  <c r="AM187" i="1"/>
  <c r="AN187" i="1"/>
  <c r="AK188" i="1"/>
  <c r="AI188" i="1"/>
  <c r="AJ188" i="1"/>
  <c r="AL188" i="1"/>
  <c r="AH190" i="1" l="1"/>
  <c r="AP189" i="1"/>
  <c r="AR189" i="1"/>
  <c r="AS187" i="1"/>
  <c r="AO188" i="1"/>
  <c r="AM188" i="1"/>
  <c r="AN188" i="1"/>
  <c r="AK189" i="1"/>
  <c r="AI189" i="1"/>
  <c r="AL189" i="1"/>
  <c r="AJ189" i="1"/>
  <c r="AH191" i="1" l="1"/>
  <c r="AP190" i="1"/>
  <c r="AR190" i="1"/>
  <c r="AS188" i="1"/>
  <c r="AO189" i="1"/>
  <c r="AM189" i="1"/>
  <c r="AN189" i="1"/>
  <c r="AI190" i="1"/>
  <c r="AK190" i="1"/>
  <c r="AJ190" i="1"/>
  <c r="AL190" i="1"/>
  <c r="AH192" i="1" l="1"/>
  <c r="AR191" i="1"/>
  <c r="AP191" i="1"/>
  <c r="AS189" i="1"/>
  <c r="AO190" i="1"/>
  <c r="AM190" i="1"/>
  <c r="AN190" i="1"/>
  <c r="AK191" i="1"/>
  <c r="AL191" i="1"/>
  <c r="AI191" i="1"/>
  <c r="AJ191" i="1"/>
  <c r="AH193" i="1" l="1"/>
  <c r="AP192" i="1"/>
  <c r="AR192" i="1"/>
  <c r="AS190" i="1"/>
  <c r="AM191" i="1"/>
  <c r="AO191" i="1"/>
  <c r="AN191" i="1"/>
  <c r="AK192" i="1"/>
  <c r="AI192" i="1"/>
  <c r="AJ192" i="1"/>
  <c r="AL192" i="1"/>
  <c r="AH194" i="1" l="1"/>
  <c r="AP193" i="1"/>
  <c r="AR193" i="1"/>
  <c r="AS191" i="1"/>
  <c r="AO192" i="1"/>
  <c r="AM192" i="1"/>
  <c r="AN192" i="1"/>
  <c r="AK193" i="1"/>
  <c r="AI193" i="1"/>
  <c r="AL193" i="1"/>
  <c r="AJ193" i="1"/>
  <c r="AH195" i="1" l="1"/>
  <c r="AP194" i="1"/>
  <c r="AR194" i="1"/>
  <c r="AS192" i="1"/>
  <c r="AO193" i="1"/>
  <c r="AM193" i="1"/>
  <c r="AN193" i="1"/>
  <c r="AI194" i="1"/>
  <c r="AJ194" i="1"/>
  <c r="AK194" i="1"/>
  <c r="AL194" i="1"/>
  <c r="AH196" i="1" l="1"/>
  <c r="AR195" i="1"/>
  <c r="AP195" i="1"/>
  <c r="AS193" i="1"/>
  <c r="AO194" i="1"/>
  <c r="AM194" i="1"/>
  <c r="AN194" i="1"/>
  <c r="AK195" i="1"/>
  <c r="AL195" i="1"/>
  <c r="AI195" i="1"/>
  <c r="AJ195" i="1"/>
  <c r="AH197" i="1" l="1"/>
  <c r="AP196" i="1"/>
  <c r="AR196" i="1"/>
  <c r="AS194" i="1"/>
  <c r="AO195" i="1"/>
  <c r="AM195" i="1"/>
  <c r="AN195" i="1"/>
  <c r="AK196" i="1"/>
  <c r="AI196" i="1"/>
  <c r="AJ196" i="1"/>
  <c r="AL196" i="1"/>
  <c r="AH198" i="1" l="1"/>
  <c r="AP197" i="1"/>
  <c r="AR197" i="1"/>
  <c r="AS195" i="1"/>
  <c r="AM196" i="1"/>
  <c r="AO196" i="1"/>
  <c r="AN196" i="1"/>
  <c r="AK197" i="1"/>
  <c r="AI197" i="1"/>
  <c r="AL197" i="1"/>
  <c r="AJ197" i="1"/>
  <c r="AH199" i="1" l="1"/>
  <c r="AP198" i="1"/>
  <c r="AR198" i="1"/>
  <c r="AS196" i="1"/>
  <c r="AO197" i="1"/>
  <c r="AM197" i="1"/>
  <c r="AS197" i="1" s="1"/>
  <c r="AN197" i="1"/>
  <c r="AI198" i="1"/>
  <c r="AK198" i="1"/>
  <c r="AJ198" i="1"/>
  <c r="AL198" i="1"/>
  <c r="AH200" i="1" l="1"/>
  <c r="AR199" i="1"/>
  <c r="AP199" i="1"/>
  <c r="AO198" i="1"/>
  <c r="AM198" i="1"/>
  <c r="AN198" i="1"/>
  <c r="AK199" i="1"/>
  <c r="AL199" i="1"/>
  <c r="AI199" i="1"/>
  <c r="AJ199" i="1"/>
  <c r="AH201" i="1" l="1"/>
  <c r="AP200" i="1"/>
  <c r="AR200" i="1"/>
  <c r="AS198" i="1"/>
  <c r="AO199" i="1"/>
  <c r="AM199" i="1"/>
  <c r="AN199" i="1"/>
  <c r="AI200" i="1"/>
  <c r="AJ200" i="1"/>
  <c r="AK200" i="1"/>
  <c r="AL200" i="1"/>
  <c r="AH202" i="1" l="1"/>
  <c r="AP201" i="1"/>
  <c r="AR201" i="1"/>
  <c r="AS199" i="1"/>
  <c r="AO200" i="1"/>
  <c r="AM200" i="1"/>
  <c r="AN200" i="1"/>
  <c r="AK201" i="1"/>
  <c r="AI201" i="1"/>
  <c r="AL201" i="1"/>
  <c r="AJ201" i="1"/>
  <c r="AH203" i="1" l="1"/>
  <c r="AP202" i="1"/>
  <c r="AR202" i="1"/>
  <c r="AS200" i="1"/>
  <c r="AO201" i="1"/>
  <c r="AM201" i="1"/>
  <c r="AN201" i="1"/>
  <c r="AI202" i="1"/>
  <c r="AK202" i="1"/>
  <c r="AJ202" i="1"/>
  <c r="AL202" i="1"/>
  <c r="AH204" i="1" l="1"/>
  <c r="AR203" i="1"/>
  <c r="AP203" i="1"/>
  <c r="AS201" i="1"/>
  <c r="AO202" i="1"/>
  <c r="AM202" i="1"/>
  <c r="AN202" i="1"/>
  <c r="AK203" i="1"/>
  <c r="AL203" i="1"/>
  <c r="AI203" i="1"/>
  <c r="AJ203" i="1"/>
  <c r="AH205" i="1" l="1"/>
  <c r="AP204" i="1"/>
  <c r="AR204" i="1"/>
  <c r="AS202" i="1"/>
  <c r="AO203" i="1"/>
  <c r="AM203" i="1"/>
  <c r="AN203" i="1"/>
  <c r="AI204" i="1"/>
  <c r="AJ204" i="1"/>
  <c r="AK204" i="1"/>
  <c r="AL204" i="1"/>
  <c r="AH206" i="1" l="1"/>
  <c r="AP205" i="1"/>
  <c r="AR205" i="1"/>
  <c r="AS203" i="1"/>
  <c r="AM204" i="1"/>
  <c r="AO204" i="1"/>
  <c r="AN204" i="1"/>
  <c r="AK205" i="1"/>
  <c r="AI205" i="1"/>
  <c r="AL205" i="1"/>
  <c r="AJ205" i="1"/>
  <c r="AH207" i="1" l="1"/>
  <c r="AP206" i="1"/>
  <c r="AR206" i="1"/>
  <c r="AS204" i="1"/>
  <c r="AO205" i="1"/>
  <c r="AM205" i="1"/>
  <c r="AN205" i="1"/>
  <c r="AI206" i="1"/>
  <c r="AK206" i="1"/>
  <c r="AJ206" i="1"/>
  <c r="AL206" i="1"/>
  <c r="AH208" i="1" l="1"/>
  <c r="AR207" i="1"/>
  <c r="AP207" i="1"/>
  <c r="AS205" i="1"/>
  <c r="AO206" i="1"/>
  <c r="AM206" i="1"/>
  <c r="AN206" i="1"/>
  <c r="AK207" i="1"/>
  <c r="AL207" i="1"/>
  <c r="AI207" i="1"/>
  <c r="AJ207" i="1"/>
  <c r="AH209" i="1" l="1"/>
  <c r="AP208" i="1"/>
  <c r="AR208" i="1"/>
  <c r="AS206" i="1"/>
  <c r="AO207" i="1"/>
  <c r="AM207" i="1"/>
  <c r="AN207" i="1"/>
  <c r="AI208" i="1"/>
  <c r="AJ208" i="1"/>
  <c r="AK208" i="1"/>
  <c r="AL208" i="1"/>
  <c r="AH210" i="1" l="1"/>
  <c r="AP209" i="1"/>
  <c r="AR209" i="1"/>
  <c r="AS207" i="1"/>
  <c r="AO208" i="1"/>
  <c r="AM208" i="1"/>
  <c r="AN208" i="1"/>
  <c r="AK209" i="1"/>
  <c r="AI209" i="1"/>
  <c r="AL209" i="1"/>
  <c r="AJ209" i="1"/>
  <c r="AH211" i="1" l="1"/>
  <c r="AP210" i="1"/>
  <c r="AR210" i="1"/>
  <c r="AS208" i="1"/>
  <c r="AO209" i="1"/>
  <c r="AM209" i="1"/>
  <c r="AN209" i="1"/>
  <c r="AK210" i="1"/>
  <c r="AJ210" i="1"/>
  <c r="AI210" i="1"/>
  <c r="AL210" i="1"/>
  <c r="AH212" i="1" l="1"/>
  <c r="AR211" i="1"/>
  <c r="AP211" i="1"/>
  <c r="AS209" i="1"/>
  <c r="AO210" i="1"/>
  <c r="AM210" i="1"/>
  <c r="AN210" i="1"/>
  <c r="AK211" i="1"/>
  <c r="AI211" i="1"/>
  <c r="AL211" i="1"/>
  <c r="AJ211" i="1"/>
  <c r="AH213" i="1" l="1"/>
  <c r="AP212" i="1"/>
  <c r="AR212" i="1"/>
  <c r="AS210" i="1"/>
  <c r="AO211" i="1"/>
  <c r="AM211" i="1"/>
  <c r="AN211" i="1"/>
  <c r="AJ212" i="1"/>
  <c r="AK212" i="1"/>
  <c r="AI212" i="1"/>
  <c r="AL212" i="1"/>
  <c r="AH214" i="1" l="1"/>
  <c r="AP213" i="1"/>
  <c r="AR213" i="1"/>
  <c r="AS211" i="1"/>
  <c r="AM212" i="1"/>
  <c r="AO212" i="1"/>
  <c r="AN212" i="1"/>
  <c r="AK213" i="1"/>
  <c r="AI213" i="1"/>
  <c r="AL213" i="1"/>
  <c r="AJ213" i="1"/>
  <c r="AH215" i="1" l="1"/>
  <c r="AP214" i="1"/>
  <c r="AR214" i="1"/>
  <c r="AS212" i="1"/>
  <c r="AO213" i="1"/>
  <c r="AM213" i="1"/>
  <c r="AS213" i="1" s="1"/>
  <c r="AN213" i="1"/>
  <c r="AK214" i="1"/>
  <c r="AJ214" i="1"/>
  <c r="AI214" i="1"/>
  <c r="AL214" i="1"/>
  <c r="AH216" i="1" l="1"/>
  <c r="AR215" i="1"/>
  <c r="AP215" i="1"/>
  <c r="AO214" i="1"/>
  <c r="AM214" i="1"/>
  <c r="AN214" i="1"/>
  <c r="AK215" i="1"/>
  <c r="AI215" i="1"/>
  <c r="AL215" i="1"/>
  <c r="AJ215" i="1"/>
  <c r="AH217" i="1" l="1"/>
  <c r="AP216" i="1"/>
  <c r="AR216" i="1"/>
  <c r="AS214" i="1"/>
  <c r="AO215" i="1"/>
  <c r="AM215" i="1"/>
  <c r="AS215" i="1" s="1"/>
  <c r="AN215" i="1"/>
  <c r="AJ216" i="1"/>
  <c r="AK216" i="1"/>
  <c r="AI216" i="1"/>
  <c r="AL216" i="1"/>
  <c r="AH218" i="1" l="1"/>
  <c r="AP217" i="1"/>
  <c r="AR217" i="1"/>
  <c r="AO216" i="1"/>
  <c r="AM216" i="1"/>
  <c r="AN216" i="1"/>
  <c r="AK217" i="1"/>
  <c r="AI217" i="1"/>
  <c r="AL217" i="1"/>
  <c r="AJ217" i="1"/>
  <c r="AH219" i="1" l="1"/>
  <c r="AP218" i="1"/>
  <c r="AR218" i="1"/>
  <c r="AS216" i="1"/>
  <c r="AO217" i="1"/>
  <c r="AM217" i="1"/>
  <c r="AS217" i="1" s="1"/>
  <c r="AN217" i="1"/>
  <c r="AK218" i="1"/>
  <c r="AJ218" i="1"/>
  <c r="AI218" i="1"/>
  <c r="AL218" i="1"/>
  <c r="AH220" i="1" l="1"/>
  <c r="AR219" i="1"/>
  <c r="AP219" i="1"/>
  <c r="AO218" i="1"/>
  <c r="AM218" i="1"/>
  <c r="AN218" i="1"/>
  <c r="AK219" i="1"/>
  <c r="AI219" i="1"/>
  <c r="AL219" i="1"/>
  <c r="AJ219" i="1"/>
  <c r="AH221" i="1" l="1"/>
  <c r="AP220" i="1"/>
  <c r="AR220" i="1"/>
  <c r="AS218" i="1"/>
  <c r="AO219" i="1"/>
  <c r="AM219" i="1"/>
  <c r="AN219" i="1"/>
  <c r="AJ220" i="1"/>
  <c r="AK220" i="1"/>
  <c r="AI220" i="1"/>
  <c r="AL220" i="1"/>
  <c r="AH222" i="1" l="1"/>
  <c r="AP221" i="1"/>
  <c r="AR221" i="1"/>
  <c r="AS219" i="1"/>
  <c r="AM220" i="1"/>
  <c r="AO220" i="1"/>
  <c r="AN220" i="1"/>
  <c r="AK221" i="1"/>
  <c r="AI221" i="1"/>
  <c r="AL221" i="1"/>
  <c r="AJ221" i="1"/>
  <c r="AH223" i="1" l="1"/>
  <c r="AP222" i="1"/>
  <c r="AR222" i="1"/>
  <c r="AS220" i="1"/>
  <c r="AO221" i="1"/>
  <c r="AM221" i="1"/>
  <c r="AS221" i="1" s="1"/>
  <c r="AN221" i="1"/>
  <c r="AK222" i="1"/>
  <c r="AJ222" i="1"/>
  <c r="AI222" i="1"/>
  <c r="AL222" i="1"/>
  <c r="AR223" i="1" l="1"/>
  <c r="AP223" i="1"/>
  <c r="AO222" i="1"/>
  <c r="AM222" i="1"/>
  <c r="AN222" i="1"/>
  <c r="AK223" i="1"/>
  <c r="AI223" i="1"/>
  <c r="AL223" i="1"/>
  <c r="AJ223" i="1"/>
  <c r="AS222" i="1" l="1"/>
  <c r="AO223" i="1"/>
  <c r="AM223" i="1"/>
  <c r="AS223" i="1" s="1"/>
  <c r="AN223" i="1"/>
</calcChain>
</file>

<file path=xl/sharedStrings.xml><?xml version="1.0" encoding="utf-8"?>
<sst xmlns="http://schemas.openxmlformats.org/spreadsheetml/2006/main" count="98" uniqueCount="88">
  <si>
    <t>Date</t>
  </si>
  <si>
    <t>AAPL</t>
  </si>
  <si>
    <t>SPY</t>
  </si>
  <si>
    <t>AAPL rel</t>
  </si>
  <si>
    <t>AAPL abs</t>
  </si>
  <si>
    <t>SPY abs</t>
  </si>
  <si>
    <t>SPY rel</t>
  </si>
  <si>
    <t>AAPL option</t>
  </si>
  <si>
    <t>strike price</t>
  </si>
  <si>
    <t>current spot</t>
  </si>
  <si>
    <t>volatility</t>
  </si>
  <si>
    <t>time to expiration</t>
  </si>
  <si>
    <t>risk free rate</t>
  </si>
  <si>
    <t>dividend rate</t>
  </si>
  <si>
    <t>d2</t>
  </si>
  <si>
    <t>put price</t>
  </si>
  <si>
    <t>analytical delta</t>
  </si>
  <si>
    <t>covariance matrix, absolute</t>
  </si>
  <si>
    <t>covariance matrix, relative</t>
  </si>
  <si>
    <t>means absolute</t>
  </si>
  <si>
    <t>means relative</t>
  </si>
  <si>
    <t>optimal AAPL bump, absolute</t>
  </si>
  <si>
    <t>optimal AAPL bump, relative</t>
  </si>
  <si>
    <t>up put price, absolute</t>
  </si>
  <si>
    <t>down put price, absolute</t>
  </si>
  <si>
    <t>up put price, relative</t>
  </si>
  <si>
    <t>down put price, relative</t>
  </si>
  <si>
    <t>delta, relative</t>
  </si>
  <si>
    <t>delta, absolute</t>
  </si>
  <si>
    <t>gamma, absolute</t>
  </si>
  <si>
    <t>gamma, relative</t>
  </si>
  <si>
    <t>analytical gamma</t>
  </si>
  <si>
    <t>full, absolute</t>
  </si>
  <si>
    <t>n</t>
  </si>
  <si>
    <t>AAPL - mean</t>
  </si>
  <si>
    <t>SPY - mean</t>
  </si>
  <si>
    <t>correlation matrix</t>
  </si>
  <si>
    <t>5000 normals</t>
  </si>
  <si>
    <t>correlated N(0,1)</t>
  </si>
  <si>
    <t>Beginner VaR</t>
  </si>
  <si>
    <t>99% VaR</t>
  </si>
  <si>
    <t>Beginner VaR, absolute</t>
  </si>
  <si>
    <t>variance covariance method</t>
  </si>
  <si>
    <t>overall P&amp;L variance</t>
  </si>
  <si>
    <t>overall P&amp;L stdev</t>
  </si>
  <si>
    <t>overall P&amp;L mean</t>
  </si>
  <si>
    <t>99 percentile</t>
  </si>
  <si>
    <t>variance covariance VaR</t>
  </si>
  <si>
    <t>AAPL absolute shift kurtosis</t>
  </si>
  <si>
    <t>current value of position</t>
  </si>
  <si>
    <t>AAPL absolute shift skew</t>
  </si>
  <si>
    <t>JB statistic</t>
  </si>
  <si>
    <t>p value</t>
  </si>
  <si>
    <t>SPY absolute shift kurtosis</t>
  </si>
  <si>
    <t>SPY absolute shift skew</t>
  </si>
  <si>
    <t>AAPL log returns</t>
  </si>
  <si>
    <t>SPY log returns</t>
  </si>
  <si>
    <t>AAPL-mean</t>
  </si>
  <si>
    <t>SPY-mean</t>
  </si>
  <si>
    <t>AAPL log return kurtosis</t>
  </si>
  <si>
    <t>AAPL log return skew</t>
  </si>
  <si>
    <t>SPY log return kurtosis</t>
  </si>
  <si>
    <t>SPY log return skew</t>
  </si>
  <si>
    <t>d1</t>
  </si>
  <si>
    <t>spot</t>
  </si>
  <si>
    <t>barrier</t>
  </si>
  <si>
    <t>option</t>
  </si>
  <si>
    <t>Problem</t>
  </si>
  <si>
    <t>v call K</t>
  </si>
  <si>
    <t>v call B</t>
  </si>
  <si>
    <t>d call B</t>
  </si>
  <si>
    <t>reflected S</t>
  </si>
  <si>
    <t>alpha</t>
  </si>
  <si>
    <t>up &amp; out</t>
  </si>
  <si>
    <t>strike</t>
  </si>
  <si>
    <t>h</t>
  </si>
  <si>
    <t>delta</t>
  </si>
  <si>
    <t>gamma</t>
  </si>
  <si>
    <t>Delta Spot</t>
  </si>
  <si>
    <t>DG Approximation</t>
  </si>
  <si>
    <t>Grid approximation</t>
  </si>
  <si>
    <t>Full Reval</t>
  </si>
  <si>
    <t>Problem 1</t>
  </si>
  <si>
    <t>Problem 3</t>
  </si>
  <si>
    <t>None of these are normal</t>
  </si>
  <si>
    <t>Problem 2</t>
  </si>
  <si>
    <t>Monte Carlo VaR for AAPL and SPY</t>
  </si>
  <si>
    <t>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</si>
</sst>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#,##0.0000"/>
    <numFmt numFmtId="166" formatCode="0.000"/>
    <numFmt numFmtId="167" formatCode="0.000000"/>
  </numFmts>
  <fonts count="12" x14ac:knownFonts="1"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0" fillId="0" borderId="0" xfId="0" quotePrefix="1" applyNumberFormat="1"/>
    <xf numFmtId="4" fontId="1" fillId="0" borderId="0" xfId="0" applyNumberFormat="1" applyFont="1"/>
    <xf numFmtId="165" fontId="0" fillId="0" borderId="0" xfId="0" quotePrefix="1" applyNumberFormat="1"/>
    <xf numFmtId="164" fontId="1" fillId="0" borderId="0" xfId="0" applyNumberFormat="1" applyFont="1"/>
    <xf numFmtId="4" fontId="3" fillId="0" borderId="0" xfId="0" applyNumberFormat="1" applyFont="1"/>
    <xf numFmtId="164" fontId="3" fillId="0" borderId="0" xfId="0" applyNumberFormat="1" applyFont="1"/>
    <xf numFmtId="4" fontId="4" fillId="0" borderId="0" xfId="0" applyNumberFormat="1" applyFont="1"/>
    <xf numFmtId="164" fontId="4" fillId="0" borderId="0" xfId="0" applyNumberFormat="1" applyFont="1"/>
    <xf numFmtId="0" fontId="2" fillId="0" borderId="0" xfId="0" applyFont="1"/>
    <xf numFmtId="0" fontId="3" fillId="0" borderId="0" xfId="0" applyFont="1"/>
    <xf numFmtId="165" fontId="3" fillId="0" borderId="0" xfId="0" quotePrefix="1" applyNumberFormat="1" applyFont="1"/>
    <xf numFmtId="165" fontId="3" fillId="0" borderId="0" xfId="0" applyNumberFormat="1" applyFont="1"/>
    <xf numFmtId="2" fontId="3" fillId="0" borderId="0" xfId="0" applyNumberFormat="1" applyFont="1"/>
    <xf numFmtId="167" fontId="0" fillId="0" borderId="0" xfId="0" applyNumberFormat="1"/>
    <xf numFmtId="4" fontId="0" fillId="0" borderId="0" xfId="0" quotePrefix="1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4" fontId="5" fillId="0" borderId="0" xfId="0" applyNumberFormat="1" applyFont="1"/>
    <xf numFmtId="4" fontId="8" fillId="0" borderId="0" xfId="0" applyNumberFormat="1" applyFont="1"/>
    <xf numFmtId="0" fontId="9" fillId="0" borderId="0" xfId="0" applyFont="1"/>
    <xf numFmtId="0" fontId="10" fillId="0" borderId="0" xfId="0" applyFont="1"/>
    <xf numFmtId="2" fontId="4" fillId="0" borderId="0" xfId="0" applyNumberFormat="1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</a:t>
            </a:r>
            <a:r>
              <a:rPr lang="en-US" baseline="0"/>
              <a:t> the Money Knockout Call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Sheet1!$AR$23:$AR$223</c:f>
              <c:numCache>
                <c:formatCode>#,##0.00</c:formatCode>
                <c:ptCount val="201"/>
                <c:pt idx="0">
                  <c:v>50</c:v>
                </c:pt>
                <c:pt idx="1">
                  <c:v>50.5</c:v>
                </c:pt>
                <c:pt idx="2">
                  <c:v>51</c:v>
                </c:pt>
                <c:pt idx="3">
                  <c:v>51.5</c:v>
                </c:pt>
                <c:pt idx="4">
                  <c:v>52</c:v>
                </c:pt>
                <c:pt idx="5">
                  <c:v>52.5</c:v>
                </c:pt>
                <c:pt idx="6">
                  <c:v>53</c:v>
                </c:pt>
                <c:pt idx="7">
                  <c:v>53.5</c:v>
                </c:pt>
                <c:pt idx="8">
                  <c:v>54</c:v>
                </c:pt>
                <c:pt idx="9">
                  <c:v>54.5</c:v>
                </c:pt>
                <c:pt idx="10">
                  <c:v>55</c:v>
                </c:pt>
                <c:pt idx="11">
                  <c:v>55.5</c:v>
                </c:pt>
                <c:pt idx="12">
                  <c:v>56</c:v>
                </c:pt>
                <c:pt idx="13">
                  <c:v>56.5</c:v>
                </c:pt>
                <c:pt idx="14">
                  <c:v>57</c:v>
                </c:pt>
                <c:pt idx="15">
                  <c:v>57.5</c:v>
                </c:pt>
                <c:pt idx="16">
                  <c:v>58</c:v>
                </c:pt>
                <c:pt idx="17">
                  <c:v>58.5</c:v>
                </c:pt>
                <c:pt idx="18">
                  <c:v>59</c:v>
                </c:pt>
                <c:pt idx="19">
                  <c:v>59.5</c:v>
                </c:pt>
                <c:pt idx="20">
                  <c:v>60</c:v>
                </c:pt>
                <c:pt idx="21">
                  <c:v>60.5</c:v>
                </c:pt>
                <c:pt idx="22">
                  <c:v>61</c:v>
                </c:pt>
                <c:pt idx="23">
                  <c:v>61.5</c:v>
                </c:pt>
                <c:pt idx="24">
                  <c:v>62</c:v>
                </c:pt>
                <c:pt idx="25">
                  <c:v>62.5</c:v>
                </c:pt>
                <c:pt idx="26">
                  <c:v>63</c:v>
                </c:pt>
                <c:pt idx="27">
                  <c:v>63.5</c:v>
                </c:pt>
                <c:pt idx="28">
                  <c:v>64</c:v>
                </c:pt>
                <c:pt idx="29">
                  <c:v>64.5</c:v>
                </c:pt>
                <c:pt idx="30">
                  <c:v>65</c:v>
                </c:pt>
                <c:pt idx="31">
                  <c:v>65.5</c:v>
                </c:pt>
                <c:pt idx="32">
                  <c:v>66</c:v>
                </c:pt>
                <c:pt idx="33">
                  <c:v>66.5</c:v>
                </c:pt>
                <c:pt idx="34">
                  <c:v>67</c:v>
                </c:pt>
                <c:pt idx="35">
                  <c:v>67.5</c:v>
                </c:pt>
                <c:pt idx="36">
                  <c:v>68</c:v>
                </c:pt>
                <c:pt idx="37">
                  <c:v>68.5</c:v>
                </c:pt>
                <c:pt idx="38">
                  <c:v>69</c:v>
                </c:pt>
                <c:pt idx="39">
                  <c:v>69.5</c:v>
                </c:pt>
                <c:pt idx="40">
                  <c:v>70</c:v>
                </c:pt>
                <c:pt idx="41">
                  <c:v>70.5</c:v>
                </c:pt>
                <c:pt idx="42">
                  <c:v>71</c:v>
                </c:pt>
                <c:pt idx="43">
                  <c:v>71.5</c:v>
                </c:pt>
                <c:pt idx="44">
                  <c:v>72</c:v>
                </c:pt>
                <c:pt idx="45">
                  <c:v>72.5</c:v>
                </c:pt>
                <c:pt idx="46">
                  <c:v>73</c:v>
                </c:pt>
                <c:pt idx="47">
                  <c:v>73.5</c:v>
                </c:pt>
                <c:pt idx="48">
                  <c:v>74</c:v>
                </c:pt>
                <c:pt idx="49">
                  <c:v>74.5</c:v>
                </c:pt>
                <c:pt idx="50">
                  <c:v>75</c:v>
                </c:pt>
                <c:pt idx="51">
                  <c:v>75.5</c:v>
                </c:pt>
                <c:pt idx="52">
                  <c:v>76</c:v>
                </c:pt>
                <c:pt idx="53">
                  <c:v>76.5</c:v>
                </c:pt>
                <c:pt idx="54">
                  <c:v>77</c:v>
                </c:pt>
                <c:pt idx="55">
                  <c:v>77.5</c:v>
                </c:pt>
                <c:pt idx="56">
                  <c:v>78</c:v>
                </c:pt>
                <c:pt idx="57">
                  <c:v>78.5</c:v>
                </c:pt>
                <c:pt idx="58">
                  <c:v>79</c:v>
                </c:pt>
                <c:pt idx="59">
                  <c:v>79.5</c:v>
                </c:pt>
                <c:pt idx="60">
                  <c:v>80</c:v>
                </c:pt>
                <c:pt idx="61">
                  <c:v>80.5</c:v>
                </c:pt>
                <c:pt idx="62">
                  <c:v>81</c:v>
                </c:pt>
                <c:pt idx="63">
                  <c:v>81.5</c:v>
                </c:pt>
                <c:pt idx="64">
                  <c:v>82</c:v>
                </c:pt>
                <c:pt idx="65">
                  <c:v>82.5</c:v>
                </c:pt>
                <c:pt idx="66">
                  <c:v>83</c:v>
                </c:pt>
                <c:pt idx="67">
                  <c:v>83.5</c:v>
                </c:pt>
                <c:pt idx="68">
                  <c:v>84</c:v>
                </c:pt>
                <c:pt idx="69">
                  <c:v>84.5</c:v>
                </c:pt>
                <c:pt idx="70">
                  <c:v>85</c:v>
                </c:pt>
                <c:pt idx="71">
                  <c:v>85.5</c:v>
                </c:pt>
                <c:pt idx="72">
                  <c:v>86</c:v>
                </c:pt>
                <c:pt idx="73">
                  <c:v>86.5</c:v>
                </c:pt>
                <c:pt idx="74">
                  <c:v>87</c:v>
                </c:pt>
                <c:pt idx="75">
                  <c:v>87.5</c:v>
                </c:pt>
                <c:pt idx="76">
                  <c:v>88</c:v>
                </c:pt>
                <c:pt idx="77">
                  <c:v>88.5</c:v>
                </c:pt>
                <c:pt idx="78">
                  <c:v>89</c:v>
                </c:pt>
                <c:pt idx="79">
                  <c:v>89.5</c:v>
                </c:pt>
                <c:pt idx="80">
                  <c:v>90</c:v>
                </c:pt>
                <c:pt idx="81">
                  <c:v>90.5</c:v>
                </c:pt>
                <c:pt idx="82">
                  <c:v>91</c:v>
                </c:pt>
                <c:pt idx="83">
                  <c:v>91.5</c:v>
                </c:pt>
                <c:pt idx="84">
                  <c:v>92</c:v>
                </c:pt>
                <c:pt idx="85">
                  <c:v>92.5</c:v>
                </c:pt>
                <c:pt idx="86">
                  <c:v>93</c:v>
                </c:pt>
                <c:pt idx="87">
                  <c:v>93.5</c:v>
                </c:pt>
                <c:pt idx="88">
                  <c:v>94</c:v>
                </c:pt>
                <c:pt idx="89">
                  <c:v>94.5</c:v>
                </c:pt>
                <c:pt idx="90">
                  <c:v>95</c:v>
                </c:pt>
                <c:pt idx="91">
                  <c:v>95.5</c:v>
                </c:pt>
                <c:pt idx="92">
                  <c:v>96</c:v>
                </c:pt>
                <c:pt idx="93">
                  <c:v>96.5</c:v>
                </c:pt>
                <c:pt idx="94">
                  <c:v>97</c:v>
                </c:pt>
                <c:pt idx="95">
                  <c:v>97.5</c:v>
                </c:pt>
                <c:pt idx="96">
                  <c:v>98</c:v>
                </c:pt>
                <c:pt idx="97">
                  <c:v>98.5</c:v>
                </c:pt>
                <c:pt idx="98">
                  <c:v>99</c:v>
                </c:pt>
                <c:pt idx="99">
                  <c:v>99.5</c:v>
                </c:pt>
                <c:pt idx="100">
                  <c:v>100</c:v>
                </c:pt>
                <c:pt idx="101">
                  <c:v>100.5</c:v>
                </c:pt>
                <c:pt idx="102">
                  <c:v>101</c:v>
                </c:pt>
                <c:pt idx="103">
                  <c:v>101.5</c:v>
                </c:pt>
                <c:pt idx="104">
                  <c:v>102</c:v>
                </c:pt>
                <c:pt idx="105">
                  <c:v>102.5</c:v>
                </c:pt>
                <c:pt idx="106">
                  <c:v>103</c:v>
                </c:pt>
                <c:pt idx="107">
                  <c:v>103.5</c:v>
                </c:pt>
                <c:pt idx="108">
                  <c:v>104</c:v>
                </c:pt>
                <c:pt idx="109">
                  <c:v>104.5</c:v>
                </c:pt>
                <c:pt idx="110">
                  <c:v>105</c:v>
                </c:pt>
                <c:pt idx="111">
                  <c:v>105.5</c:v>
                </c:pt>
                <c:pt idx="112">
                  <c:v>106</c:v>
                </c:pt>
                <c:pt idx="113">
                  <c:v>106.5</c:v>
                </c:pt>
                <c:pt idx="114">
                  <c:v>107</c:v>
                </c:pt>
                <c:pt idx="115">
                  <c:v>107.5</c:v>
                </c:pt>
                <c:pt idx="116">
                  <c:v>108</c:v>
                </c:pt>
                <c:pt idx="117">
                  <c:v>108.5</c:v>
                </c:pt>
                <c:pt idx="118">
                  <c:v>109</c:v>
                </c:pt>
                <c:pt idx="119">
                  <c:v>109.5</c:v>
                </c:pt>
                <c:pt idx="120">
                  <c:v>110</c:v>
                </c:pt>
                <c:pt idx="121">
                  <c:v>110.5</c:v>
                </c:pt>
                <c:pt idx="122">
                  <c:v>111</c:v>
                </c:pt>
                <c:pt idx="123">
                  <c:v>111.5</c:v>
                </c:pt>
                <c:pt idx="124">
                  <c:v>112</c:v>
                </c:pt>
                <c:pt idx="125">
                  <c:v>112.5</c:v>
                </c:pt>
                <c:pt idx="126">
                  <c:v>113</c:v>
                </c:pt>
                <c:pt idx="127">
                  <c:v>113.5</c:v>
                </c:pt>
                <c:pt idx="128">
                  <c:v>114</c:v>
                </c:pt>
                <c:pt idx="129">
                  <c:v>114.5</c:v>
                </c:pt>
                <c:pt idx="130">
                  <c:v>115</c:v>
                </c:pt>
                <c:pt idx="131">
                  <c:v>115.5</c:v>
                </c:pt>
                <c:pt idx="132">
                  <c:v>116</c:v>
                </c:pt>
                <c:pt idx="133">
                  <c:v>116.5</c:v>
                </c:pt>
                <c:pt idx="134">
                  <c:v>117</c:v>
                </c:pt>
                <c:pt idx="135">
                  <c:v>117.5</c:v>
                </c:pt>
                <c:pt idx="136">
                  <c:v>118</c:v>
                </c:pt>
                <c:pt idx="137">
                  <c:v>118.5</c:v>
                </c:pt>
                <c:pt idx="138">
                  <c:v>119</c:v>
                </c:pt>
                <c:pt idx="139">
                  <c:v>119.5</c:v>
                </c:pt>
                <c:pt idx="140">
                  <c:v>120</c:v>
                </c:pt>
                <c:pt idx="141">
                  <c:v>120.5</c:v>
                </c:pt>
                <c:pt idx="142">
                  <c:v>121</c:v>
                </c:pt>
                <c:pt idx="143">
                  <c:v>121.5</c:v>
                </c:pt>
                <c:pt idx="144">
                  <c:v>122</c:v>
                </c:pt>
                <c:pt idx="145">
                  <c:v>122.5</c:v>
                </c:pt>
                <c:pt idx="146">
                  <c:v>123</c:v>
                </c:pt>
                <c:pt idx="147">
                  <c:v>123.5</c:v>
                </c:pt>
                <c:pt idx="148">
                  <c:v>124</c:v>
                </c:pt>
                <c:pt idx="149">
                  <c:v>124.5</c:v>
                </c:pt>
                <c:pt idx="150">
                  <c:v>125</c:v>
                </c:pt>
                <c:pt idx="151">
                  <c:v>125.5</c:v>
                </c:pt>
                <c:pt idx="152">
                  <c:v>126</c:v>
                </c:pt>
                <c:pt idx="153">
                  <c:v>126.5</c:v>
                </c:pt>
                <c:pt idx="154">
                  <c:v>127</c:v>
                </c:pt>
                <c:pt idx="155">
                  <c:v>127.5</c:v>
                </c:pt>
                <c:pt idx="156">
                  <c:v>128</c:v>
                </c:pt>
                <c:pt idx="157">
                  <c:v>128.5</c:v>
                </c:pt>
                <c:pt idx="158">
                  <c:v>129</c:v>
                </c:pt>
                <c:pt idx="159">
                  <c:v>129.5</c:v>
                </c:pt>
                <c:pt idx="160">
                  <c:v>130</c:v>
                </c:pt>
                <c:pt idx="161">
                  <c:v>130.5</c:v>
                </c:pt>
                <c:pt idx="162">
                  <c:v>131</c:v>
                </c:pt>
                <c:pt idx="163">
                  <c:v>131.5</c:v>
                </c:pt>
                <c:pt idx="164">
                  <c:v>132</c:v>
                </c:pt>
                <c:pt idx="165">
                  <c:v>132.5</c:v>
                </c:pt>
                <c:pt idx="166">
                  <c:v>133</c:v>
                </c:pt>
                <c:pt idx="167">
                  <c:v>133.5</c:v>
                </c:pt>
                <c:pt idx="168">
                  <c:v>134</c:v>
                </c:pt>
                <c:pt idx="169">
                  <c:v>134.5</c:v>
                </c:pt>
                <c:pt idx="170">
                  <c:v>135</c:v>
                </c:pt>
                <c:pt idx="171">
                  <c:v>135.5</c:v>
                </c:pt>
                <c:pt idx="172">
                  <c:v>136</c:v>
                </c:pt>
                <c:pt idx="173">
                  <c:v>136.5</c:v>
                </c:pt>
                <c:pt idx="174">
                  <c:v>137</c:v>
                </c:pt>
                <c:pt idx="175">
                  <c:v>137.5</c:v>
                </c:pt>
                <c:pt idx="176">
                  <c:v>138</c:v>
                </c:pt>
                <c:pt idx="177">
                  <c:v>138.5</c:v>
                </c:pt>
                <c:pt idx="178">
                  <c:v>139</c:v>
                </c:pt>
                <c:pt idx="179">
                  <c:v>139.5</c:v>
                </c:pt>
                <c:pt idx="180">
                  <c:v>140</c:v>
                </c:pt>
                <c:pt idx="181">
                  <c:v>140.5</c:v>
                </c:pt>
                <c:pt idx="182">
                  <c:v>141</c:v>
                </c:pt>
                <c:pt idx="183">
                  <c:v>141.5</c:v>
                </c:pt>
                <c:pt idx="184">
                  <c:v>142</c:v>
                </c:pt>
                <c:pt idx="185">
                  <c:v>142.5</c:v>
                </c:pt>
                <c:pt idx="186">
                  <c:v>143</c:v>
                </c:pt>
                <c:pt idx="187">
                  <c:v>143.5</c:v>
                </c:pt>
                <c:pt idx="188">
                  <c:v>144</c:v>
                </c:pt>
                <c:pt idx="189">
                  <c:v>144.5</c:v>
                </c:pt>
                <c:pt idx="190">
                  <c:v>145</c:v>
                </c:pt>
                <c:pt idx="191">
                  <c:v>145.5</c:v>
                </c:pt>
                <c:pt idx="192">
                  <c:v>146</c:v>
                </c:pt>
                <c:pt idx="193">
                  <c:v>146.5</c:v>
                </c:pt>
                <c:pt idx="194">
                  <c:v>147</c:v>
                </c:pt>
                <c:pt idx="195">
                  <c:v>147.5</c:v>
                </c:pt>
                <c:pt idx="196">
                  <c:v>148</c:v>
                </c:pt>
                <c:pt idx="197">
                  <c:v>148.5</c:v>
                </c:pt>
                <c:pt idx="198">
                  <c:v>149</c:v>
                </c:pt>
                <c:pt idx="199">
                  <c:v>149.5</c:v>
                </c:pt>
                <c:pt idx="200">
                  <c:v>150</c:v>
                </c:pt>
              </c:numCache>
            </c:numRef>
          </c:xVal>
          <c:yVal>
            <c:numRef>
              <c:f>Sheet1!$AS$23:$AS$223</c:f>
              <c:numCache>
                <c:formatCode>0.0000</c:formatCode>
                <c:ptCount val="201"/>
                <c:pt idx="0">
                  <c:v>0.11310204041005266</c:v>
                </c:pt>
                <c:pt idx="1">
                  <c:v>0.12945706948913047</c:v>
                </c:pt>
                <c:pt idx="2">
                  <c:v>0.14773242752379193</c:v>
                </c:pt>
                <c:pt idx="3">
                  <c:v>0.16809389711119582</c:v>
                </c:pt>
                <c:pt idx="4">
                  <c:v>0.1907147913420951</c:v>
                </c:pt>
                <c:pt idx="5">
                  <c:v>0.21577562891711694</c:v>
                </c:pt>
                <c:pt idx="6">
                  <c:v>0.24346373895198165</c:v>
                </c:pt>
                <c:pt idx="7">
                  <c:v>0.27397279440661082</c:v>
                </c:pt>
                <c:pt idx="8">
                  <c:v>0.3075022743937858</c:v>
                </c:pt>
                <c:pt idx="9">
                  <c:v>0.34425685588180022</c:v>
                </c:pt>
                <c:pt idx="10">
                  <c:v>0.38444573616161926</c:v>
                </c:pt>
                <c:pt idx="11">
                  <c:v>0.42828188778285892</c:v>
                </c:pt>
                <c:pt idx="12">
                  <c:v>0.47598124862788049</c:v>
                </c:pt>
                <c:pt idx="13">
                  <c:v>0.52776185033992518</c:v>
                </c:pt>
                <c:pt idx="14">
                  <c:v>0.58384288846345922</c:v>
                </c:pt>
                <c:pt idx="15">
                  <c:v>0.64444373911407904</c:v>
                </c:pt>
                <c:pt idx="16">
                  <c:v>0.70978292651628971</c:v>
                </c:pt>
                <c:pt idx="17">
                  <c:v>0.78007704700803515</c:v>
                </c:pt>
                <c:pt idx="18">
                  <c:v>0.855539655162183</c:v>
                </c:pt>
                <c:pt idx="19">
                  <c:v>0.93638011814120758</c:v>
                </c:pt>
                <c:pt idx="20">
                  <c:v>1.0228024449343947</c:v>
                </c:pt>
                <c:pt idx="21">
                  <c:v>1.115004097022636</c:v>
                </c:pt>
                <c:pt idx="22">
                  <c:v>1.2131747877464991</c:v>
                </c:pt>
                <c:pt idx="23">
                  <c:v>1.317495277385738</c:v>
                </c:pt>
                <c:pt idx="24">
                  <c:v>1.4281361713649861</c:v>
                </c:pt>
                <c:pt idx="25">
                  <c:v>1.5452567288989087</c:v>
                </c:pt>
                <c:pt idx="26">
                  <c:v>1.6690036895033775</c:v>
                </c:pt>
                <c:pt idx="27">
                  <c:v>1.7995101245520422</c:v>
                </c:pt>
                <c:pt idx="28">
                  <c:v>1.9368943212549574</c:v>
                </c:pt>
                <c:pt idx="29">
                  <c:v>2.0812587058113676</c:v>
                </c:pt>
                <c:pt idx="30">
                  <c:v>2.2326888128070723</c:v>
                </c:pt>
                <c:pt idx="31">
                  <c:v>2.3912523069966554</c:v>
                </c:pt>
                <c:pt idx="32">
                  <c:v>2.5569980640935914</c:v>
                </c:pt>
                <c:pt idx="33">
                  <c:v>2.7299553159006602</c:v>
                </c:pt>
                <c:pt idx="34">
                  <c:v>2.9101328655698393</c:v>
                </c:pt>
                <c:pt idx="35">
                  <c:v>3.0975183777562378</c:v>
                </c:pt>
                <c:pt idx="36">
                  <c:v>3.2920777481389147</c:v>
                </c:pt>
                <c:pt idx="37">
                  <c:v>3.4937545564901877</c:v>
                </c:pt>
                <c:pt idx="38">
                  <c:v>3.7024696065807436</c:v>
                </c:pt>
                <c:pt idx="39">
                  <c:v>3.9181205559128172</c:v>
                </c:pt>
                <c:pt idx="40">
                  <c:v>4.1405816378263145</c:v>
                </c:pt>
                <c:pt idx="41">
                  <c:v>4.3697034775562056</c:v>
                </c:pt>
                <c:pt idx="42">
                  <c:v>4.6053130038773054</c:v>
                </c:pt>
                <c:pt idx="43">
                  <c:v>4.8472134566868403</c:v>
                </c:pt>
                <c:pt idx="44">
                  <c:v>5.0951844910871014</c:v>
                </c:pt>
                <c:pt idx="45">
                  <c:v>5.3489823773413727</c:v>
                </c:pt>
                <c:pt idx="46">
                  <c:v>5.6083402959815896</c:v>
                </c:pt>
                <c:pt idx="47">
                  <c:v>5.8729687266040216</c:v>
                </c:pt>
                <c:pt idx="48">
                  <c:v>6.1425559284535023</c:v>
                </c:pt>
                <c:pt idx="49">
                  <c:v>6.4167685105842862</c:v>
                </c:pt>
                <c:pt idx="50">
                  <c:v>6.6952520886054883</c:v>
                </c:pt>
                <c:pt idx="51">
                  <c:v>6.9776320249088002</c:v>
                </c:pt>
                <c:pt idx="52">
                  <c:v>7.2635142487905142</c:v>
                </c:pt>
                <c:pt idx="53">
                  <c:v>7.552486152462448</c:v>
                </c:pt>
                <c:pt idx="54">
                  <c:v>7.8441175586380893</c:v>
                </c:pt>
                <c:pt idx="55">
                  <c:v>8.1379617552148069</c:v>
                </c:pt>
                <c:pt idx="56">
                  <c:v>8.4335565920525486</c:v>
                </c:pt>
                <c:pt idx="57">
                  <c:v>8.7304256349551057</c:v>
                </c:pt>
                <c:pt idx="58">
                  <c:v>9.0280793715171814</c:v>
                </c:pt>
                <c:pt idx="59">
                  <c:v>9.3260164633526426</c:v>
                </c:pt>
                <c:pt idx="60">
                  <c:v>9.6237250392530118</c:v>
                </c:pt>
                <c:pt idx="61">
                  <c:v>9.9206840237263947</c:v>
                </c:pt>
                <c:pt idx="62">
                  <c:v>10.21636449504072</c:v>
                </c:pt>
                <c:pt idx="63">
                  <c:v>10.510231067177406</c:v>
                </c:pt>
                <c:pt idx="64">
                  <c:v>10.801743290050863</c:v>
                </c:pt>
                <c:pt idx="65">
                  <c:v>11.0903570622425</c:v>
                </c:pt>
                <c:pt idx="66">
                  <c:v>11.375526050641248</c:v>
                </c:pt>
                <c:pt idx="67">
                  <c:v>11.65670311156769</c:v>
                </c:pt>
                <c:pt idx="68">
                  <c:v>11.933341707983407</c:v>
                </c:pt>
                <c:pt idx="69">
                  <c:v>12.204897317395424</c:v>
                </c:pt>
                <c:pt idx="70">
                  <c:v>12.470828825643649</c:v>
                </c:pt>
                <c:pt idx="71">
                  <c:v>12.730599901302931</c:v>
                </c:pt>
                <c:pt idx="72">
                  <c:v>12.983680346412402</c:v>
                </c:pt>
                <c:pt idx="73">
                  <c:v>13.229547418657027</c:v>
                </c:pt>
                <c:pt idx="74">
                  <c:v>13.467687121027588</c:v>
                </c:pt>
                <c:pt idx="75">
                  <c:v>13.697595454808431</c:v>
                </c:pt>
                <c:pt idx="76">
                  <c:v>13.918779632093869</c:v>
                </c:pt>
                <c:pt idx="77">
                  <c:v>14.130759244563308</c:v>
                </c:pt>
                <c:pt idx="78">
                  <c:v>14.33306738488611</c:v>
                </c:pt>
                <c:pt idx="79">
                  <c:v>14.525251718388155</c:v>
                </c:pt>
                <c:pt idx="80">
                  <c:v>14.706875501560635</c:v>
                </c:pt>
                <c:pt idx="81">
                  <c:v>14.877518545852508</c:v>
                </c:pt>
                <c:pt idx="82">
                  <c:v>15.036778123736404</c:v>
                </c:pt>
                <c:pt idx="83">
                  <c:v>15.184269816225049</c:v>
                </c:pt>
                <c:pt idx="84">
                  <c:v>15.319628299216614</c:v>
                </c:pt>
                <c:pt idx="85">
                  <c:v>15.442508068376458</c:v>
                </c:pt>
                <c:pt idx="86">
                  <c:v>15.552584100738942</c:v>
                </c:pt>
                <c:pt idx="87">
                  <c:v>15.649552452961156</c:v>
                </c:pt>
                <c:pt idx="88">
                  <c:v>15.733130795106099</c:v>
                </c:pt>
                <c:pt idx="89">
                  <c:v>15.803058880365661</c:v>
                </c:pt>
                <c:pt idx="90">
                  <c:v>15.859098950135465</c:v>
                </c:pt>
                <c:pt idx="91">
                  <c:v>15.901036075112195</c:v>
                </c:pt>
                <c:pt idx="92">
                  <c:v>15.928678432585741</c:v>
                </c:pt>
                <c:pt idx="93">
                  <c:v>15.941857520882829</c:v>
                </c:pt>
                <c:pt idx="94">
                  <c:v>15.940428311465704</c:v>
                </c:pt>
                <c:pt idx="95">
                  <c:v>15.924269340069831</c:v>
                </c:pt>
                <c:pt idx="96">
                  <c:v>15.893282737977966</c:v>
                </c:pt>
                <c:pt idx="97">
                  <c:v>15.847394204857979</c:v>
                </c:pt>
                <c:pt idx="98">
                  <c:v>15.786552924577013</c:v>
                </c:pt>
                <c:pt idx="99">
                  <c:v>15.710731425981074</c:v>
                </c:pt>
                <c:pt idx="100">
                  <c:v>15.619925390206756</c:v>
                </c:pt>
                <c:pt idx="101">
                  <c:v>15.514153406585507</c:v>
                </c:pt>
                <c:pt idx="102">
                  <c:v>15.393456679045215</c:v>
                </c:pt>
                <c:pt idx="103">
                  <c:v>15.25789868545646</c:v>
                </c:pt>
                <c:pt idx="104">
                  <c:v>15.107564791656625</c:v>
                </c:pt>
                <c:pt idx="105">
                  <c:v>14.94256182297249</c:v>
                </c:pt>
                <c:pt idx="106">
                  <c:v>14.763017595086003</c:v>
                </c:pt>
                <c:pt idx="107">
                  <c:v>14.569080407048096</c:v>
                </c:pt>
                <c:pt idx="108">
                  <c:v>14.360918498572129</c:v>
                </c:pt>
                <c:pt idx="109">
                  <c:v>14.138719474083539</c:v>
                </c:pt>
                <c:pt idx="110">
                  <c:v>13.902689696351045</c:v>
                </c:pt>
                <c:pt idx="111">
                  <c:v>13.653053651505441</c:v>
                </c:pt>
                <c:pt idx="112">
                  <c:v>13.390053288607362</c:v>
                </c:pt>
                <c:pt idx="113">
                  <c:v>13.113947335691023</c:v>
                </c:pt>
                <c:pt idx="114">
                  <c:v>12.825010595073438</c:v>
                </c:pt>
                <c:pt idx="115">
                  <c:v>12.523533220143657</c:v>
                </c:pt>
                <c:pt idx="116">
                  <c:v>12.209819976095426</c:v>
                </c:pt>
                <c:pt idx="117">
                  <c:v>11.884189486823749</c:v>
                </c:pt>
                <c:pt idx="118">
                  <c:v>11.546973470523891</c:v>
                </c:pt>
                <c:pt idx="119">
                  <c:v>11.198515965915746</c:v>
                </c:pt>
                <c:pt idx="120">
                  <c:v>10.83917255157829</c:v>
                </c:pt>
                <c:pt idx="121">
                  <c:v>10.469309560202621</c:v>
                </c:pt>
                <c:pt idx="122">
                  <c:v>10.089303290116991</c:v>
                </c:pt>
                <c:pt idx="123">
                  <c:v>9.6995392159019431</c:v>
                </c:pt>
                <c:pt idx="124">
                  <c:v>9.3004111999444703</c:v>
                </c:pt>
                <c:pt idx="125">
                  <c:v>8.8923207070371149</c:v>
                </c:pt>
                <c:pt idx="126">
                  <c:v>8.4756760234153017</c:v>
                </c:pt>
                <c:pt idx="127">
                  <c:v>8.0508914821706625</c:v>
                </c:pt>
                <c:pt idx="128">
                  <c:v>7.6183866966546665</c:v>
                </c:pt>
                <c:pt idx="129">
                  <c:v>7.1785858031041982</c:v>
                </c:pt>
                <c:pt idx="130">
                  <c:v>6.7319167142221303</c:v>
                </c:pt>
                <c:pt idx="131">
                  <c:v>6.27881038493181</c:v>
                </c:pt>
                <c:pt idx="132">
                  <c:v>5.8197000915261698</c:v>
                </c:pt>
                <c:pt idx="133">
                  <c:v>5.3550207254175808</c:v>
                </c:pt>
                <c:pt idx="134">
                  <c:v>4.8852081027113359</c:v>
                </c:pt>
                <c:pt idx="135">
                  <c:v>4.4106982902572867</c:v>
                </c:pt>
                <c:pt idx="136">
                  <c:v>3.9319269495612597</c:v>
                </c:pt>
                <c:pt idx="137">
                  <c:v>3.4493286989609073</c:v>
                </c:pt>
                <c:pt idx="138">
                  <c:v>2.9633364952716734</c:v>
                </c:pt>
                <c:pt idx="139">
                  <c:v>2.4743810350621676</c:v>
                </c:pt>
                <c:pt idx="140">
                  <c:v>1.9828901766279161</c:v>
                </c:pt>
                <c:pt idx="141">
                  <c:v>1.4892883830561532</c:v>
                </c:pt>
                <c:pt idx="142">
                  <c:v>0.99399618653217559</c:v>
                </c:pt>
                <c:pt idx="143">
                  <c:v>0.49742967487731438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32576"/>
        <c:axId val="138659328"/>
      </c:scatterChart>
      <c:valAx>
        <c:axId val="13863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59328"/>
        <c:crosses val="autoZero"/>
        <c:crossBetween val="midCat"/>
      </c:valAx>
      <c:valAx>
        <c:axId val="1386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3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523874</xdr:colOff>
      <xdr:row>8</xdr:row>
      <xdr:rowOff>90487</xdr:rowOff>
    </xdr:from>
    <xdr:to>
      <xdr:col>58</xdr:col>
      <xdr:colOff>380999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5001"/>
  <sheetViews>
    <sheetView tabSelected="1" workbookViewId="0">
      <selection activeCell="A2" sqref="A2"/>
    </sheetView>
  </sheetViews>
  <sheetFormatPr defaultRowHeight="15" x14ac:dyDescent="0.25"/>
  <cols>
    <col min="1" max="1" width="41.5703125" customWidth="1"/>
    <col min="2" max="2" width="16.7109375" bestFit="1" customWidth="1"/>
    <col min="4" max="4" width="14.28515625" customWidth="1"/>
    <col min="5" max="5" width="11.5703125" customWidth="1"/>
    <col min="6" max="6" width="10.7109375" customWidth="1"/>
    <col min="7" max="7" width="12.42578125" customWidth="1"/>
    <col min="8" max="8" width="13.85546875" customWidth="1"/>
    <col min="9" max="9" width="12.42578125" customWidth="1"/>
    <col min="10" max="12" width="12.85546875" customWidth="1"/>
    <col min="13" max="13" width="17" customWidth="1"/>
    <col min="14" max="16" width="16.28515625" customWidth="1"/>
    <col min="18" max="18" width="16.85546875" customWidth="1"/>
    <col min="19" max="19" width="14.28515625" customWidth="1"/>
    <col min="20" max="20" width="14.7109375" customWidth="1"/>
    <col min="21" max="21" width="16.28515625" customWidth="1"/>
    <col min="23" max="23" width="12.85546875" customWidth="1"/>
    <col min="24" max="24" width="13" customWidth="1"/>
    <col min="25" max="25" width="14.42578125" customWidth="1"/>
    <col min="27" max="27" width="13" customWidth="1"/>
    <col min="34" max="34" width="14.5703125" customWidth="1"/>
    <col min="38" max="38" width="15" customWidth="1"/>
    <col min="44" max="44" width="13.28515625" customWidth="1"/>
  </cols>
  <sheetData>
    <row r="1" spans="1:46" ht="18.75" x14ac:dyDescent="0.3">
      <c r="A1" s="24" t="s">
        <v>86</v>
      </c>
      <c r="D1" t="s">
        <v>0</v>
      </c>
      <c r="E1" t="s">
        <v>1</v>
      </c>
      <c r="F1" t="s">
        <v>2</v>
      </c>
      <c r="G1" t="s">
        <v>4</v>
      </c>
      <c r="H1" t="s">
        <v>5</v>
      </c>
      <c r="I1" t="s">
        <v>3</v>
      </c>
      <c r="J1" t="s">
        <v>6</v>
      </c>
      <c r="K1" t="s">
        <v>34</v>
      </c>
      <c r="L1" t="s">
        <v>35</v>
      </c>
      <c r="M1" t="s">
        <v>55</v>
      </c>
      <c r="N1" t="s">
        <v>56</v>
      </c>
      <c r="O1" t="s">
        <v>57</v>
      </c>
      <c r="P1" t="s">
        <v>58</v>
      </c>
      <c r="R1" s="26" t="s">
        <v>83</v>
      </c>
      <c r="S1" s="3" t="s">
        <v>37</v>
      </c>
      <c r="U1" t="s">
        <v>38</v>
      </c>
      <c r="W1" t="s">
        <v>39</v>
      </c>
      <c r="Y1" t="s">
        <v>32</v>
      </c>
      <c r="AA1" s="16" t="s">
        <v>40</v>
      </c>
      <c r="AH1" t="s">
        <v>64</v>
      </c>
      <c r="AI1" t="s">
        <v>68</v>
      </c>
      <c r="AJ1" t="s">
        <v>69</v>
      </c>
      <c r="AK1" t="s">
        <v>70</v>
      </c>
      <c r="AL1" t="s">
        <v>71</v>
      </c>
      <c r="AM1" t="s">
        <v>68</v>
      </c>
      <c r="AN1" t="s">
        <v>69</v>
      </c>
      <c r="AO1" t="s">
        <v>70</v>
      </c>
      <c r="AP1" t="s">
        <v>73</v>
      </c>
      <c r="AR1" s="12" t="s">
        <v>78</v>
      </c>
      <c r="AS1" s="12"/>
      <c r="AT1" s="12"/>
    </row>
    <row r="2" spans="1:46" x14ac:dyDescent="0.25">
      <c r="D2" s="1">
        <v>42741</v>
      </c>
      <c r="E2" s="3">
        <v>117.910004</v>
      </c>
      <c r="F2" s="3">
        <v>227.21000699999999</v>
      </c>
      <c r="G2" s="3">
        <f>E2-E3</f>
        <v>1.3000030000000038</v>
      </c>
      <c r="H2" s="3">
        <f>F2-F3</f>
        <v>0.81001299999999787</v>
      </c>
      <c r="I2" s="4">
        <f>G2/E3*E$2</f>
        <v>1.314495820388617</v>
      </c>
      <c r="J2" s="4">
        <f>H2/F3*F$2</f>
        <v>0.81291106129662938</v>
      </c>
      <c r="K2" s="4">
        <f>G2-B$20</f>
        <v>1.2716875079365118</v>
      </c>
      <c r="L2" s="4">
        <f>H2-C$20</f>
        <v>0.74422436507936296</v>
      </c>
      <c r="M2" s="4">
        <f>LN(E2/E3)</f>
        <v>1.1086613404925595E-2</v>
      </c>
      <c r="N2" s="4">
        <f>LN(F2/F3)</f>
        <v>3.5714109441539687E-3</v>
      </c>
      <c r="O2" s="4">
        <f>M2-AVERAGE(M$2:M$505)</f>
        <v>1.0830645176264553E-2</v>
      </c>
      <c r="P2" s="4">
        <f>N2-AVERAGE(N$2:N$505)</f>
        <v>3.2584232270935782E-3</v>
      </c>
      <c r="Q2" s="15"/>
      <c r="S2" s="4">
        <v>-0.43291426415421519</v>
      </c>
      <c r="T2" s="4">
        <v>1.3653921217059395</v>
      </c>
      <c r="U2" s="4">
        <f>$B$19*S2+SQRT(1-$B$19^2)*T2</f>
        <v>0.81842124305157704</v>
      </c>
      <c r="W2" s="4">
        <f>S2*SQRT($B$16)+$B$20</f>
        <v>-0.70783648671594068</v>
      </c>
      <c r="X2" s="4">
        <f>U2*SQRT($C$17)+$C$20</f>
        <v>1.5087436672852328</v>
      </c>
      <c r="Y2" s="3">
        <f t="shared" ref="Y2:Y65" si="0">(B$4*EXP(-B$8*B$7)*NORMSDIST((LN(B$4/(B$5+W2))-B$8*B$7+B$9*B$7+0.5*B$6*B$6*B$7)/(B$6*SQRT(B$7)))-(B$5+W2)*EXP(-B$9*B$7)*NORMSDIST((LN(B$4/(B$5+W2))-B$8*B$7+B$9*B$7-0.5*B$6*B$6*B$7)/(B$6*SQRT(B$7))))*400+100*X2-400*$B$13</f>
        <v>265.60574026745962</v>
      </c>
      <c r="AA2" s="19">
        <f>SMALL(Y2:Y5001,50)</f>
        <v>-459.7620936667081</v>
      </c>
      <c r="AE2" t="s">
        <v>87</v>
      </c>
      <c r="AR2" s="12">
        <v>4.7</v>
      </c>
      <c r="AS2" s="12"/>
      <c r="AT2" s="12"/>
    </row>
    <row r="3" spans="1:46" x14ac:dyDescent="0.25">
      <c r="A3" t="s">
        <v>7</v>
      </c>
      <c r="D3" s="1">
        <v>42740</v>
      </c>
      <c r="E3" s="3">
        <v>116.610001</v>
      </c>
      <c r="F3" s="3">
        <v>226.39999399999999</v>
      </c>
      <c r="G3" s="3">
        <f t="shared" ref="G3:G66" si="1">E3-E4</f>
        <v>0.59000399999999331</v>
      </c>
      <c r="H3" s="3">
        <f t="shared" ref="H3:H66" si="2">F3-F4</f>
        <v>-0.18000800000001504</v>
      </c>
      <c r="I3" s="4">
        <f t="shared" ref="I3:I66" si="3">G3/E4*E$2</f>
        <v>0.59961537492554162</v>
      </c>
      <c r="J3" s="4">
        <f t="shared" ref="J3:J66" si="4">H3/F4*F$2</f>
        <v>-0.18050851169142199</v>
      </c>
      <c r="K3" s="4">
        <f t="shared" ref="K3:K66" si="5">G3-B$20</f>
        <v>0.56168850793650127</v>
      </c>
      <c r="L3" s="4">
        <f t="shared" ref="L3:L66" si="6">H3-C$20</f>
        <v>-0.24579663492064993</v>
      </c>
      <c r="M3" s="4">
        <f t="shared" ref="M3:M66" si="7">LN(E3/E4)</f>
        <v>5.0724779275280211E-3</v>
      </c>
      <c r="N3" s="4">
        <f t="shared" ref="N3:N66" si="8">LN(F3/F4)</f>
        <v>-7.9477244498623819E-4</v>
      </c>
      <c r="O3" s="4">
        <f t="shared" ref="O3:O66" si="9">M3-AVERAGE(M$2:M$505)</f>
        <v>4.8165096988669782E-3</v>
      </c>
      <c r="P3" s="4">
        <f t="shared" ref="P3:P66" si="10">N3-AVERAGE(N$2:N$505)</f>
        <v>-1.1077601620466289E-3</v>
      </c>
      <c r="Q3" s="15"/>
      <c r="S3" s="4">
        <v>1.0997265445207438</v>
      </c>
      <c r="T3" s="4">
        <v>-0.62849859765460625</v>
      </c>
      <c r="U3" s="4">
        <f t="shared" ref="U3:U66" si="11">$B$19*S3+SQRT(1-$B$19^2)*T3</f>
        <v>0.17221201620144089</v>
      </c>
      <c r="W3" s="4">
        <f t="shared" ref="W3:W66" si="12">S3*SQRT($B$16)+$B$20</f>
        <v>1.898352908009725</v>
      </c>
      <c r="X3" s="4">
        <f t="shared" ref="X3:X66" si="13">U3*SQRT($C$17)+$C$20</f>
        <v>0.36941491236791113</v>
      </c>
      <c r="Y3" s="3">
        <f t="shared" si="0"/>
        <v>-258.05170922600973</v>
      </c>
      <c r="AA3" s="3"/>
      <c r="AE3" s="29">
        <v>0.6</v>
      </c>
      <c r="AH3" s="13">
        <f>AE3*$B$5</f>
        <v>70.746002399999995</v>
      </c>
      <c r="AI3" s="14">
        <f t="shared" ref="AI3:AI15" si="14">AH3*EXP(-$B$9*$B$7)*NORMSDIST((LN(AH3/$AG$15)+($B$8-$B$9+0.5*$B$6^2)*$B$7)/($B$6*SQRT($B$7)))-$AG$15*EXP(-$B$8*$B$7)*NORMSDIST((LN(AH3/$AG$15)+($B$8-$B$9-0.5*$B$6^2)*$B$7)/($B$6*SQRT($B$7)))</f>
        <v>0.22084613925787933</v>
      </c>
      <c r="AJ3" s="14">
        <f t="shared" ref="AJ3:AJ15" si="15">AH3*EXP(-$B$9*$B$7)*NORMSDIST((LN(AH3/$AG$10)+($B$8-$B$9+0.5*$B$6^2)*$B$7)/($B$6*SQRT($B$7)))-$AG$10*EXP(-$B$8*$B$7)*NORMSDIST((LN(AH3/$AG$10)+($B$8-$B$9-0.5*$B$6^2)*$B$7)/($B$6*SQRT($B$7)))</f>
        <v>0.1086475182798825</v>
      </c>
      <c r="AK3" s="14">
        <f t="shared" ref="AK3:AK15" si="16">EXP(-$B$8*$B$7)*NORMSDIST((LN(AH3/$AG$10)+($B$8-$B$9-0.5*$B$6^2)*$B$7)/($B$6*SQRT($B$7)))*($AG$10-$AG$15)</f>
        <v>7.7717347623540864E-2</v>
      </c>
      <c r="AL3" s="13">
        <f>$AG$10^2/AH3</f>
        <v>210.38644580714856</v>
      </c>
      <c r="AM3" s="14">
        <f t="shared" ref="AM3:AM15" si="17">AL3*EXP(-$B$9*$B$7)*NORMSDIST((LN(AL3/$AG$15)+($B$8-$B$9+0.5*$B$6^2)*$B$7)/($B$6*SQRT($B$7)))-$AG$15*EXP(-$B$8*$B$7)*NORMSDIST((LN(AL3/$AG$15)+($B$8-$B$9-0.5*$B$6^2)*$B$7)/($B$6*SQRT($B$7)))</f>
        <v>93.882785618441474</v>
      </c>
      <c r="AN3" s="14">
        <f t="shared" ref="AN3:AN15" si="18">AL3*EXP(-$B$9*$B$7)*NORMSDIST((LN(AL3/$AG$10)+($B$8-$B$9+0.5*$B$6^2)*$B$7)/($B$6*SQRT($B$7)))-$AG$10*EXP(-$B$8*$B$7)*NORMSDIST((LN(AL3/$AG$10)+($B$8-$B$9-0.5*$B$6^2)*$B$7)/($B$6*SQRT($B$7)))</f>
        <v>86.101610474402946</v>
      </c>
      <c r="AO3" s="14">
        <f t="shared" ref="AO3:AO15" si="19">EXP(-$B$8*$B$7)*NORMSDIST((LN(AL3/$AG$10)+($B$8-$B$9-0.5*$B$6^2)*$B$7)/($B$6*SQRT($B$7)))*($AG$10-$AG$15)</f>
        <v>7.7358383363048517</v>
      </c>
      <c r="AP3" s="14">
        <f>400*IF(AH3&gt;=$AG$10,0,AI3-AJ3-AK3-(AH3/$AG$10)^(2*$AG$12)*(AM3-AN3-AO3))</f>
        <v>4.484825416497455</v>
      </c>
      <c r="AR3" s="12" t="s">
        <v>79</v>
      </c>
      <c r="AS3" s="12"/>
      <c r="AT3" s="12">
        <f>AR2*AG22+0.5*AR2^2*AG24</f>
        <v>-4.7072053540153647</v>
      </c>
    </row>
    <row r="4" spans="1:46" x14ac:dyDescent="0.25">
      <c r="A4" t="s">
        <v>8</v>
      </c>
      <c r="B4">
        <v>114</v>
      </c>
      <c r="D4" s="1">
        <v>42739</v>
      </c>
      <c r="E4" s="3">
        <v>116.019997</v>
      </c>
      <c r="F4" s="3">
        <v>226.58000200000001</v>
      </c>
      <c r="G4" s="3">
        <f t="shared" si="1"/>
        <v>-0.13000499999999704</v>
      </c>
      <c r="H4" s="3">
        <f t="shared" si="2"/>
        <v>1.339997000000011</v>
      </c>
      <c r="I4" s="4">
        <f t="shared" si="3"/>
        <v>-0.13197494452061784</v>
      </c>
      <c r="J4" s="4">
        <f t="shared" si="4"/>
        <v>1.3517169285712878</v>
      </c>
      <c r="K4" s="4">
        <f t="shared" si="5"/>
        <v>-0.15832049206348908</v>
      </c>
      <c r="L4" s="4">
        <f t="shared" si="6"/>
        <v>1.2742083650793761</v>
      </c>
      <c r="M4" s="4">
        <f t="shared" si="7"/>
        <v>-1.1199122552239592E-3</v>
      </c>
      <c r="N4" s="4">
        <f t="shared" si="8"/>
        <v>5.9315696872857026E-3</v>
      </c>
      <c r="O4" s="4">
        <f t="shared" si="9"/>
        <v>-1.3758804838850018E-3</v>
      </c>
      <c r="P4" s="4">
        <f t="shared" si="10"/>
        <v>5.6185819702253116E-3</v>
      </c>
      <c r="S4" s="4">
        <v>-1.3418295261709887</v>
      </c>
      <c r="T4" s="4">
        <v>0.47651124618979596</v>
      </c>
      <c r="U4" s="4">
        <f t="shared" si="11"/>
        <v>-0.44028255606756012</v>
      </c>
      <c r="W4" s="4">
        <f t="shared" si="12"/>
        <v>-2.253407571059153</v>
      </c>
      <c r="X4" s="4">
        <f t="shared" si="13"/>
        <v>-0.71047167764312014</v>
      </c>
      <c r="Y4" s="3">
        <f t="shared" si="0"/>
        <v>303.34720100094273</v>
      </c>
      <c r="AA4" s="3"/>
      <c r="AE4" s="29">
        <v>0.7</v>
      </c>
      <c r="AG4" s="30" t="s">
        <v>65</v>
      </c>
      <c r="AH4" s="13">
        <f t="shared" ref="AH4:AH15" si="20">AE4*$B$5</f>
        <v>82.537002799999996</v>
      </c>
      <c r="AI4" s="14">
        <f t="shared" si="14"/>
        <v>1.0364609881680735</v>
      </c>
      <c r="AJ4" s="14">
        <f t="shared" si="15"/>
        <v>0.58289529651554961</v>
      </c>
      <c r="AK4" s="14">
        <f t="shared" si="16"/>
        <v>0.34046670506180898</v>
      </c>
      <c r="AL4" s="13">
        <f t="shared" ref="AL4:AL15" si="21">$AG$10^2/AH4</f>
        <v>180.33123926327019</v>
      </c>
      <c r="AM4" s="14">
        <f t="shared" si="17"/>
        <v>64.789957562720517</v>
      </c>
      <c r="AN4" s="14">
        <f t="shared" si="18"/>
        <v>57.374214210856437</v>
      </c>
      <c r="AO4" s="14">
        <f t="shared" si="19"/>
        <v>7.2780929799951242</v>
      </c>
      <c r="AP4" s="14">
        <f t="shared" ref="AP4:AP19" si="22">400*IF(AH4&gt;=$AG$10,0,AI4-AJ4-AK4-(AH4/$AG$10)^(2*$AG$12)*(AM4-AN4-AO4))</f>
        <v>11.111585908073796</v>
      </c>
      <c r="AR4" s="12" t="s">
        <v>80</v>
      </c>
      <c r="AS4" s="12"/>
      <c r="AT4" s="12">
        <f>linearinterp(AH$3:AH$15,AP$3:AP$15,13,AR2+B$5)-AP9</f>
        <v>-3.2892936282293705</v>
      </c>
    </row>
    <row r="5" spans="1:46" x14ac:dyDescent="0.25">
      <c r="A5" t="s">
        <v>9</v>
      </c>
      <c r="B5" s="3">
        <f>E2</f>
        <v>117.910004</v>
      </c>
      <c r="D5" s="1">
        <v>42738</v>
      </c>
      <c r="E5" s="3">
        <v>116.150002</v>
      </c>
      <c r="F5" s="3">
        <v>225.240005</v>
      </c>
      <c r="G5" s="3">
        <f t="shared" si="1"/>
        <v>0.33000200000000746</v>
      </c>
      <c r="H5" s="3">
        <f t="shared" si="2"/>
        <v>1.7100059999999928</v>
      </c>
      <c r="I5" s="4">
        <f t="shared" si="3"/>
        <v>0.33595697755144949</v>
      </c>
      <c r="J5" s="4">
        <f t="shared" si="4"/>
        <v>1.7381580860206614</v>
      </c>
      <c r="K5" s="4">
        <f t="shared" si="5"/>
        <v>0.30168650793651541</v>
      </c>
      <c r="L5" s="4">
        <f t="shared" si="6"/>
        <v>1.6442173650793579</v>
      </c>
      <c r="M5" s="4">
        <f t="shared" si="7"/>
        <v>2.8452146378874837E-3</v>
      </c>
      <c r="N5" s="4">
        <f t="shared" si="8"/>
        <v>7.6208938248878925E-3</v>
      </c>
      <c r="O5" s="4">
        <f t="shared" si="9"/>
        <v>2.5892464092264413E-3</v>
      </c>
      <c r="P5" s="4">
        <f t="shared" si="10"/>
        <v>7.3079061078275016E-3</v>
      </c>
      <c r="S5" s="4">
        <v>0.56328246685993344</v>
      </c>
      <c r="T5" s="4">
        <v>-0.34228979303390816</v>
      </c>
      <c r="U5" s="4">
        <f t="shared" si="11"/>
        <v>7.2059172571011298E-2</v>
      </c>
      <c r="W5" s="4">
        <f t="shared" si="12"/>
        <v>0.98615295995294727</v>
      </c>
      <c r="X5" s="4">
        <f t="shared" si="13"/>
        <v>0.19283585732859118</v>
      </c>
      <c r="Y5" s="3">
        <f t="shared" si="0"/>
        <v>-136.24720958189846</v>
      </c>
      <c r="AA5" s="3"/>
      <c r="AE5" s="29">
        <v>0.8</v>
      </c>
      <c r="AG5" s="30" t="s">
        <v>66</v>
      </c>
      <c r="AH5" s="13">
        <f t="shared" si="20"/>
        <v>94.328003200000012</v>
      </c>
      <c r="AI5" s="14">
        <f t="shared" si="14"/>
        <v>3.1322120816734724</v>
      </c>
      <c r="AJ5" s="14">
        <f t="shared" si="15"/>
        <v>1.9616194361277763</v>
      </c>
      <c r="AK5" s="14">
        <f t="shared" si="16"/>
        <v>0.93754925649863263</v>
      </c>
      <c r="AL5" s="13">
        <f t="shared" si="21"/>
        <v>157.78983435536139</v>
      </c>
      <c r="AM5" s="14">
        <f t="shared" si="17"/>
        <v>43.765343875166721</v>
      </c>
      <c r="AN5" s="14">
        <f t="shared" si="18"/>
        <v>37.101535324072799</v>
      </c>
      <c r="AO5" s="14">
        <f t="shared" si="19"/>
        <v>6.3985730378591441</v>
      </c>
      <c r="AP5" s="14">
        <f t="shared" si="22"/>
        <v>15.780559521718118</v>
      </c>
      <c r="AR5" s="12" t="s">
        <v>81</v>
      </c>
      <c r="AS5" s="12"/>
      <c r="AT5" s="12">
        <f>AP21-AP18</f>
        <v>-4.0183969740040126</v>
      </c>
    </row>
    <row r="6" spans="1:46" x14ac:dyDescent="0.25">
      <c r="A6" t="s">
        <v>10</v>
      </c>
      <c r="B6">
        <v>0.25</v>
      </c>
      <c r="D6" s="1">
        <v>42734</v>
      </c>
      <c r="E6" s="3">
        <v>115.82</v>
      </c>
      <c r="F6" s="3">
        <v>223.529999</v>
      </c>
      <c r="G6" s="3">
        <f t="shared" si="1"/>
        <v>-0.91000300000000323</v>
      </c>
      <c r="H6" s="3">
        <f t="shared" si="2"/>
        <v>-0.82000700000000393</v>
      </c>
      <c r="I6" s="4">
        <f t="shared" si="3"/>
        <v>-0.91920204413952067</v>
      </c>
      <c r="J6" s="4">
        <f t="shared" si="4"/>
        <v>-0.83046040217199668</v>
      </c>
      <c r="K6" s="4">
        <f t="shared" si="5"/>
        <v>-0.93831849206349527</v>
      </c>
      <c r="L6" s="4">
        <f t="shared" si="6"/>
        <v>-0.88579563492063884</v>
      </c>
      <c r="M6" s="4">
        <f t="shared" si="7"/>
        <v>-7.8263395672619057E-3</v>
      </c>
      <c r="N6" s="4">
        <f t="shared" si="8"/>
        <v>-3.6617304058455336E-3</v>
      </c>
      <c r="O6" s="4">
        <f t="shared" si="9"/>
        <v>-8.0823077959229477E-3</v>
      </c>
      <c r="P6" s="4">
        <f t="shared" si="10"/>
        <v>-3.9747181229059245E-3</v>
      </c>
      <c r="S6" s="4">
        <v>0.10369495391082326</v>
      </c>
      <c r="T6" s="4">
        <v>-1.5733929344555664</v>
      </c>
      <c r="U6" s="4">
        <f t="shared" si="11"/>
        <v>-1.1840012642684776</v>
      </c>
      <c r="W6" s="4">
        <f t="shared" si="12"/>
        <v>0.20464427545442701</v>
      </c>
      <c r="X6" s="4">
        <f t="shared" si="13"/>
        <v>-2.0217189867437977</v>
      </c>
      <c r="Y6" s="3">
        <f t="shared" si="0"/>
        <v>-234.85807052730433</v>
      </c>
      <c r="AA6" s="3"/>
      <c r="AE6" s="29">
        <v>0.9</v>
      </c>
      <c r="AG6" s="30" t="s">
        <v>67</v>
      </c>
      <c r="AH6" s="13">
        <f t="shared" si="20"/>
        <v>106.1190036</v>
      </c>
      <c r="AI6" s="14">
        <f t="shared" si="14"/>
        <v>7.048072957776391</v>
      </c>
      <c r="AJ6" s="14">
        <f t="shared" si="15"/>
        <v>4.8137884501684525</v>
      </c>
      <c r="AK6" s="14">
        <f t="shared" si="16"/>
        <v>1.8859665710484477</v>
      </c>
      <c r="AL6" s="13">
        <f t="shared" si="21"/>
        <v>140.25763053809902</v>
      </c>
      <c r="AM6" s="14">
        <f t="shared" si="17"/>
        <v>28.694675752269646</v>
      </c>
      <c r="AN6" s="14">
        <f t="shared" si="18"/>
        <v>23.126134755740097</v>
      </c>
      <c r="AO6" s="14">
        <f t="shared" si="19"/>
        <v>5.1949040023662949</v>
      </c>
      <c r="AP6" s="14">
        <f t="shared" si="22"/>
        <v>13.325516473632648</v>
      </c>
    </row>
    <row r="7" spans="1:46" x14ac:dyDescent="0.25">
      <c r="A7" t="s">
        <v>11</v>
      </c>
      <c r="B7">
        <v>1</v>
      </c>
      <c r="D7" s="1">
        <v>42733</v>
      </c>
      <c r="E7" s="3">
        <v>116.730003</v>
      </c>
      <c r="F7" s="3">
        <v>224.35000600000001</v>
      </c>
      <c r="G7" s="3">
        <f t="shared" si="1"/>
        <v>-2.9999000000003662E-2</v>
      </c>
      <c r="H7" s="3">
        <f t="shared" si="2"/>
        <v>-4.9987999999984822E-2</v>
      </c>
      <c r="I7" s="4">
        <f t="shared" si="3"/>
        <v>-3.0294468562928185E-2</v>
      </c>
      <c r="J7" s="4">
        <f t="shared" si="4"/>
        <v>-5.0613966727256474E-2</v>
      </c>
      <c r="K7" s="4">
        <f t="shared" si="5"/>
        <v>-5.8314492063495718E-2</v>
      </c>
      <c r="L7" s="4">
        <f t="shared" si="6"/>
        <v>-0.11577663492061971</v>
      </c>
      <c r="M7" s="4">
        <f t="shared" si="7"/>
        <v>-2.5696175016204218E-4</v>
      </c>
      <c r="N7" s="4">
        <f t="shared" si="8"/>
        <v>-2.2278774465403885E-4</v>
      </c>
      <c r="O7" s="4">
        <f t="shared" si="9"/>
        <v>-5.1292997882308473E-4</v>
      </c>
      <c r="P7" s="4">
        <f t="shared" si="10"/>
        <v>-5.3577546171442944E-4</v>
      </c>
      <c r="S7" s="4">
        <v>-0.66662767238672083</v>
      </c>
      <c r="T7" s="4">
        <v>0.39790634699894672</v>
      </c>
      <c r="U7" s="4">
        <f t="shared" si="11"/>
        <v>-9.0973917234178026E-2</v>
      </c>
      <c r="W7" s="4">
        <f t="shared" si="12"/>
        <v>-1.1052560272195917</v>
      </c>
      <c r="X7" s="4">
        <f t="shared" si="13"/>
        <v>-9.460709380888549E-2</v>
      </c>
      <c r="Y7" s="3">
        <f t="shared" si="0"/>
        <v>170.83402187963475</v>
      </c>
      <c r="AA7" s="3"/>
      <c r="AE7" s="29">
        <v>0.95</v>
      </c>
      <c r="AG7" s="30">
        <v>4</v>
      </c>
      <c r="AH7" s="13">
        <f t="shared" si="20"/>
        <v>112.0145038</v>
      </c>
      <c r="AI7" s="14">
        <f t="shared" si="14"/>
        <v>9.7552739112744149</v>
      </c>
      <c r="AJ7" s="14">
        <f t="shared" si="15"/>
        <v>6.9122871753193706</v>
      </c>
      <c r="AK7" s="14">
        <f t="shared" si="16"/>
        <v>2.4539874132534676</v>
      </c>
      <c r="AL7" s="13">
        <f t="shared" si="21"/>
        <v>132.87564998346224</v>
      </c>
      <c r="AM7" s="14">
        <f t="shared" si="17"/>
        <v>22.949898970195974</v>
      </c>
      <c r="AN7" s="14">
        <f t="shared" si="18"/>
        <v>18.000387361468555</v>
      </c>
      <c r="AO7" s="14">
        <f t="shared" si="19"/>
        <v>4.5434332738623109</v>
      </c>
      <c r="AP7" s="14">
        <f t="shared" si="22"/>
        <v>9.2886977366853252</v>
      </c>
    </row>
    <row r="8" spans="1:46" x14ac:dyDescent="0.25">
      <c r="A8" t="s">
        <v>12</v>
      </c>
      <c r="B8">
        <v>1.2E-2</v>
      </c>
      <c r="D8" s="1">
        <v>42732</v>
      </c>
      <c r="E8" s="3">
        <v>116.760002</v>
      </c>
      <c r="F8" s="3">
        <v>224.39999399999999</v>
      </c>
      <c r="G8" s="3">
        <f t="shared" si="1"/>
        <v>-0.5</v>
      </c>
      <c r="H8" s="3">
        <f t="shared" si="2"/>
        <v>-1.8700100000000077</v>
      </c>
      <c r="I8" s="4">
        <f t="shared" si="3"/>
        <v>-0.50277162710606127</v>
      </c>
      <c r="J8" s="4">
        <f t="shared" si="4"/>
        <v>-1.8777786612408056</v>
      </c>
      <c r="K8" s="4">
        <f t="shared" si="5"/>
        <v>-0.52831549206349204</v>
      </c>
      <c r="L8" s="4">
        <f t="shared" si="6"/>
        <v>-1.9357986349206426</v>
      </c>
      <c r="M8" s="4">
        <f t="shared" si="7"/>
        <v>-4.2731454771158658E-3</v>
      </c>
      <c r="N8" s="4">
        <f t="shared" si="8"/>
        <v>-8.2988472306585476E-3</v>
      </c>
      <c r="O8" s="4">
        <f t="shared" si="9"/>
        <v>-4.5291137057769087E-3</v>
      </c>
      <c r="P8" s="4">
        <f t="shared" si="10"/>
        <v>-8.6118349477189386E-3</v>
      </c>
      <c r="S8" s="4">
        <v>-0.88146538976612432</v>
      </c>
      <c r="T8" s="4">
        <v>-1.0513923520057757</v>
      </c>
      <c r="U8" s="4">
        <f t="shared" si="11"/>
        <v>-1.370791294937066</v>
      </c>
      <c r="W8" s="4">
        <f t="shared" si="12"/>
        <v>-1.4705782719700353</v>
      </c>
      <c r="X8" s="4">
        <f t="shared" si="13"/>
        <v>-2.3510476998448961</v>
      </c>
      <c r="Y8" s="3">
        <f t="shared" si="0"/>
        <v>6.1910946728166891</v>
      </c>
      <c r="AA8" s="3"/>
      <c r="AE8" s="29">
        <v>0.99</v>
      </c>
      <c r="AH8" s="13">
        <f t="shared" si="20"/>
        <v>116.73090396000001</v>
      </c>
      <c r="AI8" s="14">
        <f t="shared" si="14"/>
        <v>12.271114758283929</v>
      </c>
      <c r="AJ8" s="14">
        <f t="shared" si="15"/>
        <v>8.9295421144372398</v>
      </c>
      <c r="AK8" s="14">
        <f t="shared" si="16"/>
        <v>2.9314232266125031</v>
      </c>
      <c r="AL8" s="13">
        <f t="shared" si="21"/>
        <v>127.50693685281729</v>
      </c>
      <c r="AM8" s="14">
        <f t="shared" si="17"/>
        <v>19.079498476944138</v>
      </c>
      <c r="AN8" s="14">
        <f t="shared" si="18"/>
        <v>14.63343674512673</v>
      </c>
      <c r="AO8" s="14">
        <f t="shared" si="19"/>
        <v>4.0266983371188037</v>
      </c>
      <c r="AP8" s="14">
        <f t="shared" si="22"/>
        <v>5.1386690415835989</v>
      </c>
    </row>
    <row r="9" spans="1:46" x14ac:dyDescent="0.25">
      <c r="A9" t="s">
        <v>13</v>
      </c>
      <c r="B9">
        <v>1.9E-2</v>
      </c>
      <c r="D9" s="1">
        <v>42731</v>
      </c>
      <c r="E9" s="3">
        <v>117.260002</v>
      </c>
      <c r="F9" s="3">
        <v>226.270004</v>
      </c>
      <c r="G9" s="3">
        <f t="shared" si="1"/>
        <v>0.74000499999999647</v>
      </c>
      <c r="H9" s="3">
        <f t="shared" si="2"/>
        <v>0.55999700000000985</v>
      </c>
      <c r="I9" s="4">
        <f t="shared" si="3"/>
        <v>0.74883277339957011</v>
      </c>
      <c r="J9" s="4">
        <f t="shared" si="4"/>
        <v>0.56371856959794087</v>
      </c>
      <c r="K9" s="4">
        <f t="shared" si="5"/>
        <v>0.71168950793650443</v>
      </c>
      <c r="L9" s="4">
        <f t="shared" si="6"/>
        <v>0.49420836507937493</v>
      </c>
      <c r="M9" s="4">
        <f t="shared" si="7"/>
        <v>6.3308022476029832E-3</v>
      </c>
      <c r="N9" s="4">
        <f t="shared" si="8"/>
        <v>2.4779736843197142E-3</v>
      </c>
      <c r="O9" s="4">
        <f t="shared" si="9"/>
        <v>6.0748340189419403E-3</v>
      </c>
      <c r="P9" s="4">
        <f t="shared" si="10"/>
        <v>2.1649859672593238E-3</v>
      </c>
      <c r="S9" s="4">
        <v>0.18682586797415077</v>
      </c>
      <c r="T9" s="4">
        <v>-1.2751456388136371</v>
      </c>
      <c r="U9" s="4">
        <f t="shared" si="11"/>
        <v>-0.89690455332500385</v>
      </c>
      <c r="W9" s="4">
        <f t="shared" si="12"/>
        <v>0.3460047986633864</v>
      </c>
      <c r="X9" s="4">
        <f t="shared" si="13"/>
        <v>-1.5155399898661437</v>
      </c>
      <c r="Y9" s="3">
        <f t="shared" si="0"/>
        <v>-206.69246941601796</v>
      </c>
      <c r="AA9" s="3"/>
      <c r="AE9" s="29">
        <v>1</v>
      </c>
      <c r="AG9" t="s">
        <v>65</v>
      </c>
      <c r="AH9" s="13">
        <f t="shared" si="20"/>
        <v>117.910004</v>
      </c>
      <c r="AI9" s="14">
        <f t="shared" si="14"/>
        <v>12.94660244119067</v>
      </c>
      <c r="AJ9" s="14">
        <f t="shared" si="15"/>
        <v>9.4805691796872793</v>
      </c>
      <c r="AK9" s="14">
        <f t="shared" si="16"/>
        <v>3.052260882446006</v>
      </c>
      <c r="AL9" s="13">
        <f t="shared" si="21"/>
        <v>126.23186748428913</v>
      </c>
      <c r="AM9" s="14">
        <f t="shared" si="17"/>
        <v>18.203580175325385</v>
      </c>
      <c r="AN9" s="14">
        <f t="shared" si="18"/>
        <v>13.882712628657927</v>
      </c>
      <c r="AO9" s="14">
        <f t="shared" si="19"/>
        <v>3.8999339725303521</v>
      </c>
      <c r="AP9" s="14">
        <f t="shared" si="22"/>
        <v>4.0183969740040126</v>
      </c>
    </row>
    <row r="10" spans="1:46" x14ac:dyDescent="0.25">
      <c r="A10" t="s">
        <v>33</v>
      </c>
      <c r="B10">
        <f>COUNT(G2:G1000)</f>
        <v>504</v>
      </c>
      <c r="D10" s="1">
        <v>42727</v>
      </c>
      <c r="E10" s="3">
        <v>116.519997</v>
      </c>
      <c r="F10" s="3">
        <v>225.71000699999999</v>
      </c>
      <c r="G10" s="3">
        <f t="shared" si="1"/>
        <v>0.22999599999999987</v>
      </c>
      <c r="H10" s="3">
        <f t="shared" si="2"/>
        <v>0.33000199999997903</v>
      </c>
      <c r="I10" s="4">
        <f t="shared" si="3"/>
        <v>0.23320000900149601</v>
      </c>
      <c r="J10" s="4">
        <f t="shared" si="4"/>
        <v>0.33268149377319084</v>
      </c>
      <c r="K10" s="4">
        <f t="shared" si="5"/>
        <v>0.20168050793650782</v>
      </c>
      <c r="L10" s="4">
        <f t="shared" si="6"/>
        <v>0.26421336507934412</v>
      </c>
      <c r="M10" s="4">
        <f t="shared" si="7"/>
        <v>1.9758264404371325E-3</v>
      </c>
      <c r="N10" s="4">
        <f t="shared" si="8"/>
        <v>1.4631317479539289E-3</v>
      </c>
      <c r="O10" s="4">
        <f t="shared" si="9"/>
        <v>1.7198582117760898E-3</v>
      </c>
      <c r="P10" s="4">
        <f t="shared" si="10"/>
        <v>1.1501440308935382E-3</v>
      </c>
      <c r="S10" s="4">
        <v>0.62802786850090886</v>
      </c>
      <c r="T10" s="4">
        <v>0.12397559264613579</v>
      </c>
      <c r="U10" s="4">
        <f t="shared" si="11"/>
        <v>0.48113426393767716</v>
      </c>
      <c r="W10" s="4">
        <f t="shared" si="12"/>
        <v>1.0962497146255874</v>
      </c>
      <c r="X10" s="4">
        <f t="shared" si="13"/>
        <v>0.91407442086052393</v>
      </c>
      <c r="Y10" s="3">
        <f t="shared" si="0"/>
        <v>-81.178793398227754</v>
      </c>
      <c r="AA10" s="3"/>
      <c r="AE10" s="29">
        <v>1.01</v>
      </c>
      <c r="AG10">
        <v>122</v>
      </c>
      <c r="AH10" s="13">
        <f t="shared" si="20"/>
        <v>119.08910404</v>
      </c>
      <c r="AI10" s="14">
        <f t="shared" si="14"/>
        <v>13.640060397794088</v>
      </c>
      <c r="AJ10" s="14">
        <f t="shared" si="15"/>
        <v>10.05004129247407</v>
      </c>
      <c r="AK10" s="14">
        <f t="shared" si="16"/>
        <v>3.1732895782503396</v>
      </c>
      <c r="AL10" s="13">
        <f t="shared" si="21"/>
        <v>124.98204701414765</v>
      </c>
      <c r="AM10" s="14">
        <f t="shared" si="17"/>
        <v>17.362233350926587</v>
      </c>
      <c r="AN10" s="14">
        <f t="shared" si="18"/>
        <v>13.165895224100119</v>
      </c>
      <c r="AO10" s="14">
        <f t="shared" si="19"/>
        <v>3.7745136073098973</v>
      </c>
      <c r="AP10" s="14">
        <f t="shared" si="22"/>
        <v>2.8764053211099982</v>
      </c>
    </row>
    <row r="11" spans="1:46" x14ac:dyDescent="0.25">
      <c r="A11" t="s">
        <v>63</v>
      </c>
      <c r="B11" s="4">
        <f>(LN(B4/B5)-B8*B7+B9*B7+0.5*B6*B6*B7)/(B6*SQRT(B7))</f>
        <v>1.810717152693829E-2</v>
      </c>
      <c r="D11" s="1">
        <v>42726</v>
      </c>
      <c r="E11" s="3">
        <v>116.290001</v>
      </c>
      <c r="F11" s="3">
        <v>225.38000500000001</v>
      </c>
      <c r="G11" s="3">
        <f t="shared" si="1"/>
        <v>-0.76999699999998938</v>
      </c>
      <c r="H11" s="3">
        <f t="shared" si="2"/>
        <v>-0.38999899999998888</v>
      </c>
      <c r="I11" s="4">
        <f t="shared" si="3"/>
        <v>-0.77558816761629157</v>
      </c>
      <c r="J11" s="4">
        <f t="shared" si="4"/>
        <v>-0.3924864860257985</v>
      </c>
      <c r="K11" s="4">
        <f t="shared" si="5"/>
        <v>-0.79831249206348143</v>
      </c>
      <c r="L11" s="4">
        <f t="shared" si="6"/>
        <v>-0.4557876349206238</v>
      </c>
      <c r="M11" s="4">
        <f t="shared" si="7"/>
        <v>-6.599526873675746E-3</v>
      </c>
      <c r="N11" s="4">
        <f t="shared" si="8"/>
        <v>-1.728910958069183E-3</v>
      </c>
      <c r="O11" s="4">
        <f t="shared" si="9"/>
        <v>-6.8554951023367889E-3</v>
      </c>
      <c r="P11" s="4">
        <f t="shared" si="10"/>
        <v>-2.0418986751295737E-3</v>
      </c>
      <c r="S11" s="4">
        <v>-0.13603252021471071</v>
      </c>
      <c r="T11" s="4">
        <v>-0.51448729961239348</v>
      </c>
      <c r="U11" s="4">
        <f t="shared" si="11"/>
        <v>-0.49075843570911198</v>
      </c>
      <c r="W11" s="4">
        <f t="shared" si="12"/>
        <v>-0.20300192393816646</v>
      </c>
      <c r="X11" s="4">
        <f t="shared" si="13"/>
        <v>-0.79946548756701163</v>
      </c>
      <c r="Y11" s="3">
        <f t="shared" si="0"/>
        <v>-47.308752748276675</v>
      </c>
      <c r="AA11" s="3"/>
      <c r="AE11" s="29">
        <v>1.05</v>
      </c>
      <c r="AG11" t="s">
        <v>72</v>
      </c>
      <c r="AH11" s="13">
        <f t="shared" si="20"/>
        <v>123.8055042</v>
      </c>
      <c r="AI11" s="14">
        <f t="shared" si="14"/>
        <v>16.58625554142337</v>
      </c>
      <c r="AJ11" s="14">
        <f t="shared" si="15"/>
        <v>12.508647145799486</v>
      </c>
      <c r="AK11" s="14">
        <f t="shared" si="16"/>
        <v>3.6555530004653187</v>
      </c>
      <c r="AL11" s="13">
        <f t="shared" si="21"/>
        <v>120.22082617551345</v>
      </c>
      <c r="AM11" s="14">
        <f t="shared" si="17"/>
        <v>14.322226464983963</v>
      </c>
      <c r="AN11" s="14">
        <f t="shared" si="18"/>
        <v>10.613823458677146</v>
      </c>
      <c r="AO11" s="14">
        <f t="shared" si="19"/>
        <v>3.2894561658056545</v>
      </c>
      <c r="AP11" s="14">
        <f t="shared" si="22"/>
        <v>0</v>
      </c>
    </row>
    <row r="12" spans="1:46" x14ac:dyDescent="0.25">
      <c r="A12" t="s">
        <v>14</v>
      </c>
      <c r="B12" s="4">
        <f>(LN(B4/B5)-B8*B7+B9*B7-0.5*B6*B6*B7)/(B6*SQRT(B7))</f>
        <v>-0.2318928284730617</v>
      </c>
      <c r="D12" s="1">
        <v>42725</v>
      </c>
      <c r="E12" s="3">
        <v>117.05999799999999</v>
      </c>
      <c r="F12" s="3">
        <v>225.770004</v>
      </c>
      <c r="G12" s="3">
        <f t="shared" si="1"/>
        <v>0.11000099999999691</v>
      </c>
      <c r="H12" s="3">
        <f t="shared" si="2"/>
        <v>-0.62998999999999228</v>
      </c>
      <c r="I12" s="4">
        <f t="shared" si="3"/>
        <v>0.11090396479448936</v>
      </c>
      <c r="J12" s="4">
        <f t="shared" si="4"/>
        <v>-0.63224397572169655</v>
      </c>
      <c r="K12" s="4">
        <f t="shared" si="5"/>
        <v>8.168550793650485E-2</v>
      </c>
      <c r="L12" s="4">
        <f t="shared" si="6"/>
        <v>-0.69577863492062719</v>
      </c>
      <c r="M12" s="4">
        <f t="shared" si="7"/>
        <v>9.4013939961967176E-4</v>
      </c>
      <c r="N12" s="4">
        <f t="shared" si="8"/>
        <v>-2.7865201602338095E-3</v>
      </c>
      <c r="O12" s="4">
        <f t="shared" si="9"/>
        <v>6.8417117095862911E-4</v>
      </c>
      <c r="P12" s="4">
        <f t="shared" si="10"/>
        <v>-3.0995078772942E-3</v>
      </c>
      <c r="S12" s="4">
        <v>-0.31109928007547766</v>
      </c>
      <c r="T12" s="4">
        <v>1.8634750237949069</v>
      </c>
      <c r="U12" s="4">
        <f t="shared" si="11"/>
        <v>1.2875087165202859</v>
      </c>
      <c r="W12" s="4">
        <f t="shared" si="12"/>
        <v>-0.50069537587787549</v>
      </c>
      <c r="X12" s="4">
        <f t="shared" si="13"/>
        <v>2.3357898078974597</v>
      </c>
      <c r="Y12" s="3">
        <f t="shared" si="0"/>
        <v>314.46550426009526</v>
      </c>
      <c r="AA12" s="3"/>
      <c r="AE12" s="29">
        <v>1.1000000000000001</v>
      </c>
      <c r="AG12" s="4">
        <f>0.5*(1-(B8-B9)/(0.5*B6^2))</f>
        <v>0.61199999999999999</v>
      </c>
      <c r="AH12" s="13">
        <f t="shared" si="20"/>
        <v>129.70100440000002</v>
      </c>
      <c r="AI12" s="14">
        <f t="shared" si="14"/>
        <v>20.626705820589706</v>
      </c>
      <c r="AJ12" s="14">
        <f t="shared" si="15"/>
        <v>15.970022715286007</v>
      </c>
      <c r="AK12" s="14">
        <f t="shared" si="16"/>
        <v>4.241504728189974</v>
      </c>
      <c r="AL12" s="13">
        <f t="shared" si="21"/>
        <v>114.75624316753554</v>
      </c>
      <c r="AM12" s="14">
        <f t="shared" si="17"/>
        <v>11.181024824369558</v>
      </c>
      <c r="AN12" s="14">
        <f t="shared" si="18"/>
        <v>8.0484139464688624</v>
      </c>
      <c r="AO12" s="14">
        <f t="shared" si="19"/>
        <v>2.7300255384175642</v>
      </c>
      <c r="AP12" s="14">
        <f t="shared" si="22"/>
        <v>0</v>
      </c>
    </row>
    <row r="13" spans="1:46" x14ac:dyDescent="0.25">
      <c r="A13" t="s">
        <v>15</v>
      </c>
      <c r="B13" s="4">
        <f>B4*EXP(-B8*B7)*NORMSDIST((LN(B4/B5)-B8*B7+B9*B7+0.5*B6*B6*B7)/(B6*SQRT(B7)))-B5*EXP(-B9*B7)*NORMSDIST((LN(B4/B5)-B8*B7+B9*B7-0.5*B6*B6*B7)/(B6*SQRT(B7)))</f>
        <v>9.8959151806840282</v>
      </c>
      <c r="D13" s="1">
        <v>42724</v>
      </c>
      <c r="E13" s="3">
        <v>116.949997</v>
      </c>
      <c r="F13" s="3">
        <v>226.39999399999999</v>
      </c>
      <c r="G13" s="3">
        <f t="shared" si="1"/>
        <v>0.30999799999999311</v>
      </c>
      <c r="H13" s="3">
        <f t="shared" si="2"/>
        <v>0.86999499999998875</v>
      </c>
      <c r="I13" s="4">
        <f t="shared" si="3"/>
        <v>0.31337333447671917</v>
      </c>
      <c r="J13" s="4">
        <f t="shared" si="4"/>
        <v>0.87647572791397232</v>
      </c>
      <c r="K13" s="4">
        <f t="shared" si="5"/>
        <v>0.28168250793650107</v>
      </c>
      <c r="L13" s="4">
        <f t="shared" si="6"/>
        <v>0.80420636507935384</v>
      </c>
      <c r="M13" s="4">
        <f t="shared" si="7"/>
        <v>2.6542076912397976E-3</v>
      </c>
      <c r="N13" s="4">
        <f t="shared" si="8"/>
        <v>3.8501364732433829E-3</v>
      </c>
      <c r="O13" s="4">
        <f t="shared" si="9"/>
        <v>2.3982394625787552E-3</v>
      </c>
      <c r="P13" s="4">
        <f t="shared" si="10"/>
        <v>3.5371487561829925E-3</v>
      </c>
      <c r="S13" s="4">
        <v>1.1973611071621912</v>
      </c>
      <c r="T13" s="4">
        <v>0.87534711206341131</v>
      </c>
      <c r="U13" s="4">
        <f t="shared" si="11"/>
        <v>1.4238187158059374</v>
      </c>
      <c r="W13" s="4">
        <f t="shared" si="12"/>
        <v>2.0643762582132257</v>
      </c>
      <c r="X13" s="4">
        <f t="shared" si="13"/>
        <v>2.5761173911569895</v>
      </c>
      <c r="Y13" s="3">
        <f t="shared" si="0"/>
        <v>-62.314199141744666</v>
      </c>
      <c r="AA13" s="3"/>
      <c r="AE13" s="29">
        <v>1.2</v>
      </c>
      <c r="AH13" s="13">
        <f t="shared" si="20"/>
        <v>141.49200479999999</v>
      </c>
      <c r="AI13" s="14">
        <f t="shared" si="14"/>
        <v>29.696679525247276</v>
      </c>
      <c r="AJ13" s="14">
        <f t="shared" si="15"/>
        <v>24.033669595346851</v>
      </c>
      <c r="AK13" s="14">
        <f t="shared" si="16"/>
        <v>5.2959942593241269</v>
      </c>
      <c r="AL13" s="13">
        <f t="shared" si="21"/>
        <v>105.19322290357428</v>
      </c>
      <c r="AM13" s="14">
        <f t="shared" si="17"/>
        <v>6.6683886163673094</v>
      </c>
      <c r="AN13" s="14">
        <f t="shared" si="18"/>
        <v>4.5265538749897409</v>
      </c>
      <c r="AO13" s="14">
        <f t="shared" si="19"/>
        <v>1.8011941433234411</v>
      </c>
      <c r="AP13" s="14">
        <f t="shared" si="22"/>
        <v>0</v>
      </c>
    </row>
    <row r="14" spans="1:46" x14ac:dyDescent="0.25">
      <c r="A14" t="s">
        <v>16</v>
      </c>
      <c r="B14" s="4">
        <f>-EXP(-B9*B7)*NORMSDIST((LN(B4/B5)-B8*B7+B9*B7-0.5*B6*B6*B7)/(B6*SQRT(B7)))</f>
        <v>-0.40062596097672204</v>
      </c>
      <c r="D14" s="1">
        <v>42723</v>
      </c>
      <c r="E14" s="3">
        <v>116.639999</v>
      </c>
      <c r="F14" s="3">
        <v>225.529999</v>
      </c>
      <c r="G14" s="3">
        <f t="shared" si="1"/>
        <v>0.66999800000000675</v>
      </c>
      <c r="H14" s="3">
        <f t="shared" si="2"/>
        <v>0.49000599999999395</v>
      </c>
      <c r="I14" s="4">
        <f t="shared" si="3"/>
        <v>0.68120605483130758</v>
      </c>
      <c r="J14" s="4">
        <f t="shared" si="4"/>
        <v>0.49473102627603005</v>
      </c>
      <c r="K14" s="4">
        <f t="shared" si="5"/>
        <v>0.64168250793651471</v>
      </c>
      <c r="L14" s="4">
        <f t="shared" si="6"/>
        <v>0.42421736507935903</v>
      </c>
      <c r="M14" s="4">
        <f t="shared" si="7"/>
        <v>5.7607140954282349E-3</v>
      </c>
      <c r="N14" s="4">
        <f t="shared" si="8"/>
        <v>2.1750502779973825E-3</v>
      </c>
      <c r="O14" s="4">
        <f t="shared" si="9"/>
        <v>5.504745866767192E-3</v>
      </c>
      <c r="P14" s="4">
        <f t="shared" si="10"/>
        <v>1.862062560936992E-3</v>
      </c>
      <c r="S14" s="4">
        <v>0.47400779559308492</v>
      </c>
      <c r="T14" s="4">
        <v>-0.27842267003069099</v>
      </c>
      <c r="U14" s="4">
        <f t="shared" si="11"/>
        <v>6.8262299760673661E-2</v>
      </c>
      <c r="W14" s="4">
        <f t="shared" si="12"/>
        <v>0.834345243391862</v>
      </c>
      <c r="X14" s="4">
        <f t="shared" si="13"/>
        <v>0.18614160693438464</v>
      </c>
      <c r="Y14" s="3">
        <f t="shared" si="0"/>
        <v>-113.2984933695684</v>
      </c>
      <c r="AA14" s="3"/>
      <c r="AE14" s="29">
        <v>1.3</v>
      </c>
      <c r="AG14" t="s">
        <v>74</v>
      </c>
      <c r="AH14" s="13">
        <f t="shared" si="20"/>
        <v>153.28300520000002</v>
      </c>
      <c r="AI14" s="14">
        <f t="shared" si="14"/>
        <v>39.742696269405286</v>
      </c>
      <c r="AJ14" s="14">
        <f t="shared" si="15"/>
        <v>33.311115894756725</v>
      </c>
      <c r="AK14" s="14">
        <f t="shared" si="16"/>
        <v>6.1370358533072817</v>
      </c>
      <c r="AL14" s="13">
        <f t="shared" si="21"/>
        <v>97.101436526376233</v>
      </c>
      <c r="AM14" s="14">
        <f t="shared" si="17"/>
        <v>3.8766089095004581</v>
      </c>
      <c r="AN14" s="14">
        <f t="shared" si="18"/>
        <v>2.4820945438866246</v>
      </c>
      <c r="AO14" s="14">
        <f t="shared" si="19"/>
        <v>1.1319220916260668</v>
      </c>
      <c r="AP14" s="14">
        <f t="shared" si="22"/>
        <v>0</v>
      </c>
    </row>
    <row r="15" spans="1:46" x14ac:dyDescent="0.25">
      <c r="A15" t="s">
        <v>31</v>
      </c>
      <c r="B15" s="4">
        <f>1/SQRT(2*PI())*EXP(-0.5*B12^2)*EXP(-B9*B7)/(B5*B6*SQRT(B7))</f>
        <v>1.2926795265529634E-2</v>
      </c>
      <c r="D15" s="1">
        <v>42720</v>
      </c>
      <c r="E15" s="3">
        <v>115.970001</v>
      </c>
      <c r="F15" s="3">
        <v>225.03999300000001</v>
      </c>
      <c r="G15" s="3">
        <f t="shared" si="1"/>
        <v>0.15000100000000316</v>
      </c>
      <c r="H15" s="3">
        <f t="shared" si="2"/>
        <v>-0.4409989999999766</v>
      </c>
      <c r="I15" s="4">
        <f t="shared" si="3"/>
        <v>0.1527078096184111</v>
      </c>
      <c r="J15" s="4">
        <f t="shared" si="4"/>
        <v>-0.44438063265655531</v>
      </c>
      <c r="K15" s="4">
        <f t="shared" si="5"/>
        <v>0.1216855079365111</v>
      </c>
      <c r="L15" s="4">
        <f t="shared" si="6"/>
        <v>-0.50678763492061152</v>
      </c>
      <c r="M15" s="4">
        <f t="shared" si="7"/>
        <v>1.2942837938878702E-3</v>
      </c>
      <c r="N15" s="4">
        <f t="shared" si="8"/>
        <v>-1.9577296309585511E-3</v>
      </c>
      <c r="O15" s="4">
        <f t="shared" si="9"/>
        <v>1.0383155652268275E-3</v>
      </c>
      <c r="P15" s="4">
        <f t="shared" si="10"/>
        <v>-2.2707173480189416E-3</v>
      </c>
      <c r="S15" s="4">
        <v>-0.24662986591930078</v>
      </c>
      <c r="T15" s="4">
        <v>0.37047008746568716</v>
      </c>
      <c r="U15" s="4">
        <f t="shared" si="11"/>
        <v>0.14331761255618891</v>
      </c>
      <c r="W15" s="4">
        <f t="shared" si="12"/>
        <v>-0.39106792598420748</v>
      </c>
      <c r="X15" s="4">
        <f t="shared" si="13"/>
        <v>0.31847131150091501</v>
      </c>
      <c r="Y15" s="3">
        <f t="shared" si="0"/>
        <v>94.912145037763366</v>
      </c>
      <c r="AA15" s="3"/>
      <c r="AE15" s="29">
        <v>1.4</v>
      </c>
      <c r="AG15">
        <v>114</v>
      </c>
      <c r="AH15" s="13">
        <f t="shared" si="20"/>
        <v>165.07400559999999</v>
      </c>
      <c r="AI15" s="14">
        <f t="shared" si="14"/>
        <v>50.422023553655805</v>
      </c>
      <c r="AJ15" s="14">
        <f t="shared" si="15"/>
        <v>43.447188185371502</v>
      </c>
      <c r="AK15" s="14">
        <f t="shared" si="16"/>
        <v>6.7554709132855333</v>
      </c>
      <c r="AL15" s="13">
        <f t="shared" si="21"/>
        <v>90.165619631635096</v>
      </c>
      <c r="AM15" s="14">
        <f t="shared" si="17"/>
        <v>2.205726931093885</v>
      </c>
      <c r="AN15" s="14">
        <f t="shared" si="18"/>
        <v>1.3333935760541529</v>
      </c>
      <c r="AO15" s="14">
        <f t="shared" si="19"/>
        <v>0.68391501900136953</v>
      </c>
      <c r="AP15" s="14">
        <f t="shared" si="22"/>
        <v>0</v>
      </c>
    </row>
    <row r="16" spans="1:46" x14ac:dyDescent="0.25">
      <c r="A16" t="s">
        <v>17</v>
      </c>
      <c r="B16" s="4">
        <f>VAR(G2:G505)</f>
        <v>2.891553128195719</v>
      </c>
      <c r="C16" s="4">
        <f>COVAR(G2:G505,H2:H505)</f>
        <v>1.8276891992632358</v>
      </c>
      <c r="D16" s="1">
        <v>42719</v>
      </c>
      <c r="E16" s="3">
        <v>115.82</v>
      </c>
      <c r="F16" s="3">
        <v>225.48099199999999</v>
      </c>
      <c r="G16" s="3">
        <f t="shared" si="1"/>
        <v>0.62999799999998629</v>
      </c>
      <c r="H16" s="3">
        <f t="shared" si="2"/>
        <v>0.92454299999999989</v>
      </c>
      <c r="I16" s="4">
        <f t="shared" si="3"/>
        <v>0.64487425479852312</v>
      </c>
      <c r="J16" s="4">
        <f t="shared" si="4"/>
        <v>0.9354682194043823</v>
      </c>
      <c r="K16" s="4">
        <f t="shared" si="5"/>
        <v>0.60168250793649425</v>
      </c>
      <c r="L16" s="4">
        <f t="shared" si="6"/>
        <v>0.85875436507936498</v>
      </c>
      <c r="M16" s="4">
        <f t="shared" si="7"/>
        <v>5.4543054966104104E-3</v>
      </c>
      <c r="N16" s="4">
        <f t="shared" si="8"/>
        <v>4.1087439240876699E-3</v>
      </c>
      <c r="O16" s="4">
        <f t="shared" si="9"/>
        <v>5.1983372679493675E-3</v>
      </c>
      <c r="P16" s="4">
        <f t="shared" si="10"/>
        <v>3.7957562070272794E-3</v>
      </c>
      <c r="S16" s="4">
        <v>0.16131523567633071</v>
      </c>
      <c r="T16" s="4">
        <v>-1.2052855219008842</v>
      </c>
      <c r="U16" s="4">
        <f t="shared" si="11"/>
        <v>-0.85707884684430158</v>
      </c>
      <c r="W16" s="4">
        <f t="shared" si="12"/>
        <v>0.30262507200401045</v>
      </c>
      <c r="X16" s="4">
        <f t="shared" si="13"/>
        <v>-1.4453234552005312</v>
      </c>
      <c r="Y16" s="3">
        <f t="shared" si="0"/>
        <v>-192.79174924831705</v>
      </c>
      <c r="AA16" s="3"/>
    </row>
    <row r="17" spans="1:45" x14ac:dyDescent="0.25">
      <c r="B17" s="4">
        <f>C16</f>
        <v>1.8276891992632358</v>
      </c>
      <c r="C17" s="4">
        <f>VAR(H2:H505)</f>
        <v>3.1085066970450894</v>
      </c>
      <c r="D17" s="1">
        <v>42718</v>
      </c>
      <c r="E17" s="3">
        <v>115.19000200000001</v>
      </c>
      <c r="F17" s="3">
        <v>224.55644899999999</v>
      </c>
      <c r="G17" s="3">
        <f t="shared" si="1"/>
        <v>0</v>
      </c>
      <c r="H17" s="3">
        <f t="shared" si="2"/>
        <v>-1.8689740000000086</v>
      </c>
      <c r="I17" s="4">
        <f t="shared" si="3"/>
        <v>0</v>
      </c>
      <c r="J17" s="4">
        <f t="shared" si="4"/>
        <v>-1.8754501592465611</v>
      </c>
      <c r="K17" s="4">
        <f t="shared" si="5"/>
        <v>-2.8315492063492053E-2</v>
      </c>
      <c r="L17" s="4">
        <f t="shared" si="6"/>
        <v>-1.9347626349206435</v>
      </c>
      <c r="M17" s="4">
        <f t="shared" si="7"/>
        <v>0</v>
      </c>
      <c r="N17" s="4">
        <f t="shared" si="8"/>
        <v>-8.288513644644108E-3</v>
      </c>
      <c r="O17" s="4">
        <f t="shared" si="9"/>
        <v>-2.559682286610426E-4</v>
      </c>
      <c r="P17" s="4">
        <f t="shared" si="10"/>
        <v>-8.6015013617044989E-3</v>
      </c>
      <c r="S17" s="4">
        <v>-0.43267621083362517</v>
      </c>
      <c r="T17" s="4">
        <v>1.0575255233578169</v>
      </c>
      <c r="U17" s="4">
        <f t="shared" si="11"/>
        <v>0.57452297025853616</v>
      </c>
      <c r="W17" s="4">
        <f t="shared" si="12"/>
        <v>-0.70743168734221307</v>
      </c>
      <c r="X17" s="4">
        <f t="shared" si="13"/>
        <v>1.0787276540161677</v>
      </c>
      <c r="Y17" s="3">
        <f t="shared" si="0"/>
        <v>222.53778006044831</v>
      </c>
      <c r="AA17" s="3"/>
      <c r="AH17" s="18">
        <f>B5-AG19</f>
        <v>117.909904</v>
      </c>
      <c r="AI17" s="12">
        <f>AH17*EXP(-$B$9*$B$7)*NORMSDIST((LN(AH17/$AG$15)+($B$8-$B$9+0.5*$B$6^2)*$B$7)/($B$6*SQRT($B$7)))-$AG$15*EXP(-$B$8*$B$7)*NORMSDIST((LN(AH17/$AG$15)+($B$8-$B$9-0.5*$B$6^2)*$B$7)/($B$6*SQRT($B$7)))</f>
        <v>12.946544385915168</v>
      </c>
      <c r="AJ17" s="12">
        <f>AH17*EXP(-$B$9*$B$7)*NORMSDIST((LN(AH17/$AG$10)+($B$8-$B$9+0.5*$B$6^2)*$B$7)/($B$6*SQRT($B$7)))-$AG$10*EXP(-$B$8*$B$7)*NORMSDIST((LN(AH17/$AG$10)+($B$8-$B$9-0.5*$B$6^2)*$B$7)/($B$6*SQRT($B$7)))</f>
        <v>9.480521662540724</v>
      </c>
      <c r="AK17" s="12">
        <f>EXP(-$B$8*$B$7)*NORMSDIST((LN(AH17/$AG$10)+($B$8-$B$9-0.5*$B$6^2)*$B$7)/($B$6*SQRT($B$7)))*($AG$10-$AG$15)</f>
        <v>3.0522506232922102</v>
      </c>
      <c r="AL17" s="11">
        <f>$AG$10^2/AH17</f>
        <v>126.23197454218943</v>
      </c>
      <c r="AM17" s="12">
        <f>AL17*EXP(-$B$9*$B$7)*NORMSDIST((LN(AL17/$AG$15)+($B$8-$B$9+0.5*$B$6^2)*$B$7)/($B$6*SQRT($B$7)))-$AG$15*EXP(-$B$8*$B$7)*NORMSDIST((LN(AL17/$AG$15)+($B$8-$B$9-0.5*$B$6^2)*$B$7)/($B$6*SQRT($B$7)))</f>
        <v>18.203652981846716</v>
      </c>
      <c r="AN17" s="12">
        <f>AL17*EXP(-$B$9*$B$7)*NORMSDIST((LN(AL17/$AG$10)+($B$8-$B$9+0.5*$B$6^2)*$B$7)/($B$6*SQRT($B$7)))-$AG$10*EXP(-$B$8*$B$7)*NORMSDIST((LN(AL17/$AG$10)+($B$8-$B$9-0.5*$B$6^2)*$B$7)/($B$6*SQRT($B$7)))</f>
        <v>13.882774842928967</v>
      </c>
      <c r="AO17" s="12">
        <f>EXP(-$B$8*$B$7)*NORMSDIST((LN(AL17/$AG$10)+($B$8-$B$9-0.5*$B$6^2)*$B$7)/($B$6*SQRT($B$7)))*($AG$10-$AG$15)</f>
        <v>3.8999446689442081</v>
      </c>
      <c r="AP17" s="12">
        <f t="shared" si="22"/>
        <v>4.0184929861782459</v>
      </c>
      <c r="AR17" s="3">
        <f>AH17</f>
        <v>117.909904</v>
      </c>
      <c r="AS17" s="4">
        <f>AP17</f>
        <v>4.0184929861782459</v>
      </c>
    </row>
    <row r="18" spans="1:45" x14ac:dyDescent="0.25">
      <c r="A18" t="s">
        <v>36</v>
      </c>
      <c r="B18" s="4">
        <v>1</v>
      </c>
      <c r="C18" s="4">
        <f>C16/SQRT(B16*C17)</f>
        <v>0.60962231185319915</v>
      </c>
      <c r="D18" s="1">
        <v>42717</v>
      </c>
      <c r="E18" s="3">
        <v>115.19000200000001</v>
      </c>
      <c r="F18" s="3">
        <v>226.42542299999999</v>
      </c>
      <c r="G18" s="3">
        <f t="shared" si="1"/>
        <v>1.8899990000000031</v>
      </c>
      <c r="H18" s="3">
        <f t="shared" si="2"/>
        <v>1.5011470000000031</v>
      </c>
      <c r="I18" s="4">
        <f t="shared" si="3"/>
        <v>1.9669001213530097</v>
      </c>
      <c r="J18" s="4">
        <f t="shared" si="4"/>
        <v>1.5164019929001782</v>
      </c>
      <c r="K18" s="4">
        <f t="shared" si="5"/>
        <v>1.8616835079365111</v>
      </c>
      <c r="L18" s="4">
        <f t="shared" si="6"/>
        <v>1.4353583650793682</v>
      </c>
      <c r="M18" s="4">
        <f t="shared" si="7"/>
        <v>1.6543761788696973E-2</v>
      </c>
      <c r="N18" s="4">
        <f t="shared" si="8"/>
        <v>6.6518379802609209E-3</v>
      </c>
      <c r="O18" s="4">
        <f t="shared" si="9"/>
        <v>1.6287793560035929E-2</v>
      </c>
      <c r="P18" s="4">
        <f t="shared" si="10"/>
        <v>6.33885026320053E-3</v>
      </c>
      <c r="S18" s="4">
        <v>-0.90230918205428712</v>
      </c>
      <c r="T18" s="4">
        <v>-0.34725475004308781</v>
      </c>
      <c r="U18" s="4">
        <f t="shared" si="11"/>
        <v>-0.82533387846837369</v>
      </c>
      <c r="W18" s="4">
        <f t="shared" si="12"/>
        <v>-1.5060222390755693</v>
      </c>
      <c r="X18" s="4">
        <f t="shared" si="13"/>
        <v>-1.3893540357124627</v>
      </c>
      <c r="Y18" s="3">
        <f t="shared" si="0"/>
        <v>108.31637298848682</v>
      </c>
      <c r="AA18" s="3"/>
      <c r="AG18" t="s">
        <v>75</v>
      </c>
      <c r="AH18" s="18">
        <f>B5</f>
        <v>117.910004</v>
      </c>
      <c r="AI18" s="12">
        <f>AH18*EXP(-$B$9*$B$7)*NORMSDIST((LN(AH18/$AG$15)+($B$8-$B$9+0.5*$B$6^2)*$B$7)/($B$6*SQRT($B$7)))-$AG$15*EXP(-$B$8*$B$7)*NORMSDIST((LN(AH18/$AG$15)+($B$8-$B$9-0.5*$B$6^2)*$B$7)/($B$6*SQRT($B$7)))</f>
        <v>12.94660244119067</v>
      </c>
      <c r="AJ18" s="12">
        <f>AH18*EXP(-$B$9*$B$7)*NORMSDIST((LN(AH18/$AG$10)+($B$8-$B$9+0.5*$B$6^2)*$B$7)/($B$6*SQRT($B$7)))-$AG$10*EXP(-$B$8*$B$7)*NORMSDIST((LN(AH18/$AG$10)+($B$8-$B$9-0.5*$B$6^2)*$B$7)/($B$6*SQRT($B$7)))</f>
        <v>9.4805691796872793</v>
      </c>
      <c r="AK18" s="12">
        <f>EXP(-$B$8*$B$7)*NORMSDIST((LN(AH18/$AG$10)+($B$8-$B$9-0.5*$B$6^2)*$B$7)/($B$6*SQRT($B$7)))*($AG$10-$AG$15)</f>
        <v>3.052260882446006</v>
      </c>
      <c r="AL18" s="11">
        <f>$AG$10^2/AH18</f>
        <v>126.23186748428913</v>
      </c>
      <c r="AM18" s="12">
        <f>AL18*EXP(-$B$9*$B$7)*NORMSDIST((LN(AL18/$AG$15)+($B$8-$B$9+0.5*$B$6^2)*$B$7)/($B$6*SQRT($B$7)))-$AG$15*EXP(-$B$8*$B$7)*NORMSDIST((LN(AL18/$AG$15)+($B$8-$B$9-0.5*$B$6^2)*$B$7)/($B$6*SQRT($B$7)))</f>
        <v>18.203580175325385</v>
      </c>
      <c r="AN18" s="12">
        <f>AL18*EXP(-$B$9*$B$7)*NORMSDIST((LN(AL18/$AG$10)+($B$8-$B$9+0.5*$B$6^2)*$B$7)/($B$6*SQRT($B$7)))-$AG$10*EXP(-$B$8*$B$7)*NORMSDIST((LN(AL18/$AG$10)+($B$8-$B$9-0.5*$B$6^2)*$B$7)/($B$6*SQRT($B$7)))</f>
        <v>13.882712628657927</v>
      </c>
      <c r="AO18" s="12">
        <f>EXP(-$B$8*$B$7)*NORMSDIST((LN(AL18/$AG$10)+($B$8-$B$9-0.5*$B$6^2)*$B$7)/($B$6*SQRT($B$7)))*($AG$10-$AG$15)</f>
        <v>3.8999339725303521</v>
      </c>
      <c r="AP18" s="12">
        <f t="shared" si="22"/>
        <v>4.0183969740040126</v>
      </c>
      <c r="AR18" s="3">
        <f>AH18</f>
        <v>117.910004</v>
      </c>
      <c r="AS18" s="4">
        <f>AP18</f>
        <v>4.0183969740040126</v>
      </c>
    </row>
    <row r="19" spans="1:45" x14ac:dyDescent="0.25">
      <c r="B19" s="4">
        <f>C18</f>
        <v>0.60962231185319915</v>
      </c>
      <c r="C19" s="4">
        <v>1</v>
      </c>
      <c r="D19" s="1">
        <v>42716</v>
      </c>
      <c r="E19" s="3">
        <v>113.300003</v>
      </c>
      <c r="F19" s="3">
        <v>224.92427599999999</v>
      </c>
      <c r="G19" s="3">
        <f t="shared" si="1"/>
        <v>-0.64999399999999241</v>
      </c>
      <c r="H19" s="3">
        <f t="shared" si="2"/>
        <v>-0.25847100000001433</v>
      </c>
      <c r="I19" s="4">
        <f t="shared" si="3"/>
        <v>-0.6725826867724719</v>
      </c>
      <c r="J19" s="4">
        <f t="shared" si="4"/>
        <v>-0.26079794523201305</v>
      </c>
      <c r="K19" s="4">
        <f t="shared" si="5"/>
        <v>-0.67830949206348445</v>
      </c>
      <c r="L19" s="4">
        <f t="shared" si="6"/>
        <v>-0.32425963492064924</v>
      </c>
      <c r="M19" s="4">
        <f t="shared" si="7"/>
        <v>-5.7205348520200346E-3</v>
      </c>
      <c r="N19" s="4">
        <f t="shared" si="8"/>
        <v>-1.1484869828869942E-3</v>
      </c>
      <c r="O19" s="4">
        <f t="shared" si="9"/>
        <v>-5.9765030806810775E-3</v>
      </c>
      <c r="P19" s="4">
        <f t="shared" si="10"/>
        <v>-1.4614746999473847E-3</v>
      </c>
      <c r="S19" s="4">
        <v>0.56245652764093468</v>
      </c>
      <c r="T19" s="4">
        <v>1.917846161828868</v>
      </c>
      <c r="U19" s="4">
        <f t="shared" si="11"/>
        <v>1.8631473947333459</v>
      </c>
      <c r="W19" s="4">
        <f t="shared" si="12"/>
        <v>0.98474848604029996</v>
      </c>
      <c r="X19" s="4">
        <f t="shared" si="13"/>
        <v>3.3506959269690717</v>
      </c>
      <c r="Y19" s="3">
        <f t="shared" si="0"/>
        <v>179.75676687437044</v>
      </c>
      <c r="AA19" s="3"/>
      <c r="AG19">
        <v>1E-4</v>
      </c>
      <c r="AH19" s="18">
        <f>B5+AG19</f>
        <v>117.910104</v>
      </c>
      <c r="AI19" s="12">
        <f>AH19*EXP(-$B$9*$B$7)*NORMSDIST((LN(AH19/$AG$15)+($B$8-$B$9+0.5*$B$6^2)*$B$7)/($B$6*SQRT($B$7)))-$AG$15*EXP(-$B$8*$B$7)*NORMSDIST((LN(AH19/$AG$15)+($B$8-$B$9-0.5*$B$6^2)*$B$7)/($B$6*SQRT($B$7)))</f>
        <v>12.94666049659542</v>
      </c>
      <c r="AJ19" s="12">
        <f>AH19*EXP(-$B$9*$B$7)*NORMSDIST((LN(AH19/$AG$10)+($B$8-$B$9+0.5*$B$6^2)*$B$7)/($B$6*SQRT($B$7)))-$AG$10*EXP(-$B$8*$B$7)*NORMSDIST((LN(AH19/$AG$10)+($B$8-$B$9-0.5*$B$6^2)*$B$7)/($B$6*SQRT($B$7)))</f>
        <v>9.4806166969665284</v>
      </c>
      <c r="AK19" s="12">
        <f>EXP(-$B$8*$B$7)*NORMSDIST((LN(AH19/$AG$10)+($B$8-$B$9-0.5*$B$6^2)*$B$7)/($B$6*SQRT($B$7)))*($AG$10-$AG$15)</f>
        <v>3.0522711416011736</v>
      </c>
      <c r="AL19" s="11">
        <f>$AG$10^2/AH19</f>
        <v>126.23176042657039</v>
      </c>
      <c r="AM19" s="12">
        <f>AL19*EXP(-$B$9*$B$7)*NORMSDIST((LN(AL19/$AG$15)+($B$8-$B$9+0.5*$B$6^2)*$B$7)/($B$6*SQRT($B$7)))-$AG$15*EXP(-$B$8*$B$7)*NORMSDIST((LN(AL19/$AG$15)+($B$8-$B$9-0.5*$B$6^2)*$B$7)/($B$6*SQRT($B$7)))</f>
        <v>18.203507369052701</v>
      </c>
      <c r="AN19" s="12">
        <f>AL19*EXP(-$B$9*$B$7)*NORMSDIST((LN(AL19/$AG$10)+($B$8-$B$9+0.5*$B$6^2)*$B$7)/($B$6*SQRT($B$7)))-$AG$10*EXP(-$B$8*$B$7)*NORMSDIST((LN(AL19/$AG$10)+($B$8-$B$9-0.5*$B$6^2)*$B$7)/($B$6*SQRT($B$7)))</f>
        <v>13.882650414630724</v>
      </c>
      <c r="AO19" s="12">
        <f>EXP(-$B$8*$B$7)*NORMSDIST((LN(AL19/$AG$10)+($B$8-$B$9-0.5*$B$6^2)*$B$7)/($B$6*SQRT($B$7)))*($AG$10-$AG$15)</f>
        <v>3.8999232761261697</v>
      </c>
      <c r="AP19" s="12">
        <f t="shared" si="22"/>
        <v>4.0183009616535648</v>
      </c>
      <c r="AR19" s="3">
        <f>AH19</f>
        <v>117.910104</v>
      </c>
      <c r="AS19" s="4">
        <f>AP19</f>
        <v>4.0183009616535648</v>
      </c>
    </row>
    <row r="20" spans="1:45" x14ac:dyDescent="0.25">
      <c r="A20" t="s">
        <v>19</v>
      </c>
      <c r="B20" s="5">
        <f>AVERAGE(G2:G505)</f>
        <v>2.8315492063492053E-2</v>
      </c>
      <c r="C20" s="5">
        <f>AVERAGE(H2:H505)</f>
        <v>6.5788634920634886E-2</v>
      </c>
      <c r="D20" s="1">
        <v>42713</v>
      </c>
      <c r="E20" s="3">
        <v>113.949997</v>
      </c>
      <c r="F20" s="3">
        <v>225.18274700000001</v>
      </c>
      <c r="G20" s="3">
        <f t="shared" si="1"/>
        <v>1.8299939999999992</v>
      </c>
      <c r="H20" s="3">
        <f t="shared" si="2"/>
        <v>1.3520320000000083</v>
      </c>
      <c r="I20" s="4">
        <f t="shared" si="3"/>
        <v>1.9244969147920548</v>
      </c>
      <c r="J20" s="4">
        <f t="shared" si="4"/>
        <v>1.3724443501162291</v>
      </c>
      <c r="K20" s="4">
        <f t="shared" si="5"/>
        <v>1.8016785079365072</v>
      </c>
      <c r="L20" s="4">
        <f t="shared" si="6"/>
        <v>1.2862433650793734</v>
      </c>
      <c r="M20" s="4">
        <f t="shared" si="7"/>
        <v>1.6189976310723247E-2</v>
      </c>
      <c r="N20" s="4">
        <f t="shared" si="8"/>
        <v>6.0222518951319011E-3</v>
      </c>
      <c r="O20" s="4">
        <f t="shared" si="9"/>
        <v>1.5934008082062204E-2</v>
      </c>
      <c r="P20" s="4">
        <f t="shared" si="10"/>
        <v>5.7092641780715101E-3</v>
      </c>
      <c r="S20" s="4">
        <v>0.60688827085455521</v>
      </c>
      <c r="T20" s="4">
        <v>-1.4231563286448037</v>
      </c>
      <c r="U20" s="4">
        <f t="shared" si="11"/>
        <v>-0.75815203270537279</v>
      </c>
      <c r="W20" s="4">
        <f t="shared" si="12"/>
        <v>1.0603027433046779</v>
      </c>
      <c r="X20" s="4">
        <f t="shared" si="13"/>
        <v>-1.2709060075725636</v>
      </c>
      <c r="Y20" s="3">
        <f t="shared" si="0"/>
        <v>-294.11494645054563</v>
      </c>
      <c r="AA20" s="3"/>
    </row>
    <row r="21" spans="1:45" x14ac:dyDescent="0.25">
      <c r="A21" t="s">
        <v>18</v>
      </c>
      <c r="B21" s="4">
        <f>VAR(I2:I505)</f>
        <v>3.4424021605949977</v>
      </c>
      <c r="C21" s="4">
        <f>COVAR(I2:I505,J2:J505)</f>
        <v>2.331325478126077</v>
      </c>
      <c r="D21" s="1">
        <v>42712</v>
      </c>
      <c r="E21" s="3">
        <v>112.120003</v>
      </c>
      <c r="F21" s="3">
        <v>223.830715</v>
      </c>
      <c r="G21" s="3">
        <f t="shared" si="1"/>
        <v>1.0900039999999933</v>
      </c>
      <c r="H21" s="3">
        <f t="shared" si="2"/>
        <v>0.54676499999999351</v>
      </c>
      <c r="I21" s="4">
        <f t="shared" si="3"/>
        <v>1.1575464032924581</v>
      </c>
      <c r="J21" s="4">
        <f t="shared" si="4"/>
        <v>0.55637890442798743</v>
      </c>
      <c r="K21" s="4">
        <f t="shared" si="5"/>
        <v>1.0616885079365013</v>
      </c>
      <c r="L21" s="4">
        <f t="shared" si="6"/>
        <v>0.48097636507935859</v>
      </c>
      <c r="M21" s="4">
        <f t="shared" si="7"/>
        <v>9.7693269940337269E-3</v>
      </c>
      <c r="N21" s="4">
        <f t="shared" si="8"/>
        <v>2.445749671611719E-3</v>
      </c>
      <c r="O21" s="4">
        <f t="shared" si="9"/>
        <v>9.5133587653726849E-3</v>
      </c>
      <c r="P21" s="4">
        <f t="shared" si="10"/>
        <v>2.1327619545513286E-3</v>
      </c>
      <c r="S21" s="4">
        <v>0.13828041314536288</v>
      </c>
      <c r="T21" s="4">
        <v>-0.54061941755990783</v>
      </c>
      <c r="U21" s="4">
        <f t="shared" si="11"/>
        <v>-0.34424587243789795</v>
      </c>
      <c r="W21" s="4">
        <f t="shared" si="12"/>
        <v>0.26345535275224546</v>
      </c>
      <c r="X21" s="4">
        <f t="shared" si="13"/>
        <v>-0.54114980689312697</v>
      </c>
      <c r="Y21" s="3">
        <f t="shared" si="0"/>
        <v>-96.154614157348988</v>
      </c>
      <c r="AA21" s="3"/>
      <c r="AG21" t="s">
        <v>76</v>
      </c>
      <c r="AH21" s="8">
        <f>AH18+AR2</f>
        <v>122.610004</v>
      </c>
      <c r="AI21" s="10">
        <f>AH21*EXP(-$B$9*$B$7)*NORMSDIST((LN(AH21/$AG$15)+($B$8-$B$9+0.5*$B$6^2)*$B$7)/($B$6*SQRT($B$7)))-$AG$15*EXP(-$B$8*$B$7)*NORMSDIST((LN(AH21/$AG$15)+($B$8-$B$9-0.5*$B$6^2)*$B$7)/($B$6*SQRT($B$7)))</f>
        <v>15.81414494593912</v>
      </c>
      <c r="AJ21" s="10">
        <f>AH21*EXP(-$B$9*$B$7)*NORMSDIST((LN(AH21/$AG$10)+($B$8-$B$9+0.5*$B$6^2)*$B$7)/($B$6*SQRT($B$7)))-$AG$10*EXP(-$B$8*$B$7)*NORMSDIST((LN(AH21/$AG$10)+($B$8-$B$9-0.5*$B$6^2)*$B$7)/($B$6*SQRT($B$7)))</f>
        <v>11.858524296756322</v>
      </c>
      <c r="AK21" s="10">
        <f>EXP(-$B$8*$B$7)*NORMSDIST((LN(AH21/$AG$10)+($B$8-$B$9-0.5*$B$6^2)*$B$7)/($B$6*SQRT($B$7)))*($AG$10-$AG$15)</f>
        <v>3.5339533827684715</v>
      </c>
      <c r="AL21" s="8">
        <f>$AG$10^2/AH21</f>
        <v>121.39303086557275</v>
      </c>
      <c r="AM21" s="10">
        <f>AL21*EXP(-$B$9*$B$7)*NORMSDIST((LN(AL21/$AG$15)+($B$8-$B$9+0.5*$B$6^2)*$B$7)/($B$6*SQRT($B$7)))-$AG$15*EXP(-$B$8*$B$7)*NORMSDIST((LN(AL21/$AG$15)+($B$8-$B$9-0.5*$B$6^2)*$B$7)/($B$6*SQRT($B$7)))</f>
        <v>15.045552754769581</v>
      </c>
      <c r="AN21" s="10">
        <f>AL21*EXP(-$B$9*$B$7)*NORMSDIST((LN(AL21/$AG$10)+($B$8-$B$9+0.5*$B$6^2)*$B$7)/($B$6*SQRT($B$7)))-$AG$10*EXP(-$B$8*$B$7)*NORMSDIST((LN(AL21/$AG$10)+($B$8-$B$9-0.5*$B$6^2)*$B$7)/($B$6*SQRT($B$7)))</f>
        <v>11.215342154741485</v>
      </c>
      <c r="AO21" s="10">
        <f>EXP(-$B$8*$B$7)*NORMSDIST((LN(AL21/$AG$10)+($B$8-$B$9-0.5*$B$6^2)*$B$7)/($B$6*SQRT($B$7)))*($AG$10-$AG$15)</f>
        <v>3.4096003056970381</v>
      </c>
      <c r="AP21" s="10">
        <f>400*IF(AH21&gt;=$AG$10,0,AI21-AJ21-AK21-(AH21/$AG$10)^(2*$AG$12)*(AM21-AN21-AO21))</f>
        <v>0</v>
      </c>
    </row>
    <row r="22" spans="1:45" x14ac:dyDescent="0.25">
      <c r="B22" s="4">
        <f>C21</f>
        <v>2.331325478126077</v>
      </c>
      <c r="C22" s="4">
        <f>VAR(J2:J505)</f>
        <v>4.1306901245775096</v>
      </c>
      <c r="D22" s="1">
        <v>42711</v>
      </c>
      <c r="E22" s="3">
        <v>111.029999</v>
      </c>
      <c r="F22" s="3">
        <v>223.28395</v>
      </c>
      <c r="G22" s="3">
        <f t="shared" si="1"/>
        <v>1.0800020000000075</v>
      </c>
      <c r="H22" s="3">
        <f t="shared" si="2"/>
        <v>2.8830159999999978</v>
      </c>
      <c r="I22" s="4">
        <f t="shared" si="3"/>
        <v>1.1581904830794028</v>
      </c>
      <c r="J22" s="4">
        <f t="shared" si="4"/>
        <v>2.9720839819177511</v>
      </c>
      <c r="K22" s="4">
        <f t="shared" si="5"/>
        <v>1.0516865079365154</v>
      </c>
      <c r="L22" s="4">
        <f t="shared" si="6"/>
        <v>2.8172273650793631</v>
      </c>
      <c r="M22" s="4">
        <f t="shared" si="7"/>
        <v>9.7747363439592873E-3</v>
      </c>
      <c r="N22" s="4">
        <f t="shared" si="8"/>
        <v>1.2995964844090874E-2</v>
      </c>
      <c r="O22" s="4">
        <f t="shared" si="9"/>
        <v>9.5187681152982453E-3</v>
      </c>
      <c r="P22" s="4">
        <f t="shared" si="10"/>
        <v>1.2682977127030483E-2</v>
      </c>
      <c r="S22" s="4">
        <v>0.65035303524051402</v>
      </c>
      <c r="T22" s="4">
        <v>1.7111604189561325</v>
      </c>
      <c r="U22" s="4">
        <f t="shared" si="11"/>
        <v>1.7528929280961749</v>
      </c>
      <c r="W22" s="4">
        <f t="shared" si="12"/>
        <v>1.1342126949031017</v>
      </c>
      <c r="X22" s="4">
        <f t="shared" si="13"/>
        <v>3.1563067431282574</v>
      </c>
      <c r="Y22" s="3">
        <f t="shared" si="0"/>
        <v>137.17774324104585</v>
      </c>
      <c r="AA22" s="3"/>
      <c r="AG22">
        <f>(AS19-AS17)/(2*AG19)</f>
        <v>-0.96012262340572363</v>
      </c>
    </row>
    <row r="23" spans="1:45" x14ac:dyDescent="0.25">
      <c r="A23" t="s">
        <v>20</v>
      </c>
      <c r="B23" s="4">
        <f>AVERAGE(I2:I505)</f>
        <v>4.4769732838614379E-2</v>
      </c>
      <c r="C23" s="4">
        <f>AVERAGE(J2:J505)</f>
        <v>8.0212654989690657E-2</v>
      </c>
      <c r="D23" s="1">
        <v>42710</v>
      </c>
      <c r="E23" s="3">
        <v>109.949997</v>
      </c>
      <c r="F23" s="3">
        <v>220.40093400000001</v>
      </c>
      <c r="G23" s="3">
        <f t="shared" si="1"/>
        <v>0.8399959999999993</v>
      </c>
      <c r="H23" s="3">
        <f t="shared" si="2"/>
        <v>0.69589500000000726</v>
      </c>
      <c r="I23" s="4">
        <f t="shared" si="3"/>
        <v>0.90774384393951135</v>
      </c>
      <c r="J23" s="4">
        <f t="shared" si="4"/>
        <v>0.71966627866585553</v>
      </c>
      <c r="K23" s="4">
        <f t="shared" si="5"/>
        <v>0.81168050793650726</v>
      </c>
      <c r="L23" s="4">
        <f t="shared" si="6"/>
        <v>0.63010636507937234</v>
      </c>
      <c r="M23" s="4">
        <f t="shared" si="7"/>
        <v>7.6691328835702087E-3</v>
      </c>
      <c r="N23" s="4">
        <f t="shared" si="8"/>
        <v>3.1624000702090978E-3</v>
      </c>
      <c r="O23" s="4">
        <f t="shared" si="9"/>
        <v>7.4131646549091658E-3</v>
      </c>
      <c r="P23" s="4">
        <f t="shared" si="10"/>
        <v>2.8494123531487073E-3</v>
      </c>
      <c r="S23" s="4">
        <v>0.72172293085047357</v>
      </c>
      <c r="T23" s="4">
        <v>-0.44423892653414371</v>
      </c>
      <c r="U23" s="4">
        <f t="shared" si="11"/>
        <v>8.7833750056559134E-2</v>
      </c>
      <c r="W23" s="4">
        <f t="shared" si="12"/>
        <v>1.2555741150013722</v>
      </c>
      <c r="X23" s="4">
        <f t="shared" si="13"/>
        <v>0.22064794817966171</v>
      </c>
      <c r="Y23" s="3">
        <f t="shared" si="0"/>
        <v>-175.09398338643359</v>
      </c>
      <c r="AA23" s="3"/>
      <c r="AG23" t="s">
        <v>77</v>
      </c>
      <c r="AH23" s="3">
        <v>50</v>
      </c>
      <c r="AI23" s="4">
        <f t="shared" ref="AI23:AI86" si="23">AH23*EXP(-$B$9*$B$7)*NORMSDIST((LN(AH23/$AG$15)+($B$8-$B$9+0.5*$B$6^2)*$B$7)/($B$6*SQRT($B$7)))-$AG$15*EXP(-$B$8*$B$7)*NORMSDIST((LN(AH23/$AG$15)+($B$8-$B$9-0.5*$B$6^2)*$B$7)/($B$6*SQRT($B$7)))</f>
        <v>2.137995659021473E-3</v>
      </c>
      <c r="AJ23" s="4">
        <f t="shared" ref="AJ23:AJ86" si="24">AH23*EXP(-$B$9*$B$7)*NORMSDIST((LN(AH23/$AG$10)+($B$8-$B$9+0.5*$B$6^2)*$B$7)/($B$6*SQRT($B$7)))-$AG$10*EXP(-$B$8*$B$7)*NORMSDIST((LN(AH23/$AG$10)+($B$8-$B$9-0.5*$B$6^2)*$B$7)/($B$6*SQRT($B$7)))</f>
        <v>7.5895112635455605E-4</v>
      </c>
      <c r="AK23" s="4">
        <f t="shared" ref="AK23:AK86" si="25">EXP(-$B$8*$B$7)*NORMSDIST((LN(AH23/$AG$10)+($B$8-$B$9-0.5*$B$6^2)*$B$7)/($B$6*SQRT($B$7)))*($AG$10-$AG$15)</f>
        <v>7.8429813410004997E-4</v>
      </c>
      <c r="AL23" s="3">
        <f>$AG$10^2/AH23</f>
        <v>297.68</v>
      </c>
      <c r="AM23" s="4">
        <f t="shared" ref="AM23:AM86" si="26">AL23*EXP(-$B$9*$B$7)*NORMSDIST((LN(AL23/$AG$15)+($B$8-$B$9+0.5*$B$6^2)*$B$7)/($B$6*SQRT($B$7)))-$AG$15*EXP(-$B$8*$B$7)*NORMSDIST((LN(AL23/$AG$15)+($B$8-$B$9-0.5*$B$6^2)*$B$7)/($B$6*SQRT($B$7)))</f>
        <v>179.43802790894307</v>
      </c>
      <c r="AN23" s="4">
        <f t="shared" ref="AN23:AN86" si="27">AL23*EXP(-$B$9*$B$7)*NORMSDIST((LN(AL23/$AG$10)+($B$8-$B$9+0.5*$B$6^2)*$B$7)/($B$6*SQRT($B$7)))-$AG$10*EXP(-$B$8*$B$7)*NORMSDIST((LN(AL23/$AG$10)+($B$8-$B$9-0.5*$B$6^2)*$B$7)/($B$6*SQRT($B$7)))</f>
        <v>171.53504550204505</v>
      </c>
      <c r="AO23" s="4">
        <f t="shared" ref="AO23:AO86" si="28">EXP(-$B$8*$B$7)*NORMSDIST((LN(AL23/$AG$10)+($B$8-$B$9-0.5*$B$6^2)*$B$7)/($B$6*SQRT($B$7)))*($AG$10-$AG$15)</f>
        <v>7.9020527822549838</v>
      </c>
      <c r="AP23" s="4">
        <f t="shared" ref="AP23:AP69" si="29">400*IF(AH23&gt;=$AG$10,0,AI23-AJ23-AK23-(AH23/$AG$10)^(2*$AG$12)*(AM23-AN23-AO23))</f>
        <v>0.11310204041005266</v>
      </c>
      <c r="AR23" s="3">
        <f>AH23</f>
        <v>50</v>
      </c>
      <c r="AS23" s="4">
        <f>AP23</f>
        <v>0.11310204041005266</v>
      </c>
    </row>
    <row r="24" spans="1:45" ht="18.75" x14ac:dyDescent="0.3">
      <c r="A24" s="22" t="s">
        <v>41</v>
      </c>
      <c r="B24" s="25">
        <f>AA2</f>
        <v>-459.7620936667081</v>
      </c>
      <c r="D24" s="1">
        <v>42709</v>
      </c>
      <c r="E24" s="3">
        <v>109.110001</v>
      </c>
      <c r="F24" s="3">
        <v>219.705039</v>
      </c>
      <c r="G24" s="3">
        <f t="shared" si="1"/>
        <v>-0.79000100000000373</v>
      </c>
      <c r="H24" s="3">
        <f t="shared" si="2"/>
        <v>1.3122730000000047</v>
      </c>
      <c r="I24" s="4">
        <f t="shared" si="3"/>
        <v>-0.84757979412961648</v>
      </c>
      <c r="J24" s="4">
        <f t="shared" si="4"/>
        <v>1.3652538175917057</v>
      </c>
      <c r="K24" s="4">
        <f t="shared" si="5"/>
        <v>-0.81831649206349577</v>
      </c>
      <c r="L24" s="4">
        <f t="shared" si="6"/>
        <v>1.2464843650793698</v>
      </c>
      <c r="M24" s="4">
        <f t="shared" si="7"/>
        <v>-7.2143227758675894E-3</v>
      </c>
      <c r="N24" s="4">
        <f t="shared" si="8"/>
        <v>5.9907943375592035E-3</v>
      </c>
      <c r="O24" s="4">
        <f t="shared" si="9"/>
        <v>-7.4702910045286322E-3</v>
      </c>
      <c r="P24" s="4">
        <f t="shared" si="10"/>
        <v>5.6778066204988126E-3</v>
      </c>
      <c r="S24" s="4">
        <v>-0.11919901071466332</v>
      </c>
      <c r="T24" s="4">
        <v>-1.1611762928708407</v>
      </c>
      <c r="U24" s="4">
        <f t="shared" si="11"/>
        <v>-0.99312155642323663</v>
      </c>
      <c r="W24" s="4">
        <f t="shared" si="12"/>
        <v>-0.17437726923321567</v>
      </c>
      <c r="X24" s="4">
        <f t="shared" si="13"/>
        <v>-1.6851797811085683</v>
      </c>
      <c r="Y24" s="3">
        <f t="shared" si="0"/>
        <v>-140.49526500501588</v>
      </c>
      <c r="AA24" s="3"/>
      <c r="AG24">
        <f>(AS19-2*AS18+AS17)/(AG19^2)</f>
        <v>-1.7621459846850485E-2</v>
      </c>
      <c r="AH24" s="3">
        <f>AH23+0.5</f>
        <v>50.5</v>
      </c>
      <c r="AI24" s="4">
        <f t="shared" si="23"/>
        <v>2.4998048353692404E-3</v>
      </c>
      <c r="AJ24" s="4">
        <f t="shared" si="24"/>
        <v>8.9603755636121635E-4</v>
      </c>
      <c r="AK24" s="4">
        <f t="shared" si="25"/>
        <v>9.1751218800434592E-4</v>
      </c>
      <c r="AL24" s="3">
        <f t="shared" ref="AL24:AL87" si="30">$AG$10^2/AH24</f>
        <v>294.73267326732673</v>
      </c>
      <c r="AM24" s="4">
        <f t="shared" si="26"/>
        <v>176.54630183792548</v>
      </c>
      <c r="AN24" s="4">
        <f t="shared" si="27"/>
        <v>168.64357614198349</v>
      </c>
      <c r="AO24" s="4">
        <f t="shared" si="28"/>
        <v>7.9016583174241646</v>
      </c>
      <c r="AP24" s="4">
        <f t="shared" si="29"/>
        <v>0.12945706948913047</v>
      </c>
      <c r="AR24" s="3">
        <f t="shared" ref="AR24:AR87" si="31">AH24</f>
        <v>50.5</v>
      </c>
      <c r="AS24" s="4">
        <f t="shared" ref="AS24:AS87" si="32">AP24</f>
        <v>0.12945706948913047</v>
      </c>
    </row>
    <row r="25" spans="1:45" x14ac:dyDescent="0.25">
      <c r="A25" t="s">
        <v>21</v>
      </c>
      <c r="B25" s="4">
        <f>SQRT(B16+B20^2)</f>
        <v>1.7006924752248764</v>
      </c>
      <c r="D25" s="1">
        <v>42706</v>
      </c>
      <c r="E25" s="3">
        <v>109.900002</v>
      </c>
      <c r="F25" s="3">
        <v>218.39276599999999</v>
      </c>
      <c r="G25" s="3">
        <f t="shared" si="1"/>
        <v>0.4100040000000007</v>
      </c>
      <c r="H25" s="3">
        <f t="shared" si="2"/>
        <v>0.10934100000000058</v>
      </c>
      <c r="I25" s="4">
        <f t="shared" si="3"/>
        <v>0.44153415072686442</v>
      </c>
      <c r="J25" s="4">
        <f t="shared" si="4"/>
        <v>0.11381244075397448</v>
      </c>
      <c r="K25" s="4">
        <f t="shared" si="5"/>
        <v>0.38168850793650866</v>
      </c>
      <c r="L25" s="4">
        <f t="shared" si="6"/>
        <v>4.355236507936569E-2</v>
      </c>
      <c r="M25" s="4">
        <f t="shared" si="7"/>
        <v>3.7376769891126834E-3</v>
      </c>
      <c r="N25" s="4">
        <f t="shared" si="8"/>
        <v>5.0078756084552328E-4</v>
      </c>
      <c r="O25" s="4">
        <f t="shared" si="9"/>
        <v>3.4817087604516409E-3</v>
      </c>
      <c r="P25" s="4">
        <f t="shared" si="10"/>
        <v>1.8779984378513269E-4</v>
      </c>
      <c r="S25" s="4">
        <v>0.27596957958233753</v>
      </c>
      <c r="T25" s="4">
        <v>-0.50360573875309156</v>
      </c>
      <c r="U25" s="4">
        <f t="shared" si="11"/>
        <v>-0.2309670366956873</v>
      </c>
      <c r="W25" s="4">
        <f t="shared" si="12"/>
        <v>0.49758982399009422</v>
      </c>
      <c r="X25" s="4">
        <f t="shared" si="13"/>
        <v>-0.34142837067385179</v>
      </c>
      <c r="Y25" s="3">
        <f t="shared" si="0"/>
        <v>-113.24341946072536</v>
      </c>
      <c r="AA25" s="3"/>
      <c r="AH25" s="3">
        <f t="shared" ref="AH25:AH88" si="33">AH24+0.5</f>
        <v>51</v>
      </c>
      <c r="AI25" s="4">
        <f t="shared" si="23"/>
        <v>2.9142812647217978E-3</v>
      </c>
      <c r="AJ25" s="4">
        <f t="shared" si="24"/>
        <v>1.0546691427256449E-3</v>
      </c>
      <c r="AK25" s="4">
        <f t="shared" si="25"/>
        <v>1.0701120362218751E-3</v>
      </c>
      <c r="AL25" s="3">
        <f t="shared" si="30"/>
        <v>291.84313725490193</v>
      </c>
      <c r="AM25" s="4">
        <f t="shared" si="26"/>
        <v>173.711298920508</v>
      </c>
      <c r="AN25" s="4">
        <f t="shared" si="27"/>
        <v>165.80886505490756</v>
      </c>
      <c r="AO25" s="4">
        <f t="shared" si="28"/>
        <v>7.901211889922596</v>
      </c>
      <c r="AP25" s="4">
        <f t="shared" si="29"/>
        <v>0.14773242752379193</v>
      </c>
      <c r="AR25" s="3">
        <f t="shared" si="31"/>
        <v>51</v>
      </c>
      <c r="AS25" s="4">
        <f t="shared" si="32"/>
        <v>0.14773242752379193</v>
      </c>
    </row>
    <row r="26" spans="1:45" x14ac:dyDescent="0.25">
      <c r="A26" t="s">
        <v>22</v>
      </c>
      <c r="B26" s="4">
        <f>SQRT(B21+B23^2)</f>
        <v>1.8559112289043995</v>
      </c>
      <c r="C26">
        <f>B26/B5</f>
        <v>1.5740065863320635E-2</v>
      </c>
      <c r="D26" s="1">
        <v>42705</v>
      </c>
      <c r="E26" s="3">
        <v>109.489998</v>
      </c>
      <c r="F26" s="3">
        <v>218.28342499999999</v>
      </c>
      <c r="G26" s="3">
        <f t="shared" si="1"/>
        <v>-1.0299990000000037</v>
      </c>
      <c r="H26" s="3">
        <f t="shared" si="2"/>
        <v>-0.80525099999999838</v>
      </c>
      <c r="I26" s="4">
        <f t="shared" si="3"/>
        <v>-1.0988706976710869</v>
      </c>
      <c r="J26" s="4">
        <f t="shared" si="4"/>
        <v>-0.83510060258320529</v>
      </c>
      <c r="K26" s="4">
        <f t="shared" si="5"/>
        <v>-1.0583144920634957</v>
      </c>
      <c r="L26" s="4">
        <f t="shared" si="6"/>
        <v>-0.8710396349206333</v>
      </c>
      <c r="M26" s="4">
        <f t="shared" si="7"/>
        <v>-9.3632702919821762E-3</v>
      </c>
      <c r="N26" s="4">
        <f t="shared" si="8"/>
        <v>-3.6822280525530297E-3</v>
      </c>
      <c r="O26" s="4">
        <f t="shared" si="9"/>
        <v>-9.6192385206432182E-3</v>
      </c>
      <c r="P26" s="4">
        <f t="shared" si="10"/>
        <v>-3.9952157696134206E-3</v>
      </c>
      <c r="S26" s="4">
        <v>1.0047814387052036</v>
      </c>
      <c r="T26" s="4">
        <v>-2.7591314413735735E-2</v>
      </c>
      <c r="U26" s="4">
        <f t="shared" si="11"/>
        <v>0.59066576884282451</v>
      </c>
      <c r="W26" s="4">
        <f t="shared" si="12"/>
        <v>1.736902862795612</v>
      </c>
      <c r="X26" s="4">
        <f t="shared" si="13"/>
        <v>1.1071889539291502</v>
      </c>
      <c r="Y26" s="3">
        <f t="shared" si="0"/>
        <v>-159.896097059971</v>
      </c>
      <c r="AA26" s="3"/>
      <c r="AH26" s="3">
        <f t="shared" si="33"/>
        <v>51.5</v>
      </c>
      <c r="AI26" s="4">
        <f t="shared" si="23"/>
        <v>3.3877760817667205E-3</v>
      </c>
      <c r="AJ26" s="4">
        <f t="shared" si="24"/>
        <v>1.2377033553950707E-3</v>
      </c>
      <c r="AK26" s="4">
        <f t="shared" si="25"/>
        <v>1.244416677223427E-3</v>
      </c>
      <c r="AL26" s="3">
        <f t="shared" si="30"/>
        <v>289.00970873786406</v>
      </c>
      <c r="AM26" s="4">
        <f t="shared" si="26"/>
        <v>170.93137021608851</v>
      </c>
      <c r="AN26" s="4">
        <f t="shared" si="27"/>
        <v>163.02926717956768</v>
      </c>
      <c r="AO26" s="4">
        <f t="shared" si="28"/>
        <v>7.9007080461202106</v>
      </c>
      <c r="AP26" s="4">
        <f t="shared" si="29"/>
        <v>0.16809389711119582</v>
      </c>
      <c r="AR26" s="3">
        <f t="shared" si="31"/>
        <v>51.5</v>
      </c>
      <c r="AS26" s="4">
        <f t="shared" si="32"/>
        <v>0.16809389711119582</v>
      </c>
    </row>
    <row r="27" spans="1:45" x14ac:dyDescent="0.25">
      <c r="A27" t="s">
        <v>49</v>
      </c>
      <c r="B27" s="3">
        <f>400*B13+100*F2</f>
        <v>26679.366772273614</v>
      </c>
      <c r="D27" s="1">
        <v>42704</v>
      </c>
      <c r="E27" s="3">
        <v>110.519997</v>
      </c>
      <c r="F27" s="3">
        <v>219.08867599999999</v>
      </c>
      <c r="G27" s="3">
        <f t="shared" si="1"/>
        <v>-0.94000199999999268</v>
      </c>
      <c r="H27" s="3">
        <f t="shared" si="2"/>
        <v>-0.52689399999999864</v>
      </c>
      <c r="I27" s="4">
        <f t="shared" si="3"/>
        <v>-0.99439835433703128</v>
      </c>
      <c r="J27" s="4">
        <f t="shared" si="4"/>
        <v>-0.54511430782552295</v>
      </c>
      <c r="K27" s="4">
        <f t="shared" si="5"/>
        <v>-0.96831749206348472</v>
      </c>
      <c r="L27" s="4">
        <f t="shared" si="6"/>
        <v>-0.59268263492063356</v>
      </c>
      <c r="M27" s="4">
        <f t="shared" si="7"/>
        <v>-8.4693002587545516E-3</v>
      </c>
      <c r="N27" s="4">
        <f t="shared" si="8"/>
        <v>-2.4020476580518019E-3</v>
      </c>
      <c r="O27" s="4">
        <f t="shared" si="9"/>
        <v>-8.7252684874155936E-3</v>
      </c>
      <c r="P27" s="4">
        <f t="shared" si="10"/>
        <v>-2.7150353751121924E-3</v>
      </c>
      <c r="S27" s="4">
        <v>1.7515837616483829</v>
      </c>
      <c r="T27" s="4">
        <v>-0.19623048977207916</v>
      </c>
      <c r="U27" s="4">
        <f t="shared" si="11"/>
        <v>0.91225419906564675</v>
      </c>
      <c r="W27" s="4">
        <f t="shared" si="12"/>
        <v>3.0068079070790681</v>
      </c>
      <c r="X27" s="4">
        <f t="shared" si="13"/>
        <v>1.6741801551961597</v>
      </c>
      <c r="Y27" s="3">
        <f t="shared" si="0"/>
        <v>-291.44549161850045</v>
      </c>
      <c r="AA27" s="3"/>
      <c r="AH27" s="3">
        <f t="shared" si="33"/>
        <v>52</v>
      </c>
      <c r="AI27" s="4">
        <f t="shared" si="23"/>
        <v>3.9272319729966379E-3</v>
      </c>
      <c r="AJ27" s="4">
        <f t="shared" si="24"/>
        <v>1.4483009181512144E-3</v>
      </c>
      <c r="AK27" s="4">
        <f t="shared" si="25"/>
        <v>1.4429554414524266E-3</v>
      </c>
      <c r="AL27" s="3">
        <f t="shared" si="30"/>
        <v>286.23076923076923</v>
      </c>
      <c r="AM27" s="4">
        <f t="shared" si="26"/>
        <v>168.20493057257963</v>
      </c>
      <c r="AN27" s="4">
        <f t="shared" si="27"/>
        <v>160.30320155542273</v>
      </c>
      <c r="AO27" s="4">
        <f t="shared" si="28"/>
        <v>7.9001409287464943</v>
      </c>
      <c r="AP27" s="4">
        <f t="shared" si="29"/>
        <v>0.1907147913420951</v>
      </c>
      <c r="AR27" s="3">
        <f t="shared" si="31"/>
        <v>52</v>
      </c>
      <c r="AS27" s="4">
        <f t="shared" si="32"/>
        <v>0.1907147913420951</v>
      </c>
    </row>
    <row r="28" spans="1:45" x14ac:dyDescent="0.25">
      <c r="A28" t="s">
        <v>23</v>
      </c>
      <c r="B28" s="4">
        <f>B4*EXP(-B8*B7)*NORMSDIST((LN(B4/(B5+B25))-B8*B7+B9*B7+0.5*B6*B6*B7)/(B6*SQRT(B7)))-(B5+B25)*EXP(-B9*B7)*NORMSDIST((LN(B4/(B5+B25))-B8*B7+B9*B7-0.5*B6*B6*B7)/(B6*SQRT(B7)))</f>
        <v>9.2330915653048038</v>
      </c>
      <c r="D28" s="1">
        <v>42703</v>
      </c>
      <c r="E28" s="3">
        <v>111.459999</v>
      </c>
      <c r="F28" s="3">
        <v>219.61556999999999</v>
      </c>
      <c r="G28" s="3">
        <f t="shared" si="1"/>
        <v>-0.11000099999999691</v>
      </c>
      <c r="H28" s="3">
        <f t="shared" si="2"/>
        <v>0.42748899999998002</v>
      </c>
      <c r="I28" s="4">
        <f t="shared" si="3"/>
        <v>-0.11625184503005859</v>
      </c>
      <c r="J28" s="4">
        <f t="shared" si="4"/>
        <v>0.44313439964109386</v>
      </c>
      <c r="K28" s="4">
        <f t="shared" si="5"/>
        <v>-0.13831649206348895</v>
      </c>
      <c r="L28" s="4">
        <f t="shared" si="6"/>
        <v>0.36170036507934511</v>
      </c>
      <c r="M28" s="4">
        <f t="shared" si="7"/>
        <v>-9.8642343552655725E-4</v>
      </c>
      <c r="N28" s="4">
        <f t="shared" si="8"/>
        <v>1.9484301658307206E-3</v>
      </c>
      <c r="O28" s="4">
        <f t="shared" si="9"/>
        <v>-1.2423916641875999E-3</v>
      </c>
      <c r="P28" s="4">
        <f t="shared" si="10"/>
        <v>1.6354424487703299E-3</v>
      </c>
      <c r="S28" s="4">
        <v>-1.6298201627044393</v>
      </c>
      <c r="T28" s="4">
        <v>0.55997742657927918</v>
      </c>
      <c r="U28" s="4">
        <f t="shared" si="11"/>
        <v>-0.54968509865702875</v>
      </c>
      <c r="W28" s="4">
        <f t="shared" si="12"/>
        <v>-2.7431231903128688</v>
      </c>
      <c r="X28" s="4">
        <f t="shared" si="13"/>
        <v>-0.90335883779837955</v>
      </c>
      <c r="Y28" s="3">
        <f t="shared" si="0"/>
        <v>368.98600423328116</v>
      </c>
      <c r="AA28" s="3"/>
      <c r="AH28" s="3">
        <f t="shared" si="33"/>
        <v>52.5</v>
      </c>
      <c r="AI28" s="4">
        <f t="shared" si="23"/>
        <v>4.5402188371360258E-3</v>
      </c>
      <c r="AJ28" s="4">
        <f t="shared" si="24"/>
        <v>1.6899487469514071E-3</v>
      </c>
      <c r="AK28" s="4">
        <f t="shared" si="25"/>
        <v>1.66847951408205E-3</v>
      </c>
      <c r="AL28" s="3">
        <f t="shared" si="30"/>
        <v>283.50476190476189</v>
      </c>
      <c r="AM28" s="4">
        <f t="shared" si="26"/>
        <v>165.53045562066637</v>
      </c>
      <c r="AN28" s="4">
        <f t="shared" si="27"/>
        <v>157.6291483297943</v>
      </c>
      <c r="AO28" s="4">
        <f t="shared" si="28"/>
        <v>7.8995042640368389</v>
      </c>
      <c r="AP28" s="4">
        <f t="shared" si="29"/>
        <v>0.21577562891711694</v>
      </c>
      <c r="AR28" s="3">
        <f t="shared" si="31"/>
        <v>52.5</v>
      </c>
      <c r="AS28" s="4">
        <f t="shared" si="32"/>
        <v>0.21577562891711694</v>
      </c>
    </row>
    <row r="29" spans="1:45" x14ac:dyDescent="0.25">
      <c r="A29" t="s">
        <v>24</v>
      </c>
      <c r="B29" s="4">
        <f>B4*EXP(-B8*B7)*NORMSDIST((LN(B4/(B5-B25))-B8*B7+B9*B7+0.5*B6*B6*B7)/(B6*SQRT(B7)))-(B5-B25)*EXP(-B9*B7)*NORMSDIST((LN(B4/(B5-B25))-B8*B7+B9*B7-0.5*B6*B6*B7)/(B6*SQRT(B7)))</f>
        <v>10.596120961305736</v>
      </c>
      <c r="D29" s="1">
        <v>42702</v>
      </c>
      <c r="E29" s="3">
        <v>111.57</v>
      </c>
      <c r="F29" s="3">
        <v>219.18808100000001</v>
      </c>
      <c r="G29" s="3">
        <f t="shared" si="1"/>
        <v>-0.22000100000001055</v>
      </c>
      <c r="H29" s="3">
        <f t="shared" si="2"/>
        <v>-1.033914999999979</v>
      </c>
      <c r="I29" s="4">
        <f t="shared" si="3"/>
        <v>-0.23204507163395804</v>
      </c>
      <c r="J29" s="4">
        <f t="shared" si="4"/>
        <v>-1.0667228462837119</v>
      </c>
      <c r="K29" s="4">
        <f t="shared" si="5"/>
        <v>-0.24831649206350259</v>
      </c>
      <c r="L29" s="4">
        <f t="shared" si="6"/>
        <v>-1.099703634920614</v>
      </c>
      <c r="M29" s="4">
        <f t="shared" si="7"/>
        <v>-1.9699236224900406E-3</v>
      </c>
      <c r="N29" s="4">
        <f t="shared" si="8"/>
        <v>-4.705931712492761E-3</v>
      </c>
      <c r="O29" s="4">
        <f t="shared" si="9"/>
        <v>-2.225891851151083E-3</v>
      </c>
      <c r="P29" s="4">
        <f t="shared" si="10"/>
        <v>-5.0189194295531519E-3</v>
      </c>
      <c r="S29" s="4">
        <v>0.94212077184985166</v>
      </c>
      <c r="T29" s="4">
        <v>0.55435643476982754</v>
      </c>
      <c r="U29" s="4">
        <f t="shared" si="11"/>
        <v>1.0137717644699578</v>
      </c>
      <c r="W29" s="4">
        <f t="shared" si="12"/>
        <v>1.6303511094424947</v>
      </c>
      <c r="X29" s="4">
        <f t="shared" si="13"/>
        <v>1.853165345423341</v>
      </c>
      <c r="Y29" s="3">
        <f t="shared" si="0"/>
        <v>-69.138008085750698</v>
      </c>
      <c r="AA29" s="3"/>
      <c r="AH29" s="3">
        <f t="shared" si="33"/>
        <v>53</v>
      </c>
      <c r="AI29" s="4">
        <f t="shared" si="23"/>
        <v>5.2349698067287592E-3</v>
      </c>
      <c r="AJ29" s="4">
        <f t="shared" si="24"/>
        <v>1.9664836828931533E-3</v>
      </c>
      <c r="AK29" s="4">
        <f t="shared" si="25"/>
        <v>1.923973375509533E-3</v>
      </c>
      <c r="AL29" s="3">
        <f t="shared" si="30"/>
        <v>280.83018867924528</v>
      </c>
      <c r="AM29" s="4">
        <f t="shared" si="26"/>
        <v>162.90647893979815</v>
      </c>
      <c r="AN29" s="4">
        <f t="shared" si="27"/>
        <v>155.00564593620263</v>
      </c>
      <c r="AO29" s="4">
        <f t="shared" si="28"/>
        <v>7.8987913499440046</v>
      </c>
      <c r="AP29" s="4">
        <f t="shared" si="29"/>
        <v>0.24346373895198165</v>
      </c>
      <c r="AR29" s="3">
        <f t="shared" si="31"/>
        <v>53</v>
      </c>
      <c r="AS29" s="4">
        <f t="shared" si="32"/>
        <v>0.24346373895198165</v>
      </c>
    </row>
    <row r="30" spans="1:45" x14ac:dyDescent="0.25">
      <c r="A30" t="s">
        <v>25</v>
      </c>
      <c r="B30" s="4">
        <f>B4*EXP(-B8*B7)*NORMSDIST((LN(B4/(B5+B26))-B8*B7+B9*B7+0.5*B6*B6*B7)/(B6*SQRT(B7)))-(B5+B26)*EXP(-B9*B7)*NORMSDIST((LN(B4/(B5+B26))-B8*B7+B9*B7-0.5*B6*B6*B7)/(B6*SQRT(B7)))</f>
        <v>9.1744217904232102</v>
      </c>
      <c r="D30" s="1">
        <v>42699</v>
      </c>
      <c r="E30" s="3">
        <v>111.790001</v>
      </c>
      <c r="F30" s="3">
        <v>220.22199599999999</v>
      </c>
      <c r="G30" s="3">
        <f t="shared" si="1"/>
        <v>0.55999800000000732</v>
      </c>
      <c r="H30" s="3">
        <f t="shared" si="2"/>
        <v>0.81520299999999679</v>
      </c>
      <c r="I30" s="4">
        <f t="shared" si="3"/>
        <v>0.59362909861643054</v>
      </c>
      <c r="J30" s="4">
        <f t="shared" si="4"/>
        <v>0.84419573707738516</v>
      </c>
      <c r="K30" s="4">
        <f t="shared" si="5"/>
        <v>0.53168250793651528</v>
      </c>
      <c r="L30" s="4">
        <f t="shared" si="6"/>
        <v>0.74941436507936188</v>
      </c>
      <c r="M30" s="4">
        <f t="shared" si="7"/>
        <v>5.0219636524999932E-3</v>
      </c>
      <c r="N30" s="4">
        <f t="shared" si="8"/>
        <v>3.708601232388792E-3</v>
      </c>
      <c r="O30" s="4">
        <f t="shared" si="9"/>
        <v>4.7659954238389503E-3</v>
      </c>
      <c r="P30" s="4">
        <f t="shared" si="10"/>
        <v>3.3956135153284015E-3</v>
      </c>
      <c r="S30" s="4">
        <v>1.3819514564956417</v>
      </c>
      <c r="T30" s="4">
        <v>0.11168605644016098</v>
      </c>
      <c r="U30" s="4">
        <f t="shared" si="11"/>
        <v>0.93100108734473774</v>
      </c>
      <c r="W30" s="4">
        <f t="shared" si="12"/>
        <v>2.3782641620707894</v>
      </c>
      <c r="X30" s="4">
        <f t="shared" si="13"/>
        <v>1.7072327146368564</v>
      </c>
      <c r="Y30" s="3">
        <f t="shared" si="0"/>
        <v>-195.96573358973092</v>
      </c>
      <c r="AA30" s="3"/>
      <c r="AH30" s="3">
        <f t="shared" si="33"/>
        <v>53.5</v>
      </c>
      <c r="AI30" s="4">
        <f t="shared" si="23"/>
        <v>6.0204174840788882E-3</v>
      </c>
      <c r="AJ30" s="4">
        <f t="shared" si="24"/>
        <v>2.2821169655923151E-3</v>
      </c>
      <c r="AK30" s="4">
        <f t="shared" si="25"/>
        <v>2.2126660910170405E-3</v>
      </c>
      <c r="AL30" s="3">
        <f t="shared" si="30"/>
        <v>278.20560747663552</v>
      </c>
      <c r="AM30" s="4">
        <f t="shared" si="26"/>
        <v>160.33158938465567</v>
      </c>
      <c r="AN30" s="4">
        <f t="shared" si="27"/>
        <v>152.43128843252262</v>
      </c>
      <c r="AO30" s="4">
        <f t="shared" si="28"/>
        <v>7.8979950455339436</v>
      </c>
      <c r="AP30" s="4">
        <f t="shared" si="29"/>
        <v>0.27397279440661082</v>
      </c>
      <c r="AR30" s="3">
        <f t="shared" si="31"/>
        <v>53.5</v>
      </c>
      <c r="AS30" s="4">
        <f t="shared" si="32"/>
        <v>0.27397279440661082</v>
      </c>
    </row>
    <row r="31" spans="1:45" x14ac:dyDescent="0.25">
      <c r="A31" t="s">
        <v>26</v>
      </c>
      <c r="B31" s="4">
        <f>B4*EXP(-B8*B7)*NORMSDIST((LN(B4/(B5-B26))-B8*B7+B9*B7+0.5*B6*B6*B7)/(B6*SQRT(B7)))-(B5-B26)*EXP(-B9*B7)*NORMSDIST((LN(B4/(B5-B26))-B8*B7+B9*B7-0.5*B6*B6*B7)/(B6*SQRT(B7)))</f>
        <v>10.661924186196586</v>
      </c>
      <c r="D31" s="1">
        <v>42697</v>
      </c>
      <c r="E31" s="3">
        <v>111.230003</v>
      </c>
      <c r="F31" s="3">
        <v>219.40679299999999</v>
      </c>
      <c r="G31" s="3">
        <f t="shared" si="1"/>
        <v>-0.57000000000000739</v>
      </c>
      <c r="H31" s="3">
        <f t="shared" si="2"/>
        <v>0.11929200000000151</v>
      </c>
      <c r="I31" s="4">
        <f t="shared" si="3"/>
        <v>-0.60115116705319649</v>
      </c>
      <c r="J31" s="4">
        <f t="shared" si="4"/>
        <v>0.12360182879298871</v>
      </c>
      <c r="K31" s="4">
        <f t="shared" si="5"/>
        <v>-0.59831549206349943</v>
      </c>
      <c r="L31" s="4">
        <f t="shared" si="6"/>
        <v>5.3503365079366622E-2</v>
      </c>
      <c r="M31" s="4">
        <f t="shared" si="7"/>
        <v>-5.1114309795515216E-3</v>
      </c>
      <c r="N31" s="4">
        <f t="shared" si="8"/>
        <v>5.4385026006416011E-4</v>
      </c>
      <c r="O31" s="4">
        <f t="shared" si="9"/>
        <v>-5.3673992082125645E-3</v>
      </c>
      <c r="P31" s="4">
        <f t="shared" si="10"/>
        <v>2.3086254300376953E-4</v>
      </c>
      <c r="S31" s="4">
        <v>-0.79454528056145735</v>
      </c>
      <c r="T31" s="4">
        <v>1.3911633743691623</v>
      </c>
      <c r="U31" s="4">
        <f t="shared" si="11"/>
        <v>0.61839157309578807</v>
      </c>
      <c r="W31" s="4">
        <f t="shared" si="12"/>
        <v>-1.3227743863398165</v>
      </c>
      <c r="X31" s="4">
        <f t="shared" si="13"/>
        <v>1.1560722021498324</v>
      </c>
      <c r="Y31" s="3">
        <f t="shared" si="0"/>
        <v>332.13811318531498</v>
      </c>
      <c r="AA31" s="3"/>
      <c r="AH31" s="3">
        <f t="shared" si="33"/>
        <v>54</v>
      </c>
      <c r="AI31" s="4">
        <f t="shared" si="23"/>
        <v>6.9062302378401774E-3</v>
      </c>
      <c r="AJ31" s="4">
        <f t="shared" si="24"/>
        <v>2.641459385875046E-3</v>
      </c>
      <c r="AK31" s="4">
        <f t="shared" si="25"/>
        <v>2.5380423789467949E-3</v>
      </c>
      <c r="AL31" s="3">
        <f t="shared" si="30"/>
        <v>275.62962962962962</v>
      </c>
      <c r="AM31" s="4">
        <f t="shared" si="26"/>
        <v>157.80442856165695</v>
      </c>
      <c r="AN31" s="4">
        <f t="shared" si="27"/>
        <v>149.90472298842798</v>
      </c>
      <c r="AO31" s="4">
        <f t="shared" si="28"/>
        <v>7.8971077616808563</v>
      </c>
      <c r="AP31" s="4">
        <f t="shared" si="29"/>
        <v>0.3075022743937858</v>
      </c>
      <c r="AR31" s="3">
        <f t="shared" si="31"/>
        <v>54</v>
      </c>
      <c r="AS31" s="4">
        <f t="shared" si="32"/>
        <v>0.3075022743937858</v>
      </c>
    </row>
    <row r="32" spans="1:45" x14ac:dyDescent="0.25">
      <c r="D32" s="1">
        <v>42696</v>
      </c>
      <c r="E32" s="3">
        <v>111.800003</v>
      </c>
      <c r="F32" s="3">
        <v>219.28750099999999</v>
      </c>
      <c r="G32" s="3">
        <f t="shared" si="1"/>
        <v>7.000000000000739E-2</v>
      </c>
      <c r="H32" s="3">
        <f t="shared" si="2"/>
        <v>0.42748799999998255</v>
      </c>
      <c r="I32" s="4">
        <f t="shared" si="3"/>
        <v>7.3871834407816778E-2</v>
      </c>
      <c r="J32" s="4">
        <f t="shared" si="4"/>
        <v>0.44379761355680819</v>
      </c>
      <c r="K32" s="4">
        <f t="shared" si="5"/>
        <v>4.1684507936515333E-2</v>
      </c>
      <c r="L32" s="4">
        <f t="shared" si="6"/>
        <v>0.36169936507934763</v>
      </c>
      <c r="M32" s="4">
        <f t="shared" si="7"/>
        <v>6.263141449406594E-4</v>
      </c>
      <c r="N32" s="4">
        <f t="shared" si="8"/>
        <v>1.9513434265288705E-3</v>
      </c>
      <c r="O32" s="4">
        <f t="shared" si="9"/>
        <v>3.703459162796168E-4</v>
      </c>
      <c r="P32" s="4">
        <f t="shared" si="10"/>
        <v>1.6383557094684798E-3</v>
      </c>
      <c r="S32" s="4">
        <v>-0.77608820300856096</v>
      </c>
      <c r="T32" s="4">
        <v>1.6551373214116445</v>
      </c>
      <c r="U32" s="4">
        <f t="shared" si="11"/>
        <v>0.83889346041223556</v>
      </c>
      <c r="W32" s="4">
        <f t="shared" si="12"/>
        <v>-1.2913889243948387</v>
      </c>
      <c r="X32" s="4">
        <f t="shared" si="13"/>
        <v>1.5448381471328954</v>
      </c>
      <c r="Y32" s="3">
        <f t="shared" si="0"/>
        <v>365.77083514211972</v>
      </c>
      <c r="AA32" s="3"/>
      <c r="AH32" s="3">
        <f t="shared" si="33"/>
        <v>54.5</v>
      </c>
      <c r="AI32" s="4">
        <f t="shared" si="23"/>
        <v>7.9028484005953387E-3</v>
      </c>
      <c r="AJ32" s="4">
        <f t="shared" si="24"/>
        <v>3.0495470499861191E-3</v>
      </c>
      <c r="AK32" s="4">
        <f t="shared" si="25"/>
        <v>2.9038533851597189E-3</v>
      </c>
      <c r="AL32" s="3">
        <f t="shared" si="30"/>
        <v>273.10091743119267</v>
      </c>
      <c r="AM32" s="4">
        <f t="shared" si="26"/>
        <v>155.32368844582129</v>
      </c>
      <c r="AN32" s="4">
        <f t="shared" si="27"/>
        <v>147.4246475123449</v>
      </c>
      <c r="AO32" s="4">
        <f t="shared" si="28"/>
        <v>7.8961214531709141</v>
      </c>
      <c r="AP32" s="4">
        <f t="shared" si="29"/>
        <v>0.34425685588180022</v>
      </c>
      <c r="AR32" s="3">
        <f t="shared" si="31"/>
        <v>54.5</v>
      </c>
      <c r="AS32" s="4">
        <f t="shared" si="32"/>
        <v>0.34425685588180022</v>
      </c>
    </row>
    <row r="33" spans="1:45" x14ac:dyDescent="0.25">
      <c r="A33" t="s">
        <v>28</v>
      </c>
      <c r="B33" s="4">
        <f>(B28-B29)/(2*B25)</f>
        <v>-0.40072776702934021</v>
      </c>
      <c r="D33" s="1">
        <v>42695</v>
      </c>
      <c r="E33" s="3">
        <v>111.730003</v>
      </c>
      <c r="F33" s="3">
        <v>218.86001300000001</v>
      </c>
      <c r="G33" s="3">
        <f t="shared" si="1"/>
        <v>1.6700050000000033</v>
      </c>
      <c r="H33" s="3">
        <f t="shared" si="2"/>
        <v>1.6403260000000159</v>
      </c>
      <c r="I33" s="4">
        <f t="shared" si="3"/>
        <v>1.7891177522102117</v>
      </c>
      <c r="J33" s="4">
        <f t="shared" si="4"/>
        <v>1.7157675120961096</v>
      </c>
      <c r="K33" s="4">
        <f t="shared" si="5"/>
        <v>1.6416895079365112</v>
      </c>
      <c r="L33" s="4">
        <f t="shared" si="6"/>
        <v>1.574537365079381</v>
      </c>
      <c r="M33" s="4">
        <f t="shared" si="7"/>
        <v>1.5059619949982879E-2</v>
      </c>
      <c r="N33" s="4">
        <f t="shared" si="8"/>
        <v>7.5230914736029442E-3</v>
      </c>
      <c r="O33" s="4">
        <f t="shared" si="9"/>
        <v>1.4803651721321837E-2</v>
      </c>
      <c r="P33" s="4">
        <f t="shared" si="10"/>
        <v>7.2101037565425533E-3</v>
      </c>
      <c r="S33" s="4">
        <v>-0.98880057640810504</v>
      </c>
      <c r="T33" s="4">
        <v>0.47693201361241733</v>
      </c>
      <c r="U33" s="4">
        <f t="shared" si="11"/>
        <v>-0.22473469258426232</v>
      </c>
      <c r="W33" s="4">
        <f t="shared" si="12"/>
        <v>-1.653097113647672</v>
      </c>
      <c r="X33" s="4">
        <f t="shared" si="13"/>
        <v>-0.33044015112877112</v>
      </c>
      <c r="Y33" s="3">
        <f t="shared" si="0"/>
        <v>238.99292764965503</v>
      </c>
      <c r="AA33" s="3"/>
      <c r="AH33" s="3">
        <f t="shared" si="33"/>
        <v>55</v>
      </c>
      <c r="AI33" s="4">
        <f t="shared" si="23"/>
        <v>9.0215202027997959E-3</v>
      </c>
      <c r="AJ33" s="4">
        <f t="shared" si="24"/>
        <v>3.5118676810614313E-3</v>
      </c>
      <c r="AK33" s="4">
        <f t="shared" si="25"/>
        <v>3.3141270904930666E-3</v>
      </c>
      <c r="AL33" s="3">
        <f t="shared" si="30"/>
        <v>270.61818181818182</v>
      </c>
      <c r="AM33" s="4">
        <f t="shared" si="26"/>
        <v>152.88810912900595</v>
      </c>
      <c r="AN33" s="4">
        <f t="shared" si="27"/>
        <v>144.98980840883678</v>
      </c>
      <c r="AO33" s="4">
        <f t="shared" si="28"/>
        <v>7.895027612317663</v>
      </c>
      <c r="AP33" s="4">
        <f t="shared" si="29"/>
        <v>0.38444573616161926</v>
      </c>
      <c r="AR33" s="3">
        <f t="shared" si="31"/>
        <v>55</v>
      </c>
      <c r="AS33" s="4">
        <f t="shared" si="32"/>
        <v>0.38444573616161926</v>
      </c>
    </row>
    <row r="34" spans="1:45" x14ac:dyDescent="0.25">
      <c r="A34" t="s">
        <v>29</v>
      </c>
      <c r="B34" s="4">
        <f>(B28-2*B13+B29)/(B25^2)</f>
        <v>1.2924473861559316E-2</v>
      </c>
      <c r="D34" s="1">
        <v>42692</v>
      </c>
      <c r="E34" s="3">
        <v>110.05999799999999</v>
      </c>
      <c r="F34" s="3">
        <v>217.21968699999999</v>
      </c>
      <c r="G34" s="3">
        <f t="shared" si="1"/>
        <v>0.11000099999999691</v>
      </c>
      <c r="H34" s="3">
        <f t="shared" si="2"/>
        <v>-0.48713499999999499</v>
      </c>
      <c r="I34" s="4">
        <f t="shared" si="3"/>
        <v>0.11796469944427225</v>
      </c>
      <c r="J34" s="4">
        <f t="shared" si="4"/>
        <v>-0.50839907423729636</v>
      </c>
      <c r="K34" s="4">
        <f t="shared" si="5"/>
        <v>8.168550793650485E-2</v>
      </c>
      <c r="L34" s="4">
        <f t="shared" si="6"/>
        <v>-0.5529236349206299</v>
      </c>
      <c r="M34" s="4">
        <f t="shared" si="7"/>
        <v>9.9996374406599153E-4</v>
      </c>
      <c r="N34" s="4">
        <f t="shared" si="8"/>
        <v>-2.240080536006224E-3</v>
      </c>
      <c r="O34" s="4">
        <f t="shared" si="9"/>
        <v>7.4399551540494887E-4</v>
      </c>
      <c r="P34" s="4">
        <f t="shared" si="10"/>
        <v>-2.5530682530666145E-3</v>
      </c>
      <c r="S34" s="4">
        <v>0.12673519791302101</v>
      </c>
      <c r="T34" s="4">
        <v>-0.4116858890818797</v>
      </c>
      <c r="U34" s="4">
        <f t="shared" si="11"/>
        <v>-0.24907951424040842</v>
      </c>
      <c r="W34" s="4">
        <f t="shared" si="12"/>
        <v>0.24382321368349136</v>
      </c>
      <c r="X34" s="4">
        <f t="shared" si="13"/>
        <v>-0.37336240323182512</v>
      </c>
      <c r="Y34" s="3">
        <f t="shared" si="0"/>
        <v>-76.255509843446362</v>
      </c>
      <c r="AA34" s="3"/>
      <c r="AH34" s="3">
        <f t="shared" si="33"/>
        <v>55.5</v>
      </c>
      <c r="AI34" s="4">
        <f t="shared" si="23"/>
        <v>1.0274337274539413E-2</v>
      </c>
      <c r="AJ34" s="4">
        <f t="shared" si="24"/>
        <v>4.0343873774594113E-3</v>
      </c>
      <c r="AK34" s="4">
        <f t="shared" si="25"/>
        <v>3.7731782774206289E-3</v>
      </c>
      <c r="AL34" s="3">
        <f t="shared" si="30"/>
        <v>268.18018018018017</v>
      </c>
      <c r="AM34" s="4">
        <f t="shared" si="26"/>
        <v>150.49647669116564</v>
      </c>
      <c r="AN34" s="4">
        <f t="shared" si="27"/>
        <v>142.59899845797764</v>
      </c>
      <c r="AO34" s="4">
        <f t="shared" si="28"/>
        <v>7.8938172641848663</v>
      </c>
      <c r="AP34" s="4">
        <f t="shared" si="29"/>
        <v>0.42828188778285892</v>
      </c>
      <c r="AR34" s="3">
        <f t="shared" si="31"/>
        <v>55.5</v>
      </c>
      <c r="AS34" s="4">
        <f t="shared" si="32"/>
        <v>0.42828188778285892</v>
      </c>
    </row>
    <row r="35" spans="1:45" x14ac:dyDescent="0.25">
      <c r="A35" t="s">
        <v>27</v>
      </c>
      <c r="B35" s="4">
        <f>(B30-B31)/(2*B26)</f>
        <v>-0.40074718354161087</v>
      </c>
      <c r="D35" s="1">
        <v>42691</v>
      </c>
      <c r="E35" s="3">
        <v>109.949997</v>
      </c>
      <c r="F35" s="3">
        <v>217.70682199999999</v>
      </c>
      <c r="G35" s="3">
        <f t="shared" si="1"/>
        <v>-4.0001000000003728E-2</v>
      </c>
      <c r="H35" s="3">
        <f t="shared" si="2"/>
        <v>1.1134479999999769</v>
      </c>
      <c r="I35" s="4">
        <f t="shared" si="3"/>
        <v>-4.2881336082981288E-2</v>
      </c>
      <c r="J35" s="4">
        <f t="shared" si="4"/>
        <v>1.1680252410405256</v>
      </c>
      <c r="K35" s="4">
        <f t="shared" si="5"/>
        <v>-6.8316492063495785E-2</v>
      </c>
      <c r="L35" s="4">
        <f t="shared" si="6"/>
        <v>1.047659365079342</v>
      </c>
      <c r="M35" s="4">
        <f t="shared" si="7"/>
        <v>-3.6374466991368002E-4</v>
      </c>
      <c r="N35" s="4">
        <f t="shared" si="8"/>
        <v>5.127561303485002E-3</v>
      </c>
      <c r="O35" s="4">
        <f t="shared" si="9"/>
        <v>-6.1971289857472257E-4</v>
      </c>
      <c r="P35" s="4">
        <f t="shared" si="10"/>
        <v>4.8145735864246111E-3</v>
      </c>
      <c r="S35" s="4">
        <v>-6.1282001322896032E-2</v>
      </c>
      <c r="T35" s="4">
        <v>-9.3877647617861146E-2</v>
      </c>
      <c r="U35" s="4">
        <f t="shared" si="11"/>
        <v>-0.11177493734497049</v>
      </c>
      <c r="W35" s="4">
        <f t="shared" si="12"/>
        <v>-7.589190019130175E-2</v>
      </c>
      <c r="X35" s="4">
        <f t="shared" si="13"/>
        <v>-0.13128128439473963</v>
      </c>
      <c r="Y35" s="3">
        <f t="shared" si="0"/>
        <v>-0.95152552529589229</v>
      </c>
      <c r="AA35" s="3"/>
      <c r="AH35" s="3">
        <f t="shared" si="33"/>
        <v>56</v>
      </c>
      <c r="AI35" s="4">
        <f t="shared" si="23"/>
        <v>1.1674269543707039E-2</v>
      </c>
      <c r="AJ35" s="4">
        <f t="shared" si="24"/>
        <v>4.6235777417514001E-3</v>
      </c>
      <c r="AK35" s="4">
        <f t="shared" si="25"/>
        <v>4.2856179821587036E-3</v>
      </c>
      <c r="AL35" s="3">
        <f t="shared" si="30"/>
        <v>265.78571428571428</v>
      </c>
      <c r="AM35" s="4">
        <f t="shared" si="26"/>
        <v>148.14762118687435</v>
      </c>
      <c r="AN35" s="4">
        <f t="shared" si="27"/>
        <v>140.2510548088681</v>
      </c>
      <c r="AO35" s="4">
        <f t="shared" si="28"/>
        <v>7.8924809635042905</v>
      </c>
      <c r="AP35" s="4">
        <f t="shared" si="29"/>
        <v>0.47598124862788049</v>
      </c>
      <c r="AR35" s="3">
        <f t="shared" si="31"/>
        <v>56</v>
      </c>
      <c r="AS35" s="4">
        <f t="shared" si="32"/>
        <v>0.47598124862788049</v>
      </c>
    </row>
    <row r="36" spans="1:45" x14ac:dyDescent="0.25">
      <c r="A36" t="s">
        <v>30</v>
      </c>
      <c r="B36" s="4">
        <f>(B30-2*B13+B31)/(B26^2)</f>
        <v>1.2924030710804042E-2</v>
      </c>
      <c r="D36" s="1">
        <v>42690</v>
      </c>
      <c r="E36" s="3">
        <v>109.989998</v>
      </c>
      <c r="F36" s="3">
        <v>216.59337400000001</v>
      </c>
      <c r="G36" s="3">
        <f t="shared" si="1"/>
        <v>2.879997000000003</v>
      </c>
      <c r="H36" s="3">
        <f t="shared" si="2"/>
        <v>-0.40760099999999966</v>
      </c>
      <c r="I36" s="4">
        <f t="shared" si="3"/>
        <v>3.1703898293305812</v>
      </c>
      <c r="J36" s="4">
        <f t="shared" si="4"/>
        <v>-0.42677700440381389</v>
      </c>
      <c r="K36" s="4">
        <f t="shared" si="5"/>
        <v>2.8516815079365108</v>
      </c>
      <c r="L36" s="4">
        <f t="shared" si="6"/>
        <v>-0.47338963492063457</v>
      </c>
      <c r="M36" s="4">
        <f t="shared" si="7"/>
        <v>2.6533081272819278E-2</v>
      </c>
      <c r="N36" s="4">
        <f t="shared" si="8"/>
        <v>-1.8801034700075324E-3</v>
      </c>
      <c r="O36" s="4">
        <f t="shared" si="9"/>
        <v>2.6277113044158234E-2</v>
      </c>
      <c r="P36" s="4">
        <f t="shared" si="10"/>
        <v>-2.1930911870679231E-3</v>
      </c>
      <c r="S36" s="4">
        <v>-7.2575223586242979E-2</v>
      </c>
      <c r="T36" s="4">
        <v>-1.1935494798019426</v>
      </c>
      <c r="U36" s="4">
        <f t="shared" si="11"/>
        <v>-0.99036062243458634</v>
      </c>
      <c r="W36" s="4">
        <f t="shared" si="12"/>
        <v>-9.5095536117230275E-2</v>
      </c>
      <c r="X36" s="4">
        <f t="shared" si="13"/>
        <v>-1.6803119900696957</v>
      </c>
      <c r="Y36" s="3">
        <f t="shared" si="0"/>
        <v>-152.76871086990104</v>
      </c>
      <c r="AA36" s="3"/>
      <c r="AH36" s="3">
        <f t="shared" si="33"/>
        <v>56.5</v>
      </c>
      <c r="AI36" s="4">
        <f t="shared" si="23"/>
        <v>1.32351993574574E-2</v>
      </c>
      <c r="AJ36" s="4">
        <f t="shared" si="24"/>
        <v>5.2864432887777396E-3</v>
      </c>
      <c r="AK36" s="4">
        <f t="shared" si="25"/>
        <v>4.856362359058672E-3</v>
      </c>
      <c r="AL36" s="3">
        <f t="shared" si="30"/>
        <v>263.43362831858406</v>
      </c>
      <c r="AM36" s="4">
        <f t="shared" si="26"/>
        <v>145.84041473988458</v>
      </c>
      <c r="AN36" s="4">
        <f t="shared" si="27"/>
        <v>137.94485707998678</v>
      </c>
      <c r="AO36" s="4">
        <f t="shared" si="28"/>
        <v>7.8910087933670781</v>
      </c>
      <c r="AP36" s="4">
        <f t="shared" si="29"/>
        <v>0.52776185033992518</v>
      </c>
      <c r="AR36" s="3">
        <f t="shared" si="31"/>
        <v>56.5</v>
      </c>
      <c r="AS36" s="4">
        <f t="shared" si="32"/>
        <v>0.52776185033992518</v>
      </c>
    </row>
    <row r="37" spans="1:45" x14ac:dyDescent="0.25">
      <c r="D37" s="1">
        <v>42689</v>
      </c>
      <c r="E37" s="3">
        <v>107.110001</v>
      </c>
      <c r="F37" s="3">
        <v>217.00097500000001</v>
      </c>
      <c r="G37" s="3">
        <f t="shared" si="1"/>
        <v>1.4000020000000006</v>
      </c>
      <c r="H37" s="3">
        <f t="shared" si="2"/>
        <v>1.6800990000000127</v>
      </c>
      <c r="I37" s="4">
        <f t="shared" si="3"/>
        <v>1.5615764164372765</v>
      </c>
      <c r="J37" s="4">
        <f t="shared" si="4"/>
        <v>1.7728671396947868</v>
      </c>
      <c r="K37" s="4">
        <f t="shared" si="5"/>
        <v>1.3716865079365086</v>
      </c>
      <c r="L37" s="4">
        <f t="shared" si="6"/>
        <v>1.6143103650793778</v>
      </c>
      <c r="M37" s="4">
        <f t="shared" si="7"/>
        <v>1.3156866792006089E-2</v>
      </c>
      <c r="N37" s="4">
        <f t="shared" si="8"/>
        <v>7.772484570076405E-3</v>
      </c>
      <c r="O37" s="4">
        <f t="shared" si="9"/>
        <v>1.2900898563345047E-2</v>
      </c>
      <c r="P37" s="4">
        <f t="shared" si="10"/>
        <v>7.4594968530160141E-3</v>
      </c>
      <c r="S37" s="4">
        <v>0.74135210960066311</v>
      </c>
      <c r="T37" s="4">
        <v>0.85703844347644142</v>
      </c>
      <c r="U37" s="4">
        <f t="shared" si="11"/>
        <v>1.1313123210203149</v>
      </c>
      <c r="W37" s="4">
        <f t="shared" si="12"/>
        <v>1.2889526843284842</v>
      </c>
      <c r="X37" s="4">
        <f t="shared" si="13"/>
        <v>2.0604006035758284</v>
      </c>
      <c r="Y37" s="3">
        <f t="shared" si="0"/>
        <v>3.7496086002729498</v>
      </c>
      <c r="AA37" s="3"/>
      <c r="AH37" s="3">
        <f t="shared" si="33"/>
        <v>57</v>
      </c>
      <c r="AI37" s="4">
        <f t="shared" si="23"/>
        <v>1.4971954653179076E-2</v>
      </c>
      <c r="AJ37" s="4">
        <f t="shared" si="24"/>
        <v>6.0305490362383002E-3</v>
      </c>
      <c r="AK37" s="4">
        <f t="shared" si="25"/>
        <v>5.4906408852802664E-3</v>
      </c>
      <c r="AL37" s="3">
        <f t="shared" si="30"/>
        <v>261.12280701754383</v>
      </c>
      <c r="AM37" s="4">
        <f t="shared" si="26"/>
        <v>143.57376973900114</v>
      </c>
      <c r="AN37" s="4">
        <f t="shared" si="27"/>
        <v>135.67932555957515</v>
      </c>
      <c r="AO37" s="4">
        <f t="shared" si="28"/>
        <v>7.8893903657576585</v>
      </c>
      <c r="AP37" s="4">
        <f t="shared" si="29"/>
        <v>0.58384288846345922</v>
      </c>
      <c r="AR37" s="3">
        <f t="shared" si="31"/>
        <v>57</v>
      </c>
      <c r="AS37" s="4">
        <f t="shared" si="32"/>
        <v>0.58384288846345922</v>
      </c>
    </row>
    <row r="38" spans="1:45" ht="18.75" x14ac:dyDescent="0.3">
      <c r="A38" s="27" t="s">
        <v>82</v>
      </c>
      <c r="D38" s="1">
        <v>42688</v>
      </c>
      <c r="E38" s="3">
        <v>105.709999</v>
      </c>
      <c r="F38" s="3">
        <v>215.320876</v>
      </c>
      <c r="G38" s="3">
        <f t="shared" si="1"/>
        <v>-2.7200010000000105</v>
      </c>
      <c r="H38" s="3">
        <f t="shared" si="2"/>
        <v>0.16900200000000609</v>
      </c>
      <c r="I38" s="4">
        <f t="shared" si="3"/>
        <v>-2.9578099122936941</v>
      </c>
      <c r="J38" s="4">
        <f t="shared" si="4"/>
        <v>0.17847367484707749</v>
      </c>
      <c r="K38" s="4">
        <f t="shared" si="5"/>
        <v>-2.7483164920635028</v>
      </c>
      <c r="L38" s="4">
        <f t="shared" si="6"/>
        <v>0.10321336507937121</v>
      </c>
      <c r="M38" s="4">
        <f t="shared" si="7"/>
        <v>-2.5405317163362036E-2</v>
      </c>
      <c r="N38" s="4">
        <f t="shared" si="8"/>
        <v>7.8519259898741499E-4</v>
      </c>
      <c r="O38" s="4">
        <f t="shared" si="9"/>
        <v>-2.566128539202308E-2</v>
      </c>
      <c r="P38" s="4">
        <f t="shared" si="10"/>
        <v>4.7220488192702441E-4</v>
      </c>
      <c r="S38" s="4">
        <v>0.29923236631571115</v>
      </c>
      <c r="T38" s="4">
        <v>0.11996057068679415</v>
      </c>
      <c r="U38" s="4">
        <f t="shared" si="11"/>
        <v>0.27751051390556541</v>
      </c>
      <c r="W38" s="4">
        <f t="shared" si="12"/>
        <v>0.53714718650655913</v>
      </c>
      <c r="X38" s="4">
        <f t="shared" si="13"/>
        <v>0.55506624834260943</v>
      </c>
      <c r="Y38" s="3">
        <f t="shared" si="0"/>
        <v>-29.827668780224485</v>
      </c>
      <c r="AA38" s="3"/>
      <c r="AH38" s="3">
        <f t="shared" si="33"/>
        <v>57.5</v>
      </c>
      <c r="AI38" s="4">
        <f t="shared" si="23"/>
        <v>1.6900341005726988E-2</v>
      </c>
      <c r="AJ38" s="4">
        <f t="shared" si="24"/>
        <v>6.8640481768430378E-3</v>
      </c>
      <c r="AK38" s="4">
        <f t="shared" si="25"/>
        <v>6.1940038354443483E-3</v>
      </c>
      <c r="AL38" s="3">
        <f t="shared" si="30"/>
        <v>258.85217391304349</v>
      </c>
      <c r="AM38" s="4">
        <f t="shared" si="26"/>
        <v>141.34663712900135</v>
      </c>
      <c r="AN38" s="4">
        <f t="shared" si="27"/>
        <v>133.45341949972027</v>
      </c>
      <c r="AO38" s="4">
        <f t="shared" si="28"/>
        <v>7.8876148239889616</v>
      </c>
      <c r="AP38" s="4">
        <f t="shared" si="29"/>
        <v>0.64444373911407904</v>
      </c>
      <c r="AR38" s="3">
        <f t="shared" si="31"/>
        <v>57.5</v>
      </c>
      <c r="AS38" s="4">
        <f t="shared" si="32"/>
        <v>0.64444373911407904</v>
      </c>
    </row>
    <row r="39" spans="1:45" x14ac:dyDescent="0.25">
      <c r="A39" s="16" t="s">
        <v>48</v>
      </c>
      <c r="B39" s="17">
        <f>B10*SUMPRODUCT(K2:K505,K2:K505,K2:K505,K2:K505)/SUMPRODUCT(K2:K505,K2:K505)^2</f>
        <v>5.0248805678538782</v>
      </c>
      <c r="C39" s="6"/>
      <c r="D39" s="1">
        <v>42685</v>
      </c>
      <c r="E39" s="3">
        <v>108.43</v>
      </c>
      <c r="F39" s="3">
        <v>215.15187399999999</v>
      </c>
      <c r="G39" s="3">
        <f t="shared" si="1"/>
        <v>0.63999900000000309</v>
      </c>
      <c r="H39" s="3">
        <f t="shared" si="2"/>
        <v>-0.49707000000000789</v>
      </c>
      <c r="I39" s="4">
        <f t="shared" si="3"/>
        <v>0.70008612997411845</v>
      </c>
      <c r="J39" s="4">
        <f t="shared" si="4"/>
        <v>-0.52371820647307121</v>
      </c>
      <c r="K39" s="4">
        <f t="shared" si="5"/>
        <v>0.61168350793651105</v>
      </c>
      <c r="L39" s="4">
        <f t="shared" si="6"/>
        <v>-0.56285863492064281</v>
      </c>
      <c r="M39" s="4">
        <f t="shared" si="7"/>
        <v>5.9199044132551715E-3</v>
      </c>
      <c r="N39" s="4">
        <f t="shared" si="8"/>
        <v>-2.3076568094464885E-3</v>
      </c>
      <c r="O39" s="4">
        <f t="shared" si="9"/>
        <v>5.6639361845941287E-3</v>
      </c>
      <c r="P39" s="4">
        <f t="shared" si="10"/>
        <v>-2.620644526506879E-3</v>
      </c>
      <c r="S39" s="4">
        <v>1.5680610073825263</v>
      </c>
      <c r="T39" s="4">
        <v>-0.47620345267989578</v>
      </c>
      <c r="U39" s="4">
        <f t="shared" si="11"/>
        <v>0.57844230011649067</v>
      </c>
      <c r="W39" s="4">
        <f t="shared" si="12"/>
        <v>2.69473540245091</v>
      </c>
      <c r="X39" s="4">
        <f t="shared" si="13"/>
        <v>1.0856378079131332</v>
      </c>
      <c r="Y39" s="3">
        <f t="shared" si="0"/>
        <v>-304.77846885084818</v>
      </c>
      <c r="AA39" s="3"/>
      <c r="AH39" s="3">
        <f t="shared" si="33"/>
        <v>58</v>
      </c>
      <c r="AI39" s="4">
        <f t="shared" si="23"/>
        <v>1.9037172379274075E-2</v>
      </c>
      <c r="AJ39" s="4">
        <f t="shared" si="24"/>
        <v>7.7957097271320053E-3</v>
      </c>
      <c r="AK39" s="4">
        <f t="shared" si="25"/>
        <v>6.9723289582068809E-3</v>
      </c>
      <c r="AL39" s="3">
        <f t="shared" si="30"/>
        <v>256.62068965517244</v>
      </c>
      <c r="AM39" s="4">
        <f t="shared" si="26"/>
        <v>139.15800479075995</v>
      </c>
      <c r="AN39" s="4">
        <f t="shared" si="27"/>
        <v>131.26613549822588</v>
      </c>
      <c r="AO39" s="4">
        <f t="shared" si="28"/>
        <v>7.8856708470869483</v>
      </c>
      <c r="AP39" s="4">
        <f t="shared" si="29"/>
        <v>0.70978292651628971</v>
      </c>
      <c r="AR39" s="3">
        <f t="shared" si="31"/>
        <v>58</v>
      </c>
      <c r="AS39" s="4">
        <f t="shared" si="32"/>
        <v>0.70978292651628971</v>
      </c>
    </row>
    <row r="40" spans="1:45" x14ac:dyDescent="0.25">
      <c r="A40" s="16" t="s">
        <v>50</v>
      </c>
      <c r="B40" s="18">
        <f>SQRT(B10)*SUMPRODUCT(K2:K505,K2:K505,K2:K505)/SUMPRODUCT(K2:K505,K2:K505)^1.5</f>
        <v>-0.17588354175354592</v>
      </c>
      <c r="C40" s="6"/>
      <c r="D40" s="1">
        <v>42684</v>
      </c>
      <c r="E40" s="3">
        <v>107.790001</v>
      </c>
      <c r="F40" s="3">
        <v>215.648944</v>
      </c>
      <c r="G40" s="3">
        <f t="shared" si="1"/>
        <v>-3.0899959999999993</v>
      </c>
      <c r="H40" s="3">
        <f t="shared" si="2"/>
        <v>0.53682900000001155</v>
      </c>
      <c r="I40" s="4">
        <f t="shared" si="3"/>
        <v>-3.2859077433054393</v>
      </c>
      <c r="J40" s="4">
        <f t="shared" si="4"/>
        <v>0.56702022965003906</v>
      </c>
      <c r="K40" s="4">
        <f t="shared" si="5"/>
        <v>-3.1183114920634916</v>
      </c>
      <c r="L40" s="4">
        <f t="shared" si="6"/>
        <v>0.47104036507937663</v>
      </c>
      <c r="M40" s="4">
        <f t="shared" si="7"/>
        <v>-2.8263609314480267E-2</v>
      </c>
      <c r="N40" s="4">
        <f t="shared" si="8"/>
        <v>2.4924689300496821E-3</v>
      </c>
      <c r="O40" s="4">
        <f t="shared" si="9"/>
        <v>-2.8519577543141311E-2</v>
      </c>
      <c r="P40" s="4">
        <f t="shared" si="10"/>
        <v>2.1794812129892916E-3</v>
      </c>
      <c r="S40" s="4">
        <v>-1.0571717919377006</v>
      </c>
      <c r="T40" s="4">
        <v>0.7891904208310585</v>
      </c>
      <c r="U40" s="4">
        <f t="shared" si="11"/>
        <v>-1.8890563810575633E-2</v>
      </c>
      <c r="W40" s="4">
        <f t="shared" si="12"/>
        <v>-1.7693594079890234</v>
      </c>
      <c r="X40" s="4">
        <f t="shared" si="13"/>
        <v>3.2482761758008724E-2</v>
      </c>
      <c r="Y40" s="3">
        <f t="shared" si="0"/>
        <v>294.95902213778845</v>
      </c>
      <c r="AA40" s="3"/>
      <c r="AH40" s="3">
        <f t="shared" si="33"/>
        <v>58.5</v>
      </c>
      <c r="AI40" s="4">
        <f t="shared" si="23"/>
        <v>2.1400300414883722E-2</v>
      </c>
      <c r="AJ40" s="4">
        <f t="shared" si="24"/>
        <v>8.8349460447312705E-3</v>
      </c>
      <c r="AK40" s="4">
        <f t="shared" si="25"/>
        <v>7.8318272894613589E-3</v>
      </c>
      <c r="AL40" s="3">
        <f t="shared" si="30"/>
        <v>254.42735042735043</v>
      </c>
      <c r="AM40" s="4">
        <f t="shared" si="26"/>
        <v>137.00689600512612</v>
      </c>
      <c r="AN40" s="4">
        <f t="shared" si="27"/>
        <v>129.11650596276428</v>
      </c>
      <c r="AO40" s="4">
        <f t="shared" si="28"/>
        <v>7.8835466561613119</v>
      </c>
      <c r="AP40" s="4">
        <f t="shared" si="29"/>
        <v>0.78007704700803515</v>
      </c>
      <c r="AR40" s="3">
        <f t="shared" si="31"/>
        <v>58.5</v>
      </c>
      <c r="AS40" s="4">
        <f t="shared" si="32"/>
        <v>0.78007704700803515</v>
      </c>
    </row>
    <row r="41" spans="1:45" x14ac:dyDescent="0.25">
      <c r="A41" s="16" t="s">
        <v>51</v>
      </c>
      <c r="B41" s="18">
        <f>B$10/6*(B40^2+0.25*(B39-3)^2)</f>
        <v>88.701509297337921</v>
      </c>
      <c r="C41" s="6"/>
      <c r="D41" s="1">
        <v>42683</v>
      </c>
      <c r="E41" s="3">
        <v>110.879997</v>
      </c>
      <c r="F41" s="3">
        <v>215.11211499999999</v>
      </c>
      <c r="G41" s="3">
        <f t="shared" si="1"/>
        <v>-0.18000099999999009</v>
      </c>
      <c r="H41" s="3">
        <f t="shared" si="2"/>
        <v>2.2567029999999875</v>
      </c>
      <c r="I41" s="4">
        <f t="shared" si="3"/>
        <v>-0.19110317857202583</v>
      </c>
      <c r="J41" s="4">
        <f t="shared" si="4"/>
        <v>2.4088910853106151</v>
      </c>
      <c r="K41" s="4">
        <f t="shared" si="5"/>
        <v>-0.20831649206348213</v>
      </c>
      <c r="L41" s="4">
        <f t="shared" si="6"/>
        <v>2.1909143650793528</v>
      </c>
      <c r="M41" s="4">
        <f t="shared" si="7"/>
        <v>-1.6220694198613424E-3</v>
      </c>
      <c r="N41" s="4">
        <f t="shared" si="8"/>
        <v>1.0546239020750104E-2</v>
      </c>
      <c r="O41" s="4">
        <f t="shared" si="9"/>
        <v>-1.878037648522385E-3</v>
      </c>
      <c r="P41" s="4">
        <f t="shared" si="10"/>
        <v>1.0233251303689713E-2</v>
      </c>
      <c r="S41" s="4">
        <v>0.34171372727088722</v>
      </c>
      <c r="T41" s="4">
        <v>-0.22365614133280956</v>
      </c>
      <c r="U41" s="4">
        <f t="shared" si="11"/>
        <v>3.102587418947525E-2</v>
      </c>
      <c r="W41" s="4">
        <f t="shared" si="12"/>
        <v>0.60938490311193305</v>
      </c>
      <c r="X41" s="4">
        <f t="shared" si="13"/>
        <v>0.12049022248975527</v>
      </c>
      <c r="Y41" s="3">
        <f t="shared" si="0"/>
        <v>-84.648279725667635</v>
      </c>
      <c r="AA41" s="3"/>
      <c r="AH41" s="3">
        <f t="shared" si="33"/>
        <v>59</v>
      </c>
      <c r="AI41" s="4">
        <f t="shared" si="23"/>
        <v>2.4008642088702847E-2</v>
      </c>
      <c r="AJ41" s="4">
        <f t="shared" si="24"/>
        <v>9.9918401030591464E-3</v>
      </c>
      <c r="AK41" s="4">
        <f t="shared" si="25"/>
        <v>8.7790480401429595E-3</v>
      </c>
      <c r="AL41" s="3">
        <f t="shared" si="30"/>
        <v>252.27118644067798</v>
      </c>
      <c r="AM41" s="4">
        <f t="shared" si="26"/>
        <v>134.8923679954633</v>
      </c>
      <c r="AN41" s="4">
        <f t="shared" si="27"/>
        <v>127.00359765216902</v>
      </c>
      <c r="AO41" s="4">
        <f t="shared" si="28"/>
        <v>7.8812300227877765</v>
      </c>
      <c r="AP41" s="4">
        <f t="shared" si="29"/>
        <v>0.855539655162183</v>
      </c>
      <c r="AR41" s="3">
        <f t="shared" si="31"/>
        <v>59</v>
      </c>
      <c r="AS41" s="4">
        <f t="shared" si="32"/>
        <v>0.855539655162183</v>
      </c>
    </row>
    <row r="42" spans="1:45" x14ac:dyDescent="0.25">
      <c r="A42" s="16" t="s">
        <v>52</v>
      </c>
      <c r="B42" s="16">
        <f>EXP(-B41/2)</f>
        <v>5.4791348324834565E-20</v>
      </c>
      <c r="C42" s="6"/>
      <c r="D42" s="1">
        <v>42682</v>
      </c>
      <c r="E42" s="3">
        <v>111.05999799999999</v>
      </c>
      <c r="F42" s="3">
        <v>212.855412</v>
      </c>
      <c r="G42" s="3">
        <f t="shared" si="1"/>
        <v>0.64999399999999241</v>
      </c>
      <c r="H42" s="3">
        <f t="shared" si="2"/>
        <v>0.95438200000000961</v>
      </c>
      <c r="I42" s="4">
        <f t="shared" si="3"/>
        <v>0.69414720010312747</v>
      </c>
      <c r="J42" s="4">
        <f t="shared" si="4"/>
        <v>1.0233321702149167</v>
      </c>
      <c r="K42" s="4">
        <f t="shared" si="5"/>
        <v>0.62167850793650037</v>
      </c>
      <c r="L42" s="4">
        <f t="shared" si="6"/>
        <v>0.8885933650793747</v>
      </c>
      <c r="M42" s="4">
        <f t="shared" si="7"/>
        <v>5.8698321255296728E-3</v>
      </c>
      <c r="N42" s="4">
        <f t="shared" si="8"/>
        <v>4.4937922616780758E-3</v>
      </c>
      <c r="O42" s="4">
        <f t="shared" si="9"/>
        <v>5.6138638968686299E-3</v>
      </c>
      <c r="P42" s="4">
        <f t="shared" si="10"/>
        <v>4.1808045446176849E-3</v>
      </c>
      <c r="S42" s="4">
        <v>-0.21971530830469851</v>
      </c>
      <c r="T42" s="4">
        <v>1.0537987966386768</v>
      </c>
      <c r="U42" s="4">
        <f t="shared" si="11"/>
        <v>0.70139454146553226</v>
      </c>
      <c r="W42" s="4">
        <f t="shared" si="12"/>
        <v>-0.34530088505597289</v>
      </c>
      <c r="X42" s="4">
        <f t="shared" si="13"/>
        <v>1.3024143846471337</v>
      </c>
      <c r="Y42" s="3">
        <f t="shared" si="0"/>
        <v>185.88487510463347</v>
      </c>
      <c r="AA42" s="3"/>
      <c r="AH42" s="3">
        <f t="shared" si="33"/>
        <v>59.5</v>
      </c>
      <c r="AI42" s="4">
        <f t="shared" si="23"/>
        <v>2.6882205580547935E-2</v>
      </c>
      <c r="AJ42" s="4">
        <f t="shared" si="24"/>
        <v>1.1277172410351061E-2</v>
      </c>
      <c r="AK42" s="4">
        <f t="shared" si="25"/>
        <v>9.8208825003495565E-3</v>
      </c>
      <c r="AL42" s="3">
        <f t="shared" si="30"/>
        <v>250.15126050420167</v>
      </c>
      <c r="AM42" s="4">
        <f t="shared" si="26"/>
        <v>132.81351054409683</v>
      </c>
      <c r="AN42" s="4">
        <f t="shared" si="27"/>
        <v>124.92651029007179</v>
      </c>
      <c r="AO42" s="4">
        <f t="shared" si="28"/>
        <v>7.8787082794157222</v>
      </c>
      <c r="AP42" s="4">
        <f t="shared" si="29"/>
        <v>0.93638011814120758</v>
      </c>
      <c r="AR42" s="3">
        <f t="shared" si="31"/>
        <v>59.5</v>
      </c>
      <c r="AS42" s="4">
        <f t="shared" si="32"/>
        <v>0.93638011814120758</v>
      </c>
    </row>
    <row r="43" spans="1:45" x14ac:dyDescent="0.25">
      <c r="A43" s="16" t="s">
        <v>53</v>
      </c>
      <c r="B43" s="18">
        <f>B10*SUMPRODUCT(L2:L505,L2:L505,L2:L505,L2:L505)/SUMPRODUCT(L2:L505,L2:L505)^2</f>
        <v>5.0880672841647296</v>
      </c>
      <c r="C43" s="6"/>
      <c r="D43" s="1">
        <v>42681</v>
      </c>
      <c r="E43" s="3">
        <v>110.410004</v>
      </c>
      <c r="F43" s="3">
        <v>211.90102999999999</v>
      </c>
      <c r="G43" s="3">
        <f t="shared" si="1"/>
        <v>1.5700080000000014</v>
      </c>
      <c r="H43" s="3">
        <f t="shared" si="2"/>
        <v>4.5730369999999994</v>
      </c>
      <c r="I43" s="4">
        <f t="shared" si="3"/>
        <v>1.7008421202076502</v>
      </c>
      <c r="J43" s="4">
        <f t="shared" si="4"/>
        <v>5.0115749144461104</v>
      </c>
      <c r="K43" s="4">
        <f t="shared" si="5"/>
        <v>1.5416925079365094</v>
      </c>
      <c r="L43" s="4">
        <f t="shared" si="6"/>
        <v>4.5072483650793647</v>
      </c>
      <c r="M43" s="4">
        <f t="shared" si="7"/>
        <v>1.4321868515797061E-2</v>
      </c>
      <c r="N43" s="4">
        <f t="shared" si="8"/>
        <v>2.1817279541208455E-2</v>
      </c>
      <c r="O43" s="4">
        <f t="shared" si="9"/>
        <v>1.4065900287136019E-2</v>
      </c>
      <c r="P43" s="4">
        <f t="shared" si="10"/>
        <v>2.1504291824148064E-2</v>
      </c>
      <c r="S43" s="4">
        <v>1.4176704109270688</v>
      </c>
      <c r="T43" s="4">
        <v>-1.1284256619539987</v>
      </c>
      <c r="U43" s="4">
        <f t="shared" si="11"/>
        <v>-3.0250502842493088E-2</v>
      </c>
      <c r="W43" s="4">
        <f t="shared" si="12"/>
        <v>2.4390026989171076</v>
      </c>
      <c r="X43" s="4">
        <f t="shared" si="13"/>
        <v>1.2454101294185338E-2</v>
      </c>
      <c r="Y43" s="3">
        <f t="shared" si="0"/>
        <v>-374.43591627508795</v>
      </c>
      <c r="AA43" s="3"/>
      <c r="AH43" s="3">
        <f t="shared" si="33"/>
        <v>60</v>
      </c>
      <c r="AI43" s="4">
        <f t="shared" si="23"/>
        <v>3.0042114198508496E-2</v>
      </c>
      <c r="AJ43" s="4">
        <f t="shared" si="24"/>
        <v>1.2702447458384059E-2</v>
      </c>
      <c r="AK43" s="4">
        <f t="shared" si="25"/>
        <v>1.0964566905679646E-2</v>
      </c>
      <c r="AL43" s="3">
        <f t="shared" si="30"/>
        <v>248.06666666666666</v>
      </c>
      <c r="AM43" s="4">
        <f t="shared" si="26"/>
        <v>130.76944467822486</v>
      </c>
      <c r="AN43" s="4">
        <f t="shared" si="27"/>
        <v>122.88437524640634</v>
      </c>
      <c r="AO43" s="4">
        <f t="shared" si="28"/>
        <v>7.8759683318031133</v>
      </c>
      <c r="AP43" s="4">
        <f t="shared" si="29"/>
        <v>1.0228024449343947</v>
      </c>
      <c r="AR43" s="3">
        <f t="shared" si="31"/>
        <v>60</v>
      </c>
      <c r="AS43" s="4">
        <f t="shared" si="32"/>
        <v>1.0228024449343947</v>
      </c>
    </row>
    <row r="44" spans="1:45" x14ac:dyDescent="0.25">
      <c r="A44" s="16" t="s">
        <v>54</v>
      </c>
      <c r="B44" s="18">
        <f>SQRT(B10)*SUMPRODUCT(L2:L505,L2:L505,L2:L505)/SUMPRODUCT(L2:L505,L2:L505)^1.5</f>
        <v>-0.38044759456353106</v>
      </c>
      <c r="C44" s="6"/>
      <c r="D44" s="1">
        <v>42678</v>
      </c>
      <c r="E44" s="3">
        <v>108.839996</v>
      </c>
      <c r="F44" s="3">
        <v>207.32799299999999</v>
      </c>
      <c r="G44" s="3">
        <f t="shared" si="1"/>
        <v>-0.99000599999999395</v>
      </c>
      <c r="H44" s="3">
        <f t="shared" si="2"/>
        <v>-0.22864800000002106</v>
      </c>
      <c r="I44" s="4">
        <f t="shared" si="3"/>
        <v>-1.062839017521126</v>
      </c>
      <c r="J44" s="4">
        <f t="shared" si="4"/>
        <v>-0.25029848927137327</v>
      </c>
      <c r="K44" s="4">
        <f t="shared" si="5"/>
        <v>-1.018321492063486</v>
      </c>
      <c r="L44" s="4">
        <f t="shared" si="6"/>
        <v>-0.29443663492065597</v>
      </c>
      <c r="M44" s="4">
        <f t="shared" si="7"/>
        <v>-9.0548568463646815E-3</v>
      </c>
      <c r="N44" s="4">
        <f t="shared" si="8"/>
        <v>-1.1022245916618286E-3</v>
      </c>
      <c r="O44" s="4">
        <f t="shared" si="9"/>
        <v>-9.3108250750257235E-3</v>
      </c>
      <c r="P44" s="4">
        <f t="shared" si="10"/>
        <v>-1.4152123087222191E-3</v>
      </c>
      <c r="S44" s="4">
        <v>4.1173941745648521E-2</v>
      </c>
      <c r="T44" s="4">
        <v>0.66251992165984608</v>
      </c>
      <c r="U44" s="4">
        <f t="shared" si="11"/>
        <v>0.55027480784343286</v>
      </c>
      <c r="W44" s="4">
        <f t="shared" si="12"/>
        <v>9.8329998860641504E-2</v>
      </c>
      <c r="X44" s="4">
        <f t="shared" si="13"/>
        <v>1.0359758214122057</v>
      </c>
      <c r="Y44" s="3">
        <f t="shared" si="0"/>
        <v>87.865145907805527</v>
      </c>
      <c r="AA44" s="3"/>
      <c r="AH44" s="3">
        <f t="shared" si="33"/>
        <v>60.5</v>
      </c>
      <c r="AI44" s="4">
        <f t="shared" si="23"/>
        <v>3.351062821203743E-2</v>
      </c>
      <c r="AJ44" s="4">
        <f t="shared" si="24"/>
        <v>1.427991958540975E-2</v>
      </c>
      <c r="AK44" s="4">
        <f t="shared" si="25"/>
        <v>1.2217684216285078E-2</v>
      </c>
      <c r="AL44" s="3">
        <f t="shared" si="30"/>
        <v>246.01652892561984</v>
      </c>
      <c r="AM44" s="4">
        <f t="shared" si="26"/>
        <v>128.75932142113669</v>
      </c>
      <c r="AN44" s="4">
        <f t="shared" si="27"/>
        <v>120.87635428259735</v>
      </c>
      <c r="AO44" s="4">
        <f t="shared" si="28"/>
        <v>7.8729966734689043</v>
      </c>
      <c r="AP44" s="4">
        <f t="shared" si="29"/>
        <v>1.115004097022636</v>
      </c>
      <c r="AR44" s="3">
        <f t="shared" si="31"/>
        <v>60.5</v>
      </c>
      <c r="AS44" s="4">
        <f t="shared" si="32"/>
        <v>1.115004097022636</v>
      </c>
    </row>
    <row r="45" spans="1:45" x14ac:dyDescent="0.25">
      <c r="A45" s="16" t="s">
        <v>51</v>
      </c>
      <c r="B45" s="18">
        <f>B$10/6*(B44^2+0.25*(B43-3)^2)</f>
        <v>103.71871591275132</v>
      </c>
      <c r="C45" s="6"/>
      <c r="D45" s="1">
        <v>42677</v>
      </c>
      <c r="E45" s="3">
        <v>109.83000199999999</v>
      </c>
      <c r="F45" s="3">
        <v>207.55664100000001</v>
      </c>
      <c r="G45" s="3">
        <f t="shared" si="1"/>
        <v>-1.1899930000000012</v>
      </c>
      <c r="H45" s="3">
        <f t="shared" si="2"/>
        <v>-0.95438199999998119</v>
      </c>
      <c r="I45" s="4">
        <f t="shared" si="3"/>
        <v>-1.2638451243847755</v>
      </c>
      <c r="J45" s="4">
        <f t="shared" si="4"/>
        <v>-1.0399696753714058</v>
      </c>
      <c r="K45" s="4">
        <f t="shared" si="5"/>
        <v>-1.2183084920634932</v>
      </c>
      <c r="L45" s="4">
        <f t="shared" si="6"/>
        <v>-1.0201706349206161</v>
      </c>
      <c r="M45" s="4">
        <f t="shared" si="7"/>
        <v>-1.0776586214868747E-2</v>
      </c>
      <c r="N45" s="4">
        <f t="shared" si="8"/>
        <v>-4.5876368506211126E-3</v>
      </c>
      <c r="O45" s="4">
        <f t="shared" si="9"/>
        <v>-1.1032554443529789E-2</v>
      </c>
      <c r="P45" s="4">
        <f t="shared" si="10"/>
        <v>-4.9006245676815035E-3</v>
      </c>
      <c r="S45" s="4">
        <v>0.30218932040108143</v>
      </c>
      <c r="T45" s="4">
        <v>-0.83609582515137193</v>
      </c>
      <c r="U45" s="4">
        <f t="shared" si="11"/>
        <v>-0.47854513554607436</v>
      </c>
      <c r="W45" s="4">
        <f t="shared" si="12"/>
        <v>0.54217535901401392</v>
      </c>
      <c r="X45" s="4">
        <f t="shared" si="13"/>
        <v>-0.7779322697019373</v>
      </c>
      <c r="Y45" s="3">
        <f t="shared" si="0"/>
        <v>-163.91931875963519</v>
      </c>
      <c r="AA45" s="3"/>
      <c r="AH45" s="3">
        <f t="shared" si="33"/>
        <v>61</v>
      </c>
      <c r="AI45" s="4">
        <f t="shared" si="23"/>
        <v>3.7311164453692314E-2</v>
      </c>
      <c r="AJ45" s="4">
        <f t="shared" si="24"/>
        <v>1.602261813761266E-2</v>
      </c>
      <c r="AK45" s="4">
        <f t="shared" si="25"/>
        <v>1.3588164764106937E-2</v>
      </c>
      <c r="AL45" s="3">
        <f t="shared" si="30"/>
        <v>244</v>
      </c>
      <c r="AM45" s="4">
        <f t="shared" si="26"/>
        <v>126.78232060484895</v>
      </c>
      <c r="AN45" s="4">
        <f t="shared" si="27"/>
        <v>118.90163835653028</v>
      </c>
      <c r="AO45" s="4">
        <f t="shared" si="28"/>
        <v>7.8697794021413676</v>
      </c>
      <c r="AP45" s="4">
        <f t="shared" si="29"/>
        <v>1.2131747877464991</v>
      </c>
      <c r="AR45" s="3">
        <f t="shared" si="31"/>
        <v>61</v>
      </c>
      <c r="AS45" s="4">
        <f t="shared" si="32"/>
        <v>1.2131747877464991</v>
      </c>
    </row>
    <row r="46" spans="1:45" x14ac:dyDescent="0.25">
      <c r="A46" s="16" t="s">
        <v>52</v>
      </c>
      <c r="B46" s="16">
        <f>EXP(-B45/2)</f>
        <v>3.004463999381949E-23</v>
      </c>
      <c r="C46" s="6"/>
      <c r="D46" s="1">
        <v>42676</v>
      </c>
      <c r="E46" s="3">
        <v>111.01999499999999</v>
      </c>
      <c r="F46" s="3">
        <v>208.51102299999999</v>
      </c>
      <c r="G46" s="3">
        <f t="shared" si="1"/>
        <v>9.9487999999993804E-2</v>
      </c>
      <c r="H46" s="3">
        <f t="shared" si="2"/>
        <v>-1.2625470000000121</v>
      </c>
      <c r="I46" s="4">
        <f t="shared" si="3"/>
        <v>0.10575709393350743</v>
      </c>
      <c r="J46" s="4">
        <f t="shared" si="4"/>
        <v>-1.3674902548868846</v>
      </c>
      <c r="K46" s="4">
        <f t="shared" si="5"/>
        <v>7.1172507936501747E-2</v>
      </c>
      <c r="L46" s="4">
        <f t="shared" si="6"/>
        <v>-1.328335634920647</v>
      </c>
      <c r="M46" s="4">
        <f t="shared" si="7"/>
        <v>8.9652862607045628E-4</v>
      </c>
      <c r="N46" s="4">
        <f t="shared" si="8"/>
        <v>-6.0368029584424842E-3</v>
      </c>
      <c r="O46" s="4">
        <f t="shared" si="9"/>
        <v>6.4056039740941362E-4</v>
      </c>
      <c r="P46" s="4">
        <f t="shared" si="10"/>
        <v>-6.3497906755028751E-3</v>
      </c>
      <c r="S46" s="4">
        <v>-3.8231148319920409</v>
      </c>
      <c r="T46" s="4">
        <v>8.4554891461389919E-2</v>
      </c>
      <c r="U46" s="4">
        <f t="shared" si="11"/>
        <v>-2.2636301147354834</v>
      </c>
      <c r="W46" s="4">
        <f t="shared" si="12"/>
        <v>-6.4727258958205995</v>
      </c>
      <c r="X46" s="4">
        <f t="shared" si="13"/>
        <v>-3.9252080470457131</v>
      </c>
      <c r="Y46" s="3">
        <f t="shared" si="0"/>
        <v>756.55570518925379</v>
      </c>
      <c r="AA46" s="3"/>
      <c r="AH46" s="3">
        <f t="shared" si="33"/>
        <v>61.5</v>
      </c>
      <c r="AI46" s="4">
        <f t="shared" si="23"/>
        <v>4.1468313558300718E-2</v>
      </c>
      <c r="AJ46" s="4">
        <f t="shared" si="24"/>
        <v>1.7944371813849891E-2</v>
      </c>
      <c r="AK46" s="4">
        <f t="shared" si="25"/>
        <v>1.5084285729069028E-2</v>
      </c>
      <c r="AL46" s="3">
        <f t="shared" si="30"/>
        <v>242.01626016260164</v>
      </c>
      <c r="AM46" s="4">
        <f t="shared" si="26"/>
        <v>124.83764974051924</v>
      </c>
      <c r="AN46" s="4">
        <f t="shared" si="27"/>
        <v>116.95944648365344</v>
      </c>
      <c r="AO46" s="4">
        <f t="shared" si="28"/>
        <v>7.8663022381692906</v>
      </c>
      <c r="AP46" s="4">
        <f t="shared" si="29"/>
        <v>1.317495277385738</v>
      </c>
      <c r="AR46" s="3">
        <f t="shared" si="31"/>
        <v>61.5</v>
      </c>
      <c r="AS46" s="4">
        <f t="shared" si="32"/>
        <v>1.317495277385738</v>
      </c>
    </row>
    <row r="47" spans="1:45" x14ac:dyDescent="0.25">
      <c r="A47" s="16" t="s">
        <v>59</v>
      </c>
      <c r="B47" s="18">
        <f>B10*SUMPRODUCT(O2:O505,O2:O505,O2:O505,O2:O505)/SUMPRODUCT(O2:O505,O2:O505)^2</f>
        <v>5.5798832747309017</v>
      </c>
      <c r="C47" s="6"/>
      <c r="D47" s="1">
        <v>42675</v>
      </c>
      <c r="E47" s="3">
        <v>110.920507</v>
      </c>
      <c r="F47" s="3">
        <v>209.77357000000001</v>
      </c>
      <c r="G47" s="3">
        <f t="shared" si="1"/>
        <v>-2.0395319999999941</v>
      </c>
      <c r="H47" s="3">
        <f t="shared" si="2"/>
        <v>-1.5309849999999869</v>
      </c>
      <c r="I47" s="4">
        <f t="shared" si="3"/>
        <v>-2.1289053049824753</v>
      </c>
      <c r="J47" s="4">
        <f t="shared" si="4"/>
        <v>-1.6462262849321543</v>
      </c>
      <c r="K47" s="4">
        <f t="shared" si="5"/>
        <v>-2.0678474920634864</v>
      </c>
      <c r="L47" s="4">
        <f t="shared" si="6"/>
        <v>-1.5967736349206219</v>
      </c>
      <c r="M47" s="4">
        <f t="shared" si="7"/>
        <v>-1.8220327400816475E-2</v>
      </c>
      <c r="N47" s="4">
        <f t="shared" si="8"/>
        <v>-7.2717705122387977E-3</v>
      </c>
      <c r="O47" s="4">
        <f t="shared" si="9"/>
        <v>-1.8476295629477519E-2</v>
      </c>
      <c r="P47" s="4">
        <f t="shared" si="10"/>
        <v>-7.5847582292991886E-3</v>
      </c>
      <c r="S47" s="4">
        <v>-8.019192999706283E-2</v>
      </c>
      <c r="T47" s="4">
        <v>-0.30668210122729445</v>
      </c>
      <c r="U47" s="4">
        <f t="shared" si="11"/>
        <v>-0.29199124375132507</v>
      </c>
      <c r="W47" s="4">
        <f t="shared" si="12"/>
        <v>-0.1080474158781375</v>
      </c>
      <c r="X47" s="4">
        <f t="shared" si="13"/>
        <v>-0.4490198920506282</v>
      </c>
      <c r="Y47" s="3">
        <f t="shared" si="0"/>
        <v>-27.557149416851644</v>
      </c>
      <c r="AA47" s="3"/>
      <c r="AH47" s="3">
        <f t="shared" si="33"/>
        <v>62</v>
      </c>
      <c r="AI47" s="4">
        <f t="shared" si="23"/>
        <v>4.600785471760116E-2</v>
      </c>
      <c r="AJ47" s="4">
        <f t="shared" si="24"/>
        <v>2.0059832079544759E-2</v>
      </c>
      <c r="AK47" s="4">
        <f t="shared" si="25"/>
        <v>1.6714669410600132E-2</v>
      </c>
      <c r="AL47" s="3">
        <f t="shared" si="30"/>
        <v>240.06451612903226</v>
      </c>
      <c r="AM47" s="4">
        <f t="shared" si="26"/>
        <v>122.92454294322842</v>
      </c>
      <c r="AN47" s="4">
        <f t="shared" si="27"/>
        <v>115.04902465080585</v>
      </c>
      <c r="AO47" s="4">
        <f t="shared" si="28"/>
        <v>7.8625505448516826</v>
      </c>
      <c r="AP47" s="4">
        <f t="shared" si="29"/>
        <v>1.4281361713649861</v>
      </c>
      <c r="AR47" s="3">
        <f t="shared" si="31"/>
        <v>62</v>
      </c>
      <c r="AS47" s="4">
        <f t="shared" si="32"/>
        <v>1.4281361713649861</v>
      </c>
    </row>
    <row r="48" spans="1:45" x14ac:dyDescent="0.25">
      <c r="A48" s="16" t="s">
        <v>60</v>
      </c>
      <c r="B48" s="18">
        <f>SQRT(B10)*SUMPRODUCT(O2:O505,O2:O505,O2:O505)/SUMPRODUCT(O2:O505,O2:O505)^1.5</f>
        <v>-0.18872973354619199</v>
      </c>
      <c r="C48" s="6"/>
      <c r="D48" s="1">
        <v>42674</v>
      </c>
      <c r="E48" s="3">
        <v>112.96003899999999</v>
      </c>
      <c r="F48" s="3">
        <v>211.30455499999999</v>
      </c>
      <c r="G48" s="3">
        <f t="shared" si="1"/>
        <v>-0.1790810000000107</v>
      </c>
      <c r="H48" s="3">
        <f t="shared" si="2"/>
        <v>9.9510000000009313E-3</v>
      </c>
      <c r="I48" s="4">
        <f t="shared" si="3"/>
        <v>-0.1866325407721508</v>
      </c>
      <c r="J48" s="4">
        <f t="shared" si="4"/>
        <v>1.0700541977196974E-2</v>
      </c>
      <c r="K48" s="4">
        <f t="shared" si="5"/>
        <v>-0.20739649206350275</v>
      </c>
      <c r="L48" s="4">
        <f t="shared" si="6"/>
        <v>-5.5837634920633955E-2</v>
      </c>
      <c r="M48" s="4">
        <f t="shared" si="7"/>
        <v>-1.5840929107400542E-3</v>
      </c>
      <c r="N48" s="4">
        <f t="shared" si="8"/>
        <v>4.709427262188147E-5</v>
      </c>
      <c r="O48" s="4">
        <f t="shared" si="9"/>
        <v>-1.8400611394010968E-3</v>
      </c>
      <c r="P48" s="4">
        <f t="shared" si="10"/>
        <v>-2.6589344443850912E-4</v>
      </c>
      <c r="S48" s="4">
        <v>0.65004073496967374</v>
      </c>
      <c r="T48" s="4">
        <v>-1.049005470938162</v>
      </c>
      <c r="U48" s="4">
        <f t="shared" si="11"/>
        <v>-0.43525892898583901</v>
      </c>
      <c r="W48" s="4">
        <f t="shared" si="12"/>
        <v>1.1336816418023186</v>
      </c>
      <c r="X48" s="4">
        <f t="shared" si="13"/>
        <v>-0.70161454198121531</v>
      </c>
      <c r="Y48" s="3">
        <f t="shared" si="0"/>
        <v>-248.53236819723043</v>
      </c>
      <c r="AA48" s="3"/>
      <c r="AH48" s="3">
        <f t="shared" si="33"/>
        <v>62.5</v>
      </c>
      <c r="AI48" s="4">
        <f t="shared" si="23"/>
        <v>5.0956767838499006E-2</v>
      </c>
      <c r="AJ48" s="4">
        <f t="shared" si="24"/>
        <v>2.2384495537332627E-2</v>
      </c>
      <c r="AK48" s="4">
        <f t="shared" si="25"/>
        <v>1.8488280266702607E-2</v>
      </c>
      <c r="AL48" s="3">
        <f t="shared" si="30"/>
        <v>238.14400000000001</v>
      </c>
      <c r="AM48" s="4">
        <f t="shared" si="26"/>
        <v>121.04225990793627</v>
      </c>
      <c r="AN48" s="4">
        <f t="shared" si="27"/>
        <v>113.16964477958625</v>
      </c>
      <c r="AO48" s="4">
        <f t="shared" si="28"/>
        <v>7.858509350630734</v>
      </c>
      <c r="AP48" s="4">
        <f t="shared" si="29"/>
        <v>1.5452567288989087</v>
      </c>
      <c r="AR48" s="3">
        <f t="shared" si="31"/>
        <v>62.5</v>
      </c>
      <c r="AS48" s="4">
        <f t="shared" si="32"/>
        <v>1.5452567288989087</v>
      </c>
    </row>
    <row r="49" spans="1:45" x14ac:dyDescent="0.25">
      <c r="A49" s="16" t="s">
        <v>51</v>
      </c>
      <c r="B49" s="18">
        <f>B$10/6*(B48^2+0.25*(B47-3)^2)</f>
        <v>142.76374057121205</v>
      </c>
      <c r="C49" s="6"/>
      <c r="D49" s="1">
        <v>42671</v>
      </c>
      <c r="E49" s="3">
        <v>113.13912000000001</v>
      </c>
      <c r="F49" s="3">
        <v>211.29460399999999</v>
      </c>
      <c r="G49" s="3">
        <f t="shared" si="1"/>
        <v>-0.75611999999999568</v>
      </c>
      <c r="H49" s="3">
        <f t="shared" si="2"/>
        <v>-0.62631300000001033</v>
      </c>
      <c r="I49" s="4">
        <f t="shared" si="3"/>
        <v>-0.78277294314037615</v>
      </c>
      <c r="J49" s="4">
        <f t="shared" si="4"/>
        <v>-0.67149851524185944</v>
      </c>
      <c r="K49" s="4">
        <f t="shared" si="5"/>
        <v>-0.78443549206348773</v>
      </c>
      <c r="L49" s="4">
        <f t="shared" si="6"/>
        <v>-0.69210163492064525</v>
      </c>
      <c r="M49" s="4">
        <f t="shared" si="7"/>
        <v>-6.660866624520494E-3</v>
      </c>
      <c r="N49" s="4">
        <f t="shared" si="8"/>
        <v>-2.9597849140579869E-3</v>
      </c>
      <c r="O49" s="4">
        <f t="shared" si="9"/>
        <v>-6.9168348531815369E-3</v>
      </c>
      <c r="P49" s="4">
        <f t="shared" si="10"/>
        <v>-3.2727726311183774E-3</v>
      </c>
      <c r="S49" s="4">
        <v>-0.4629580760364066</v>
      </c>
      <c r="T49" s="4">
        <v>-1.0879403761569444</v>
      </c>
      <c r="U49" s="4">
        <f t="shared" si="11"/>
        <v>-1.1446312258663316</v>
      </c>
      <c r="W49" s="4">
        <f t="shared" si="12"/>
        <v>-0.75892468915796896</v>
      </c>
      <c r="X49" s="4">
        <f t="shared" si="13"/>
        <v>-1.9523058385403804</v>
      </c>
      <c r="Y49" s="3">
        <f t="shared" si="0"/>
        <v>-72.11742581671615</v>
      </c>
      <c r="AA49" s="3"/>
      <c r="AH49" s="3">
        <f t="shared" si="33"/>
        <v>63</v>
      </c>
      <c r="AI49" s="4">
        <f t="shared" si="23"/>
        <v>5.6343243003687538E-2</v>
      </c>
      <c r="AJ49" s="4">
        <f t="shared" si="24"/>
        <v>2.4934725144443171E-2</v>
      </c>
      <c r="AK49" s="4">
        <f t="shared" si="25"/>
        <v>2.0414420698835291E-2</v>
      </c>
      <c r="AL49" s="3">
        <f t="shared" si="30"/>
        <v>236.25396825396825</v>
      </c>
      <c r="AM49" s="4">
        <f t="shared" si="26"/>
        <v>119.19008493361795</v>
      </c>
      <c r="AN49" s="4">
        <f t="shared" si="27"/>
        <v>111.32060373629035</v>
      </c>
      <c r="AO49" s="4">
        <f t="shared" si="28"/>
        <v>7.8541633730822262</v>
      </c>
      <c r="AP49" s="4">
        <f t="shared" si="29"/>
        <v>1.6690036895033775</v>
      </c>
      <c r="AR49" s="3">
        <f t="shared" si="31"/>
        <v>63</v>
      </c>
      <c r="AS49" s="4">
        <f t="shared" si="32"/>
        <v>1.6690036895033775</v>
      </c>
    </row>
    <row r="50" spans="1:45" x14ac:dyDescent="0.25">
      <c r="A50" s="16" t="s">
        <v>52</v>
      </c>
      <c r="B50" s="16">
        <f>EXP(-B49/2)</f>
        <v>9.9826909695292544E-32</v>
      </c>
      <c r="C50" s="6"/>
      <c r="D50" s="1">
        <v>42670</v>
      </c>
      <c r="E50" s="3">
        <v>113.89524</v>
      </c>
      <c r="F50" s="3">
        <v>211.920917</v>
      </c>
      <c r="G50" s="3">
        <f t="shared" si="1"/>
        <v>-1.1043229999999937</v>
      </c>
      <c r="H50" s="3">
        <f t="shared" si="2"/>
        <v>-0.56666699999999537</v>
      </c>
      <c r="I50" s="4">
        <f t="shared" si="3"/>
        <v>-1.1322715143473308</v>
      </c>
      <c r="J50" s="4">
        <f t="shared" si="4"/>
        <v>-0.60592911177656361</v>
      </c>
      <c r="K50" s="4">
        <f t="shared" si="5"/>
        <v>-1.1326384920634858</v>
      </c>
      <c r="L50" s="4">
        <f t="shared" si="6"/>
        <v>-0.63245563492063028</v>
      </c>
      <c r="M50" s="4">
        <f t="shared" si="7"/>
        <v>-9.6492498209396847E-3</v>
      </c>
      <c r="N50" s="4">
        <f t="shared" si="8"/>
        <v>-2.6703863631614092E-3</v>
      </c>
      <c r="O50" s="4">
        <f t="shared" si="9"/>
        <v>-9.9052180496007267E-3</v>
      </c>
      <c r="P50" s="4">
        <f t="shared" si="10"/>
        <v>-2.9833740802217997E-3</v>
      </c>
      <c r="S50" s="4">
        <v>-0.36198966332198607</v>
      </c>
      <c r="T50" s="4">
        <v>-0.253329394817214</v>
      </c>
      <c r="U50" s="4">
        <f t="shared" si="11"/>
        <v>-0.42148916485575016</v>
      </c>
      <c r="W50" s="4">
        <f t="shared" si="12"/>
        <v>-0.58723227112421816</v>
      </c>
      <c r="X50" s="4">
        <f t="shared" si="13"/>
        <v>-0.67733712907841626</v>
      </c>
      <c r="Y50" s="3">
        <f t="shared" si="0"/>
        <v>27.2648575953408</v>
      </c>
      <c r="AA50" s="3"/>
      <c r="AH50" s="3">
        <f t="shared" si="33"/>
        <v>63.5</v>
      </c>
      <c r="AI50" s="4">
        <f t="shared" si="23"/>
        <v>6.2196687144605245E-2</v>
      </c>
      <c r="AJ50" s="4">
        <f t="shared" si="24"/>
        <v>2.7727770169778787E-2</v>
      </c>
      <c r="AK50" s="4">
        <f t="shared" si="25"/>
        <v>2.250272556708242E-2</v>
      </c>
      <c r="AL50" s="3">
        <f t="shared" si="30"/>
        <v>234.39370078740157</v>
      </c>
      <c r="AM50" s="4">
        <f t="shared" si="26"/>
        <v>117.36732599277494</v>
      </c>
      <c r="AN50" s="4">
        <f t="shared" si="27"/>
        <v>109.50122238563776</v>
      </c>
      <c r="AO50" s="4">
        <f t="shared" si="28"/>
        <v>7.8494970446276531</v>
      </c>
      <c r="AP50" s="4">
        <f t="shared" si="29"/>
        <v>1.7995101245520422</v>
      </c>
      <c r="AR50" s="3">
        <f t="shared" si="31"/>
        <v>63.5</v>
      </c>
      <c r="AS50" s="4">
        <f t="shared" si="32"/>
        <v>1.7995101245520422</v>
      </c>
    </row>
    <row r="51" spans="1:45" x14ac:dyDescent="0.25">
      <c r="A51" s="16" t="s">
        <v>61</v>
      </c>
      <c r="B51" s="18">
        <f>B10*SUMPRODUCT(P2:P505,P2:P505,P2:P505,P2:P505)/SUMPRODUCT(P2:P505,P2:P505)^2</f>
        <v>5.4556008791942556</v>
      </c>
      <c r="C51" s="6"/>
      <c r="D51" s="1">
        <v>42669</v>
      </c>
      <c r="E51" s="3">
        <v>114.99956299999999</v>
      </c>
      <c r="F51" s="3">
        <v>212.487584</v>
      </c>
      <c r="G51" s="3">
        <f t="shared" si="1"/>
        <v>-2.6464160000000021</v>
      </c>
      <c r="H51" s="3">
        <f t="shared" si="2"/>
        <v>-0.42747399999998947</v>
      </c>
      <c r="I51" s="4">
        <f t="shared" si="3"/>
        <v>-2.6523551743801139</v>
      </c>
      <c r="J51" s="4">
        <f t="shared" si="4"/>
        <v>-0.45617426707469233</v>
      </c>
      <c r="K51" s="4">
        <f t="shared" si="5"/>
        <v>-2.6747314920634944</v>
      </c>
      <c r="L51" s="4">
        <f t="shared" si="6"/>
        <v>-0.49326263492062439</v>
      </c>
      <c r="M51" s="4">
        <f t="shared" si="7"/>
        <v>-2.2751608587713572E-2</v>
      </c>
      <c r="N51" s="4">
        <f t="shared" si="8"/>
        <v>-2.0097390174761186E-3</v>
      </c>
      <c r="O51" s="4">
        <f t="shared" si="9"/>
        <v>-2.3007576816374616E-2</v>
      </c>
      <c r="P51" s="4">
        <f t="shared" si="10"/>
        <v>-2.3227267345365091E-3</v>
      </c>
      <c r="S51" s="4">
        <v>-0.85950069412958807</v>
      </c>
      <c r="T51" s="4">
        <v>1.3251367230946713</v>
      </c>
      <c r="U51" s="4">
        <f t="shared" si="11"/>
        <v>0.52645450420639717</v>
      </c>
      <c r="W51" s="4">
        <f t="shared" si="12"/>
        <v>-1.4332282572096895</v>
      </c>
      <c r="X51" s="4">
        <f t="shared" si="13"/>
        <v>0.99397834481035841</v>
      </c>
      <c r="Y51" s="3">
        <f t="shared" si="0"/>
        <v>334.4246921596432</v>
      </c>
      <c r="AA51" s="3"/>
      <c r="AH51" s="3">
        <f t="shared" si="33"/>
        <v>64</v>
      </c>
      <c r="AI51" s="4">
        <f t="shared" si="23"/>
        <v>6.8547727848343509E-2</v>
      </c>
      <c r="AJ51" s="4">
        <f t="shared" si="24"/>
        <v>3.078178478721999E-2</v>
      </c>
      <c r="AK51" s="4">
        <f t="shared" si="25"/>
        <v>2.4763155426401052E-2</v>
      </c>
      <c r="AL51" s="3">
        <f t="shared" si="30"/>
        <v>232.5625</v>
      </c>
      <c r="AM51" s="4">
        <f t="shared" si="26"/>
        <v>115.57331384368753</v>
      </c>
      <c r="AN51" s="4">
        <f t="shared" si="27"/>
        <v>107.71084468569352</v>
      </c>
      <c r="AO51" s="4">
        <f t="shared" si="28"/>
        <v>7.8444945398827919</v>
      </c>
      <c r="AP51" s="4">
        <f t="shared" si="29"/>
        <v>1.9368943212549574</v>
      </c>
      <c r="AR51" s="3">
        <f t="shared" si="31"/>
        <v>64</v>
      </c>
      <c r="AS51" s="4">
        <f t="shared" si="32"/>
        <v>1.9368943212549574</v>
      </c>
    </row>
    <row r="52" spans="1:45" x14ac:dyDescent="0.25">
      <c r="A52" s="16" t="s">
        <v>62</v>
      </c>
      <c r="B52" s="18">
        <f>SQRT(B10)*SUMPRODUCT(P2:P505,P2:P505,P2:P505)/SUMPRODUCT(P2:P505,P2:P505)^1.5</f>
        <v>-0.37271933583703692</v>
      </c>
      <c r="D52" s="1">
        <v>42668</v>
      </c>
      <c r="E52" s="3">
        <v>117.645979</v>
      </c>
      <c r="F52" s="3">
        <v>212.91505799999999</v>
      </c>
      <c r="G52" s="3">
        <f t="shared" si="1"/>
        <v>0.59693399999999031</v>
      </c>
      <c r="H52" s="3">
        <f t="shared" si="2"/>
        <v>-0.71578200000001857</v>
      </c>
      <c r="I52" s="4">
        <f t="shared" si="3"/>
        <v>0.60132477225879843</v>
      </c>
      <c r="J52" s="4">
        <f t="shared" si="4"/>
        <v>-0.76127975357152644</v>
      </c>
      <c r="K52" s="4">
        <f t="shared" si="5"/>
        <v>0.56861850793649826</v>
      </c>
      <c r="L52" s="4">
        <f t="shared" si="6"/>
        <v>-0.78157063492065348</v>
      </c>
      <c r="M52" s="4">
        <f t="shared" si="7"/>
        <v>5.0869019465579609E-3</v>
      </c>
      <c r="N52" s="4">
        <f t="shared" si="8"/>
        <v>-3.356181246772913E-3</v>
      </c>
      <c r="O52" s="4">
        <f t="shared" si="9"/>
        <v>4.8309337178969181E-3</v>
      </c>
      <c r="P52" s="4">
        <f t="shared" si="10"/>
        <v>-3.6691689638333035E-3</v>
      </c>
      <c r="S52" s="4">
        <v>0.14012675494050134</v>
      </c>
      <c r="T52" s="4">
        <v>-3.2970793336539725E-2</v>
      </c>
      <c r="U52" s="4">
        <f t="shared" si="11"/>
        <v>5.9288711563328517E-2</v>
      </c>
      <c r="W52" s="4">
        <f t="shared" si="12"/>
        <v>0.26659497710407826</v>
      </c>
      <c r="X52" s="4">
        <f t="shared" si="13"/>
        <v>0.17032031153466259</v>
      </c>
      <c r="Y52" s="3">
        <f t="shared" si="0"/>
        <v>-25.506435233201955</v>
      </c>
      <c r="AA52" s="3"/>
      <c r="AH52" s="3">
        <f t="shared" si="33"/>
        <v>64.5</v>
      </c>
      <c r="AI52" s="4">
        <f t="shared" si="23"/>
        <v>7.5428214232161173E-2</v>
      </c>
      <c r="AJ52" s="4">
        <f t="shared" si="24"/>
        <v>3.4115845205816842E-2</v>
      </c>
      <c r="AK52" s="4">
        <f t="shared" si="25"/>
        <v>2.7205988481117983E-2</v>
      </c>
      <c r="AL52" s="3">
        <f t="shared" si="30"/>
        <v>230.75968992248062</v>
      </c>
      <c r="AM52" s="4">
        <f t="shared" si="26"/>
        <v>113.80740118294243</v>
      </c>
      <c r="AN52" s="4">
        <f t="shared" si="27"/>
        <v>105.94883682156117</v>
      </c>
      <c r="AO52" s="4">
        <f t="shared" si="28"/>
        <v>7.8391398045487133</v>
      </c>
      <c r="AP52" s="4">
        <f t="shared" si="29"/>
        <v>2.0812587058113676</v>
      </c>
      <c r="AR52" s="3">
        <f t="shared" si="31"/>
        <v>64.5</v>
      </c>
      <c r="AS52" s="4">
        <f t="shared" si="32"/>
        <v>2.0812587058113676</v>
      </c>
    </row>
    <row r="53" spans="1:45" x14ac:dyDescent="0.25">
      <c r="A53" s="16" t="s">
        <v>51</v>
      </c>
      <c r="B53" s="18">
        <f>B$10/6*(B52^2+0.25*(B51-3)^2)</f>
        <v>138.29874431366301</v>
      </c>
      <c r="D53" s="1">
        <v>42667</v>
      </c>
      <c r="E53" s="3">
        <v>117.04904500000001</v>
      </c>
      <c r="F53" s="3">
        <v>213.63084000000001</v>
      </c>
      <c r="G53" s="3">
        <f t="shared" si="1"/>
        <v>1.0446390000000036</v>
      </c>
      <c r="H53" s="3">
        <f t="shared" si="2"/>
        <v>0.90467200000000503</v>
      </c>
      <c r="I53" s="4">
        <f t="shared" si="3"/>
        <v>1.0617992274237966</v>
      </c>
      <c r="J53" s="4">
        <f t="shared" si="4"/>
        <v>0.966268200030309</v>
      </c>
      <c r="K53" s="4">
        <f t="shared" si="5"/>
        <v>1.0163235079365116</v>
      </c>
      <c r="L53" s="4">
        <f t="shared" si="6"/>
        <v>0.83888336507937011</v>
      </c>
      <c r="M53" s="4">
        <f t="shared" si="7"/>
        <v>8.96486185352687E-3</v>
      </c>
      <c r="N53" s="4">
        <f t="shared" si="8"/>
        <v>4.2437363089318243E-3</v>
      </c>
      <c r="O53" s="4">
        <f t="shared" si="9"/>
        <v>8.708893624865828E-3</v>
      </c>
      <c r="P53" s="4">
        <f t="shared" si="10"/>
        <v>3.9307485918714333E-3</v>
      </c>
      <c r="S53" s="4">
        <v>0.74221758917974467</v>
      </c>
      <c r="T53" s="4">
        <v>1.9560794077009356</v>
      </c>
      <c r="U53" s="4">
        <f t="shared" si="11"/>
        <v>2.0030409375107689</v>
      </c>
      <c r="W53" s="4">
        <f t="shared" si="12"/>
        <v>1.2904243949129781</v>
      </c>
      <c r="X53" s="4">
        <f t="shared" si="13"/>
        <v>3.597341640603454</v>
      </c>
      <c r="Y53" s="3">
        <f t="shared" si="0"/>
        <v>157.21757896496456</v>
      </c>
      <c r="AA53" s="3"/>
      <c r="AH53" s="3">
        <f t="shared" si="33"/>
        <v>65</v>
      </c>
      <c r="AI53" s="4">
        <f t="shared" si="23"/>
        <v>8.2871214831587769E-2</v>
      </c>
      <c r="AJ53" s="4">
        <f t="shared" si="24"/>
        <v>3.7749965242203865E-2</v>
      </c>
      <c r="AK53" s="4">
        <f t="shared" si="25"/>
        <v>2.9841811261249681E-2</v>
      </c>
      <c r="AL53" s="3">
        <f t="shared" si="30"/>
        <v>228.98461538461538</v>
      </c>
      <c r="AM53" s="4">
        <f t="shared" si="26"/>
        <v>112.06896183591827</v>
      </c>
      <c r="AN53" s="4">
        <f t="shared" si="27"/>
        <v>104.21458637558493</v>
      </c>
      <c r="AO53" s="4">
        <f t="shared" si="28"/>
        <v>7.8334165857430165</v>
      </c>
      <c r="AP53" s="4">
        <f t="shared" si="29"/>
        <v>2.2326888128070723</v>
      </c>
      <c r="AR53" s="3">
        <f t="shared" si="31"/>
        <v>65</v>
      </c>
      <c r="AS53" s="4">
        <f t="shared" si="32"/>
        <v>2.2326888128070723</v>
      </c>
    </row>
    <row r="54" spans="1:45" x14ac:dyDescent="0.25">
      <c r="A54" s="16" t="s">
        <v>52</v>
      </c>
      <c r="B54" s="16">
        <f>EXP(-B53/2)</f>
        <v>9.3069899557080338E-31</v>
      </c>
      <c r="D54" s="1">
        <v>42664</v>
      </c>
      <c r="E54" s="3">
        <v>116.004406</v>
      </c>
      <c r="F54" s="3">
        <v>212.726168</v>
      </c>
      <c r="G54" s="3">
        <f t="shared" si="1"/>
        <v>-0.45764900000000353</v>
      </c>
      <c r="H54" s="3">
        <f t="shared" si="2"/>
        <v>9.9404999999990196E-2</v>
      </c>
      <c r="I54" s="4">
        <f t="shared" si="3"/>
        <v>-0.46333885676838193</v>
      </c>
      <c r="J54" s="4">
        <f t="shared" si="4"/>
        <v>0.10622280293959406</v>
      </c>
      <c r="K54" s="4">
        <f t="shared" si="5"/>
        <v>-0.48596449206349557</v>
      </c>
      <c r="L54" s="4">
        <f t="shared" si="6"/>
        <v>3.3616365079355309E-2</v>
      </c>
      <c r="M54" s="4">
        <f t="shared" si="7"/>
        <v>-3.9373386531687702E-3</v>
      </c>
      <c r="N54" s="4">
        <f t="shared" si="8"/>
        <v>4.6740010266748891E-4</v>
      </c>
      <c r="O54" s="4">
        <f t="shared" si="9"/>
        <v>-4.1933068818298131E-3</v>
      </c>
      <c r="P54" s="4">
        <f t="shared" si="10"/>
        <v>1.5441238560709832E-4</v>
      </c>
      <c r="S54" s="4">
        <v>-1.8228248669107963</v>
      </c>
      <c r="T54" s="4">
        <v>0.91523249285171759</v>
      </c>
      <c r="U54" s="4">
        <f t="shared" si="11"/>
        <v>-0.38573721691178076</v>
      </c>
      <c r="W54" s="4">
        <f t="shared" si="12"/>
        <v>-3.0713193406356862</v>
      </c>
      <c r="X54" s="4">
        <f t="shared" si="13"/>
        <v>-0.61430302086021515</v>
      </c>
      <c r="Y54" s="3">
        <f t="shared" si="0"/>
        <v>455.53052760798073</v>
      </c>
      <c r="AA54" s="3"/>
      <c r="AH54" s="3">
        <f t="shared" si="33"/>
        <v>65.5</v>
      </c>
      <c r="AI54" s="4">
        <f t="shared" si="23"/>
        <v>9.091101246062161E-2</v>
      </c>
      <c r="AJ54" s="4">
        <f t="shared" si="24"/>
        <v>4.1705110245717325E-2</v>
      </c>
      <c r="AK54" s="4">
        <f t="shared" si="25"/>
        <v>3.268150803059168E-2</v>
      </c>
      <c r="AL54" s="3">
        <f t="shared" si="30"/>
        <v>227.23664122137404</v>
      </c>
      <c r="AM54" s="4">
        <f t="shared" si="26"/>
        <v>110.35738998305767</v>
      </c>
      <c r="AN54" s="4">
        <f t="shared" si="27"/>
        <v>102.50750153194765</v>
      </c>
      <c r="AO54" s="4">
        <f t="shared" si="28"/>
        <v>7.8273084636616765</v>
      </c>
      <c r="AP54" s="4">
        <f t="shared" si="29"/>
        <v>2.3912523069966554</v>
      </c>
      <c r="AR54" s="3">
        <f t="shared" si="31"/>
        <v>65.5</v>
      </c>
      <c r="AS54" s="4">
        <f t="shared" si="32"/>
        <v>2.3912523069966554</v>
      </c>
    </row>
    <row r="55" spans="1:45" ht="18.75" x14ac:dyDescent="0.3">
      <c r="A55" s="23" t="s">
        <v>84</v>
      </c>
      <c r="D55" s="1">
        <v>42663</v>
      </c>
      <c r="E55" s="3">
        <v>116.46205500000001</v>
      </c>
      <c r="F55" s="3">
        <v>212.62676300000001</v>
      </c>
      <c r="G55" s="3">
        <f t="shared" si="1"/>
        <v>-5.969899999999484E-2</v>
      </c>
      <c r="H55" s="3">
        <f t="shared" si="2"/>
        <v>-0.3976509999999962</v>
      </c>
      <c r="I55" s="4">
        <f t="shared" si="3"/>
        <v>-6.0410258918651288E-2</v>
      </c>
      <c r="J55" s="4">
        <f t="shared" si="4"/>
        <v>-0.42413113500481747</v>
      </c>
      <c r="K55" s="4">
        <f t="shared" si="5"/>
        <v>-8.8014492063486896E-2</v>
      </c>
      <c r="L55" s="4">
        <f t="shared" si="6"/>
        <v>-0.46343963492063112</v>
      </c>
      <c r="M55" s="4">
        <f t="shared" si="7"/>
        <v>-5.1247339085745041E-4</v>
      </c>
      <c r="N55" s="4">
        <f t="shared" si="8"/>
        <v>-1.8684365845657192E-3</v>
      </c>
      <c r="O55" s="4">
        <f t="shared" si="9"/>
        <v>-7.6844161951849306E-4</v>
      </c>
      <c r="P55" s="4">
        <f t="shared" si="10"/>
        <v>-2.1814243016261099E-3</v>
      </c>
      <c r="S55" s="4">
        <v>0.11517567694055461</v>
      </c>
      <c r="T55" s="4">
        <v>-0.1748787696486731</v>
      </c>
      <c r="U55" s="4">
        <f t="shared" si="11"/>
        <v>-6.8411342536746272E-2</v>
      </c>
      <c r="W55" s="4">
        <f t="shared" si="12"/>
        <v>0.22416674832250669</v>
      </c>
      <c r="X55" s="4">
        <f t="shared" si="13"/>
        <v>-5.4827113781278164E-2</v>
      </c>
      <c r="Y55" s="3">
        <f t="shared" si="0"/>
        <v>-41.27576188404646</v>
      </c>
      <c r="AA55" s="3"/>
      <c r="AH55" s="3">
        <f t="shared" si="33"/>
        <v>66</v>
      </c>
      <c r="AI55" s="4">
        <f t="shared" si="23"/>
        <v>9.9583096015227079E-2</v>
      </c>
      <c r="AJ55" s="4">
        <f t="shared" si="24"/>
        <v>4.6003209292329816E-2</v>
      </c>
      <c r="AK55" s="4">
        <f t="shared" si="25"/>
        <v>3.5736248942828917E-2</v>
      </c>
      <c r="AL55" s="3">
        <f t="shared" si="30"/>
        <v>225.5151515151515</v>
      </c>
      <c r="AM55" s="4">
        <f t="shared" si="26"/>
        <v>108.67209941988618</v>
      </c>
      <c r="AN55" s="4">
        <f t="shared" si="27"/>
        <v>100.82701031369518</v>
      </c>
      <c r="AO55" s="4">
        <f t="shared" si="28"/>
        <v>7.820798884455181</v>
      </c>
      <c r="AP55" s="4">
        <f t="shared" si="29"/>
        <v>2.5569980640935914</v>
      </c>
      <c r="AR55" s="3">
        <f t="shared" si="31"/>
        <v>66</v>
      </c>
      <c r="AS55" s="4">
        <f t="shared" si="32"/>
        <v>2.5569980640935914</v>
      </c>
    </row>
    <row r="56" spans="1:45" x14ac:dyDescent="0.25">
      <c r="D56" s="1">
        <v>42662</v>
      </c>
      <c r="E56" s="3">
        <v>116.521754</v>
      </c>
      <c r="F56" s="3">
        <v>213.02441400000001</v>
      </c>
      <c r="G56" s="3">
        <f t="shared" si="1"/>
        <v>-0.34821099999999205</v>
      </c>
      <c r="H56" s="3">
        <f t="shared" si="2"/>
        <v>0.56665300000000229</v>
      </c>
      <c r="I56" s="4">
        <f t="shared" si="3"/>
        <v>-0.35130976896282179</v>
      </c>
      <c r="J56" s="4">
        <f t="shared" si="4"/>
        <v>0.60599919480734576</v>
      </c>
      <c r="K56" s="4">
        <f t="shared" si="5"/>
        <v>-0.3765264920634841</v>
      </c>
      <c r="L56" s="4">
        <f t="shared" si="6"/>
        <v>0.50086436507936738</v>
      </c>
      <c r="M56" s="4">
        <f t="shared" si="7"/>
        <v>-2.98392127928334E-3</v>
      </c>
      <c r="N56" s="4">
        <f t="shared" si="8"/>
        <v>2.6635820173568003E-3</v>
      </c>
      <c r="O56" s="4">
        <f t="shared" si="9"/>
        <v>-3.2398895079443824E-3</v>
      </c>
      <c r="P56" s="4">
        <f t="shared" si="10"/>
        <v>2.3505943002964098E-3</v>
      </c>
      <c r="S56" s="4">
        <v>-0.32401297888368985</v>
      </c>
      <c r="T56" s="4">
        <v>-1.5819854201050745</v>
      </c>
      <c r="U56" s="4">
        <f t="shared" si="11"/>
        <v>-1.4515527578538407</v>
      </c>
      <c r="W56" s="4">
        <f t="shared" si="12"/>
        <v>-0.5226545620682399</v>
      </c>
      <c r="X56" s="4">
        <f t="shared" si="13"/>
        <v>-2.4934378935578212</v>
      </c>
      <c r="Y56" s="3">
        <f t="shared" si="0"/>
        <v>-164.87995873248701</v>
      </c>
      <c r="AA56" s="3"/>
      <c r="AH56" s="3">
        <f t="shared" si="33"/>
        <v>66.5</v>
      </c>
      <c r="AI56" s="4">
        <f t="shared" si="23"/>
        <v>0.10892414920402294</v>
      </c>
      <c r="AJ56" s="4">
        <f t="shared" si="24"/>
        <v>5.0667165569572847E-2</v>
      </c>
      <c r="AK56" s="4">
        <f t="shared" si="25"/>
        <v>3.9017476968109067E-2</v>
      </c>
      <c r="AL56" s="3">
        <f t="shared" si="30"/>
        <v>223.81954887218046</v>
      </c>
      <c r="AM56" s="4">
        <f t="shared" si="26"/>
        <v>107.01252284886613</v>
      </c>
      <c r="AN56" s="4">
        <f t="shared" si="27"/>
        <v>99.172559850346303</v>
      </c>
      <c r="AO56" s="4">
        <f t="shared" si="28"/>
        <v>7.8138711941967758</v>
      </c>
      <c r="AP56" s="4">
        <f t="shared" si="29"/>
        <v>2.7299553159006602</v>
      </c>
      <c r="AR56" s="3">
        <f t="shared" si="31"/>
        <v>66.5</v>
      </c>
      <c r="AS56" s="4">
        <f t="shared" si="32"/>
        <v>2.7299553159006602</v>
      </c>
    </row>
    <row r="57" spans="1:45" ht="18.75" x14ac:dyDescent="0.3">
      <c r="A57" s="28" t="s">
        <v>85</v>
      </c>
      <c r="D57" s="1">
        <v>42661</v>
      </c>
      <c r="E57" s="3">
        <v>116.86996499999999</v>
      </c>
      <c r="F57" s="3">
        <v>212.457761</v>
      </c>
      <c r="G57" s="3">
        <f t="shared" si="1"/>
        <v>-7.9593000000002689E-2</v>
      </c>
      <c r="H57" s="3">
        <f t="shared" si="2"/>
        <v>1.3222080000000176</v>
      </c>
      <c r="I57" s="4">
        <f t="shared" si="3"/>
        <v>-8.0246655984559739E-2</v>
      </c>
      <c r="J57" s="4">
        <f t="shared" si="4"/>
        <v>1.422872105937838</v>
      </c>
      <c r="K57" s="4">
        <f t="shared" si="5"/>
        <v>-0.10790849206349475</v>
      </c>
      <c r="L57" s="4">
        <f t="shared" si="6"/>
        <v>1.2564193650793827</v>
      </c>
      <c r="M57" s="4">
        <f t="shared" si="7"/>
        <v>-6.8080716317491137E-4</v>
      </c>
      <c r="N57" s="4">
        <f t="shared" si="8"/>
        <v>6.2428383569890309E-3</v>
      </c>
      <c r="O57" s="4">
        <f t="shared" si="9"/>
        <v>-9.3677539183595403E-4</v>
      </c>
      <c r="P57" s="4">
        <f t="shared" si="10"/>
        <v>5.92985063992864E-3</v>
      </c>
      <c r="S57" s="4">
        <v>-1.1076734028214512</v>
      </c>
      <c r="T57" s="4">
        <v>0.32560822987175581</v>
      </c>
      <c r="U57" s="4">
        <f t="shared" si="11"/>
        <v>-0.417155375485876</v>
      </c>
      <c r="W57" s="4">
        <f t="shared" si="12"/>
        <v>-1.8552352126503791</v>
      </c>
      <c r="X57" s="4">
        <f t="shared" si="13"/>
        <v>-0.6696962433688135</v>
      </c>
      <c r="Y57" s="3">
        <f t="shared" si="0"/>
        <v>239.3190643879152</v>
      </c>
      <c r="AA57" s="3"/>
      <c r="AH57" s="3">
        <f t="shared" si="33"/>
        <v>67</v>
      </c>
      <c r="AI57" s="4">
        <f t="shared" si="23"/>
        <v>0.11897203620273622</v>
      </c>
      <c r="AJ57" s="4">
        <f t="shared" si="24"/>
        <v>5.5720864881035115E-2</v>
      </c>
      <c r="AK57" s="4">
        <f t="shared" si="25"/>
        <v>4.253689361856413E-2</v>
      </c>
      <c r="AL57" s="3">
        <f t="shared" si="30"/>
        <v>222.14925373134329</v>
      </c>
      <c r="AM57" s="4">
        <f t="shared" si="26"/>
        <v>105.37811120128937</v>
      </c>
      <c r="AN57" s="4">
        <f t="shared" si="27"/>
        <v>97.543615674374863</v>
      </c>
      <c r="AO57" s="4">
        <f t="shared" si="28"/>
        <v>7.8065086738154994</v>
      </c>
      <c r="AP57" s="4">
        <f t="shared" si="29"/>
        <v>2.9101328655698393</v>
      </c>
      <c r="AR57" s="3">
        <f t="shared" si="31"/>
        <v>67</v>
      </c>
      <c r="AS57" s="4">
        <f t="shared" si="32"/>
        <v>2.9101328655698393</v>
      </c>
    </row>
    <row r="58" spans="1:45" x14ac:dyDescent="0.25">
      <c r="A58" s="16" t="s">
        <v>42</v>
      </c>
      <c r="B58" s="16"/>
      <c r="D58" s="1">
        <v>42660</v>
      </c>
      <c r="E58" s="3">
        <v>116.949558</v>
      </c>
      <c r="F58" s="3">
        <v>211.13555299999999</v>
      </c>
      <c r="G58" s="3">
        <f t="shared" si="1"/>
        <v>-7.9585000000008677E-2</v>
      </c>
      <c r="H58" s="3">
        <f t="shared" si="2"/>
        <v>-0.73565400000001091</v>
      </c>
      <c r="I58" s="4">
        <f t="shared" si="3"/>
        <v>-8.0184024489874481E-2</v>
      </c>
      <c r="J58" s="4">
        <f t="shared" si="4"/>
        <v>-0.78891300453855662</v>
      </c>
      <c r="K58" s="4">
        <f t="shared" si="5"/>
        <v>-0.10790049206350073</v>
      </c>
      <c r="L58" s="4">
        <f t="shared" si="6"/>
        <v>-0.80144263492064582</v>
      </c>
      <c r="M58" s="4">
        <f t="shared" si="7"/>
        <v>-6.8027562106319874E-4</v>
      </c>
      <c r="N58" s="4">
        <f t="shared" si="8"/>
        <v>-3.4782174245228522E-3</v>
      </c>
      <c r="O58" s="4">
        <f t="shared" si="9"/>
        <v>-9.3624384972424129E-4</v>
      </c>
      <c r="P58" s="4">
        <f t="shared" si="10"/>
        <v>-3.7912051415832427E-3</v>
      </c>
      <c r="S58" s="4">
        <v>0.95011024817720302</v>
      </c>
      <c r="T58" s="4">
        <v>-0.3614246738808306</v>
      </c>
      <c r="U58" s="4">
        <f t="shared" si="11"/>
        <v>0.29270995157597063</v>
      </c>
      <c r="W58" s="4">
        <f t="shared" si="12"/>
        <v>1.64393686832083</v>
      </c>
      <c r="X58" s="4">
        <f t="shared" si="13"/>
        <v>0.581864312617978</v>
      </c>
      <c r="Y58" s="3">
        <f t="shared" si="0"/>
        <v>-198.33180391548694</v>
      </c>
      <c r="AA58" s="3"/>
      <c r="AH58" s="3">
        <f t="shared" si="33"/>
        <v>67.5</v>
      </c>
      <c r="AI58" s="4">
        <f t="shared" si="23"/>
        <v>0.12976578424161533</v>
      </c>
      <c r="AJ58" s="4">
        <f t="shared" si="24"/>
        <v>6.118918220581071E-2</v>
      </c>
      <c r="AK58" s="4">
        <f t="shared" si="25"/>
        <v>4.6306443507111161E-2</v>
      </c>
      <c r="AL58" s="3">
        <f t="shared" si="30"/>
        <v>220.50370370370371</v>
      </c>
      <c r="AM58" s="4">
        <f t="shared" si="26"/>
        <v>103.76833298752531</v>
      </c>
      <c r="AN58" s="4">
        <f t="shared" si="27"/>
        <v>95.93966104496505</v>
      </c>
      <c r="AO58" s="4">
        <f t="shared" si="28"/>
        <v>7.798694574862445</v>
      </c>
      <c r="AP58" s="4">
        <f t="shared" si="29"/>
        <v>3.0975183777562378</v>
      </c>
      <c r="AR58" s="3">
        <f t="shared" si="31"/>
        <v>67.5</v>
      </c>
      <c r="AS58" s="4">
        <f t="shared" si="32"/>
        <v>3.0975183777562378</v>
      </c>
    </row>
    <row r="59" spans="1:45" x14ac:dyDescent="0.25">
      <c r="A59" s="16" t="s">
        <v>43</v>
      </c>
      <c r="B59" s="11">
        <f>400*400*B16*B14^2+100^2*C17+B17*2*B14*100*400</f>
        <v>46763.10891058058</v>
      </c>
      <c r="D59" s="1">
        <v>42657</v>
      </c>
      <c r="E59" s="3">
        <v>117.029143</v>
      </c>
      <c r="F59" s="3">
        <v>211.871207</v>
      </c>
      <c r="G59" s="3">
        <f t="shared" si="1"/>
        <v>0.64667300000000694</v>
      </c>
      <c r="H59" s="3">
        <f t="shared" si="2"/>
        <v>0.10935599999999113</v>
      </c>
      <c r="I59" s="4">
        <f t="shared" si="3"/>
        <v>0.65516066136672313</v>
      </c>
      <c r="J59" s="4">
        <f t="shared" si="4"/>
        <v>0.11733358680119386</v>
      </c>
      <c r="K59" s="4">
        <f t="shared" si="5"/>
        <v>0.61835750793651489</v>
      </c>
      <c r="L59" s="4">
        <f t="shared" si="6"/>
        <v>4.3567365079356241E-2</v>
      </c>
      <c r="M59" s="4">
        <f t="shared" si="7"/>
        <v>5.5410666699651613E-3</v>
      </c>
      <c r="N59" s="4">
        <f t="shared" si="8"/>
        <v>5.1627700135234694E-4</v>
      </c>
      <c r="O59" s="4">
        <f t="shared" si="9"/>
        <v>5.2850984413041185E-3</v>
      </c>
      <c r="P59" s="4">
        <f t="shared" si="10"/>
        <v>2.0328928429195635E-4</v>
      </c>
      <c r="S59" s="4">
        <v>0.31471576987035643</v>
      </c>
      <c r="T59" s="4">
        <v>1.2137923773945449</v>
      </c>
      <c r="U59" s="4">
        <f t="shared" si="11"/>
        <v>1.1540212854155745</v>
      </c>
      <c r="W59" s="4">
        <f t="shared" si="12"/>
        <v>0.56347604445551391</v>
      </c>
      <c r="X59" s="4">
        <f t="shared" si="13"/>
        <v>2.1004386826605659</v>
      </c>
      <c r="Y59" s="3">
        <f t="shared" si="0"/>
        <v>120.56494412865504</v>
      </c>
      <c r="AA59" s="3"/>
      <c r="AH59" s="3">
        <f t="shared" si="33"/>
        <v>68</v>
      </c>
      <c r="AI59" s="4">
        <f t="shared" si="23"/>
        <v>0.14134556314731994</v>
      </c>
      <c r="AJ59" s="4">
        <f t="shared" si="24"/>
        <v>6.7097986255324593E-2</v>
      </c>
      <c r="AK59" s="4">
        <f t="shared" si="25"/>
        <v>5.0338297779494792E-2</v>
      </c>
      <c r="AL59" s="3">
        <f t="shared" si="30"/>
        <v>218.88235294117646</v>
      </c>
      <c r="AM59" s="4">
        <f t="shared" si="26"/>
        <v>102.18267367404286</v>
      </c>
      <c r="AN59" s="4">
        <f t="shared" si="27"/>
        <v>94.36019629754945</v>
      </c>
      <c r="AO59" s="4">
        <f t="shared" si="28"/>
        <v>7.7904121559752468</v>
      </c>
      <c r="AP59" s="4">
        <f t="shared" si="29"/>
        <v>3.2920777481389147</v>
      </c>
      <c r="AR59" s="3">
        <f t="shared" si="31"/>
        <v>68</v>
      </c>
      <c r="AS59" s="4">
        <f t="shared" si="32"/>
        <v>3.2920777481389147</v>
      </c>
    </row>
    <row r="60" spans="1:45" x14ac:dyDescent="0.25">
      <c r="A60" s="16" t="s">
        <v>44</v>
      </c>
      <c r="B60" s="11">
        <f>SQRT(B59)</f>
        <v>216.24779515773238</v>
      </c>
      <c r="D60" s="1">
        <v>42656</v>
      </c>
      <c r="E60" s="3">
        <v>116.38247</v>
      </c>
      <c r="F60" s="3">
        <v>211.76185100000001</v>
      </c>
      <c r="G60" s="3">
        <f t="shared" si="1"/>
        <v>-0.35815399999999897</v>
      </c>
      <c r="H60" s="3">
        <f t="shared" si="2"/>
        <v>-0.69590999999999781</v>
      </c>
      <c r="I60" s="4">
        <f t="shared" si="3"/>
        <v>-0.36174159539027206</v>
      </c>
      <c r="J60" s="4">
        <f t="shared" si="4"/>
        <v>-0.74423130144617067</v>
      </c>
      <c r="K60" s="4">
        <f t="shared" si="5"/>
        <v>-0.38646949206349102</v>
      </c>
      <c r="L60" s="4">
        <f t="shared" si="6"/>
        <v>-0.76169863492063272</v>
      </c>
      <c r="M60" s="4">
        <f t="shared" si="7"/>
        <v>-3.0726623916994167E-3</v>
      </c>
      <c r="N60" s="4">
        <f t="shared" si="8"/>
        <v>-3.2808979338185434E-3</v>
      </c>
      <c r="O60" s="4">
        <f t="shared" si="9"/>
        <v>-3.3286306203604591E-3</v>
      </c>
      <c r="P60" s="4">
        <f t="shared" si="10"/>
        <v>-3.5938856508789339E-3</v>
      </c>
      <c r="S60" s="4">
        <v>1.1204695072794737</v>
      </c>
      <c r="T60" s="4">
        <v>0.55433928558356893</v>
      </c>
      <c r="U60" s="4">
        <f t="shared" si="11"/>
        <v>1.1224835388555801</v>
      </c>
      <c r="W60" s="4">
        <f t="shared" si="12"/>
        <v>1.9336254188622375</v>
      </c>
      <c r="X60" s="4">
        <f t="shared" si="13"/>
        <v>2.0448346150797896</v>
      </c>
      <c r="Y60" s="3">
        <f t="shared" si="0"/>
        <v>-95.818351017749592</v>
      </c>
      <c r="AA60" s="3"/>
      <c r="AH60" s="3">
        <f t="shared" si="33"/>
        <v>68.5</v>
      </c>
      <c r="AI60" s="4">
        <f t="shared" si="23"/>
        <v>0.15375266187302827</v>
      </c>
      <c r="AJ60" s="4">
        <f t="shared" si="24"/>
        <v>7.3474141977321272E-2</v>
      </c>
      <c r="AK60" s="4">
        <f t="shared" si="25"/>
        <v>5.4644836464893563E-2</v>
      </c>
      <c r="AL60" s="3">
        <f t="shared" si="30"/>
        <v>217.28467153284672</v>
      </c>
      <c r="AM60" s="4">
        <f t="shared" si="26"/>
        <v>100.62063508572373</v>
      </c>
      <c r="AN60" s="4">
        <f t="shared" si="27"/>
        <v>92.804738217743591</v>
      </c>
      <c r="AO60" s="4">
        <f t="shared" si="28"/>
        <v>7.7816447199031327</v>
      </c>
      <c r="AP60" s="4">
        <f t="shared" si="29"/>
        <v>3.4937545564901877</v>
      </c>
      <c r="AR60" s="3">
        <f t="shared" si="31"/>
        <v>68.5</v>
      </c>
      <c r="AS60" s="4">
        <f t="shared" si="32"/>
        <v>3.4937545564901877</v>
      </c>
    </row>
    <row r="61" spans="1:45" x14ac:dyDescent="0.25">
      <c r="A61" s="16" t="s">
        <v>45</v>
      </c>
      <c r="B61" s="11">
        <f>400*B14*B20+100*C20</f>
        <v>2.041295004677389</v>
      </c>
      <c r="D61" s="1">
        <v>42655</v>
      </c>
      <c r="E61" s="3">
        <v>116.740624</v>
      </c>
      <c r="F61" s="3">
        <v>212.457761</v>
      </c>
      <c r="G61" s="3">
        <f t="shared" si="1"/>
        <v>1.034680999999992</v>
      </c>
      <c r="H61" s="3">
        <f t="shared" si="2"/>
        <v>0.27837300000001619</v>
      </c>
      <c r="I61" s="4">
        <f t="shared" si="3"/>
        <v>1.0543904460354561</v>
      </c>
      <c r="J61" s="4">
        <f t="shared" si="4"/>
        <v>0.29809272179922908</v>
      </c>
      <c r="K61" s="4">
        <f t="shared" si="5"/>
        <v>1.0063655079364999</v>
      </c>
      <c r="L61" s="4">
        <f t="shared" si="6"/>
        <v>0.2125843650793813</v>
      </c>
      <c r="M61" s="4">
        <f t="shared" si="7"/>
        <v>8.902586491785618E-3</v>
      </c>
      <c r="N61" s="4">
        <f t="shared" si="8"/>
        <v>1.3111101585564701E-3</v>
      </c>
      <c r="O61" s="4">
        <f t="shared" si="9"/>
        <v>8.646618263124576E-3</v>
      </c>
      <c r="P61" s="4">
        <f t="shared" si="10"/>
        <v>9.9812244149607944E-4</v>
      </c>
      <c r="S61" s="4">
        <v>-0.10302764249188734</v>
      </c>
      <c r="T61" s="4">
        <v>-0.87818985920411596</v>
      </c>
      <c r="U61" s="4">
        <f t="shared" si="11"/>
        <v>-0.75894204210560579</v>
      </c>
      <c r="W61" s="4">
        <f t="shared" si="12"/>
        <v>-0.14687855712673109</v>
      </c>
      <c r="X61" s="4">
        <f t="shared" si="13"/>
        <v>-1.2722988698050139</v>
      </c>
      <c r="Y61" s="3">
        <f t="shared" si="0"/>
        <v>-103.63672242230859</v>
      </c>
      <c r="AA61" s="3"/>
      <c r="AH61" s="3">
        <f t="shared" si="33"/>
        <v>69</v>
      </c>
      <c r="AI61" s="4">
        <f t="shared" si="23"/>
        <v>0.16702946206229186</v>
      </c>
      <c r="AJ61" s="4">
        <f t="shared" si="24"/>
        <v>8.0345510964279443E-2</v>
      </c>
      <c r="AK61" s="4">
        <f t="shared" si="25"/>
        <v>5.9238629795499008E-2</v>
      </c>
      <c r="AL61" s="3">
        <f t="shared" si="30"/>
        <v>215.71014492753622</v>
      </c>
      <c r="AM61" s="4">
        <f t="shared" si="26"/>
        <v>99.081734832076009</v>
      </c>
      <c r="AN61" s="4">
        <f t="shared" si="27"/>
        <v>91.272819438384161</v>
      </c>
      <c r="AO61" s="4">
        <f t="shared" si="28"/>
        <v>7.772375650953137</v>
      </c>
      <c r="AP61" s="4">
        <f t="shared" si="29"/>
        <v>3.7024696065807436</v>
      </c>
      <c r="AR61" s="3">
        <f t="shared" si="31"/>
        <v>69</v>
      </c>
      <c r="AS61" s="4">
        <f t="shared" si="32"/>
        <v>3.7024696065807436</v>
      </c>
    </row>
    <row r="62" spans="1:45" x14ac:dyDescent="0.25">
      <c r="A62" s="16" t="s">
        <v>46</v>
      </c>
      <c r="B62" s="12">
        <f>NORMSINV(0.99)</f>
        <v>2.3263478740408408</v>
      </c>
      <c r="D62" s="1">
        <v>42654</v>
      </c>
      <c r="E62" s="3">
        <v>115.705943</v>
      </c>
      <c r="F62" s="3">
        <v>212.17938799999999</v>
      </c>
      <c r="G62" s="3">
        <f t="shared" si="1"/>
        <v>0.24872299999999825</v>
      </c>
      <c r="H62" s="3">
        <f t="shared" si="2"/>
        <v>-2.7140140000000201</v>
      </c>
      <c r="I62" s="4">
        <f t="shared" si="3"/>
        <v>0.25400689471729698</v>
      </c>
      <c r="J62" s="4">
        <f t="shared" si="4"/>
        <v>-2.8695675818753266</v>
      </c>
      <c r="K62" s="4">
        <f t="shared" si="5"/>
        <v>0.22040750793650621</v>
      </c>
      <c r="L62" s="4">
        <f t="shared" si="6"/>
        <v>-2.7798026349206548</v>
      </c>
      <c r="M62" s="4">
        <f t="shared" si="7"/>
        <v>2.1519267408706684E-3</v>
      </c>
      <c r="N62" s="4">
        <f t="shared" si="8"/>
        <v>-1.2710013841248558E-2</v>
      </c>
      <c r="O62" s="4">
        <f t="shared" si="9"/>
        <v>1.8959585122096257E-3</v>
      </c>
      <c r="P62" s="4">
        <f t="shared" si="10"/>
        <v>-1.3023001558308949E-2</v>
      </c>
      <c r="S62" s="4">
        <v>-0.82432852449382998</v>
      </c>
      <c r="T62" s="4">
        <v>0.44829256104845516</v>
      </c>
      <c r="U62" s="4">
        <f t="shared" si="11"/>
        <v>-0.14717112553529865</v>
      </c>
      <c r="W62" s="4">
        <f t="shared" si="12"/>
        <v>-1.3734195042550728</v>
      </c>
      <c r="X62" s="4">
        <f t="shared" si="13"/>
        <v>-0.19368815409587178</v>
      </c>
      <c r="Y62" s="3">
        <f t="shared" si="0"/>
        <v>205.63481377156131</v>
      </c>
      <c r="AA62" s="3"/>
      <c r="AH62" s="3">
        <f t="shared" si="33"/>
        <v>69.5</v>
      </c>
      <c r="AI62" s="4">
        <f t="shared" si="23"/>
        <v>0.18121940870362607</v>
      </c>
      <c r="AJ62" s="4">
        <f t="shared" si="24"/>
        <v>8.7740949731273776E-2</v>
      </c>
      <c r="AK62" s="4">
        <f t="shared" si="25"/>
        <v>6.4132418550236409E-2</v>
      </c>
      <c r="AL62" s="3">
        <f t="shared" si="30"/>
        <v>214.15827338129498</v>
      </c>
      <c r="AM62" s="4">
        <f t="shared" si="26"/>
        <v>97.565505756043805</v>
      </c>
      <c r="AN62" s="4">
        <f t="shared" si="27"/>
        <v>89.763987858469775</v>
      </c>
      <c r="AO62" s="4">
        <f t="shared" si="28"/>
        <v>7.762588452717055</v>
      </c>
      <c r="AP62" s="4">
        <f t="shared" si="29"/>
        <v>3.9181205559128172</v>
      </c>
      <c r="AR62" s="3">
        <f t="shared" si="31"/>
        <v>69.5</v>
      </c>
      <c r="AS62" s="4">
        <f t="shared" si="32"/>
        <v>3.9181205559128172</v>
      </c>
    </row>
    <row r="63" spans="1:45" x14ac:dyDescent="0.25">
      <c r="A63" s="16" t="s">
        <v>47</v>
      </c>
      <c r="B63" s="11">
        <f>B61-B62*B60</f>
        <v>-501.02630352653256</v>
      </c>
      <c r="D63" s="1">
        <v>42653</v>
      </c>
      <c r="E63" s="3">
        <v>115.45722000000001</v>
      </c>
      <c r="F63" s="3">
        <v>214.89340200000001</v>
      </c>
      <c r="G63" s="3">
        <f t="shared" si="1"/>
        <v>1.9798410000000075</v>
      </c>
      <c r="H63" s="3">
        <f t="shared" si="2"/>
        <v>1.1134470000000078</v>
      </c>
      <c r="I63" s="4">
        <f t="shared" si="3"/>
        <v>2.0571770540220609</v>
      </c>
      <c r="J63" s="4">
        <f t="shared" si="4"/>
        <v>1.1833957990314423</v>
      </c>
      <c r="K63" s="4">
        <f t="shared" si="5"/>
        <v>1.9515255079365155</v>
      </c>
      <c r="L63" s="4">
        <f t="shared" si="6"/>
        <v>1.0476583650793729</v>
      </c>
      <c r="M63" s="4">
        <f t="shared" si="7"/>
        <v>1.7296558647259288E-2</v>
      </c>
      <c r="N63" s="4">
        <f t="shared" si="8"/>
        <v>5.1948621757271409E-3</v>
      </c>
      <c r="O63" s="4">
        <f t="shared" si="9"/>
        <v>1.7040590418598244E-2</v>
      </c>
      <c r="P63" s="4">
        <f t="shared" si="10"/>
        <v>4.88187445866675E-3</v>
      </c>
      <c r="S63" s="4">
        <v>-0.30969144005013793</v>
      </c>
      <c r="T63" s="4">
        <v>-0.24785212995812664</v>
      </c>
      <c r="U63" s="4">
        <f t="shared" si="11"/>
        <v>-0.38526521693953369</v>
      </c>
      <c r="W63" s="4">
        <f t="shared" si="12"/>
        <v>-0.49830140481646101</v>
      </c>
      <c r="X63" s="4">
        <f t="shared" si="13"/>
        <v>-0.61347083970532434</v>
      </c>
      <c r="Y63" s="3">
        <f t="shared" si="0"/>
        <v>19.14959660069735</v>
      </c>
      <c r="AA63" s="3"/>
      <c r="AH63" s="3">
        <f t="shared" si="33"/>
        <v>70</v>
      </c>
      <c r="AI63" s="4">
        <f t="shared" si="23"/>
        <v>0.19636697794389812</v>
      </c>
      <c r="AJ63" s="4">
        <f t="shared" si="24"/>
        <v>9.5690305836038769E-2</v>
      </c>
      <c r="AK63" s="4">
        <f t="shared" si="25"/>
        <v>6.933909348222414E-2</v>
      </c>
      <c r="AL63" s="3">
        <f t="shared" si="30"/>
        <v>212.62857142857143</v>
      </c>
      <c r="AM63" s="4">
        <f t="shared" si="26"/>
        <v>96.071495404188354</v>
      </c>
      <c r="AN63" s="4">
        <f t="shared" si="27"/>
        <v>88.277806082885391</v>
      </c>
      <c r="AO63" s="4">
        <f t="shared" si="28"/>
        <v>7.7522667859385379</v>
      </c>
      <c r="AP63" s="4">
        <f t="shared" si="29"/>
        <v>4.1405816378263145</v>
      </c>
      <c r="AR63" s="3">
        <f t="shared" si="31"/>
        <v>70</v>
      </c>
      <c r="AS63" s="4">
        <f t="shared" si="32"/>
        <v>4.1405816378263145</v>
      </c>
    </row>
    <row r="64" spans="1:45" x14ac:dyDescent="0.25">
      <c r="A64" s="2"/>
      <c r="B64" s="6"/>
      <c r="D64" s="1">
        <v>42650</v>
      </c>
      <c r="E64" s="3">
        <v>113.477379</v>
      </c>
      <c r="F64" s="3">
        <v>213.779955</v>
      </c>
      <c r="G64" s="3">
        <f t="shared" si="1"/>
        <v>0.16912999999999556</v>
      </c>
      <c r="H64" s="3">
        <f t="shared" si="2"/>
        <v>-0.73566900000000146</v>
      </c>
      <c r="I64" s="4">
        <f t="shared" si="3"/>
        <v>0.17599882755684873</v>
      </c>
      <c r="J64" s="4">
        <f t="shared" si="4"/>
        <v>-0.77920365669814018</v>
      </c>
      <c r="K64" s="4">
        <f t="shared" si="5"/>
        <v>0.14081450793650352</v>
      </c>
      <c r="L64" s="4">
        <f t="shared" si="6"/>
        <v>-0.80145763492063637</v>
      </c>
      <c r="M64" s="4">
        <f t="shared" si="7"/>
        <v>1.4915410014888861E-3</v>
      </c>
      <c r="N64" s="4">
        <f t="shared" si="8"/>
        <v>-3.435336527262866E-3</v>
      </c>
      <c r="O64" s="4">
        <f t="shared" si="9"/>
        <v>1.2355727728278435E-3</v>
      </c>
      <c r="P64" s="4">
        <f t="shared" si="10"/>
        <v>-3.7483242443232564E-3</v>
      </c>
      <c r="S64" s="4">
        <v>-1.4844408033794854</v>
      </c>
      <c r="T64" s="4">
        <v>-1.1074649545581958</v>
      </c>
      <c r="U64" s="4">
        <f t="shared" si="11"/>
        <v>-1.7828268650991657</v>
      </c>
      <c r="W64" s="4">
        <f t="shared" si="12"/>
        <v>-2.4959118787386507</v>
      </c>
      <c r="X64" s="4">
        <f t="shared" si="13"/>
        <v>-3.0775058710206284</v>
      </c>
      <c r="Y64" s="3">
        <f t="shared" si="0"/>
        <v>108.53846225558118</v>
      </c>
      <c r="AA64" s="3"/>
      <c r="AH64" s="3">
        <f t="shared" si="33"/>
        <v>70.5</v>
      </c>
      <c r="AI64" s="4">
        <f t="shared" si="23"/>
        <v>0.21251764213903757</v>
      </c>
      <c r="AJ64" s="4">
        <f t="shared" si="24"/>
        <v>0.10422441182195863</v>
      </c>
      <c r="AK64" s="4">
        <f t="shared" si="25"/>
        <v>7.487167389363758E-2</v>
      </c>
      <c r="AL64" s="3">
        <f t="shared" si="30"/>
        <v>211.12056737588654</v>
      </c>
      <c r="AM64" s="4">
        <f t="shared" si="26"/>
        <v>94.59926551709556</v>
      </c>
      <c r="AN64" s="4">
        <f t="shared" si="27"/>
        <v>86.81385088187173</v>
      </c>
      <c r="AO64" s="4">
        <f t="shared" si="28"/>
        <v>7.7413945063803364</v>
      </c>
      <c r="AP64" s="4">
        <f t="shared" si="29"/>
        <v>4.3697034775562056</v>
      </c>
      <c r="AR64" s="3">
        <f t="shared" si="31"/>
        <v>70.5</v>
      </c>
      <c r="AS64" s="4">
        <f t="shared" si="32"/>
        <v>4.3697034775562056</v>
      </c>
    </row>
    <row r="65" spans="1:45" x14ac:dyDescent="0.25">
      <c r="A65" s="2"/>
      <c r="B65" s="6"/>
      <c r="D65" s="1">
        <v>42649</v>
      </c>
      <c r="E65" s="3">
        <v>113.308249</v>
      </c>
      <c r="F65" s="3">
        <v>214.515624</v>
      </c>
      <c r="G65" s="3">
        <f t="shared" si="1"/>
        <v>0.83570500000000436</v>
      </c>
      <c r="H65" s="3">
        <f t="shared" si="2"/>
        <v>0.14911499999999478</v>
      </c>
      <c r="I65" s="4">
        <f t="shared" si="3"/>
        <v>0.87610697142958305</v>
      </c>
      <c r="J65" s="4">
        <f t="shared" si="4"/>
        <v>0.15804903644628468</v>
      </c>
      <c r="K65" s="4">
        <f t="shared" si="5"/>
        <v>0.80738950793651232</v>
      </c>
      <c r="L65" s="4">
        <f t="shared" si="6"/>
        <v>8.3326365079359893E-2</v>
      </c>
      <c r="M65" s="4">
        <f t="shared" si="7"/>
        <v>7.4028335662557352E-3</v>
      </c>
      <c r="N65" s="4">
        <f t="shared" si="8"/>
        <v>6.9536590375293629E-4</v>
      </c>
      <c r="O65" s="4">
        <f t="shared" si="9"/>
        <v>7.1468653375946923E-3</v>
      </c>
      <c r="P65" s="4">
        <f t="shared" si="10"/>
        <v>3.823781866925457E-4</v>
      </c>
      <c r="S65" s="4">
        <v>-2.1668625630356964</v>
      </c>
      <c r="T65" s="4">
        <v>-3.4204850669044273E-2</v>
      </c>
      <c r="U65" s="4">
        <f t="shared" si="11"/>
        <v>-1.3480816772803468</v>
      </c>
      <c r="W65" s="4">
        <f t="shared" si="12"/>
        <v>-3.6563405601879326</v>
      </c>
      <c r="X65" s="4">
        <f t="shared" si="13"/>
        <v>-2.3110084689976418</v>
      </c>
      <c r="Y65" s="3">
        <f t="shared" si="0"/>
        <v>390.05026677148999</v>
      </c>
      <c r="AA65" s="3"/>
      <c r="AH65" s="3">
        <f t="shared" si="33"/>
        <v>71</v>
      </c>
      <c r="AI65" s="4">
        <f t="shared" si="23"/>
        <v>0.22971783223071807</v>
      </c>
      <c r="AJ65" s="4">
        <f t="shared" si="24"/>
        <v>0.11337507697254212</v>
      </c>
      <c r="AK65" s="4">
        <f t="shared" si="25"/>
        <v>8.0743285425330241E-2</v>
      </c>
      <c r="AL65" s="3">
        <f t="shared" si="30"/>
        <v>209.63380281690141</v>
      </c>
      <c r="AM65" s="4">
        <f t="shared" si="26"/>
        <v>93.148391538933467</v>
      </c>
      <c r="AN65" s="4">
        <f t="shared" si="27"/>
        <v>85.371712669273563</v>
      </c>
      <c r="AO65" s="4">
        <f t="shared" si="28"/>
        <v>7.7299557025529921</v>
      </c>
      <c r="AP65" s="4">
        <f t="shared" si="29"/>
        <v>4.6053130038773054</v>
      </c>
      <c r="AR65" s="3">
        <f t="shared" si="31"/>
        <v>71</v>
      </c>
      <c r="AS65" s="4">
        <f t="shared" si="32"/>
        <v>4.6053130038773054</v>
      </c>
    </row>
    <row r="66" spans="1:45" x14ac:dyDescent="0.25">
      <c r="D66" s="1">
        <v>42648</v>
      </c>
      <c r="E66" s="3">
        <v>112.472544</v>
      </c>
      <c r="F66" s="3">
        <v>214.36650900000001</v>
      </c>
      <c r="G66" s="3">
        <f t="shared" si="1"/>
        <v>4.9747999999993908E-2</v>
      </c>
      <c r="H66" s="3">
        <f t="shared" si="2"/>
        <v>0.94444500000000176</v>
      </c>
      <c r="I66" s="4">
        <f t="shared" si="3"/>
        <v>5.2176134091090225E-2</v>
      </c>
      <c r="J66" s="4">
        <f t="shared" si="4"/>
        <v>1.0054600308856321</v>
      </c>
      <c r="K66" s="4">
        <f t="shared" si="5"/>
        <v>2.1432507936501855E-2</v>
      </c>
      <c r="L66" s="4">
        <f t="shared" si="6"/>
        <v>0.87865636507936684</v>
      </c>
      <c r="M66" s="4">
        <f t="shared" si="7"/>
        <v>4.42410241238565E-4</v>
      </c>
      <c r="N66" s="4">
        <f t="shared" si="8"/>
        <v>4.4154827597333527E-3</v>
      </c>
      <c r="O66" s="4">
        <f t="shared" si="9"/>
        <v>1.864420125775224E-4</v>
      </c>
      <c r="P66" s="4">
        <f t="shared" si="10"/>
        <v>4.1024950426729618E-3</v>
      </c>
      <c r="S66" s="4">
        <v>-1.2259088949226264</v>
      </c>
      <c r="T66" s="4">
        <v>7.1954356162456587E-2</v>
      </c>
      <c r="U66" s="4">
        <f t="shared" si="11"/>
        <v>-0.69030377078620531</v>
      </c>
      <c r="W66" s="4">
        <f t="shared" si="12"/>
        <v>-2.0562895522256497</v>
      </c>
      <c r="X66" s="4">
        <f t="shared" si="13"/>
        <v>-1.1512830239261282</v>
      </c>
      <c r="Y66" s="3">
        <f t="shared" ref="Y66:Y129" si="34">(B$4*EXP(-B$8*B$7)*NORMSDIST((LN(B$4/(B$5+W66))-B$8*B$7+B$9*B$7+0.5*B$6*B$6*B$7)/(B$6*SQRT(B$7)))-(B$5+W66)*EXP(-B$9*B$7)*NORMSDIST((LN(B$4/(B$5+W66))-B$8*B$7+B$9*B$7-0.5*B$6*B$6*B$7)/(B$6*SQRT(B$7))))*400+100*X66-400*$B$13</f>
        <v>225.44414039720505</v>
      </c>
      <c r="AA66" s="3"/>
      <c r="AH66" s="3">
        <f t="shared" si="33"/>
        <v>71.5</v>
      </c>
      <c r="AI66" s="4">
        <f t="shared" si="23"/>
        <v>0.24801489754697625</v>
      </c>
      <c r="AJ66" s="4">
        <f t="shared" si="24"/>
        <v>0.12317507687387375</v>
      </c>
      <c r="AK66" s="4">
        <f t="shared" si="25"/>
        <v>8.6967137131873262E-2</v>
      </c>
      <c r="AL66" s="3">
        <f t="shared" si="30"/>
        <v>208.16783216783216</v>
      </c>
      <c r="AM66" s="4">
        <f t="shared" si="26"/>
        <v>91.718462145154007</v>
      </c>
      <c r="AN66" s="4">
        <f t="shared" si="27"/>
        <v>83.950994998669245</v>
      </c>
      <c r="AO66" s="4">
        <f t="shared" si="28"/>
        <v>7.7179347331683594</v>
      </c>
      <c r="AP66" s="4">
        <f t="shared" si="29"/>
        <v>4.8472134566868403</v>
      </c>
      <c r="AR66" s="3">
        <f t="shared" si="31"/>
        <v>71.5</v>
      </c>
      <c r="AS66" s="4">
        <f t="shared" si="32"/>
        <v>4.8472134566868403</v>
      </c>
    </row>
    <row r="67" spans="1:45" x14ac:dyDescent="0.25">
      <c r="D67" s="1">
        <v>42647</v>
      </c>
      <c r="E67" s="3">
        <v>112.42279600000001</v>
      </c>
      <c r="F67" s="3">
        <v>213.42206400000001</v>
      </c>
      <c r="G67" s="3">
        <f t="shared" ref="G67:G130" si="35">E67-E68</f>
        <v>0.47755100000000539</v>
      </c>
      <c r="H67" s="3">
        <f t="shared" ref="H67:H130" si="36">F67-F68</f>
        <v>-1.0935599999999965</v>
      </c>
      <c r="I67" s="4">
        <f t="shared" ref="I67:I130" si="37">G67/E68*E$2</f>
        <v>0.50299626679279352</v>
      </c>
      <c r="J67" s="4">
        <f t="shared" ref="J67:J130" si="38">H67/F68*F$2</f>
        <v>-1.1582735589223057</v>
      </c>
      <c r="K67" s="4">
        <f t="shared" ref="K67:K130" si="39">G67-B$20</f>
        <v>0.44923550793651335</v>
      </c>
      <c r="L67" s="4">
        <f t="shared" ref="L67:L130" si="40">H67-C$20</f>
        <v>-1.1593486349206314</v>
      </c>
      <c r="M67" s="4">
        <f t="shared" ref="M67:M130" si="41">LN(E67/E68)</f>
        <v>4.256860460229878E-3</v>
      </c>
      <c r="N67" s="4">
        <f t="shared" ref="N67:N130" si="42">LN(F67/F68)</f>
        <v>-5.1108486634862471E-3</v>
      </c>
      <c r="O67" s="4">
        <f t="shared" ref="O67:O130" si="43">M67-AVERAGE(M$2:M$505)</f>
        <v>4.0008922315688351E-3</v>
      </c>
      <c r="P67" s="4">
        <f t="shared" ref="P67:P130" si="44">N67-AVERAGE(N$2:N$505)</f>
        <v>-5.4238363805466381E-3</v>
      </c>
      <c r="S67" s="4">
        <v>-2.2696294947896019</v>
      </c>
      <c r="T67" s="4">
        <v>7.1362657595040971E-2</v>
      </c>
      <c r="U67" s="4">
        <f t="shared" ref="U67:U130" si="45">$B$19*S67+SQRT(1-$B$19^2)*T67</f>
        <v>-1.3270481705379271</v>
      </c>
      <c r="W67" s="4">
        <f t="shared" ref="W67:W130" si="46">S67*SQRT($B$16)+$B$20</f>
        <v>-3.8310912820462892</v>
      </c>
      <c r="X67" s="4">
        <f t="shared" ref="X67:X130" si="47">U67*SQRT($C$17)+$C$20</f>
        <v>-2.2739243822147963</v>
      </c>
      <c r="Y67" s="3">
        <f t="shared" si="34"/>
        <v>425.24242293108637</v>
      </c>
      <c r="AA67" s="3"/>
      <c r="AH67" s="3">
        <f t="shared" si="33"/>
        <v>72</v>
      </c>
      <c r="AI67" s="4">
        <f t="shared" si="23"/>
        <v>0.26745706313376028</v>
      </c>
      <c r="AJ67" s="4">
        <f t="shared" si="24"/>
        <v>0.13365814078938976</v>
      </c>
      <c r="AK67" s="4">
        <f t="shared" si="25"/>
        <v>9.3556497915560005E-2</v>
      </c>
      <c r="AL67" s="3">
        <f t="shared" si="30"/>
        <v>206.72222222222223</v>
      </c>
      <c r="AM67" s="4">
        <f t="shared" si="26"/>
        <v>90.309078787395123</v>
      </c>
      <c r="AN67" s="4">
        <f t="shared" si="27"/>
        <v>82.551314076549332</v>
      </c>
      <c r="AO67" s="4">
        <f t="shared" si="28"/>
        <v>7.7053162641840505</v>
      </c>
      <c r="AP67" s="4">
        <f t="shared" si="29"/>
        <v>5.0951844910871014</v>
      </c>
      <c r="AR67" s="3">
        <f t="shared" si="31"/>
        <v>72</v>
      </c>
      <c r="AS67" s="4">
        <f t="shared" si="32"/>
        <v>5.0951844910871014</v>
      </c>
    </row>
    <row r="68" spans="1:45" x14ac:dyDescent="0.25">
      <c r="D68" s="1">
        <v>42646</v>
      </c>
      <c r="E68" s="3">
        <v>111.945245</v>
      </c>
      <c r="F68" s="3">
        <v>214.515624</v>
      </c>
      <c r="G68" s="3">
        <f t="shared" si="35"/>
        <v>-0.5272989999999993</v>
      </c>
      <c r="H68" s="3">
        <f t="shared" si="36"/>
        <v>-0.51695799999998826</v>
      </c>
      <c r="I68" s="4">
        <f t="shared" si="37"/>
        <v>-0.5527911522939849</v>
      </c>
      <c r="J68" s="4">
        <f t="shared" si="38"/>
        <v>-0.54623364378661154</v>
      </c>
      <c r="K68" s="4">
        <f t="shared" si="39"/>
        <v>-0.55561449206349134</v>
      </c>
      <c r="L68" s="4">
        <f t="shared" si="40"/>
        <v>-0.58274663492062317</v>
      </c>
      <c r="M68" s="4">
        <f t="shared" si="41"/>
        <v>-4.6992707014683627E-3</v>
      </c>
      <c r="N68" s="4">
        <f t="shared" si="42"/>
        <v>-2.4069859557810723E-3</v>
      </c>
      <c r="O68" s="4">
        <f t="shared" si="43"/>
        <v>-4.9552389301294056E-3</v>
      </c>
      <c r="P68" s="4">
        <f t="shared" si="44"/>
        <v>-2.7199736728414628E-3</v>
      </c>
      <c r="S68" s="4">
        <v>-1.8503857558435204</v>
      </c>
      <c r="T68" s="4">
        <v>1.3642257626561334</v>
      </c>
      <c r="U68" s="4">
        <f t="shared" si="45"/>
        <v>-4.6625568208059409E-2</v>
      </c>
      <c r="W68" s="4">
        <f t="shared" si="46"/>
        <v>-3.1181854400107754</v>
      </c>
      <c r="X68" s="4">
        <f t="shared" si="47"/>
        <v>-1.6416707198567929E-2</v>
      </c>
      <c r="Y68" s="3">
        <f t="shared" si="34"/>
        <v>523.59743721090126</v>
      </c>
      <c r="AA68" s="3"/>
      <c r="AH68" s="3">
        <f t="shared" si="33"/>
        <v>72.5</v>
      </c>
      <c r="AI68" s="4">
        <f t="shared" si="23"/>
        <v>0.28809338473233304</v>
      </c>
      <c r="AJ68" s="4">
        <f t="shared" si="24"/>
        <v>0.14485893685900875</v>
      </c>
      <c r="AK68" s="4">
        <f t="shared" si="25"/>
        <v>0.10052467239542892</v>
      </c>
      <c r="AL68" s="3">
        <f t="shared" si="30"/>
        <v>205.29655172413794</v>
      </c>
      <c r="AM68" s="4">
        <f t="shared" si="26"/>
        <v>88.919855254700636</v>
      </c>
      <c r="AN68" s="4">
        <f t="shared" si="27"/>
        <v>81.172298291770389</v>
      </c>
      <c r="AO68" s="4">
        <f t="shared" si="28"/>
        <v>7.6920853053082601</v>
      </c>
      <c r="AP68" s="4">
        <f t="shared" si="29"/>
        <v>5.3489823773413727</v>
      </c>
      <c r="AR68" s="3">
        <f t="shared" si="31"/>
        <v>72.5</v>
      </c>
      <c r="AS68" s="4">
        <f t="shared" si="32"/>
        <v>5.3489823773413727</v>
      </c>
    </row>
    <row r="69" spans="1:45" x14ac:dyDescent="0.25">
      <c r="D69" s="1">
        <v>42643</v>
      </c>
      <c r="E69" s="3">
        <v>112.472544</v>
      </c>
      <c r="F69" s="3">
        <v>215.03258199999999</v>
      </c>
      <c r="G69" s="3">
        <f t="shared" si="35"/>
        <v>0.86555900000000463</v>
      </c>
      <c r="H69" s="3">
        <f t="shared" si="36"/>
        <v>1.6105179999999848</v>
      </c>
      <c r="I69" s="4">
        <f t="shared" si="37"/>
        <v>0.91444155715017794</v>
      </c>
      <c r="J69" s="4">
        <f t="shared" si="38"/>
        <v>1.7145640858089655</v>
      </c>
      <c r="K69" s="4">
        <f t="shared" si="39"/>
        <v>0.83724350793651259</v>
      </c>
      <c r="L69" s="4">
        <f t="shared" si="40"/>
        <v>1.5447293650793499</v>
      </c>
      <c r="M69" s="4">
        <f t="shared" si="41"/>
        <v>7.725500930982742E-3</v>
      </c>
      <c r="N69" s="4">
        <f t="shared" si="42"/>
        <v>7.5178346192672808E-3</v>
      </c>
      <c r="O69" s="4">
        <f t="shared" si="43"/>
        <v>7.4695327023216991E-3</v>
      </c>
      <c r="P69" s="4">
        <f t="shared" si="44"/>
        <v>7.2048469022068899E-3</v>
      </c>
      <c r="S69" s="4">
        <v>1.2420876902010343</v>
      </c>
      <c r="T69" s="4">
        <v>0.92610227002059908</v>
      </c>
      <c r="U69" s="4">
        <f t="shared" si="45"/>
        <v>1.4913182473920594</v>
      </c>
      <c r="W69" s="4">
        <f t="shared" si="46"/>
        <v>2.1404318778459341</v>
      </c>
      <c r="X69" s="4">
        <f t="shared" si="47"/>
        <v>2.6951255298280792</v>
      </c>
      <c r="Y69" s="3">
        <f t="shared" si="34"/>
        <v>-61.789172413768938</v>
      </c>
      <c r="AA69" s="3"/>
      <c r="AH69" s="3">
        <f t="shared" si="33"/>
        <v>73</v>
      </c>
      <c r="AI69" s="4">
        <f t="shared" si="23"/>
        <v>0.30997370152528703</v>
      </c>
      <c r="AJ69" s="4">
        <f t="shared" si="24"/>
        <v>0.15681305514235722</v>
      </c>
      <c r="AK69" s="4">
        <f t="shared" si="25"/>
        <v>0.10788497628941357</v>
      </c>
      <c r="AL69" s="3">
        <f t="shared" si="30"/>
        <v>203.89041095890411</v>
      </c>
      <c r="AM69" s="4">
        <f t="shared" si="26"/>
        <v>87.550417250231604</v>
      </c>
      <c r="AN69" s="4">
        <f t="shared" si="27"/>
        <v>79.81358776056733</v>
      </c>
      <c r="AO69" s="4">
        <f t="shared" si="28"/>
        <v>7.6782272458384071</v>
      </c>
      <c r="AP69" s="4">
        <f t="shared" si="29"/>
        <v>5.6083402959815896</v>
      </c>
      <c r="AR69" s="3">
        <f t="shared" si="31"/>
        <v>73</v>
      </c>
      <c r="AS69" s="4">
        <f t="shared" si="32"/>
        <v>5.6083402959815896</v>
      </c>
    </row>
    <row r="70" spans="1:45" x14ac:dyDescent="0.25">
      <c r="D70" s="1">
        <v>42642</v>
      </c>
      <c r="E70" s="3">
        <v>111.60698499999999</v>
      </c>
      <c r="F70" s="3">
        <v>213.42206400000001</v>
      </c>
      <c r="G70" s="3">
        <f t="shared" si="35"/>
        <v>-1.7609550000000098</v>
      </c>
      <c r="H70" s="3">
        <f t="shared" si="36"/>
        <v>-1.948521999999997</v>
      </c>
      <c r="I70" s="4">
        <f t="shared" si="37"/>
        <v>-1.8315073123302863</v>
      </c>
      <c r="J70" s="4">
        <f t="shared" si="38"/>
        <v>-2.0556367769721966</v>
      </c>
      <c r="K70" s="4">
        <f t="shared" si="39"/>
        <v>-1.7892704920635019</v>
      </c>
      <c r="L70" s="4">
        <f t="shared" si="40"/>
        <v>-2.0143106349206317</v>
      </c>
      <c r="M70" s="4">
        <f t="shared" si="41"/>
        <v>-1.5654997678255133E-2</v>
      </c>
      <c r="N70" s="4">
        <f t="shared" si="42"/>
        <v>-9.0884739389361993E-3</v>
      </c>
      <c r="O70" s="4">
        <f t="shared" si="43"/>
        <v>-1.5910965906916177E-2</v>
      </c>
      <c r="P70" s="4">
        <f t="shared" si="44"/>
        <v>-9.4014616559965902E-3</v>
      </c>
      <c r="S70" s="4">
        <v>-0.11406181825507269</v>
      </c>
      <c r="T70" s="4">
        <v>0.12827364657104023</v>
      </c>
      <c r="U70" s="4">
        <f t="shared" si="45"/>
        <v>3.2146866538323673E-2</v>
      </c>
      <c r="W70" s="4">
        <f t="shared" si="46"/>
        <v>-0.16564169568521342</v>
      </c>
      <c r="X70" s="4">
        <f t="shared" si="47"/>
        <v>0.12246663935911933</v>
      </c>
      <c r="Y70" s="3">
        <f t="shared" si="34"/>
        <v>38.861808186502003</v>
      </c>
      <c r="AA70" s="3"/>
      <c r="AH70" s="3">
        <f t="shared" si="33"/>
        <v>73.5</v>
      </c>
      <c r="AI70" s="4">
        <f t="shared" si="23"/>
        <v>0.33314858678061743</v>
      </c>
      <c r="AJ70" s="4">
        <f t="shared" si="24"/>
        <v>0.16955698853315848</v>
      </c>
      <c r="AK70" s="4">
        <f t="shared" si="25"/>
        <v>0.11565071138940325</v>
      </c>
      <c r="AL70" s="3">
        <f t="shared" si="30"/>
        <v>202.50340136054422</v>
      </c>
      <c r="AM70" s="4">
        <f t="shared" si="26"/>
        <v>86.20040198269588</v>
      </c>
      <c r="AN70" s="4">
        <f t="shared" si="27"/>
        <v>78.474833886458299</v>
      </c>
      <c r="AO70" s="4">
        <f t="shared" si="28"/>
        <v>7.6637278897115415</v>
      </c>
      <c r="AP70" s="4">
        <f t="shared" ref="AP70:AP133" si="48">400*IF(AH70&gt;=$AG$10,0,AI70-AJ70-AK70-(AH70/$AG$10)^(2*$AG$12)*(AM70-AN70-AO70))</f>
        <v>5.8729687266040216</v>
      </c>
      <c r="AR70" s="3">
        <f t="shared" si="31"/>
        <v>73.5</v>
      </c>
      <c r="AS70" s="4">
        <f t="shared" si="32"/>
        <v>5.8729687266040216</v>
      </c>
    </row>
    <row r="71" spans="1:45" x14ac:dyDescent="0.25">
      <c r="D71" s="1">
        <v>42641</v>
      </c>
      <c r="E71" s="3">
        <v>113.36794</v>
      </c>
      <c r="F71" s="3">
        <v>215.370586</v>
      </c>
      <c r="G71" s="3">
        <f t="shared" si="35"/>
        <v>0.85560700000000622</v>
      </c>
      <c r="H71" s="3">
        <f t="shared" si="36"/>
        <v>1.0637230000000102</v>
      </c>
      <c r="I71" s="4">
        <f t="shared" si="37"/>
        <v>0.8966539231963907</v>
      </c>
      <c r="J71" s="4">
        <f t="shared" si="38"/>
        <v>1.1277684106461086</v>
      </c>
      <c r="K71" s="4">
        <f t="shared" si="39"/>
        <v>0.82729150793651418</v>
      </c>
      <c r="L71" s="4">
        <f t="shared" si="40"/>
        <v>0.99793436507937527</v>
      </c>
      <c r="M71" s="4">
        <f t="shared" si="41"/>
        <v>7.5757929699751658E-3</v>
      </c>
      <c r="N71" s="4">
        <f t="shared" si="42"/>
        <v>4.9512729866621986E-3</v>
      </c>
      <c r="O71" s="4">
        <f t="shared" si="43"/>
        <v>7.3198247413141229E-3</v>
      </c>
      <c r="P71" s="4">
        <f t="shared" si="44"/>
        <v>4.6382852696018077E-3</v>
      </c>
      <c r="S71" s="4">
        <v>1.4377058671583656</v>
      </c>
      <c r="T71" s="4">
        <v>2.0378152256975226</v>
      </c>
      <c r="U71" s="4">
        <f t="shared" si="45"/>
        <v>2.4918174399863022</v>
      </c>
      <c r="W71" s="4">
        <f t="shared" si="46"/>
        <v>2.4730721255257069</v>
      </c>
      <c r="X71" s="4">
        <f t="shared" si="47"/>
        <v>4.459101424988952</v>
      </c>
      <c r="Y71" s="3">
        <f t="shared" si="34"/>
        <v>65.192850308336347</v>
      </c>
      <c r="AA71" s="3"/>
      <c r="AH71" s="3">
        <f t="shared" si="33"/>
        <v>74</v>
      </c>
      <c r="AI71" s="4">
        <f t="shared" si="23"/>
        <v>0.35766929652945167</v>
      </c>
      <c r="AJ71" s="4">
        <f t="shared" si="24"/>
        <v>0.18312811157918274</v>
      </c>
      <c r="AK71" s="4">
        <f t="shared" si="25"/>
        <v>0.12383514021022668</v>
      </c>
      <c r="AL71" s="3">
        <f t="shared" si="30"/>
        <v>201.13513513513513</v>
      </c>
      <c r="AM71" s="4">
        <f t="shared" si="26"/>
        <v>84.869457771773412</v>
      </c>
      <c r="AN71" s="4">
        <f t="shared" si="27"/>
        <v>77.155698934425516</v>
      </c>
      <c r="AO71" s="4">
        <f t="shared" si="28"/>
        <v>7.6485734896494977</v>
      </c>
      <c r="AP71" s="4">
        <f t="shared" si="48"/>
        <v>6.1425559284535023</v>
      </c>
      <c r="AR71" s="3">
        <f t="shared" si="31"/>
        <v>74</v>
      </c>
      <c r="AS71" s="4">
        <f t="shared" si="32"/>
        <v>6.1425559284535023</v>
      </c>
    </row>
    <row r="72" spans="1:45" x14ac:dyDescent="0.25">
      <c r="D72" s="1">
        <v>42640</v>
      </c>
      <c r="E72" s="3">
        <v>112.512333</v>
      </c>
      <c r="F72" s="3">
        <v>214.30686299999999</v>
      </c>
      <c r="G72" s="3">
        <f t="shared" si="35"/>
        <v>0.20892700000000275</v>
      </c>
      <c r="H72" s="3">
        <f t="shared" si="36"/>
        <v>1.3222079999999892</v>
      </c>
      <c r="I72" s="4">
        <f t="shared" si="37"/>
        <v>0.21935740226532688</v>
      </c>
      <c r="J72" s="4">
        <f t="shared" si="38"/>
        <v>1.4105189359085684</v>
      </c>
      <c r="K72" s="4">
        <f t="shared" si="39"/>
        <v>0.18061150793651071</v>
      </c>
      <c r="L72" s="4">
        <f t="shared" si="40"/>
        <v>1.2564193650793543</v>
      </c>
      <c r="M72" s="4">
        <f t="shared" si="41"/>
        <v>1.858651543487721E-3</v>
      </c>
      <c r="N72" s="4">
        <f t="shared" si="42"/>
        <v>6.1888063043193733E-3</v>
      </c>
      <c r="O72" s="4">
        <f t="shared" si="43"/>
        <v>1.6026833148266783E-3</v>
      </c>
      <c r="P72" s="4">
        <f t="shared" si="44"/>
        <v>5.8758185872589824E-3</v>
      </c>
      <c r="S72" s="4">
        <v>0.20180653903825163</v>
      </c>
      <c r="T72" s="4">
        <v>0.56436477791472017</v>
      </c>
      <c r="U72" s="4">
        <f t="shared" si="45"/>
        <v>0.57039322409928928</v>
      </c>
      <c r="W72" s="4">
        <f t="shared" si="46"/>
        <v>0.37147878175984811</v>
      </c>
      <c r="X72" s="4">
        <f t="shared" si="47"/>
        <v>1.071446516028284</v>
      </c>
      <c r="Y72" s="3">
        <f t="shared" si="34"/>
        <v>47.971079254426513</v>
      </c>
      <c r="AA72" s="3"/>
      <c r="AH72" s="3">
        <f t="shared" si="33"/>
        <v>74.5</v>
      </c>
      <c r="AI72" s="4">
        <f t="shared" si="23"/>
        <v>0.38358771641857325</v>
      </c>
      <c r="AJ72" s="4">
        <f t="shared" si="24"/>
        <v>0.19756465724910788</v>
      </c>
      <c r="AK72" s="4">
        <f t="shared" si="25"/>
        <v>0.13245146039441061</v>
      </c>
      <c r="AL72" s="3">
        <f t="shared" si="30"/>
        <v>199.78523489932886</v>
      </c>
      <c r="AM72" s="4">
        <f t="shared" si="26"/>
        <v>83.5572436668606</v>
      </c>
      <c r="AN72" s="4">
        <f t="shared" si="27"/>
        <v>75.855855618799396</v>
      </c>
      <c r="AO72" s="4">
        <f t="shared" si="28"/>
        <v>7.6327507802873029</v>
      </c>
      <c r="AP72" s="4">
        <f t="shared" si="48"/>
        <v>6.4167685105842862</v>
      </c>
      <c r="AR72" s="3">
        <f t="shared" si="31"/>
        <v>74.5</v>
      </c>
      <c r="AS72" s="4">
        <f t="shared" si="32"/>
        <v>6.4167685105842862</v>
      </c>
    </row>
    <row r="73" spans="1:45" x14ac:dyDescent="0.25">
      <c r="D73" s="1">
        <v>42639</v>
      </c>
      <c r="E73" s="3">
        <v>112.303406</v>
      </c>
      <c r="F73" s="3">
        <v>212.984655</v>
      </c>
      <c r="G73" s="3">
        <f t="shared" si="35"/>
        <v>0.16912899999999809</v>
      </c>
      <c r="H73" s="3">
        <f t="shared" si="36"/>
        <v>-1.7397449999999992</v>
      </c>
      <c r="I73" s="4">
        <f t="shared" si="37"/>
        <v>0.17784036781648643</v>
      </c>
      <c r="J73" s="4">
        <f t="shared" si="38"/>
        <v>-1.8409061738126398</v>
      </c>
      <c r="K73" s="4">
        <f t="shared" si="39"/>
        <v>0.14081350793650604</v>
      </c>
      <c r="L73" s="4">
        <f t="shared" si="40"/>
        <v>-1.8055336349206341</v>
      </c>
      <c r="M73" s="4">
        <f t="shared" si="41"/>
        <v>1.5071357871228245E-3</v>
      </c>
      <c r="N73" s="4">
        <f t="shared" si="42"/>
        <v>-8.1352245159053357E-3</v>
      </c>
      <c r="O73" s="4">
        <f t="shared" si="43"/>
        <v>1.2511675584617819E-3</v>
      </c>
      <c r="P73" s="4">
        <f t="shared" si="44"/>
        <v>-8.4482122329657267E-3</v>
      </c>
      <c r="S73" s="4">
        <v>-1.2203827367722104</v>
      </c>
      <c r="T73" s="4">
        <v>-0.81233641123923894</v>
      </c>
      <c r="U73" s="4">
        <f t="shared" si="45"/>
        <v>-1.3879051352203042</v>
      </c>
      <c r="W73" s="4">
        <f t="shared" si="46"/>
        <v>-2.0468925593466447</v>
      </c>
      <c r="X73" s="4">
        <f t="shared" si="47"/>
        <v>-2.3812210392705766</v>
      </c>
      <c r="Y73" s="3">
        <f t="shared" si="34"/>
        <v>100.8431649944805</v>
      </c>
      <c r="AA73" s="3"/>
      <c r="AH73" s="3">
        <f t="shared" si="33"/>
        <v>75</v>
      </c>
      <c r="AI73" s="4">
        <f t="shared" si="23"/>
        <v>0.41095630688355911</v>
      </c>
      <c r="AJ73" s="4">
        <f t="shared" si="24"/>
        <v>0.21290569169440143</v>
      </c>
      <c r="AK73" s="4">
        <f t="shared" si="25"/>
        <v>0.14151277895498598</v>
      </c>
      <c r="AL73" s="3">
        <f t="shared" si="30"/>
        <v>198.45333333333335</v>
      </c>
      <c r="AM73" s="4">
        <f t="shared" si="26"/>
        <v>82.263429078503464</v>
      </c>
      <c r="AN73" s="4">
        <f t="shared" si="27"/>
        <v>74.574986704315549</v>
      </c>
      <c r="AO73" s="4">
        <f t="shared" si="28"/>
        <v>7.6162470101792037</v>
      </c>
      <c r="AP73" s="4">
        <f t="shared" si="48"/>
        <v>6.6952520886054883</v>
      </c>
      <c r="AR73" s="3">
        <f t="shared" si="31"/>
        <v>75</v>
      </c>
      <c r="AS73" s="4">
        <f t="shared" si="32"/>
        <v>6.6952520886054883</v>
      </c>
    </row>
    <row r="74" spans="1:45" x14ac:dyDescent="0.25">
      <c r="C74" s="4"/>
      <c r="D74" s="1">
        <v>42636</v>
      </c>
      <c r="E74" s="3">
        <v>112.134277</v>
      </c>
      <c r="F74" s="3">
        <v>214.7244</v>
      </c>
      <c r="G74" s="3">
        <f t="shared" si="35"/>
        <v>-1.9002470000000073</v>
      </c>
      <c r="H74" s="3">
        <f t="shared" si="36"/>
        <v>-1.1830149999999833</v>
      </c>
      <c r="I74" s="4">
        <f t="shared" si="37"/>
        <v>-1.9648271726112423</v>
      </c>
      <c r="J74" s="4">
        <f t="shared" si="38"/>
        <v>-1.2449449521272866</v>
      </c>
      <c r="K74" s="4">
        <f t="shared" si="39"/>
        <v>-1.9285624920634994</v>
      </c>
      <c r="L74" s="4">
        <f t="shared" si="40"/>
        <v>-1.2488036349206182</v>
      </c>
      <c r="M74" s="4">
        <f t="shared" si="41"/>
        <v>-1.6804189680377547E-2</v>
      </c>
      <c r="N74" s="4">
        <f t="shared" si="42"/>
        <v>-5.4943361583409279E-3</v>
      </c>
      <c r="O74" s="4">
        <f t="shared" si="43"/>
        <v>-1.706015790903859E-2</v>
      </c>
      <c r="P74" s="4">
        <f t="shared" si="44"/>
        <v>-5.8073238754013188E-3</v>
      </c>
      <c r="S74" s="4">
        <v>-0.32897759669656385</v>
      </c>
      <c r="T74" s="4">
        <v>0.12052632097176655</v>
      </c>
      <c r="U74" s="4">
        <f t="shared" si="45"/>
        <v>-0.10501183033957988</v>
      </c>
      <c r="W74" s="4">
        <f t="shared" si="46"/>
        <v>-0.53109667989489784</v>
      </c>
      <c r="X74" s="4">
        <f t="shared" si="47"/>
        <v>-0.11935727903600574</v>
      </c>
      <c r="Y74" s="3">
        <f t="shared" si="34"/>
        <v>73.90405266960579</v>
      </c>
      <c r="AA74" s="3"/>
      <c r="AH74" s="3">
        <f t="shared" si="33"/>
        <v>75.5</v>
      </c>
      <c r="AI74" s="4">
        <f t="shared" si="23"/>
        <v>0.4398280467923561</v>
      </c>
      <c r="AJ74" s="4">
        <f t="shared" si="24"/>
        <v>0.22919108706074276</v>
      </c>
      <c r="AK74" s="4">
        <f t="shared" si="25"/>
        <v>0.15103208643863927</v>
      </c>
      <c r="AL74" s="3">
        <f t="shared" si="30"/>
        <v>197.13907284768212</v>
      </c>
      <c r="AM74" s="4">
        <f t="shared" si="26"/>
        <v>80.987693421929293</v>
      </c>
      <c r="AN74" s="4">
        <f t="shared" si="27"/>
        <v>73.31278461985228</v>
      </c>
      <c r="AO74" s="4">
        <f t="shared" si="28"/>
        <v>7.5990499725830229</v>
      </c>
      <c r="AP74" s="4">
        <f t="shared" si="48"/>
        <v>6.9776320249088002</v>
      </c>
      <c r="AR74" s="3">
        <f t="shared" si="31"/>
        <v>75.5</v>
      </c>
      <c r="AS74" s="4">
        <f t="shared" si="32"/>
        <v>6.9776320249088002</v>
      </c>
    </row>
    <row r="75" spans="1:45" x14ac:dyDescent="0.25">
      <c r="C75" s="4"/>
      <c r="D75" s="1">
        <v>42635</v>
      </c>
      <c r="E75" s="3">
        <v>114.034524</v>
      </c>
      <c r="F75" s="3">
        <v>215.90741499999999</v>
      </c>
      <c r="G75" s="3">
        <f t="shared" si="35"/>
        <v>1.064534000000009</v>
      </c>
      <c r="H75" s="3">
        <f t="shared" si="36"/>
        <v>1.3520169999999894</v>
      </c>
      <c r="I75" s="4">
        <f t="shared" si="37"/>
        <v>1.1110845296006229</v>
      </c>
      <c r="J75" s="4">
        <f t="shared" si="38"/>
        <v>1.4317597920986196</v>
      </c>
      <c r="K75" s="4">
        <f t="shared" si="39"/>
        <v>1.0362185079365169</v>
      </c>
      <c r="L75" s="4">
        <f t="shared" si="40"/>
        <v>1.2862283650793545</v>
      </c>
      <c r="M75" s="4">
        <f t="shared" si="41"/>
        <v>9.379036432586748E-3</v>
      </c>
      <c r="N75" s="4">
        <f t="shared" si="42"/>
        <v>6.2817107774987228E-3</v>
      </c>
      <c r="O75" s="4">
        <f t="shared" si="43"/>
        <v>9.123068203925706E-3</v>
      </c>
      <c r="P75" s="4">
        <f t="shared" si="44"/>
        <v>5.9687230604383319E-3</v>
      </c>
      <c r="S75" s="4">
        <v>0.11273518862341772</v>
      </c>
      <c r="T75" s="4">
        <v>9.8655356268967362E-2</v>
      </c>
      <c r="U75" s="4">
        <f t="shared" si="45"/>
        <v>0.14692919985588143</v>
      </c>
      <c r="W75" s="4">
        <f t="shared" si="46"/>
        <v>0.22001680351216793</v>
      </c>
      <c r="X75" s="4">
        <f t="shared" si="47"/>
        <v>0.32483888579491094</v>
      </c>
      <c r="Y75" s="3">
        <f t="shared" si="34"/>
        <v>-2.6488886832376011</v>
      </c>
      <c r="AA75" s="3"/>
      <c r="AH75" s="3">
        <f t="shared" si="33"/>
        <v>76</v>
      </c>
      <c r="AI75" s="4">
        <f t="shared" si="23"/>
        <v>0.47025637571246648</v>
      </c>
      <c r="AJ75" s="4">
        <f t="shared" si="24"/>
        <v>0.24646149240970061</v>
      </c>
      <c r="AK75" s="4">
        <f t="shared" si="25"/>
        <v>0.16102223109115182</v>
      </c>
      <c r="AL75" s="3">
        <f t="shared" si="30"/>
        <v>195.84210526315789</v>
      </c>
      <c r="AM75" s="4">
        <f t="shared" si="26"/>
        <v>79.72972577212613</v>
      </c>
      <c r="AN75" s="4">
        <f t="shared" si="27"/>
        <v>72.068951084391941</v>
      </c>
      <c r="AO75" s="4">
        <f t="shared" si="28"/>
        <v>7.5811480349301004</v>
      </c>
      <c r="AP75" s="4">
        <f t="shared" si="48"/>
        <v>7.2635142487905142</v>
      </c>
      <c r="AR75" s="3">
        <f t="shared" si="31"/>
        <v>76</v>
      </c>
      <c r="AS75" s="4">
        <f t="shared" si="32"/>
        <v>7.2635142487905142</v>
      </c>
    </row>
    <row r="76" spans="1:45" x14ac:dyDescent="0.25">
      <c r="D76" s="1">
        <v>42634</v>
      </c>
      <c r="E76" s="3">
        <v>112.96999</v>
      </c>
      <c r="F76" s="3">
        <v>214.555398</v>
      </c>
      <c r="G76" s="3">
        <f t="shared" si="35"/>
        <v>-1.989400000000785E-2</v>
      </c>
      <c r="H76" s="3">
        <f t="shared" si="36"/>
        <v>2.3859459999999899</v>
      </c>
      <c r="I76" s="4">
        <f t="shared" si="37"/>
        <v>-2.076027991653594E-2</v>
      </c>
      <c r="J76" s="4">
        <f t="shared" si="38"/>
        <v>2.5550841662239847</v>
      </c>
      <c r="K76" s="4">
        <f t="shared" si="39"/>
        <v>-4.8209492063499906E-2</v>
      </c>
      <c r="L76" s="4">
        <f t="shared" si="40"/>
        <v>2.3201573650793552</v>
      </c>
      <c r="M76" s="4">
        <f t="shared" si="41"/>
        <v>-1.760843613447251E-4</v>
      </c>
      <c r="N76" s="4">
        <f t="shared" si="42"/>
        <v>1.1182713470313719E-2</v>
      </c>
      <c r="O76" s="4">
        <f t="shared" si="43"/>
        <v>-4.320525900057677E-4</v>
      </c>
      <c r="P76" s="4">
        <f t="shared" si="44"/>
        <v>1.0869725753253328E-2</v>
      </c>
      <c r="S76" s="4">
        <v>-0.78239005316645438</v>
      </c>
      <c r="T76" s="4">
        <v>0.4860352474729539</v>
      </c>
      <c r="U76" s="4">
        <f t="shared" si="45"/>
        <v>-9.1686171387069415E-2</v>
      </c>
      <c r="W76" s="4">
        <f t="shared" si="46"/>
        <v>-1.3021049479769404</v>
      </c>
      <c r="X76" s="4">
        <f t="shared" si="47"/>
        <v>-9.5862866093589544E-2</v>
      </c>
      <c r="Y76" s="3">
        <f t="shared" si="34"/>
        <v>203.49057899116269</v>
      </c>
      <c r="AA76" s="3"/>
      <c r="AH76" s="3">
        <f t="shared" si="33"/>
        <v>76.5</v>
      </c>
      <c r="AI76" s="4">
        <f t="shared" si="23"/>
        <v>0.50229513495747469</v>
      </c>
      <c r="AJ76" s="4">
        <f t="shared" si="24"/>
        <v>0.26475830281710078</v>
      </c>
      <c r="AK76" s="4">
        <f t="shared" si="25"/>
        <v>0.17149589310633059</v>
      </c>
      <c r="AL76" s="3">
        <f t="shared" si="30"/>
        <v>194.56209150326796</v>
      </c>
      <c r="AM76" s="4">
        <f t="shared" si="26"/>
        <v>78.48922452995653</v>
      </c>
      <c r="AN76" s="4">
        <f t="shared" si="27"/>
        <v>70.843196744782247</v>
      </c>
      <c r="AO76" s="4">
        <f t="shared" si="28"/>
        <v>7.562530166894974</v>
      </c>
      <c r="AP76" s="4">
        <f t="shared" si="48"/>
        <v>7.552486152462448</v>
      </c>
      <c r="AR76" s="3">
        <f t="shared" si="31"/>
        <v>76.5</v>
      </c>
      <c r="AS76" s="4">
        <f t="shared" si="32"/>
        <v>7.552486152462448</v>
      </c>
    </row>
    <row r="77" spans="1:45" x14ac:dyDescent="0.25">
      <c r="D77" s="1">
        <v>42633</v>
      </c>
      <c r="E77" s="3">
        <v>112.989884</v>
      </c>
      <c r="F77" s="3">
        <v>212.16945200000001</v>
      </c>
      <c r="G77" s="3">
        <f t="shared" si="35"/>
        <v>-9.9510000000009313E-3</v>
      </c>
      <c r="H77" s="3">
        <f t="shared" si="36"/>
        <v>9.936000000010381E-3</v>
      </c>
      <c r="I77" s="4">
        <f t="shared" si="37"/>
        <v>-1.0383399673142087E-2</v>
      </c>
      <c r="J77" s="4">
        <f t="shared" si="38"/>
        <v>1.0640854919533087E-2</v>
      </c>
      <c r="K77" s="4">
        <f t="shared" si="39"/>
        <v>-3.8266492063492988E-2</v>
      </c>
      <c r="L77" s="4">
        <f t="shared" si="40"/>
        <v>-5.5852634920624505E-2</v>
      </c>
      <c r="M77" s="4">
        <f t="shared" si="41"/>
        <v>-8.8065953181060385E-5</v>
      </c>
      <c r="N77" s="4">
        <f t="shared" si="42"/>
        <v>4.6831589408787218E-5</v>
      </c>
      <c r="O77" s="4">
        <f t="shared" si="43"/>
        <v>-3.4403418184210301E-4</v>
      </c>
      <c r="P77" s="4">
        <f t="shared" si="44"/>
        <v>-2.6615612765160335E-4</v>
      </c>
      <c r="S77" s="4">
        <v>-1.3360800329865812</v>
      </c>
      <c r="T77" s="4">
        <v>-0.85488671868549559</v>
      </c>
      <c r="U77" s="4">
        <f t="shared" si="45"/>
        <v>-1.4921660775297532</v>
      </c>
      <c r="W77" s="4">
        <f t="shared" si="46"/>
        <v>-2.2436308066160837</v>
      </c>
      <c r="X77" s="4">
        <f t="shared" si="47"/>
        <v>-2.5650430657169423</v>
      </c>
      <c r="Y77" s="3">
        <f t="shared" si="34"/>
        <v>116.20764889782686</v>
      </c>
      <c r="AA77" s="3"/>
      <c r="AH77" s="3">
        <f t="shared" si="33"/>
        <v>77</v>
      </c>
      <c r="AI77" s="4">
        <f t="shared" si="23"/>
        <v>0.53599850757054934</v>
      </c>
      <c r="AJ77" s="4">
        <f t="shared" si="24"/>
        <v>0.28412362671999958</v>
      </c>
      <c r="AK77" s="4">
        <f t="shared" si="25"/>
        <v>0.18246555903854828</v>
      </c>
      <c r="AL77" s="3">
        <f t="shared" si="30"/>
        <v>193.2987012987013</v>
      </c>
      <c r="AM77" s="4">
        <f t="shared" si="26"/>
        <v>77.265897098825945</v>
      </c>
      <c r="AN77" s="4">
        <f t="shared" si="27"/>
        <v>69.635240824903477</v>
      </c>
      <c r="AO77" s="4">
        <f t="shared" si="28"/>
        <v>7.5431859669860293</v>
      </c>
      <c r="AP77" s="4">
        <f t="shared" si="48"/>
        <v>7.8441175586380893</v>
      </c>
      <c r="AR77" s="3">
        <f t="shared" si="31"/>
        <v>77</v>
      </c>
      <c r="AS77" s="4">
        <f t="shared" si="32"/>
        <v>7.8441175586380893</v>
      </c>
    </row>
    <row r="78" spans="1:45" x14ac:dyDescent="0.25">
      <c r="D78" s="1">
        <v>42632</v>
      </c>
      <c r="E78" s="3">
        <v>112.999835</v>
      </c>
      <c r="F78" s="3">
        <v>212.159516</v>
      </c>
      <c r="G78" s="3">
        <f t="shared" si="35"/>
        <v>-1.3331519999999983</v>
      </c>
      <c r="H78" s="3">
        <f t="shared" si="36"/>
        <v>3.9773999999994203E-2</v>
      </c>
      <c r="I78" s="4">
        <f t="shared" si="37"/>
        <v>-1.3748609371380089</v>
      </c>
      <c r="J78" s="4">
        <f t="shared" si="38"/>
        <v>4.2603534839377101E-2</v>
      </c>
      <c r="K78" s="4">
        <f t="shared" si="39"/>
        <v>-1.3614674920634904</v>
      </c>
      <c r="L78" s="4">
        <f t="shared" si="40"/>
        <v>-2.6014634920640684E-2</v>
      </c>
      <c r="M78" s="4">
        <f t="shared" si="41"/>
        <v>-1.1728770804440019E-2</v>
      </c>
      <c r="N78" s="4">
        <f t="shared" si="42"/>
        <v>1.8748972223628737E-4</v>
      </c>
      <c r="O78" s="4">
        <f t="shared" si="43"/>
        <v>-1.1984739033101061E-2</v>
      </c>
      <c r="P78" s="4">
        <f t="shared" si="44"/>
        <v>-1.2549799482410322E-4</v>
      </c>
      <c r="S78" s="4">
        <v>-0.53052942898586264</v>
      </c>
      <c r="T78" s="4">
        <v>7.9864152739083594E-2</v>
      </c>
      <c r="U78" s="4">
        <f t="shared" si="45"/>
        <v>-0.26011490052886327</v>
      </c>
      <c r="W78" s="4">
        <f t="shared" si="46"/>
        <v>-0.87382685178300512</v>
      </c>
      <c r="X78" s="4">
        <f t="shared" si="47"/>
        <v>-0.39281884612624507</v>
      </c>
      <c r="Y78" s="3">
        <f t="shared" si="34"/>
        <v>102.73262059482022</v>
      </c>
      <c r="AA78" s="3"/>
      <c r="AH78" s="3">
        <f t="shared" si="33"/>
        <v>77.5</v>
      </c>
      <c r="AI78" s="4">
        <f t="shared" si="23"/>
        <v>0.57142095740378807</v>
      </c>
      <c r="AJ78" s="4">
        <f t="shared" si="24"/>
        <v>0.30460025158924431</v>
      </c>
      <c r="AK78" s="4">
        <f t="shared" si="25"/>
        <v>0.19394349645756415</v>
      </c>
      <c r="AL78" s="3">
        <f t="shared" si="30"/>
        <v>192.05161290322582</v>
      </c>
      <c r="AM78" s="4">
        <f t="shared" si="26"/>
        <v>76.059459571458973</v>
      </c>
      <c r="AN78" s="4">
        <f t="shared" si="27"/>
        <v>68.4448107858763</v>
      </c>
      <c r="AO78" s="4">
        <f t="shared" si="28"/>
        <v>7.5231056875856046</v>
      </c>
      <c r="AP78" s="4">
        <f t="shared" si="48"/>
        <v>8.1379617552148069</v>
      </c>
      <c r="AR78" s="3">
        <f t="shared" si="31"/>
        <v>77.5</v>
      </c>
      <c r="AS78" s="4">
        <f t="shared" si="32"/>
        <v>8.1379617552148069</v>
      </c>
    </row>
    <row r="79" spans="1:45" x14ac:dyDescent="0.25">
      <c r="D79" s="1">
        <v>42629</v>
      </c>
      <c r="E79" s="3">
        <v>114.332987</v>
      </c>
      <c r="F79" s="3">
        <v>212.119742</v>
      </c>
      <c r="G79" s="3">
        <f t="shared" si="35"/>
        <v>-0.64668100000000095</v>
      </c>
      <c r="H79" s="3">
        <f t="shared" si="36"/>
        <v>-0.82315700000000902</v>
      </c>
      <c r="I79" s="4">
        <f t="shared" si="37"/>
        <v>-0.66316211051091323</v>
      </c>
      <c r="J79" s="4">
        <f t="shared" si="38"/>
        <v>-0.87830826296819142</v>
      </c>
      <c r="K79" s="4">
        <f t="shared" si="39"/>
        <v>-0.67499649206349299</v>
      </c>
      <c r="L79" s="4">
        <f t="shared" si="40"/>
        <v>-0.88894563492064393</v>
      </c>
      <c r="M79" s="4">
        <f t="shared" si="41"/>
        <v>-5.640183393564255E-3</v>
      </c>
      <c r="N79" s="4">
        <f t="shared" si="42"/>
        <v>-3.8731139818774319E-3</v>
      </c>
      <c r="O79" s="4">
        <f t="shared" si="43"/>
        <v>-5.8961516222252978E-3</v>
      </c>
      <c r="P79" s="4">
        <f t="shared" si="44"/>
        <v>-4.1861016989378228E-3</v>
      </c>
      <c r="S79" s="4">
        <v>-1.4199110852734438</v>
      </c>
      <c r="T79" s="4">
        <v>-0.74708419181701824</v>
      </c>
      <c r="U79" s="4">
        <f t="shared" si="45"/>
        <v>-1.4578171547597778</v>
      </c>
      <c r="W79" s="4">
        <f t="shared" si="46"/>
        <v>-2.3861818845869229</v>
      </c>
      <c r="X79" s="4">
        <f t="shared" si="47"/>
        <v>-2.5044826252493486</v>
      </c>
      <c r="Y79" s="3">
        <f t="shared" si="34"/>
        <v>146.84495157886249</v>
      </c>
      <c r="AA79" s="3"/>
      <c r="AH79" s="3">
        <f t="shared" si="33"/>
        <v>78</v>
      </c>
      <c r="AI79" s="4">
        <f t="shared" si="23"/>
        <v>0.60861716745283534</v>
      </c>
      <c r="AJ79" s="4">
        <f t="shared" si="24"/>
        <v>0.32623160800924822</v>
      </c>
      <c r="AK79" s="4">
        <f t="shared" si="25"/>
        <v>0.20594172892254903</v>
      </c>
      <c r="AL79" s="3">
        <f t="shared" si="30"/>
        <v>190.82051282051282</v>
      </c>
      <c r="AM79" s="4">
        <f t="shared" si="26"/>
        <v>74.86963642636654</v>
      </c>
      <c r="AN79" s="4">
        <f t="shared" si="27"/>
        <v>67.271641996968782</v>
      </c>
      <c r="AO79" s="4">
        <f t="shared" si="28"/>
        <v>7.5022802583754524</v>
      </c>
      <c r="AP79" s="4">
        <f t="shared" si="48"/>
        <v>8.4335565920525486</v>
      </c>
      <c r="AR79" s="3">
        <f t="shared" si="31"/>
        <v>78</v>
      </c>
      <c r="AS79" s="4">
        <f t="shared" si="32"/>
        <v>8.4335565920525486</v>
      </c>
    </row>
    <row r="80" spans="1:45" x14ac:dyDescent="0.25">
      <c r="D80" s="1">
        <v>42628</v>
      </c>
      <c r="E80" s="3">
        <v>114.979668</v>
      </c>
      <c r="F80" s="3">
        <v>212.94289900000001</v>
      </c>
      <c r="G80" s="3">
        <f t="shared" si="35"/>
        <v>3.7805919999999986</v>
      </c>
      <c r="H80" s="3">
        <f t="shared" si="36"/>
        <v>2.1068810000000155</v>
      </c>
      <c r="I80" s="4">
        <f t="shared" si="37"/>
        <v>4.0087528950543421</v>
      </c>
      <c r="J80" s="4">
        <f t="shared" si="38"/>
        <v>2.2705060136270006</v>
      </c>
      <c r="K80" s="4">
        <f t="shared" si="39"/>
        <v>3.7522765079365064</v>
      </c>
      <c r="L80" s="4">
        <f t="shared" si="40"/>
        <v>2.0410923650793809</v>
      </c>
      <c r="M80" s="4">
        <f t="shared" si="41"/>
        <v>3.3433240302846404E-2</v>
      </c>
      <c r="N80" s="4">
        <f t="shared" si="42"/>
        <v>9.943384508070403E-3</v>
      </c>
      <c r="O80" s="4">
        <f t="shared" si="43"/>
        <v>3.317727207418536E-2</v>
      </c>
      <c r="P80" s="4">
        <f t="shared" si="44"/>
        <v>9.6303967910100121E-3</v>
      </c>
      <c r="S80" s="4">
        <v>-0.65427207400818443</v>
      </c>
      <c r="T80" s="4">
        <v>0.91028527467734688</v>
      </c>
      <c r="U80" s="4">
        <f t="shared" si="45"/>
        <v>0.32271701785724499</v>
      </c>
      <c r="W80" s="4">
        <f t="shared" si="46"/>
        <v>-1.0842458666670545</v>
      </c>
      <c r="X80" s="4">
        <f t="shared" si="47"/>
        <v>0.63476964427288252</v>
      </c>
      <c r="Y80" s="3">
        <f t="shared" si="34"/>
        <v>240.28483214280186</v>
      </c>
      <c r="AA80" s="3"/>
      <c r="AH80" s="3">
        <f t="shared" si="33"/>
        <v>78.5</v>
      </c>
      <c r="AI80" s="4">
        <f t="shared" si="23"/>
        <v>0.64764197760600251</v>
      </c>
      <c r="AJ80" s="4">
        <f t="shared" si="24"/>
        <v>0.34906173225089709</v>
      </c>
      <c r="AK80" s="4">
        <f t="shared" si="25"/>
        <v>0.21847201135015754</v>
      </c>
      <c r="AL80" s="3">
        <f t="shared" si="30"/>
        <v>189.60509554140128</v>
      </c>
      <c r="AM80" s="4">
        <f t="shared" si="26"/>
        <v>73.696160233615046</v>
      </c>
      <c r="AN80" s="4">
        <f t="shared" si="27"/>
        <v>66.115477416885653</v>
      </c>
      <c r="AO80" s="4">
        <f t="shared" si="28"/>
        <v>7.4807013080908948</v>
      </c>
      <c r="AP80" s="4">
        <f t="shared" si="48"/>
        <v>8.7304256349551057</v>
      </c>
      <c r="AR80" s="3">
        <f t="shared" si="31"/>
        <v>78.5</v>
      </c>
      <c r="AS80" s="4">
        <f t="shared" si="32"/>
        <v>8.7304256349551057</v>
      </c>
    </row>
    <row r="81" spans="3:45" x14ac:dyDescent="0.25">
      <c r="D81" s="1">
        <v>42627</v>
      </c>
      <c r="E81" s="3">
        <v>111.19907600000001</v>
      </c>
      <c r="F81" s="3">
        <v>210.836018</v>
      </c>
      <c r="G81" s="3">
        <f t="shared" si="35"/>
        <v>3.8004880000000014</v>
      </c>
      <c r="H81" s="3">
        <f t="shared" si="36"/>
        <v>-7.9133000000012998E-2</v>
      </c>
      <c r="I81" s="4">
        <f t="shared" si="37"/>
        <v>4.1724529495858196</v>
      </c>
      <c r="J81" s="4">
        <f t="shared" si="38"/>
        <v>-8.5246647282982299E-2</v>
      </c>
      <c r="K81" s="4">
        <f t="shared" si="39"/>
        <v>3.7721725079365092</v>
      </c>
      <c r="L81" s="4">
        <f t="shared" si="40"/>
        <v>-0.14492163492064788</v>
      </c>
      <c r="M81" s="4">
        <f t="shared" si="41"/>
        <v>3.4775037554695E-2</v>
      </c>
      <c r="N81" s="4">
        <f t="shared" si="42"/>
        <v>-3.7525918951817911E-4</v>
      </c>
      <c r="O81" s="4">
        <f t="shared" si="43"/>
        <v>3.4519069326033956E-2</v>
      </c>
      <c r="P81" s="4">
        <f t="shared" si="44"/>
        <v>-6.882469065785697E-4</v>
      </c>
      <c r="S81" s="4">
        <v>-1.2745753388036916</v>
      </c>
      <c r="T81" s="4">
        <v>0.58790433004261455</v>
      </c>
      <c r="U81" s="4">
        <f t="shared" si="45"/>
        <v>-0.31098249434768571</v>
      </c>
      <c r="W81" s="4">
        <f t="shared" si="46"/>
        <v>-2.1390447347863293</v>
      </c>
      <c r="X81" s="4">
        <f t="shared" si="47"/>
        <v>-0.48250328565944822</v>
      </c>
      <c r="Y81" s="3">
        <f t="shared" si="34"/>
        <v>306.49614032272166</v>
      </c>
      <c r="AA81" s="3"/>
      <c r="AH81" s="3">
        <f t="shared" si="33"/>
        <v>79</v>
      </c>
      <c r="AI81" s="4">
        <f t="shared" si="23"/>
        <v>0.6885503219665674</v>
      </c>
      <c r="AJ81" s="4">
        <f t="shared" si="24"/>
        <v>0.37313522742744221</v>
      </c>
      <c r="AK81" s="4">
        <f t="shared" si="25"/>
        <v>0.23154580584914611</v>
      </c>
      <c r="AL81" s="3">
        <f t="shared" si="30"/>
        <v>188.40506329113924</v>
      </c>
      <c r="AM81" s="4">
        <f t="shared" si="26"/>
        <v>72.538771369535709</v>
      </c>
      <c r="AN81" s="4">
        <f t="shared" si="27"/>
        <v>64.976067285143628</v>
      </c>
      <c r="AO81" s="4">
        <f t="shared" si="28"/>
        <v>7.4583611845545406</v>
      </c>
      <c r="AP81" s="4">
        <f t="shared" si="48"/>
        <v>9.0280793715171814</v>
      </c>
      <c r="AR81" s="3">
        <f t="shared" si="31"/>
        <v>79</v>
      </c>
      <c r="AS81" s="4">
        <f t="shared" si="32"/>
        <v>9.0280793715171814</v>
      </c>
    </row>
    <row r="82" spans="3:45" x14ac:dyDescent="0.25">
      <c r="D82" s="1">
        <v>42626</v>
      </c>
      <c r="E82" s="3">
        <v>107.398588</v>
      </c>
      <c r="F82" s="3">
        <v>210.91515100000001</v>
      </c>
      <c r="G82" s="3">
        <f t="shared" si="35"/>
        <v>2.4971730000000036</v>
      </c>
      <c r="H82" s="3">
        <f t="shared" si="36"/>
        <v>-3.0762379999999894</v>
      </c>
      <c r="I82" s="4">
        <f t="shared" si="37"/>
        <v>2.8068418182795001</v>
      </c>
      <c r="J82" s="4">
        <f t="shared" si="38"/>
        <v>-3.266262538786846</v>
      </c>
      <c r="K82" s="4">
        <f t="shared" si="39"/>
        <v>2.4688575079365114</v>
      </c>
      <c r="L82" s="4">
        <f t="shared" si="40"/>
        <v>-3.1420266349206241</v>
      </c>
      <c r="M82" s="4">
        <f t="shared" si="41"/>
        <v>2.3526030526292794E-2</v>
      </c>
      <c r="N82" s="4">
        <f t="shared" si="42"/>
        <v>-1.4479851255661529E-2</v>
      </c>
      <c r="O82" s="4">
        <f t="shared" si="43"/>
        <v>2.327006229763175E-2</v>
      </c>
      <c r="P82" s="4">
        <f t="shared" si="44"/>
        <v>-1.4792838972721919E-2</v>
      </c>
      <c r="S82" s="4">
        <v>1.1418286896980341</v>
      </c>
      <c r="T82" s="4">
        <v>1.0513368589457044</v>
      </c>
      <c r="U82" s="4">
        <f t="shared" si="45"/>
        <v>1.5294705828574595</v>
      </c>
      <c r="W82" s="4">
        <f t="shared" si="46"/>
        <v>1.9699457845892789</v>
      </c>
      <c r="X82" s="4">
        <f t="shared" si="47"/>
        <v>2.762391751133618</v>
      </c>
      <c r="Y82" s="3">
        <f t="shared" si="34"/>
        <v>-29.522453255198343</v>
      </c>
      <c r="AA82" s="3"/>
      <c r="AH82" s="3">
        <f t="shared" si="33"/>
        <v>79.5</v>
      </c>
      <c r="AI82" s="4">
        <f t="shared" si="23"/>
        <v>0.73139716590551007</v>
      </c>
      <c r="AJ82" s="4">
        <f t="shared" si="24"/>
        <v>0.39849722332656112</v>
      </c>
      <c r="AK82" s="4">
        <f t="shared" si="25"/>
        <v>0.24517425809141014</v>
      </c>
      <c r="AL82" s="3">
        <f t="shared" si="30"/>
        <v>187.22012578616352</v>
      </c>
      <c r="AM82" s="4">
        <f t="shared" si="26"/>
        <v>71.397217740036538</v>
      </c>
      <c r="AN82" s="4">
        <f t="shared" si="27"/>
        <v>63.853168823255331</v>
      </c>
      <c r="AO82" s="4">
        <f t="shared" si="28"/>
        <v>7.4352529729479588</v>
      </c>
      <c r="AP82" s="4">
        <f t="shared" si="48"/>
        <v>9.3260164633526426</v>
      </c>
      <c r="AR82" s="3">
        <f t="shared" si="31"/>
        <v>79.5</v>
      </c>
      <c r="AS82" s="4">
        <f t="shared" si="32"/>
        <v>9.3260164633526426</v>
      </c>
    </row>
    <row r="83" spans="3:45" x14ac:dyDescent="0.25">
      <c r="D83" s="1">
        <v>42625</v>
      </c>
      <c r="E83" s="3">
        <v>104.901415</v>
      </c>
      <c r="F83" s="3">
        <v>213.991389</v>
      </c>
      <c r="G83" s="3">
        <f t="shared" si="35"/>
        <v>2.2982059999999933</v>
      </c>
      <c r="H83" s="3">
        <f t="shared" si="36"/>
        <v>3.0267780000000073</v>
      </c>
      <c r="I83" s="4">
        <f t="shared" si="37"/>
        <v>2.6410624121202995</v>
      </c>
      <c r="J83" s="4">
        <f t="shared" si="38"/>
        <v>3.259855988677872</v>
      </c>
      <c r="K83" s="4">
        <f t="shared" si="39"/>
        <v>2.269890507936501</v>
      </c>
      <c r="L83" s="4">
        <f t="shared" si="40"/>
        <v>2.9609893650793726</v>
      </c>
      <c r="M83" s="4">
        <f t="shared" si="41"/>
        <v>2.2151795297774418E-2</v>
      </c>
      <c r="N83" s="4">
        <f t="shared" si="42"/>
        <v>1.4245376864227777E-2</v>
      </c>
      <c r="O83" s="4">
        <f t="shared" si="43"/>
        <v>2.1895827069113374E-2</v>
      </c>
      <c r="P83" s="4">
        <f t="shared" si="44"/>
        <v>1.3932389147167386E-2</v>
      </c>
      <c r="S83" s="4">
        <v>5.5542813851196964E-2</v>
      </c>
      <c r="T83" s="4">
        <v>-1.5102189661291976</v>
      </c>
      <c r="U83" s="4">
        <f t="shared" si="45"/>
        <v>-1.1632783827152418</v>
      </c>
      <c r="W83" s="4">
        <f t="shared" si="46"/>
        <v>0.12276364429386298</v>
      </c>
      <c r="X83" s="4">
        <f t="shared" si="47"/>
        <v>-1.9851825619183086</v>
      </c>
      <c r="Y83" s="3">
        <f t="shared" si="34"/>
        <v>-218.15223976143898</v>
      </c>
      <c r="AA83" s="3"/>
      <c r="AH83" s="3">
        <f t="shared" si="33"/>
        <v>80</v>
      </c>
      <c r="AI83" s="4">
        <f t="shared" si="23"/>
        <v>0.77623744300003583</v>
      </c>
      <c r="AJ83" s="4">
        <f t="shared" si="24"/>
        <v>0.42519333501498657</v>
      </c>
      <c r="AK83" s="4">
        <f t="shared" si="25"/>
        <v>0.25936817428645698</v>
      </c>
      <c r="AL83" s="3">
        <f t="shared" si="30"/>
        <v>186.05</v>
      </c>
      <c r="AM83" s="4">
        <f t="shared" si="26"/>
        <v>70.271254512202319</v>
      </c>
      <c r="AN83" s="4">
        <f t="shared" si="27"/>
        <v>62.746545945462884</v>
      </c>
      <c r="AO83" s="4">
        <f t="shared" si="28"/>
        <v>7.4113705122871236</v>
      </c>
      <c r="AP83" s="4">
        <f t="shared" si="48"/>
        <v>9.6237250392530118</v>
      </c>
      <c r="AR83" s="3">
        <f t="shared" si="31"/>
        <v>80</v>
      </c>
      <c r="AS83" s="4">
        <f t="shared" si="32"/>
        <v>9.6237250392530118</v>
      </c>
    </row>
    <row r="84" spans="3:45" x14ac:dyDescent="0.25">
      <c r="D84" s="1">
        <v>42622</v>
      </c>
      <c r="E84" s="3">
        <v>102.60320900000001</v>
      </c>
      <c r="F84" s="3">
        <v>210.96461099999999</v>
      </c>
      <c r="G84" s="3">
        <f t="shared" si="35"/>
        <v>-2.3777919999999995</v>
      </c>
      <c r="H84" s="3">
        <f t="shared" si="36"/>
        <v>-5.1732190000000173</v>
      </c>
      <c r="I84" s="4">
        <f t="shared" si="37"/>
        <v>-2.6706305099069105</v>
      </c>
      <c r="J84" s="4">
        <f t="shared" si="38"/>
        <v>-5.4382295093947084</v>
      </c>
      <c r="K84" s="4">
        <f t="shared" si="39"/>
        <v>-2.4061074920634917</v>
      </c>
      <c r="L84" s="4">
        <f t="shared" si="40"/>
        <v>-5.239007634920652</v>
      </c>
      <c r="M84" s="4">
        <f t="shared" si="41"/>
        <v>-2.2910181877567673E-2</v>
      </c>
      <c r="N84" s="4">
        <f t="shared" si="42"/>
        <v>-2.4225907005311124E-2</v>
      </c>
      <c r="O84" s="4">
        <f t="shared" si="43"/>
        <v>-2.3166150106228717E-2</v>
      </c>
      <c r="P84" s="4">
        <f t="shared" si="44"/>
        <v>-2.4538894722371515E-2</v>
      </c>
      <c r="S84" s="4">
        <v>-2.7537590362006516E-2</v>
      </c>
      <c r="T84" s="4">
        <v>-0.34013195398415547</v>
      </c>
      <c r="U84" s="4">
        <f t="shared" si="45"/>
        <v>-0.28640741480897169</v>
      </c>
      <c r="W84" s="4">
        <f t="shared" si="46"/>
        <v>-1.8510989099963387E-2</v>
      </c>
      <c r="X84" s="4">
        <f t="shared" si="47"/>
        <v>-0.43917506685744323</v>
      </c>
      <c r="Y84" s="3">
        <f t="shared" si="34"/>
        <v>-40.950227587032259</v>
      </c>
      <c r="AA84" s="3"/>
      <c r="AH84" s="3">
        <f t="shared" si="33"/>
        <v>80.5</v>
      </c>
      <c r="AI84" s="4">
        <f t="shared" si="23"/>
        <v>0.82312599201085579</v>
      </c>
      <c r="AJ84" s="4">
        <f t="shared" si="24"/>
        <v>0.45326962031457896</v>
      </c>
      <c r="AK84" s="4">
        <f t="shared" si="25"/>
        <v>0.27413799882323858</v>
      </c>
      <c r="AL84" s="3">
        <f t="shared" si="30"/>
        <v>184.89440993788821</v>
      </c>
      <c r="AM84" s="4">
        <f t="shared" si="26"/>
        <v>69.160643853889155</v>
      </c>
      <c r="AN84" s="4">
        <f t="shared" si="27"/>
        <v>61.65596897877731</v>
      </c>
      <c r="AO84" s="4">
        <f t="shared" si="28"/>
        <v>7.3867084100748874</v>
      </c>
      <c r="AP84" s="4">
        <f t="shared" si="48"/>
        <v>9.9206840237263947</v>
      </c>
      <c r="AR84" s="3">
        <f t="shared" si="31"/>
        <v>80.5</v>
      </c>
      <c r="AS84" s="4">
        <f t="shared" si="32"/>
        <v>9.9206840237263947</v>
      </c>
    </row>
    <row r="85" spans="3:45" x14ac:dyDescent="0.25">
      <c r="D85" s="1">
        <v>42621</v>
      </c>
      <c r="E85" s="3">
        <v>104.98100100000001</v>
      </c>
      <c r="F85" s="3">
        <v>216.13783000000001</v>
      </c>
      <c r="G85" s="3">
        <f t="shared" si="35"/>
        <v>-2.8254969999999986</v>
      </c>
      <c r="H85" s="3">
        <f t="shared" si="36"/>
        <v>-0.49457200000000512</v>
      </c>
      <c r="I85" s="4">
        <f t="shared" si="37"/>
        <v>-3.0902994601678633</v>
      </c>
      <c r="J85" s="4">
        <f t="shared" si="38"/>
        <v>-0.51872068326143173</v>
      </c>
      <c r="K85" s="4">
        <f t="shared" si="39"/>
        <v>-2.8538124920634909</v>
      </c>
      <c r="L85" s="4">
        <f t="shared" si="40"/>
        <v>-0.56036063492064003</v>
      </c>
      <c r="M85" s="4">
        <f t="shared" si="41"/>
        <v>-2.6558544023122143E-2</v>
      </c>
      <c r="N85" s="4">
        <f t="shared" si="42"/>
        <v>-2.2856110644153761E-3</v>
      </c>
      <c r="O85" s="4">
        <f t="shared" si="43"/>
        <v>-2.6814512251783187E-2</v>
      </c>
      <c r="P85" s="4">
        <f t="shared" si="44"/>
        <v>-2.5985987814757666E-3</v>
      </c>
      <c r="S85" s="4">
        <v>2.1798563311965049</v>
      </c>
      <c r="T85" s="4">
        <v>-1.8873488117007478</v>
      </c>
      <c r="U85" s="4">
        <f t="shared" si="45"/>
        <v>-0.16719728385873833</v>
      </c>
      <c r="W85" s="4">
        <f t="shared" si="46"/>
        <v>3.7350668849756561</v>
      </c>
      <c r="X85" s="4">
        <f t="shared" si="47"/>
        <v>-0.22899618914148259</v>
      </c>
      <c r="Y85" s="3">
        <f t="shared" si="34"/>
        <v>-586.14098873298235</v>
      </c>
      <c r="AA85" s="3"/>
      <c r="AH85" s="3">
        <f t="shared" si="33"/>
        <v>81</v>
      </c>
      <c r="AI85" s="4">
        <f t="shared" si="23"/>
        <v>0.8721174940482781</v>
      </c>
      <c r="AJ85" s="4">
        <f t="shared" si="24"/>
        <v>0.48277253625103089</v>
      </c>
      <c r="AK85" s="4">
        <f t="shared" si="25"/>
        <v>0.28949379263999137</v>
      </c>
      <c r="AL85" s="3">
        <f t="shared" si="30"/>
        <v>183.75308641975309</v>
      </c>
      <c r="AM85" s="4">
        <f t="shared" si="26"/>
        <v>68.065154681040752</v>
      </c>
      <c r="AN85" s="4">
        <f t="shared" si="27"/>
        <v>60.581214392093912</v>
      </c>
      <c r="AO85" s="4">
        <f t="shared" si="28"/>
        <v>7.3612620551109762</v>
      </c>
      <c r="AP85" s="4">
        <f t="shared" si="48"/>
        <v>10.21636449504072</v>
      </c>
      <c r="AR85" s="3">
        <f t="shared" si="31"/>
        <v>81</v>
      </c>
      <c r="AS85" s="4">
        <f t="shared" si="32"/>
        <v>10.21636449504072</v>
      </c>
    </row>
    <row r="86" spans="3:45" x14ac:dyDescent="0.25">
      <c r="D86" s="1">
        <v>42620</v>
      </c>
      <c r="E86" s="3">
        <v>107.806498</v>
      </c>
      <c r="F86" s="3">
        <v>216.63240200000001</v>
      </c>
      <c r="G86" s="3">
        <f t="shared" si="35"/>
        <v>0.65663299999999936</v>
      </c>
      <c r="H86" s="3">
        <f t="shared" si="36"/>
        <v>-1.9786999999979571E-2</v>
      </c>
      <c r="I86" s="4">
        <f t="shared" si="37"/>
        <v>0.72257300236945632</v>
      </c>
      <c r="J86" s="4">
        <f t="shared" si="38"/>
        <v>-2.0751253099521458E-2</v>
      </c>
      <c r="K86" s="4">
        <f t="shared" si="39"/>
        <v>0.62831750793650731</v>
      </c>
      <c r="L86" s="4">
        <f t="shared" si="40"/>
        <v>-8.5575634920614457E-2</v>
      </c>
      <c r="M86" s="4">
        <f t="shared" si="41"/>
        <v>6.1094729485821741E-3</v>
      </c>
      <c r="N86" s="4">
        <f t="shared" si="42"/>
        <v>-9.1334889007068566E-5</v>
      </c>
      <c r="O86" s="4">
        <f t="shared" si="43"/>
        <v>5.8535047199211312E-3</v>
      </c>
      <c r="P86" s="4">
        <f t="shared" si="44"/>
        <v>-4.0432260606745917E-4</v>
      </c>
      <c r="S86" s="4">
        <v>0.23813275768220246</v>
      </c>
      <c r="T86" s="4">
        <v>-2.6759518614274103E-2</v>
      </c>
      <c r="U86" s="4">
        <f t="shared" si="45"/>
        <v>0.12395898542999743</v>
      </c>
      <c r="W86" s="4">
        <f t="shared" si="46"/>
        <v>0.43324994512995291</v>
      </c>
      <c r="X86" s="4">
        <f t="shared" si="47"/>
        <v>0.28434019788605569</v>
      </c>
      <c r="Y86" s="3">
        <f t="shared" si="34"/>
        <v>-40.510315621412246</v>
      </c>
      <c r="AA86" s="3"/>
      <c r="AH86" s="3">
        <f t="shared" si="33"/>
        <v>81.5</v>
      </c>
      <c r="AI86" s="4">
        <f t="shared" si="23"/>
        <v>0.92326641007369048</v>
      </c>
      <c r="AJ86" s="4">
        <f t="shared" si="24"/>
        <v>0.51374889457815698</v>
      </c>
      <c r="AK86" s="4">
        <f t="shared" si="25"/>
        <v>0.30544521237927486</v>
      </c>
      <c r="AL86" s="3">
        <f t="shared" si="30"/>
        <v>182.62576687116564</v>
      </c>
      <c r="AM86" s="4">
        <f t="shared" si="26"/>
        <v>66.984562412471178</v>
      </c>
      <c r="AN86" s="4">
        <f t="shared" si="27"/>
        <v>59.522064534167043</v>
      </c>
      <c r="AO86" s="4">
        <f t="shared" si="28"/>
        <v>7.3350276284471558</v>
      </c>
      <c r="AP86" s="4">
        <f t="shared" si="48"/>
        <v>10.510231067177406</v>
      </c>
      <c r="AR86" s="3">
        <f t="shared" si="31"/>
        <v>81.5</v>
      </c>
      <c r="AS86" s="4">
        <f t="shared" si="32"/>
        <v>10.510231067177406</v>
      </c>
    </row>
    <row r="87" spans="3:45" x14ac:dyDescent="0.25">
      <c r="C87" s="16"/>
      <c r="D87" s="1">
        <v>42619</v>
      </c>
      <c r="E87" s="3">
        <v>107.14986500000001</v>
      </c>
      <c r="F87" s="3">
        <v>216.65218899999999</v>
      </c>
      <c r="G87" s="3">
        <f t="shared" si="35"/>
        <v>-2.9854000000000269E-2</v>
      </c>
      <c r="H87" s="3">
        <f t="shared" si="36"/>
        <v>0.65283900000000017</v>
      </c>
      <c r="I87" s="4">
        <f t="shared" si="37"/>
        <v>-3.2842829709378428E-2</v>
      </c>
      <c r="J87" s="4">
        <f t="shared" si="38"/>
        <v>0.68672222282091611</v>
      </c>
      <c r="K87" s="4">
        <f t="shared" si="39"/>
        <v>-5.8169492063492326E-2</v>
      </c>
      <c r="L87" s="4">
        <f t="shared" si="40"/>
        <v>0.58705036507936526</v>
      </c>
      <c r="M87" s="4">
        <f t="shared" si="41"/>
        <v>-2.7858030269007814E-4</v>
      </c>
      <c r="N87" s="4">
        <f t="shared" si="42"/>
        <v>3.0178535686395205E-3</v>
      </c>
      <c r="O87" s="4">
        <f t="shared" si="43"/>
        <v>-5.345485313511208E-4</v>
      </c>
      <c r="P87" s="4">
        <f t="shared" si="44"/>
        <v>2.70486585157913E-3</v>
      </c>
      <c r="S87" s="4">
        <v>0.68524611500131583</v>
      </c>
      <c r="T87" s="4">
        <v>0.10085959198067085</v>
      </c>
      <c r="U87" s="4">
        <f t="shared" si="45"/>
        <v>0.49769191441212168</v>
      </c>
      <c r="W87" s="4">
        <f t="shared" si="46"/>
        <v>1.1935468675984893</v>
      </c>
      <c r="X87" s="4">
        <f t="shared" si="47"/>
        <v>0.94326714438655312</v>
      </c>
      <c r="Y87" s="3">
        <f t="shared" si="34"/>
        <v>-93.280918161265163</v>
      </c>
      <c r="AA87" s="3"/>
      <c r="AH87" s="3">
        <f t="shared" si="33"/>
        <v>82</v>
      </c>
      <c r="AI87" s="4">
        <f t="shared" ref="AI87:AI150" si="49">AH87*EXP(-$B$9*$B$7)*NORMSDIST((LN(AH87/$AG$15)+($B$8-$B$9+0.5*$B$6^2)*$B$7)/($B$6*SQRT($B$7)))-$AG$15*EXP(-$B$8*$B$7)*NORMSDIST((LN(AH87/$AG$15)+($B$8-$B$9-0.5*$B$6^2)*$B$7)/($B$6*SQRT($B$7)))</f>
        <v>0.97662691887915987</v>
      </c>
      <c r="AJ87" s="4">
        <f t="shared" ref="AJ87:AJ150" si="50">AH87*EXP(-$B$9*$B$7)*NORMSDIST((LN(AH87/$AG$10)+($B$8-$B$9+0.5*$B$6^2)*$B$7)/($B$6*SQRT($B$7)))-$AG$10*EXP(-$B$8*$B$7)*NORMSDIST((LN(AH87/$AG$10)+($B$8-$B$9-0.5*$B$6^2)*$B$7)/($B$6*SQRT($B$7)))</f>
        <v>0.54624581648212178</v>
      </c>
      <c r="AK87" s="4">
        <f t="shared" ref="AK87:AK150" si="51">EXP(-$B$8*$B$7)*NORMSDIST((LN(AH87/$AG$10)+($B$8-$B$9-0.5*$B$6^2)*$B$7)/($B$6*SQRT($B$7)))*($AG$10-$AG$15)</f>
        <v>0.32200149038176817</v>
      </c>
      <c r="AL87" s="3">
        <f t="shared" si="30"/>
        <v>181.51219512195121</v>
      </c>
      <c r="AM87" s="4">
        <f t="shared" ref="AM87:AM150" si="52">AL87*EXP(-$B$9*$B$7)*NORMSDIST((LN(AL87/$AG$15)+($B$8-$B$9+0.5*$B$6^2)*$B$7)/($B$6*SQRT($B$7)))-$AG$15*EXP(-$B$8*$B$7)*NORMSDIST((LN(AL87/$AG$15)+($B$8-$B$9-0.5*$B$6^2)*$B$7)/($B$6*SQRT($B$7)))</f>
        <v>65.918648731876402</v>
      </c>
      <c r="AN87" s="4">
        <f t="shared" ref="AN87:AN150" si="53">AL87*EXP(-$B$9*$B$7)*NORMSDIST((LN(AL87/$AG$10)+($B$8-$B$9+0.5*$B$6^2)*$B$7)/($B$6*SQRT($B$7)))-$AG$10*EXP(-$B$8*$B$7)*NORMSDIST((LN(AL87/$AG$10)+($B$8-$B$9-0.5*$B$6^2)*$B$7)/($B$6*SQRT($B$7)))</f>
        <v>58.478307380239215</v>
      </c>
      <c r="AO87" s="4">
        <f t="shared" ref="AO87:AO150" si="54">EXP(-$B$8*$B$7)*NORMSDIST((LN(AL87/$AG$10)+($B$8-$B$9-0.5*$B$6^2)*$B$7)/($B$6*SQRT($B$7)))*($AG$10-$AG$15)</f>
        <v>7.308002112482157</v>
      </c>
      <c r="AP87" s="4">
        <f t="shared" si="48"/>
        <v>10.801743290050863</v>
      </c>
      <c r="AR87" s="3">
        <f t="shared" si="31"/>
        <v>82</v>
      </c>
      <c r="AS87" s="4">
        <f t="shared" si="32"/>
        <v>10.801743290050863</v>
      </c>
    </row>
    <row r="88" spans="3:45" x14ac:dyDescent="0.25">
      <c r="C88" s="16"/>
      <c r="D88" s="1">
        <v>42615</v>
      </c>
      <c r="E88" s="3">
        <v>107.17971900000001</v>
      </c>
      <c r="F88" s="3">
        <v>215.99934999999999</v>
      </c>
      <c r="G88" s="3">
        <f t="shared" si="35"/>
        <v>0.99489200000000722</v>
      </c>
      <c r="H88" s="3">
        <f t="shared" si="36"/>
        <v>0.96935600000000477</v>
      </c>
      <c r="I88" s="4">
        <f t="shared" si="37"/>
        <v>1.1047503020329719</v>
      </c>
      <c r="J88" s="4">
        <f t="shared" si="38"/>
        <v>1.0242635431850178</v>
      </c>
      <c r="K88" s="4">
        <f t="shared" si="39"/>
        <v>0.96657650793651517</v>
      </c>
      <c r="L88" s="4">
        <f t="shared" si="40"/>
        <v>0.90356736507936986</v>
      </c>
      <c r="M88" s="4">
        <f t="shared" si="41"/>
        <v>9.3258156445426201E-3</v>
      </c>
      <c r="N88" s="4">
        <f t="shared" si="42"/>
        <v>4.4978730461641882E-3</v>
      </c>
      <c r="O88" s="4">
        <f t="shared" si="43"/>
        <v>9.0698474158815781E-3</v>
      </c>
      <c r="P88" s="4">
        <f t="shared" si="44"/>
        <v>4.1848853291037973E-3</v>
      </c>
      <c r="S88" s="4">
        <v>-0.38891935040174203</v>
      </c>
      <c r="T88" s="4">
        <v>1.2287117020219056</v>
      </c>
      <c r="U88" s="4">
        <f t="shared" si="45"/>
        <v>0.73689604625427396</v>
      </c>
      <c r="W88" s="4">
        <f t="shared" si="46"/>
        <v>-0.63302503905346186</v>
      </c>
      <c r="X88" s="4">
        <f t="shared" si="47"/>
        <v>1.3650069375975247</v>
      </c>
      <c r="Y88" s="3">
        <f t="shared" si="34"/>
        <v>238.98275413055308</v>
      </c>
      <c r="AA88" s="3"/>
      <c r="AH88" s="3">
        <f t="shared" si="33"/>
        <v>82.5</v>
      </c>
      <c r="AI88" s="4">
        <f t="shared" si="49"/>
        <v>1.0322528556836819</v>
      </c>
      <c r="AJ88" s="4">
        <f t="shared" si="50"/>
        <v>0.58031068657094487</v>
      </c>
      <c r="AK88" s="4">
        <f t="shared" si="51"/>
        <v>0.33917141556867358</v>
      </c>
      <c r="AL88" s="3">
        <f t="shared" ref="AL88:AL151" si="55">$AG$10^2/AH88</f>
        <v>180.41212121212121</v>
      </c>
      <c r="AM88" s="4">
        <f t="shared" si="52"/>
        <v>64.867201356852618</v>
      </c>
      <c r="AN88" s="4">
        <f t="shared" si="53"/>
        <v>57.449736287128928</v>
      </c>
      <c r="AO88" s="4">
        <f t="shared" si="54"/>
        <v>7.2801832981977066</v>
      </c>
      <c r="AP88" s="4">
        <f t="shared" si="48"/>
        <v>11.0903570622425</v>
      </c>
      <c r="AR88" s="3">
        <f t="shared" ref="AR88:AR151" si="56">AH88</f>
        <v>82.5</v>
      </c>
      <c r="AS88" s="4">
        <f t="shared" ref="AS88:AS151" si="57">AP88</f>
        <v>11.0903570622425</v>
      </c>
    </row>
    <row r="89" spans="3:45" x14ac:dyDescent="0.25">
      <c r="C89" s="12"/>
      <c r="D89" s="1">
        <v>42614</v>
      </c>
      <c r="E89" s="3">
        <v>106.184827</v>
      </c>
      <c r="F89" s="3">
        <v>215.02999399999999</v>
      </c>
      <c r="G89" s="3">
        <f t="shared" si="35"/>
        <v>0.6267869999999931</v>
      </c>
      <c r="H89" s="3">
        <f t="shared" si="36"/>
        <v>9.8859999999945103E-3</v>
      </c>
      <c r="I89" s="4">
        <f t="shared" si="37"/>
        <v>0.70013101491034868</v>
      </c>
      <c r="J89" s="4">
        <f t="shared" si="38"/>
        <v>1.0446456148188487E-2</v>
      </c>
      <c r="K89" s="4">
        <f t="shared" si="39"/>
        <v>0.59847150793650106</v>
      </c>
      <c r="L89" s="4">
        <f t="shared" si="40"/>
        <v>-5.5902634920640376E-2</v>
      </c>
      <c r="M89" s="4">
        <f t="shared" si="41"/>
        <v>5.9202828374490457E-3</v>
      </c>
      <c r="N89" s="4">
        <f t="shared" si="42"/>
        <v>4.5976038400035845E-5</v>
      </c>
      <c r="O89" s="4">
        <f t="shared" si="43"/>
        <v>5.6643146087880028E-3</v>
      </c>
      <c r="P89" s="4">
        <f t="shared" si="44"/>
        <v>-2.6701167866035474E-4</v>
      </c>
      <c r="S89" s="4">
        <v>-0.39544448226221302</v>
      </c>
      <c r="T89" s="4">
        <v>-1.3941279565858531</v>
      </c>
      <c r="U89" s="4">
        <f t="shared" si="45"/>
        <v>-1.3461858840526557</v>
      </c>
      <c r="W89" s="4">
        <f t="shared" si="46"/>
        <v>-0.64412074351186543</v>
      </c>
      <c r="X89" s="4">
        <f t="shared" si="47"/>
        <v>-2.3076660039755712</v>
      </c>
      <c r="Y89" s="3">
        <f t="shared" si="34"/>
        <v>-126.46962308176808</v>
      </c>
      <c r="AA89" s="3"/>
      <c r="AH89" s="3">
        <f t="shared" ref="AH89:AH152" si="58">AH88+0.5</f>
        <v>83</v>
      </c>
      <c r="AI89" s="4">
        <f t="shared" si="49"/>
        <v>1.0901976514797909</v>
      </c>
      <c r="AJ89" s="4">
        <f t="shared" si="50"/>
        <v>0.61599110625520392</v>
      </c>
      <c r="AK89" s="4">
        <f t="shared" si="51"/>
        <v>0.35696331525868125</v>
      </c>
      <c r="AL89" s="3">
        <f t="shared" si="55"/>
        <v>179.32530120481928</v>
      </c>
      <c r="AM89" s="4">
        <f t="shared" si="52"/>
        <v>63.830013814713567</v>
      </c>
      <c r="AN89" s="4">
        <f t="shared" si="53"/>
        <v>56.436149756590751</v>
      </c>
      <c r="AO89" s="4">
        <f t="shared" si="54"/>
        <v>7.2515697905435301</v>
      </c>
      <c r="AP89" s="4">
        <f t="shared" si="48"/>
        <v>11.375526050641248</v>
      </c>
      <c r="AR89" s="3">
        <f t="shared" si="56"/>
        <v>83</v>
      </c>
      <c r="AS89" s="4">
        <f t="shared" si="57"/>
        <v>11.375526050641248</v>
      </c>
    </row>
    <row r="90" spans="3:45" x14ac:dyDescent="0.25">
      <c r="C90" s="12"/>
      <c r="D90" s="1">
        <v>42613</v>
      </c>
      <c r="E90" s="3">
        <v>105.55804000000001</v>
      </c>
      <c r="F90" s="3">
        <v>215.02010799999999</v>
      </c>
      <c r="G90" s="3">
        <f t="shared" si="35"/>
        <v>9.9488000000008014E-2</v>
      </c>
      <c r="H90" s="3">
        <f t="shared" si="36"/>
        <v>-0.61326400000001513</v>
      </c>
      <c r="I90" s="4">
        <f t="shared" si="37"/>
        <v>0.11123451114664409</v>
      </c>
      <c r="J90" s="4">
        <f t="shared" si="38"/>
        <v>-0.64618809435884261</v>
      </c>
      <c r="K90" s="4">
        <f t="shared" si="39"/>
        <v>7.1172507936515958E-2</v>
      </c>
      <c r="L90" s="4">
        <f t="shared" si="40"/>
        <v>-0.67905263492065004</v>
      </c>
      <c r="M90" s="4">
        <f t="shared" si="41"/>
        <v>9.4294013971690913E-4</v>
      </c>
      <c r="N90" s="4">
        <f t="shared" si="42"/>
        <v>-2.8480643627417802E-3</v>
      </c>
      <c r="O90" s="4">
        <f t="shared" si="43"/>
        <v>6.8697191105586658E-4</v>
      </c>
      <c r="P90" s="4">
        <f t="shared" si="44"/>
        <v>-3.1610520798021706E-3</v>
      </c>
      <c r="S90" s="4">
        <v>-1.2200186256747645</v>
      </c>
      <c r="T90" s="4">
        <v>1.0824978527517439</v>
      </c>
      <c r="U90" s="4">
        <f t="shared" si="45"/>
        <v>0.11433683330790034</v>
      </c>
      <c r="W90" s="4">
        <f t="shared" si="46"/>
        <v>-2.0462734041765005</v>
      </c>
      <c r="X90" s="4">
        <f t="shared" si="47"/>
        <v>0.26737542217350407</v>
      </c>
      <c r="Y90" s="3">
        <f t="shared" si="34"/>
        <v>365.59693316693847</v>
      </c>
      <c r="AA90" s="3"/>
      <c r="AH90" s="3">
        <f t="shared" si="58"/>
        <v>83.5</v>
      </c>
      <c r="AI90" s="4">
        <f t="shared" si="49"/>
        <v>1.1505142732595104</v>
      </c>
      <c r="AJ90" s="4">
        <f t="shared" si="50"/>
        <v>0.65333484662617103</v>
      </c>
      <c r="AK90" s="4">
        <f t="shared" si="51"/>
        <v>0.37538503796155609</v>
      </c>
      <c r="AL90" s="3">
        <f t="shared" si="55"/>
        <v>178.25149700598803</v>
      </c>
      <c r="AM90" s="4">
        <f t="shared" si="52"/>
        <v>62.8068852249136</v>
      </c>
      <c r="AN90" s="4">
        <f t="shared" si="53"/>
        <v>55.437351206770344</v>
      </c>
      <c r="AO90" s="4">
        <f t="shared" si="54"/>
        <v>7.2221610119854738</v>
      </c>
      <c r="AP90" s="4">
        <f t="shared" si="48"/>
        <v>11.65670311156769</v>
      </c>
      <c r="AR90" s="3">
        <f t="shared" si="56"/>
        <v>83.5</v>
      </c>
      <c r="AS90" s="4">
        <f t="shared" si="57"/>
        <v>11.65670311156769</v>
      </c>
    </row>
    <row r="91" spans="3:45" x14ac:dyDescent="0.25">
      <c r="C91" s="16"/>
      <c r="D91" s="1">
        <v>42612</v>
      </c>
      <c r="E91" s="3">
        <v>105.458552</v>
      </c>
      <c r="F91" s="3">
        <v>215.63337200000001</v>
      </c>
      <c r="G91" s="3">
        <f t="shared" si="35"/>
        <v>-0.81581099999999651</v>
      </c>
      <c r="H91" s="3">
        <f t="shared" si="36"/>
        <v>-0.35609199999998964</v>
      </c>
      <c r="I91" s="4">
        <f t="shared" si="37"/>
        <v>-0.90513154403234197</v>
      </c>
      <c r="J91" s="4">
        <f t="shared" si="38"/>
        <v>-0.37459079861711053</v>
      </c>
      <c r="K91" s="4">
        <f t="shared" si="39"/>
        <v>-0.84412649206348855</v>
      </c>
      <c r="L91" s="4">
        <f t="shared" si="40"/>
        <v>-0.42188063492062455</v>
      </c>
      <c r="M91" s="4">
        <f t="shared" si="41"/>
        <v>-7.706076659329951E-3</v>
      </c>
      <c r="N91" s="4">
        <f t="shared" si="42"/>
        <v>-1.6500150181572961E-3</v>
      </c>
      <c r="O91" s="4">
        <f t="shared" si="43"/>
        <v>-7.962044887990993E-3</v>
      </c>
      <c r="P91" s="4">
        <f t="shared" si="44"/>
        <v>-1.9630027352176868E-3</v>
      </c>
      <c r="S91" s="4">
        <v>0.31168774119017206</v>
      </c>
      <c r="T91" s="4">
        <v>0.51126989599664241</v>
      </c>
      <c r="U91" s="4">
        <f t="shared" si="45"/>
        <v>0.59529136744134359</v>
      </c>
      <c r="W91" s="4">
        <f t="shared" si="46"/>
        <v>0.55832701267418972</v>
      </c>
      <c r="X91" s="4">
        <f t="shared" si="47"/>
        <v>1.11534432725566</v>
      </c>
      <c r="Y91" s="3">
        <f t="shared" si="34"/>
        <v>22.865778403070635</v>
      </c>
      <c r="AA91" s="3"/>
      <c r="AH91" s="3">
        <f t="shared" si="58"/>
        <v>84</v>
      </c>
      <c r="AI91" s="4">
        <f t="shared" si="49"/>
        <v>1.2132551652430017</v>
      </c>
      <c r="AJ91" s="4">
        <f t="shared" si="50"/>
        <v>0.69238980093722002</v>
      </c>
      <c r="AK91" s="4">
        <f t="shared" si="51"/>
        <v>0.39444393718636223</v>
      </c>
      <c r="AL91" s="3">
        <f t="shared" si="55"/>
        <v>177.1904761904762</v>
      </c>
      <c r="AM91" s="4">
        <f t="shared" si="52"/>
        <v>61.797620087893534</v>
      </c>
      <c r="AN91" s="4">
        <f t="shared" si="53"/>
        <v>54.453148751581764</v>
      </c>
      <c r="AO91" s="4">
        <f t="shared" si="54"/>
        <v>7.1919572042368749</v>
      </c>
      <c r="AP91" s="4">
        <f t="shared" si="48"/>
        <v>11.933341707983407</v>
      </c>
      <c r="AR91" s="3">
        <f t="shared" si="56"/>
        <v>84</v>
      </c>
      <c r="AS91" s="4">
        <f t="shared" si="57"/>
        <v>11.933341707983407</v>
      </c>
    </row>
    <row r="92" spans="3:45" x14ac:dyDescent="0.25">
      <c r="C92" s="16"/>
      <c r="D92" s="1">
        <v>42611</v>
      </c>
      <c r="E92" s="3">
        <v>106.27436299999999</v>
      </c>
      <c r="F92" s="3">
        <v>215.989464</v>
      </c>
      <c r="G92" s="3">
        <f t="shared" si="35"/>
        <v>-0.11939000000000988</v>
      </c>
      <c r="H92" s="3">
        <f t="shared" si="36"/>
        <v>1.0583910000000003</v>
      </c>
      <c r="I92" s="4">
        <f t="shared" si="37"/>
        <v>-0.13231298812780073</v>
      </c>
      <c r="J92" s="4">
        <f t="shared" si="38"/>
        <v>1.1188564927451745</v>
      </c>
      <c r="K92" s="4">
        <f t="shared" si="39"/>
        <v>-0.14770549206350192</v>
      </c>
      <c r="L92" s="4">
        <f t="shared" si="40"/>
        <v>0.99260236507936539</v>
      </c>
      <c r="M92" s="4">
        <f t="shared" si="41"/>
        <v>-1.1227824347898846E-3</v>
      </c>
      <c r="N92" s="4">
        <f t="shared" si="42"/>
        <v>4.9122426869079592E-3</v>
      </c>
      <c r="O92" s="4">
        <f t="shared" si="43"/>
        <v>-1.3787506634509272E-3</v>
      </c>
      <c r="P92" s="4">
        <f t="shared" si="44"/>
        <v>4.5992549698475682E-3</v>
      </c>
      <c r="S92" s="4">
        <v>0.70491868815108294</v>
      </c>
      <c r="T92" s="4">
        <v>0.45421345857826884</v>
      </c>
      <c r="U92" s="4">
        <f t="shared" si="45"/>
        <v>0.78978554384919741</v>
      </c>
      <c r="W92" s="4">
        <f t="shared" si="46"/>
        <v>1.2269992272248873</v>
      </c>
      <c r="X92" s="4">
        <f t="shared" si="47"/>
        <v>1.4582561871273545</v>
      </c>
      <c r="Y92" s="3">
        <f t="shared" si="34"/>
        <v>-46.935531223242833</v>
      </c>
      <c r="AA92" s="3"/>
      <c r="AH92" s="3">
        <f t="shared" si="58"/>
        <v>84.5</v>
      </c>
      <c r="AI92" s="4">
        <f t="shared" si="49"/>
        <v>1.2784721912279782</v>
      </c>
      <c r="AJ92" s="4">
        <f t="shared" si="50"/>
        <v>0.73320393679420537</v>
      </c>
      <c r="AK92" s="4">
        <f t="shared" si="51"/>
        <v>0.41414685629832659</v>
      </c>
      <c r="AL92" s="3">
        <f t="shared" si="55"/>
        <v>176.14201183431953</v>
      </c>
      <c r="AM92" s="4">
        <f t="shared" si="52"/>
        <v>60.802028080180307</v>
      </c>
      <c r="AN92" s="4">
        <f t="shared" si="53"/>
        <v>53.483354987842731</v>
      </c>
      <c r="AO92" s="4">
        <f t="shared" si="54"/>
        <v>7.1609594281990434</v>
      </c>
      <c r="AP92" s="4">
        <f t="shared" si="48"/>
        <v>12.204897317395424</v>
      </c>
      <c r="AR92" s="3">
        <f t="shared" si="56"/>
        <v>84.5</v>
      </c>
      <c r="AS92" s="4">
        <f t="shared" si="57"/>
        <v>12.204897317395424</v>
      </c>
    </row>
    <row r="93" spans="3:45" x14ac:dyDescent="0.25">
      <c r="C93" s="16"/>
      <c r="D93" s="1">
        <v>42608</v>
      </c>
      <c r="E93" s="3">
        <v>106.393753</v>
      </c>
      <c r="F93" s="3">
        <v>214.931073</v>
      </c>
      <c r="G93" s="3">
        <f t="shared" si="35"/>
        <v>-0.62677899999999909</v>
      </c>
      <c r="H93" s="3">
        <f t="shared" si="36"/>
        <v>-0.40555299999999761</v>
      </c>
      <c r="I93" s="4">
        <f t="shared" si="37"/>
        <v>-0.69055454141375305</v>
      </c>
      <c r="J93" s="4">
        <f t="shared" si="38"/>
        <v>-0.42791466403337469</v>
      </c>
      <c r="K93" s="4">
        <f t="shared" si="39"/>
        <v>-0.65509449206349113</v>
      </c>
      <c r="L93" s="4">
        <f t="shared" si="40"/>
        <v>-0.47134163492063252</v>
      </c>
      <c r="M93" s="4">
        <f t="shared" si="41"/>
        <v>-5.8738411263665061E-3</v>
      </c>
      <c r="N93" s="4">
        <f t="shared" si="42"/>
        <v>-1.8851199894527829E-3</v>
      </c>
      <c r="O93" s="4">
        <f t="shared" si="43"/>
        <v>-6.129809355027549E-3</v>
      </c>
      <c r="P93" s="4">
        <f t="shared" si="44"/>
        <v>-2.1981077065131734E-3</v>
      </c>
      <c r="S93" s="4">
        <v>-0.30801059825379107</v>
      </c>
      <c r="T93" s="4">
        <v>0.16035652490948568</v>
      </c>
      <c r="U93" s="4">
        <f t="shared" si="45"/>
        <v>-6.0656795502102151E-2</v>
      </c>
      <c r="W93" s="4">
        <f t="shared" si="46"/>
        <v>-0.49544320605321779</v>
      </c>
      <c r="X93" s="4">
        <f t="shared" si="47"/>
        <v>-4.1155104699956521E-2</v>
      </c>
      <c r="Y93" s="3">
        <f t="shared" si="34"/>
        <v>75.915769808665118</v>
      </c>
      <c r="AA93" s="3"/>
      <c r="AH93" s="3">
        <f t="shared" si="58"/>
        <v>85</v>
      </c>
      <c r="AI93" s="4">
        <f t="shared" si="49"/>
        <v>1.3462165781719673</v>
      </c>
      <c r="AJ93" s="4">
        <f t="shared" si="50"/>
        <v>0.77582524815921783</v>
      </c>
      <c r="AK93" s="4">
        <f t="shared" si="51"/>
        <v>0.43450011445424641</v>
      </c>
      <c r="AL93" s="3">
        <f t="shared" si="55"/>
        <v>175.10588235294117</v>
      </c>
      <c r="AM93" s="4">
        <f t="shared" si="52"/>
        <v>59.819923855578807</v>
      </c>
      <c r="AN93" s="4">
        <f t="shared" si="53"/>
        <v>52.527786790006971</v>
      </c>
      <c r="AO93" s="4">
        <f t="shared" si="54"/>
        <v>7.1291695621421285</v>
      </c>
      <c r="AP93" s="4">
        <f t="shared" si="48"/>
        <v>12.470828825643649</v>
      </c>
      <c r="AR93" s="3">
        <f t="shared" si="56"/>
        <v>85</v>
      </c>
      <c r="AS93" s="4">
        <f t="shared" si="57"/>
        <v>12.470828825643649</v>
      </c>
    </row>
    <row r="94" spans="3:45" x14ac:dyDescent="0.25">
      <c r="C94" s="12"/>
      <c r="D94" s="1">
        <v>42607</v>
      </c>
      <c r="E94" s="3">
        <v>107.020532</v>
      </c>
      <c r="F94" s="3">
        <v>215.336626</v>
      </c>
      <c r="G94" s="3">
        <f t="shared" si="35"/>
        <v>-0.457650000000001</v>
      </c>
      <c r="H94" s="3">
        <f t="shared" si="36"/>
        <v>-0.14838000000000306</v>
      </c>
      <c r="I94" s="4">
        <f t="shared" si="37"/>
        <v>-0.50206946495057125</v>
      </c>
      <c r="J94" s="4">
        <f t="shared" si="38"/>
        <v>-0.15645367380531663</v>
      </c>
      <c r="K94" s="4">
        <f t="shared" si="39"/>
        <v>-0.48596549206349304</v>
      </c>
      <c r="L94" s="4">
        <f t="shared" si="40"/>
        <v>-0.21416863492063795</v>
      </c>
      <c r="M94" s="4">
        <f t="shared" si="41"/>
        <v>-4.2671649251375138E-3</v>
      </c>
      <c r="N94" s="4">
        <f t="shared" si="42"/>
        <v>-6.8882337768466672E-4</v>
      </c>
      <c r="O94" s="4">
        <f t="shared" si="43"/>
        <v>-4.5231331537985567E-3</v>
      </c>
      <c r="P94" s="4">
        <f t="shared" si="44"/>
        <v>-1.0018110947450573E-3</v>
      </c>
      <c r="S94" s="4">
        <v>-0.29291695382600696</v>
      </c>
      <c r="T94" s="4">
        <v>1.4966178779615893</v>
      </c>
      <c r="U94" s="4">
        <f t="shared" si="45"/>
        <v>1.0077883366902742</v>
      </c>
      <c r="W94" s="4">
        <f t="shared" si="46"/>
        <v>-0.46977711663892135</v>
      </c>
      <c r="X94" s="4">
        <f t="shared" si="47"/>
        <v>1.8426159892100391</v>
      </c>
      <c r="Y94" s="3">
        <f t="shared" si="34"/>
        <v>260.11557944833385</v>
      </c>
      <c r="AA94" s="3"/>
      <c r="AH94" s="3">
        <f t="shared" si="58"/>
        <v>85.5</v>
      </c>
      <c r="AI94" s="4">
        <f t="shared" si="49"/>
        <v>1.4165388611135423</v>
      </c>
      <c r="AJ94" s="4">
        <f t="shared" si="50"/>
        <v>0.8203017072712866</v>
      </c>
      <c r="AK94" s="4">
        <f t="shared" si="51"/>
        <v>0.45550949364229121</v>
      </c>
      <c r="AL94" s="3">
        <f t="shared" si="55"/>
        <v>174.08187134502924</v>
      </c>
      <c r="AM94" s="4">
        <f t="shared" si="52"/>
        <v>58.851126852307104</v>
      </c>
      <c r="AN94" s="4">
        <f t="shared" si="53"/>
        <v>51.586265112338637</v>
      </c>
      <c r="AO94" s="4">
        <f t="shared" si="54"/>
        <v>7.096590298162722</v>
      </c>
      <c r="AP94" s="4">
        <f t="shared" si="48"/>
        <v>12.730599901302931</v>
      </c>
      <c r="AR94" s="3">
        <f t="shared" si="56"/>
        <v>85.5</v>
      </c>
      <c r="AS94" s="4">
        <f t="shared" si="57"/>
        <v>12.730599901302931</v>
      </c>
    </row>
    <row r="95" spans="3:45" x14ac:dyDescent="0.25">
      <c r="C95" s="12"/>
      <c r="D95" s="1">
        <v>42606</v>
      </c>
      <c r="E95" s="3">
        <v>107.478182</v>
      </c>
      <c r="F95" s="3">
        <v>215.485006</v>
      </c>
      <c r="G95" s="3">
        <f t="shared" si="35"/>
        <v>-0.81581099999999651</v>
      </c>
      <c r="H95" s="3">
        <f t="shared" si="36"/>
        <v>-1.1078369999999893</v>
      </c>
      <c r="I95" s="4">
        <f t="shared" si="37"/>
        <v>-0.88825128345986448</v>
      </c>
      <c r="J95" s="4">
        <f t="shared" si="38"/>
        <v>-1.1621420589823301</v>
      </c>
      <c r="K95" s="4">
        <f t="shared" si="39"/>
        <v>-0.84412649206348855</v>
      </c>
      <c r="L95" s="4">
        <f t="shared" si="40"/>
        <v>-1.1736256349206242</v>
      </c>
      <c r="M95" s="4">
        <f t="shared" si="41"/>
        <v>-7.561817341918505E-3</v>
      </c>
      <c r="N95" s="4">
        <f t="shared" si="42"/>
        <v>-5.1279621494259462E-3</v>
      </c>
      <c r="O95" s="4">
        <f t="shared" si="43"/>
        <v>-7.8177855705795479E-3</v>
      </c>
      <c r="P95" s="4">
        <f t="shared" si="44"/>
        <v>-5.4409498664863372E-3</v>
      </c>
      <c r="S95" s="4">
        <v>0.79137135466368569</v>
      </c>
      <c r="T95" s="4">
        <v>-1.4301909117334759</v>
      </c>
      <c r="U95" s="4">
        <f t="shared" si="45"/>
        <v>-0.65126328652680221</v>
      </c>
      <c r="W95" s="4">
        <f t="shared" si="46"/>
        <v>1.374008246778329</v>
      </c>
      <c r="X95" s="4">
        <f t="shared" si="47"/>
        <v>-1.0824509112380338</v>
      </c>
      <c r="Y95" s="3">
        <f t="shared" si="34"/>
        <v>-323.58664674139072</v>
      </c>
      <c r="AA95" s="3"/>
      <c r="AH95" s="3">
        <f t="shared" si="58"/>
        <v>86</v>
      </c>
      <c r="AI95" s="4">
        <f t="shared" si="49"/>
        <v>1.4894888295324318</v>
      </c>
      <c r="AJ95" s="4">
        <f t="shared" si="50"/>
        <v>0.8666812165859108</v>
      </c>
      <c r="AK95" s="4">
        <f t="shared" si="51"/>
        <v>0.47718022684796951</v>
      </c>
      <c r="AL95" s="3">
        <f t="shared" si="55"/>
        <v>173.06976744186048</v>
      </c>
      <c r="AM95" s="4">
        <f t="shared" si="52"/>
        <v>57.89546110593048</v>
      </c>
      <c r="AN95" s="4">
        <f t="shared" si="53"/>
        <v>50.658614798375979</v>
      </c>
      <c r="AO95" s="4">
        <f t="shared" si="54"/>
        <v>7.0632251369593337</v>
      </c>
      <c r="AP95" s="4">
        <f t="shared" si="48"/>
        <v>12.983680346412402</v>
      </c>
      <c r="AR95" s="3">
        <f t="shared" si="56"/>
        <v>86</v>
      </c>
      <c r="AS95" s="4">
        <f t="shared" si="57"/>
        <v>12.983680346412402</v>
      </c>
    </row>
    <row r="96" spans="3:45" x14ac:dyDescent="0.25">
      <c r="C96" s="16"/>
      <c r="D96" s="1">
        <v>42605</v>
      </c>
      <c r="E96" s="3">
        <v>108.293993</v>
      </c>
      <c r="F96" s="3">
        <v>216.59284299999999</v>
      </c>
      <c r="G96" s="3">
        <f t="shared" si="35"/>
        <v>0.33826000000000533</v>
      </c>
      <c r="H96" s="3">
        <f t="shared" si="36"/>
        <v>0.43522600000000011</v>
      </c>
      <c r="I96" s="4">
        <f t="shared" si="37"/>
        <v>0.369449929565488</v>
      </c>
      <c r="J96" s="4">
        <f t="shared" si="38"/>
        <v>0.45747961084610783</v>
      </c>
      <c r="K96" s="4">
        <f t="shared" si="39"/>
        <v>0.30994450793651329</v>
      </c>
      <c r="L96" s="4">
        <f t="shared" si="40"/>
        <v>0.3694373650793652</v>
      </c>
      <c r="M96" s="4">
        <f t="shared" si="41"/>
        <v>3.1284227003365033E-3</v>
      </c>
      <c r="N96" s="4">
        <f t="shared" si="42"/>
        <v>2.0114416365493949E-3</v>
      </c>
      <c r="O96" s="4">
        <f t="shared" si="43"/>
        <v>2.8724544716754608E-3</v>
      </c>
      <c r="P96" s="4">
        <f t="shared" si="44"/>
        <v>1.6984539194890044E-3</v>
      </c>
      <c r="S96" s="4">
        <v>-0.770703559913402</v>
      </c>
      <c r="T96" s="4">
        <v>1.1036282474861026</v>
      </c>
      <c r="U96" s="4">
        <f t="shared" si="45"/>
        <v>0.40499921771078679</v>
      </c>
      <c r="W96" s="4">
        <f t="shared" si="46"/>
        <v>-1.2822325717455063</v>
      </c>
      <c r="X96" s="4">
        <f t="shared" si="47"/>
        <v>0.77984104284753486</v>
      </c>
      <c r="Y96" s="3">
        <f t="shared" si="34"/>
        <v>287.74226383212499</v>
      </c>
      <c r="AA96" s="3"/>
      <c r="AH96" s="3">
        <f t="shared" si="58"/>
        <v>86.5</v>
      </c>
      <c r="AI96" s="4">
        <f t="shared" si="49"/>
        <v>1.5651154752421199</v>
      </c>
      <c r="AJ96" s="4">
        <f t="shared" si="50"/>
        <v>0.91501156083352075</v>
      </c>
      <c r="AK96" s="4">
        <f t="shared" si="51"/>
        <v>0.49951698736401046</v>
      </c>
      <c r="AL96" s="3">
        <f t="shared" si="55"/>
        <v>172.06936416184971</v>
      </c>
      <c r="AM96" s="4">
        <f t="shared" si="52"/>
        <v>56.952755067963096</v>
      </c>
      <c r="AN96" s="4">
        <f t="shared" si="53"/>
        <v>49.744664397537093</v>
      </c>
      <c r="AO96" s="4">
        <f t="shared" si="54"/>
        <v>7.0290783809713311</v>
      </c>
      <c r="AP96" s="4">
        <f t="shared" si="48"/>
        <v>13.229547418657027</v>
      </c>
      <c r="AR96" s="3">
        <f t="shared" si="56"/>
        <v>86.5</v>
      </c>
      <c r="AS96" s="4">
        <f t="shared" si="57"/>
        <v>13.229547418657027</v>
      </c>
    </row>
    <row r="97" spans="3:45" x14ac:dyDescent="0.25">
      <c r="C97" s="16"/>
      <c r="D97" s="1">
        <v>42604</v>
      </c>
      <c r="E97" s="3">
        <v>107.955733</v>
      </c>
      <c r="F97" s="3">
        <v>216.15761699999999</v>
      </c>
      <c r="G97" s="3">
        <f t="shared" si="35"/>
        <v>-0.84565700000000277</v>
      </c>
      <c r="H97" s="3">
        <f t="shared" si="36"/>
        <v>-9.886000000022932E-3</v>
      </c>
      <c r="I97" s="4">
        <f t="shared" si="37"/>
        <v>-0.91645355130691186</v>
      </c>
      <c r="J97" s="4">
        <f t="shared" si="38"/>
        <v>-1.0391007427269077E-2</v>
      </c>
      <c r="K97" s="4">
        <f t="shared" si="39"/>
        <v>-0.87397249206349481</v>
      </c>
      <c r="L97" s="4">
        <f t="shared" si="40"/>
        <v>-7.5674634920657818E-2</v>
      </c>
      <c r="M97" s="4">
        <f t="shared" si="41"/>
        <v>-7.8028466045531892E-3</v>
      </c>
      <c r="N97" s="4">
        <f t="shared" si="42"/>
        <v>-4.5734099382212772E-5</v>
      </c>
      <c r="O97" s="4">
        <f t="shared" si="43"/>
        <v>-8.0588148332142312E-3</v>
      </c>
      <c r="P97" s="4">
        <f t="shared" si="44"/>
        <v>-3.5872181644260335E-4</v>
      </c>
      <c r="S97" s="4">
        <v>0.3696802673096502</v>
      </c>
      <c r="T97" s="4">
        <v>0.22039544090894422</v>
      </c>
      <c r="U97" s="4">
        <f t="shared" si="45"/>
        <v>0.40007104622304274</v>
      </c>
      <c r="W97" s="4">
        <f t="shared" si="46"/>
        <v>0.65694079464480193</v>
      </c>
      <c r="X97" s="4">
        <f t="shared" si="47"/>
        <v>0.77115220453967115</v>
      </c>
      <c r="Y97" s="3">
        <f t="shared" si="34"/>
        <v>-27.048051670511086</v>
      </c>
      <c r="AA97" s="3"/>
      <c r="AH97" s="3">
        <f t="shared" si="58"/>
        <v>87</v>
      </c>
      <c r="AI97" s="4">
        <f t="shared" si="49"/>
        <v>1.6434669419020373</v>
      </c>
      <c r="AJ97" s="4">
        <f t="shared" si="50"/>
        <v>0.96534035929492923</v>
      </c>
      <c r="AK97" s="4">
        <f t="shared" si="51"/>
        <v>0.52252387925793975</v>
      </c>
      <c r="AL97" s="3">
        <f t="shared" si="55"/>
        <v>171.08045977011494</v>
      </c>
      <c r="AM97" s="4">
        <f t="shared" si="52"/>
        <v>56.022841430007247</v>
      </c>
      <c r="AN97" s="4">
        <f t="shared" si="53"/>
        <v>48.844245988720189</v>
      </c>
      <c r="AO97" s="4">
        <f t="shared" si="54"/>
        <v>6.9941551259309929</v>
      </c>
      <c r="AP97" s="4">
        <f t="shared" si="48"/>
        <v>13.467687121027588</v>
      </c>
      <c r="AR97" s="3">
        <f t="shared" si="56"/>
        <v>87</v>
      </c>
      <c r="AS97" s="4">
        <f t="shared" si="57"/>
        <v>13.467687121027588</v>
      </c>
    </row>
    <row r="98" spans="3:45" x14ac:dyDescent="0.25">
      <c r="D98" s="1">
        <v>42601</v>
      </c>
      <c r="E98" s="3">
        <v>108.80139</v>
      </c>
      <c r="F98" s="3">
        <v>216.16750300000001</v>
      </c>
      <c r="G98" s="3">
        <f t="shared" si="35"/>
        <v>0.27856900000000451</v>
      </c>
      <c r="H98" s="3">
        <f t="shared" si="36"/>
        <v>-0.31653299999999263</v>
      </c>
      <c r="I98" s="4">
        <f t="shared" si="37"/>
        <v>0.30266511321408179</v>
      </c>
      <c r="J98" s="4">
        <f t="shared" si="38"/>
        <v>-0.33221602144247403</v>
      </c>
      <c r="K98" s="4">
        <f t="shared" si="39"/>
        <v>0.25025350793651246</v>
      </c>
      <c r="L98" s="4">
        <f t="shared" si="40"/>
        <v>-0.38232163492062754</v>
      </c>
      <c r="M98" s="4">
        <f t="shared" si="41"/>
        <v>2.5636274144093985E-3</v>
      </c>
      <c r="N98" s="4">
        <f t="shared" si="42"/>
        <v>-1.4632239941038954E-3</v>
      </c>
      <c r="O98" s="4">
        <f t="shared" si="43"/>
        <v>2.307659185748356E-3</v>
      </c>
      <c r="P98" s="4">
        <f t="shared" si="44"/>
        <v>-1.7762117111642861E-3</v>
      </c>
      <c r="S98" s="4">
        <v>0.36871593567757344</v>
      </c>
      <c r="T98" s="4">
        <v>7.6708437887093708E-2</v>
      </c>
      <c r="U98" s="4">
        <f t="shared" si="45"/>
        <v>0.28558362762331174</v>
      </c>
      <c r="W98" s="4">
        <f t="shared" si="46"/>
        <v>0.65530099042042544</v>
      </c>
      <c r="X98" s="4">
        <f t="shared" si="47"/>
        <v>0.56929992099562921</v>
      </c>
      <c r="Y98" s="3">
        <f t="shared" si="34"/>
        <v>-46.976033865340469</v>
      </c>
      <c r="AA98" s="3"/>
      <c r="AH98" s="3">
        <f t="shared" si="58"/>
        <v>87.5</v>
      </c>
      <c r="AI98" s="4">
        <f t="shared" si="49"/>
        <v>1.7245904762299666</v>
      </c>
      <c r="AJ98" s="4">
        <f t="shared" si="50"/>
        <v>1.0177150183894472</v>
      </c>
      <c r="AK98" s="4">
        <f t="shared" si="51"/>
        <v>0.54620442900718491</v>
      </c>
      <c r="AL98" s="3">
        <f t="shared" si="55"/>
        <v>170.10285714285715</v>
      </c>
      <c r="AM98" s="4">
        <f t="shared" si="52"/>
        <v>55.105556953310881</v>
      </c>
      <c r="AN98" s="4">
        <f t="shared" si="53"/>
        <v>47.957195010755498</v>
      </c>
      <c r="AO98" s="4">
        <f t="shared" si="54"/>
        <v>6.9584612508821237</v>
      </c>
      <c r="AP98" s="4">
        <f t="shared" si="48"/>
        <v>13.697595454808431</v>
      </c>
      <c r="AR98" s="3">
        <f t="shared" si="56"/>
        <v>87.5</v>
      </c>
      <c r="AS98" s="4">
        <f t="shared" si="57"/>
        <v>13.697595454808431</v>
      </c>
    </row>
    <row r="99" spans="3:45" x14ac:dyDescent="0.25">
      <c r="D99" s="1">
        <v>42600</v>
      </c>
      <c r="E99" s="3">
        <v>108.52282099999999</v>
      </c>
      <c r="F99" s="3">
        <v>216.484036</v>
      </c>
      <c r="G99" s="3">
        <f t="shared" si="35"/>
        <v>-0.13928500000000099</v>
      </c>
      <c r="H99" s="3">
        <f t="shared" si="36"/>
        <v>0.48468600000001061</v>
      </c>
      <c r="I99" s="4">
        <f t="shared" si="37"/>
        <v>-0.15113911842588545</v>
      </c>
      <c r="J99" s="4">
        <f t="shared" si="38"/>
        <v>0.50984185578708641</v>
      </c>
      <c r="K99" s="4">
        <f t="shared" si="39"/>
        <v>-0.16760049206349303</v>
      </c>
      <c r="L99" s="4">
        <f t="shared" si="40"/>
        <v>0.41889736507937569</v>
      </c>
      <c r="M99" s="4">
        <f t="shared" si="41"/>
        <v>-1.2826398315898631E-3</v>
      </c>
      <c r="N99" s="4">
        <f t="shared" si="42"/>
        <v>2.2414095829267119E-3</v>
      </c>
      <c r="O99" s="4">
        <f t="shared" si="43"/>
        <v>-1.5386080602509057E-3</v>
      </c>
      <c r="P99" s="4">
        <f t="shared" si="44"/>
        <v>1.9284218658663214E-3</v>
      </c>
      <c r="S99" s="4">
        <v>1.679054212922882</v>
      </c>
      <c r="T99" s="4">
        <v>-1.6256605210285144</v>
      </c>
      <c r="U99" s="4">
        <f t="shared" si="45"/>
        <v>-0.26505920951582129</v>
      </c>
      <c r="W99" s="4">
        <f t="shared" si="46"/>
        <v>2.8834745470231913</v>
      </c>
      <c r="X99" s="4">
        <f t="shared" si="47"/>
        <v>-0.40153613639072439</v>
      </c>
      <c r="Y99" s="3">
        <f t="shared" si="34"/>
        <v>-481.08398267023131</v>
      </c>
      <c r="AA99" s="3"/>
      <c r="AH99" s="3">
        <f t="shared" si="58"/>
        <v>88</v>
      </c>
      <c r="AI99" s="4">
        <f t="shared" si="49"/>
        <v>1.8085323809887317</v>
      </c>
      <c r="AJ99" s="4">
        <f t="shared" si="50"/>
        <v>1.0721826846688138</v>
      </c>
      <c r="AK99" s="4">
        <f t="shared" si="51"/>
        <v>0.57056157830774223</v>
      </c>
      <c r="AL99" s="3">
        <f t="shared" si="55"/>
        <v>169.13636363636363</v>
      </c>
      <c r="AM99" s="4">
        <f t="shared" si="52"/>
        <v>54.200742303627919</v>
      </c>
      <c r="AN99" s="4">
        <f t="shared" si="53"/>
        <v>47.083350099566417</v>
      </c>
      <c r="AO99" s="4">
        <f t="shared" si="54"/>
        <v>6.9220034067220757</v>
      </c>
      <c r="AP99" s="4">
        <f t="shared" si="48"/>
        <v>13.918779632093869</v>
      </c>
      <c r="AR99" s="3">
        <f t="shared" si="56"/>
        <v>88</v>
      </c>
      <c r="AS99" s="4">
        <f t="shared" si="57"/>
        <v>13.918779632093869</v>
      </c>
    </row>
    <row r="100" spans="3:45" x14ac:dyDescent="0.25">
      <c r="D100" s="1">
        <v>42599</v>
      </c>
      <c r="E100" s="3">
        <v>108.66210599999999</v>
      </c>
      <c r="F100" s="3">
        <v>215.99934999999999</v>
      </c>
      <c r="G100" s="3">
        <f t="shared" si="35"/>
        <v>-0.15917800000001137</v>
      </c>
      <c r="H100" s="3">
        <f t="shared" si="36"/>
        <v>0.40553699999998116</v>
      </c>
      <c r="I100" s="4">
        <f t="shared" si="37"/>
        <v>-0.17247249735367337</v>
      </c>
      <c r="J100" s="4">
        <f t="shared" si="38"/>
        <v>0.42738733234777343</v>
      </c>
      <c r="K100" s="4">
        <f t="shared" si="39"/>
        <v>-0.18749349206350341</v>
      </c>
      <c r="L100" s="4">
        <f t="shared" si="40"/>
        <v>0.33974836507934625</v>
      </c>
      <c r="M100" s="4">
        <f t="shared" si="41"/>
        <v>-1.4638177970593233E-3</v>
      </c>
      <c r="N100" s="4">
        <f t="shared" si="42"/>
        <v>1.8792564577752549E-3</v>
      </c>
      <c r="O100" s="4">
        <f t="shared" si="43"/>
        <v>-1.719786025720366E-3</v>
      </c>
      <c r="P100" s="4">
        <f t="shared" si="44"/>
        <v>1.5662687407148644E-3</v>
      </c>
      <c r="S100" s="4">
        <v>-0.64083570643260368</v>
      </c>
      <c r="T100" s="4">
        <v>1.3649832061570932</v>
      </c>
      <c r="U100" s="4">
        <f t="shared" si="45"/>
        <v>0.69134354863398362</v>
      </c>
      <c r="W100" s="4">
        <f t="shared" si="46"/>
        <v>-1.0613979048478799</v>
      </c>
      <c r="X100" s="4">
        <f t="shared" si="47"/>
        <v>1.2846935216933972</v>
      </c>
      <c r="Y100" s="3">
        <f t="shared" si="34"/>
        <v>301.48798875723514</v>
      </c>
      <c r="AA100" s="3"/>
      <c r="AH100" s="3">
        <f t="shared" si="58"/>
        <v>88.5</v>
      </c>
      <c r="AI100" s="4">
        <f t="shared" si="49"/>
        <v>1.8953379698145927</v>
      </c>
      <c r="AJ100" s="4">
        <f t="shared" si="50"/>
        <v>1.1287901983071098</v>
      </c>
      <c r="AK100" s="4">
        <f t="shared" si="51"/>
        <v>0.59559767805866104</v>
      </c>
      <c r="AL100" s="3">
        <f t="shared" si="55"/>
        <v>168.18079096045199</v>
      </c>
      <c r="AM100" s="4">
        <f t="shared" si="52"/>
        <v>53.308241891270754</v>
      </c>
      <c r="AN100" s="4">
        <f t="shared" si="53"/>
        <v>46.222552931899386</v>
      </c>
      <c r="AO100" s="4">
        <f t="shared" si="54"/>
        <v>6.8847890033270973</v>
      </c>
      <c r="AP100" s="4">
        <f t="shared" si="48"/>
        <v>14.130759244563308</v>
      </c>
      <c r="AR100" s="3">
        <f t="shared" si="56"/>
        <v>88.5</v>
      </c>
      <c r="AS100" s="4">
        <f t="shared" si="57"/>
        <v>14.130759244563308</v>
      </c>
    </row>
    <row r="101" spans="3:45" x14ac:dyDescent="0.25">
      <c r="D101" s="1">
        <v>42598</v>
      </c>
      <c r="E101" s="3">
        <v>108.82128400000001</v>
      </c>
      <c r="F101" s="3">
        <v>215.59381300000001</v>
      </c>
      <c r="G101" s="3">
        <f t="shared" si="35"/>
        <v>-9.9495999999987816E-2</v>
      </c>
      <c r="H101" s="3">
        <f t="shared" si="36"/>
        <v>-1.1177219999999863</v>
      </c>
      <c r="I101" s="4">
        <f t="shared" si="37"/>
        <v>-0.10770739759651524</v>
      </c>
      <c r="J101" s="4">
        <f t="shared" si="38"/>
        <v>-1.1718694320726901</v>
      </c>
      <c r="K101" s="4">
        <f t="shared" si="39"/>
        <v>-0.12781149206347986</v>
      </c>
      <c r="L101" s="4">
        <f t="shared" si="40"/>
        <v>-1.1835106349206213</v>
      </c>
      <c r="M101" s="4">
        <f t="shared" si="41"/>
        <v>-9.1388870939374737E-4</v>
      </c>
      <c r="N101" s="4">
        <f t="shared" si="42"/>
        <v>-5.1709954352957841E-3</v>
      </c>
      <c r="O101" s="4">
        <f t="shared" si="43"/>
        <v>-1.16985693805479E-3</v>
      </c>
      <c r="P101" s="4">
        <f t="shared" si="44"/>
        <v>-5.483983152356175E-3</v>
      </c>
      <c r="S101" s="4">
        <v>-1.4245959499322776</v>
      </c>
      <c r="T101" s="4">
        <v>0.80984591028116304</v>
      </c>
      <c r="U101" s="4">
        <f t="shared" si="45"/>
        <v>-0.22650708680355292</v>
      </c>
      <c r="W101" s="4">
        <f t="shared" si="46"/>
        <v>-2.3941482942769623</v>
      </c>
      <c r="X101" s="4">
        <f t="shared" si="47"/>
        <v>-0.33356505188100893</v>
      </c>
      <c r="Y101" s="3">
        <f t="shared" si="34"/>
        <v>365.31363457837961</v>
      </c>
      <c r="AA101" s="3"/>
      <c r="AH101" s="3">
        <f t="shared" si="58"/>
        <v>89</v>
      </c>
      <c r="AI101" s="4">
        <f t="shared" si="49"/>
        <v>1.9850515239481759</v>
      </c>
      <c r="AJ101" s="4">
        <f t="shared" si="50"/>
        <v>1.1875840471741093</v>
      </c>
      <c r="AK101" s="4">
        <f t="shared" si="51"/>
        <v>0.62131448352099128</v>
      </c>
      <c r="AL101" s="3">
        <f t="shared" si="55"/>
        <v>167.23595505617976</v>
      </c>
      <c r="AM101" s="4">
        <f t="shared" si="52"/>
        <v>52.4279037162501</v>
      </c>
      <c r="AN101" s="4">
        <f t="shared" si="53"/>
        <v>45.37464807548254</v>
      </c>
      <c r="AO101" s="4">
        <f t="shared" si="54"/>
        <v>6.8468261953236365</v>
      </c>
      <c r="AP101" s="4">
        <f t="shared" si="48"/>
        <v>14.33306738488611</v>
      </c>
      <c r="AR101" s="3">
        <f t="shared" si="56"/>
        <v>89</v>
      </c>
      <c r="AS101" s="4">
        <f t="shared" si="57"/>
        <v>14.33306738488611</v>
      </c>
    </row>
    <row r="102" spans="3:45" x14ac:dyDescent="0.25">
      <c r="D102" s="1">
        <v>42597</v>
      </c>
      <c r="E102" s="3">
        <v>108.92077999999999</v>
      </c>
      <c r="F102" s="3">
        <v>216.711535</v>
      </c>
      <c r="G102" s="3">
        <f t="shared" si="35"/>
        <v>1.2933629999999994</v>
      </c>
      <c r="H102" s="3">
        <f t="shared" si="36"/>
        <v>0.62315000000000964</v>
      </c>
      <c r="I102" s="4">
        <f t="shared" si="37"/>
        <v>1.4169292616532081</v>
      </c>
      <c r="J102" s="4">
        <f t="shared" si="38"/>
        <v>0.65522224094576953</v>
      </c>
      <c r="K102" s="4">
        <f t="shared" si="39"/>
        <v>1.2650475079365073</v>
      </c>
      <c r="L102" s="4">
        <f t="shared" si="40"/>
        <v>0.55736136507937473</v>
      </c>
      <c r="M102" s="4">
        <f t="shared" si="41"/>
        <v>1.1945408896001011E-2</v>
      </c>
      <c r="N102" s="4">
        <f t="shared" si="42"/>
        <v>2.8796235942402742E-3</v>
      </c>
      <c r="O102" s="4">
        <f t="shared" si="43"/>
        <v>1.1689440667339969E-2</v>
      </c>
      <c r="P102" s="4">
        <f t="shared" si="44"/>
        <v>2.5666358771798837E-3</v>
      </c>
      <c r="S102" s="4">
        <v>-1.8001230345090362</v>
      </c>
      <c r="T102" s="4">
        <v>-1.6542955875932155E-2</v>
      </c>
      <c r="U102" s="4">
        <f t="shared" si="45"/>
        <v>-1.1105086350101185</v>
      </c>
      <c r="W102" s="4">
        <f t="shared" si="46"/>
        <v>-3.0327158566938368</v>
      </c>
      <c r="X102" s="4">
        <f t="shared" si="47"/>
        <v>-1.8921444429127403</v>
      </c>
      <c r="Y102" s="3">
        <f t="shared" si="34"/>
        <v>320.93651502682769</v>
      </c>
      <c r="AA102" s="3"/>
      <c r="AH102" s="3">
        <f t="shared" si="58"/>
        <v>89.5</v>
      </c>
      <c r="AI102" s="4">
        <f t="shared" si="49"/>
        <v>2.0777162509223039</v>
      </c>
      <c r="AJ102" s="4">
        <f t="shared" si="50"/>
        <v>1.2486103215758657</v>
      </c>
      <c r="AK102" s="4">
        <f t="shared" si="51"/>
        <v>0.64771315064628654</v>
      </c>
      <c r="AL102" s="3">
        <f t="shared" si="55"/>
        <v>166.30167597765364</v>
      </c>
      <c r="AM102" s="4">
        <f t="shared" si="52"/>
        <v>51.559579218399847</v>
      </c>
      <c r="AN102" s="4">
        <f t="shared" si="53"/>
        <v>44.539482845475121</v>
      </c>
      <c r="AO102" s="4">
        <f t="shared" si="54"/>
        <v>6.8081238665706909</v>
      </c>
      <c r="AP102" s="4">
        <f t="shared" si="48"/>
        <v>14.525251718388155</v>
      </c>
      <c r="AR102" s="3">
        <f t="shared" si="56"/>
        <v>89.5</v>
      </c>
      <c r="AS102" s="4">
        <f t="shared" si="57"/>
        <v>14.525251718388155</v>
      </c>
    </row>
    <row r="103" spans="3:45" x14ac:dyDescent="0.25">
      <c r="D103" s="1">
        <v>42594</v>
      </c>
      <c r="E103" s="3">
        <v>107.62741699999999</v>
      </c>
      <c r="F103" s="3">
        <v>216.08838499999999</v>
      </c>
      <c r="G103" s="3">
        <f t="shared" si="35"/>
        <v>0.24872299999999825</v>
      </c>
      <c r="H103" s="3">
        <f t="shared" si="36"/>
        <v>-0.18792400000000953</v>
      </c>
      <c r="I103" s="4">
        <f t="shared" si="37"/>
        <v>0.27311684313176499</v>
      </c>
      <c r="J103" s="4">
        <f t="shared" si="38"/>
        <v>-0.19742436678753456</v>
      </c>
      <c r="K103" s="4">
        <f t="shared" si="39"/>
        <v>0.22040750793650621</v>
      </c>
      <c r="L103" s="4">
        <f t="shared" si="40"/>
        <v>-0.25371263492064444</v>
      </c>
      <c r="M103" s="4">
        <f t="shared" si="41"/>
        <v>2.3136375965563446E-3</v>
      </c>
      <c r="N103" s="4">
        <f t="shared" si="42"/>
        <v>-8.6928472394569702E-4</v>
      </c>
      <c r="O103" s="4">
        <f t="shared" si="43"/>
        <v>2.0576693678953021E-3</v>
      </c>
      <c r="P103" s="4">
        <f t="shared" si="44"/>
        <v>-1.1822724410060876E-3</v>
      </c>
      <c r="S103" s="4">
        <v>-0.64747573811219639</v>
      </c>
      <c r="T103" s="4">
        <v>1.1863495406411699</v>
      </c>
      <c r="U103" s="4">
        <f t="shared" si="45"/>
        <v>0.54569415620226824</v>
      </c>
      <c r="W103" s="4">
        <f t="shared" si="46"/>
        <v>-1.0726889914782549</v>
      </c>
      <c r="X103" s="4">
        <f t="shared" si="47"/>
        <v>1.0278996938761185</v>
      </c>
      <c r="Y103" s="3">
        <f t="shared" si="34"/>
        <v>277.68083849463983</v>
      </c>
      <c r="AA103" s="3"/>
      <c r="AH103" s="3">
        <f t="shared" si="58"/>
        <v>90</v>
      </c>
      <c r="AI103" s="4">
        <f t="shared" si="49"/>
        <v>2.1733742452543758</v>
      </c>
      <c r="AJ103" s="4">
        <f t="shared" si="50"/>
        <v>1.3119146697435173</v>
      </c>
      <c r="AK103" s="4">
        <f t="shared" si="51"/>
        <v>0.67479423356638879</v>
      </c>
      <c r="AL103" s="3">
        <f t="shared" si="55"/>
        <v>165.37777777777777</v>
      </c>
      <c r="AM103" s="4">
        <f t="shared" si="52"/>
        <v>50.703123132389351</v>
      </c>
      <c r="AN103" s="4">
        <f t="shared" si="53"/>
        <v>43.716907167067916</v>
      </c>
      <c r="AO103" s="4">
        <f t="shared" si="54"/>
        <v>6.7686916134202333</v>
      </c>
      <c r="AP103" s="4">
        <f t="shared" si="48"/>
        <v>14.706875501560635</v>
      </c>
      <c r="AR103" s="3">
        <f t="shared" si="56"/>
        <v>90</v>
      </c>
      <c r="AS103" s="4">
        <f t="shared" si="57"/>
        <v>14.706875501560635</v>
      </c>
    </row>
    <row r="104" spans="3:45" x14ac:dyDescent="0.25">
      <c r="D104" s="1">
        <v>42593</v>
      </c>
      <c r="E104" s="3">
        <v>107.378694</v>
      </c>
      <c r="F104" s="3">
        <v>216.276309</v>
      </c>
      <c r="G104" s="3">
        <f t="shared" si="35"/>
        <v>-6.9642000000001758E-2</v>
      </c>
      <c r="H104" s="3">
        <f t="shared" si="36"/>
        <v>0.99902900000000727</v>
      </c>
      <c r="I104" s="4">
        <f t="shared" si="37"/>
        <v>-7.6422667900303345E-2</v>
      </c>
      <c r="J104" s="4">
        <f t="shared" si="38"/>
        <v>1.0544047476036702</v>
      </c>
      <c r="K104" s="4">
        <f t="shared" si="39"/>
        <v>-9.7957492063493815E-2</v>
      </c>
      <c r="L104" s="4">
        <f t="shared" si="40"/>
        <v>0.93324036507937236</v>
      </c>
      <c r="M104" s="4">
        <f t="shared" si="41"/>
        <v>-6.4835418931755856E-4</v>
      </c>
      <c r="N104" s="4">
        <f t="shared" si="42"/>
        <v>4.6299268970590533E-3</v>
      </c>
      <c r="O104" s="4">
        <f t="shared" si="43"/>
        <v>-9.043224179786011E-4</v>
      </c>
      <c r="P104" s="4">
        <f t="shared" si="44"/>
        <v>4.3169391799986623E-3</v>
      </c>
      <c r="S104" s="4">
        <v>-1.6839059348328151</v>
      </c>
      <c r="T104" s="4">
        <v>-0.23543317809731962</v>
      </c>
      <c r="U104" s="4">
        <f t="shared" si="45"/>
        <v>-1.213172630207467</v>
      </c>
      <c r="W104" s="4">
        <f t="shared" si="46"/>
        <v>-2.8350937061236716</v>
      </c>
      <c r="X104" s="4">
        <f t="shared" si="47"/>
        <v>-2.0731508986595557</v>
      </c>
      <c r="Y104" s="3">
        <f t="shared" si="34"/>
        <v>268.100351810539</v>
      </c>
      <c r="AA104" s="3"/>
      <c r="AH104" s="3">
        <f t="shared" si="58"/>
        <v>90.5</v>
      </c>
      <c r="AI104" s="4">
        <f t="shared" si="49"/>
        <v>2.2720664511849069</v>
      </c>
      <c r="AJ104" s="4">
        <f t="shared" si="50"/>
        <v>1.3775422541471212</v>
      </c>
      <c r="AK104" s="4">
        <f t="shared" si="51"/>
        <v>0.70255768323293366</v>
      </c>
      <c r="AL104" s="3">
        <f t="shared" si="55"/>
        <v>164.46408839779005</v>
      </c>
      <c r="AM104" s="4">
        <f t="shared" si="52"/>
        <v>49.858393347528207</v>
      </c>
      <c r="AN104" s="4">
        <f t="shared" si="53"/>
        <v>42.906773444098931</v>
      </c>
      <c r="AO104" s="4">
        <f t="shared" si="54"/>
        <v>6.7285397268246276</v>
      </c>
      <c r="AP104" s="4">
        <f t="shared" si="48"/>
        <v>14.877518545852508</v>
      </c>
      <c r="AR104" s="3">
        <f t="shared" si="56"/>
        <v>90.5</v>
      </c>
      <c r="AS104" s="4">
        <f t="shared" si="57"/>
        <v>14.877518545852508</v>
      </c>
    </row>
    <row r="105" spans="3:45" x14ac:dyDescent="0.25">
      <c r="D105" s="1">
        <v>42592</v>
      </c>
      <c r="E105" s="3">
        <v>107.448336</v>
      </c>
      <c r="F105" s="3">
        <v>215.27727999999999</v>
      </c>
      <c r="G105" s="3">
        <f t="shared" si="35"/>
        <v>-0.80585999999999558</v>
      </c>
      <c r="H105" s="3">
        <f t="shared" si="36"/>
        <v>-0.53413100000000213</v>
      </c>
      <c r="I105" s="4">
        <f t="shared" si="37"/>
        <v>-0.87773924091994993</v>
      </c>
      <c r="J105" s="4">
        <f t="shared" si="38"/>
        <v>-0.56234240667152435</v>
      </c>
      <c r="K105" s="4">
        <f t="shared" si="39"/>
        <v>-0.83417549206348762</v>
      </c>
      <c r="L105" s="4">
        <f t="shared" si="40"/>
        <v>-0.59991963492063705</v>
      </c>
      <c r="M105" s="4">
        <f t="shared" si="41"/>
        <v>-7.4719915601577759E-3</v>
      </c>
      <c r="N105" s="4">
        <f t="shared" si="42"/>
        <v>-2.4780574600191921E-3</v>
      </c>
      <c r="O105" s="4">
        <f t="shared" si="43"/>
        <v>-7.7279597888188188E-3</v>
      </c>
      <c r="P105" s="4">
        <f t="shared" si="44"/>
        <v>-2.7910451770795826E-3</v>
      </c>
      <c r="S105" s="4">
        <v>-1.844311559905899</v>
      </c>
      <c r="T105" s="4">
        <v>1.1710374023832355</v>
      </c>
      <c r="U105" s="4">
        <f t="shared" si="45"/>
        <v>-0.19606147417829878</v>
      </c>
      <c r="W105" s="4">
        <f t="shared" si="46"/>
        <v>-3.1078565325821645</v>
      </c>
      <c r="X105" s="4">
        <f t="shared" si="47"/>
        <v>-0.27988652102172984</v>
      </c>
      <c r="Y105" s="3">
        <f t="shared" si="34"/>
        <v>495.42496930603738</v>
      </c>
      <c r="AA105" s="3"/>
      <c r="AH105" s="3">
        <f t="shared" si="58"/>
        <v>91</v>
      </c>
      <c r="AI105" s="4">
        <f t="shared" si="49"/>
        <v>2.3738326274967854</v>
      </c>
      <c r="AJ105" s="4">
        <f t="shared" si="50"/>
        <v>1.4455377087082883</v>
      </c>
      <c r="AK105" s="4">
        <f t="shared" si="51"/>
        <v>0.73100284719192288</v>
      </c>
      <c r="AL105" s="3">
        <f t="shared" si="55"/>
        <v>163.56043956043956</v>
      </c>
      <c r="AM105" s="4">
        <f t="shared" si="52"/>
        <v>49.025250772271193</v>
      </c>
      <c r="AN105" s="4">
        <f t="shared" si="53"/>
        <v>42.1089364335445</v>
      </c>
      <c r="AO105" s="4">
        <f t="shared" si="54"/>
        <v>6.6876791733612295</v>
      </c>
      <c r="AP105" s="4">
        <f t="shared" si="48"/>
        <v>15.036778123736404</v>
      </c>
      <c r="AR105" s="3">
        <f t="shared" si="56"/>
        <v>91</v>
      </c>
      <c r="AS105" s="4">
        <f t="shared" si="57"/>
        <v>15.036778123736404</v>
      </c>
    </row>
    <row r="106" spans="3:45" x14ac:dyDescent="0.25">
      <c r="D106" s="1">
        <v>42591</v>
      </c>
      <c r="E106" s="3">
        <v>108.25419599999999</v>
      </c>
      <c r="F106" s="3">
        <v>215.81141099999999</v>
      </c>
      <c r="G106" s="3">
        <f t="shared" si="35"/>
        <v>0.43774699999998745</v>
      </c>
      <c r="H106" s="3">
        <f t="shared" si="36"/>
        <v>0.128579000000002</v>
      </c>
      <c r="I106" s="4">
        <f t="shared" si="37"/>
        <v>0.47872797703610626</v>
      </c>
      <c r="J106" s="4">
        <f t="shared" si="38"/>
        <v>0.13545090825798067</v>
      </c>
      <c r="K106" s="4">
        <f t="shared" si="39"/>
        <v>0.40943150793649541</v>
      </c>
      <c r="L106" s="4">
        <f t="shared" si="40"/>
        <v>6.2790365079367111E-2</v>
      </c>
      <c r="M106" s="4">
        <f t="shared" si="41"/>
        <v>4.0518932954064224E-3</v>
      </c>
      <c r="N106" s="4">
        <f t="shared" si="42"/>
        <v>5.9597088902876231E-4</v>
      </c>
      <c r="O106" s="4">
        <f t="shared" si="43"/>
        <v>3.79592506674538E-3</v>
      </c>
      <c r="P106" s="4">
        <f t="shared" si="44"/>
        <v>2.8298317196837172E-4</v>
      </c>
      <c r="S106" s="4">
        <v>-0.46353535380688715</v>
      </c>
      <c r="T106" s="4">
        <v>-0.15952843690526122</v>
      </c>
      <c r="U106" s="4">
        <f t="shared" si="45"/>
        <v>-0.40903841274217756</v>
      </c>
      <c r="W106" s="4">
        <f t="shared" si="46"/>
        <v>-0.75990632503424316</v>
      </c>
      <c r="X106" s="4">
        <f t="shared" si="47"/>
        <v>-0.65538526068358338</v>
      </c>
      <c r="Y106" s="3">
        <f t="shared" si="34"/>
        <v>57.735817754148684</v>
      </c>
      <c r="AA106" s="3"/>
      <c r="AH106" s="3">
        <f t="shared" si="58"/>
        <v>91.5</v>
      </c>
      <c r="AI106" s="4">
        <f t="shared" si="49"/>
        <v>2.4787113144446771</v>
      </c>
      <c r="AJ106" s="4">
        <f t="shared" si="50"/>
        <v>1.5159450969811576</v>
      </c>
      <c r="AK106" s="4">
        <f t="shared" si="51"/>
        <v>0.76012847047571996</v>
      </c>
      <c r="AL106" s="3">
        <f t="shared" si="55"/>
        <v>162.66666666666666</v>
      </c>
      <c r="AM106" s="4">
        <f t="shared" si="52"/>
        <v>48.203559203332816</v>
      </c>
      <c r="AN106" s="4">
        <f t="shared" si="53"/>
        <v>41.323253125750128</v>
      </c>
      <c r="AO106" s="4">
        <f t="shared" si="54"/>
        <v>6.6461215752455365</v>
      </c>
      <c r="AP106" s="4">
        <f t="shared" si="48"/>
        <v>15.184269816225049</v>
      </c>
      <c r="AR106" s="3">
        <f t="shared" si="56"/>
        <v>91.5</v>
      </c>
      <c r="AS106" s="4">
        <f t="shared" si="57"/>
        <v>15.184269816225049</v>
      </c>
    </row>
    <row r="107" spans="3:45" x14ac:dyDescent="0.25">
      <c r="D107" s="1">
        <v>42590</v>
      </c>
      <c r="E107" s="3">
        <v>107.81644900000001</v>
      </c>
      <c r="F107" s="3">
        <v>215.68283199999999</v>
      </c>
      <c r="G107" s="3">
        <f t="shared" si="35"/>
        <v>0.88545300000001248</v>
      </c>
      <c r="H107" s="3">
        <f t="shared" si="36"/>
        <v>-0.128579000000002</v>
      </c>
      <c r="I107" s="4">
        <f t="shared" si="37"/>
        <v>0.97636579361716103</v>
      </c>
      <c r="J107" s="4">
        <f t="shared" si="38"/>
        <v>-0.13537020750980333</v>
      </c>
      <c r="K107" s="4">
        <f t="shared" si="39"/>
        <v>0.85713750793652044</v>
      </c>
      <c r="L107" s="4">
        <f t="shared" si="40"/>
        <v>-0.19436763492063688</v>
      </c>
      <c r="M107" s="4">
        <f t="shared" si="41"/>
        <v>8.2465057306707629E-3</v>
      </c>
      <c r="N107" s="4">
        <f t="shared" si="42"/>
        <v>-5.9597088902870452E-4</v>
      </c>
      <c r="O107" s="4">
        <f t="shared" si="43"/>
        <v>7.9905375020097209E-3</v>
      </c>
      <c r="P107" s="4">
        <f t="shared" si="44"/>
        <v>-9.0895860608909511E-4</v>
      </c>
      <c r="S107" s="4">
        <v>1.8442694170721394</v>
      </c>
      <c r="T107" s="4">
        <v>0.17939600848473178</v>
      </c>
      <c r="U107" s="4">
        <f t="shared" si="45"/>
        <v>1.2665135698711623</v>
      </c>
      <c r="W107" s="4">
        <f t="shared" si="46"/>
        <v>3.1644158546433956</v>
      </c>
      <c r="X107" s="4">
        <f t="shared" si="47"/>
        <v>2.2987733536328721</v>
      </c>
      <c r="Y107" s="3">
        <f t="shared" si="34"/>
        <v>-251.79448838623784</v>
      </c>
      <c r="AA107" s="3"/>
      <c r="AH107" s="3">
        <f t="shared" si="58"/>
        <v>92</v>
      </c>
      <c r="AI107" s="4">
        <f t="shared" si="49"/>
        <v>2.5867398028166164</v>
      </c>
      <c r="AJ107" s="4">
        <f t="shared" si="50"/>
        <v>1.5888078713675284</v>
      </c>
      <c r="AK107" s="4">
        <f t="shared" si="51"/>
        <v>0.78993269759204543</v>
      </c>
      <c r="AL107" s="3">
        <f t="shared" si="55"/>
        <v>161.78260869565219</v>
      </c>
      <c r="AM107" s="4">
        <f t="shared" si="52"/>
        <v>47.393185199325131</v>
      </c>
      <c r="AN107" s="4">
        <f t="shared" si="53"/>
        <v>40.549582630262236</v>
      </c>
      <c r="AO107" s="4">
        <f t="shared" si="54"/>
        <v>6.603879189405121</v>
      </c>
      <c r="AP107" s="4">
        <f t="shared" si="48"/>
        <v>15.319628299216614</v>
      </c>
      <c r="AR107" s="3">
        <f t="shared" si="56"/>
        <v>92</v>
      </c>
      <c r="AS107" s="4">
        <f t="shared" si="57"/>
        <v>15.319628299216614</v>
      </c>
    </row>
    <row r="108" spans="3:45" x14ac:dyDescent="0.25">
      <c r="D108" s="1">
        <v>42587</v>
      </c>
      <c r="E108" s="3">
        <v>106.93099599999999</v>
      </c>
      <c r="F108" s="3">
        <v>215.81141099999999</v>
      </c>
      <c r="G108" s="3">
        <f t="shared" si="35"/>
        <v>1.6017769999999985</v>
      </c>
      <c r="H108" s="3">
        <f t="shared" si="36"/>
        <v>1.7507739999999785</v>
      </c>
      <c r="I108" s="4">
        <f t="shared" si="37"/>
        <v>1.7930972456665402</v>
      </c>
      <c r="J108" s="4">
        <f t="shared" si="38"/>
        <v>1.8583209803090193</v>
      </c>
      <c r="K108" s="4">
        <f t="shared" si="39"/>
        <v>1.5734615079365064</v>
      </c>
      <c r="L108" s="4">
        <f t="shared" si="40"/>
        <v>1.6849853650793436</v>
      </c>
      <c r="M108" s="4">
        <f t="shared" si="41"/>
        <v>1.5092865200648278E-2</v>
      </c>
      <c r="N108" s="4">
        <f t="shared" si="42"/>
        <v>8.1456037375847393E-3</v>
      </c>
      <c r="O108" s="4">
        <f t="shared" si="43"/>
        <v>1.4836896971987236E-2</v>
      </c>
      <c r="P108" s="4">
        <f t="shared" si="44"/>
        <v>7.8326160205243484E-3</v>
      </c>
      <c r="S108" s="4">
        <v>0.13877031572162069</v>
      </c>
      <c r="T108" s="4">
        <v>7.5596089106152828E-2</v>
      </c>
      <c r="U108" s="4">
        <f t="shared" si="45"/>
        <v>0.14452189718431752</v>
      </c>
      <c r="W108" s="4">
        <f t="shared" si="46"/>
        <v>0.26428841089050276</v>
      </c>
      <c r="X108" s="4">
        <f t="shared" si="47"/>
        <v>0.32059458063561908</v>
      </c>
      <c r="Y108" s="3">
        <f t="shared" si="34"/>
        <v>-10.112539122221733</v>
      </c>
      <c r="AA108" s="3"/>
      <c r="AH108" s="3">
        <f t="shared" si="58"/>
        <v>92.5</v>
      </c>
      <c r="AI108" s="4">
        <f t="shared" si="49"/>
        <v>2.6979541051450653</v>
      </c>
      <c r="AJ108" s="4">
        <f t="shared" si="50"/>
        <v>1.6641688334281692</v>
      </c>
      <c r="AK108" s="4">
        <f t="shared" si="51"/>
        <v>0.82041307558687526</v>
      </c>
      <c r="AL108" s="3">
        <f t="shared" si="55"/>
        <v>160.90810810810811</v>
      </c>
      <c r="AM108" s="4">
        <f t="shared" si="52"/>
        <v>46.59399795883057</v>
      </c>
      <c r="AN108" s="4">
        <f t="shared" si="53"/>
        <v>39.787786067124358</v>
      </c>
      <c r="AO108" s="4">
        <f t="shared" si="54"/>
        <v>6.5609648856869072</v>
      </c>
      <c r="AP108" s="4">
        <f t="shared" si="48"/>
        <v>15.442508068376458</v>
      </c>
      <c r="AR108" s="3">
        <f t="shared" si="56"/>
        <v>92.5</v>
      </c>
      <c r="AS108" s="4">
        <f t="shared" si="57"/>
        <v>15.442508068376458</v>
      </c>
    </row>
    <row r="109" spans="3:45" x14ac:dyDescent="0.25">
      <c r="D109" s="1">
        <v>42586</v>
      </c>
      <c r="E109" s="3">
        <v>105.32921899999999</v>
      </c>
      <c r="F109" s="3">
        <v>214.06063700000001</v>
      </c>
      <c r="G109" s="3">
        <f t="shared" si="35"/>
        <v>0.64667899999999179</v>
      </c>
      <c r="H109" s="3">
        <f t="shared" si="36"/>
        <v>0.22751400000001354</v>
      </c>
      <c r="I109" s="4">
        <f t="shared" si="37"/>
        <v>0.72839198854665765</v>
      </c>
      <c r="J109" s="4">
        <f t="shared" si="38"/>
        <v>0.24174672664066679</v>
      </c>
      <c r="K109" s="4">
        <f t="shared" si="39"/>
        <v>0.61836350793649975</v>
      </c>
      <c r="L109" s="4">
        <f t="shared" si="40"/>
        <v>0.16172536507937865</v>
      </c>
      <c r="M109" s="4">
        <f t="shared" si="41"/>
        <v>6.158522236870731E-3</v>
      </c>
      <c r="N109" s="4">
        <f t="shared" si="42"/>
        <v>1.063413597993737E-3</v>
      </c>
      <c r="O109" s="4">
        <f t="shared" si="43"/>
        <v>5.9025540082096881E-3</v>
      </c>
      <c r="P109" s="4">
        <f t="shared" si="44"/>
        <v>7.5042588093334644E-4</v>
      </c>
      <c r="S109" s="4">
        <v>1.1844645392643756</v>
      </c>
      <c r="T109" s="4">
        <v>1.0414786220883296</v>
      </c>
      <c r="U109" s="4">
        <f t="shared" si="45"/>
        <v>1.5476478023602593</v>
      </c>
      <c r="W109" s="4">
        <f t="shared" si="46"/>
        <v>2.0424462023949252</v>
      </c>
      <c r="X109" s="4">
        <f t="shared" si="47"/>
        <v>2.7944399299640739</v>
      </c>
      <c r="Y109" s="3">
        <f t="shared" si="34"/>
        <v>-37.196466106756361</v>
      </c>
      <c r="AA109" s="3"/>
      <c r="AH109" s="3">
        <f t="shared" si="58"/>
        <v>93</v>
      </c>
      <c r="AI109" s="4">
        <f t="shared" si="49"/>
        <v>2.8123889290781428</v>
      </c>
      <c r="AJ109" s="4">
        <f t="shared" si="50"/>
        <v>1.7420700953480548</v>
      </c>
      <c r="AK109" s="4">
        <f t="shared" si="51"/>
        <v>0.85156655815567472</v>
      </c>
      <c r="AL109" s="3">
        <f t="shared" si="55"/>
        <v>160.04301075268816</v>
      </c>
      <c r="AM109" s="4">
        <f t="shared" si="52"/>
        <v>45.805869202826756</v>
      </c>
      <c r="AN109" s="4">
        <f t="shared" si="53"/>
        <v>39.03772646349924</v>
      </c>
      <c r="AO109" s="4">
        <f t="shared" si="54"/>
        <v>6.5173921242708595</v>
      </c>
      <c r="AP109" s="4">
        <f t="shared" si="48"/>
        <v>15.552584100738942</v>
      </c>
      <c r="AR109" s="3">
        <f t="shared" si="56"/>
        <v>93</v>
      </c>
      <c r="AS109" s="4">
        <f t="shared" si="57"/>
        <v>15.552584100738942</v>
      </c>
    </row>
    <row r="110" spans="3:45" x14ac:dyDescent="0.25">
      <c r="D110" s="1">
        <v>42585</v>
      </c>
      <c r="E110" s="3">
        <v>104.68254</v>
      </c>
      <c r="F110" s="3">
        <v>213.833123</v>
      </c>
      <c r="G110" s="3">
        <f t="shared" si="35"/>
        <v>1.296284</v>
      </c>
      <c r="H110" s="3">
        <f t="shared" si="36"/>
        <v>0.62315100000000712</v>
      </c>
      <c r="I110" s="4">
        <f t="shared" si="37"/>
        <v>1.4783865625730368</v>
      </c>
      <c r="J110" s="4">
        <f t="shared" si="38"/>
        <v>0.66406904772755482</v>
      </c>
      <c r="K110" s="4">
        <f t="shared" si="39"/>
        <v>1.2679685079365079</v>
      </c>
      <c r="L110" s="4">
        <f t="shared" si="40"/>
        <v>0.5573623650793722</v>
      </c>
      <c r="M110" s="4">
        <f t="shared" si="41"/>
        <v>1.246030924921749E-2</v>
      </c>
      <c r="N110" s="4">
        <f t="shared" si="42"/>
        <v>2.9184475740034617E-3</v>
      </c>
      <c r="O110" s="4">
        <f t="shared" si="43"/>
        <v>1.2204341020556448E-2</v>
      </c>
      <c r="P110" s="4">
        <f t="shared" si="44"/>
        <v>2.6054598569430713E-3</v>
      </c>
      <c r="S110" s="4">
        <v>1.1833790917043649</v>
      </c>
      <c r="T110" s="4">
        <v>-0.71450347361200051</v>
      </c>
      <c r="U110" s="4">
        <f t="shared" si="45"/>
        <v>0.15503309664660014</v>
      </c>
      <c r="W110" s="4">
        <f t="shared" si="46"/>
        <v>2.0406004457744449</v>
      </c>
      <c r="X110" s="4">
        <f t="shared" si="47"/>
        <v>0.33912683195370086</v>
      </c>
      <c r="Y110" s="3">
        <f t="shared" si="34"/>
        <v>-282.45114204602032</v>
      </c>
      <c r="AA110" s="3"/>
      <c r="AH110" s="3">
        <f t="shared" si="58"/>
        <v>93.5</v>
      </c>
      <c r="AI110" s="4">
        <f t="shared" si="49"/>
        <v>2.9300776529166761</v>
      </c>
      <c r="AJ110" s="4">
        <f t="shared" si="50"/>
        <v>1.8225530426093215</v>
      </c>
      <c r="AK110" s="4">
        <f t="shared" si="51"/>
        <v>0.88338951077511185</v>
      </c>
      <c r="AL110" s="3">
        <f t="shared" si="55"/>
        <v>159.18716577540107</v>
      </c>
      <c r="AM110" s="4">
        <f t="shared" si="52"/>
        <v>45.028673061378413</v>
      </c>
      <c r="AN110" s="4">
        <f t="shared" si="53"/>
        <v>38.299268655480105</v>
      </c>
      <c r="AO110" s="4">
        <f t="shared" si="54"/>
        <v>6.4731749323628813</v>
      </c>
      <c r="AP110" s="4">
        <f t="shared" si="48"/>
        <v>15.649552452961156</v>
      </c>
      <c r="AR110" s="3">
        <f t="shared" si="56"/>
        <v>93.5</v>
      </c>
      <c r="AS110" s="4">
        <f t="shared" si="57"/>
        <v>15.649552452961156</v>
      </c>
    </row>
    <row r="111" spans="3:45" x14ac:dyDescent="0.25">
      <c r="D111" s="1">
        <v>42584</v>
      </c>
      <c r="E111" s="3">
        <v>103.386256</v>
      </c>
      <c r="F111" s="3">
        <v>213.20997199999999</v>
      </c>
      <c r="G111" s="3">
        <f t="shared" si="35"/>
        <v>-1.5535639999999944</v>
      </c>
      <c r="H111" s="3">
        <f t="shared" si="36"/>
        <v>-1.3749099999999999</v>
      </c>
      <c r="I111" s="4">
        <f t="shared" si="37"/>
        <v>-1.7455789180337391</v>
      </c>
      <c r="J111" s="4">
        <f t="shared" si="38"/>
        <v>-1.4558029802135359</v>
      </c>
      <c r="K111" s="4">
        <f t="shared" si="39"/>
        <v>-1.5818794920634864</v>
      </c>
      <c r="L111" s="4">
        <f t="shared" si="40"/>
        <v>-1.4406986349206348</v>
      </c>
      <c r="M111" s="4">
        <f t="shared" si="41"/>
        <v>-1.4915010447963164E-2</v>
      </c>
      <c r="N111" s="4">
        <f t="shared" si="42"/>
        <v>-6.4279161901897273E-3</v>
      </c>
      <c r="O111" s="4">
        <f t="shared" si="43"/>
        <v>-1.5170978676624206E-2</v>
      </c>
      <c r="P111" s="4">
        <f t="shared" si="44"/>
        <v>-6.7409039072501183E-3</v>
      </c>
      <c r="S111" s="4">
        <v>-1.6517452401825972</v>
      </c>
      <c r="T111" s="4">
        <v>-1.0014754852773582</v>
      </c>
      <c r="U111" s="4">
        <f t="shared" si="45"/>
        <v>-1.8008023762557972</v>
      </c>
      <c r="W111" s="4">
        <f t="shared" si="46"/>
        <v>-2.7804058361087316</v>
      </c>
      <c r="X111" s="4">
        <f t="shared" si="47"/>
        <v>-3.1091984187190183</v>
      </c>
      <c r="Y111" s="3">
        <f t="shared" si="34"/>
        <v>154.92049281390337</v>
      </c>
      <c r="AA111" s="3"/>
      <c r="AH111" s="3">
        <f t="shared" si="58"/>
        <v>94</v>
      </c>
      <c r="AI111" s="4">
        <f t="shared" si="49"/>
        <v>3.0510523033167232</v>
      </c>
      <c r="AJ111" s="4">
        <f t="shared" si="50"/>
        <v>1.9056582979218177</v>
      </c>
      <c r="AK111" s="4">
        <f t="shared" si="51"/>
        <v>0.91587771682519614</v>
      </c>
      <c r="AL111" s="3">
        <f t="shared" si="55"/>
        <v>158.34042553191489</v>
      </c>
      <c r="AM111" s="4">
        <f t="shared" si="52"/>
        <v>44.262285964514561</v>
      </c>
      <c r="AN111" s="4">
        <f t="shared" si="53"/>
        <v>37.572279194952628</v>
      </c>
      <c r="AO111" s="4">
        <f t="shared" si="54"/>
        <v>6.4283278802395971</v>
      </c>
      <c r="AP111" s="4">
        <f t="shared" si="48"/>
        <v>15.733130795106099</v>
      </c>
      <c r="AR111" s="3">
        <f t="shared" si="56"/>
        <v>94</v>
      </c>
      <c r="AS111" s="4">
        <f t="shared" si="57"/>
        <v>15.733130795106099</v>
      </c>
    </row>
    <row r="112" spans="3:45" x14ac:dyDescent="0.25">
      <c r="D112" s="1">
        <v>42583</v>
      </c>
      <c r="E112" s="3">
        <v>104.93982</v>
      </c>
      <c r="F112" s="3">
        <v>214.58488199999999</v>
      </c>
      <c r="G112" s="3">
        <f t="shared" si="35"/>
        <v>1.8207419999999956</v>
      </c>
      <c r="H112" s="3">
        <f t="shared" si="36"/>
        <v>-0.17803800000001502</v>
      </c>
      <c r="I112" s="4">
        <f t="shared" si="37"/>
        <v>2.0819008535255477</v>
      </c>
      <c r="J112" s="4">
        <f t="shared" si="38"/>
        <v>-0.18835660842322971</v>
      </c>
      <c r="K112" s="4">
        <f t="shared" si="39"/>
        <v>1.7924265079365036</v>
      </c>
      <c r="L112" s="4">
        <f t="shared" si="40"/>
        <v>-0.2438266349206499</v>
      </c>
      <c r="M112" s="4">
        <f t="shared" si="41"/>
        <v>1.7502625439833403E-2</v>
      </c>
      <c r="N112" s="4">
        <f t="shared" si="42"/>
        <v>-8.2934166368308303E-4</v>
      </c>
      <c r="O112" s="4">
        <f t="shared" si="43"/>
        <v>1.7246657211172359E-2</v>
      </c>
      <c r="P112" s="4">
        <f t="shared" si="44"/>
        <v>-1.1423293807434737E-3</v>
      </c>
      <c r="S112" s="4">
        <v>0.37910315095166353</v>
      </c>
      <c r="T112" s="4">
        <v>2.3595562139200883</v>
      </c>
      <c r="U112" s="4">
        <f t="shared" si="45"/>
        <v>2.101511118328109</v>
      </c>
      <c r="W112" s="4">
        <f t="shared" si="46"/>
        <v>0.67296400065403017</v>
      </c>
      <c r="X112" s="4">
        <f t="shared" si="47"/>
        <v>3.7709539999533179</v>
      </c>
      <c r="Y112" s="3">
        <f t="shared" si="34"/>
        <v>270.41919280822549</v>
      </c>
      <c r="AA112" s="3"/>
      <c r="AH112" s="3">
        <f t="shared" si="58"/>
        <v>94.5</v>
      </c>
      <c r="AI112" s="4">
        <f t="shared" si="49"/>
        <v>3.1753435351527841</v>
      </c>
      <c r="AJ112" s="4">
        <f t="shared" si="50"/>
        <v>1.9914256864566156</v>
      </c>
      <c r="AK112" s="4">
        <f t="shared" si="51"/>
        <v>0.94902638466990275</v>
      </c>
      <c r="AL112" s="3">
        <f t="shared" si="55"/>
        <v>157.50264550264549</v>
      </c>
      <c r="AM112" s="4">
        <f t="shared" si="52"/>
        <v>43.506586537208406</v>
      </c>
      <c r="AN112" s="4">
        <f t="shared" si="53"/>
        <v>36.856626261370593</v>
      </c>
      <c r="AO112" s="4">
        <f t="shared" si="54"/>
        <v>6.3828660567171607</v>
      </c>
      <c r="AP112" s="4">
        <f t="shared" si="48"/>
        <v>15.803058880365661</v>
      </c>
      <c r="AR112" s="3">
        <f t="shared" si="56"/>
        <v>94.5</v>
      </c>
      <c r="AS112" s="4">
        <f t="shared" si="57"/>
        <v>15.803058880365661</v>
      </c>
    </row>
    <row r="113" spans="4:45" x14ac:dyDescent="0.25">
      <c r="D113" s="1">
        <v>42580</v>
      </c>
      <c r="E113" s="3">
        <v>103.119078</v>
      </c>
      <c r="F113" s="3">
        <v>214.76292000000001</v>
      </c>
      <c r="G113" s="3">
        <f t="shared" si="35"/>
        <v>-0.12863699999999767</v>
      </c>
      <c r="H113" s="3">
        <f t="shared" si="36"/>
        <v>0.34619100000000458</v>
      </c>
      <c r="I113" s="4">
        <f t="shared" si="37"/>
        <v>-0.1469048412795162</v>
      </c>
      <c r="J113" s="4">
        <f t="shared" si="38"/>
        <v>0.36684665371113856</v>
      </c>
      <c r="K113" s="4">
        <f t="shared" si="39"/>
        <v>-0.15695249206348971</v>
      </c>
      <c r="L113" s="4">
        <f t="shared" si="40"/>
        <v>0.28040236507936966</v>
      </c>
      <c r="M113" s="4">
        <f t="shared" si="41"/>
        <v>-1.246683294253101E-3</v>
      </c>
      <c r="N113" s="4">
        <f t="shared" si="42"/>
        <v>1.6132688299211717E-3</v>
      </c>
      <c r="O113" s="4">
        <f t="shared" si="43"/>
        <v>-1.5026515229141437E-3</v>
      </c>
      <c r="P113" s="4">
        <f t="shared" si="44"/>
        <v>1.300281112860781E-3</v>
      </c>
      <c r="S113" s="4">
        <v>0.45700936086829397</v>
      </c>
      <c r="T113" s="4">
        <v>0.15073001722294832</v>
      </c>
      <c r="U113" s="4">
        <f t="shared" si="45"/>
        <v>0.39808558477836298</v>
      </c>
      <c r="W113" s="4">
        <f t="shared" si="46"/>
        <v>0.80544014047672619</v>
      </c>
      <c r="X113" s="4">
        <f t="shared" si="47"/>
        <v>0.76765164586345158</v>
      </c>
      <c r="Y113" s="3">
        <f t="shared" si="34"/>
        <v>-50.637145547980708</v>
      </c>
      <c r="AA113" s="3"/>
      <c r="AH113" s="3">
        <f t="shared" si="58"/>
        <v>95</v>
      </c>
      <c r="AI113" s="4">
        <f t="shared" si="49"/>
        <v>3.3029806135312327</v>
      </c>
      <c r="AJ113" s="4">
        <f t="shared" si="50"/>
        <v>2.079894202424299</v>
      </c>
      <c r="AK113" s="4">
        <f t="shared" si="51"/>
        <v>0.98283015566245358</v>
      </c>
      <c r="AL113" s="3">
        <f t="shared" si="55"/>
        <v>156.67368421052632</v>
      </c>
      <c r="AM113" s="4">
        <f t="shared" si="52"/>
        <v>42.761455498379433</v>
      </c>
      <c r="AN113" s="4">
        <f t="shared" si="53"/>
        <v>36.152179578307098</v>
      </c>
      <c r="AO113" s="4">
        <f t="shared" si="54"/>
        <v>6.336805044115402</v>
      </c>
      <c r="AP113" s="4">
        <f t="shared" si="48"/>
        <v>15.859098950135465</v>
      </c>
      <c r="AR113" s="3">
        <f t="shared" si="56"/>
        <v>95</v>
      </c>
      <c r="AS113" s="4">
        <f t="shared" si="57"/>
        <v>15.859098950135465</v>
      </c>
    </row>
    <row r="114" spans="4:45" x14ac:dyDescent="0.25">
      <c r="D114" s="1">
        <v>42579</v>
      </c>
      <c r="E114" s="3">
        <v>103.247715</v>
      </c>
      <c r="F114" s="3">
        <v>214.416729</v>
      </c>
      <c r="G114" s="3">
        <f t="shared" si="35"/>
        <v>1.3754480000000058</v>
      </c>
      <c r="H114" s="3">
        <f t="shared" si="36"/>
        <v>0.24728600000000256</v>
      </c>
      <c r="I114" s="4">
        <f t="shared" si="37"/>
        <v>1.5919845896998903</v>
      </c>
      <c r="J114" s="4">
        <f t="shared" si="38"/>
        <v>0.26234299816058532</v>
      </c>
      <c r="K114" s="4">
        <f t="shared" si="39"/>
        <v>1.3471325079365137</v>
      </c>
      <c r="L114" s="4">
        <f t="shared" si="40"/>
        <v>0.18149736507936767</v>
      </c>
      <c r="M114" s="4">
        <f t="shared" si="41"/>
        <v>1.341135663833669E-2</v>
      </c>
      <c r="N114" s="4">
        <f t="shared" si="42"/>
        <v>1.1539617635683674E-3</v>
      </c>
      <c r="O114" s="4">
        <f t="shared" si="43"/>
        <v>1.3155388409675648E-2</v>
      </c>
      <c r="P114" s="4">
        <f t="shared" si="44"/>
        <v>8.4097404650797681E-4</v>
      </c>
      <c r="S114" s="4">
        <v>-0.74950281718978151</v>
      </c>
      <c r="T114" s="4">
        <v>-0.51125019459000631</v>
      </c>
      <c r="U114" s="4">
        <f t="shared" si="45"/>
        <v>-0.8621775890886072</v>
      </c>
      <c r="W114" s="4">
        <f t="shared" si="46"/>
        <v>-1.2461816258657759</v>
      </c>
      <c r="X114" s="4">
        <f t="shared" si="47"/>
        <v>-1.4543130260879122</v>
      </c>
      <c r="Y114" s="3">
        <f t="shared" si="34"/>
        <v>58.311631920533728</v>
      </c>
      <c r="AA114" s="3"/>
      <c r="AH114" s="3">
        <f t="shared" si="58"/>
        <v>95.5</v>
      </c>
      <c r="AI114" s="4">
        <f t="shared" si="49"/>
        <v>3.4339913979391348</v>
      </c>
      <c r="AJ114" s="4">
        <f t="shared" si="50"/>
        <v>2.1711019770351729</v>
      </c>
      <c r="AK114" s="4">
        <f t="shared" si="51"/>
        <v>1.0172831130398952</v>
      </c>
      <c r="AL114" s="3">
        <f t="shared" si="55"/>
        <v>155.85340314136127</v>
      </c>
      <c r="AM114" s="4">
        <f t="shared" si="52"/>
        <v>42.026775563836125</v>
      </c>
      <c r="AN114" s="4">
        <f t="shared" si="53"/>
        <v>35.458810334643914</v>
      </c>
      <c r="AO114" s="4">
        <f t="shared" si="54"/>
        <v>6.2901608927878092</v>
      </c>
      <c r="AP114" s="4">
        <f t="shared" si="48"/>
        <v>15.901036075112195</v>
      </c>
      <c r="AR114" s="3">
        <f t="shared" si="56"/>
        <v>95.5</v>
      </c>
      <c r="AS114" s="4">
        <f t="shared" si="57"/>
        <v>15.901036075112195</v>
      </c>
    </row>
    <row r="115" spans="4:45" x14ac:dyDescent="0.25">
      <c r="D115" s="1">
        <v>42578</v>
      </c>
      <c r="E115" s="3">
        <v>101.87226699999999</v>
      </c>
      <c r="F115" s="3">
        <v>214.169443</v>
      </c>
      <c r="G115" s="3">
        <f t="shared" si="35"/>
        <v>6.2142569999999893</v>
      </c>
      <c r="H115" s="3">
        <f t="shared" si="36"/>
        <v>-0.22749899999999457</v>
      </c>
      <c r="I115" s="4">
        <f t="shared" si="37"/>
        <v>7.6598192637190206</v>
      </c>
      <c r="J115" s="4">
        <f t="shared" si="38"/>
        <v>-0.24109508699285351</v>
      </c>
      <c r="K115" s="4">
        <f t="shared" si="39"/>
        <v>6.185941507936497</v>
      </c>
      <c r="L115" s="4">
        <f t="shared" si="40"/>
        <v>-0.29328763492062948</v>
      </c>
      <c r="M115" s="4">
        <f t="shared" si="41"/>
        <v>6.2940309014946461E-2</v>
      </c>
      <c r="N115" s="4">
        <f t="shared" si="42"/>
        <v>-1.0616745938618172E-3</v>
      </c>
      <c r="O115" s="4">
        <f t="shared" si="43"/>
        <v>6.2684340786285417E-2</v>
      </c>
      <c r="P115" s="4">
        <f t="shared" si="44"/>
        <v>-1.3746623109222077E-3</v>
      </c>
      <c r="S115" s="4">
        <v>-0.73582930159681403</v>
      </c>
      <c r="T115" s="4">
        <v>0.20234582236968907</v>
      </c>
      <c r="U115" s="4">
        <f t="shared" si="45"/>
        <v>-0.2881800415105239</v>
      </c>
      <c r="W115" s="4">
        <f t="shared" si="46"/>
        <v>-1.2229304041018085</v>
      </c>
      <c r="X115" s="4">
        <f t="shared" si="47"/>
        <v>-0.4423003774981733</v>
      </c>
      <c r="Y115" s="3">
        <f t="shared" si="34"/>
        <v>155.63698553209906</v>
      </c>
      <c r="AA115" s="3"/>
      <c r="AH115" s="3">
        <f t="shared" si="58"/>
        <v>96</v>
      </c>
      <c r="AI115" s="4">
        <f t="shared" si="49"/>
        <v>3.5684023285088315</v>
      </c>
      <c r="AJ115" s="4">
        <f t="shared" si="50"/>
        <v>2.265086247874919</v>
      </c>
      <c r="AK115" s="4">
        <f t="shared" si="51"/>
        <v>1.0523787916700771</v>
      </c>
      <c r="AL115" s="3">
        <f t="shared" si="55"/>
        <v>155.04166666666666</v>
      </c>
      <c r="AM115" s="4">
        <f t="shared" si="52"/>
        <v>41.302431353079356</v>
      </c>
      <c r="AN115" s="4">
        <f t="shared" si="53"/>
        <v>34.7763911102615</v>
      </c>
      <c r="AO115" s="4">
        <f t="shared" si="54"/>
        <v>6.2429500952865888</v>
      </c>
      <c r="AP115" s="4">
        <f t="shared" si="48"/>
        <v>15.928678432585741</v>
      </c>
      <c r="AR115" s="3">
        <f t="shared" si="56"/>
        <v>96</v>
      </c>
      <c r="AS115" s="4">
        <f t="shared" si="57"/>
        <v>15.928678432585741</v>
      </c>
    </row>
    <row r="116" spans="4:45" x14ac:dyDescent="0.25">
      <c r="D116" s="1">
        <v>42577</v>
      </c>
      <c r="E116" s="3">
        <v>95.658010000000004</v>
      </c>
      <c r="F116" s="3">
        <v>214.396942</v>
      </c>
      <c r="G116" s="3">
        <f t="shared" si="35"/>
        <v>-0.66298399999999447</v>
      </c>
      <c r="H116" s="3">
        <f t="shared" si="36"/>
        <v>9.8919999999992569E-2</v>
      </c>
      <c r="I116" s="4">
        <f t="shared" si="37"/>
        <v>-0.8115826347466405</v>
      </c>
      <c r="J116" s="4">
        <f t="shared" si="38"/>
        <v>0.10488017426702292</v>
      </c>
      <c r="K116" s="4">
        <f t="shared" si="39"/>
        <v>-0.69129949206348651</v>
      </c>
      <c r="L116" s="4">
        <f t="shared" si="40"/>
        <v>3.3131365079357683E-2</v>
      </c>
      <c r="M116" s="4">
        <f t="shared" si="41"/>
        <v>-6.9068660823392936E-3</v>
      </c>
      <c r="N116" s="4">
        <f t="shared" si="42"/>
        <v>4.6149364962273944E-4</v>
      </c>
      <c r="O116" s="4">
        <f t="shared" si="43"/>
        <v>-7.1628343110003365E-3</v>
      </c>
      <c r="P116" s="4">
        <f t="shared" si="44"/>
        <v>1.4850593256234885E-4</v>
      </c>
      <c r="S116" s="4">
        <v>1.7494999975281864</v>
      </c>
      <c r="T116" s="4">
        <v>0.34132471372845974</v>
      </c>
      <c r="U116" s="4">
        <f t="shared" si="45"/>
        <v>1.3370996095197407</v>
      </c>
      <c r="W116" s="4">
        <f t="shared" si="46"/>
        <v>3.0032645563341136</v>
      </c>
      <c r="X116" s="4">
        <f t="shared" si="47"/>
        <v>2.4232233016154474</v>
      </c>
      <c r="Y116" s="3">
        <f t="shared" si="34"/>
        <v>-216.02700128644028</v>
      </c>
      <c r="AA116" s="3"/>
      <c r="AH116" s="3">
        <f t="shared" si="58"/>
        <v>96.5</v>
      </c>
      <c r="AI116" s="4">
        <f t="shared" si="49"/>
        <v>3.7062384143746456</v>
      </c>
      <c r="AJ116" s="4">
        <f t="shared" si="50"/>
        <v>2.3618833297250568</v>
      </c>
      <c r="AK116" s="4">
        <f t="shared" si="51"/>
        <v>1.0881101886129325</v>
      </c>
      <c r="AL116" s="3">
        <f t="shared" si="55"/>
        <v>154.23834196891193</v>
      </c>
      <c r="AM116" s="4">
        <f t="shared" si="52"/>
        <v>40.58830929988622</v>
      </c>
      <c r="AN116" s="4">
        <f t="shared" si="53"/>
        <v>34.104795806093335</v>
      </c>
      <c r="AO116" s="4">
        <f t="shared" si="54"/>
        <v>6.1951895602307721</v>
      </c>
      <c r="AP116" s="4">
        <f t="shared" si="48"/>
        <v>15.941857520882829</v>
      </c>
      <c r="AR116" s="3">
        <f t="shared" si="56"/>
        <v>96.5</v>
      </c>
      <c r="AS116" s="4">
        <f t="shared" si="57"/>
        <v>15.941857520882829</v>
      </c>
    </row>
    <row r="117" spans="4:45" x14ac:dyDescent="0.25">
      <c r="D117" s="1">
        <v>42576</v>
      </c>
      <c r="E117" s="3">
        <v>96.320993999999999</v>
      </c>
      <c r="F117" s="3">
        <v>214.298022</v>
      </c>
      <c r="G117" s="3">
        <f t="shared" si="35"/>
        <v>-1.3061890000000034</v>
      </c>
      <c r="H117" s="3">
        <f t="shared" si="36"/>
        <v>-0.58360600000000318</v>
      </c>
      <c r="I117" s="4">
        <f t="shared" si="37"/>
        <v>-1.5775601167838307</v>
      </c>
      <c r="J117" s="4">
        <f t="shared" si="38"/>
        <v>-0.61708916010838633</v>
      </c>
      <c r="K117" s="4">
        <f t="shared" si="39"/>
        <v>-1.3345044920634954</v>
      </c>
      <c r="L117" s="4">
        <f t="shared" si="40"/>
        <v>-0.64939463492063809</v>
      </c>
      <c r="M117" s="4">
        <f t="shared" si="41"/>
        <v>-1.346966771068476E-2</v>
      </c>
      <c r="N117" s="4">
        <f t="shared" si="42"/>
        <v>-2.7196366822909231E-3</v>
      </c>
      <c r="O117" s="4">
        <f t="shared" si="43"/>
        <v>-1.3725635939345802E-2</v>
      </c>
      <c r="P117" s="4">
        <f t="shared" si="44"/>
        <v>-3.0326243993513136E-3</v>
      </c>
      <c r="S117" s="4">
        <v>-1.2909611024259671</v>
      </c>
      <c r="T117" s="4">
        <v>-2.2174593591632052</v>
      </c>
      <c r="U117" s="4">
        <f t="shared" si="45"/>
        <v>-2.5447610281053756</v>
      </c>
      <c r="W117" s="4">
        <f t="shared" si="46"/>
        <v>-2.1669080169951438</v>
      </c>
      <c r="X117" s="4">
        <f t="shared" si="47"/>
        <v>-4.4208687714518824</v>
      </c>
      <c r="Y117" s="3">
        <f t="shared" si="34"/>
        <v>-82.559849511229459</v>
      </c>
      <c r="AA117" s="3"/>
      <c r="AH117" s="3">
        <f t="shared" si="58"/>
        <v>97</v>
      </c>
      <c r="AI117" s="4">
        <f t="shared" si="49"/>
        <v>3.8475232240936066</v>
      </c>
      <c r="AJ117" s="4">
        <f t="shared" si="50"/>
        <v>2.4615285868534116</v>
      </c>
      <c r="AK117" s="4">
        <f t="shared" si="51"/>
        <v>1.1244697744567647</v>
      </c>
      <c r="AL117" s="3">
        <f t="shared" si="55"/>
        <v>153.44329896907217</v>
      </c>
      <c r="AM117" s="4">
        <f t="shared" si="52"/>
        <v>39.884297566593872</v>
      </c>
      <c r="AN117" s="4">
        <f t="shared" si="53"/>
        <v>33.443899578406217</v>
      </c>
      <c r="AO117" s="4">
        <f t="shared" si="54"/>
        <v>6.1468965859438125</v>
      </c>
      <c r="AP117" s="4">
        <f t="shared" si="48"/>
        <v>15.940428311465704</v>
      </c>
      <c r="AR117" s="3">
        <f t="shared" si="56"/>
        <v>97</v>
      </c>
      <c r="AS117" s="4">
        <f t="shared" si="57"/>
        <v>15.940428311465704</v>
      </c>
    </row>
    <row r="118" spans="4:45" x14ac:dyDescent="0.25">
      <c r="D118" s="1">
        <v>42573</v>
      </c>
      <c r="E118" s="3">
        <v>97.627183000000002</v>
      </c>
      <c r="F118" s="3">
        <v>214.88162800000001</v>
      </c>
      <c r="G118" s="3">
        <f t="shared" si="35"/>
        <v>-0.76193599999999151</v>
      </c>
      <c r="H118" s="3">
        <f t="shared" si="36"/>
        <v>0.95947100000000773</v>
      </c>
      <c r="I118" s="4">
        <f t="shared" si="37"/>
        <v>-0.91310784892527597</v>
      </c>
      <c r="J118" s="4">
        <f t="shared" si="38"/>
        <v>1.0190688785280841</v>
      </c>
      <c r="K118" s="4">
        <f t="shared" si="39"/>
        <v>-0.79025149206348355</v>
      </c>
      <c r="L118" s="4">
        <f t="shared" si="40"/>
        <v>0.89368236507937282</v>
      </c>
      <c r="M118" s="4">
        <f t="shared" si="41"/>
        <v>-7.77424969018787E-3</v>
      </c>
      <c r="N118" s="4">
        <f t="shared" si="42"/>
        <v>4.4751125564211278E-3</v>
      </c>
      <c r="O118" s="4">
        <f t="shared" si="43"/>
        <v>-8.0302179188489128E-3</v>
      </c>
      <c r="P118" s="4">
        <f t="shared" si="44"/>
        <v>4.1621248393607368E-3</v>
      </c>
      <c r="S118" s="4">
        <v>-2.8104070973063227</v>
      </c>
      <c r="T118" s="4">
        <v>0.5111341015477191</v>
      </c>
      <c r="U118" s="4">
        <f t="shared" si="45"/>
        <v>-1.3081149490037078</v>
      </c>
      <c r="W118" s="4">
        <f t="shared" si="46"/>
        <v>-4.7506602016568245</v>
      </c>
      <c r="X118" s="4">
        <f t="shared" si="47"/>
        <v>-2.2405432994000214</v>
      </c>
      <c r="Y118" s="3">
        <f t="shared" si="34"/>
        <v>597.01032623807532</v>
      </c>
      <c r="AA118" s="3"/>
      <c r="AH118" s="3">
        <f t="shared" si="58"/>
        <v>97.5</v>
      </c>
      <c r="AI118" s="4">
        <f t="shared" si="49"/>
        <v>3.9922788780985456</v>
      </c>
      <c r="AJ118" s="4">
        <f t="shared" si="50"/>
        <v>2.564056406796368</v>
      </c>
      <c r="AK118" s="4">
        <f t="shared" si="51"/>
        <v>1.1614495053893665</v>
      </c>
      <c r="AL118" s="3">
        <f t="shared" si="55"/>
        <v>152.65641025641025</v>
      </c>
      <c r="AM118" s="4">
        <f t="shared" si="52"/>
        <v>39.190285962003856</v>
      </c>
      <c r="AN118" s="4">
        <f t="shared" si="53"/>
        <v>32.793578777172073</v>
      </c>
      <c r="AO118" s="4">
        <f t="shared" si="54"/>
        <v>6.0980888339255017</v>
      </c>
      <c r="AP118" s="4">
        <f t="shared" si="48"/>
        <v>15.924269340069831</v>
      </c>
      <c r="AR118" s="3">
        <f t="shared" si="56"/>
        <v>97.5</v>
      </c>
      <c r="AS118" s="4">
        <f t="shared" si="57"/>
        <v>15.924269340069831</v>
      </c>
    </row>
    <row r="119" spans="4:45" x14ac:dyDescent="0.25">
      <c r="D119" s="1">
        <v>42572</v>
      </c>
      <c r="E119" s="3">
        <v>98.389118999999994</v>
      </c>
      <c r="F119" s="3">
        <v>213.922157</v>
      </c>
      <c r="G119" s="3">
        <f t="shared" si="35"/>
        <v>-0.52445100000001332</v>
      </c>
      <c r="H119" s="3">
        <f t="shared" si="36"/>
        <v>-0.81109000000000719</v>
      </c>
      <c r="I119" s="4">
        <f t="shared" si="37"/>
        <v>-0.62517225399715692</v>
      </c>
      <c r="J119" s="4">
        <f t="shared" si="38"/>
        <v>-0.85821719343549829</v>
      </c>
      <c r="K119" s="4">
        <f t="shared" si="39"/>
        <v>-0.55276649206350537</v>
      </c>
      <c r="L119" s="4">
        <f t="shared" si="40"/>
        <v>-0.87687863492064211</v>
      </c>
      <c r="M119" s="4">
        <f t="shared" si="41"/>
        <v>-5.3162198430797948E-3</v>
      </c>
      <c r="N119" s="4">
        <f t="shared" si="42"/>
        <v>-3.7843496683809177E-3</v>
      </c>
      <c r="O119" s="4">
        <f t="shared" si="43"/>
        <v>-5.5721880717408377E-3</v>
      </c>
      <c r="P119" s="4">
        <f t="shared" si="44"/>
        <v>-4.0973373854413086E-3</v>
      </c>
      <c r="S119" s="4">
        <v>0.80291363003600602</v>
      </c>
      <c r="T119" s="4">
        <v>0.78648072239574385</v>
      </c>
      <c r="U119" s="4">
        <f t="shared" si="45"/>
        <v>1.1129110550540615</v>
      </c>
      <c r="W119" s="4">
        <f t="shared" si="46"/>
        <v>1.3936353867422917</v>
      </c>
      <c r="X119" s="4">
        <f t="shared" si="47"/>
        <v>2.0279574093731929</v>
      </c>
      <c r="Y119" s="3">
        <f t="shared" si="34"/>
        <v>-15.552253142316658</v>
      </c>
      <c r="AA119" s="3"/>
      <c r="AH119" s="3">
        <f t="shared" si="58"/>
        <v>98</v>
      </c>
      <c r="AI119" s="4">
        <f t="shared" si="49"/>
        <v>4.1405260431482063</v>
      </c>
      <c r="AJ119" s="4">
        <f t="shared" si="50"/>
        <v>2.6695001756501</v>
      </c>
      <c r="AK119" s="4">
        <f t="shared" si="51"/>
        <v>1.1990408359629574</v>
      </c>
      <c r="AL119" s="3">
        <f t="shared" si="55"/>
        <v>151.87755102040816</v>
      </c>
      <c r="AM119" s="4">
        <f t="shared" si="52"/>
        <v>38.506165862826876</v>
      </c>
      <c r="AN119" s="4">
        <f t="shared" si="53"/>
        <v>32.153710888394485</v>
      </c>
      <c r="AO119" s="4">
        <f t="shared" si="54"/>
        <v>6.0487843022211623</v>
      </c>
      <c r="AP119" s="4">
        <f t="shared" si="48"/>
        <v>15.893282737977966</v>
      </c>
      <c r="AR119" s="3">
        <f t="shared" si="56"/>
        <v>98</v>
      </c>
      <c r="AS119" s="4">
        <f t="shared" si="57"/>
        <v>15.893282737977966</v>
      </c>
    </row>
    <row r="120" spans="4:45" x14ac:dyDescent="0.25">
      <c r="D120" s="1">
        <v>42571</v>
      </c>
      <c r="E120" s="3">
        <v>98.913570000000007</v>
      </c>
      <c r="F120" s="3">
        <v>214.73324700000001</v>
      </c>
      <c r="G120" s="3">
        <f t="shared" si="35"/>
        <v>8.9055000000001883E-2</v>
      </c>
      <c r="H120" s="3">
        <f t="shared" si="36"/>
        <v>0.89022299999999177</v>
      </c>
      <c r="I120" s="4">
        <f t="shared" si="37"/>
        <v>0.10625375096675375</v>
      </c>
      <c r="J120" s="4">
        <f t="shared" si="38"/>
        <v>0.94586940587577506</v>
      </c>
      <c r="K120" s="4">
        <f t="shared" si="39"/>
        <v>6.0739507936509826E-2</v>
      </c>
      <c r="L120" s="4">
        <f t="shared" si="40"/>
        <v>0.82443436507935686</v>
      </c>
      <c r="M120" s="4">
        <f t="shared" si="41"/>
        <v>9.0073701301454092E-4</v>
      </c>
      <c r="N120" s="4">
        <f t="shared" si="42"/>
        <v>4.1543330350386843E-3</v>
      </c>
      <c r="O120" s="4">
        <f t="shared" si="43"/>
        <v>6.4476878435349837E-4</v>
      </c>
      <c r="P120" s="4">
        <f t="shared" si="44"/>
        <v>3.8413453179782938E-3</v>
      </c>
      <c r="S120" s="4">
        <v>-1.9095620285345007</v>
      </c>
      <c r="T120" s="4">
        <v>-0.81369017294194901</v>
      </c>
      <c r="U120" s="4">
        <f t="shared" si="45"/>
        <v>-1.8091173244430667</v>
      </c>
      <c r="W120" s="4">
        <f t="shared" si="46"/>
        <v>-3.218812131818598</v>
      </c>
      <c r="X120" s="4">
        <f t="shared" si="47"/>
        <v>-3.12385846870249</v>
      </c>
      <c r="Y120" s="3">
        <f t="shared" si="34"/>
        <v>230.66782220628465</v>
      </c>
      <c r="AA120" s="3"/>
      <c r="AH120" s="3">
        <f t="shared" si="58"/>
        <v>98.5</v>
      </c>
      <c r="AI120" s="4">
        <f t="shared" si="49"/>
        <v>4.2922839287355004</v>
      </c>
      <c r="AJ120" s="4">
        <f t="shared" si="50"/>
        <v>2.7778922548849678</v>
      </c>
      <c r="AK120" s="4">
        <f t="shared" si="51"/>
        <v>1.237234732511312</v>
      </c>
      <c r="AL120" s="3">
        <f t="shared" si="55"/>
        <v>151.10659898477158</v>
      </c>
      <c r="AM120" s="4">
        <f t="shared" si="52"/>
        <v>37.831830138587748</v>
      </c>
      <c r="AN120" s="4">
        <f t="shared" si="53"/>
        <v>31.524174480255226</v>
      </c>
      <c r="AO120" s="4">
        <f t="shared" si="54"/>
        <v>5.9990012987492642</v>
      </c>
      <c r="AP120" s="4">
        <f t="shared" si="48"/>
        <v>15.847394204857979</v>
      </c>
      <c r="AR120" s="3">
        <f t="shared" si="56"/>
        <v>98.5</v>
      </c>
      <c r="AS120" s="4">
        <f t="shared" si="57"/>
        <v>15.847394204857979</v>
      </c>
    </row>
    <row r="121" spans="4:45" x14ac:dyDescent="0.25">
      <c r="D121" s="1">
        <v>42570</v>
      </c>
      <c r="E121" s="3">
        <v>98.824515000000005</v>
      </c>
      <c r="F121" s="3">
        <v>213.84302400000001</v>
      </c>
      <c r="G121" s="3">
        <f t="shared" si="35"/>
        <v>3.9582000000009998E-2</v>
      </c>
      <c r="H121" s="3">
        <f t="shared" si="36"/>
        <v>-0.21761300000000006</v>
      </c>
      <c r="I121" s="4">
        <f t="shared" si="37"/>
        <v>4.7245198600571796E-2</v>
      </c>
      <c r="J121" s="4">
        <f t="shared" si="38"/>
        <v>-0.23098058543706476</v>
      </c>
      <c r="K121" s="4">
        <f t="shared" si="39"/>
        <v>1.1266507936517945E-2</v>
      </c>
      <c r="L121" s="4">
        <f t="shared" si="40"/>
        <v>-0.28340163492063497</v>
      </c>
      <c r="M121" s="4">
        <f t="shared" si="41"/>
        <v>4.0060838112734181E-4</v>
      </c>
      <c r="N121" s="4">
        <f t="shared" si="42"/>
        <v>-1.0171122081629651E-3</v>
      </c>
      <c r="O121" s="4">
        <f t="shared" si="43"/>
        <v>1.4464015246629921E-4</v>
      </c>
      <c r="P121" s="4">
        <f t="shared" si="44"/>
        <v>-1.3300999252233558E-3</v>
      </c>
      <c r="S121" s="4">
        <v>0.64566273897433746</v>
      </c>
      <c r="T121" s="4">
        <v>0.88544239050473139</v>
      </c>
      <c r="U121" s="4">
        <f t="shared" si="45"/>
        <v>1.0954935277950293</v>
      </c>
      <c r="W121" s="4">
        <f t="shared" si="46"/>
        <v>1.1262370489997418</v>
      </c>
      <c r="X121" s="4">
        <f t="shared" si="47"/>
        <v>1.9972486407248404</v>
      </c>
      <c r="Y121" s="3">
        <f t="shared" si="34"/>
        <v>22.503860850758429</v>
      </c>
      <c r="AA121" s="3"/>
      <c r="AH121" s="3">
        <f t="shared" si="58"/>
        <v>99</v>
      </c>
      <c r="AI121" s="4">
        <f t="shared" si="49"/>
        <v>4.4475702854121799</v>
      </c>
      <c r="AJ121" s="4">
        <f t="shared" si="50"/>
        <v>2.8892639596933627</v>
      </c>
      <c r="AK121" s="4">
        <f t="shared" si="51"/>
        <v>1.2760216871769519</v>
      </c>
      <c r="AL121" s="3">
        <f t="shared" si="55"/>
        <v>150.34343434343435</v>
      </c>
      <c r="AM121" s="4">
        <f t="shared" si="52"/>
        <v>37.16717307991135</v>
      </c>
      <c r="AN121" s="4">
        <f t="shared" si="53"/>
        <v>30.904849152946937</v>
      </c>
      <c r="AO121" s="4">
        <f t="shared" si="54"/>
        <v>5.9487584146464574</v>
      </c>
      <c r="AP121" s="4">
        <f t="shared" si="48"/>
        <v>15.786552924577013</v>
      </c>
      <c r="AR121" s="3">
        <f t="shared" si="56"/>
        <v>99</v>
      </c>
      <c r="AS121" s="4">
        <f t="shared" si="57"/>
        <v>15.786552924577013</v>
      </c>
    </row>
    <row r="122" spans="4:45" x14ac:dyDescent="0.25">
      <c r="D122" s="1">
        <v>42569</v>
      </c>
      <c r="E122" s="3">
        <v>98.784932999999995</v>
      </c>
      <c r="F122" s="3">
        <v>214.06063700000001</v>
      </c>
      <c r="G122" s="3">
        <f t="shared" si="35"/>
        <v>1.0390110000000021</v>
      </c>
      <c r="H122" s="3">
        <f t="shared" si="36"/>
        <v>0.57370600000001559</v>
      </c>
      <c r="I122" s="4">
        <f t="shared" si="37"/>
        <v>1.2533493843972769</v>
      </c>
      <c r="J122" s="4">
        <f t="shared" si="38"/>
        <v>0.61058418735686237</v>
      </c>
      <c r="K122" s="4">
        <f t="shared" si="39"/>
        <v>1.0106955079365101</v>
      </c>
      <c r="L122" s="4">
        <f t="shared" si="40"/>
        <v>0.50791736507938068</v>
      </c>
      <c r="M122" s="4">
        <f t="shared" si="41"/>
        <v>1.0573613799364346E-2</v>
      </c>
      <c r="N122" s="4">
        <f t="shared" si="42"/>
        <v>2.6837076726531918E-3</v>
      </c>
      <c r="O122" s="4">
        <f t="shared" si="43"/>
        <v>1.0317645570703304E-2</v>
      </c>
      <c r="P122" s="4">
        <f t="shared" si="44"/>
        <v>2.3707199555928014E-3</v>
      </c>
      <c r="S122" s="4">
        <v>-1.0157977276428396</v>
      </c>
      <c r="T122" s="4">
        <v>0.22554918771816063</v>
      </c>
      <c r="U122" s="4">
        <f t="shared" si="45"/>
        <v>-0.44046191811832708</v>
      </c>
      <c r="W122" s="4">
        <f t="shared" si="46"/>
        <v>-1.6990046014540285</v>
      </c>
      <c r="X122" s="4">
        <f t="shared" si="47"/>
        <v>-0.71078791011627096</v>
      </c>
      <c r="Y122" s="3">
        <f t="shared" si="34"/>
        <v>208.71800276784415</v>
      </c>
      <c r="AA122" s="3"/>
      <c r="AH122" s="3">
        <f t="shared" si="58"/>
        <v>99.5</v>
      </c>
      <c r="AI122" s="4">
        <f t="shared" si="49"/>
        <v>4.6064014049851565</v>
      </c>
      <c r="AJ122" s="4">
        <f t="shared" si="50"/>
        <v>3.0036455388772367</v>
      </c>
      <c r="AK122" s="4">
        <f t="shared" si="51"/>
        <v>1.3153917325059588</v>
      </c>
      <c r="AL122" s="3">
        <f t="shared" si="55"/>
        <v>149.58793969849245</v>
      </c>
      <c r="AM122" s="4">
        <f t="shared" si="52"/>
        <v>36.512090330108663</v>
      </c>
      <c r="AN122" s="4">
        <f t="shared" si="53"/>
        <v>30.295615492058218</v>
      </c>
      <c r="AO122" s="4">
        <f t="shared" si="54"/>
        <v>5.8980744976869941</v>
      </c>
      <c r="AP122" s="4">
        <f t="shared" si="48"/>
        <v>15.710731425981074</v>
      </c>
      <c r="AR122" s="3">
        <f t="shared" si="56"/>
        <v>99.5</v>
      </c>
      <c r="AS122" s="4">
        <f t="shared" si="57"/>
        <v>15.710731425981074</v>
      </c>
    </row>
    <row r="123" spans="4:45" x14ac:dyDescent="0.25">
      <c r="D123" s="1">
        <v>42566</v>
      </c>
      <c r="E123" s="3">
        <v>97.745921999999993</v>
      </c>
      <c r="F123" s="3">
        <v>213.486931</v>
      </c>
      <c r="G123" s="3">
        <f t="shared" si="35"/>
        <v>-9.8970000000093705E-3</v>
      </c>
      <c r="H123" s="3">
        <f t="shared" si="36"/>
        <v>-0.28684599999999705</v>
      </c>
      <c r="I123" s="4">
        <f t="shared" si="37"/>
        <v>-1.1937451105484624E-2</v>
      </c>
      <c r="J123" s="4">
        <f t="shared" si="38"/>
        <v>-0.30487500657258504</v>
      </c>
      <c r="K123" s="4">
        <f t="shared" si="39"/>
        <v>-3.8212492063501427E-2</v>
      </c>
      <c r="L123" s="4">
        <f t="shared" si="40"/>
        <v>-0.35263463492063196</v>
      </c>
      <c r="M123" s="4">
        <f t="shared" si="41"/>
        <v>-1.0124718028431818E-4</v>
      </c>
      <c r="N123" s="4">
        <f t="shared" si="42"/>
        <v>-1.3427213770204097E-3</v>
      </c>
      <c r="O123" s="4">
        <f t="shared" si="43"/>
        <v>-3.5721540894536078E-4</v>
      </c>
      <c r="P123" s="4">
        <f t="shared" si="44"/>
        <v>-1.6557090940808004E-3</v>
      </c>
      <c r="S123" s="4">
        <v>1.6395494837823976</v>
      </c>
      <c r="T123" s="4">
        <v>0.76881428520625461</v>
      </c>
      <c r="U123" s="4">
        <f t="shared" si="45"/>
        <v>1.6089388946310033</v>
      </c>
      <c r="W123" s="4">
        <f t="shared" si="46"/>
        <v>2.8162984640527453</v>
      </c>
      <c r="X123" s="4">
        <f t="shared" si="47"/>
        <v>2.9025019955348954</v>
      </c>
      <c r="Y123" s="3">
        <f t="shared" si="34"/>
        <v>-140.88108974094939</v>
      </c>
      <c r="AA123" s="3"/>
      <c r="AH123" s="3">
        <f t="shared" si="58"/>
        <v>100</v>
      </c>
      <c r="AI123" s="4">
        <f t="shared" si="49"/>
        <v>4.7687921225368477</v>
      </c>
      <c r="AJ123" s="4">
        <f t="shared" si="50"/>
        <v>3.1210661562788466</v>
      </c>
      <c r="AK123" s="4">
        <f t="shared" si="51"/>
        <v>1.3553344565677585</v>
      </c>
      <c r="AL123" s="3">
        <f t="shared" si="55"/>
        <v>148.84</v>
      </c>
      <c r="AM123" s="4">
        <f t="shared" si="52"/>
        <v>35.866478819983826</v>
      </c>
      <c r="AN123" s="4">
        <f t="shared" si="53"/>
        <v>29.696355025379887</v>
      </c>
      <c r="AO123" s="4">
        <f t="shared" si="54"/>
        <v>5.8469686258311873</v>
      </c>
      <c r="AP123" s="4">
        <f t="shared" si="48"/>
        <v>15.619925390206756</v>
      </c>
      <c r="AR123" s="3">
        <f t="shared" si="56"/>
        <v>100</v>
      </c>
      <c r="AS123" s="4">
        <f t="shared" si="57"/>
        <v>15.619925390206756</v>
      </c>
    </row>
    <row r="124" spans="4:45" x14ac:dyDescent="0.25">
      <c r="D124" s="1">
        <v>42565</v>
      </c>
      <c r="E124" s="3">
        <v>97.755819000000002</v>
      </c>
      <c r="F124" s="3">
        <v>213.773777</v>
      </c>
      <c r="G124" s="3">
        <f t="shared" si="35"/>
        <v>1.8998980000000074</v>
      </c>
      <c r="H124" s="3">
        <f t="shared" si="36"/>
        <v>1.1869700000000023</v>
      </c>
      <c r="I124" s="4">
        <f t="shared" si="37"/>
        <v>2.3370176661240665</v>
      </c>
      <c r="J124" s="4">
        <f t="shared" si="38"/>
        <v>1.2686180568523733</v>
      </c>
      <c r="K124" s="4">
        <f t="shared" si="39"/>
        <v>1.8715825079365154</v>
      </c>
      <c r="L124" s="4">
        <f t="shared" si="40"/>
        <v>1.1211813650793674</v>
      </c>
      <c r="M124" s="4">
        <f t="shared" si="41"/>
        <v>1.9626485317101334E-2</v>
      </c>
      <c r="N124" s="4">
        <f t="shared" si="42"/>
        <v>5.567930578313814E-3</v>
      </c>
      <c r="O124" s="4">
        <f t="shared" si="43"/>
        <v>1.937051708844029E-2</v>
      </c>
      <c r="P124" s="4">
        <f t="shared" si="44"/>
        <v>5.254942861253423E-3</v>
      </c>
      <c r="S124" s="4">
        <v>-1.0972819027486758</v>
      </c>
      <c r="T124" s="4">
        <v>1.2927706385527005</v>
      </c>
      <c r="U124" s="4">
        <f t="shared" si="45"/>
        <v>0.35584143719203187</v>
      </c>
      <c r="W124" s="4">
        <f t="shared" si="46"/>
        <v>-1.8375649163019658</v>
      </c>
      <c r="X124" s="4">
        <f t="shared" si="47"/>
        <v>0.69317116791255395</v>
      </c>
      <c r="Y124" s="3">
        <f t="shared" si="34"/>
        <v>372.60296012679373</v>
      </c>
      <c r="AA124" s="3"/>
      <c r="AH124" s="3">
        <f t="shared" si="58"/>
        <v>100.5</v>
      </c>
      <c r="AI124" s="4">
        <f t="shared" si="49"/>
        <v>4.9347558202200581</v>
      </c>
      <c r="AJ124" s="4">
        <f t="shared" si="50"/>
        <v>3.2415538737544516</v>
      </c>
      <c r="AK124" s="4">
        <f t="shared" si="51"/>
        <v>1.395839018557153</v>
      </c>
      <c r="AL124" s="3">
        <f t="shared" si="55"/>
        <v>148.09950248756218</v>
      </c>
      <c r="AM124" s="4">
        <f t="shared" si="52"/>
        <v>35.230236705781195</v>
      </c>
      <c r="AN124" s="4">
        <f t="shared" si="53"/>
        <v>29.106950183000279</v>
      </c>
      <c r="AO124" s="4">
        <f t="shared" si="54"/>
        <v>5.7954600809553227</v>
      </c>
      <c r="AP124" s="4">
        <f t="shared" si="48"/>
        <v>15.514153406585507</v>
      </c>
      <c r="AR124" s="3">
        <f t="shared" si="56"/>
        <v>100.5</v>
      </c>
      <c r="AS124" s="4">
        <f t="shared" si="57"/>
        <v>15.514153406585507</v>
      </c>
    </row>
    <row r="125" spans="4:45" x14ac:dyDescent="0.25">
      <c r="D125" s="1">
        <v>42564</v>
      </c>
      <c r="E125" s="3">
        <v>95.855920999999995</v>
      </c>
      <c r="F125" s="3">
        <v>212.58680699999999</v>
      </c>
      <c r="G125" s="3">
        <f t="shared" si="35"/>
        <v>-0.5442380000000071</v>
      </c>
      <c r="H125" s="3">
        <f t="shared" si="36"/>
        <v>-2.9673000000002503E-2</v>
      </c>
      <c r="I125" s="4">
        <f t="shared" si="37"/>
        <v>-0.66567426260109008</v>
      </c>
      <c r="J125" s="4">
        <f t="shared" si="38"/>
        <v>-3.1709689379259637E-2</v>
      </c>
      <c r="K125" s="4">
        <f t="shared" si="39"/>
        <v>-0.57255349206349915</v>
      </c>
      <c r="L125" s="4">
        <f t="shared" si="40"/>
        <v>-9.5461634920637389E-2</v>
      </c>
      <c r="M125" s="4">
        <f t="shared" si="41"/>
        <v>-5.6616098043996482E-3</v>
      </c>
      <c r="N125" s="4">
        <f t="shared" si="42"/>
        <v>-1.3957088741025934E-4</v>
      </c>
      <c r="O125" s="4">
        <f t="shared" si="43"/>
        <v>-5.9175780330606911E-3</v>
      </c>
      <c r="P125" s="4">
        <f t="shared" si="44"/>
        <v>-4.525586044706499E-4</v>
      </c>
      <c r="S125" s="4">
        <v>9.1089299057746681E-2</v>
      </c>
      <c r="T125" s="4">
        <v>0.84997113189858442</v>
      </c>
      <c r="U125" s="4">
        <f t="shared" si="45"/>
        <v>0.7292954016618558</v>
      </c>
      <c r="W125" s="4">
        <f t="shared" si="46"/>
        <v>0.18320890468411388</v>
      </c>
      <c r="X125" s="4">
        <f t="shared" si="47"/>
        <v>1.3516062732612089</v>
      </c>
      <c r="Y125" s="3">
        <f t="shared" si="34"/>
        <v>105.88802198678832</v>
      </c>
      <c r="AA125" s="3"/>
      <c r="AH125" s="3">
        <f t="shared" si="58"/>
        <v>101</v>
      </c>
      <c r="AI125" s="4">
        <f t="shared" si="49"/>
        <v>5.1043044327749527</v>
      </c>
      <c r="AJ125" s="4">
        <f t="shared" si="50"/>
        <v>3.3651356356875084</v>
      </c>
      <c r="AK125" s="4">
        <f t="shared" si="51"/>
        <v>1.4368941648359783</v>
      </c>
      <c r="AL125" s="3">
        <f t="shared" si="55"/>
        <v>147.36633663366337</v>
      </c>
      <c r="AM125" s="4">
        <f t="shared" si="52"/>
        <v>34.603263310193597</v>
      </c>
      <c r="AN125" s="4">
        <f t="shared" si="53"/>
        <v>28.527284260561245</v>
      </c>
      <c r="AO125" s="4">
        <f t="shared" si="54"/>
        <v>5.7435683228130801</v>
      </c>
      <c r="AP125" s="4">
        <f t="shared" si="48"/>
        <v>15.393456679045215</v>
      </c>
      <c r="AR125" s="3">
        <f t="shared" si="56"/>
        <v>101</v>
      </c>
      <c r="AS125" s="4">
        <f t="shared" si="57"/>
        <v>15.393456679045215</v>
      </c>
    </row>
    <row r="126" spans="4:45" x14ac:dyDescent="0.25">
      <c r="D126" s="1">
        <v>42563</v>
      </c>
      <c r="E126" s="3">
        <v>96.400159000000002</v>
      </c>
      <c r="F126" s="3">
        <v>212.61648</v>
      </c>
      <c r="G126" s="3">
        <f t="shared" si="35"/>
        <v>0.43538900000000069</v>
      </c>
      <c r="H126" s="3">
        <f t="shared" si="36"/>
        <v>1.5331759999999974</v>
      </c>
      <c r="I126" s="4">
        <f t="shared" si="37"/>
        <v>0.53495380368812517</v>
      </c>
      <c r="J126" s="4">
        <f t="shared" si="38"/>
        <v>1.6503102002431769</v>
      </c>
      <c r="K126" s="4">
        <f t="shared" si="39"/>
        <v>0.40707350793650865</v>
      </c>
      <c r="L126" s="4">
        <f t="shared" si="40"/>
        <v>1.4673873650793625</v>
      </c>
      <c r="M126" s="4">
        <f t="shared" si="41"/>
        <v>4.526706044896636E-3</v>
      </c>
      <c r="N126" s="4">
        <f t="shared" si="42"/>
        <v>7.2371181184309645E-3</v>
      </c>
      <c r="O126" s="4">
        <f t="shared" si="43"/>
        <v>4.2707378162355931E-3</v>
      </c>
      <c r="P126" s="4">
        <f t="shared" si="44"/>
        <v>6.9241304013705736E-3</v>
      </c>
      <c r="S126" s="4">
        <v>0.53841388313443217</v>
      </c>
      <c r="T126" s="4">
        <v>-8.9721701823520891E-2</v>
      </c>
      <c r="U126" s="4">
        <f t="shared" si="45"/>
        <v>0.25710743920907464</v>
      </c>
      <c r="W126" s="4">
        <f t="shared" si="46"/>
        <v>0.94386500911645477</v>
      </c>
      <c r="X126" s="4">
        <f t="shared" si="47"/>
        <v>0.5190936736337235</v>
      </c>
      <c r="Y126" s="3">
        <f t="shared" si="34"/>
        <v>-97.054087030029223</v>
      </c>
      <c r="AA126" s="3"/>
      <c r="AH126" s="3">
        <f t="shared" si="58"/>
        <v>101.5</v>
      </c>
      <c r="AI126" s="4">
        <f t="shared" si="49"/>
        <v>5.2774484547144915</v>
      </c>
      <c r="AJ126" s="4">
        <f t="shared" si="50"/>
        <v>3.4918372550347812</v>
      </c>
      <c r="AK126" s="4">
        <f t="shared" si="51"/>
        <v>1.4784882453719326</v>
      </c>
      <c r="AL126" s="3">
        <f t="shared" si="55"/>
        <v>146.64039408866995</v>
      </c>
      <c r="AM126" s="4">
        <f t="shared" si="52"/>
        <v>33.98545906635043</v>
      </c>
      <c r="AN126" s="4">
        <f t="shared" si="53"/>
        <v>27.957241385545828</v>
      </c>
      <c r="AO126" s="4">
        <f t="shared" si="54"/>
        <v>5.6913129632760393</v>
      </c>
      <c r="AP126" s="4">
        <f t="shared" si="48"/>
        <v>15.25789868545646</v>
      </c>
      <c r="AR126" s="3">
        <f t="shared" si="56"/>
        <v>101.5</v>
      </c>
      <c r="AS126" s="4">
        <f t="shared" si="57"/>
        <v>15.25789868545646</v>
      </c>
    </row>
    <row r="127" spans="4:45" x14ac:dyDescent="0.25">
      <c r="D127" s="1">
        <v>42562</v>
      </c>
      <c r="E127" s="3">
        <v>95.964770000000001</v>
      </c>
      <c r="F127" s="3">
        <v>211.083304</v>
      </c>
      <c r="G127" s="3">
        <f t="shared" si="35"/>
        <v>0.29686300000000188</v>
      </c>
      <c r="H127" s="3">
        <f t="shared" si="36"/>
        <v>0.74185800000000768</v>
      </c>
      <c r="I127" s="4">
        <f t="shared" si="37"/>
        <v>0.36588150211598364</v>
      </c>
      <c r="J127" s="4">
        <f t="shared" si="38"/>
        <v>0.80135210905133614</v>
      </c>
      <c r="K127" s="4">
        <f t="shared" si="39"/>
        <v>0.26854750793650983</v>
      </c>
      <c r="L127" s="4">
        <f t="shared" si="40"/>
        <v>0.67606936507937276</v>
      </c>
      <c r="M127" s="4">
        <f t="shared" si="41"/>
        <v>3.0982527835776872E-3</v>
      </c>
      <c r="N127" s="4">
        <f t="shared" si="42"/>
        <v>3.5207175957526256E-3</v>
      </c>
      <c r="O127" s="4">
        <f t="shared" si="43"/>
        <v>2.8422845549166448E-3</v>
      </c>
      <c r="P127" s="4">
        <f t="shared" si="44"/>
        <v>3.2077298786922352E-3</v>
      </c>
      <c r="S127" s="4">
        <v>1.4328078114572564</v>
      </c>
      <c r="T127" s="4">
        <v>1.1652354263099738</v>
      </c>
      <c r="U127" s="4">
        <f t="shared" si="45"/>
        <v>1.7971444330836568</v>
      </c>
      <c r="W127" s="4">
        <f t="shared" si="46"/>
        <v>2.4647431936906985</v>
      </c>
      <c r="X127" s="4">
        <f t="shared" si="47"/>
        <v>3.2343263844236265</v>
      </c>
      <c r="Y127" s="3">
        <f t="shared" si="34"/>
        <v>-56.054045126110395</v>
      </c>
      <c r="AA127" s="3"/>
      <c r="AH127" s="3">
        <f t="shared" si="58"/>
        <v>102</v>
      </c>
      <c r="AI127" s="4">
        <f t="shared" si="49"/>
        <v>5.4541969491222488</v>
      </c>
      <c r="AJ127" s="4">
        <f t="shared" si="50"/>
        <v>3.6216834008961101</v>
      </c>
      <c r="AK127" s="4">
        <f t="shared" si="51"/>
        <v>1.5206092305324519</v>
      </c>
      <c r="AL127" s="3">
        <f t="shared" si="55"/>
        <v>145.92156862745097</v>
      </c>
      <c r="AM127" s="4">
        <f t="shared" si="52"/>
        <v>33.376725464706581</v>
      </c>
      <c r="AN127" s="4">
        <f t="shared" si="53"/>
        <v>27.396706486471089</v>
      </c>
      <c r="AO127" s="4">
        <f t="shared" si="54"/>
        <v>5.6387137408985213</v>
      </c>
      <c r="AP127" s="4">
        <f t="shared" si="48"/>
        <v>15.107564791656625</v>
      </c>
      <c r="AR127" s="3">
        <f t="shared" si="56"/>
        <v>102</v>
      </c>
      <c r="AS127" s="4">
        <f t="shared" si="57"/>
        <v>15.107564791656625</v>
      </c>
    </row>
    <row r="128" spans="4:45" x14ac:dyDescent="0.25">
      <c r="D128" s="1">
        <v>42559</v>
      </c>
      <c r="E128" s="3">
        <v>95.667907</v>
      </c>
      <c r="F128" s="3">
        <v>210.34144599999999</v>
      </c>
      <c r="G128" s="3">
        <f t="shared" si="35"/>
        <v>0.73225100000000509</v>
      </c>
      <c r="H128" s="3">
        <f t="shared" si="36"/>
        <v>3.0861239999999839</v>
      </c>
      <c r="I128" s="4">
        <f t="shared" si="37"/>
        <v>0.9094551191493806</v>
      </c>
      <c r="J128" s="4">
        <f t="shared" si="38"/>
        <v>3.3832581420652938</v>
      </c>
      <c r="K128" s="4">
        <f t="shared" si="39"/>
        <v>0.70393550793651305</v>
      </c>
      <c r="L128" s="4">
        <f t="shared" si="40"/>
        <v>3.0203353650793492</v>
      </c>
      <c r="M128" s="4">
        <f t="shared" si="41"/>
        <v>7.6835353017079269E-3</v>
      </c>
      <c r="N128" s="4">
        <f t="shared" si="42"/>
        <v>1.478067083507445E-2</v>
      </c>
      <c r="O128" s="4">
        <f t="shared" si="43"/>
        <v>7.427567073046884E-3</v>
      </c>
      <c r="P128" s="4">
        <f t="shared" si="44"/>
        <v>1.4467683118014059E-2</v>
      </c>
      <c r="S128" s="4">
        <v>-6.1807807510004829E-2</v>
      </c>
      <c r="T128" s="4">
        <v>0.4222842691992218</v>
      </c>
      <c r="U128" s="4">
        <f t="shared" si="45"/>
        <v>0.29706195141319708</v>
      </c>
      <c r="W128" s="4">
        <f t="shared" si="46"/>
        <v>-7.6786010866658774E-2</v>
      </c>
      <c r="X128" s="4">
        <f t="shared" si="47"/>
        <v>0.58953730512555413</v>
      </c>
      <c r="Y128" s="3">
        <f t="shared" si="34"/>
        <v>71.273968155937837</v>
      </c>
      <c r="AA128" s="3"/>
      <c r="AH128" s="3">
        <f t="shared" si="58"/>
        <v>102.5</v>
      </c>
      <c r="AI128" s="4">
        <f t="shared" si="49"/>
        <v>5.6345575580056781</v>
      </c>
      <c r="AJ128" s="4">
        <f t="shared" si="50"/>
        <v>3.754697587595146</v>
      </c>
      <c r="AK128" s="4">
        <f t="shared" si="51"/>
        <v>1.5632447281919126</v>
      </c>
      <c r="AL128" s="3">
        <f t="shared" si="55"/>
        <v>145.20975609756098</v>
      </c>
      <c r="AM128" s="4">
        <f t="shared" si="52"/>
        <v>32.776965002752092</v>
      </c>
      <c r="AN128" s="4">
        <f t="shared" si="53"/>
        <v>26.845565264861847</v>
      </c>
      <c r="AO128" s="4">
        <f t="shared" si="54"/>
        <v>5.5857904958493965</v>
      </c>
      <c r="AP128" s="4">
        <f t="shared" si="48"/>
        <v>14.94256182297249</v>
      </c>
      <c r="AR128" s="3">
        <f t="shared" si="56"/>
        <v>102.5</v>
      </c>
      <c r="AS128" s="4">
        <f t="shared" si="57"/>
        <v>14.94256182297249</v>
      </c>
    </row>
    <row r="129" spans="4:45" x14ac:dyDescent="0.25">
      <c r="D129" s="1">
        <v>42558</v>
      </c>
      <c r="E129" s="3">
        <v>94.935655999999994</v>
      </c>
      <c r="F129" s="3">
        <v>207.25532200000001</v>
      </c>
      <c r="G129" s="3">
        <f t="shared" si="35"/>
        <v>0.4057109999999966</v>
      </c>
      <c r="H129" s="3">
        <f t="shared" si="36"/>
        <v>-0.12859299999999507</v>
      </c>
      <c r="I129" s="4">
        <f t="shared" si="37"/>
        <v>0.50605536301585285</v>
      </c>
      <c r="J129" s="4">
        <f t="shared" si="38"/>
        <v>-0.14088660844381243</v>
      </c>
      <c r="K129" s="4">
        <f t="shared" si="39"/>
        <v>0.37739550793650456</v>
      </c>
      <c r="L129" s="4">
        <f t="shared" si="40"/>
        <v>-0.19438163492062996</v>
      </c>
      <c r="M129" s="4">
        <f t="shared" si="41"/>
        <v>4.2826942513025891E-3</v>
      </c>
      <c r="N129" s="4">
        <f t="shared" si="42"/>
        <v>-6.2026452225396786E-4</v>
      </c>
      <c r="O129" s="4">
        <f t="shared" si="43"/>
        <v>4.0267260226415462E-3</v>
      </c>
      <c r="P129" s="4">
        <f t="shared" si="44"/>
        <v>-9.3325223931435845E-4</v>
      </c>
      <c r="S129" s="4">
        <v>-0.32502290365119563</v>
      </c>
      <c r="T129" s="4">
        <v>0.27710804233714642</v>
      </c>
      <c r="U129" s="4">
        <f t="shared" si="45"/>
        <v>2.152011961559E-2</v>
      </c>
      <c r="W129" s="4">
        <f t="shared" si="46"/>
        <v>-0.52437189544710239</v>
      </c>
      <c r="X129" s="4">
        <f t="shared" si="47"/>
        <v>0.10373066680218851</v>
      </c>
      <c r="Y129" s="3">
        <f t="shared" si="34"/>
        <v>95.116769087249395</v>
      </c>
      <c r="AA129" s="3"/>
      <c r="AH129" s="3">
        <f t="shared" si="58"/>
        <v>103</v>
      </c>
      <c r="AI129" s="4">
        <f t="shared" si="49"/>
        <v>5.8185365141458689</v>
      </c>
      <c r="AJ129" s="4">
        <f t="shared" si="50"/>
        <v>3.8909021652563069</v>
      </c>
      <c r="AK129" s="4">
        <f t="shared" si="51"/>
        <v>1.6063820011110019</v>
      </c>
      <c r="AL129" s="3">
        <f t="shared" si="55"/>
        <v>144.50485436893203</v>
      </c>
      <c r="AM129" s="4">
        <f t="shared" si="52"/>
        <v>32.186081137462367</v>
      </c>
      <c r="AN129" s="4">
        <f t="shared" si="53"/>
        <v>26.303704169881044</v>
      </c>
      <c r="AO129" s="4">
        <f t="shared" si="54"/>
        <v>5.5325631452510722</v>
      </c>
      <c r="AP129" s="4">
        <f t="shared" si="48"/>
        <v>14.763017595086003</v>
      </c>
      <c r="AR129" s="3">
        <f t="shared" si="56"/>
        <v>103</v>
      </c>
      <c r="AS129" s="4">
        <f t="shared" si="57"/>
        <v>14.763017595086003</v>
      </c>
    </row>
    <row r="130" spans="4:45" x14ac:dyDescent="0.25">
      <c r="D130" s="1">
        <v>42557</v>
      </c>
      <c r="E130" s="3">
        <v>94.529944999999998</v>
      </c>
      <c r="F130" s="3">
        <v>207.383915</v>
      </c>
      <c r="G130" s="3">
        <f t="shared" si="35"/>
        <v>0.53434799999999427</v>
      </c>
      <c r="H130" s="3">
        <f t="shared" si="36"/>
        <v>1.2364300000000128</v>
      </c>
      <c r="I130" s="4">
        <f t="shared" si="37"/>
        <v>0.67029708654748288</v>
      </c>
      <c r="J130" s="4">
        <f t="shared" si="38"/>
        <v>1.3627586528887943</v>
      </c>
      <c r="K130" s="4">
        <f t="shared" si="39"/>
        <v>0.50603250793650223</v>
      </c>
      <c r="L130" s="4">
        <f t="shared" si="40"/>
        <v>1.1706413650793779</v>
      </c>
      <c r="M130" s="4">
        <f t="shared" si="41"/>
        <v>5.6687218638231552E-3</v>
      </c>
      <c r="N130" s="4">
        <f t="shared" si="42"/>
        <v>5.9798781154236074E-3</v>
      </c>
      <c r="O130" s="4">
        <f t="shared" si="43"/>
        <v>5.4127536351621123E-3</v>
      </c>
      <c r="P130" s="4">
        <f t="shared" si="44"/>
        <v>5.6668903983632165E-3</v>
      </c>
      <c r="S130" s="4">
        <v>-0.27920102425215448</v>
      </c>
      <c r="T130" s="4">
        <v>4.8887843505776032E-2</v>
      </c>
      <c r="U130" s="4">
        <f t="shared" si="45"/>
        <v>-0.13145417050617589</v>
      </c>
      <c r="W130" s="4">
        <f t="shared" si="46"/>
        <v>-0.44645377173524309</v>
      </c>
      <c r="X130" s="4">
        <f t="shared" si="47"/>
        <v>-0.16597765715402793</v>
      </c>
      <c r="Y130" s="3">
        <f t="shared" ref="Y130:Y193" si="59">(B$4*EXP(-B$8*B$7)*NORMSDIST((LN(B$4/(B$5+W130))-B$8*B$7+B$9*B$7+0.5*B$6*B$6*B$7)/(B$6*SQRT(B$7)))-(B$5+W130)*EXP(-B$9*B$7)*NORMSDIST((LN(B$4/(B$5+W130))-B$8*B$7+B$9*B$7-0.5*B$6*B$6*B$7)/(B$6*SQRT(B$7))))*400+100*X130-400*$B$13</f>
        <v>55.463186347615192</v>
      </c>
      <c r="AA130" s="3"/>
      <c r="AH130" s="3">
        <f t="shared" si="58"/>
        <v>103.5</v>
      </c>
      <c r="AI130" s="4">
        <f t="shared" si="49"/>
        <v>6.0061386543843582</v>
      </c>
      <c r="AJ130" s="4">
        <f t="shared" si="50"/>
        <v>4.0303183118599861</v>
      </c>
      <c r="AK130" s="4">
        <f t="shared" si="51"/>
        <v>1.6500079845476734</v>
      </c>
      <c r="AL130" s="3">
        <f t="shared" si="55"/>
        <v>143.80676328502415</v>
      </c>
      <c r="AM130" s="4">
        <f t="shared" si="52"/>
        <v>31.603978240410214</v>
      </c>
      <c r="AN130" s="4">
        <f t="shared" si="53"/>
        <v>25.771010375496829</v>
      </c>
      <c r="AO130" s="4">
        <f t="shared" si="54"/>
        <v>5.4790516589634031</v>
      </c>
      <c r="AP130" s="4">
        <f t="shared" si="48"/>
        <v>14.569080407048096</v>
      </c>
      <c r="AR130" s="3">
        <f t="shared" si="56"/>
        <v>103.5</v>
      </c>
      <c r="AS130" s="4">
        <f t="shared" si="57"/>
        <v>14.569080407048096</v>
      </c>
    </row>
    <row r="131" spans="4:45" x14ac:dyDescent="0.25">
      <c r="D131" s="1">
        <v>42556</v>
      </c>
      <c r="E131" s="3">
        <v>93.995597000000004</v>
      </c>
      <c r="F131" s="3">
        <v>206.14748499999999</v>
      </c>
      <c r="G131" s="3">
        <f t="shared" ref="G131:G194" si="60">E131-E132</f>
        <v>-0.89057999999999993</v>
      </c>
      <c r="H131" s="3">
        <f t="shared" ref="H131:H194" si="61">F131-F132</f>
        <v>-1.4936020000000099</v>
      </c>
      <c r="I131" s="4">
        <f t="shared" ref="I131:I194" si="62">G131/E132*E$2</f>
        <v>-1.1066763851421686</v>
      </c>
      <c r="J131" s="4">
        <f t="shared" ref="J131:J194" si="63">H131/F132*F$2</f>
        <v>-1.6343649793897304</v>
      </c>
      <c r="K131" s="4">
        <f t="shared" ref="K131:K194" si="64">G131-B$20</f>
        <v>-0.91889549206349197</v>
      </c>
      <c r="L131" s="4">
        <f t="shared" ref="L131:L194" si="65">H131-C$20</f>
        <v>-1.5593906349206448</v>
      </c>
      <c r="M131" s="4">
        <f t="shared" ref="M131:M194" si="66">LN(E131/E132)</f>
        <v>-9.4300956712275209E-3</v>
      </c>
      <c r="N131" s="4">
        <f t="shared" ref="N131:N194" si="67">LN(F131/F132)</f>
        <v>-7.2191867434641304E-3</v>
      </c>
      <c r="O131" s="4">
        <f t="shared" ref="O131:O194" si="68">M131-AVERAGE(M$2:M$505)</f>
        <v>-9.6860638998885629E-3</v>
      </c>
      <c r="P131" s="4">
        <f t="shared" ref="P131:P194" si="69">N131-AVERAGE(N$2:N$505)</f>
        <v>-7.5321744605245213E-3</v>
      </c>
      <c r="S131" s="4">
        <v>-0.98692715034843315</v>
      </c>
      <c r="T131" s="4">
        <v>1.6366893649221899</v>
      </c>
      <c r="U131" s="4">
        <f t="shared" ref="U131:U194" si="70">$B$19*S131+SQRT(1-$B$19^2)*T131</f>
        <v>0.69573778603126968</v>
      </c>
      <c r="W131" s="4">
        <f t="shared" ref="W131:W194" si="71">S131*SQRT($B$16)+$B$20</f>
        <v>-1.6499114336756369</v>
      </c>
      <c r="X131" s="4">
        <f t="shared" ref="X131:X194" si="72">U131*SQRT($C$17)+$C$20</f>
        <v>1.2924409830644836</v>
      </c>
      <c r="Y131" s="3">
        <f t="shared" si="59"/>
        <v>400.74297298163674</v>
      </c>
      <c r="AA131" s="3"/>
      <c r="AH131" s="3">
        <f t="shared" si="58"/>
        <v>104</v>
      </c>
      <c r="AI131" s="4">
        <f t="shared" si="49"/>
        <v>6.1973674342863063</v>
      </c>
      <c r="AJ131" s="4">
        <f t="shared" si="50"/>
        <v>4.1729660267560789</v>
      </c>
      <c r="AK131" s="4">
        <f t="shared" si="51"/>
        <v>1.694109304059902</v>
      </c>
      <c r="AL131" s="3">
        <f t="shared" si="55"/>
        <v>143.11538461538461</v>
      </c>
      <c r="AM131" s="4">
        <f t="shared" si="52"/>
        <v>31.030561555459315</v>
      </c>
      <c r="AN131" s="4">
        <f t="shared" si="53"/>
        <v>25.247371760065533</v>
      </c>
      <c r="AO131" s="4">
        <f t="shared" si="54"/>
        <v>5.4252760358476104</v>
      </c>
      <c r="AP131" s="4">
        <f t="shared" si="48"/>
        <v>14.360918498572129</v>
      </c>
      <c r="AR131" s="3">
        <f t="shared" si="56"/>
        <v>104</v>
      </c>
      <c r="AS131" s="4">
        <f t="shared" si="57"/>
        <v>14.360918498572129</v>
      </c>
    </row>
    <row r="132" spans="4:45" x14ac:dyDescent="0.25">
      <c r="D132" s="1">
        <v>42552</v>
      </c>
      <c r="E132" s="3">
        <v>94.886177000000004</v>
      </c>
      <c r="F132" s="3">
        <v>207.641087</v>
      </c>
      <c r="G132" s="3">
        <f t="shared" si="60"/>
        <v>0.28696500000000924</v>
      </c>
      <c r="H132" s="3">
        <f t="shared" si="61"/>
        <v>0.43522500000000264</v>
      </c>
      <c r="I132" s="4">
        <f t="shared" si="62"/>
        <v>0.35767786625813636</v>
      </c>
      <c r="J132" s="4">
        <f t="shared" si="63"/>
        <v>0.47724265299297175</v>
      </c>
      <c r="K132" s="4">
        <f t="shared" si="64"/>
        <v>0.2586495079365172</v>
      </c>
      <c r="L132" s="4">
        <f t="shared" si="65"/>
        <v>0.36943636507936772</v>
      </c>
      <c r="M132" s="4">
        <f t="shared" si="66"/>
        <v>3.0288902052381006E-3</v>
      </c>
      <c r="N132" s="4">
        <f t="shared" si="67"/>
        <v>2.0982444765568382E-3</v>
      </c>
      <c r="O132" s="4">
        <f t="shared" si="68"/>
        <v>2.7729219765770582E-3</v>
      </c>
      <c r="P132" s="4">
        <f t="shared" si="69"/>
        <v>1.7852567594964478E-3</v>
      </c>
      <c r="S132" s="4">
        <v>-0.97571856497439768</v>
      </c>
      <c r="T132" s="4">
        <v>-0.5734937547755492</v>
      </c>
      <c r="U132" s="4">
        <f t="shared" si="70"/>
        <v>-1.0494237296201403</v>
      </c>
      <c r="W132" s="4">
        <f t="shared" si="71"/>
        <v>-1.63085171911868</v>
      </c>
      <c r="X132" s="4">
        <f t="shared" si="72"/>
        <v>-1.784445904559393</v>
      </c>
      <c r="Y132" s="3">
        <f t="shared" si="59"/>
        <v>89.836182581950652</v>
      </c>
      <c r="AA132" s="3"/>
      <c r="AH132" s="3">
        <f t="shared" si="58"/>
        <v>104.5</v>
      </c>
      <c r="AI132" s="4">
        <f t="shared" si="49"/>
        <v>6.3922249441185315</v>
      </c>
      <c r="AJ132" s="4">
        <f t="shared" si="50"/>
        <v>4.3188641256134268</v>
      </c>
      <c r="AK132" s="4">
        <f t="shared" si="51"/>
        <v>1.7386722934611527</v>
      </c>
      <c r="AL132" s="3">
        <f t="shared" si="55"/>
        <v>142.43062200956939</v>
      </c>
      <c r="AM132" s="4">
        <f t="shared" si="52"/>
        <v>30.465737158961417</v>
      </c>
      <c r="AN132" s="4">
        <f t="shared" si="53"/>
        <v>24.732676888214883</v>
      </c>
      <c r="AO132" s="4">
        <f t="shared" si="54"/>
        <v>5.3712562805429886</v>
      </c>
      <c r="AP132" s="4">
        <f t="shared" si="48"/>
        <v>14.138719474083539</v>
      </c>
      <c r="AR132" s="3">
        <f t="shared" si="56"/>
        <v>104.5</v>
      </c>
      <c r="AS132" s="4">
        <f t="shared" si="57"/>
        <v>14.138719474083539</v>
      </c>
    </row>
    <row r="133" spans="4:45" x14ac:dyDescent="0.25">
      <c r="D133" s="1">
        <v>42551</v>
      </c>
      <c r="E133" s="3">
        <v>94.599211999999994</v>
      </c>
      <c r="F133" s="3">
        <v>207.205862</v>
      </c>
      <c r="G133" s="3">
        <f t="shared" si="60"/>
        <v>1.1874349999999936</v>
      </c>
      <c r="H133" s="3">
        <f t="shared" si="61"/>
        <v>2.7893779999999992</v>
      </c>
      <c r="I133" s="4">
        <f t="shared" si="62"/>
        <v>1.4988523941658796</v>
      </c>
      <c r="J133" s="4">
        <f t="shared" si="63"/>
        <v>3.1004084528997464</v>
      </c>
      <c r="K133" s="4">
        <f t="shared" si="64"/>
        <v>1.1591195079365015</v>
      </c>
      <c r="L133" s="4">
        <f t="shared" si="65"/>
        <v>2.7235893650793646</v>
      </c>
      <c r="M133" s="4">
        <f t="shared" si="66"/>
        <v>1.2631716850467285E-2</v>
      </c>
      <c r="N133" s="4">
        <f t="shared" si="67"/>
        <v>1.355330062050651E-2</v>
      </c>
      <c r="O133" s="4">
        <f t="shared" si="68"/>
        <v>1.2375748621806243E-2</v>
      </c>
      <c r="P133" s="4">
        <f t="shared" si="69"/>
        <v>1.3240312903446119E-2</v>
      </c>
      <c r="S133" s="4">
        <v>-1.5709181486406625</v>
      </c>
      <c r="T133" s="4">
        <v>-0.80590405821065147</v>
      </c>
      <c r="U133" s="4">
        <f t="shared" si="70"/>
        <v>-1.5965004684811992</v>
      </c>
      <c r="W133" s="4">
        <f t="shared" si="71"/>
        <v>-2.6429628634364666</v>
      </c>
      <c r="X133" s="4">
        <f t="shared" si="72"/>
        <v>-2.7489945891533845</v>
      </c>
      <c r="Y133" s="3">
        <f t="shared" si="59"/>
        <v>166.94760267440506</v>
      </c>
      <c r="AA133" s="3"/>
      <c r="AH133" s="3">
        <f t="shared" si="58"/>
        <v>105</v>
      </c>
      <c r="AI133" s="4">
        <f t="shared" si="49"/>
        <v>6.5907119260807221</v>
      </c>
      <c r="AJ133" s="4">
        <f t="shared" si="50"/>
        <v>4.4680302367803399</v>
      </c>
      <c r="AK133" s="4">
        <f t="shared" si="51"/>
        <v>1.7836830128904664</v>
      </c>
      <c r="AL133" s="3">
        <f t="shared" si="55"/>
        <v>141.75238095238095</v>
      </c>
      <c r="AM133" s="4">
        <f t="shared" si="52"/>
        <v>29.909411922376989</v>
      </c>
      <c r="AN133" s="4">
        <f t="shared" si="53"/>
        <v>24.226814994911479</v>
      </c>
      <c r="AO133" s="4">
        <f t="shared" si="54"/>
        <v>5.3170123807865401</v>
      </c>
      <c r="AP133" s="4">
        <f t="shared" si="48"/>
        <v>13.902689696351045</v>
      </c>
      <c r="AR133" s="3">
        <f t="shared" si="56"/>
        <v>105</v>
      </c>
      <c r="AS133" s="4">
        <f t="shared" si="57"/>
        <v>13.902689696351045</v>
      </c>
    </row>
    <row r="134" spans="4:45" x14ac:dyDescent="0.25">
      <c r="D134" s="1">
        <v>42550</v>
      </c>
      <c r="E134" s="3">
        <v>93.411777000000001</v>
      </c>
      <c r="F134" s="3">
        <v>204.416484</v>
      </c>
      <c r="G134" s="3">
        <f t="shared" si="60"/>
        <v>0.80152599999999552</v>
      </c>
      <c r="H134" s="3">
        <f t="shared" si="61"/>
        <v>3.4224450000000104</v>
      </c>
      <c r="I134" s="4">
        <f t="shared" si="62"/>
        <v>1.0204910670861205</v>
      </c>
      <c r="J134" s="4">
        <f t="shared" si="63"/>
        <v>3.8688398734408112</v>
      </c>
      <c r="K134" s="4">
        <f t="shared" si="64"/>
        <v>0.77321050793650348</v>
      </c>
      <c r="L134" s="4">
        <f t="shared" si="65"/>
        <v>3.3566563650793757</v>
      </c>
      <c r="M134" s="4">
        <f t="shared" si="66"/>
        <v>8.6175918939767025E-3</v>
      </c>
      <c r="N134" s="4">
        <f t="shared" si="67"/>
        <v>1.6884249967527236E-2</v>
      </c>
      <c r="O134" s="4">
        <f t="shared" si="68"/>
        <v>8.3616236653156605E-3</v>
      </c>
      <c r="P134" s="4">
        <f t="shared" si="69"/>
        <v>1.6571262250466845E-2</v>
      </c>
      <c r="S134" s="4">
        <v>2.8810636151817448</v>
      </c>
      <c r="T134" s="4">
        <v>-1.184926151666382</v>
      </c>
      <c r="U134" s="4">
        <f t="shared" si="70"/>
        <v>0.81707915822431021</v>
      </c>
      <c r="W134" s="4">
        <f t="shared" si="71"/>
        <v>4.9274395379044673</v>
      </c>
      <c r="X134" s="4">
        <f t="shared" si="72"/>
        <v>1.5063774432022117</v>
      </c>
      <c r="Y134" s="3">
        <f t="shared" si="59"/>
        <v>-577.98588397085632</v>
      </c>
      <c r="AA134" s="3"/>
      <c r="AH134" s="3">
        <f t="shared" si="58"/>
        <v>105.5</v>
      </c>
      <c r="AI134" s="4">
        <f t="shared" si="49"/>
        <v>6.792827792727465</v>
      </c>
      <c r="AJ134" s="4">
        <f t="shared" si="50"/>
        <v>4.6204807990298846</v>
      </c>
      <c r="AK134" s="4">
        <f t="shared" si="51"/>
        <v>1.8291272669599499</v>
      </c>
      <c r="AL134" s="3">
        <f t="shared" si="55"/>
        <v>141.08056872037915</v>
      </c>
      <c r="AM134" s="4">
        <f t="shared" si="52"/>
        <v>29.36149347724276</v>
      </c>
      <c r="AN134" s="4">
        <f t="shared" si="53"/>
        <v>23.729675971599988</v>
      </c>
      <c r="AO134" s="4">
        <f t="shared" si="54"/>
        <v>5.2625642853033137</v>
      </c>
      <c r="AP134" s="4">
        <f t="shared" ref="AP134:AP197" si="73">400*IF(AH134&gt;=$AG$10,0,AI134-AJ134-AK134-(AH134/$AG$10)^(2*$AG$12)*(AM134-AN134-AO134))</f>
        <v>13.653053651505441</v>
      </c>
      <c r="AR134" s="3">
        <f t="shared" si="56"/>
        <v>105.5</v>
      </c>
      <c r="AS134" s="4">
        <f t="shared" si="57"/>
        <v>13.653053651505441</v>
      </c>
    </row>
    <row r="135" spans="4:45" x14ac:dyDescent="0.25">
      <c r="D135" s="1">
        <v>42549</v>
      </c>
      <c r="E135" s="3">
        <v>92.610251000000005</v>
      </c>
      <c r="F135" s="3">
        <v>200.99403899999999</v>
      </c>
      <c r="G135" s="3">
        <f t="shared" si="60"/>
        <v>1.5337690000000066</v>
      </c>
      <c r="H135" s="3">
        <f t="shared" si="61"/>
        <v>3.560908999999981</v>
      </c>
      <c r="I135" s="4">
        <f t="shared" si="62"/>
        <v>1.9856576028603825</v>
      </c>
      <c r="J135" s="4">
        <f t="shared" si="63"/>
        <v>4.0979655178254966</v>
      </c>
      <c r="K135" s="4">
        <f t="shared" si="64"/>
        <v>1.5054535079365146</v>
      </c>
      <c r="L135" s="4">
        <f t="shared" si="65"/>
        <v>3.4951203650793463</v>
      </c>
      <c r="M135" s="4">
        <f t="shared" si="66"/>
        <v>1.6700222403688365E-2</v>
      </c>
      <c r="N135" s="4">
        <f t="shared" si="67"/>
        <v>1.7875306172114112E-2</v>
      </c>
      <c r="O135" s="4">
        <f t="shared" si="68"/>
        <v>1.6444254175027321E-2</v>
      </c>
      <c r="P135" s="4">
        <f t="shared" si="69"/>
        <v>1.7562318455053721E-2</v>
      </c>
      <c r="S135" s="4">
        <v>0.89309621246941717</v>
      </c>
      <c r="T135" s="4">
        <v>-0.48424370682348722</v>
      </c>
      <c r="U135" s="4">
        <f t="shared" si="70"/>
        <v>0.16059525613216852</v>
      </c>
      <c r="W135" s="4">
        <f t="shared" si="71"/>
        <v>1.5469869669668366</v>
      </c>
      <c r="X135" s="4">
        <f t="shared" si="72"/>
        <v>0.34893345181927249</v>
      </c>
      <c r="Y135" s="3">
        <f t="shared" si="59"/>
        <v>-206.87776019200692</v>
      </c>
      <c r="AA135" s="3"/>
      <c r="AH135" s="3">
        <f t="shared" si="58"/>
        <v>106</v>
      </c>
      <c r="AI135" s="4">
        <f t="shared" si="49"/>
        <v>6.9985706465186297</v>
      </c>
      <c r="AJ135" s="4">
        <f t="shared" si="50"/>
        <v>4.7762310606611713</v>
      </c>
      <c r="AK135" s="4">
        <f t="shared" si="51"/>
        <v>1.8749906229434978</v>
      </c>
      <c r="AL135" s="3">
        <f t="shared" si="55"/>
        <v>140.41509433962264</v>
      </c>
      <c r="AM135" s="4">
        <f t="shared" si="52"/>
        <v>28.821890182406861</v>
      </c>
      <c r="AN135" s="4">
        <f t="shared" si="53"/>
        <v>23.241150354303997</v>
      </c>
      <c r="AO135" s="4">
        <f t="shared" si="54"/>
        <v>5.2079318822927263</v>
      </c>
      <c r="AP135" s="4">
        <f t="shared" si="73"/>
        <v>13.390053288607362</v>
      </c>
      <c r="AR135" s="3">
        <f t="shared" si="56"/>
        <v>106</v>
      </c>
      <c r="AS135" s="4">
        <f t="shared" si="57"/>
        <v>13.390053288607362</v>
      </c>
    </row>
    <row r="136" spans="4:45" x14ac:dyDescent="0.25">
      <c r="D136" s="1">
        <v>42548</v>
      </c>
      <c r="E136" s="3">
        <v>91.076481999999999</v>
      </c>
      <c r="F136" s="3">
        <v>197.43313000000001</v>
      </c>
      <c r="G136" s="3">
        <f t="shared" si="60"/>
        <v>-1.3457630000000051</v>
      </c>
      <c r="H136" s="3">
        <f t="shared" si="61"/>
        <v>-3.600482999999997</v>
      </c>
      <c r="I136" s="4">
        <f t="shared" si="62"/>
        <v>-1.7168910007872304</v>
      </c>
      <c r="J136" s="4">
        <f t="shared" si="63"/>
        <v>-4.0692984393280556</v>
      </c>
      <c r="K136" s="4">
        <f t="shared" si="64"/>
        <v>-1.3740784920634972</v>
      </c>
      <c r="L136" s="4">
        <f t="shared" si="65"/>
        <v>-3.6662716349206317</v>
      </c>
      <c r="M136" s="4">
        <f t="shared" si="66"/>
        <v>-1.4668081360754001E-2</v>
      </c>
      <c r="N136" s="4">
        <f t="shared" si="67"/>
        <v>-1.8072178202836242E-2</v>
      </c>
      <c r="O136" s="4">
        <f t="shared" si="68"/>
        <v>-1.4924049589415043E-2</v>
      </c>
      <c r="P136" s="4">
        <f t="shared" si="69"/>
        <v>-1.8385165919896633E-2</v>
      </c>
      <c r="S136" s="4">
        <v>1.3859722671711838</v>
      </c>
      <c r="T136" s="4">
        <v>0.13838885009912141</v>
      </c>
      <c r="U136" s="4">
        <f t="shared" si="70"/>
        <v>0.95461935466113834</v>
      </c>
      <c r="W136" s="4">
        <f t="shared" si="71"/>
        <v>2.3851013766885165</v>
      </c>
      <c r="X136" s="4">
        <f t="shared" si="72"/>
        <v>1.7488739818562422</v>
      </c>
      <c r="Y136" s="3">
        <f t="shared" si="59"/>
        <v>-192.81476786142048</v>
      </c>
      <c r="AA136" s="3"/>
      <c r="AH136" s="3">
        <f t="shared" si="58"/>
        <v>106.5</v>
      </c>
      <c r="AI136" s="4">
        <f t="shared" si="49"/>
        <v>7.207937300435681</v>
      </c>
      <c r="AJ136" s="4">
        <f t="shared" si="50"/>
        <v>4.9352950799264725</v>
      </c>
      <c r="AK136" s="4">
        <f t="shared" si="51"/>
        <v>1.921258428971677</v>
      </c>
      <c r="AL136" s="3">
        <f t="shared" si="55"/>
        <v>139.75586854460093</v>
      </c>
      <c r="AM136" s="4">
        <f t="shared" si="52"/>
        <v>28.290511093455407</v>
      </c>
      <c r="AN136" s="4">
        <f t="shared" si="53"/>
        <v>22.761129313580113</v>
      </c>
      <c r="AO136" s="4">
        <f t="shared" si="54"/>
        <v>5.1531349785338385</v>
      </c>
      <c r="AP136" s="4">
        <f t="shared" si="73"/>
        <v>13.113947335691023</v>
      </c>
      <c r="AR136" s="3">
        <f t="shared" si="56"/>
        <v>106.5</v>
      </c>
      <c r="AS136" s="4">
        <f t="shared" si="57"/>
        <v>13.113947335691023</v>
      </c>
    </row>
    <row r="137" spans="4:45" x14ac:dyDescent="0.25">
      <c r="D137" s="1">
        <v>42545</v>
      </c>
      <c r="E137" s="3">
        <v>92.422245000000004</v>
      </c>
      <c r="F137" s="3">
        <v>201.033613</v>
      </c>
      <c r="G137" s="3">
        <f t="shared" si="60"/>
        <v>-2.6717319999999916</v>
      </c>
      <c r="H137" s="3">
        <f t="shared" si="61"/>
        <v>-7.487811999999991</v>
      </c>
      <c r="I137" s="4">
        <f t="shared" si="62"/>
        <v>-3.3127642858698301</v>
      </c>
      <c r="J137" s="4">
        <f t="shared" si="63"/>
        <v>-8.1589017384409388</v>
      </c>
      <c r="K137" s="4">
        <f t="shared" si="64"/>
        <v>-2.7000474920634838</v>
      </c>
      <c r="L137" s="4">
        <f t="shared" si="65"/>
        <v>-7.5536006349206257</v>
      </c>
      <c r="M137" s="4">
        <f t="shared" si="66"/>
        <v>-2.8497937786335002E-2</v>
      </c>
      <c r="N137" s="4">
        <f t="shared" si="67"/>
        <v>-3.6569670819789915E-2</v>
      </c>
      <c r="O137" s="4">
        <f t="shared" si="68"/>
        <v>-2.8753906014996045E-2</v>
      </c>
      <c r="P137" s="4">
        <f t="shared" si="69"/>
        <v>-3.6882658536850306E-2</v>
      </c>
      <c r="S137" s="4">
        <v>0.39072847998181054</v>
      </c>
      <c r="T137" s="4">
        <v>-1.1358394774232665</v>
      </c>
      <c r="U137" s="4">
        <f t="shared" si="70"/>
        <v>-0.6621740892767104</v>
      </c>
      <c r="W137" s="4">
        <f t="shared" si="71"/>
        <v>0.69273236977031349</v>
      </c>
      <c r="X137" s="4">
        <f t="shared" si="72"/>
        <v>-1.1016877014225297</v>
      </c>
      <c r="Y137" s="3">
        <f t="shared" si="59"/>
        <v>-219.94346120042474</v>
      </c>
      <c r="AA137" s="3"/>
      <c r="AH137" s="3">
        <f t="shared" si="58"/>
        <v>107</v>
      </c>
      <c r="AI137" s="4">
        <f t="shared" si="49"/>
        <v>7.4209232996013981</v>
      </c>
      <c r="AJ137" s="4">
        <f t="shared" si="50"/>
        <v>5.0976857267522142</v>
      </c>
      <c r="AK137" s="4">
        <f t="shared" si="51"/>
        <v>1.9679158321987917</v>
      </c>
      <c r="AL137" s="3">
        <f t="shared" si="55"/>
        <v>139.10280373831776</v>
      </c>
      <c r="AM137" s="4">
        <f t="shared" si="52"/>
        <v>27.767265934253075</v>
      </c>
      <c r="AN137" s="4">
        <f t="shared" si="53"/>
        <v>22.289504646220223</v>
      </c>
      <c r="AO137" s="4">
        <f t="shared" si="54"/>
        <v>5.0981932791301361</v>
      </c>
      <c r="AP137" s="4">
        <f t="shared" si="73"/>
        <v>12.825010595073438</v>
      </c>
      <c r="AR137" s="3">
        <f t="shared" si="56"/>
        <v>107</v>
      </c>
      <c r="AS137" s="4">
        <f t="shared" si="57"/>
        <v>12.825010595073438</v>
      </c>
    </row>
    <row r="138" spans="4:45" x14ac:dyDescent="0.25">
      <c r="D138" s="1">
        <v>42544</v>
      </c>
      <c r="E138" s="3">
        <v>95.093976999999995</v>
      </c>
      <c r="F138" s="3">
        <v>208.52142499999999</v>
      </c>
      <c r="G138" s="3">
        <f t="shared" si="60"/>
        <v>0.54423799999999289</v>
      </c>
      <c r="H138" s="3">
        <f t="shared" si="61"/>
        <v>2.6805719999999837</v>
      </c>
      <c r="I138" s="4">
        <f t="shared" si="62"/>
        <v>0.67870208247694008</v>
      </c>
      <c r="J138" s="4">
        <f t="shared" si="63"/>
        <v>2.9588527933471021</v>
      </c>
      <c r="K138" s="4">
        <f t="shared" si="64"/>
        <v>0.51592250793650085</v>
      </c>
      <c r="L138" s="4">
        <f t="shared" si="65"/>
        <v>2.6147833650793491</v>
      </c>
      <c r="M138" s="4">
        <f t="shared" si="66"/>
        <v>5.7395995559239689E-3</v>
      </c>
      <c r="N138" s="4">
        <f t="shared" si="67"/>
        <v>1.2938481793162046E-2</v>
      </c>
      <c r="O138" s="4">
        <f t="shared" si="68"/>
        <v>5.4836313272629261E-3</v>
      </c>
      <c r="P138" s="4">
        <f t="shared" si="69"/>
        <v>1.2625494076101655E-2</v>
      </c>
      <c r="S138" s="4">
        <v>0.63970339456393566</v>
      </c>
      <c r="T138" s="4">
        <v>-0.72764850517901325</v>
      </c>
      <c r="U138" s="4">
        <f t="shared" si="70"/>
        <v>-0.18682370035443008</v>
      </c>
      <c r="W138" s="4">
        <f t="shared" si="71"/>
        <v>1.1161034416248121</v>
      </c>
      <c r="X138" s="4">
        <f t="shared" si="72"/>
        <v>-0.2635994410611755</v>
      </c>
      <c r="Y138" s="3">
        <f t="shared" si="59"/>
        <v>-202.01523265665901</v>
      </c>
      <c r="AA138" s="3"/>
      <c r="AH138" s="3">
        <f t="shared" si="58"/>
        <v>107.5</v>
      </c>
      <c r="AI138" s="4">
        <f t="shared" si="49"/>
        <v>7.6375229438411623</v>
      </c>
      <c r="AJ138" s="4">
        <f t="shared" si="50"/>
        <v>5.263414685720452</v>
      </c>
      <c r="AK138" s="4">
        <f t="shared" si="51"/>
        <v>2.0149477969093863</v>
      </c>
      <c r="AL138" s="3">
        <f t="shared" si="55"/>
        <v>138.45581395348836</v>
      </c>
      <c r="AM138" s="4">
        <f t="shared" si="52"/>
        <v>27.252065070522207</v>
      </c>
      <c r="AN138" s="4">
        <f t="shared" si="53"/>
        <v>21.826168768598649</v>
      </c>
      <c r="AO138" s="4">
        <f t="shared" si="54"/>
        <v>5.0431263679120848</v>
      </c>
      <c r="AP138" s="4">
        <f t="shared" si="73"/>
        <v>12.523533220143657</v>
      </c>
      <c r="AR138" s="3">
        <f t="shared" si="56"/>
        <v>107.5</v>
      </c>
      <c r="AS138" s="4">
        <f t="shared" si="57"/>
        <v>12.523533220143657</v>
      </c>
    </row>
    <row r="139" spans="4:45" x14ac:dyDescent="0.25">
      <c r="D139" s="1">
        <v>42543</v>
      </c>
      <c r="E139" s="3">
        <v>94.549739000000002</v>
      </c>
      <c r="F139" s="3">
        <v>205.84085300000001</v>
      </c>
      <c r="G139" s="3">
        <f t="shared" si="60"/>
        <v>-0.35623199999999144</v>
      </c>
      <c r="H139" s="3">
        <f t="shared" si="61"/>
        <v>-0.33630599999997912</v>
      </c>
      <c r="I139" s="4">
        <f t="shared" si="62"/>
        <v>-0.44257822877052688</v>
      </c>
      <c r="J139" s="4">
        <f t="shared" si="63"/>
        <v>-0.37061374298079863</v>
      </c>
      <c r="K139" s="4">
        <f t="shared" si="64"/>
        <v>-0.38454749206348349</v>
      </c>
      <c r="L139" s="4">
        <f t="shared" si="65"/>
        <v>-0.40209463492061404</v>
      </c>
      <c r="M139" s="4">
        <f t="shared" si="66"/>
        <v>-3.760587842086448E-3</v>
      </c>
      <c r="N139" s="4">
        <f t="shared" si="67"/>
        <v>-1.6324823910266644E-3</v>
      </c>
      <c r="O139" s="4">
        <f t="shared" si="68"/>
        <v>-4.0165560707474905E-3</v>
      </c>
      <c r="P139" s="4">
        <f t="shared" si="69"/>
        <v>-1.9454701080870549E-3</v>
      </c>
      <c r="S139" s="4">
        <v>0.48567453814644401</v>
      </c>
      <c r="T139" s="4">
        <v>-0.30637627277250562</v>
      </c>
      <c r="U139" s="4">
        <f t="shared" si="70"/>
        <v>5.3216008533800069E-2</v>
      </c>
      <c r="W139" s="4">
        <f t="shared" si="71"/>
        <v>0.85418403441286206</v>
      </c>
      <c r="X139" s="4">
        <f t="shared" si="72"/>
        <v>0.1596135545059211</v>
      </c>
      <c r="Y139" s="3">
        <f t="shared" si="59"/>
        <v>-119.04447235574662</v>
      </c>
      <c r="AA139" s="3"/>
      <c r="AH139" s="3">
        <f t="shared" si="58"/>
        <v>108</v>
      </c>
      <c r="AI139" s="4">
        <f t="shared" si="49"/>
        <v>7.8577293111237978</v>
      </c>
      <c r="AJ139" s="4">
        <f t="shared" si="50"/>
        <v>5.4324924602761726</v>
      </c>
      <c r="AK139" s="4">
        <f t="shared" si="51"/>
        <v>2.062339122532598</v>
      </c>
      <c r="AL139" s="3">
        <f t="shared" si="55"/>
        <v>137.81481481481481</v>
      </c>
      <c r="AM139" s="4">
        <f t="shared" si="52"/>
        <v>26.74481948538488</v>
      </c>
      <c r="AN139" s="4">
        <f t="shared" si="53"/>
        <v>21.3710147115642</v>
      </c>
      <c r="AO139" s="4">
        <f t="shared" si="54"/>
        <v>4.9879536885135618</v>
      </c>
      <c r="AP139" s="4">
        <f t="shared" si="73"/>
        <v>12.209819976095426</v>
      </c>
      <c r="AR139" s="3">
        <f t="shared" si="56"/>
        <v>108</v>
      </c>
      <c r="AS139" s="4">
        <f t="shared" si="57"/>
        <v>12.209819976095426</v>
      </c>
    </row>
    <row r="140" spans="4:45" x14ac:dyDescent="0.25">
      <c r="D140" s="1">
        <v>42542</v>
      </c>
      <c r="E140" s="3">
        <v>94.905970999999994</v>
      </c>
      <c r="F140" s="3">
        <v>206.17715899999999</v>
      </c>
      <c r="G140" s="3">
        <f t="shared" si="60"/>
        <v>0.80152499999999804</v>
      </c>
      <c r="H140" s="3">
        <f t="shared" si="61"/>
        <v>0.58359199999998168</v>
      </c>
      <c r="I140" s="4">
        <f t="shared" si="62"/>
        <v>1.0042864070003639</v>
      </c>
      <c r="J140" s="4">
        <f t="shared" si="63"/>
        <v>0.64495180632349181</v>
      </c>
      <c r="K140" s="4">
        <f t="shared" si="64"/>
        <v>0.773209507936506</v>
      </c>
      <c r="L140" s="4">
        <f t="shared" si="65"/>
        <v>0.51780336507934677</v>
      </c>
      <c r="M140" s="4">
        <f t="shared" si="66"/>
        <v>8.481329414406007E-3</v>
      </c>
      <c r="N140" s="4">
        <f t="shared" si="67"/>
        <v>2.8345501702692452E-3</v>
      </c>
      <c r="O140" s="4">
        <f t="shared" si="68"/>
        <v>8.225361185744965E-3</v>
      </c>
      <c r="P140" s="4">
        <f t="shared" si="69"/>
        <v>2.5215624532088548E-3</v>
      </c>
      <c r="S140" s="4">
        <v>-0.58254534650368484</v>
      </c>
      <c r="T140" s="4">
        <v>-1.2636842277831009</v>
      </c>
      <c r="U140" s="4">
        <f t="shared" si="70"/>
        <v>-1.3568450427185916</v>
      </c>
      <c r="W140" s="4">
        <f t="shared" si="71"/>
        <v>-0.96227766936829062</v>
      </c>
      <c r="X140" s="4">
        <f t="shared" si="72"/>
        <v>-2.3264591215398664</v>
      </c>
      <c r="Y140" s="3">
        <f t="shared" si="59"/>
        <v>-76.034146143086218</v>
      </c>
      <c r="AA140" s="3"/>
      <c r="AH140" s="3">
        <f t="shared" si="58"/>
        <v>108.5</v>
      </c>
      <c r="AI140" s="4">
        <f t="shared" si="49"/>
        <v>8.0815342818210567</v>
      </c>
      <c r="AJ140" s="4">
        <f t="shared" si="50"/>
        <v>5.6049283781243773</v>
      </c>
      <c r="AK140" s="4">
        <f t="shared" si="51"/>
        <v>2.1100744615340998</v>
      </c>
      <c r="AL140" s="3">
        <f t="shared" si="55"/>
        <v>137.17972350230414</v>
      </c>
      <c r="AM140" s="4">
        <f t="shared" si="52"/>
        <v>26.24544075679357</v>
      </c>
      <c r="AN140" s="4">
        <f t="shared" si="53"/>
        <v>20.923936116778933</v>
      </c>
      <c r="AO140" s="4">
        <f t="shared" si="54"/>
        <v>4.9326945261359345</v>
      </c>
      <c r="AP140" s="4">
        <f t="shared" si="73"/>
        <v>11.884189486823749</v>
      </c>
      <c r="AR140" s="3">
        <f t="shared" si="56"/>
        <v>108.5</v>
      </c>
      <c r="AS140" s="4">
        <f t="shared" si="57"/>
        <v>11.884189486823749</v>
      </c>
    </row>
    <row r="141" spans="4:45" x14ac:dyDescent="0.25">
      <c r="D141" s="1">
        <v>42541</v>
      </c>
      <c r="E141" s="3">
        <v>94.104445999999996</v>
      </c>
      <c r="F141" s="3">
        <v>205.59356700000001</v>
      </c>
      <c r="G141" s="3">
        <f t="shared" si="60"/>
        <v>-0.22759500000000799</v>
      </c>
      <c r="H141" s="3">
        <f t="shared" si="61"/>
        <v>1.3155629999999974</v>
      </c>
      <c r="I141" s="4">
        <f t="shared" si="62"/>
        <v>-0.28448157249540423</v>
      </c>
      <c r="J141" s="4">
        <f t="shared" si="63"/>
        <v>1.4632465198697573</v>
      </c>
      <c r="K141" s="4">
        <f t="shared" si="64"/>
        <v>-0.25591049206350003</v>
      </c>
      <c r="L141" s="4">
        <f t="shared" si="65"/>
        <v>1.2497743650793625</v>
      </c>
      <c r="M141" s="4">
        <f t="shared" si="66"/>
        <v>-2.4156161505163392E-3</v>
      </c>
      <c r="N141" s="4">
        <f t="shared" si="67"/>
        <v>6.4194133519710605E-3</v>
      </c>
      <c r="O141" s="4">
        <f t="shared" si="68"/>
        <v>-2.6715843791773816E-3</v>
      </c>
      <c r="P141" s="4">
        <f t="shared" si="69"/>
        <v>6.1064256349106696E-3</v>
      </c>
      <c r="S141" s="4">
        <v>-0.97722002678766196</v>
      </c>
      <c r="T141" s="4">
        <v>0.49359224228266924</v>
      </c>
      <c r="U141" s="4">
        <f t="shared" si="70"/>
        <v>-0.20446850085149737</v>
      </c>
      <c r="W141" s="4">
        <f t="shared" si="71"/>
        <v>-1.6334048899804803</v>
      </c>
      <c r="X141" s="4">
        <f t="shared" si="72"/>
        <v>-0.29470891419432599</v>
      </c>
      <c r="Y141" s="3">
        <f t="shared" si="59"/>
        <v>239.24085518752145</v>
      </c>
      <c r="AA141" s="3"/>
      <c r="AH141" s="3">
        <f t="shared" si="58"/>
        <v>109</v>
      </c>
      <c r="AI141" s="4">
        <f t="shared" si="49"/>
        <v>8.3089285637250399</v>
      </c>
      <c r="AJ141" s="4">
        <f t="shared" si="50"/>
        <v>5.7807305977799572</v>
      </c>
      <c r="AK141" s="4">
        <f t="shared" si="51"/>
        <v>2.1581383371565925</v>
      </c>
      <c r="AL141" s="3">
        <f t="shared" si="55"/>
        <v>136.55045871559633</v>
      </c>
      <c r="AM141" s="4">
        <f t="shared" si="52"/>
        <v>25.753841036776635</v>
      </c>
      <c r="AN141" s="4">
        <f t="shared" si="53"/>
        <v>20.484827234409408</v>
      </c>
      <c r="AO141" s="4">
        <f t="shared" si="54"/>
        <v>4.8773679900115807</v>
      </c>
      <c r="AP141" s="4">
        <f t="shared" si="73"/>
        <v>11.546973470523891</v>
      </c>
      <c r="AR141" s="3">
        <f t="shared" si="56"/>
        <v>109</v>
      </c>
      <c r="AS141" s="4">
        <f t="shared" si="57"/>
        <v>11.546973470523891</v>
      </c>
    </row>
    <row r="142" spans="4:45" x14ac:dyDescent="0.25">
      <c r="D142" s="1">
        <v>42538</v>
      </c>
      <c r="E142" s="3">
        <v>94.332041000000004</v>
      </c>
      <c r="F142" s="3">
        <v>204.27800400000001</v>
      </c>
      <c r="G142" s="3">
        <f t="shared" si="60"/>
        <v>-2.1967619999999926</v>
      </c>
      <c r="H142" s="3">
        <f t="shared" si="61"/>
        <v>-0.76361599999998475</v>
      </c>
      <c r="I142" s="4">
        <f t="shared" si="62"/>
        <v>-2.6833464018718551</v>
      </c>
      <c r="J142" s="4">
        <f t="shared" si="63"/>
        <v>-0.8461755067352108</v>
      </c>
      <c r="K142" s="4">
        <f t="shared" si="64"/>
        <v>-2.2250774920634848</v>
      </c>
      <c r="L142" s="4">
        <f t="shared" si="65"/>
        <v>-0.82940463492061967</v>
      </c>
      <c r="M142" s="4">
        <f t="shared" si="66"/>
        <v>-2.3020531258930402E-2</v>
      </c>
      <c r="N142" s="4">
        <f t="shared" si="67"/>
        <v>-3.7311520929645963E-3</v>
      </c>
      <c r="O142" s="4">
        <f t="shared" si="68"/>
        <v>-2.3276499487591445E-2</v>
      </c>
      <c r="P142" s="4">
        <f t="shared" si="69"/>
        <v>-4.0441398100249867E-3</v>
      </c>
      <c r="S142" s="4">
        <v>0.357844662706997</v>
      </c>
      <c r="T142" s="4">
        <v>0.96902413111594488</v>
      </c>
      <c r="U142" s="4">
        <f t="shared" si="70"/>
        <v>0.98628778545939333</v>
      </c>
      <c r="W142" s="4">
        <f t="shared" si="71"/>
        <v>0.63681486101377149</v>
      </c>
      <c r="X142" s="4">
        <f t="shared" si="72"/>
        <v>1.8047084582648076</v>
      </c>
      <c r="Y142" s="3">
        <f t="shared" si="59"/>
        <v>79.465804034869052</v>
      </c>
      <c r="AA142" s="3"/>
      <c r="AH142" s="3">
        <f t="shared" si="58"/>
        <v>109.5</v>
      </c>
      <c r="AI142" s="4">
        <f t="shared" si="49"/>
        <v>8.5399017177638683</v>
      </c>
      <c r="AJ142" s="4">
        <f t="shared" si="50"/>
        <v>5.9599061162323039</v>
      </c>
      <c r="AK142" s="4">
        <f t="shared" si="51"/>
        <v>2.2065151609811795</v>
      </c>
      <c r="AL142" s="3">
        <f t="shared" si="55"/>
        <v>135.92694063926942</v>
      </c>
      <c r="AM142" s="4">
        <f t="shared" si="52"/>
        <v>25.269933032425996</v>
      </c>
      <c r="AN142" s="4">
        <f t="shared" si="53"/>
        <v>20.053582922077297</v>
      </c>
      <c r="AO142" s="4">
        <f t="shared" si="54"/>
        <v>4.8219929965765234</v>
      </c>
      <c r="AP142" s="4">
        <f t="shared" si="73"/>
        <v>11.198515965915746</v>
      </c>
      <c r="AR142" s="3">
        <f t="shared" si="56"/>
        <v>109.5</v>
      </c>
      <c r="AS142" s="4">
        <f t="shared" si="57"/>
        <v>11.198515965915746</v>
      </c>
    </row>
    <row r="143" spans="4:45" x14ac:dyDescent="0.25">
      <c r="D143" s="1">
        <v>42537</v>
      </c>
      <c r="E143" s="3">
        <v>96.528802999999996</v>
      </c>
      <c r="F143" s="3">
        <v>205.04161999999999</v>
      </c>
      <c r="G143" s="3">
        <f t="shared" si="60"/>
        <v>0.40571199999999408</v>
      </c>
      <c r="H143" s="3">
        <f t="shared" si="61"/>
        <v>0.61009200000000874</v>
      </c>
      <c r="I143" s="4">
        <f t="shared" si="62"/>
        <v>0.49766921813664211</v>
      </c>
      <c r="J143" s="4">
        <f t="shared" si="63"/>
        <v>0.67807059384032975</v>
      </c>
      <c r="K143" s="4">
        <f t="shared" si="64"/>
        <v>0.37739650793650203</v>
      </c>
      <c r="L143" s="4">
        <f t="shared" si="65"/>
        <v>0.54430336507937382</v>
      </c>
      <c r="M143" s="4">
        <f t="shared" si="66"/>
        <v>4.2118724228371925E-3</v>
      </c>
      <c r="N143" s="4">
        <f t="shared" si="67"/>
        <v>2.9798899118777451E-3</v>
      </c>
      <c r="O143" s="4">
        <f t="shared" si="68"/>
        <v>3.9559041941761497E-3</v>
      </c>
      <c r="P143" s="4">
        <f t="shared" si="69"/>
        <v>2.6669021948173546E-3</v>
      </c>
      <c r="S143" s="4">
        <v>0.84202226646725176</v>
      </c>
      <c r="T143" s="4">
        <v>-0.88514846510276524</v>
      </c>
      <c r="U143" s="4">
        <f t="shared" si="70"/>
        <v>-0.18833456314808628</v>
      </c>
      <c r="W143" s="4">
        <f t="shared" si="71"/>
        <v>1.4601379311952305</v>
      </c>
      <c r="X143" s="4">
        <f t="shared" si="72"/>
        <v>-0.26626323686294373</v>
      </c>
      <c r="Y143" s="3">
        <f t="shared" si="59"/>
        <v>-255.14656191845006</v>
      </c>
      <c r="AA143" s="3"/>
      <c r="AH143" s="3">
        <f t="shared" si="58"/>
        <v>110</v>
      </c>
      <c r="AI143" s="4">
        <f t="shared" si="49"/>
        <v>8.774442184356765</v>
      </c>
      <c r="AJ143" s="4">
        <f t="shared" si="50"/>
        <v>6.1424607776857911</v>
      </c>
      <c r="AK143" s="4">
        <f t="shared" si="51"/>
        <v>2.2551892502832276</v>
      </c>
      <c r="AL143" s="3">
        <f t="shared" si="55"/>
        <v>135.30909090909091</v>
      </c>
      <c r="AM143" s="4">
        <f t="shared" si="52"/>
        <v>24.793629988555097</v>
      </c>
      <c r="AN143" s="4">
        <f t="shared" si="53"/>
        <v>19.630098644980492</v>
      </c>
      <c r="AO143" s="4">
        <f t="shared" si="54"/>
        <v>4.7665882533598181</v>
      </c>
      <c r="AP143" s="4">
        <f t="shared" si="73"/>
        <v>10.83917255157829</v>
      </c>
      <c r="AR143" s="3">
        <f t="shared" si="56"/>
        <v>110</v>
      </c>
      <c r="AS143" s="4">
        <f t="shared" si="57"/>
        <v>10.83917255157829</v>
      </c>
    </row>
    <row r="144" spans="4:45" x14ac:dyDescent="0.25">
      <c r="D144" s="1">
        <v>42536</v>
      </c>
      <c r="E144" s="3">
        <v>96.123091000000002</v>
      </c>
      <c r="F144" s="3">
        <v>204.43152799999999</v>
      </c>
      <c r="G144" s="3">
        <f t="shared" si="60"/>
        <v>-0.31664999999999566</v>
      </c>
      <c r="H144" s="3">
        <f t="shared" si="61"/>
        <v>-0.28536200000002054</v>
      </c>
      <c r="I144" s="4">
        <f t="shared" si="62"/>
        <v>-0.38714540685669707</v>
      </c>
      <c r="J144" s="4">
        <f t="shared" si="63"/>
        <v>-0.31671593886336719</v>
      </c>
      <c r="K144" s="4">
        <f t="shared" si="64"/>
        <v>-0.3449654920634877</v>
      </c>
      <c r="L144" s="4">
        <f t="shared" si="65"/>
        <v>-0.35115063492065546</v>
      </c>
      <c r="M144" s="4">
        <f t="shared" si="66"/>
        <v>-3.2887996309952259E-3</v>
      </c>
      <c r="N144" s="4">
        <f t="shared" si="67"/>
        <v>-1.3949072449825409E-3</v>
      </c>
      <c r="O144" s="4">
        <f t="shared" si="68"/>
        <v>-3.5447678596562684E-3</v>
      </c>
      <c r="P144" s="4">
        <f t="shared" si="69"/>
        <v>-1.7078949620429316E-3</v>
      </c>
      <c r="S144" s="4">
        <v>-0.56747622175259016</v>
      </c>
      <c r="T144" s="4">
        <v>0.29334061704254255</v>
      </c>
      <c r="U144" s="4">
        <f t="shared" si="70"/>
        <v>-0.11341740026605063</v>
      </c>
      <c r="W144" s="4">
        <f t="shared" si="71"/>
        <v>-0.93665327460350911</v>
      </c>
      <c r="X144" s="4">
        <f t="shared" si="72"/>
        <v>-0.13417710382460685</v>
      </c>
      <c r="Y144" s="3">
        <f t="shared" si="59"/>
        <v>138.96097367261063</v>
      </c>
      <c r="AA144" s="3"/>
      <c r="AH144" s="3">
        <f t="shared" si="58"/>
        <v>110.5</v>
      </c>
      <c r="AI144" s="4">
        <f t="shared" si="49"/>
        <v>9.0125373103505737</v>
      </c>
      <c r="AJ144" s="4">
        <f t="shared" si="50"/>
        <v>6.3283992833367577</v>
      </c>
      <c r="AK144" s="4">
        <f t="shared" si="51"/>
        <v>2.3041448451577273</v>
      </c>
      <c r="AL144" s="3">
        <f t="shared" si="55"/>
        <v>134.69683257918552</v>
      </c>
      <c r="AM144" s="4">
        <f t="shared" si="52"/>
        <v>24.324845671956567</v>
      </c>
      <c r="AN144" s="4">
        <f t="shared" si="53"/>
        <v>19.2142704770976</v>
      </c>
      <c r="AO144" s="4">
        <f t="shared" si="54"/>
        <v>4.7111722435955476</v>
      </c>
      <c r="AP144" s="4">
        <f t="shared" si="73"/>
        <v>10.469309560202621</v>
      </c>
      <c r="AR144" s="3">
        <f t="shared" si="56"/>
        <v>110.5</v>
      </c>
      <c r="AS144" s="4">
        <f t="shared" si="57"/>
        <v>10.469309560202621</v>
      </c>
    </row>
    <row r="145" spans="4:45" x14ac:dyDescent="0.25">
      <c r="D145" s="1">
        <v>42535</v>
      </c>
      <c r="E145" s="3">
        <v>96.439740999999998</v>
      </c>
      <c r="F145" s="3">
        <v>204.71689000000001</v>
      </c>
      <c r="G145" s="3">
        <f t="shared" si="60"/>
        <v>0.11874699999999905</v>
      </c>
      <c r="H145" s="3">
        <f t="shared" si="61"/>
        <v>-0.40345399999998222</v>
      </c>
      <c r="I145" s="4">
        <f t="shared" si="62"/>
        <v>0.14536248707096905</v>
      </c>
      <c r="J145" s="4">
        <f t="shared" si="63"/>
        <v>-0.44690245919329175</v>
      </c>
      <c r="K145" s="4">
        <f t="shared" si="64"/>
        <v>9.0431507936506991E-2</v>
      </c>
      <c r="L145" s="4">
        <f t="shared" si="65"/>
        <v>-0.46924263492061713</v>
      </c>
      <c r="M145" s="4">
        <f t="shared" si="66"/>
        <v>1.232066427027964E-3</v>
      </c>
      <c r="N145" s="4">
        <f t="shared" si="67"/>
        <v>-1.9688505428872107E-3</v>
      </c>
      <c r="O145" s="4">
        <f t="shared" si="68"/>
        <v>9.7609819836692131E-4</v>
      </c>
      <c r="P145" s="4">
        <f t="shared" si="69"/>
        <v>-2.2818382599476012E-3</v>
      </c>
      <c r="S145" s="4">
        <v>-0.10304779304082283</v>
      </c>
      <c r="T145" s="4">
        <v>-0.69219116811435122</v>
      </c>
      <c r="U145" s="4">
        <f t="shared" si="70"/>
        <v>-0.61151464836973835</v>
      </c>
      <c r="W145" s="4">
        <f t="shared" si="71"/>
        <v>-0.14691282226350438</v>
      </c>
      <c r="X145" s="4">
        <f t="shared" si="72"/>
        <v>-1.0123702554078915</v>
      </c>
      <c r="Y145" s="3">
        <f t="shared" si="59"/>
        <v>-77.638343923786579</v>
      </c>
      <c r="AA145" s="3"/>
      <c r="AH145" s="3">
        <f t="shared" si="58"/>
        <v>111</v>
      </c>
      <c r="AI145" s="4">
        <f t="shared" si="49"/>
        <v>9.2541733764808143</v>
      </c>
      <c r="AJ145" s="4">
        <f t="shared" si="50"/>
        <v>6.5177252021464511</v>
      </c>
      <c r="AK145" s="4">
        <f t="shared" si="51"/>
        <v>2.3533661253904503</v>
      </c>
      <c r="AL145" s="3">
        <f t="shared" si="55"/>
        <v>134.09009009009009</v>
      </c>
      <c r="AM145" s="4">
        <f t="shared" si="52"/>
        <v>23.863494357189637</v>
      </c>
      <c r="AN145" s="4">
        <f t="shared" si="53"/>
        <v>18.805995103392107</v>
      </c>
      <c r="AO145" s="4">
        <f t="shared" si="54"/>
        <v>4.6557632115612702</v>
      </c>
      <c r="AP145" s="4">
        <f t="shared" si="73"/>
        <v>10.089303290116991</v>
      </c>
      <c r="AR145" s="3">
        <f t="shared" si="56"/>
        <v>111</v>
      </c>
      <c r="AS145" s="4">
        <f t="shared" si="57"/>
        <v>10.089303290116991</v>
      </c>
    </row>
    <row r="146" spans="4:45" x14ac:dyDescent="0.25">
      <c r="D146" s="1">
        <v>42534</v>
      </c>
      <c r="E146" s="3">
        <v>96.320993999999999</v>
      </c>
      <c r="F146" s="3">
        <v>205.12034399999999</v>
      </c>
      <c r="G146" s="3">
        <f t="shared" si="60"/>
        <v>-1.4744079999999968</v>
      </c>
      <c r="H146" s="3">
        <f t="shared" si="61"/>
        <v>-1.5941329999999994</v>
      </c>
      <c r="I146" s="4">
        <f t="shared" si="62"/>
        <v>-1.7776648965319619</v>
      </c>
      <c r="J146" s="4">
        <f t="shared" si="63"/>
        <v>-1.7521896644371495</v>
      </c>
      <c r="K146" s="4">
        <f t="shared" si="64"/>
        <v>-1.5027234920634889</v>
      </c>
      <c r="L146" s="4">
        <f t="shared" si="65"/>
        <v>-1.6599216349206343</v>
      </c>
      <c r="M146" s="4">
        <f t="shared" si="66"/>
        <v>-1.5191260345931308E-2</v>
      </c>
      <c r="N146" s="4">
        <f t="shared" si="67"/>
        <v>-7.7416521405804586E-3</v>
      </c>
      <c r="O146" s="4">
        <f t="shared" si="68"/>
        <v>-1.544722857459235E-2</v>
      </c>
      <c r="P146" s="4">
        <f t="shared" si="69"/>
        <v>-8.0546398576408496E-3</v>
      </c>
      <c r="S146" s="4">
        <v>1.6749882676414294</v>
      </c>
      <c r="T146" s="4">
        <v>-0.68632493226148261</v>
      </c>
      <c r="U146" s="4">
        <f t="shared" si="70"/>
        <v>0.47706592384351831</v>
      </c>
      <c r="W146" s="4">
        <f t="shared" si="71"/>
        <v>2.8765605829605887</v>
      </c>
      <c r="X146" s="4">
        <f t="shared" si="72"/>
        <v>0.90690154764629916</v>
      </c>
      <c r="Y146" s="3">
        <f t="shared" si="59"/>
        <v>-349.23268743971539</v>
      </c>
      <c r="AA146" s="3"/>
      <c r="AH146" s="3">
        <f t="shared" si="58"/>
        <v>111.5</v>
      </c>
      <c r="AI146" s="4">
        <f t="shared" si="49"/>
        <v>9.4993356253016614</v>
      </c>
      <c r="AJ146" s="4">
        <f t="shared" si="50"/>
        <v>6.710440982569601</v>
      </c>
      <c r="AK146" s="4">
        <f t="shared" si="51"/>
        <v>2.4028372270526241</v>
      </c>
      <c r="AL146" s="3">
        <f t="shared" si="55"/>
        <v>133.48878923766816</v>
      </c>
      <c r="AM146" s="4">
        <f t="shared" si="52"/>
        <v>23.409490813828768</v>
      </c>
      <c r="AN146" s="4">
        <f t="shared" si="53"/>
        <v>18.405169822934937</v>
      </c>
      <c r="AO146" s="4">
        <f t="shared" si="54"/>
        <v>4.6003791486451577</v>
      </c>
      <c r="AP146" s="4">
        <f t="shared" si="73"/>
        <v>9.6995392159019431</v>
      </c>
      <c r="AR146" s="3">
        <f t="shared" si="56"/>
        <v>111.5</v>
      </c>
      <c r="AS146" s="4">
        <f t="shared" si="57"/>
        <v>9.6995392159019431</v>
      </c>
    </row>
    <row r="147" spans="4:45" x14ac:dyDescent="0.25">
      <c r="D147" s="1">
        <v>42531</v>
      </c>
      <c r="E147" s="3">
        <v>97.795401999999996</v>
      </c>
      <c r="F147" s="3">
        <v>206.71447699999999</v>
      </c>
      <c r="G147" s="3">
        <f t="shared" si="60"/>
        <v>-0.81141500000001088</v>
      </c>
      <c r="H147" s="3">
        <f t="shared" si="61"/>
        <v>-1.9778880000000072</v>
      </c>
      <c r="I147" s="4">
        <f t="shared" si="62"/>
        <v>-0.97025691332944319</v>
      </c>
      <c r="J147" s="4">
        <f t="shared" si="63"/>
        <v>-2.1533894942693168</v>
      </c>
      <c r="K147" s="4">
        <f t="shared" si="64"/>
        <v>-0.83973049206350292</v>
      </c>
      <c r="L147" s="4">
        <f t="shared" si="65"/>
        <v>-2.0436766349206419</v>
      </c>
      <c r="M147" s="4">
        <f t="shared" si="66"/>
        <v>-8.2628355290721E-3</v>
      </c>
      <c r="N147" s="4">
        <f t="shared" si="67"/>
        <v>-9.5227268625550296E-3</v>
      </c>
      <c r="O147" s="4">
        <f t="shared" si="68"/>
        <v>-8.518803757733142E-3</v>
      </c>
      <c r="P147" s="4">
        <f t="shared" si="69"/>
        <v>-9.8357145796154205E-3</v>
      </c>
      <c r="S147" s="4">
        <v>-0.59519820056330408</v>
      </c>
      <c r="T147" s="4">
        <v>0.7456945780482066</v>
      </c>
      <c r="U147" s="4">
        <f t="shared" si="70"/>
        <v>0.22826003754718477</v>
      </c>
      <c r="W147" s="4">
        <f t="shared" si="71"/>
        <v>-0.98379330034754164</v>
      </c>
      <c r="X147" s="4">
        <f t="shared" si="72"/>
        <v>0.46823294176481278</v>
      </c>
      <c r="Y147" s="3">
        <f t="shared" si="59"/>
        <v>206.99204773392376</v>
      </c>
      <c r="AA147" s="3"/>
      <c r="AH147" s="3">
        <f t="shared" si="58"/>
        <v>112</v>
      </c>
      <c r="AI147" s="4">
        <f t="shared" si="49"/>
        <v>9.7480082895302331</v>
      </c>
      <c r="AJ147" s="4">
        <f t="shared" si="50"/>
        <v>6.9065479651973689</v>
      </c>
      <c r="AK147" s="4">
        <f t="shared" si="51"/>
        <v>2.4525422587981751</v>
      </c>
      <c r="AL147" s="3">
        <f t="shared" si="55"/>
        <v>132.89285714285714</v>
      </c>
      <c r="AM147" s="4">
        <f t="shared" si="52"/>
        <v>22.962750295106261</v>
      </c>
      <c r="AN147" s="4">
        <f t="shared" si="53"/>
        <v>18.011692552867046</v>
      </c>
      <c r="AO147" s="4">
        <f t="shared" si="54"/>
        <v>4.5450377801422288</v>
      </c>
      <c r="AP147" s="4">
        <f t="shared" si="73"/>
        <v>9.3004111999444703</v>
      </c>
      <c r="AR147" s="3">
        <f t="shared" si="56"/>
        <v>112</v>
      </c>
      <c r="AS147" s="4">
        <f t="shared" si="57"/>
        <v>9.3004111999444703</v>
      </c>
    </row>
    <row r="148" spans="4:45" x14ac:dyDescent="0.25">
      <c r="D148" s="1">
        <v>42530</v>
      </c>
      <c r="E148" s="3">
        <v>98.606817000000007</v>
      </c>
      <c r="F148" s="3">
        <v>208.692365</v>
      </c>
      <c r="G148" s="3">
        <f t="shared" si="60"/>
        <v>0.70256600000000446</v>
      </c>
      <c r="H148" s="3">
        <f t="shared" si="61"/>
        <v>-0.28536199999999212</v>
      </c>
      <c r="I148" s="4">
        <f t="shared" si="62"/>
        <v>0.84612832460425569</v>
      </c>
      <c r="J148" s="4">
        <f t="shared" si="63"/>
        <v>-0.31025843255311225</v>
      </c>
      <c r="K148" s="4">
        <f t="shared" si="64"/>
        <v>0.67425050793651242</v>
      </c>
      <c r="L148" s="4">
        <f t="shared" si="65"/>
        <v>-0.35115063492062704</v>
      </c>
      <c r="M148" s="4">
        <f t="shared" si="66"/>
        <v>7.1504266969046985E-3</v>
      </c>
      <c r="N148" s="4">
        <f t="shared" si="67"/>
        <v>-1.3664471067838721E-3</v>
      </c>
      <c r="O148" s="4">
        <f t="shared" si="68"/>
        <v>6.8944584682436557E-3</v>
      </c>
      <c r="P148" s="4">
        <f t="shared" si="69"/>
        <v>-1.6794348238442628E-3</v>
      </c>
      <c r="S148" s="4">
        <v>-1.2399358388680699</v>
      </c>
      <c r="T148" s="4">
        <v>-0.59785822303328051</v>
      </c>
      <c r="U148" s="4">
        <f t="shared" si="70"/>
        <v>-1.229809994496365</v>
      </c>
      <c r="W148" s="4">
        <f t="shared" si="71"/>
        <v>-2.0801417636140647</v>
      </c>
      <c r="X148" s="4">
        <f t="shared" si="72"/>
        <v>-2.1024841652747228</v>
      </c>
      <c r="Y148" s="3">
        <f t="shared" si="59"/>
        <v>134.40560164034332</v>
      </c>
      <c r="AA148" s="3"/>
      <c r="AH148" s="3">
        <f t="shared" si="58"/>
        <v>112.5</v>
      </c>
      <c r="AI148" s="4">
        <f t="shared" si="49"/>
        <v>10.000174620752283</v>
      </c>
      <c r="AJ148" s="4">
        <f t="shared" si="50"/>
        <v>7.1060463962733849</v>
      </c>
      <c r="AK148" s="4">
        <f t="shared" si="51"/>
        <v>2.5024653178439338</v>
      </c>
      <c r="AL148" s="3">
        <f t="shared" si="55"/>
        <v>132.30222222222221</v>
      </c>
      <c r="AM148" s="4">
        <f t="shared" si="52"/>
        <v>22.52318852788234</v>
      </c>
      <c r="AN148" s="4">
        <f t="shared" si="53"/>
        <v>17.625461833126622</v>
      </c>
      <c r="AO148" s="4">
        <f t="shared" si="54"/>
        <v>4.4897565527786139</v>
      </c>
      <c r="AP148" s="4">
        <f t="shared" si="73"/>
        <v>8.8923207070371149</v>
      </c>
      <c r="AR148" s="3">
        <f t="shared" si="56"/>
        <v>112.5</v>
      </c>
      <c r="AS148" s="4">
        <f t="shared" si="57"/>
        <v>8.8923207070371149</v>
      </c>
    </row>
    <row r="149" spans="4:45" x14ac:dyDescent="0.25">
      <c r="D149" s="1">
        <v>42529</v>
      </c>
      <c r="E149" s="3">
        <v>97.904251000000002</v>
      </c>
      <c r="F149" s="3">
        <v>208.97772699999999</v>
      </c>
      <c r="G149" s="3">
        <f t="shared" si="60"/>
        <v>-8.9054000000004407E-2</v>
      </c>
      <c r="H149" s="3">
        <f t="shared" si="61"/>
        <v>0.67898099999999317</v>
      </c>
      <c r="I149" s="4">
        <f t="shared" si="62"/>
        <v>-0.10715382541916021</v>
      </c>
      <c r="J149" s="4">
        <f t="shared" si="63"/>
        <v>0.74062509124690279</v>
      </c>
      <c r="K149" s="4">
        <f t="shared" si="64"/>
        <v>-0.11736949206349646</v>
      </c>
      <c r="L149" s="4">
        <f t="shared" si="65"/>
        <v>0.61319236507935826</v>
      </c>
      <c r="M149" s="4">
        <f t="shared" si="66"/>
        <v>-9.0918955757191184E-4</v>
      </c>
      <c r="N149" s="4">
        <f t="shared" si="67"/>
        <v>3.2543488223218705E-3</v>
      </c>
      <c r="O149" s="4">
        <f t="shared" si="68"/>
        <v>-1.1651577862329544E-3</v>
      </c>
      <c r="P149" s="4">
        <f t="shared" si="69"/>
        <v>2.9413611052614801E-3</v>
      </c>
      <c r="S149" s="4">
        <v>-0.98630909504499165</v>
      </c>
      <c r="T149" s="4">
        <v>-3.749165547083512E-2</v>
      </c>
      <c r="U149" s="4">
        <f t="shared" si="70"/>
        <v>-0.63099536679173396</v>
      </c>
      <c r="W149" s="4">
        <f t="shared" si="71"/>
        <v>-1.6488604573685557</v>
      </c>
      <c r="X149" s="4">
        <f t="shared" si="72"/>
        <v>-1.0467166276700357</v>
      </c>
      <c r="Y149" s="3">
        <f t="shared" si="59"/>
        <v>166.64971159627839</v>
      </c>
      <c r="AA149" s="3"/>
      <c r="AH149" s="3">
        <f t="shared" si="58"/>
        <v>113</v>
      </c>
      <c r="AI149" s="4">
        <f t="shared" si="49"/>
        <v>10.255816918436864</v>
      </c>
      <c r="AJ149" s="4">
        <f t="shared" si="50"/>
        <v>7.3089354420414949</v>
      </c>
      <c r="AK149" s="4">
        <f t="shared" si="51"/>
        <v>2.5525905056145857</v>
      </c>
      <c r="AL149" s="3">
        <f t="shared" si="55"/>
        <v>131.71681415929203</v>
      </c>
      <c r="AM149" s="4">
        <f t="shared" si="52"/>
        <v>22.090721703877861</v>
      </c>
      <c r="AN149" s="4">
        <f t="shared" si="53"/>
        <v>17.246376831868176</v>
      </c>
      <c r="AO149" s="4">
        <f t="shared" si="54"/>
        <v>4.4345526229611041</v>
      </c>
      <c r="AP149" s="4">
        <f t="shared" si="73"/>
        <v>8.4756760234153017</v>
      </c>
      <c r="AR149" s="3">
        <f t="shared" si="56"/>
        <v>113</v>
      </c>
      <c r="AS149" s="4">
        <f t="shared" si="57"/>
        <v>8.4756760234153017</v>
      </c>
    </row>
    <row r="150" spans="4:45" x14ac:dyDescent="0.25">
      <c r="D150" s="1">
        <v>42528</v>
      </c>
      <c r="E150" s="3">
        <v>97.993305000000007</v>
      </c>
      <c r="F150" s="3">
        <v>208.29874599999999</v>
      </c>
      <c r="G150" s="3">
        <f t="shared" si="60"/>
        <v>0.39581400000000144</v>
      </c>
      <c r="H150" s="3">
        <f t="shared" si="61"/>
        <v>0.32471599999999512</v>
      </c>
      <c r="I150" s="4">
        <f t="shared" si="62"/>
        <v>0.47819293144796282</v>
      </c>
      <c r="J150" s="4">
        <f t="shared" si="63"/>
        <v>0.35474969943608287</v>
      </c>
      <c r="K150" s="4">
        <f t="shared" si="64"/>
        <v>0.3674985079365094</v>
      </c>
      <c r="L150" s="4">
        <f t="shared" si="65"/>
        <v>0.25892736507936021</v>
      </c>
      <c r="M150" s="4">
        <f t="shared" si="66"/>
        <v>4.0473738889708821E-3</v>
      </c>
      <c r="N150" s="4">
        <f t="shared" si="67"/>
        <v>1.5601119486221757E-3</v>
      </c>
      <c r="O150" s="4">
        <f t="shared" si="68"/>
        <v>3.7914056603098397E-3</v>
      </c>
      <c r="P150" s="4">
        <f t="shared" si="69"/>
        <v>1.247124231561785E-3</v>
      </c>
      <c r="S150" s="4">
        <v>0.89295250368099066</v>
      </c>
      <c r="T150" s="4">
        <v>-0.17094505029473306</v>
      </c>
      <c r="U150" s="4">
        <f t="shared" si="70"/>
        <v>0.40885699262322051</v>
      </c>
      <c r="W150" s="4">
        <f t="shared" si="71"/>
        <v>1.5467425963888082</v>
      </c>
      <c r="X150" s="4">
        <f t="shared" si="72"/>
        <v>0.78664266948038031</v>
      </c>
      <c r="Y150" s="3">
        <f t="shared" si="59"/>
        <v>-163.06960724836654</v>
      </c>
      <c r="AA150" s="3"/>
      <c r="AH150" s="3">
        <f t="shared" si="58"/>
        <v>113.5</v>
      </c>
      <c r="AI150" s="4">
        <f t="shared" si="49"/>
        <v>10.514916559210086</v>
      </c>
      <c r="AJ150" s="4">
        <f t="shared" si="50"/>
        <v>7.5152132038832562</v>
      </c>
      <c r="AK150" s="4">
        <f t="shared" si="51"/>
        <v>2.6029019430354525</v>
      </c>
      <c r="AL150" s="3">
        <f t="shared" si="55"/>
        <v>131.13656387665199</v>
      </c>
      <c r="AM150" s="4">
        <f t="shared" si="52"/>
        <v>21.665266472106183</v>
      </c>
      <c r="AN150" s="4">
        <f t="shared" si="53"/>
        <v>16.874337351503428</v>
      </c>
      <c r="AO150" s="4">
        <f t="shared" si="54"/>
        <v>4.3794428457479126</v>
      </c>
      <c r="AP150" s="4">
        <f t="shared" si="73"/>
        <v>8.0508914821706625</v>
      </c>
      <c r="AR150" s="3">
        <f t="shared" si="56"/>
        <v>113.5</v>
      </c>
      <c r="AS150" s="4">
        <f t="shared" si="57"/>
        <v>8.0508914821706625</v>
      </c>
    </row>
    <row r="151" spans="4:45" x14ac:dyDescent="0.25">
      <c r="D151" s="1">
        <v>42527</v>
      </c>
      <c r="E151" s="3">
        <v>97.597491000000005</v>
      </c>
      <c r="F151" s="3">
        <v>207.97403</v>
      </c>
      <c r="G151" s="3">
        <f t="shared" si="60"/>
        <v>0.70256700000000194</v>
      </c>
      <c r="H151" s="3">
        <f t="shared" si="61"/>
        <v>1.0529150000000129</v>
      </c>
      <c r="I151" s="4">
        <f t="shared" si="62"/>
        <v>0.85494342077473773</v>
      </c>
      <c r="J151" s="4">
        <f t="shared" si="63"/>
        <v>1.1561547236027987</v>
      </c>
      <c r="K151" s="4">
        <f t="shared" si="64"/>
        <v>0.6742515079365099</v>
      </c>
      <c r="L151" s="4">
        <f t="shared" si="65"/>
        <v>0.98712636507937801</v>
      </c>
      <c r="M151" s="4">
        <f t="shared" si="66"/>
        <v>7.2246524976965999E-3</v>
      </c>
      <c r="N151" s="4">
        <f t="shared" si="67"/>
        <v>5.0755824601970909E-3</v>
      </c>
      <c r="O151" s="4">
        <f t="shared" si="68"/>
        <v>6.968684269035557E-3</v>
      </c>
      <c r="P151" s="4">
        <f t="shared" si="69"/>
        <v>4.7625947431366999E-3</v>
      </c>
      <c r="S151" s="4">
        <v>-5.3028400108638164E-2</v>
      </c>
      <c r="T151" s="4">
        <v>-0.53185992809650362</v>
      </c>
      <c r="U151" s="4">
        <f t="shared" si="70"/>
        <v>-0.45392841606406675</v>
      </c>
      <c r="W151" s="4">
        <f t="shared" si="71"/>
        <v>-6.1857008368546143E-2</v>
      </c>
      <c r="X151" s="4">
        <f t="shared" si="72"/>
        <v>-0.7345306356920146</v>
      </c>
      <c r="Y151" s="3">
        <f t="shared" si="59"/>
        <v>-63.530558536609988</v>
      </c>
      <c r="AA151" s="3"/>
      <c r="AH151" s="3">
        <f t="shared" si="58"/>
        <v>114</v>
      </c>
      <c r="AI151" s="4">
        <f t="shared" ref="AI151:AI214" si="74">AH151*EXP(-$B$9*$B$7)*NORMSDIST((LN(AH151/$AG$15)+($B$8-$B$9+0.5*$B$6^2)*$B$7)/($B$6*SQRT($B$7)))-$AG$15*EXP(-$B$8*$B$7)*NORMSDIST((LN(AH151/$AG$15)+($B$8-$B$9-0.5*$B$6^2)*$B$7)/($B$6*SQRT($B$7)))</f>
        <v>10.777454026338674</v>
      </c>
      <c r="AJ151" s="4">
        <f t="shared" ref="AJ151:AJ214" si="75">AH151*EXP(-$B$9*$B$7)*NORMSDIST((LN(AH151/$AG$10)+($B$8-$B$9+0.5*$B$6^2)*$B$7)/($B$6*SQRT($B$7)))-$AG$10*EXP(-$B$8*$B$7)*NORMSDIST((LN(AH151/$AG$10)+($B$8-$B$9-0.5*$B$6^2)*$B$7)/($B$6*SQRT($B$7)))</f>
        <v>7.7248767342041162</v>
      </c>
      <c r="AK151" s="4">
        <f t="shared" ref="AK151:AK214" si="76">EXP(-$B$8*$B$7)*NORMSDIST((LN(AH151/$AG$10)+($B$8-$B$9-0.5*$B$6^2)*$B$7)/($B$6*SQRT($B$7)))*($AG$10-$AG$15)</f>
        <v>2.6533837854575406</v>
      </c>
      <c r="AL151" s="3">
        <f t="shared" si="55"/>
        <v>130.56140350877192</v>
      </c>
      <c r="AM151" s="4">
        <f t="shared" ref="AM151:AM214" si="77">AL151*EXP(-$B$9*$B$7)*NORMSDIST((LN(AL151/$AG$15)+($B$8-$B$9+0.5*$B$6^2)*$B$7)/($B$6*SQRT($B$7)))-$AG$15*EXP(-$B$8*$B$7)*NORMSDIST((LN(AL151/$AG$15)+($B$8-$B$9-0.5*$B$6^2)*$B$7)/($B$6*SQRT($B$7)))</f>
        <v>21.24673993244123</v>
      </c>
      <c r="AN151" s="4">
        <f t="shared" ref="AN151:AN214" si="78">AL151*EXP(-$B$9*$B$7)*NORMSDIST((LN(AL151/$AG$10)+($B$8-$B$9+0.5*$B$6^2)*$B$7)/($B$6*SQRT($B$7)))-$AG$10*EXP(-$B$8*$B$7)*NORMSDIST((LN(AL151/$AG$10)+($B$8-$B$9-0.5*$B$6^2)*$B$7)/($B$6*SQRT($B$7)))</f>
        <v>16.509243835297212</v>
      </c>
      <c r="AO151" s="4">
        <f t="shared" ref="AO151:AO214" si="79">EXP(-$B$8*$B$7)*NORMSDIST((LN(AL151/$AG$10)+($B$8-$B$9-0.5*$B$6^2)*$B$7)/($B$6*SQRT($B$7)))*($AG$10-$AG$15)</f>
        <v>4.3244437645351042</v>
      </c>
      <c r="AP151" s="4">
        <f t="shared" si="73"/>
        <v>7.6183866966546665</v>
      </c>
      <c r="AR151" s="3">
        <f t="shared" si="56"/>
        <v>114</v>
      </c>
      <c r="AS151" s="4">
        <f t="shared" si="57"/>
        <v>7.6183866966546665</v>
      </c>
    </row>
    <row r="152" spans="4:45" x14ac:dyDescent="0.25">
      <c r="D152" s="1">
        <v>42524</v>
      </c>
      <c r="E152" s="3">
        <v>96.894924000000003</v>
      </c>
      <c r="F152" s="3">
        <v>206.92111499999999</v>
      </c>
      <c r="G152" s="3">
        <f t="shared" si="60"/>
        <v>0.19790299999999661</v>
      </c>
      <c r="H152" s="3">
        <f t="shared" si="61"/>
        <v>-0.6199410000000114</v>
      </c>
      <c r="I152" s="4">
        <f t="shared" si="62"/>
        <v>0.24131812211269257</v>
      </c>
      <c r="J152" s="4">
        <f t="shared" si="63"/>
        <v>-0.67869366025385158</v>
      </c>
      <c r="K152" s="4">
        <f t="shared" si="64"/>
        <v>0.16958750793650457</v>
      </c>
      <c r="L152" s="4">
        <f t="shared" si="65"/>
        <v>-0.68572963492064631</v>
      </c>
      <c r="M152" s="4">
        <f t="shared" si="66"/>
        <v>2.0445382573996375E-3</v>
      </c>
      <c r="N152" s="4">
        <f t="shared" si="67"/>
        <v>-2.9915466632012065E-3</v>
      </c>
      <c r="O152" s="4">
        <f t="shared" si="68"/>
        <v>1.7885700287385948E-3</v>
      </c>
      <c r="P152" s="4">
        <f t="shared" si="69"/>
        <v>-3.304534380261597E-3</v>
      </c>
      <c r="S152" s="4">
        <v>-1.3767048331405154</v>
      </c>
      <c r="T152" s="4">
        <v>-0.56732095625792445</v>
      </c>
      <c r="U152" s="4">
        <f t="shared" si="70"/>
        <v>-1.2889807773215118</v>
      </c>
      <c r="W152" s="4">
        <f t="shared" si="71"/>
        <v>-2.3127115218918095</v>
      </c>
      <c r="X152" s="4">
        <f t="shared" si="72"/>
        <v>-2.2068079222292059</v>
      </c>
      <c r="Y152" s="3">
        <f t="shared" si="59"/>
        <v>163.9297310431748</v>
      </c>
      <c r="AA152" s="3"/>
      <c r="AH152" s="3">
        <f t="shared" si="58"/>
        <v>114.5</v>
      </c>
      <c r="AI152" s="4">
        <f t="shared" si="74"/>
        <v>11.043408939375837</v>
      </c>
      <c r="AJ152" s="4">
        <f t="shared" si="75"/>
        <v>7.9379220530262344</v>
      </c>
      <c r="AK152" s="4">
        <f t="shared" si="76"/>
        <v>2.7040202372005786</v>
      </c>
      <c r="AL152" s="3">
        <f t="shared" ref="AL152:AL215" si="80">$AG$10^2/AH152</f>
        <v>129.99126637554585</v>
      </c>
      <c r="AM152" s="4">
        <f t="shared" si="77"/>
        <v>20.83505963026164</v>
      </c>
      <c r="AN152" s="4">
        <f t="shared" si="78"/>
        <v>16.150997374453439</v>
      </c>
      <c r="AO152" s="4">
        <f t="shared" si="79"/>
        <v>4.2695716014519496</v>
      </c>
      <c r="AP152" s="4">
        <f t="shared" si="73"/>
        <v>7.1785858031041982</v>
      </c>
      <c r="AR152" s="3">
        <f t="shared" ref="AR152:AR215" si="81">AH152</f>
        <v>114.5</v>
      </c>
      <c r="AS152" s="4">
        <f t="shared" ref="AS152:AS215" si="82">AP152</f>
        <v>7.1785858031041982</v>
      </c>
    </row>
    <row r="153" spans="4:45" x14ac:dyDescent="0.25">
      <c r="D153" s="1">
        <v>42523</v>
      </c>
      <c r="E153" s="3">
        <v>96.697021000000007</v>
      </c>
      <c r="F153" s="3">
        <v>207.541056</v>
      </c>
      <c r="G153" s="3">
        <f t="shared" si="60"/>
        <v>-0.73225099999999088</v>
      </c>
      <c r="H153" s="3">
        <f t="shared" si="61"/>
        <v>0.62977599999999256</v>
      </c>
      <c r="I153" s="4">
        <f t="shared" si="62"/>
        <v>-0.88617842016722581</v>
      </c>
      <c r="J153" s="4">
        <f t="shared" si="63"/>
        <v>0.691559248816354</v>
      </c>
      <c r="K153" s="4">
        <f t="shared" si="64"/>
        <v>-0.76056649206348292</v>
      </c>
      <c r="L153" s="4">
        <f t="shared" si="65"/>
        <v>0.56398736507935765</v>
      </c>
      <c r="M153" s="4">
        <f t="shared" si="66"/>
        <v>-7.544104011824559E-3</v>
      </c>
      <c r="N153" s="4">
        <f t="shared" si="67"/>
        <v>3.0390779832268231E-3</v>
      </c>
      <c r="O153" s="4">
        <f t="shared" si="68"/>
        <v>-7.8000722404856018E-3</v>
      </c>
      <c r="P153" s="4">
        <f t="shared" si="69"/>
        <v>2.7260902661664327E-3</v>
      </c>
      <c r="S153" s="4">
        <v>0.39625465418708428</v>
      </c>
      <c r="T153" s="4">
        <v>0.53669252919177068</v>
      </c>
      <c r="U153" s="4">
        <f t="shared" si="70"/>
        <v>0.66699756288302026</v>
      </c>
      <c r="W153" s="4">
        <f t="shared" si="71"/>
        <v>0.70212938994990948</v>
      </c>
      <c r="X153" s="4">
        <f t="shared" si="72"/>
        <v>1.2417692171796939</v>
      </c>
      <c r="Y153" s="3">
        <f t="shared" si="59"/>
        <v>12.930047071759418</v>
      </c>
      <c r="AA153" s="3"/>
      <c r="AH153" s="3">
        <f t="shared" ref="AH153:AH216" si="83">AH152+0.5</f>
        <v>115</v>
      </c>
      <c r="AI153" s="4">
        <f t="shared" si="74"/>
        <v>11.312760083923621</v>
      </c>
      <c r="AJ153" s="4">
        <f t="shared" si="75"/>
        <v>8.1543441652471245</v>
      </c>
      <c r="AK153" s="4">
        <f t="shared" si="76"/>
        <v>2.754795565701083</v>
      </c>
      <c r="AL153" s="3">
        <f t="shared" si="80"/>
        <v>129.42608695652174</v>
      </c>
      <c r="AM153" s="4">
        <f t="shared" si="77"/>
        <v>20.430143552110422</v>
      </c>
      <c r="AN153" s="4">
        <f t="shared" si="78"/>
        <v>15.799499715629793</v>
      </c>
      <c r="AO153" s="4">
        <f t="shared" si="79"/>
        <v>4.2148422484571162</v>
      </c>
      <c r="AP153" s="4">
        <f t="shared" si="73"/>
        <v>6.7319167142221303</v>
      </c>
      <c r="AR153" s="3">
        <f t="shared" si="81"/>
        <v>115</v>
      </c>
      <c r="AS153" s="4">
        <f t="shared" si="82"/>
        <v>6.7319167142221303</v>
      </c>
    </row>
    <row r="154" spans="4:45" x14ac:dyDescent="0.25">
      <c r="D154" s="1">
        <v>42522</v>
      </c>
      <c r="E154" s="3">
        <v>97.429271999999997</v>
      </c>
      <c r="F154" s="3">
        <v>206.91128</v>
      </c>
      <c r="G154" s="3">
        <f t="shared" si="60"/>
        <v>-1.3853459999999984</v>
      </c>
      <c r="H154" s="3">
        <f t="shared" si="61"/>
        <v>0.42314000000001784</v>
      </c>
      <c r="I154" s="4">
        <f t="shared" si="62"/>
        <v>-1.6530565589130124</v>
      </c>
      <c r="J154" s="4">
        <f t="shared" si="63"/>
        <v>0.4656037018009076</v>
      </c>
      <c r="K154" s="4">
        <f t="shared" si="64"/>
        <v>-1.4136614920634905</v>
      </c>
      <c r="L154" s="4">
        <f t="shared" si="65"/>
        <v>0.35735136507938292</v>
      </c>
      <c r="M154" s="4">
        <f t="shared" si="66"/>
        <v>-1.4118849896946567E-2</v>
      </c>
      <c r="N154" s="4">
        <f t="shared" si="67"/>
        <v>2.047125019051973E-3</v>
      </c>
      <c r="O154" s="4">
        <f t="shared" si="68"/>
        <v>-1.4374818125607609E-2</v>
      </c>
      <c r="P154" s="4">
        <f t="shared" si="69"/>
        <v>1.7341373019915825E-3</v>
      </c>
      <c r="S154" s="4">
        <v>-1.0696514274772124</v>
      </c>
      <c r="T154" s="4">
        <v>0.15038109109648964</v>
      </c>
      <c r="U154" s="4">
        <f t="shared" si="70"/>
        <v>-0.53287748538409552</v>
      </c>
      <c r="W154" s="4">
        <f t="shared" si="71"/>
        <v>-1.7905804883680823</v>
      </c>
      <c r="X154" s="4">
        <f t="shared" si="72"/>
        <v>-0.87372540591947534</v>
      </c>
      <c r="Y154" s="3">
        <f t="shared" si="59"/>
        <v>207.9369661394494</v>
      </c>
      <c r="AA154" s="3"/>
      <c r="AH154" s="3">
        <f t="shared" si="83"/>
        <v>115.5</v>
      </c>
      <c r="AI154" s="4">
        <f t="shared" si="74"/>
        <v>11.585485441467036</v>
      </c>
      <c r="AJ154" s="4">
        <f t="shared" si="75"/>
        <v>8.3741370785226295</v>
      </c>
      <c r="AK154" s="4">
        <f t="shared" si="76"/>
        <v>2.8056941152537158</v>
      </c>
      <c r="AL154" s="3">
        <f t="shared" si="80"/>
        <v>128.86580086580088</v>
      </c>
      <c r="AM154" s="4">
        <f t="shared" si="77"/>
        <v>20.031910122312752</v>
      </c>
      <c r="AN154" s="4">
        <f t="shared" si="78"/>
        <v>15.454653268822433</v>
      </c>
      <c r="AO154" s="4">
        <f t="shared" si="79"/>
        <v>4.1602712591265885</v>
      </c>
      <c r="AP154" s="4">
        <f t="shared" si="73"/>
        <v>6.27881038493181</v>
      </c>
      <c r="AR154" s="3">
        <f t="shared" si="81"/>
        <v>115.5</v>
      </c>
      <c r="AS154" s="4">
        <f t="shared" si="82"/>
        <v>6.27881038493181</v>
      </c>
    </row>
    <row r="155" spans="4:45" x14ac:dyDescent="0.25">
      <c r="D155" s="1">
        <v>42521</v>
      </c>
      <c r="E155" s="3">
        <v>98.814617999999996</v>
      </c>
      <c r="F155" s="3">
        <v>206.48813999999999</v>
      </c>
      <c r="G155" s="3">
        <f t="shared" si="60"/>
        <v>-0.48486800000000585</v>
      </c>
      <c r="H155" s="3">
        <f t="shared" si="61"/>
        <v>-0.39362000000002695</v>
      </c>
      <c r="I155" s="4">
        <f t="shared" si="62"/>
        <v>-0.57574102467632804</v>
      </c>
      <c r="J155" s="4">
        <f t="shared" si="63"/>
        <v>-0.43229718731775152</v>
      </c>
      <c r="K155" s="4">
        <f t="shared" si="64"/>
        <v>-0.51318349206349789</v>
      </c>
      <c r="L155" s="4">
        <f t="shared" si="65"/>
        <v>-0.45940863492066186</v>
      </c>
      <c r="M155" s="4">
        <f t="shared" si="66"/>
        <v>-4.8948455290160212E-3</v>
      </c>
      <c r="N155" s="4">
        <f t="shared" si="67"/>
        <v>-1.9044449969324131E-3</v>
      </c>
      <c r="O155" s="4">
        <f t="shared" si="68"/>
        <v>-5.1508137576770641E-3</v>
      </c>
      <c r="P155" s="4">
        <f t="shared" si="69"/>
        <v>-2.2174327139928038E-3</v>
      </c>
      <c r="S155" s="4">
        <v>2.1748835320220135</v>
      </c>
      <c r="T155" s="4">
        <v>0.46836336051987815</v>
      </c>
      <c r="U155" s="4">
        <f t="shared" si="70"/>
        <v>1.6971254246506144</v>
      </c>
      <c r="W155" s="4">
        <f t="shared" si="71"/>
        <v>3.7266108550974844</v>
      </c>
      <c r="X155" s="4">
        <f t="shared" si="72"/>
        <v>3.0579832936548055</v>
      </c>
      <c r="Y155" s="3">
        <f t="shared" si="59"/>
        <v>-256.24585328212197</v>
      </c>
      <c r="AA155" s="3"/>
      <c r="AH155" s="3">
        <f t="shared" si="83"/>
        <v>116</v>
      </c>
      <c r="AI155" s="4">
        <f t="shared" si="74"/>
        <v>11.861562219237449</v>
      </c>
      <c r="AJ155" s="4">
        <f t="shared" si="75"/>
        <v>8.5972938217338495</v>
      </c>
      <c r="AK155" s="4">
        <f t="shared" si="76"/>
        <v>2.8567003203354893</v>
      </c>
      <c r="AL155" s="3">
        <f t="shared" si="80"/>
        <v>128.31034482758622</v>
      </c>
      <c r="AM155" s="4">
        <f t="shared" si="77"/>
        <v>19.640278200494535</v>
      </c>
      <c r="AN155" s="4">
        <f t="shared" si="78"/>
        <v>15.116361115563777</v>
      </c>
      <c r="AO155" s="4">
        <f t="shared" si="79"/>
        <v>4.1058738411230884</v>
      </c>
      <c r="AP155" s="4">
        <f t="shared" si="73"/>
        <v>5.8197000915261698</v>
      </c>
      <c r="AR155" s="3">
        <f t="shared" si="81"/>
        <v>116</v>
      </c>
      <c r="AS155" s="4">
        <f t="shared" si="82"/>
        <v>5.8197000915261698</v>
      </c>
    </row>
    <row r="156" spans="4:45" x14ac:dyDescent="0.25">
      <c r="D156" s="1">
        <v>42517</v>
      </c>
      <c r="E156" s="3">
        <v>99.299486000000002</v>
      </c>
      <c r="F156" s="3">
        <v>206.88176000000001</v>
      </c>
      <c r="G156" s="3">
        <f t="shared" si="60"/>
        <v>-5.9376999999997793E-2</v>
      </c>
      <c r="H156" s="3">
        <f t="shared" si="61"/>
        <v>0.88563300000001277</v>
      </c>
      <c r="I156" s="4">
        <f t="shared" si="62"/>
        <v>-7.0463188648885192E-2</v>
      </c>
      <c r="J156" s="4">
        <f t="shared" si="63"/>
        <v>0.9768372010675419</v>
      </c>
      <c r="K156" s="4">
        <f t="shared" si="64"/>
        <v>-8.7692492063489849E-2</v>
      </c>
      <c r="L156" s="4">
        <f t="shared" si="65"/>
        <v>0.81984436507937786</v>
      </c>
      <c r="M156" s="4">
        <f t="shared" si="66"/>
        <v>-5.9778007888459321E-4</v>
      </c>
      <c r="N156" s="4">
        <f t="shared" si="67"/>
        <v>4.2900546926477679E-3</v>
      </c>
      <c r="O156" s="4">
        <f t="shared" si="68"/>
        <v>-8.5374830754563575E-4</v>
      </c>
      <c r="P156" s="4">
        <f t="shared" si="69"/>
        <v>3.977066975587377E-3</v>
      </c>
      <c r="S156" s="4">
        <v>-1.9475021669240513</v>
      </c>
      <c r="T156" s="4">
        <v>-0.6360731109889719</v>
      </c>
      <c r="U156" s="4">
        <f t="shared" si="70"/>
        <v>-1.6914508518824845</v>
      </c>
      <c r="W156" s="4">
        <f t="shared" si="71"/>
        <v>-3.2833276958996276</v>
      </c>
      <c r="X156" s="4">
        <f t="shared" si="72"/>
        <v>-2.9164012085648974</v>
      </c>
      <c r="Y156" s="3">
        <f t="shared" si="59"/>
        <v>262.86400719165067</v>
      </c>
      <c r="AA156" s="3"/>
      <c r="AH156" s="3">
        <f t="shared" si="83"/>
        <v>116.5</v>
      </c>
      <c r="AI156" s="4">
        <f t="shared" si="74"/>
        <v>12.140966880063822</v>
      </c>
      <c r="AJ156" s="4">
        <f t="shared" si="75"/>
        <v>8.823806463997542</v>
      </c>
      <c r="AK156" s="4">
        <f t="shared" si="76"/>
        <v>2.9077987185035261</v>
      </c>
      <c r="AL156" s="3">
        <f t="shared" si="80"/>
        <v>127.75965665236052</v>
      </c>
      <c r="AM156" s="4">
        <f t="shared" si="77"/>
        <v>19.255167079947014</v>
      </c>
      <c r="AN156" s="4">
        <f t="shared" si="78"/>
        <v>14.784527017380334</v>
      </c>
      <c r="AO156" s="4">
        <f t="shared" si="79"/>
        <v>4.0516648493357854</v>
      </c>
      <c r="AP156" s="4">
        <f t="shared" si="73"/>
        <v>5.3550207254175808</v>
      </c>
      <c r="AR156" s="3">
        <f t="shared" si="81"/>
        <v>116.5</v>
      </c>
      <c r="AS156" s="4">
        <f t="shared" si="82"/>
        <v>5.3550207254175808</v>
      </c>
    </row>
    <row r="157" spans="4:45" x14ac:dyDescent="0.25">
      <c r="D157" s="1">
        <v>42516</v>
      </c>
      <c r="E157" s="3">
        <v>99.358862999999999</v>
      </c>
      <c r="F157" s="3">
        <v>205.996127</v>
      </c>
      <c r="G157" s="3">
        <f t="shared" si="60"/>
        <v>0.78173099999999351</v>
      </c>
      <c r="H157" s="3">
        <f t="shared" si="61"/>
        <v>5.903900000001272E-2</v>
      </c>
      <c r="I157" s="4">
        <f t="shared" si="62"/>
        <v>0.93504348794528969</v>
      </c>
      <c r="J157" s="4">
        <f t="shared" si="63"/>
        <v>6.5137619131896682E-2</v>
      </c>
      <c r="K157" s="4">
        <f t="shared" si="64"/>
        <v>0.75341550793650147</v>
      </c>
      <c r="L157" s="4">
        <f t="shared" si="65"/>
        <v>-6.7496349206221662E-3</v>
      </c>
      <c r="M157" s="4">
        <f t="shared" si="66"/>
        <v>7.8988671512978011E-3</v>
      </c>
      <c r="N157" s="4">
        <f t="shared" si="67"/>
        <v>2.8664355412195579E-4</v>
      </c>
      <c r="O157" s="4">
        <f t="shared" si="68"/>
        <v>7.6428989226367582E-3</v>
      </c>
      <c r="P157" s="4">
        <f t="shared" si="69"/>
        <v>-2.6344162938434802E-5</v>
      </c>
      <c r="S157" s="4">
        <v>-3.5467233087756345E-2</v>
      </c>
      <c r="T157" s="4">
        <v>0.53633492430289054</v>
      </c>
      <c r="U157" s="4">
        <f t="shared" si="70"/>
        <v>0.40352679734355656</v>
      </c>
      <c r="W157" s="4">
        <f t="shared" si="71"/>
        <v>-3.1995003527113874E-2</v>
      </c>
      <c r="X157" s="4">
        <f t="shared" si="72"/>
        <v>0.77724502472521795</v>
      </c>
      <c r="Y157" s="3">
        <f t="shared" si="59"/>
        <v>82.854361128589517</v>
      </c>
      <c r="AA157" s="3"/>
      <c r="AH157" s="3">
        <f t="shared" si="83"/>
        <v>117</v>
      </c>
      <c r="AI157" s="4">
        <f t="shared" si="74"/>
        <v>12.423675172172352</v>
      </c>
      <c r="AJ157" s="4">
        <f t="shared" si="75"/>
        <v>9.0536661341801619</v>
      </c>
      <c r="AK157" s="4">
        <f t="shared" si="76"/>
        <v>2.9589739628583156</v>
      </c>
      <c r="AL157" s="3">
        <f t="shared" si="80"/>
        <v>127.21367521367522</v>
      </c>
      <c r="AM157" s="4">
        <f t="shared" si="77"/>
        <v>18.876496486782997</v>
      </c>
      <c r="AN157" s="4">
        <f t="shared" si="78"/>
        <v>14.459055424459166</v>
      </c>
      <c r="AO157" s="4">
        <f t="shared" si="79"/>
        <v>3.9976587796781762</v>
      </c>
      <c r="AP157" s="4">
        <f t="shared" si="73"/>
        <v>4.8852081027113359</v>
      </c>
      <c r="AR157" s="3">
        <f t="shared" si="81"/>
        <v>117</v>
      </c>
      <c r="AS157" s="4">
        <f t="shared" si="82"/>
        <v>4.8852081027113359</v>
      </c>
    </row>
    <row r="158" spans="4:45" x14ac:dyDescent="0.25">
      <c r="D158" s="1">
        <v>42515</v>
      </c>
      <c r="E158" s="3">
        <v>98.577132000000006</v>
      </c>
      <c r="F158" s="3">
        <v>205.93708799999999</v>
      </c>
      <c r="G158" s="3">
        <f t="shared" si="60"/>
        <v>1.7019950000000108</v>
      </c>
      <c r="H158" s="3">
        <f t="shared" si="61"/>
        <v>1.3874809999999798</v>
      </c>
      <c r="I158" s="4">
        <f t="shared" si="62"/>
        <v>2.0715556485662701</v>
      </c>
      <c r="J158" s="4">
        <f t="shared" si="63"/>
        <v>1.5411888213618634</v>
      </c>
      <c r="K158" s="4">
        <f t="shared" si="64"/>
        <v>1.6736795079365188</v>
      </c>
      <c r="L158" s="4">
        <f t="shared" si="65"/>
        <v>1.3216923650793448</v>
      </c>
      <c r="M158" s="4">
        <f t="shared" si="66"/>
        <v>1.7416405865622146E-2</v>
      </c>
      <c r="N158" s="4">
        <f t="shared" si="67"/>
        <v>6.7602010049209408E-3</v>
      </c>
      <c r="O158" s="4">
        <f t="shared" si="68"/>
        <v>1.7160437636961103E-2</v>
      </c>
      <c r="P158" s="4">
        <f t="shared" si="69"/>
        <v>6.4472132878605499E-3</v>
      </c>
      <c r="S158" s="4">
        <v>-1.1452438393140065</v>
      </c>
      <c r="T158" s="4">
        <v>0.15917622146148525</v>
      </c>
      <c r="U158" s="4">
        <f t="shared" si="70"/>
        <v>-0.57198847660073449</v>
      </c>
      <c r="W158" s="4">
        <f t="shared" si="71"/>
        <v>-1.9191221146484829</v>
      </c>
      <c r="X158" s="4">
        <f t="shared" si="72"/>
        <v>-0.9426818291256851</v>
      </c>
      <c r="Y158" s="3">
        <f t="shared" si="59"/>
        <v>222.89114823690852</v>
      </c>
      <c r="AA158" s="3"/>
      <c r="AH158" s="3">
        <f t="shared" si="83"/>
        <v>117.5</v>
      </c>
      <c r="AI158" s="4">
        <f t="shared" si="74"/>
        <v>12.709662158896194</v>
      </c>
      <c r="AJ158" s="4">
        <f t="shared" si="75"/>
        <v>9.2868630408762343</v>
      </c>
      <c r="AK158" s="4">
        <f t="shared" si="76"/>
        <v>3.0102108340655418</v>
      </c>
      <c r="AL158" s="3">
        <f t="shared" si="80"/>
        <v>126.67234042553191</v>
      </c>
      <c r="AM158" s="4">
        <f t="shared" si="77"/>
        <v>18.504186579832833</v>
      </c>
      <c r="AN158" s="4">
        <f t="shared" si="78"/>
        <v>14.139851484474349</v>
      </c>
      <c r="AO158" s="4">
        <f t="shared" si="79"/>
        <v>3.9438697635311626</v>
      </c>
      <c r="AP158" s="4">
        <f t="shared" si="73"/>
        <v>4.4106982902572867</v>
      </c>
      <c r="AR158" s="3">
        <f t="shared" si="81"/>
        <v>117.5</v>
      </c>
      <c r="AS158" s="4">
        <f t="shared" si="82"/>
        <v>4.4106982902572867</v>
      </c>
    </row>
    <row r="159" spans="4:45" x14ac:dyDescent="0.25">
      <c r="D159" s="1">
        <v>42514</v>
      </c>
      <c r="E159" s="3">
        <v>96.875136999999995</v>
      </c>
      <c r="F159" s="3">
        <v>204.54960700000001</v>
      </c>
      <c r="G159" s="3">
        <f t="shared" si="60"/>
        <v>1.4546129999999948</v>
      </c>
      <c r="H159" s="3">
        <f t="shared" si="61"/>
        <v>2.6175000000000068</v>
      </c>
      <c r="I159" s="4">
        <f t="shared" si="62"/>
        <v>1.7974479436777291</v>
      </c>
      <c r="J159" s="4">
        <f t="shared" si="63"/>
        <v>2.9451591535292674</v>
      </c>
      <c r="K159" s="4">
        <f t="shared" si="64"/>
        <v>1.4262975079365028</v>
      </c>
      <c r="L159" s="4">
        <f t="shared" si="65"/>
        <v>2.5517113650793721</v>
      </c>
      <c r="M159" s="4">
        <f t="shared" si="66"/>
        <v>1.5129210281963226E-2</v>
      </c>
      <c r="N159" s="4">
        <f t="shared" si="67"/>
        <v>1.2878986137710657E-2</v>
      </c>
      <c r="O159" s="4">
        <f t="shared" si="68"/>
        <v>1.4873242053302184E-2</v>
      </c>
      <c r="P159" s="4">
        <f t="shared" si="69"/>
        <v>1.2565998420650266E-2</v>
      </c>
      <c r="S159" s="4">
        <v>-0.36985672478301512</v>
      </c>
      <c r="T159" s="4">
        <v>-0.4677579660943762</v>
      </c>
      <c r="U159" s="4">
        <f t="shared" si="70"/>
        <v>-0.59626091813517157</v>
      </c>
      <c r="W159" s="4">
        <f t="shared" si="71"/>
        <v>-0.60060986881791056</v>
      </c>
      <c r="X159" s="4">
        <f t="shared" si="72"/>
        <v>-0.9854764681422632</v>
      </c>
      <c r="Y159" s="3">
        <f t="shared" si="59"/>
        <v>-1.3640309320476263</v>
      </c>
      <c r="AA159" s="3"/>
      <c r="AH159" s="3">
        <f t="shared" si="83"/>
        <v>118</v>
      </c>
      <c r="AI159" s="4">
        <f t="shared" si="74"/>
        <v>12.998902248259462</v>
      </c>
      <c r="AJ159" s="4">
        <f t="shared" si="75"/>
        <v>9.5233864928124206</v>
      </c>
      <c r="AK159" s="4">
        <f t="shared" si="76"/>
        <v>3.0614942519306525</v>
      </c>
      <c r="AL159" s="3">
        <f t="shared" si="80"/>
        <v>126.13559322033899</v>
      </c>
      <c r="AM159" s="4">
        <f t="shared" si="77"/>
        <v>18.138157951229246</v>
      </c>
      <c r="AN159" s="4">
        <f t="shared" si="78"/>
        <v>13.826821051528022</v>
      </c>
      <c r="AO159" s="4">
        <f t="shared" si="79"/>
        <v>3.8903115628176517</v>
      </c>
      <c r="AP159" s="4">
        <f t="shared" si="73"/>
        <v>3.9319269495612597</v>
      </c>
      <c r="AR159" s="3">
        <f t="shared" si="81"/>
        <v>118</v>
      </c>
      <c r="AS159" s="4">
        <f t="shared" si="82"/>
        <v>3.9319269495612597</v>
      </c>
    </row>
    <row r="160" spans="4:45" x14ac:dyDescent="0.25">
      <c r="D160" s="1">
        <v>42513</v>
      </c>
      <c r="E160" s="3">
        <v>95.420524</v>
      </c>
      <c r="F160" s="3">
        <v>201.932107</v>
      </c>
      <c r="G160" s="3">
        <f t="shared" si="60"/>
        <v>1.1973320000000029</v>
      </c>
      <c r="H160" s="3">
        <f t="shared" si="61"/>
        <v>-0.27552700000001096</v>
      </c>
      <c r="I160" s="4">
        <f t="shared" si="62"/>
        <v>1.4983298475955724</v>
      </c>
      <c r="J160" s="4">
        <f t="shared" si="63"/>
        <v>-0.30959509470691637</v>
      </c>
      <c r="K160" s="4">
        <f t="shared" si="64"/>
        <v>1.1690165079365109</v>
      </c>
      <c r="L160" s="4">
        <f t="shared" si="65"/>
        <v>-0.34131563492064587</v>
      </c>
      <c r="M160" s="4">
        <f t="shared" si="66"/>
        <v>1.2627340728549237E-2</v>
      </c>
      <c r="N160" s="4">
        <f t="shared" si="67"/>
        <v>-1.3635236267856151E-3</v>
      </c>
      <c r="O160" s="4">
        <f t="shared" si="68"/>
        <v>1.2371372499888195E-2</v>
      </c>
      <c r="P160" s="4">
        <f t="shared" si="69"/>
        <v>-1.6765113438460058E-3</v>
      </c>
      <c r="S160" s="4">
        <v>0.84193625570950059</v>
      </c>
      <c r="T160" s="4">
        <v>-1.123310189593689</v>
      </c>
      <c r="U160" s="4">
        <f t="shared" si="70"/>
        <v>-0.3771758954459512</v>
      </c>
      <c r="W160" s="4">
        <f t="shared" si="71"/>
        <v>1.4599916736224094</v>
      </c>
      <c r="X160" s="4">
        <f t="shared" si="72"/>
        <v>-0.59920859119127345</v>
      </c>
      <c r="Y160" s="3">
        <f t="shared" si="59"/>
        <v>-288.41875024300407</v>
      </c>
      <c r="AA160" s="3"/>
      <c r="AH160" s="3">
        <f t="shared" si="83"/>
        <v>118.5</v>
      </c>
      <c r="AI160" s="4">
        <f t="shared" si="74"/>
        <v>13.291369222400292</v>
      </c>
      <c r="AJ160" s="4">
        <f t="shared" si="75"/>
        <v>9.7632249196390433</v>
      </c>
      <c r="AK160" s="4">
        <f t="shared" si="76"/>
        <v>3.112809286521478</v>
      </c>
      <c r="AL160" s="3">
        <f t="shared" si="80"/>
        <v>125.60337552742617</v>
      </c>
      <c r="AM160" s="4">
        <f t="shared" si="77"/>
        <v>17.778331627631573</v>
      </c>
      <c r="AN160" s="4">
        <f t="shared" si="78"/>
        <v>13.519870695161671</v>
      </c>
      <c r="AO160" s="4">
        <f t="shared" si="79"/>
        <v>3.836997565694177</v>
      </c>
      <c r="AP160" s="4">
        <f t="shared" si="73"/>
        <v>3.4493286989609073</v>
      </c>
      <c r="AR160" s="3">
        <f t="shared" si="81"/>
        <v>118.5</v>
      </c>
      <c r="AS160" s="4">
        <f t="shared" si="82"/>
        <v>3.4493286989609073</v>
      </c>
    </row>
    <row r="161" spans="4:45" x14ac:dyDescent="0.25">
      <c r="D161" s="1">
        <v>42510</v>
      </c>
      <c r="E161" s="3">
        <v>94.223191999999997</v>
      </c>
      <c r="F161" s="3">
        <v>202.20763400000001</v>
      </c>
      <c r="G161" s="3">
        <f t="shared" si="60"/>
        <v>1.0093260000000015</v>
      </c>
      <c r="H161" s="3">
        <f t="shared" si="61"/>
        <v>1.2694030000000112</v>
      </c>
      <c r="I161" s="4">
        <f t="shared" si="62"/>
        <v>1.276737440514528</v>
      </c>
      <c r="J161" s="4">
        <f t="shared" si="63"/>
        <v>1.4353717711181777</v>
      </c>
      <c r="K161" s="4">
        <f t="shared" si="64"/>
        <v>0.98101050793650946</v>
      </c>
      <c r="L161" s="4">
        <f t="shared" si="65"/>
        <v>1.2036143650793762</v>
      </c>
      <c r="M161" s="4">
        <f t="shared" si="66"/>
        <v>1.0769863406141261E-2</v>
      </c>
      <c r="N161" s="4">
        <f t="shared" si="67"/>
        <v>6.297508199554728E-3</v>
      </c>
      <c r="O161" s="4">
        <f t="shared" si="68"/>
        <v>1.0513895177480219E-2</v>
      </c>
      <c r="P161" s="4">
        <f t="shared" si="69"/>
        <v>5.9845204824943371E-3</v>
      </c>
      <c r="S161" s="4">
        <v>3.7365814870431828E-2</v>
      </c>
      <c r="T161" s="4">
        <v>-2.7176709201899381</v>
      </c>
      <c r="U161" s="4">
        <f t="shared" si="70"/>
        <v>-2.1314970140935916</v>
      </c>
      <c r="W161" s="4">
        <f t="shared" si="71"/>
        <v>9.1854443844890665E-2</v>
      </c>
      <c r="X161" s="4">
        <f t="shared" si="72"/>
        <v>-3.6922447361200947</v>
      </c>
      <c r="Y161" s="3">
        <f t="shared" si="59"/>
        <v>-383.92238118412024</v>
      </c>
      <c r="AA161" s="3"/>
      <c r="AH161" s="3">
        <f t="shared" si="83"/>
        <v>119</v>
      </c>
      <c r="AI161" s="4">
        <f t="shared" si="74"/>
        <v>13.587036266800311</v>
      </c>
      <c r="AJ161" s="4">
        <f t="shared" si="75"/>
        <v>10.006365893071852</v>
      </c>
      <c r="AK161" s="4">
        <f t="shared" si="76"/>
        <v>3.1641411688351813</v>
      </c>
      <c r="AL161" s="3">
        <f t="shared" si="80"/>
        <v>125.07563025210084</v>
      </c>
      <c r="AM161" s="4">
        <f t="shared" si="77"/>
        <v>17.424629072041611</v>
      </c>
      <c r="AN161" s="4">
        <f t="shared" si="78"/>
        <v>13.218907709397257</v>
      </c>
      <c r="AO161" s="4">
        <f t="shared" si="79"/>
        <v>3.7839407828445779</v>
      </c>
      <c r="AP161" s="4">
        <f t="shared" si="73"/>
        <v>2.9633364952716734</v>
      </c>
      <c r="AR161" s="3">
        <f t="shared" si="81"/>
        <v>119</v>
      </c>
      <c r="AS161" s="4">
        <f t="shared" si="82"/>
        <v>2.9633364952716734</v>
      </c>
    </row>
    <row r="162" spans="4:45" x14ac:dyDescent="0.25">
      <c r="D162" s="1">
        <v>42509</v>
      </c>
      <c r="E162" s="3">
        <v>93.213865999999996</v>
      </c>
      <c r="F162" s="3">
        <v>200.938231</v>
      </c>
      <c r="G162" s="3">
        <f t="shared" si="60"/>
        <v>-0.35623200000000566</v>
      </c>
      <c r="H162" s="3">
        <f t="shared" si="61"/>
        <v>-0.69866500000000542</v>
      </c>
      <c r="I162" s="4">
        <f t="shared" si="62"/>
        <v>-0.44889678906747182</v>
      </c>
      <c r="J162" s="4">
        <f t="shared" si="63"/>
        <v>-0.78727496152616938</v>
      </c>
      <c r="K162" s="4">
        <f t="shared" si="64"/>
        <v>-0.3845474920634977</v>
      </c>
      <c r="L162" s="4">
        <f t="shared" si="65"/>
        <v>-0.76445363492064033</v>
      </c>
      <c r="M162" s="4">
        <f t="shared" si="66"/>
        <v>-3.8143791821016633E-3</v>
      </c>
      <c r="N162" s="4">
        <f t="shared" si="67"/>
        <v>-3.4709829524236214E-3</v>
      </c>
      <c r="O162" s="4">
        <f t="shared" si="68"/>
        <v>-4.0703474107627062E-3</v>
      </c>
      <c r="P162" s="4">
        <f t="shared" si="69"/>
        <v>-3.7839706694840118E-3</v>
      </c>
      <c r="S162" s="4">
        <v>-0.90795488869409513</v>
      </c>
      <c r="T162" s="4">
        <v>-2.6074738340528225</v>
      </c>
      <c r="U162" s="4">
        <f t="shared" si="70"/>
        <v>-2.6204332561519843</v>
      </c>
      <c r="W162" s="4">
        <f t="shared" si="71"/>
        <v>-1.5156225189892438</v>
      </c>
      <c r="X162" s="4">
        <f t="shared" si="72"/>
        <v>-4.5542861566885628</v>
      </c>
      <c r="Y162" s="3">
        <f t="shared" si="59"/>
        <v>-206.5624886859755</v>
      </c>
      <c r="AA162" s="3"/>
      <c r="AH162" s="3">
        <f t="shared" si="83"/>
        <v>119.5</v>
      </c>
      <c r="AI162" s="4">
        <f t="shared" si="74"/>
        <v>13.885875999288665</v>
      </c>
      <c r="AJ162" s="4">
        <f t="shared" si="75"/>
        <v>10.252796148347279</v>
      </c>
      <c r="AK162" s="4">
        <f t="shared" si="76"/>
        <v>3.215475301006919</v>
      </c>
      <c r="AL162" s="3">
        <f t="shared" si="80"/>
        <v>124.55230125523012</v>
      </c>
      <c r="AM162" s="4">
        <f t="shared" si="77"/>
        <v>17.07697218616525</v>
      </c>
      <c r="AN162" s="4">
        <f t="shared" si="78"/>
        <v>12.923840121768905</v>
      </c>
      <c r="AO162" s="4">
        <f t="shared" si="79"/>
        <v>3.7311538443600525</v>
      </c>
      <c r="AP162" s="4">
        <f t="shared" si="73"/>
        <v>2.4743810350621676</v>
      </c>
      <c r="AR162" s="3">
        <f t="shared" si="81"/>
        <v>119.5</v>
      </c>
      <c r="AS162" s="4">
        <f t="shared" si="82"/>
        <v>2.4743810350621676</v>
      </c>
    </row>
    <row r="163" spans="4:45" x14ac:dyDescent="0.25">
      <c r="D163" s="1">
        <v>42508</v>
      </c>
      <c r="E163" s="3">
        <v>93.570098000000002</v>
      </c>
      <c r="F163" s="3">
        <v>201.63689600000001</v>
      </c>
      <c r="G163" s="3">
        <f t="shared" si="60"/>
        <v>1.0587990000000076</v>
      </c>
      <c r="H163" s="3">
        <f t="shared" si="61"/>
        <v>5.903900000001272E-2</v>
      </c>
      <c r="I163" s="4">
        <f t="shared" si="62"/>
        <v>1.3494891507814295</v>
      </c>
      <c r="J163" s="4">
        <f t="shared" si="63"/>
        <v>6.6546255639953006E-2</v>
      </c>
      <c r="K163" s="4">
        <f t="shared" si="64"/>
        <v>1.0304835079365156</v>
      </c>
      <c r="L163" s="4">
        <f t="shared" si="65"/>
        <v>-6.7496349206221662E-3</v>
      </c>
      <c r="M163" s="4">
        <f t="shared" si="66"/>
        <v>1.138007822164539E-2</v>
      </c>
      <c r="N163" s="4">
        <f t="shared" si="67"/>
        <v>2.9284146962716779E-4</v>
      </c>
      <c r="O163" s="4">
        <f t="shared" si="68"/>
        <v>1.1124109992984348E-2</v>
      </c>
      <c r="P163" s="4">
        <f t="shared" si="69"/>
        <v>-2.0146247433222803E-5</v>
      </c>
      <c r="S163" s="4">
        <v>-1.1546521388085462</v>
      </c>
      <c r="T163" s="4">
        <v>0.19566877460852899</v>
      </c>
      <c r="U163" s="4">
        <f t="shared" si="70"/>
        <v>-0.54879663025880721</v>
      </c>
      <c r="W163" s="4">
        <f t="shared" si="71"/>
        <v>-1.9351205209458271</v>
      </c>
      <c r="X163" s="4">
        <f t="shared" si="72"/>
        <v>-0.90179238292297759</v>
      </c>
      <c r="Y163" s="3">
        <f t="shared" si="59"/>
        <v>229.70569557418912</v>
      </c>
      <c r="AA163" s="3"/>
      <c r="AH163" s="3">
        <f t="shared" si="83"/>
        <v>120</v>
      </c>
      <c r="AI163" s="4">
        <f t="shared" si="74"/>
        <v>14.187860498791096</v>
      </c>
      <c r="AJ163" s="4">
        <f t="shared" si="75"/>
        <v>10.502501605955345</v>
      </c>
      <c r="AK163" s="4">
        <f t="shared" si="76"/>
        <v>3.2667972660584819</v>
      </c>
      <c r="AL163" s="3">
        <f t="shared" si="80"/>
        <v>124.03333333333333</v>
      </c>
      <c r="AM163" s="4">
        <f t="shared" si="77"/>
        <v>16.735283313274479</v>
      </c>
      <c r="AN163" s="4">
        <f t="shared" si="78"/>
        <v>12.63457670230882</v>
      </c>
      <c r="AO163" s="4">
        <f t="shared" si="79"/>
        <v>3.6786489971894878</v>
      </c>
      <c r="AP163" s="4">
        <f t="shared" si="73"/>
        <v>1.9828901766279161</v>
      </c>
      <c r="AR163" s="3">
        <f t="shared" si="81"/>
        <v>120</v>
      </c>
      <c r="AS163" s="4">
        <f t="shared" si="82"/>
        <v>1.9828901766279161</v>
      </c>
    </row>
    <row r="164" spans="4:45" x14ac:dyDescent="0.25">
      <c r="D164" s="1">
        <v>42507</v>
      </c>
      <c r="E164" s="3">
        <v>92.511298999999994</v>
      </c>
      <c r="F164" s="3">
        <v>201.57785699999999</v>
      </c>
      <c r="G164" s="3">
        <f t="shared" si="60"/>
        <v>-0.38591700000000628</v>
      </c>
      <c r="H164" s="3">
        <f t="shared" si="61"/>
        <v>-1.8991640000000132</v>
      </c>
      <c r="I164" s="4">
        <f t="shared" si="62"/>
        <v>-0.48982603540744146</v>
      </c>
      <c r="J164" s="4">
        <f t="shared" si="63"/>
        <v>-2.1206771340246373</v>
      </c>
      <c r="K164" s="4">
        <f t="shared" si="64"/>
        <v>-0.41423249206349833</v>
      </c>
      <c r="L164" s="4">
        <f t="shared" si="65"/>
        <v>-1.9649526349206481</v>
      </c>
      <c r="M164" s="4">
        <f t="shared" si="66"/>
        <v>-4.1628892536781387E-3</v>
      </c>
      <c r="N164" s="4">
        <f t="shared" si="67"/>
        <v>-9.377385732669153E-3</v>
      </c>
      <c r="O164" s="4">
        <f t="shared" si="68"/>
        <v>-4.4188574823391816E-3</v>
      </c>
      <c r="P164" s="4">
        <f t="shared" si="69"/>
        <v>-9.6903734497295439E-3</v>
      </c>
      <c r="S164" s="4">
        <v>-1.8783442055845836</v>
      </c>
      <c r="T164" s="4">
        <v>-0.28408783666063442</v>
      </c>
      <c r="U164" s="4">
        <f t="shared" si="70"/>
        <v>-1.370274697863276</v>
      </c>
      <c r="W164" s="4">
        <f t="shared" si="71"/>
        <v>-3.1657275743423834</v>
      </c>
      <c r="X164" s="4">
        <f t="shared" si="72"/>
        <v>-2.3501368897288848</v>
      </c>
      <c r="Y164" s="3">
        <f t="shared" si="59"/>
        <v>298.63525915359514</v>
      </c>
      <c r="AA164" s="3"/>
      <c r="AH164" s="3">
        <f t="shared" si="83"/>
        <v>120.5</v>
      </c>
      <c r="AI164" s="4">
        <f t="shared" si="74"/>
        <v>14.49296133379589</v>
      </c>
      <c r="AJ164" s="4">
        <f t="shared" si="75"/>
        <v>10.75546739361517</v>
      </c>
      <c r="AK164" s="4">
        <f t="shared" si="76"/>
        <v>3.3180928371861942</v>
      </c>
      <c r="AL164" s="3">
        <f t="shared" si="80"/>
        <v>123.51867219917013</v>
      </c>
      <c r="AM164" s="4">
        <f t="shared" si="77"/>
        <v>16.399485241527088</v>
      </c>
      <c r="AN164" s="4">
        <f t="shared" si="78"/>
        <v>12.35102697245334</v>
      </c>
      <c r="AO164" s="4">
        <f t="shared" si="79"/>
        <v>3.6264381031435517</v>
      </c>
      <c r="AP164" s="4">
        <f t="shared" si="73"/>
        <v>1.4892883830561532</v>
      </c>
      <c r="AR164" s="3">
        <f t="shared" si="81"/>
        <v>120.5</v>
      </c>
      <c r="AS164" s="4">
        <f t="shared" si="82"/>
        <v>1.4892883830561532</v>
      </c>
    </row>
    <row r="165" spans="4:45" x14ac:dyDescent="0.25">
      <c r="D165" s="1">
        <v>42506</v>
      </c>
      <c r="E165" s="3">
        <v>92.897216</v>
      </c>
      <c r="F165" s="3">
        <v>203.47702100000001</v>
      </c>
      <c r="G165" s="3">
        <f t="shared" si="60"/>
        <v>3.3248260000000016</v>
      </c>
      <c r="H165" s="3">
        <f t="shared" si="61"/>
        <v>1.9877380000000073</v>
      </c>
      <c r="I165" s="4">
        <f t="shared" si="62"/>
        <v>4.376686241812954</v>
      </c>
      <c r="J165" s="4">
        <f t="shared" si="63"/>
        <v>2.2414788427936765</v>
      </c>
      <c r="K165" s="4">
        <f t="shared" si="64"/>
        <v>3.2965105079365093</v>
      </c>
      <c r="L165" s="4">
        <f t="shared" si="65"/>
        <v>1.9219493650793724</v>
      </c>
      <c r="M165" s="4">
        <f t="shared" si="66"/>
        <v>3.6446552491225255E-2</v>
      </c>
      <c r="N165" s="4">
        <f t="shared" si="67"/>
        <v>9.8168857198214186E-3</v>
      </c>
      <c r="O165" s="4">
        <f t="shared" si="68"/>
        <v>3.6190584262564211E-2</v>
      </c>
      <c r="P165" s="4">
        <f t="shared" si="69"/>
        <v>9.5038980027610277E-3</v>
      </c>
      <c r="S165" s="4">
        <v>-1.106479668611869</v>
      </c>
      <c r="T165" s="4">
        <v>1.2950167594879616</v>
      </c>
      <c r="U165" s="4">
        <f t="shared" si="70"/>
        <v>0.3520147560415825</v>
      </c>
      <c r="W165" s="4">
        <f t="shared" si="71"/>
        <v>-1.8532053192666682</v>
      </c>
      <c r="X165" s="4">
        <f t="shared" si="72"/>
        <v>0.68642436255996153</v>
      </c>
      <c r="Y165" s="3">
        <f t="shared" si="59"/>
        <v>374.58608559167078</v>
      </c>
      <c r="AA165" s="3"/>
      <c r="AH165" s="3">
        <f t="shared" si="83"/>
        <v>121</v>
      </c>
      <c r="AI165" s="4">
        <f t="shared" si="74"/>
        <v>14.801149590509567</v>
      </c>
      <c r="AJ165" s="4">
        <f t="shared" si="75"/>
        <v>11.011677868459032</v>
      </c>
      <c r="AK165" s="4">
        <f t="shared" si="76"/>
        <v>3.3693479865881772</v>
      </c>
      <c r="AL165" s="3">
        <f t="shared" si="80"/>
        <v>123.00826446280992</v>
      </c>
      <c r="AM165" s="4">
        <f t="shared" si="77"/>
        <v>16.069501207702288</v>
      </c>
      <c r="AN165" s="4">
        <f t="shared" si="78"/>
        <v>12.073101213836807</v>
      </c>
      <c r="AO165" s="4">
        <f t="shared" si="79"/>
        <v>3.574532637435563</v>
      </c>
      <c r="AP165" s="4">
        <f t="shared" si="73"/>
        <v>0.99399618653217559</v>
      </c>
      <c r="AR165" s="3">
        <f t="shared" si="81"/>
        <v>121</v>
      </c>
      <c r="AS165" s="4">
        <f t="shared" si="82"/>
        <v>0.99399618653217559</v>
      </c>
    </row>
    <row r="166" spans="4:45" x14ac:dyDescent="0.25">
      <c r="D166" s="1">
        <v>42503</v>
      </c>
      <c r="E166" s="3">
        <v>89.572389999999999</v>
      </c>
      <c r="F166" s="3">
        <v>201.489283</v>
      </c>
      <c r="G166" s="3">
        <f t="shared" si="60"/>
        <v>0.17811600000000283</v>
      </c>
      <c r="H166" s="3">
        <f t="shared" si="61"/>
        <v>-1.7712510000000066</v>
      </c>
      <c r="I166" s="4">
        <f t="shared" si="62"/>
        <v>0.23493292503795415</v>
      </c>
      <c r="J166" s="4">
        <f t="shared" si="63"/>
        <v>-1.9799512683990019</v>
      </c>
      <c r="K166" s="4">
        <f t="shared" si="64"/>
        <v>0.14980050793651079</v>
      </c>
      <c r="L166" s="4">
        <f t="shared" si="65"/>
        <v>-1.8370396349206415</v>
      </c>
      <c r="M166" s="4">
        <f t="shared" si="66"/>
        <v>1.9904942610872289E-3</v>
      </c>
      <c r="N166" s="4">
        <f t="shared" si="67"/>
        <v>-8.7523810150957875E-3</v>
      </c>
      <c r="O166" s="4">
        <f t="shared" si="68"/>
        <v>1.7345260324261862E-3</v>
      </c>
      <c r="P166" s="4">
        <f t="shared" si="69"/>
        <v>-9.0653687321561784E-3</v>
      </c>
      <c r="S166" s="4">
        <v>-1.0351675176571751</v>
      </c>
      <c r="T166" s="4">
        <v>0.10720193788269464</v>
      </c>
      <c r="U166" s="4">
        <f t="shared" si="70"/>
        <v>-0.54608309469501859</v>
      </c>
      <c r="W166" s="4">
        <f t="shared" si="71"/>
        <v>-1.7319420914567043</v>
      </c>
      <c r="X166" s="4">
        <f t="shared" si="72"/>
        <v>-0.8970081598465216</v>
      </c>
      <c r="Y166" s="3">
        <f t="shared" si="59"/>
        <v>195.67037196363162</v>
      </c>
      <c r="AA166" s="3"/>
      <c r="AH166" s="3">
        <f t="shared" si="83"/>
        <v>121.5</v>
      </c>
      <c r="AI166" s="4">
        <f t="shared" si="74"/>
        <v>15.112395900677917</v>
      </c>
      <c r="AJ166" s="4">
        <f t="shared" si="75"/>
        <v>11.27111663939133</v>
      </c>
      <c r="AK166" s="4">
        <f t="shared" si="76"/>
        <v>3.4205488938320188</v>
      </c>
      <c r="AL166" s="3">
        <f t="shared" si="80"/>
        <v>122.50205761316873</v>
      </c>
      <c r="AM166" s="4">
        <f t="shared" si="77"/>
        <v>15.745254901311846</v>
      </c>
      <c r="AN166" s="4">
        <f t="shared" si="78"/>
        <v>11.800710476943671</v>
      </c>
      <c r="AO166" s="4">
        <f t="shared" si="79"/>
        <v>3.5229436877419276</v>
      </c>
      <c r="AP166" s="4">
        <f t="shared" si="73"/>
        <v>0.49742967487731438</v>
      </c>
      <c r="AR166" s="3">
        <f t="shared" si="81"/>
        <v>121.5</v>
      </c>
      <c r="AS166" s="4">
        <f t="shared" si="82"/>
        <v>0.49742967487731438</v>
      </c>
    </row>
    <row r="167" spans="4:45" x14ac:dyDescent="0.25">
      <c r="D167" s="1">
        <v>42502</v>
      </c>
      <c r="E167" s="3">
        <v>89.394273999999996</v>
      </c>
      <c r="F167" s="3">
        <v>203.26053400000001</v>
      </c>
      <c r="G167" s="3">
        <f t="shared" si="60"/>
        <v>-2.1472890000000007</v>
      </c>
      <c r="H167" s="3">
        <f t="shared" si="61"/>
        <v>5.903900000001272E-2</v>
      </c>
      <c r="I167" s="4">
        <f t="shared" si="62"/>
        <v>-2.7658131047987036</v>
      </c>
      <c r="J167" s="4">
        <f t="shared" si="63"/>
        <v>6.601453204503191E-2</v>
      </c>
      <c r="K167" s="4">
        <f t="shared" si="64"/>
        <v>-2.1756044920634929</v>
      </c>
      <c r="L167" s="4">
        <f t="shared" si="65"/>
        <v>-6.7496349206221662E-3</v>
      </c>
      <c r="M167" s="4">
        <f t="shared" si="66"/>
        <v>-2.3736478671450331E-2</v>
      </c>
      <c r="N167" s="4">
        <f t="shared" si="67"/>
        <v>2.9050192245742829E-4</v>
      </c>
      <c r="O167" s="4">
        <f t="shared" si="68"/>
        <v>-2.3992446900111375E-2</v>
      </c>
      <c r="P167" s="4">
        <f t="shared" si="69"/>
        <v>-2.2485794602962299E-5</v>
      </c>
      <c r="S167" s="4">
        <v>1.2149358206121388</v>
      </c>
      <c r="T167" s="4">
        <v>-0.78595669433937232</v>
      </c>
      <c r="U167" s="4">
        <f t="shared" si="70"/>
        <v>0.11763038487975463</v>
      </c>
      <c r="W167" s="4">
        <f t="shared" si="71"/>
        <v>2.09426129817128</v>
      </c>
      <c r="X167" s="4">
        <f t="shared" si="72"/>
        <v>0.27318226902078213</v>
      </c>
      <c r="Y167" s="3">
        <f t="shared" si="59"/>
        <v>-297.08111436999161</v>
      </c>
      <c r="AA167" s="3"/>
      <c r="AH167" s="3">
        <f t="shared" si="83"/>
        <v>122</v>
      </c>
      <c r="AI167" s="4">
        <f t="shared" si="74"/>
        <v>15.42667046904824</v>
      </c>
      <c r="AJ167" s="4">
        <f t="shared" si="75"/>
        <v>11.533766589590506</v>
      </c>
      <c r="AK167" s="4">
        <f t="shared" si="76"/>
        <v>3.4716819537646137</v>
      </c>
      <c r="AL167" s="3">
        <f t="shared" si="80"/>
        <v>122</v>
      </c>
      <c r="AM167" s="4">
        <f t="shared" si="77"/>
        <v>15.42667046904824</v>
      </c>
      <c r="AN167" s="4">
        <f t="shared" si="78"/>
        <v>11.533766589590506</v>
      </c>
      <c r="AO167" s="4">
        <f t="shared" si="79"/>
        <v>3.4716819537646137</v>
      </c>
      <c r="AP167" s="4">
        <f t="shared" si="73"/>
        <v>0</v>
      </c>
      <c r="AR167" s="3">
        <f t="shared" si="81"/>
        <v>122</v>
      </c>
      <c r="AS167" s="4">
        <f t="shared" si="82"/>
        <v>0</v>
      </c>
    </row>
    <row r="168" spans="4:45" x14ac:dyDescent="0.25">
      <c r="D168" s="1">
        <v>42501</v>
      </c>
      <c r="E168" s="3">
        <v>91.541562999999996</v>
      </c>
      <c r="F168" s="3">
        <v>203.20149499999999</v>
      </c>
      <c r="G168" s="3">
        <f t="shared" si="60"/>
        <v>-0.90046999999999855</v>
      </c>
      <c r="H168" s="3">
        <f t="shared" si="61"/>
        <v>-1.9188489999999945</v>
      </c>
      <c r="I168" s="4">
        <f t="shared" si="62"/>
        <v>-1.1485513446234987</v>
      </c>
      <c r="J168" s="4">
        <f t="shared" si="63"/>
        <v>-2.1254922170076984</v>
      </c>
      <c r="K168" s="4">
        <f t="shared" si="64"/>
        <v>-0.92878549206349059</v>
      </c>
      <c r="L168" s="4">
        <f t="shared" si="65"/>
        <v>-1.9846376349206294</v>
      </c>
      <c r="M168" s="4">
        <f t="shared" si="66"/>
        <v>-9.788668225544514E-3</v>
      </c>
      <c r="N168" s="4">
        <f t="shared" si="67"/>
        <v>-9.3987778372549013E-3</v>
      </c>
      <c r="O168" s="4">
        <f t="shared" si="68"/>
        <v>-1.0044636454205556E-2</v>
      </c>
      <c r="P168" s="4">
        <f t="shared" si="69"/>
        <v>-9.7117655543152923E-3</v>
      </c>
      <c r="S168" s="4">
        <v>-0.57577330943423033</v>
      </c>
      <c r="T168" s="4">
        <v>0.42747849305510599</v>
      </c>
      <c r="U168" s="4">
        <f t="shared" si="70"/>
        <v>-1.2145466287493356E-2</v>
      </c>
      <c r="W168" s="4">
        <f t="shared" si="71"/>
        <v>-0.95076211328286964</v>
      </c>
      <c r="X168" s="4">
        <f t="shared" si="72"/>
        <v>4.4375014674650312E-2</v>
      </c>
      <c r="Y168" s="3">
        <f t="shared" si="59"/>
        <v>159.14650177532621</v>
      </c>
      <c r="AA168" s="3"/>
      <c r="AH168" s="3">
        <f t="shared" si="83"/>
        <v>122.5</v>
      </c>
      <c r="AI168" s="4">
        <f t="shared" si="74"/>
        <v>15.743943100451084</v>
      </c>
      <c r="AJ168" s="4">
        <f t="shared" si="75"/>
        <v>11.79960989912199</v>
      </c>
      <c r="AK168" s="4">
        <f t="shared" si="76"/>
        <v>3.5227337839668236</v>
      </c>
      <c r="AL168" s="3">
        <f t="shared" si="80"/>
        <v>121.50204081632653</v>
      </c>
      <c r="AM168" s="4">
        <f t="shared" si="77"/>
        <v>15.113672519532926</v>
      </c>
      <c r="AN168" s="4">
        <f t="shared" si="78"/>
        <v>11.27218216521262</v>
      </c>
      <c r="AO168" s="4">
        <f t="shared" si="79"/>
        <v>3.4207577472779533</v>
      </c>
      <c r="AP168" s="4">
        <f t="shared" si="73"/>
        <v>0</v>
      </c>
      <c r="AR168" s="3">
        <f t="shared" si="81"/>
        <v>122.5</v>
      </c>
      <c r="AS168" s="4">
        <f t="shared" si="82"/>
        <v>0</v>
      </c>
    </row>
    <row r="169" spans="4:45" x14ac:dyDescent="0.25">
      <c r="D169" s="1">
        <v>42500</v>
      </c>
      <c r="E169" s="3">
        <v>92.442032999999995</v>
      </c>
      <c r="F169" s="3">
        <v>205.12034399999999</v>
      </c>
      <c r="G169" s="3">
        <f t="shared" si="60"/>
        <v>0.62340299999999615</v>
      </c>
      <c r="H169" s="3">
        <f t="shared" si="61"/>
        <v>2.5191059999999936</v>
      </c>
      <c r="I169" s="4">
        <f t="shared" si="62"/>
        <v>0.80055050073837464</v>
      </c>
      <c r="J169" s="4">
        <f t="shared" si="63"/>
        <v>2.8250868432192924</v>
      </c>
      <c r="K169" s="4">
        <f t="shared" si="64"/>
        <v>0.59508750793650411</v>
      </c>
      <c r="L169" s="4">
        <f t="shared" si="65"/>
        <v>2.4533173650793589</v>
      </c>
      <c r="M169" s="4">
        <f t="shared" si="66"/>
        <v>6.7665595950820575E-3</v>
      </c>
      <c r="N169" s="4">
        <f t="shared" si="67"/>
        <v>1.2357148439382983E-2</v>
      </c>
      <c r="O169" s="4">
        <f t="shared" si="68"/>
        <v>6.5105913664210147E-3</v>
      </c>
      <c r="P169" s="4">
        <f t="shared" si="69"/>
        <v>1.2044160722322592E-2</v>
      </c>
      <c r="S169" s="4">
        <v>0.46623609846829911</v>
      </c>
      <c r="T169" s="4">
        <v>1.016938699608736</v>
      </c>
      <c r="U169" s="4">
        <f t="shared" si="70"/>
        <v>1.0903471191484628</v>
      </c>
      <c r="W169" s="4">
        <f t="shared" si="71"/>
        <v>0.82112980862659057</v>
      </c>
      <c r="X169" s="4">
        <f t="shared" si="72"/>
        <v>1.9881750294052234</v>
      </c>
      <c r="Y169" s="3">
        <f t="shared" si="59"/>
        <v>68.966452765942904</v>
      </c>
      <c r="AA169" s="3"/>
      <c r="AH169" s="3">
        <f t="shared" si="83"/>
        <v>123</v>
      </c>
      <c r="AI169" s="4">
        <f t="shared" si="74"/>
        <v>16.064183226481006</v>
      </c>
      <c r="AJ169" s="4">
        <f t="shared" si="75"/>
        <v>12.068628067632154</v>
      </c>
      <c r="AK169" s="4">
        <f t="shared" si="76"/>
        <v>3.5736912317562406</v>
      </c>
      <c r="AL169" s="3">
        <f t="shared" si="80"/>
        <v>121.00813008130082</v>
      </c>
      <c r="AM169" s="4">
        <f t="shared" si="77"/>
        <v>14.806186128328299</v>
      </c>
      <c r="AN169" s="4">
        <f t="shared" si="78"/>
        <v>11.015870610931053</v>
      </c>
      <c r="AO169" s="4">
        <f t="shared" si="79"/>
        <v>3.370180992641854</v>
      </c>
      <c r="AP169" s="4">
        <f t="shared" si="73"/>
        <v>0</v>
      </c>
      <c r="AR169" s="3">
        <f t="shared" si="81"/>
        <v>123</v>
      </c>
      <c r="AS169" s="4">
        <f t="shared" si="82"/>
        <v>0</v>
      </c>
    </row>
    <row r="170" spans="4:45" x14ac:dyDescent="0.25">
      <c r="D170" s="1">
        <v>42499</v>
      </c>
      <c r="E170" s="3">
        <v>91.818629999999999</v>
      </c>
      <c r="F170" s="3">
        <v>202.601238</v>
      </c>
      <c r="G170" s="3">
        <f t="shared" si="60"/>
        <v>6.9266999999996415E-2</v>
      </c>
      <c r="H170" s="3">
        <f t="shared" si="61"/>
        <v>0.16728200000000015</v>
      </c>
      <c r="I170" s="4">
        <f t="shared" si="62"/>
        <v>8.9017209275530099E-2</v>
      </c>
      <c r="J170" s="4">
        <f t="shared" si="63"/>
        <v>0.18775577547362673</v>
      </c>
      <c r="K170" s="4">
        <f t="shared" si="64"/>
        <v>4.0951507936504358E-2</v>
      </c>
      <c r="L170" s="4">
        <f t="shared" si="65"/>
        <v>0.10149336507936527</v>
      </c>
      <c r="M170" s="4">
        <f t="shared" si="66"/>
        <v>7.5467408185361296E-4</v>
      </c>
      <c r="N170" s="4">
        <f t="shared" si="67"/>
        <v>8.2601221814484127E-4</v>
      </c>
      <c r="O170" s="4">
        <f t="shared" si="68"/>
        <v>4.9870585319257031E-4</v>
      </c>
      <c r="P170" s="4">
        <f t="shared" si="69"/>
        <v>5.1302450108445068E-4</v>
      </c>
      <c r="S170" s="4">
        <v>-0.16201976911883431</v>
      </c>
      <c r="T170" s="4">
        <v>-0.34165043757434538</v>
      </c>
      <c r="U170" s="4">
        <f t="shared" si="70"/>
        <v>-0.3695944413485987</v>
      </c>
      <c r="W170" s="4">
        <f t="shared" si="71"/>
        <v>-0.24719211651862955</v>
      </c>
      <c r="X170" s="4">
        <f t="shared" si="72"/>
        <v>-0.5858417615356476</v>
      </c>
      <c r="Y170" s="3">
        <f t="shared" si="59"/>
        <v>-18.813356638477671</v>
      </c>
      <c r="AA170" s="3"/>
      <c r="AH170" s="3">
        <f t="shared" si="83"/>
        <v>123.5</v>
      </c>
      <c r="AI170" s="4">
        <f t="shared" si="74"/>
        <v>16.387359931757061</v>
      </c>
      <c r="AJ170" s="4">
        <f t="shared" si="75"/>
        <v>12.340801937093339</v>
      </c>
      <c r="AK170" s="4">
        <f t="shared" si="76"/>
        <v>3.6245413807421212</v>
      </c>
      <c r="AL170" s="3">
        <f t="shared" si="80"/>
        <v>120.51821862348179</v>
      </c>
      <c r="AM170" s="4">
        <f t="shared" si="77"/>
        <v>14.50413684318</v>
      </c>
      <c r="AN170" s="4">
        <f t="shared" si="78"/>
        <v>10.764746135377848</v>
      </c>
      <c r="AO170" s="4">
        <f t="shared" si="79"/>
        <v>3.31996122776345</v>
      </c>
      <c r="AP170" s="4">
        <f t="shared" si="73"/>
        <v>0</v>
      </c>
      <c r="AR170" s="3">
        <f t="shared" si="81"/>
        <v>123.5</v>
      </c>
      <c r="AS170" s="4">
        <f t="shared" si="82"/>
        <v>0</v>
      </c>
    </row>
    <row r="171" spans="4:45" x14ac:dyDescent="0.25">
      <c r="D171" s="1">
        <v>42496</v>
      </c>
      <c r="E171" s="3">
        <v>91.749363000000002</v>
      </c>
      <c r="F171" s="3">
        <v>202.43395599999999</v>
      </c>
      <c r="G171" s="3">
        <f t="shared" si="60"/>
        <v>-0.51455400000000395</v>
      </c>
      <c r="H171" s="3">
        <f t="shared" si="61"/>
        <v>0.73802000000000589</v>
      </c>
      <c r="I171" s="4">
        <f t="shared" si="62"/>
        <v>-0.65758170876504696</v>
      </c>
      <c r="J171" s="4">
        <f t="shared" si="63"/>
        <v>0.83137782888268674</v>
      </c>
      <c r="K171" s="4">
        <f t="shared" si="64"/>
        <v>-0.542869492063496</v>
      </c>
      <c r="L171" s="4">
        <f t="shared" si="65"/>
        <v>0.67223136507937098</v>
      </c>
      <c r="M171" s="4">
        <f t="shared" si="66"/>
        <v>-5.5925891994723712E-3</v>
      </c>
      <c r="N171" s="4">
        <f t="shared" si="67"/>
        <v>3.6523941190223963E-3</v>
      </c>
      <c r="O171" s="4">
        <f t="shared" si="68"/>
        <v>-5.848557428133414E-3</v>
      </c>
      <c r="P171" s="4">
        <f t="shared" si="69"/>
        <v>3.3394064019620058E-3</v>
      </c>
      <c r="S171" s="4">
        <v>-1.3767541620697392</v>
      </c>
      <c r="T171" s="4">
        <v>1.3078895231724257</v>
      </c>
      <c r="U171" s="4">
        <f t="shared" si="70"/>
        <v>0.19745353153921519</v>
      </c>
      <c r="W171" s="4">
        <f t="shared" si="71"/>
        <v>-2.3127954036020371</v>
      </c>
      <c r="X171" s="4">
        <f t="shared" si="72"/>
        <v>0.41391812130875505</v>
      </c>
      <c r="Y171" s="3">
        <f t="shared" si="59"/>
        <v>426.01679884003352</v>
      </c>
      <c r="AA171" s="3"/>
      <c r="AH171" s="3">
        <f t="shared" si="83"/>
        <v>124</v>
      </c>
      <c r="AI171" s="4">
        <f t="shared" si="74"/>
        <v>16.713441979745525</v>
      </c>
      <c r="AJ171" s="4">
        <f t="shared" si="75"/>
        <v>12.61611171457151</v>
      </c>
      <c r="AK171" s="4">
        <f t="shared" si="76"/>
        <v>3.675271556937151</v>
      </c>
      <c r="AL171" s="3">
        <f t="shared" si="80"/>
        <v>120.03225806451613</v>
      </c>
      <c r="AM171" s="4">
        <f t="shared" si="77"/>
        <v>14.207450689456181</v>
      </c>
      <c r="AN171" s="4">
        <f t="shared" si="78"/>
        <v>10.518723756259675</v>
      </c>
      <c r="AO171" s="4">
        <f t="shared" si="79"/>
        <v>3.2701076054891263</v>
      </c>
      <c r="AP171" s="4">
        <f t="shared" si="73"/>
        <v>0</v>
      </c>
      <c r="AR171" s="3">
        <f t="shared" si="81"/>
        <v>124</v>
      </c>
      <c r="AS171" s="4">
        <f t="shared" si="82"/>
        <v>0</v>
      </c>
    </row>
    <row r="172" spans="4:45" x14ac:dyDescent="0.25">
      <c r="D172" s="1">
        <v>42495</v>
      </c>
      <c r="E172" s="3">
        <v>92.263917000000006</v>
      </c>
      <c r="F172" s="3">
        <v>201.69593599999999</v>
      </c>
      <c r="G172" s="3">
        <f t="shared" si="60"/>
        <v>-0.37602699999999345</v>
      </c>
      <c r="H172" s="3">
        <f t="shared" si="61"/>
        <v>-3.9354000000002998E-2</v>
      </c>
      <c r="I172" s="4">
        <f t="shared" si="62"/>
        <v>-0.4785985737869965</v>
      </c>
      <c r="J172" s="4">
        <f t="shared" si="63"/>
        <v>-4.4323542080707254E-2</v>
      </c>
      <c r="K172" s="4">
        <f t="shared" si="64"/>
        <v>-0.40434249206348549</v>
      </c>
      <c r="L172" s="4">
        <f t="shared" si="65"/>
        <v>-0.10514263492063788</v>
      </c>
      <c r="M172" s="4">
        <f t="shared" si="66"/>
        <v>-4.0672760032422371E-3</v>
      </c>
      <c r="N172" s="4">
        <f t="shared" si="67"/>
        <v>-1.9509645058976268E-4</v>
      </c>
      <c r="O172" s="4">
        <f t="shared" si="68"/>
        <v>-4.32324423190328E-3</v>
      </c>
      <c r="P172" s="4">
        <f t="shared" si="69"/>
        <v>-5.0808416765015332E-4</v>
      </c>
      <c r="S172" s="4">
        <v>-0.14022999460768504</v>
      </c>
      <c r="T172" s="4">
        <v>-1.8869987313765582</v>
      </c>
      <c r="U172" s="4">
        <f t="shared" si="70"/>
        <v>-1.5812961676155102</v>
      </c>
      <c r="W172" s="4">
        <f t="shared" si="71"/>
        <v>-0.21013954756510086</v>
      </c>
      <c r="X172" s="4">
        <f t="shared" si="72"/>
        <v>-2.7221879505989786</v>
      </c>
      <c r="Y172" s="3">
        <f t="shared" si="59"/>
        <v>-238.42955545645282</v>
      </c>
      <c r="AA172" s="3"/>
      <c r="AH172" s="3">
        <f t="shared" si="83"/>
        <v>124.5</v>
      </c>
      <c r="AI172" s="4">
        <f t="shared" si="74"/>
        <v>17.042397838128565</v>
      </c>
      <c r="AJ172" s="4">
        <f t="shared" si="75"/>
        <v>12.894536994989245</v>
      </c>
      <c r="AK172" s="4">
        <f t="shared" si="76"/>
        <v>3.7258693344313905</v>
      </c>
      <c r="AL172" s="3">
        <f t="shared" si="80"/>
        <v>119.55020080321285</v>
      </c>
      <c r="AM172" s="4">
        <f t="shared" si="77"/>
        <v>13.916054175752656</v>
      </c>
      <c r="AN172" s="4">
        <f t="shared" si="78"/>
        <v>10.277719307641284</v>
      </c>
      <c r="AO172" s="4">
        <f t="shared" si="79"/>
        <v>3.2206288954087907</v>
      </c>
      <c r="AP172" s="4">
        <f t="shared" si="73"/>
        <v>0</v>
      </c>
      <c r="AR172" s="3">
        <f t="shared" si="81"/>
        <v>124.5</v>
      </c>
      <c r="AS172" s="4">
        <f t="shared" si="82"/>
        <v>0</v>
      </c>
    </row>
    <row r="173" spans="4:45" x14ac:dyDescent="0.25">
      <c r="D173" s="1">
        <v>42494</v>
      </c>
      <c r="E173" s="3">
        <v>92.639944</v>
      </c>
      <c r="F173" s="3">
        <v>201.73528999999999</v>
      </c>
      <c r="G173" s="3">
        <f t="shared" si="60"/>
        <v>-0.97370499999999538</v>
      </c>
      <c r="H173" s="3">
        <f t="shared" si="61"/>
        <v>-1.1316400000000044</v>
      </c>
      <c r="I173" s="4">
        <f t="shared" si="62"/>
        <v>-1.2264190283280108</v>
      </c>
      <c r="J173" s="4">
        <f t="shared" si="63"/>
        <v>-1.2674314750140943</v>
      </c>
      <c r="K173" s="4">
        <f t="shared" si="64"/>
        <v>-1.0020204920634874</v>
      </c>
      <c r="L173" s="4">
        <f t="shared" si="65"/>
        <v>-1.1974286349206393</v>
      </c>
      <c r="M173" s="4">
        <f t="shared" si="66"/>
        <v>-1.0455786168028346E-2</v>
      </c>
      <c r="N173" s="4">
        <f t="shared" si="67"/>
        <v>-5.5938543830213634E-3</v>
      </c>
      <c r="O173" s="4">
        <f t="shared" si="68"/>
        <v>-1.0711754396689388E-2</v>
      </c>
      <c r="P173" s="4">
        <f t="shared" si="69"/>
        <v>-5.9068421000817543E-3</v>
      </c>
      <c r="S173" s="4">
        <v>0.29630272561843496</v>
      </c>
      <c r="T173" s="4">
        <v>-2.1141452050198568</v>
      </c>
      <c r="U173" s="4">
        <f t="shared" si="70"/>
        <v>-1.4952332782990461</v>
      </c>
      <c r="W173" s="4">
        <f t="shared" si="71"/>
        <v>0.53216545923400982</v>
      </c>
      <c r="X173" s="4">
        <f t="shared" si="72"/>
        <v>-2.5704508344215053</v>
      </c>
      <c r="Y173" s="3">
        <f t="shared" si="59"/>
        <v>-341.59476494498858</v>
      </c>
      <c r="AA173" s="3"/>
      <c r="AH173" s="3">
        <f t="shared" si="83"/>
        <v>125</v>
      </c>
      <c r="AI173" s="4">
        <f t="shared" si="74"/>
        <v>17.374195703704018</v>
      </c>
      <c r="AJ173" s="4">
        <f t="shared" si="75"/>
        <v>13.176056783857071</v>
      </c>
      <c r="AK173" s="4">
        <f t="shared" si="76"/>
        <v>3.7763225406342422</v>
      </c>
      <c r="AL173" s="3">
        <f t="shared" si="80"/>
        <v>119.072</v>
      </c>
      <c r="AM173" s="4">
        <f t="shared" si="77"/>
        <v>13.629874299633833</v>
      </c>
      <c r="AN173" s="4">
        <f t="shared" si="78"/>
        <v>10.04164944693175</v>
      </c>
      <c r="AO173" s="4">
        <f t="shared" si="79"/>
        <v>3.171533486054368</v>
      </c>
      <c r="AP173" s="4">
        <f t="shared" si="73"/>
        <v>0</v>
      </c>
      <c r="AR173" s="3">
        <f t="shared" si="81"/>
        <v>125</v>
      </c>
      <c r="AS173" s="4">
        <f t="shared" si="82"/>
        <v>0</v>
      </c>
    </row>
    <row r="174" spans="4:45" x14ac:dyDescent="0.25">
      <c r="D174" s="1">
        <v>42493</v>
      </c>
      <c r="E174" s="3">
        <v>93.613648999999995</v>
      </c>
      <c r="F174" s="3">
        <v>202.86693</v>
      </c>
      <c r="G174" s="3">
        <f t="shared" si="60"/>
        <v>1.5146569999999997</v>
      </c>
      <c r="H174" s="3">
        <f t="shared" si="61"/>
        <v>-1.7810849999999903</v>
      </c>
      <c r="I174" s="4">
        <f t="shared" si="62"/>
        <v>1.9391440563065878</v>
      </c>
      <c r="J174" s="4">
        <f t="shared" si="63"/>
        <v>-1.9774456904338544</v>
      </c>
      <c r="K174" s="4">
        <f t="shared" si="64"/>
        <v>1.4863415079365077</v>
      </c>
      <c r="L174" s="4">
        <f t="shared" si="65"/>
        <v>-1.8468736349206252</v>
      </c>
      <c r="M174" s="4">
        <f t="shared" si="66"/>
        <v>1.6312196926068889E-2</v>
      </c>
      <c r="N174" s="4">
        <f t="shared" si="67"/>
        <v>-8.7412565494003058E-3</v>
      </c>
      <c r="O174" s="4">
        <f t="shared" si="68"/>
        <v>1.6056228697407846E-2</v>
      </c>
      <c r="P174" s="4">
        <f t="shared" si="69"/>
        <v>-9.0542442664606967E-3</v>
      </c>
      <c r="S174" s="4">
        <v>2.0097547558757154</v>
      </c>
      <c r="T174" s="4">
        <v>-0.91322612070891218</v>
      </c>
      <c r="U174" s="4">
        <f t="shared" si="70"/>
        <v>0.5012842831616614</v>
      </c>
      <c r="W174" s="4">
        <f t="shared" si="71"/>
        <v>3.4458165145575284</v>
      </c>
      <c r="X174" s="4">
        <f t="shared" si="72"/>
        <v>0.94960083453605348</v>
      </c>
      <c r="Y174" s="3">
        <f t="shared" si="59"/>
        <v>-427.13323196272768</v>
      </c>
      <c r="AA174" s="3"/>
      <c r="AH174" s="3">
        <f t="shared" si="83"/>
        <v>125.5</v>
      </c>
      <c r="AI174" s="4">
        <f t="shared" si="74"/>
        <v>17.708803526802612</v>
      </c>
      <c r="AJ174" s="4">
        <f t="shared" si="75"/>
        <v>13.460649519948063</v>
      </c>
      <c r="AK174" s="4">
        <f t="shared" si="76"/>
        <v>3.82661926109092</v>
      </c>
      <c r="AL174" s="3">
        <f t="shared" si="80"/>
        <v>118.59760956175299</v>
      </c>
      <c r="AM174" s="4">
        <f t="shared" si="77"/>
        <v>13.348838553481229</v>
      </c>
      <c r="AN174" s="4">
        <f t="shared" si="78"/>
        <v>9.8104316615588729</v>
      </c>
      <c r="AO174" s="4">
        <f t="shared" si="79"/>
        <v>3.1228293874744564</v>
      </c>
      <c r="AP174" s="4">
        <f t="shared" si="73"/>
        <v>0</v>
      </c>
      <c r="AR174" s="3">
        <f t="shared" si="81"/>
        <v>125.5</v>
      </c>
      <c r="AS174" s="4">
        <f t="shared" si="82"/>
        <v>0</v>
      </c>
    </row>
    <row r="175" spans="4:45" x14ac:dyDescent="0.25">
      <c r="D175" s="1">
        <v>42492</v>
      </c>
      <c r="E175" s="3">
        <v>92.098991999999996</v>
      </c>
      <c r="F175" s="3">
        <v>204.64801499999999</v>
      </c>
      <c r="G175" s="3">
        <f t="shared" si="60"/>
        <v>-9.8353000000003021E-2</v>
      </c>
      <c r="H175" s="3">
        <f t="shared" si="61"/>
        <v>1.6138029999999901</v>
      </c>
      <c r="I175" s="4">
        <f t="shared" si="62"/>
        <v>-0.12578239236078173</v>
      </c>
      <c r="J175" s="4">
        <f t="shared" si="63"/>
        <v>1.8059625878549903</v>
      </c>
      <c r="K175" s="4">
        <f t="shared" si="64"/>
        <v>-0.12666849206349506</v>
      </c>
      <c r="L175" s="4">
        <f t="shared" si="65"/>
        <v>1.5480143650793552</v>
      </c>
      <c r="M175" s="4">
        <f t="shared" si="66"/>
        <v>-1.0673354765268449E-3</v>
      </c>
      <c r="N175" s="4">
        <f t="shared" si="67"/>
        <v>7.9170065428764789E-3</v>
      </c>
      <c r="O175" s="4">
        <f t="shared" si="68"/>
        <v>-1.3233037051878875E-3</v>
      </c>
      <c r="P175" s="4">
        <f t="shared" si="69"/>
        <v>7.604018825816088E-3</v>
      </c>
      <c r="S175" s="4">
        <v>-0.74566337146980888</v>
      </c>
      <c r="T175" s="4">
        <v>-1.7456911233290031</v>
      </c>
      <c r="U175" s="4">
        <f t="shared" si="70"/>
        <v>-1.8383684493765258</v>
      </c>
      <c r="W175" s="4">
        <f t="shared" si="71"/>
        <v>-1.239652814509338</v>
      </c>
      <c r="X175" s="4">
        <f t="shared" si="72"/>
        <v>-3.1754310033640816</v>
      </c>
      <c r="Y175" s="3">
        <f t="shared" si="59"/>
        <v>-114.88878752923029</v>
      </c>
      <c r="AA175" s="3"/>
      <c r="AH175" s="3">
        <f t="shared" si="83"/>
        <v>126</v>
      </c>
      <c r="AI175" s="4">
        <f t="shared" si="74"/>
        <v>18.046189035210602</v>
      </c>
      <c r="AJ175" s="4">
        <f t="shared" si="75"/>
        <v>13.748293097890944</v>
      </c>
      <c r="AK175" s="4">
        <f t="shared" si="76"/>
        <v>3.8767478438803167</v>
      </c>
      <c r="AL175" s="3">
        <f t="shared" si="80"/>
        <v>118.12698412698413</v>
      </c>
      <c r="AM175" s="4">
        <f t="shared" si="77"/>
        <v>13.072874930421939</v>
      </c>
      <c r="AN175" s="4">
        <f t="shared" si="78"/>
        <v>9.5839842753177606</v>
      </c>
      <c r="AO175" s="4">
        <f t="shared" si="79"/>
        <v>3.0745242341672521</v>
      </c>
      <c r="AP175" s="4">
        <f t="shared" si="73"/>
        <v>0</v>
      </c>
      <c r="AR175" s="3">
        <f t="shared" si="81"/>
        <v>126</v>
      </c>
      <c r="AS175" s="4">
        <f t="shared" si="82"/>
        <v>0</v>
      </c>
    </row>
    <row r="176" spans="4:45" x14ac:dyDescent="0.25">
      <c r="D176" s="1">
        <v>42489</v>
      </c>
      <c r="E176" s="3">
        <v>92.197344999999999</v>
      </c>
      <c r="F176" s="3">
        <v>203.034212</v>
      </c>
      <c r="G176" s="3">
        <f t="shared" si="60"/>
        <v>-1.0720660000000066</v>
      </c>
      <c r="H176" s="3">
        <f t="shared" si="61"/>
        <v>-1.1021049999999946</v>
      </c>
      <c r="I176" s="4">
        <f t="shared" si="62"/>
        <v>-1.3552922120229189</v>
      </c>
      <c r="J176" s="4">
        <f t="shared" si="63"/>
        <v>-1.2266768032497313</v>
      </c>
      <c r="K176" s="4">
        <f t="shared" si="64"/>
        <v>-1.1003814920634987</v>
      </c>
      <c r="L176" s="4">
        <f t="shared" si="65"/>
        <v>-1.1678936349206295</v>
      </c>
      <c r="M176" s="4">
        <f t="shared" si="66"/>
        <v>-1.1560863666880597E-2</v>
      </c>
      <c r="N176" s="4">
        <f t="shared" si="67"/>
        <v>-5.413494410915866E-3</v>
      </c>
      <c r="O176" s="4">
        <f t="shared" si="68"/>
        <v>-1.1816831895541639E-2</v>
      </c>
      <c r="P176" s="4">
        <f t="shared" si="69"/>
        <v>-5.7264821279762569E-3</v>
      </c>
      <c r="S176" s="4">
        <v>-1.1193630280937785</v>
      </c>
      <c r="T176" s="4">
        <v>0.56822470484877396</v>
      </c>
      <c r="U176" s="4">
        <f t="shared" si="70"/>
        <v>-0.23196148849151438</v>
      </c>
      <c r="W176" s="4">
        <f t="shared" si="71"/>
        <v>-1.8751129147451022</v>
      </c>
      <c r="X176" s="4">
        <f t="shared" si="72"/>
        <v>-0.34318168442934804</v>
      </c>
      <c r="Y176" s="3">
        <f t="shared" si="59"/>
        <v>275.35047216150269</v>
      </c>
      <c r="AA176" s="3"/>
      <c r="AH176" s="3">
        <f t="shared" si="83"/>
        <v>126.5</v>
      </c>
      <c r="AI176" s="4">
        <f t="shared" si="74"/>
        <v>18.386319757586364</v>
      </c>
      <c r="AJ176" s="4">
        <f t="shared" si="75"/>
        <v>14.038964890658043</v>
      </c>
      <c r="AK176" s="4">
        <f t="shared" si="76"/>
        <v>3.9266969036017332</v>
      </c>
      <c r="AL176" s="3">
        <f t="shared" si="80"/>
        <v>117.66007905138341</v>
      </c>
      <c r="AM176" s="4">
        <f t="shared" si="77"/>
        <v>12.801911930311753</v>
      </c>
      <c r="AN176" s="4">
        <f t="shared" si="78"/>
        <v>9.3622264543818332</v>
      </c>
      <c r="AO176" s="4">
        <f t="shared" si="79"/>
        <v>3.0266252883539324</v>
      </c>
      <c r="AP176" s="4">
        <f t="shared" si="73"/>
        <v>0</v>
      </c>
      <c r="AR176" s="3">
        <f t="shared" si="81"/>
        <v>126.5</v>
      </c>
      <c r="AS176" s="4">
        <f t="shared" si="82"/>
        <v>0</v>
      </c>
    </row>
    <row r="177" spans="4:45" x14ac:dyDescent="0.25">
      <c r="D177" s="1">
        <v>42488</v>
      </c>
      <c r="E177" s="3">
        <v>93.269411000000005</v>
      </c>
      <c r="F177" s="3">
        <v>204.13631699999999</v>
      </c>
      <c r="G177" s="3">
        <f t="shared" si="60"/>
        <v>-2.9407920000000018</v>
      </c>
      <c r="H177" s="3">
        <f t="shared" si="61"/>
        <v>-1.8696600000000103</v>
      </c>
      <c r="I177" s="4">
        <f t="shared" si="62"/>
        <v>-3.604075094646336</v>
      </c>
      <c r="J177" s="4">
        <f t="shared" si="63"/>
        <v>-2.0621026043706605</v>
      </c>
      <c r="K177" s="4">
        <f t="shared" si="64"/>
        <v>-2.9691074920634941</v>
      </c>
      <c r="L177" s="4">
        <f t="shared" si="65"/>
        <v>-1.9354486349206452</v>
      </c>
      <c r="M177" s="4">
        <f t="shared" si="66"/>
        <v>-3.1043214619357624E-2</v>
      </c>
      <c r="N177" s="4">
        <f t="shared" si="67"/>
        <v>-9.1171916592913127E-3</v>
      </c>
      <c r="O177" s="4">
        <f t="shared" si="68"/>
        <v>-3.1299182848018664E-2</v>
      </c>
      <c r="P177" s="4">
        <f t="shared" si="69"/>
        <v>-9.4301793763517036E-3</v>
      </c>
      <c r="S177" s="4">
        <v>-0.56524330768579178</v>
      </c>
      <c r="T177" s="4">
        <v>0.21075468001520345</v>
      </c>
      <c r="U177" s="4">
        <f t="shared" si="70"/>
        <v>-0.17752137918871111</v>
      </c>
      <c r="W177" s="4">
        <f t="shared" si="71"/>
        <v>-0.93285630082642779</v>
      </c>
      <c r="X177" s="4">
        <f t="shared" si="72"/>
        <v>-0.24719855795518805</v>
      </c>
      <c r="Y177" s="3">
        <f t="shared" si="59"/>
        <v>127.0318714505147</v>
      </c>
      <c r="AA177" s="3"/>
      <c r="AH177" s="3">
        <f t="shared" si="83"/>
        <v>127</v>
      </c>
      <c r="AI177" s="4">
        <f t="shared" si="74"/>
        <v>18.729163046361819</v>
      </c>
      <c r="AJ177" s="4">
        <f t="shared" si="75"/>
        <v>14.332641771926227</v>
      </c>
      <c r="AK177" s="4">
        <f t="shared" si="76"/>
        <v>3.9764553249582466</v>
      </c>
      <c r="AL177" s="3">
        <f t="shared" si="80"/>
        <v>117.19685039370079</v>
      </c>
      <c r="AM177" s="4">
        <f t="shared" si="77"/>
        <v>12.535878565747794</v>
      </c>
      <c r="AN177" s="4">
        <f t="shared" si="78"/>
        <v>9.1450782129653945</v>
      </c>
      <c r="AO177" s="4">
        <f t="shared" si="79"/>
        <v>2.9791394435748537</v>
      </c>
      <c r="AP177" s="4">
        <f t="shared" si="73"/>
        <v>0</v>
      </c>
      <c r="AR177" s="3">
        <f t="shared" si="81"/>
        <v>127</v>
      </c>
      <c r="AS177" s="4">
        <f t="shared" si="82"/>
        <v>0</v>
      </c>
    </row>
    <row r="178" spans="4:45" x14ac:dyDescent="0.25">
      <c r="D178" s="1">
        <v>42487</v>
      </c>
      <c r="E178" s="3">
        <v>96.210203000000007</v>
      </c>
      <c r="F178" s="3">
        <v>206.005977</v>
      </c>
      <c r="G178" s="3">
        <f t="shared" si="60"/>
        <v>-6.4225359999999938</v>
      </c>
      <c r="H178" s="3">
        <f t="shared" si="61"/>
        <v>0.42313899999999194</v>
      </c>
      <c r="I178" s="4">
        <f t="shared" si="62"/>
        <v>-7.3785543758131924</v>
      </c>
      <c r="J178" s="4">
        <f t="shared" si="63"/>
        <v>0.46765292320738933</v>
      </c>
      <c r="K178" s="4">
        <f t="shared" si="64"/>
        <v>-6.4508514920634861</v>
      </c>
      <c r="L178" s="4">
        <f t="shared" si="65"/>
        <v>0.35735036507935702</v>
      </c>
      <c r="M178" s="4">
        <f t="shared" si="66"/>
        <v>-6.4621563065669615E-2</v>
      </c>
      <c r="N178" s="4">
        <f t="shared" si="67"/>
        <v>2.0561255974543761E-3</v>
      </c>
      <c r="O178" s="4">
        <f t="shared" si="68"/>
        <v>-6.4877531294330659E-2</v>
      </c>
      <c r="P178" s="4">
        <f t="shared" si="69"/>
        <v>1.7431378803939857E-3</v>
      </c>
      <c r="S178" s="4">
        <v>0.78290831436209152</v>
      </c>
      <c r="T178" s="4">
        <v>-0.89688224495807256</v>
      </c>
      <c r="U178" s="4">
        <f t="shared" si="70"/>
        <v>-0.23367302093651143</v>
      </c>
      <c r="W178" s="4">
        <f t="shared" si="71"/>
        <v>1.3596172128476722</v>
      </c>
      <c r="X178" s="4">
        <f t="shared" si="72"/>
        <v>-0.346199280044725</v>
      </c>
      <c r="Y178" s="3">
        <f t="shared" si="59"/>
        <v>-247.75586302579677</v>
      </c>
      <c r="AA178" s="3"/>
      <c r="AH178" s="3">
        <f t="shared" si="83"/>
        <v>127.5</v>
      </c>
      <c r="AI178" s="4">
        <f t="shared" si="74"/>
        <v>19.074686100119351</v>
      </c>
      <c r="AJ178" s="4">
        <f t="shared" si="75"/>
        <v>14.629300138288578</v>
      </c>
      <c r="AK178" s="4">
        <f t="shared" si="76"/>
        <v>4.0260122659450026</v>
      </c>
      <c r="AL178" s="3">
        <f t="shared" si="80"/>
        <v>116.73725490196078</v>
      </c>
      <c r="AM178" s="4">
        <f t="shared" si="77"/>
        <v>12.274704368088223</v>
      </c>
      <c r="AN178" s="4">
        <f t="shared" si="78"/>
        <v>8.9324604186287786</v>
      </c>
      <c r="AO178" s="4">
        <f t="shared" si="79"/>
        <v>2.9320732285911451</v>
      </c>
      <c r="AP178" s="4">
        <f t="shared" si="73"/>
        <v>0</v>
      </c>
      <c r="AR178" s="3">
        <f t="shared" si="81"/>
        <v>127.5</v>
      </c>
      <c r="AS178" s="4">
        <f t="shared" si="82"/>
        <v>0</v>
      </c>
    </row>
    <row r="179" spans="4:45" x14ac:dyDescent="0.25">
      <c r="D179" s="1">
        <v>42486</v>
      </c>
      <c r="E179" s="3">
        <v>102.632739</v>
      </c>
      <c r="F179" s="3">
        <v>205.58283800000001</v>
      </c>
      <c r="G179" s="3">
        <f t="shared" si="60"/>
        <v>-0.71799000000000035</v>
      </c>
      <c r="H179" s="3">
        <f t="shared" si="61"/>
        <v>0.30504600000000437</v>
      </c>
      <c r="I179" s="4">
        <f t="shared" si="62"/>
        <v>-0.81913504230782963</v>
      </c>
      <c r="J179" s="4">
        <f t="shared" si="63"/>
        <v>0.33763761349948168</v>
      </c>
      <c r="K179" s="4">
        <f t="shared" si="64"/>
        <v>-0.74630549206349239</v>
      </c>
      <c r="L179" s="4">
        <f t="shared" si="65"/>
        <v>0.23925736507936948</v>
      </c>
      <c r="M179" s="4">
        <f t="shared" si="66"/>
        <v>-6.9713643995201876E-3</v>
      </c>
      <c r="N179" s="4">
        <f t="shared" si="67"/>
        <v>1.4849125653696449E-3</v>
      </c>
      <c r="O179" s="4">
        <f t="shared" si="68"/>
        <v>-7.2273326281812305E-3</v>
      </c>
      <c r="P179" s="4">
        <f t="shared" si="69"/>
        <v>1.1719248483092544E-3</v>
      </c>
      <c r="S179" s="4">
        <v>-0.86016563305077121</v>
      </c>
      <c r="T179" s="4">
        <v>-1.3951692217487661</v>
      </c>
      <c r="U179" s="4">
        <f t="shared" si="70"/>
        <v>-1.6303156689476968</v>
      </c>
      <c r="W179" s="4">
        <f t="shared" si="71"/>
        <v>-1.4343589570806046</v>
      </c>
      <c r="X179" s="4">
        <f t="shared" si="72"/>
        <v>-2.8086140260849297</v>
      </c>
      <c r="Y179" s="3">
        <f t="shared" si="59"/>
        <v>-45.644871094491918</v>
      </c>
      <c r="AA179" s="3"/>
      <c r="AH179" s="3">
        <f t="shared" si="83"/>
        <v>128</v>
      </c>
      <c r="AI179" s="4">
        <f t="shared" si="74"/>
        <v>19.422855985437181</v>
      </c>
      <c r="AJ179" s="4">
        <f t="shared" si="75"/>
        <v>14.928915931296899</v>
      </c>
      <c r="AK179" s="4">
        <f t="shared" si="76"/>
        <v>4.0753571606509906</v>
      </c>
      <c r="AL179" s="3">
        <f t="shared" si="80"/>
        <v>116.28125</v>
      </c>
      <c r="AM179" s="4">
        <f t="shared" si="77"/>
        <v>12.018319393456245</v>
      </c>
      <c r="AN179" s="4">
        <f t="shared" si="78"/>
        <v>8.7242947972180787</v>
      </c>
      <c r="AO179" s="4">
        <f t="shared" si="79"/>
        <v>2.8854328115744177</v>
      </c>
      <c r="AP179" s="4">
        <f t="shared" si="73"/>
        <v>0</v>
      </c>
      <c r="AR179" s="3">
        <f t="shared" si="81"/>
        <v>128</v>
      </c>
      <c r="AS179" s="4">
        <f t="shared" si="82"/>
        <v>0</v>
      </c>
    </row>
    <row r="180" spans="4:45" x14ac:dyDescent="0.25">
      <c r="D180" s="1">
        <v>42485</v>
      </c>
      <c r="E180" s="3">
        <v>103.350729</v>
      </c>
      <c r="F180" s="3">
        <v>205.27779200000001</v>
      </c>
      <c r="G180" s="3">
        <f t="shared" si="60"/>
        <v>-0.59012500000000045</v>
      </c>
      <c r="H180" s="3">
        <f t="shared" si="61"/>
        <v>-0.3542500000000075</v>
      </c>
      <c r="I180" s="4">
        <f t="shared" si="62"/>
        <v>-0.66943495683131538</v>
      </c>
      <c r="J180" s="4">
        <f t="shared" si="63"/>
        <v>-0.39142316633587532</v>
      </c>
      <c r="K180" s="4">
        <f t="shared" si="64"/>
        <v>-0.6184404920634925</v>
      </c>
      <c r="L180" s="4">
        <f t="shared" si="65"/>
        <v>-0.42003863492064242</v>
      </c>
      <c r="M180" s="4">
        <f t="shared" si="66"/>
        <v>-5.6936860212486512E-3</v>
      </c>
      <c r="N180" s="4">
        <f t="shared" si="67"/>
        <v>-1.7242229727888238E-3</v>
      </c>
      <c r="O180" s="4">
        <f t="shared" si="68"/>
        <v>-5.949654249909694E-3</v>
      </c>
      <c r="P180" s="4">
        <f t="shared" si="69"/>
        <v>-2.0372106898492144E-3</v>
      </c>
      <c r="S180" s="4">
        <v>-0.74246040776163691</v>
      </c>
      <c r="T180" s="4">
        <v>7.4441094288209692E-2</v>
      </c>
      <c r="U180" s="4">
        <f t="shared" si="70"/>
        <v>-0.39361156891571353</v>
      </c>
      <c r="W180" s="4">
        <f t="shared" si="71"/>
        <v>-1.2342063132804257</v>
      </c>
      <c r="X180" s="4">
        <f t="shared" si="72"/>
        <v>-0.62818625757621149</v>
      </c>
      <c r="Y180" s="3">
        <f t="shared" si="59"/>
        <v>138.92770294144157</v>
      </c>
      <c r="AA180" s="3"/>
      <c r="AH180" s="3">
        <f t="shared" si="83"/>
        <v>128.5</v>
      </c>
      <c r="AI180" s="4">
        <f t="shared" si="74"/>
        <v>19.773639658196871</v>
      </c>
      <c r="AJ180" s="4">
        <f t="shared" si="75"/>
        <v>15.231464659315407</v>
      </c>
      <c r="AK180" s="4">
        <f t="shared" si="76"/>
        <v>4.1244797216832758</v>
      </c>
      <c r="AL180" s="3">
        <f t="shared" si="80"/>
        <v>115.82879377431907</v>
      </c>
      <c r="AM180" s="4">
        <f t="shared" si="77"/>
        <v>11.766654228708525</v>
      </c>
      <c r="AN180" s="4">
        <f t="shared" si="78"/>
        <v>8.5205039374327569</v>
      </c>
      <c r="AO180" s="4">
        <f t="shared" si="79"/>
        <v>2.8392240045676473</v>
      </c>
      <c r="AP180" s="4">
        <f t="shared" si="73"/>
        <v>0</v>
      </c>
      <c r="AR180" s="3">
        <f t="shared" si="81"/>
        <v>128.5</v>
      </c>
      <c r="AS180" s="4">
        <f t="shared" si="82"/>
        <v>0</v>
      </c>
    </row>
    <row r="181" spans="4:45" x14ac:dyDescent="0.25">
      <c r="D181" s="1">
        <v>42482</v>
      </c>
      <c r="E181" s="3">
        <v>103.940854</v>
      </c>
      <c r="F181" s="3">
        <v>205.63204200000001</v>
      </c>
      <c r="G181" s="3">
        <f t="shared" si="60"/>
        <v>-0.28522800000000359</v>
      </c>
      <c r="H181" s="3">
        <f t="shared" si="61"/>
        <v>0</v>
      </c>
      <c r="I181" s="4">
        <f t="shared" si="62"/>
        <v>-0.32267580221342701</v>
      </c>
      <c r="J181" s="4">
        <f t="shared" si="63"/>
        <v>0</v>
      </c>
      <c r="K181" s="4">
        <f t="shared" si="64"/>
        <v>-0.31354349206349563</v>
      </c>
      <c r="L181" s="4">
        <f t="shared" si="65"/>
        <v>-6.5788634920634886E-2</v>
      </c>
      <c r="M181" s="4">
        <f t="shared" si="66"/>
        <v>-2.7403792742333221E-3</v>
      </c>
      <c r="N181" s="4">
        <f t="shared" si="67"/>
        <v>0</v>
      </c>
      <c r="O181" s="4">
        <f t="shared" si="68"/>
        <v>-2.9963475028943645E-3</v>
      </c>
      <c r="P181" s="4">
        <f t="shared" si="69"/>
        <v>-3.1298771706039059E-4</v>
      </c>
      <c r="S181" s="4">
        <v>1.0480164536020518</v>
      </c>
      <c r="T181" s="4">
        <v>-0.4362002746892028</v>
      </c>
      <c r="U181" s="4">
        <f t="shared" si="70"/>
        <v>0.29312173689962051</v>
      </c>
      <c r="W181" s="4">
        <f t="shared" si="71"/>
        <v>1.810422135326524</v>
      </c>
      <c r="X181" s="4">
        <f t="shared" si="72"/>
        <v>0.58259032958058643</v>
      </c>
      <c r="Y181" s="3">
        <f t="shared" si="59"/>
        <v>-223.47322669573214</v>
      </c>
      <c r="AA181" s="3"/>
      <c r="AH181" s="3">
        <f t="shared" si="83"/>
        <v>129</v>
      </c>
      <c r="AI181" s="4">
        <f t="shared" si="74"/>
        <v>20.127003984347112</v>
      </c>
      <c r="AJ181" s="4">
        <f t="shared" si="75"/>
        <v>15.536921419167285</v>
      </c>
      <c r="AK181" s="4">
        <f t="shared" si="76"/>
        <v>4.1733699422228536</v>
      </c>
      <c r="AL181" s="3">
        <f t="shared" si="80"/>
        <v>115.37984496124031</v>
      </c>
      <c r="AM181" s="4">
        <f t="shared" si="77"/>
        <v>11.51963999734776</v>
      </c>
      <c r="AN181" s="4">
        <f t="shared" si="78"/>
        <v>8.3210112950157153</v>
      </c>
      <c r="AO181" s="4">
        <f t="shared" si="79"/>
        <v>2.7934522682004994</v>
      </c>
      <c r="AP181" s="4">
        <f t="shared" si="73"/>
        <v>0</v>
      </c>
      <c r="AR181" s="3">
        <f t="shared" si="81"/>
        <v>129</v>
      </c>
      <c r="AS181" s="4">
        <f t="shared" si="82"/>
        <v>0</v>
      </c>
    </row>
    <row r="182" spans="4:45" x14ac:dyDescent="0.25">
      <c r="D182" s="1">
        <v>42481</v>
      </c>
      <c r="E182" s="3">
        <v>104.22608200000001</v>
      </c>
      <c r="F182" s="3">
        <v>205.63204200000001</v>
      </c>
      <c r="G182" s="3">
        <f t="shared" si="60"/>
        <v>-1.1409069999999986</v>
      </c>
      <c r="H182" s="3">
        <f t="shared" si="61"/>
        <v>-1.1119549999999947</v>
      </c>
      <c r="I182" s="4">
        <f t="shared" si="62"/>
        <v>-1.2767219620713262</v>
      </c>
      <c r="J182" s="4">
        <f t="shared" si="63"/>
        <v>-1.2220296937264097</v>
      </c>
      <c r="K182" s="4">
        <f t="shared" si="64"/>
        <v>-1.1692224920634906</v>
      </c>
      <c r="L182" s="4">
        <f t="shared" si="65"/>
        <v>-1.1777436349206296</v>
      </c>
      <c r="M182" s="4">
        <f t="shared" si="66"/>
        <v>-1.0886984607879258E-2</v>
      </c>
      <c r="N182" s="4">
        <f t="shared" si="67"/>
        <v>-5.3929306740311067E-3</v>
      </c>
      <c r="O182" s="4">
        <f t="shared" si="68"/>
        <v>-1.11429528365403E-2</v>
      </c>
      <c r="P182" s="4">
        <f t="shared" si="69"/>
        <v>-5.7059183910914977E-3</v>
      </c>
      <c r="S182" s="4">
        <v>-2.9020529295618003</v>
      </c>
      <c r="T182" s="4">
        <v>-1.8201704719574628E-2</v>
      </c>
      <c r="U182" s="4">
        <f t="shared" si="70"/>
        <v>-1.7835845621021187</v>
      </c>
      <c r="W182" s="4">
        <f t="shared" si="71"/>
        <v>-4.9064999749051488</v>
      </c>
      <c r="X182" s="4">
        <f t="shared" si="72"/>
        <v>-3.0788417634020897</v>
      </c>
      <c r="Y182" s="3">
        <f t="shared" si="59"/>
        <v>542.18573138746342</v>
      </c>
      <c r="AA182" s="3"/>
      <c r="AH182" s="3">
        <f t="shared" si="83"/>
        <v>129.5</v>
      </c>
      <c r="AI182" s="4">
        <f t="shared" si="74"/>
        <v>20.482915760120036</v>
      </c>
      <c r="AJ182" s="4">
        <f t="shared" si="75"/>
        <v>15.845260917556232</v>
      </c>
      <c r="AK182" s="4">
        <f t="shared" si="76"/>
        <v>4.2220180977216524</v>
      </c>
      <c r="AL182" s="3">
        <f t="shared" si="80"/>
        <v>114.93436293436294</v>
      </c>
      <c r="AM182" s="4">
        <f t="shared" si="77"/>
        <v>11.27720836536173</v>
      </c>
      <c r="AN182" s="4">
        <f t="shared" si="78"/>
        <v>8.1257411965617479</v>
      </c>
      <c r="AO182" s="4">
        <f t="shared" si="79"/>
        <v>2.7481227166426314</v>
      </c>
      <c r="AP182" s="4">
        <f t="shared" si="73"/>
        <v>0</v>
      </c>
      <c r="AR182" s="3">
        <f t="shared" si="81"/>
        <v>129.5</v>
      </c>
      <c r="AS182" s="4">
        <f t="shared" si="82"/>
        <v>0</v>
      </c>
    </row>
    <row r="183" spans="4:45" x14ac:dyDescent="0.25">
      <c r="D183" s="1">
        <v>42480</v>
      </c>
      <c r="E183" s="3">
        <v>105.366989</v>
      </c>
      <c r="F183" s="3">
        <v>206.74399700000001</v>
      </c>
      <c r="G183" s="3">
        <f t="shared" si="60"/>
        <v>0.21637400000000184</v>
      </c>
      <c r="H183" s="3">
        <f t="shared" si="61"/>
        <v>0.19681700000001001</v>
      </c>
      <c r="I183" s="4">
        <f t="shared" si="62"/>
        <v>0.24262967178552611</v>
      </c>
      <c r="J183" s="4">
        <f t="shared" si="63"/>
        <v>0.21650642699513628</v>
      </c>
      <c r="K183" s="4">
        <f t="shared" si="64"/>
        <v>0.1880585079365098</v>
      </c>
      <c r="L183" s="4">
        <f t="shared" si="65"/>
        <v>0.13102836507937513</v>
      </c>
      <c r="M183" s="4">
        <f t="shared" si="66"/>
        <v>2.0556387882260949E-3</v>
      </c>
      <c r="N183" s="4">
        <f t="shared" si="67"/>
        <v>9.5243753475224193E-4</v>
      </c>
      <c r="O183" s="4">
        <f t="shared" si="68"/>
        <v>1.7996705595650522E-3</v>
      </c>
      <c r="P183" s="4">
        <f t="shared" si="69"/>
        <v>6.3944981769185135E-4</v>
      </c>
      <c r="S183" s="4">
        <v>-0.35098109213757345</v>
      </c>
      <c r="T183" s="4">
        <v>-1.4034570149088113</v>
      </c>
      <c r="U183" s="4">
        <f t="shared" si="70"/>
        <v>-1.3264750794488742</v>
      </c>
      <c r="W183" s="4">
        <f t="shared" si="71"/>
        <v>-0.56851267204431177</v>
      </c>
      <c r="X183" s="4">
        <f t="shared" si="72"/>
        <v>-2.2729139677393988</v>
      </c>
      <c r="Y183" s="3">
        <f t="shared" si="59"/>
        <v>-135.34884554996052</v>
      </c>
      <c r="AA183" s="3"/>
      <c r="AH183" s="3">
        <f t="shared" si="83"/>
        <v>130</v>
      </c>
      <c r="AI183" s="4">
        <f t="shared" si="74"/>
        <v>20.841341731696616</v>
      </c>
      <c r="AJ183" s="4">
        <f t="shared" si="75"/>
        <v>16.156457492247085</v>
      </c>
      <c r="AK183" s="4">
        <f t="shared" si="76"/>
        <v>4.2704147472503857</v>
      </c>
      <c r="AL183" s="3">
        <f t="shared" si="80"/>
        <v>114.49230769230769</v>
      </c>
      <c r="AM183" s="4">
        <f t="shared" si="77"/>
        <v>11.039291546971157</v>
      </c>
      <c r="AN183" s="4">
        <f t="shared" si="78"/>
        <v>7.9346188429407292</v>
      </c>
      <c r="AO183" s="4">
        <f t="shared" si="79"/>
        <v>2.7032401227788965</v>
      </c>
      <c r="AP183" s="4">
        <f t="shared" si="73"/>
        <v>0</v>
      </c>
      <c r="AR183" s="3">
        <f t="shared" si="81"/>
        <v>130</v>
      </c>
      <c r="AS183" s="4">
        <f t="shared" si="82"/>
        <v>0</v>
      </c>
    </row>
    <row r="184" spans="4:45" x14ac:dyDescent="0.25">
      <c r="D184" s="1">
        <v>42479</v>
      </c>
      <c r="E184" s="3">
        <v>105.150615</v>
      </c>
      <c r="F184" s="3">
        <v>206.54718</v>
      </c>
      <c r="G184" s="3">
        <f t="shared" si="60"/>
        <v>-0.56062000000000012</v>
      </c>
      <c r="H184" s="3">
        <f t="shared" si="61"/>
        <v>0.64944700000000921</v>
      </c>
      <c r="I184" s="4">
        <f t="shared" si="62"/>
        <v>-0.62531391712981133</v>
      </c>
      <c r="J184" s="4">
        <f t="shared" si="63"/>
        <v>0.7166706270444031</v>
      </c>
      <c r="K184" s="4">
        <f t="shared" si="64"/>
        <v>-0.58893549206349216</v>
      </c>
      <c r="L184" s="4">
        <f t="shared" si="65"/>
        <v>0.5836583650793743</v>
      </c>
      <c r="M184" s="4">
        <f t="shared" si="66"/>
        <v>-5.3174276993396431E-3</v>
      </c>
      <c r="N184" s="4">
        <f t="shared" si="67"/>
        <v>3.1492571070122354E-3</v>
      </c>
      <c r="O184" s="4">
        <f t="shared" si="68"/>
        <v>-5.5733959280006859E-3</v>
      </c>
      <c r="P184" s="4">
        <f t="shared" si="69"/>
        <v>2.8362693899518449E-3</v>
      </c>
      <c r="S184" s="4">
        <v>-0.70613248189967925</v>
      </c>
      <c r="T184" s="4">
        <v>-0.75920688595949271</v>
      </c>
      <c r="U184" s="4">
        <f t="shared" si="70"/>
        <v>-1.0322913553145028</v>
      </c>
      <c r="W184" s="4">
        <f t="shared" si="71"/>
        <v>-1.1724322468599528</v>
      </c>
      <c r="X184" s="4">
        <f t="shared" si="72"/>
        <v>-1.7542398878772043</v>
      </c>
      <c r="Y184" s="3">
        <f t="shared" si="59"/>
        <v>16.034952094405526</v>
      </c>
      <c r="AA184" s="3"/>
      <c r="AH184" s="3">
        <f t="shared" si="83"/>
        <v>130.5</v>
      </c>
      <c r="AI184" s="4">
        <f t="shared" si="74"/>
        <v>21.202248614318208</v>
      </c>
      <c r="AJ184" s="4">
        <f t="shared" si="75"/>
        <v>16.470485132989481</v>
      </c>
      <c r="AK184" s="4">
        <f t="shared" si="76"/>
        <v>4.3185507345071485</v>
      </c>
      <c r="AL184" s="3">
        <f t="shared" si="80"/>
        <v>114.05363984674329</v>
      </c>
      <c r="AM184" s="4">
        <f t="shared" si="77"/>
        <v>10.805822310270678</v>
      </c>
      <c r="AN184" s="4">
        <f t="shared" si="78"/>
        <v>7.7475703123339414</v>
      </c>
      <c r="AO184" s="4">
        <f t="shared" si="79"/>
        <v>2.658808923590612</v>
      </c>
      <c r="AP184" s="4">
        <f t="shared" si="73"/>
        <v>0</v>
      </c>
      <c r="AR184" s="3">
        <f t="shared" si="81"/>
        <v>130.5</v>
      </c>
      <c r="AS184" s="4">
        <f t="shared" si="82"/>
        <v>0</v>
      </c>
    </row>
    <row r="185" spans="4:45" x14ac:dyDescent="0.25">
      <c r="D185" s="1">
        <v>42478</v>
      </c>
      <c r="E185" s="3">
        <v>105.711235</v>
      </c>
      <c r="F185" s="3">
        <v>205.89773299999999</v>
      </c>
      <c r="G185" s="3">
        <f t="shared" si="60"/>
        <v>-2.3309919999999948</v>
      </c>
      <c r="H185" s="3">
        <f t="shared" si="61"/>
        <v>1.4366849999999829</v>
      </c>
      <c r="I185" s="4">
        <f t="shared" si="62"/>
        <v>-2.5438875491151007</v>
      </c>
      <c r="J185" s="4">
        <f t="shared" si="63"/>
        <v>1.5965349493209635</v>
      </c>
      <c r="K185" s="4">
        <f t="shared" si="64"/>
        <v>-2.3593074920634871</v>
      </c>
      <c r="L185" s="4">
        <f t="shared" si="65"/>
        <v>1.370896365079348</v>
      </c>
      <c r="M185" s="4">
        <f t="shared" si="66"/>
        <v>-2.1810962829608163E-2</v>
      </c>
      <c r="N185" s="4">
        <f t="shared" si="67"/>
        <v>7.0021207613157168E-3</v>
      </c>
      <c r="O185" s="4">
        <f t="shared" si="68"/>
        <v>-2.2066931058269207E-2</v>
      </c>
      <c r="P185" s="4">
        <f t="shared" si="69"/>
        <v>6.6891330442553259E-3</v>
      </c>
      <c r="S185" s="4">
        <v>-9.7158365355254059E-2</v>
      </c>
      <c r="T185" s="4">
        <v>1.7596172827467933</v>
      </c>
      <c r="U185" s="4">
        <f t="shared" si="70"/>
        <v>1.335604669118067</v>
      </c>
      <c r="W185" s="4">
        <f t="shared" si="71"/>
        <v>-0.13689810525462939</v>
      </c>
      <c r="X185" s="4">
        <f t="shared" si="72"/>
        <v>2.4205875785156445</v>
      </c>
      <c r="Y185" s="3">
        <f t="shared" si="59"/>
        <v>264.04522037960669</v>
      </c>
      <c r="AA185" s="3"/>
      <c r="AH185" s="3">
        <f t="shared" si="83"/>
        <v>131</v>
      </c>
      <c r="AI185" s="4">
        <f t="shared" si="74"/>
        <v>21.565603110843583</v>
      </c>
      <c r="AJ185" s="4">
        <f t="shared" si="75"/>
        <v>16.787317502170197</v>
      </c>
      <c r="AK185" s="4">
        <f t="shared" si="76"/>
        <v>4.3664171884969214</v>
      </c>
      <c r="AL185" s="3">
        <f t="shared" si="80"/>
        <v>113.61832061068702</v>
      </c>
      <c r="AM185" s="4">
        <f t="shared" si="77"/>
        <v>10.576733982747704</v>
      </c>
      <c r="AN185" s="4">
        <f t="shared" si="78"/>
        <v>7.5645225628816988</v>
      </c>
      <c r="AO185" s="4">
        <f t="shared" si="79"/>
        <v>2.6148332257274522</v>
      </c>
      <c r="AP185" s="4">
        <f t="shared" si="73"/>
        <v>0</v>
      </c>
      <c r="AR185" s="3">
        <f t="shared" si="81"/>
        <v>131</v>
      </c>
      <c r="AS185" s="4">
        <f t="shared" si="82"/>
        <v>0</v>
      </c>
    </row>
    <row r="186" spans="4:45" x14ac:dyDescent="0.25">
      <c r="D186" s="1">
        <v>42475</v>
      </c>
      <c r="E186" s="3">
        <v>108.042227</v>
      </c>
      <c r="F186" s="3">
        <v>204.46104800000001</v>
      </c>
      <c r="G186" s="3">
        <f t="shared" si="60"/>
        <v>-2.2129730000000052</v>
      </c>
      <c r="H186" s="3">
        <f t="shared" si="61"/>
        <v>-0.22632199999998193</v>
      </c>
      <c r="I186" s="4">
        <f t="shared" si="62"/>
        <v>-2.3666154093584031</v>
      </c>
      <c r="J186" s="4">
        <f t="shared" si="63"/>
        <v>-0.25122518895156987</v>
      </c>
      <c r="K186" s="4">
        <f t="shared" si="64"/>
        <v>-2.2412884920634975</v>
      </c>
      <c r="L186" s="4">
        <f t="shared" si="65"/>
        <v>-0.29211063492061684</v>
      </c>
      <c r="M186" s="4">
        <f t="shared" si="66"/>
        <v>-2.0275537299577512E-2</v>
      </c>
      <c r="N186" s="4">
        <f t="shared" si="67"/>
        <v>-1.1063077021759378E-3</v>
      </c>
      <c r="O186" s="4">
        <f t="shared" si="68"/>
        <v>-2.0531505528238556E-2</v>
      </c>
      <c r="P186" s="4">
        <f t="shared" si="69"/>
        <v>-1.4192954192363285E-3</v>
      </c>
      <c r="S186" s="4">
        <v>-0.4934176228529763</v>
      </c>
      <c r="T186" s="4">
        <v>0.16675306725947237</v>
      </c>
      <c r="U186" s="4">
        <f t="shared" si="70"/>
        <v>-0.16861456640243594</v>
      </c>
      <c r="W186" s="4">
        <f t="shared" si="71"/>
        <v>-0.81071983087165234</v>
      </c>
      <c r="X186" s="4">
        <f t="shared" si="72"/>
        <v>-0.23149499400031751</v>
      </c>
      <c r="Y186" s="3">
        <f t="shared" si="59"/>
        <v>108.47537206564039</v>
      </c>
      <c r="AA186" s="3"/>
      <c r="AH186" s="3">
        <f t="shared" si="83"/>
        <v>131.5</v>
      </c>
      <c r="AI186" s="4">
        <f t="shared" si="74"/>
        <v>21.931371929750114</v>
      </c>
      <c r="AJ186" s="4">
        <f t="shared" si="75"/>
        <v>17.106927955180282</v>
      </c>
      <c r="AK186" s="4">
        <f t="shared" si="76"/>
        <v>4.4140055238921221</v>
      </c>
      <c r="AL186" s="3">
        <f t="shared" si="80"/>
        <v>113.18631178707224</v>
      </c>
      <c r="AM186" s="4">
        <f t="shared" si="77"/>
        <v>10.351960456665481</v>
      </c>
      <c r="AN186" s="4">
        <f t="shared" si="78"/>
        <v>7.3854034349425817</v>
      </c>
      <c r="AO186" s="4">
        <f t="shared" si="79"/>
        <v>2.571316811254869</v>
      </c>
      <c r="AP186" s="4">
        <f t="shared" si="73"/>
        <v>0</v>
      </c>
      <c r="AR186" s="3">
        <f t="shared" si="81"/>
        <v>131.5</v>
      </c>
      <c r="AS186" s="4">
        <f t="shared" si="82"/>
        <v>0</v>
      </c>
    </row>
    <row r="187" spans="4:45" x14ac:dyDescent="0.25">
      <c r="D187" s="1">
        <v>42474</v>
      </c>
      <c r="E187" s="3">
        <v>110.2552</v>
      </c>
      <c r="F187" s="3">
        <v>204.68736999999999</v>
      </c>
      <c r="G187" s="3">
        <f t="shared" si="60"/>
        <v>5.9010000000000673E-2</v>
      </c>
      <c r="H187" s="3">
        <f t="shared" si="61"/>
        <v>9.8349999999811644E-3</v>
      </c>
      <c r="I187" s="4">
        <f t="shared" si="62"/>
        <v>6.3140743214806963E-2</v>
      </c>
      <c r="J187" s="4">
        <f t="shared" si="63"/>
        <v>1.0917712189765819E-2</v>
      </c>
      <c r="K187" s="4">
        <f t="shared" si="64"/>
        <v>3.069450793650862E-2</v>
      </c>
      <c r="L187" s="4">
        <f t="shared" si="65"/>
        <v>-5.5953634920653722E-2</v>
      </c>
      <c r="M187" s="4">
        <f t="shared" si="66"/>
        <v>5.3535612916193339E-4</v>
      </c>
      <c r="N187" s="4">
        <f t="shared" si="67"/>
        <v>4.8050039862981991E-5</v>
      </c>
      <c r="O187" s="4">
        <f t="shared" si="68"/>
        <v>2.7938790050089079E-4</v>
      </c>
      <c r="P187" s="4">
        <f t="shared" si="69"/>
        <v>-2.6493767719740858E-4</v>
      </c>
      <c r="S187" s="4">
        <v>0.53433580681286497</v>
      </c>
      <c r="T187" s="4">
        <v>1.6132627312119345</v>
      </c>
      <c r="U187" s="4">
        <f t="shared" si="70"/>
        <v>1.6045635213398304</v>
      </c>
      <c r="W187" s="4">
        <f t="shared" si="71"/>
        <v>0.93693041674491351</v>
      </c>
      <c r="X187" s="4">
        <f t="shared" si="72"/>
        <v>2.8947877933895172</v>
      </c>
      <c r="Y187" s="3">
        <f t="shared" si="59"/>
        <v>141.59313917835061</v>
      </c>
      <c r="AA187" s="3"/>
      <c r="AH187" s="3">
        <f t="shared" si="83"/>
        <v>132</v>
      </c>
      <c r="AI187" s="4">
        <f t="shared" si="74"/>
        <v>22.299521802579619</v>
      </c>
      <c r="AJ187" s="4">
        <f t="shared" si="75"/>
        <v>17.429289560484534</v>
      </c>
      <c r="AK187" s="4">
        <f t="shared" si="76"/>
        <v>4.4613074410846458</v>
      </c>
      <c r="AL187" s="3">
        <f t="shared" si="80"/>
        <v>112.75757575757575</v>
      </c>
      <c r="AM187" s="4">
        <f t="shared" si="77"/>
        <v>10.131436194297244</v>
      </c>
      <c r="AN187" s="4">
        <f t="shared" si="78"/>
        <v>7.2101416529644808</v>
      </c>
      <c r="AO187" s="4">
        <f t="shared" si="79"/>
        <v>2.5282631435623029</v>
      </c>
      <c r="AP187" s="4">
        <f t="shared" si="73"/>
        <v>0</v>
      </c>
      <c r="AR187" s="3">
        <f t="shared" si="81"/>
        <v>132</v>
      </c>
      <c r="AS187" s="4">
        <f t="shared" si="82"/>
        <v>0</v>
      </c>
    </row>
    <row r="188" spans="4:45" x14ac:dyDescent="0.25">
      <c r="D188" s="1">
        <v>42473</v>
      </c>
      <c r="E188" s="3">
        <v>110.19619</v>
      </c>
      <c r="F188" s="3">
        <v>204.67753500000001</v>
      </c>
      <c r="G188" s="3">
        <f t="shared" si="60"/>
        <v>1.5736679999999978</v>
      </c>
      <c r="H188" s="3">
        <f t="shared" si="61"/>
        <v>2.0467770000000201</v>
      </c>
      <c r="I188" s="4">
        <f t="shared" si="62"/>
        <v>1.7082203281440265</v>
      </c>
      <c r="J188" s="4">
        <f t="shared" si="63"/>
        <v>2.2950524445920673</v>
      </c>
      <c r="K188" s="4">
        <f t="shared" si="64"/>
        <v>1.5453525079365058</v>
      </c>
      <c r="L188" s="4">
        <f t="shared" si="65"/>
        <v>1.9809883650793851</v>
      </c>
      <c r="M188" s="4">
        <f t="shared" si="66"/>
        <v>1.4383551721143988E-2</v>
      </c>
      <c r="N188" s="4">
        <f t="shared" si="67"/>
        <v>1.0050343996391735E-2</v>
      </c>
      <c r="O188" s="4">
        <f t="shared" si="68"/>
        <v>1.4127583492482946E-2</v>
      </c>
      <c r="P188" s="4">
        <f t="shared" si="69"/>
        <v>9.7373562793313436E-3</v>
      </c>
      <c r="S188" s="4">
        <v>-0.48421765762599633</v>
      </c>
      <c r="T188" s="4">
        <v>-0.7683907658613468</v>
      </c>
      <c r="U188" s="4">
        <f t="shared" si="70"/>
        <v>-0.90428711540738471</v>
      </c>
      <c r="W188" s="4">
        <f t="shared" si="71"/>
        <v>-0.79507568798397255</v>
      </c>
      <c r="X188" s="4">
        <f t="shared" si="72"/>
        <v>-1.5285561538513253</v>
      </c>
      <c r="Y188" s="3">
        <f t="shared" si="59"/>
        <v>-23.803092349021426</v>
      </c>
      <c r="AA188" s="3"/>
      <c r="AH188" s="3">
        <f t="shared" si="83"/>
        <v>132.5</v>
      </c>
      <c r="AI188" s="4">
        <f t="shared" si="74"/>
        <v>22.670019500829525</v>
      </c>
      <c r="AJ188" s="4">
        <f t="shared" si="75"/>
        <v>17.754375119381123</v>
      </c>
      <c r="AK188" s="4">
        <f t="shared" si="76"/>
        <v>4.5083149259397803</v>
      </c>
      <c r="AL188" s="3">
        <f t="shared" si="80"/>
        <v>112.33207547169812</v>
      </c>
      <c r="AM188" s="4">
        <f t="shared" si="77"/>
        <v>9.915096232999808</v>
      </c>
      <c r="AN188" s="4">
        <f t="shared" si="78"/>
        <v>7.0386668269690205</v>
      </c>
      <c r="AO188" s="4">
        <f t="shared" si="79"/>
        <v>2.4856753734178376</v>
      </c>
      <c r="AP188" s="4">
        <f t="shared" si="73"/>
        <v>0</v>
      </c>
      <c r="AR188" s="3">
        <f t="shared" si="81"/>
        <v>132.5</v>
      </c>
      <c r="AS188" s="4">
        <f t="shared" si="82"/>
        <v>0</v>
      </c>
    </row>
    <row r="189" spans="4:45" x14ac:dyDescent="0.25">
      <c r="D189" s="1">
        <v>42472</v>
      </c>
      <c r="E189" s="3">
        <v>108.622522</v>
      </c>
      <c r="F189" s="3">
        <v>202.63075799999999</v>
      </c>
      <c r="G189" s="3">
        <f t="shared" si="60"/>
        <v>1.3966369999999984</v>
      </c>
      <c r="H189" s="3">
        <f t="shared" si="61"/>
        <v>1.8696449999999913</v>
      </c>
      <c r="I189" s="4">
        <f t="shared" si="62"/>
        <v>1.5357996276416632</v>
      </c>
      <c r="J189" s="4">
        <f t="shared" si="63"/>
        <v>2.1159578525424543</v>
      </c>
      <c r="K189" s="4">
        <f t="shared" si="64"/>
        <v>1.3683215079365063</v>
      </c>
      <c r="L189" s="4">
        <f t="shared" si="65"/>
        <v>1.8038563650793564</v>
      </c>
      <c r="M189" s="4">
        <f t="shared" si="66"/>
        <v>1.2941086856203026E-2</v>
      </c>
      <c r="N189" s="4">
        <f t="shared" si="67"/>
        <v>9.2696879741911119E-3</v>
      </c>
      <c r="O189" s="4">
        <f t="shared" si="68"/>
        <v>1.2685118627541984E-2</v>
      </c>
      <c r="P189" s="4">
        <f t="shared" si="69"/>
        <v>8.956700257130721E-3</v>
      </c>
      <c r="S189" s="4">
        <v>1.2196506248185333</v>
      </c>
      <c r="T189" s="4">
        <v>-0.51831622792783971</v>
      </c>
      <c r="U189" s="4">
        <f t="shared" si="70"/>
        <v>0.33266109638972347</v>
      </c>
      <c r="W189" s="4">
        <f t="shared" si="71"/>
        <v>2.102278618766793</v>
      </c>
      <c r="X189" s="4">
        <f t="shared" si="72"/>
        <v>0.65230200707808939</v>
      </c>
      <c r="Y189" s="3">
        <f t="shared" si="59"/>
        <v>-260.36847187680678</v>
      </c>
      <c r="AA189" s="3"/>
      <c r="AH189" s="3">
        <f t="shared" si="83"/>
        <v>133</v>
      </c>
      <c r="AI189" s="4">
        <f t="shared" si="74"/>
        <v>23.04283185229157</v>
      </c>
      <c r="AJ189" s="4">
        <f t="shared" si="75"/>
        <v>18.082157185440565</v>
      </c>
      <c r="AK189" s="4">
        <f t="shared" si="76"/>
        <v>4.5550202492625802</v>
      </c>
      <c r="AL189" s="3">
        <f t="shared" si="80"/>
        <v>111.90977443609023</v>
      </c>
      <c r="AM189" s="4">
        <f t="shared" si="77"/>
        <v>9.7028761901154041</v>
      </c>
      <c r="AN189" s="4">
        <f t="shared" si="78"/>
        <v>6.8709094536514641</v>
      </c>
      <c r="AO189" s="4">
        <f t="shared" si="79"/>
        <v>2.443556345155351</v>
      </c>
      <c r="AP189" s="4">
        <f t="shared" si="73"/>
        <v>0</v>
      </c>
      <c r="AR189" s="3">
        <f t="shared" si="81"/>
        <v>133</v>
      </c>
      <c r="AS189" s="4">
        <f t="shared" si="82"/>
        <v>0</v>
      </c>
    </row>
    <row r="190" spans="4:45" x14ac:dyDescent="0.25">
      <c r="D190" s="1">
        <v>42471</v>
      </c>
      <c r="E190" s="3">
        <v>107.22588500000001</v>
      </c>
      <c r="F190" s="3">
        <v>200.76111299999999</v>
      </c>
      <c r="G190" s="3">
        <f t="shared" si="60"/>
        <v>0.35406900000000974</v>
      </c>
      <c r="H190" s="3">
        <f t="shared" si="61"/>
        <v>-0.472329000000002</v>
      </c>
      <c r="I190" s="4">
        <f t="shared" si="62"/>
        <v>0.39063879298427145</v>
      </c>
      <c r="J190" s="4">
        <f t="shared" si="63"/>
        <v>-0.53330040141291946</v>
      </c>
      <c r="K190" s="4">
        <f t="shared" si="64"/>
        <v>0.32575350793651769</v>
      </c>
      <c r="L190" s="4">
        <f t="shared" si="65"/>
        <v>-0.53811763492063691</v>
      </c>
      <c r="M190" s="4">
        <f t="shared" si="66"/>
        <v>3.3075490407937012E-3</v>
      </c>
      <c r="N190" s="4">
        <f t="shared" si="67"/>
        <v>-2.3499284330181173E-3</v>
      </c>
      <c r="O190" s="4">
        <f t="shared" si="68"/>
        <v>3.0515808121326588E-3</v>
      </c>
      <c r="P190" s="4">
        <f t="shared" si="69"/>
        <v>-2.6629161500785078E-3</v>
      </c>
      <c r="S190" s="4">
        <v>-6.8775026489782398E-2</v>
      </c>
      <c r="T190" s="4">
        <v>-0.17275505312281558</v>
      </c>
      <c r="U190" s="4">
        <f t="shared" si="70"/>
        <v>-0.17886834248843284</v>
      </c>
      <c r="W190" s="4">
        <f t="shared" si="71"/>
        <v>-8.8633465347220358E-2</v>
      </c>
      <c r="X190" s="4">
        <f t="shared" si="72"/>
        <v>-0.24957338325236253</v>
      </c>
      <c r="Y190" s="3">
        <f t="shared" si="59"/>
        <v>-10.733471334375736</v>
      </c>
      <c r="AA190" s="3"/>
      <c r="AH190" s="3">
        <f t="shared" si="83"/>
        <v>133.5</v>
      </c>
      <c r="AI190" s="4">
        <f t="shared" si="74"/>
        <v>23.417925756839665</v>
      </c>
      <c r="AJ190" s="4">
        <f t="shared" si="75"/>
        <v>18.412608083613634</v>
      </c>
      <c r="AK190" s="4">
        <f t="shared" si="76"/>
        <v>4.6014159659871936</v>
      </c>
      <c r="AL190" s="3">
        <f t="shared" si="80"/>
        <v>111.49063670411985</v>
      </c>
      <c r="AM190" s="4">
        <f t="shared" si="77"/>
        <v>9.4947122676920159</v>
      </c>
      <c r="AN190" s="4">
        <f t="shared" si="78"/>
        <v>6.7068009170992511</v>
      </c>
      <c r="AO190" s="4">
        <f t="shared" si="79"/>
        <v>2.401908602980583</v>
      </c>
      <c r="AP190" s="4">
        <f t="shared" si="73"/>
        <v>0</v>
      </c>
      <c r="AR190" s="3">
        <f t="shared" si="81"/>
        <v>133.5</v>
      </c>
      <c r="AS190" s="4">
        <f t="shared" si="82"/>
        <v>0</v>
      </c>
    </row>
    <row r="191" spans="4:45" x14ac:dyDescent="0.25">
      <c r="D191" s="1">
        <v>42468</v>
      </c>
      <c r="E191" s="3">
        <v>106.871816</v>
      </c>
      <c r="F191" s="3">
        <v>201.233442</v>
      </c>
      <c r="G191" s="3">
        <f t="shared" si="60"/>
        <v>0.11802799999999536</v>
      </c>
      <c r="H191" s="3">
        <f t="shared" si="61"/>
        <v>0.54121799999998643</v>
      </c>
      <c r="I191" s="4">
        <f t="shared" si="62"/>
        <v>0.13036241816647717</v>
      </c>
      <c r="J191" s="4">
        <f t="shared" si="63"/>
        <v>0.61272999579955278</v>
      </c>
      <c r="K191" s="4">
        <f t="shared" si="64"/>
        <v>8.9712507936503302E-2</v>
      </c>
      <c r="L191" s="4">
        <f t="shared" si="65"/>
        <v>0.47542936507935152</v>
      </c>
      <c r="M191" s="4">
        <f t="shared" si="66"/>
        <v>1.1049987435921957E-3</v>
      </c>
      <c r="N191" s="4">
        <f t="shared" si="67"/>
        <v>2.6931264803477352E-3</v>
      </c>
      <c r="O191" s="4">
        <f t="shared" si="68"/>
        <v>8.4903051493115302E-4</v>
      </c>
      <c r="P191" s="4">
        <f t="shared" si="69"/>
        <v>2.3801387632873447E-3</v>
      </c>
      <c r="S191" s="4">
        <v>1.8799033361870507</v>
      </c>
      <c r="T191" s="4">
        <v>-1.085437039622875</v>
      </c>
      <c r="U191" s="4">
        <f t="shared" si="70"/>
        <v>0.28561373949626057</v>
      </c>
      <c r="W191" s="4">
        <f t="shared" si="71"/>
        <v>3.2250097926125165</v>
      </c>
      <c r="X191" s="4">
        <f t="shared" si="72"/>
        <v>0.56935301111147651</v>
      </c>
      <c r="Y191" s="3">
        <f t="shared" si="59"/>
        <v>-433.47308592052241</v>
      </c>
      <c r="AA191" s="3"/>
      <c r="AH191" s="3">
        <f t="shared" si="83"/>
        <v>134</v>
      </c>
      <c r="AI191" s="4">
        <f t="shared" si="74"/>
        <v>23.795268201670552</v>
      </c>
      <c r="AJ191" s="4">
        <f t="shared" si="75"/>
        <v>18.745699928999258</v>
      </c>
      <c r="AK191" s="4">
        <f t="shared" si="76"/>
        <v>4.6474949140997905</v>
      </c>
      <c r="AL191" s="3">
        <f t="shared" si="80"/>
        <v>111.07462686567165</v>
      </c>
      <c r="AM191" s="4">
        <f t="shared" si="77"/>
        <v>9.2905412570128263</v>
      </c>
      <c r="AN191" s="4">
        <f t="shared" si="78"/>
        <v>6.5462734891322683</v>
      </c>
      <c r="AO191" s="4">
        <f t="shared" si="79"/>
        <v>2.3607343973829988</v>
      </c>
      <c r="AP191" s="4">
        <f t="shared" si="73"/>
        <v>0</v>
      </c>
      <c r="AR191" s="3">
        <f t="shared" si="81"/>
        <v>134</v>
      </c>
      <c r="AS191" s="4">
        <f t="shared" si="82"/>
        <v>0</v>
      </c>
    </row>
    <row r="192" spans="4:45" x14ac:dyDescent="0.25">
      <c r="D192" s="1">
        <v>42467</v>
      </c>
      <c r="E192" s="3">
        <v>106.753788</v>
      </c>
      <c r="F192" s="3">
        <v>200.69222400000001</v>
      </c>
      <c r="G192" s="3">
        <f t="shared" si="60"/>
        <v>-2.3801729999999992</v>
      </c>
      <c r="H192" s="3">
        <f t="shared" si="61"/>
        <v>-2.43054699999999</v>
      </c>
      <c r="I192" s="4">
        <f t="shared" si="62"/>
        <v>-2.5715753866084992</v>
      </c>
      <c r="J192" s="4">
        <f t="shared" si="63"/>
        <v>-2.7187724850594264</v>
      </c>
      <c r="K192" s="4">
        <f t="shared" si="64"/>
        <v>-2.4084884920634915</v>
      </c>
      <c r="L192" s="4">
        <f t="shared" si="65"/>
        <v>-2.4963356349206247</v>
      </c>
      <c r="M192" s="4">
        <f t="shared" si="66"/>
        <v>-2.2050991370169599E-2</v>
      </c>
      <c r="N192" s="4">
        <f t="shared" si="67"/>
        <v>-1.2038068828240411E-2</v>
      </c>
      <c r="O192" s="4">
        <f t="shared" si="68"/>
        <v>-2.2306959598830643E-2</v>
      </c>
      <c r="P192" s="4">
        <f t="shared" si="69"/>
        <v>-1.2351056545300802E-2</v>
      </c>
      <c r="S192" s="4">
        <v>-3.5420384173826931E-2</v>
      </c>
      <c r="T192" s="4">
        <v>0.14490032668040734</v>
      </c>
      <c r="U192" s="4">
        <f t="shared" si="70"/>
        <v>9.32682760145431E-2</v>
      </c>
      <c r="W192" s="4">
        <f t="shared" si="71"/>
        <v>-3.1915338975611537E-2</v>
      </c>
      <c r="X192" s="4">
        <f t="shared" si="72"/>
        <v>0.23022953791253575</v>
      </c>
      <c r="Y192" s="3">
        <f t="shared" si="59"/>
        <v>28.140033005819078</v>
      </c>
      <c r="AA192" s="3"/>
      <c r="AH192" s="3">
        <f t="shared" si="83"/>
        <v>134.5</v>
      </c>
      <c r="AI192" s="4">
        <f t="shared" si="74"/>
        <v>24.174826276000758</v>
      </c>
      <c r="AJ192" s="4">
        <f t="shared" si="75"/>
        <v>19.081404645263561</v>
      </c>
      <c r="AK192" s="4">
        <f t="shared" si="76"/>
        <v>4.6932502133056246</v>
      </c>
      <c r="AL192" s="3">
        <f t="shared" si="80"/>
        <v>110.66171003717471</v>
      </c>
      <c r="AM192" s="4">
        <f t="shared" si="77"/>
        <v>9.0903005429268617</v>
      </c>
      <c r="AN192" s="4">
        <f t="shared" si="78"/>
        <v>6.3892603292695327</v>
      </c>
      <c r="AO192" s="4">
        <f t="shared" si="79"/>
        <v>2.3200356916406655</v>
      </c>
      <c r="AP192" s="4">
        <f t="shared" si="73"/>
        <v>0</v>
      </c>
      <c r="AR192" s="3">
        <f t="shared" si="81"/>
        <v>134.5</v>
      </c>
      <c r="AS192" s="4">
        <f t="shared" si="82"/>
        <v>0</v>
      </c>
    </row>
    <row r="193" spans="4:45" x14ac:dyDescent="0.25">
      <c r="D193" s="1">
        <v>42466</v>
      </c>
      <c r="E193" s="3">
        <v>109.133961</v>
      </c>
      <c r="F193" s="3">
        <v>203.122771</v>
      </c>
      <c r="G193" s="3">
        <f t="shared" si="60"/>
        <v>1.1310759999999931</v>
      </c>
      <c r="H193" s="3">
        <f t="shared" si="61"/>
        <v>2.194375000000008</v>
      </c>
      <c r="I193" s="4">
        <f t="shared" si="62"/>
        <v>1.234829751856195</v>
      </c>
      <c r="J193" s="4">
        <f t="shared" si="63"/>
        <v>2.4814011808994225</v>
      </c>
      <c r="K193" s="4">
        <f t="shared" si="64"/>
        <v>1.102760507936501</v>
      </c>
      <c r="L193" s="4">
        <f t="shared" si="65"/>
        <v>2.1285863650793733</v>
      </c>
      <c r="M193" s="4">
        <f t="shared" si="66"/>
        <v>1.0418187896453455E-2</v>
      </c>
      <c r="N193" s="4">
        <f t="shared" si="67"/>
        <v>1.0861973700342189E-2</v>
      </c>
      <c r="O193" s="4">
        <f t="shared" si="68"/>
        <v>1.0162219667792413E-2</v>
      </c>
      <c r="P193" s="4">
        <f t="shared" si="69"/>
        <v>1.0548985983281798E-2</v>
      </c>
      <c r="S193" s="4">
        <v>0.11226167294422075</v>
      </c>
      <c r="T193" s="4">
        <v>0.45825101789111405</v>
      </c>
      <c r="U193" s="4">
        <f t="shared" si="70"/>
        <v>0.4316891451460616</v>
      </c>
      <c r="W193" s="4">
        <f t="shared" si="71"/>
        <v>0.21921161058348271</v>
      </c>
      <c r="X193" s="4">
        <f t="shared" si="72"/>
        <v>0.82689794103187075</v>
      </c>
      <c r="Y193" s="3">
        <f t="shared" si="59"/>
        <v>47.685136616162254</v>
      </c>
      <c r="AA193" s="3"/>
      <c r="AH193" s="3">
        <f t="shared" si="83"/>
        <v>135</v>
      </c>
      <c r="AI193" s="4">
        <f t="shared" si="74"/>
        <v>24.556567185223926</v>
      </c>
      <c r="AJ193" s="4">
        <f t="shared" si="75"/>
        <v>19.419693982702555</v>
      </c>
      <c r="AK193" s="4">
        <f t="shared" si="76"/>
        <v>4.7386752634508742</v>
      </c>
      <c r="AL193" s="3">
        <f t="shared" si="80"/>
        <v>110.25185185185185</v>
      </c>
      <c r="AM193" s="4">
        <f t="shared" si="77"/>
        <v>8.8939281079731103</v>
      </c>
      <c r="AN193" s="4">
        <f t="shared" si="78"/>
        <v>6.2356954843268113</v>
      </c>
      <c r="AO193" s="4">
        <f t="shared" si="79"/>
        <v>2.2798141684058697</v>
      </c>
      <c r="AP193" s="4">
        <f t="shared" si="73"/>
        <v>0</v>
      </c>
      <c r="AR193" s="3">
        <f t="shared" si="81"/>
        <v>135</v>
      </c>
      <c r="AS193" s="4">
        <f t="shared" si="82"/>
        <v>0</v>
      </c>
    </row>
    <row r="194" spans="4:45" x14ac:dyDescent="0.25">
      <c r="D194" s="1">
        <v>42465</v>
      </c>
      <c r="E194" s="3">
        <v>108.00288500000001</v>
      </c>
      <c r="F194" s="3">
        <v>200.92839599999999</v>
      </c>
      <c r="G194" s="3">
        <f t="shared" si="60"/>
        <v>-1.2884469999999908</v>
      </c>
      <c r="H194" s="3">
        <f t="shared" si="61"/>
        <v>-2.0270920000000103</v>
      </c>
      <c r="I194" s="4">
        <f t="shared" si="62"/>
        <v>-1.3900534300724501</v>
      </c>
      <c r="J194" s="4">
        <f t="shared" si="63"/>
        <v>-2.269342859601049</v>
      </c>
      <c r="K194" s="4">
        <f t="shared" si="64"/>
        <v>-1.3167624920634828</v>
      </c>
      <c r="L194" s="4">
        <f t="shared" si="65"/>
        <v>-2.092880634920645</v>
      </c>
      <c r="M194" s="4">
        <f t="shared" si="66"/>
        <v>-1.1859147641256958E-2</v>
      </c>
      <c r="N194" s="4">
        <f t="shared" si="67"/>
        <v>-1.0038078277451857E-2</v>
      </c>
      <c r="O194" s="4">
        <f t="shared" si="68"/>
        <v>-1.2115115869918E-2</v>
      </c>
      <c r="P194" s="4">
        <f t="shared" si="69"/>
        <v>-1.0351065994512248E-2</v>
      </c>
      <c r="S194" s="4">
        <v>0.88414243864430897</v>
      </c>
      <c r="T194" s="4">
        <v>-2.4825970228386702</v>
      </c>
      <c r="U194" s="4">
        <f t="shared" si="70"/>
        <v>-1.4289418887939038</v>
      </c>
      <c r="W194" s="4">
        <f t="shared" si="71"/>
        <v>1.5317614619080593</v>
      </c>
      <c r="X194" s="4">
        <f t="shared" si="72"/>
        <v>-2.4535727659439273</v>
      </c>
      <c r="Y194" s="3">
        <f t="shared" ref="Y194:Y257" si="84">(B$4*EXP(-B$8*B$7)*NORMSDIST((LN(B$4/(B$5+W194))-B$8*B$7+B$9*B$7+0.5*B$6*B$6*B$7)/(B$6*SQRT(B$7)))-(B$5+W194)*EXP(-B$9*B$7)*NORMSDIST((LN(B$4/(B$5+W194))-B$8*B$7+B$9*B$7-0.5*B$6*B$6*B$7)/(B$6*SQRT(B$7))))*400+100*X194-400*$B$13</f>
        <v>-484.80811968399212</v>
      </c>
      <c r="AA194" s="3"/>
      <c r="AH194" s="3">
        <f t="shared" si="83"/>
        <v>135.5</v>
      </c>
      <c r="AI194" s="4">
        <f t="shared" si="74"/>
        <v>24.940458264533646</v>
      </c>
      <c r="AJ194" s="4">
        <f t="shared" si="75"/>
        <v>19.760539535941234</v>
      </c>
      <c r="AK194" s="4">
        <f t="shared" si="76"/>
        <v>4.7837637427097039</v>
      </c>
      <c r="AL194" s="3">
        <f t="shared" si="80"/>
        <v>109.8450184501845</v>
      </c>
      <c r="AM194" s="4">
        <f t="shared" si="77"/>
        <v>8.7013625362916684</v>
      </c>
      <c r="AN194" s="4">
        <f t="shared" si="78"/>
        <v>6.0855138876505279</v>
      </c>
      <c r="AO194" s="4">
        <f t="shared" si="79"/>
        <v>2.2400712363595106</v>
      </c>
      <c r="AP194" s="4">
        <f t="shared" si="73"/>
        <v>0</v>
      </c>
      <c r="AR194" s="3">
        <f t="shared" si="81"/>
        <v>135.5</v>
      </c>
      <c r="AS194" s="4">
        <f t="shared" si="82"/>
        <v>0</v>
      </c>
    </row>
    <row r="195" spans="4:45" x14ac:dyDescent="0.25">
      <c r="D195" s="1">
        <v>42464</v>
      </c>
      <c r="E195" s="3">
        <v>109.291332</v>
      </c>
      <c r="F195" s="3">
        <v>202.955488</v>
      </c>
      <c r="G195" s="3">
        <f t="shared" ref="G195:G258" si="85">E195-E196</f>
        <v>1.1114089999999948</v>
      </c>
      <c r="H195" s="3">
        <f t="shared" ref="H195:H258" si="86">F195-F196</f>
        <v>-0.65929700000000935</v>
      </c>
      <c r="I195" s="4">
        <f t="shared" ref="I195:I258" si="87">G195/E196*E$2</f>
        <v>1.2113730163741694</v>
      </c>
      <c r="J195" s="4">
        <f t="shared" ref="J195:J258" si="88">H195/F196*F$2</f>
        <v>-0.7356974395797492</v>
      </c>
      <c r="K195" s="4">
        <f t="shared" ref="K195:K258" si="89">G195-B$20</f>
        <v>1.0830935079365027</v>
      </c>
      <c r="L195" s="4">
        <f t="shared" ref="L195:L258" si="90">H195-C$20</f>
        <v>-0.72508563492064426</v>
      </c>
      <c r="M195" s="4">
        <f t="shared" ref="M195:M258" si="91">LN(E195/E196)</f>
        <v>1.0221292705295763E-2</v>
      </c>
      <c r="N195" s="4">
        <f t="shared" ref="N195:N258" si="92">LN(F195/F196)</f>
        <v>-3.2432158555694675E-3</v>
      </c>
      <c r="O195" s="4">
        <f t="shared" ref="O195:O258" si="93">M195-AVERAGE(M$2:M$505)</f>
        <v>9.9653244766347206E-3</v>
      </c>
      <c r="P195" s="4">
        <f t="shared" ref="P195:P258" si="94">N195-AVERAGE(N$2:N$505)</f>
        <v>-3.556203572629858E-3</v>
      </c>
      <c r="S195" s="4">
        <v>-0.42829336833831777</v>
      </c>
      <c r="T195" s="4">
        <v>-0.71388613062947615</v>
      </c>
      <c r="U195" s="4">
        <f t="shared" ref="U195:U258" si="95">$B$19*S195+SQRT(1-$B$19^2)*T195</f>
        <v>-0.82698903153955738</v>
      </c>
      <c r="W195" s="4">
        <f t="shared" ref="W195:W258" si="96">S195*SQRT($B$16)+$B$20</f>
        <v>-0.69997885327609</v>
      </c>
      <c r="X195" s="4">
        <f t="shared" ref="X195:X258" si="97">U195*SQRT($C$17)+$C$20</f>
        <v>-1.3922722290923084</v>
      </c>
      <c r="Y195" s="3">
        <f t="shared" si="84"/>
        <v>-25.783800406203227</v>
      </c>
      <c r="AA195" s="3"/>
      <c r="AH195" s="3">
        <f t="shared" si="83"/>
        <v>136</v>
      </c>
      <c r="AI195" s="4">
        <f t="shared" si="74"/>
        <v>25.326466992016663</v>
      </c>
      <c r="AJ195" s="4">
        <f t="shared" si="75"/>
        <v>20.10391276126326</v>
      </c>
      <c r="AK195" s="4">
        <f t="shared" si="76"/>
        <v>4.8285096055471106</v>
      </c>
      <c r="AL195" s="3">
        <f t="shared" si="80"/>
        <v>109.44117647058823</v>
      </c>
      <c r="AM195" s="4">
        <f t="shared" si="77"/>
        <v>8.5125430173160481</v>
      </c>
      <c r="AN195" s="4">
        <f t="shared" si="78"/>
        <v>5.938651357993983</v>
      </c>
      <c r="AO195" s="4">
        <f t="shared" si="79"/>
        <v>2.2008080369228309</v>
      </c>
      <c r="AP195" s="4">
        <f t="shared" si="73"/>
        <v>0</v>
      </c>
      <c r="AR195" s="3">
        <f t="shared" si="81"/>
        <v>136</v>
      </c>
      <c r="AS195" s="4">
        <f t="shared" si="82"/>
        <v>0</v>
      </c>
    </row>
    <row r="196" spans="4:45" x14ac:dyDescent="0.25">
      <c r="D196" s="1">
        <v>42461</v>
      </c>
      <c r="E196" s="3">
        <v>108.179923</v>
      </c>
      <c r="F196" s="3">
        <v>203.61478500000001</v>
      </c>
      <c r="G196" s="3">
        <f t="shared" si="85"/>
        <v>0.98354299999999739</v>
      </c>
      <c r="H196" s="3">
        <f t="shared" si="86"/>
        <v>1.3776320000000055</v>
      </c>
      <c r="I196" s="4">
        <f t="shared" si="87"/>
        <v>1.0818421206403768</v>
      </c>
      <c r="J196" s="4">
        <f t="shared" si="88"/>
        <v>1.5477461570249915</v>
      </c>
      <c r="K196" s="4">
        <f t="shared" si="89"/>
        <v>0.95522750793650535</v>
      </c>
      <c r="L196" s="4">
        <f t="shared" si="90"/>
        <v>1.3118433650793706</v>
      </c>
      <c r="M196" s="4">
        <f t="shared" si="91"/>
        <v>9.1333152565476732E-3</v>
      </c>
      <c r="N196" s="4">
        <f t="shared" si="92"/>
        <v>6.7888663924646235E-3</v>
      </c>
      <c r="O196" s="4">
        <f t="shared" si="93"/>
        <v>8.8773470278866312E-3</v>
      </c>
      <c r="P196" s="4">
        <f t="shared" si="94"/>
        <v>6.4758786754042326E-3</v>
      </c>
      <c r="S196" s="4">
        <v>7.824029783841116E-2</v>
      </c>
      <c r="T196" s="4">
        <v>-1.3061584353290494</v>
      </c>
      <c r="U196" s="4">
        <f t="shared" si="95"/>
        <v>-0.98768433590782079</v>
      </c>
      <c r="W196" s="4">
        <f t="shared" si="96"/>
        <v>0.16135973394488476</v>
      </c>
      <c r="X196" s="4">
        <f t="shared" si="97"/>
        <v>-1.6755934406128818</v>
      </c>
      <c r="Y196" s="3">
        <f t="shared" si="84"/>
        <v>-193.35004784921875</v>
      </c>
      <c r="AA196" s="3"/>
      <c r="AH196" s="3">
        <f t="shared" si="83"/>
        <v>136.5</v>
      </c>
      <c r="AI196" s="4">
        <f t="shared" si="74"/>
        <v>25.714561001223061</v>
      </c>
      <c r="AJ196" s="4">
        <f t="shared" si="75"/>
        <v>20.449784993565444</v>
      </c>
      <c r="AK196" s="4">
        <f t="shared" si="76"/>
        <v>4.872907080467896</v>
      </c>
      <c r="AL196" s="3">
        <f t="shared" si="80"/>
        <v>109.04029304029304</v>
      </c>
      <c r="AM196" s="4">
        <f t="shared" si="77"/>
        <v>8.3274093492415631</v>
      </c>
      <c r="AN196" s="4">
        <f t="shared" si="78"/>
        <v>5.7950445980417058</v>
      </c>
      <c r="AO196" s="4">
        <f t="shared" si="79"/>
        <v>2.1620254510154191</v>
      </c>
      <c r="AP196" s="4">
        <f t="shared" si="73"/>
        <v>0</v>
      </c>
      <c r="AR196" s="3">
        <f t="shared" si="81"/>
        <v>136.5</v>
      </c>
      <c r="AS196" s="4">
        <f t="shared" si="82"/>
        <v>0</v>
      </c>
    </row>
    <row r="197" spans="4:45" x14ac:dyDescent="0.25">
      <c r="D197" s="1">
        <v>42460</v>
      </c>
      <c r="E197" s="3">
        <v>107.19638</v>
      </c>
      <c r="F197" s="3">
        <v>202.23715300000001</v>
      </c>
      <c r="G197" s="3">
        <f t="shared" si="85"/>
        <v>-0.56061899999998843</v>
      </c>
      <c r="H197" s="3">
        <f t="shared" si="86"/>
        <v>-0.4920139999999833</v>
      </c>
      <c r="I197" s="4">
        <f t="shared" si="87"/>
        <v>-0.61344125343055111</v>
      </c>
      <c r="J197" s="4">
        <f t="shared" si="88"/>
        <v>-0.55142782875487384</v>
      </c>
      <c r="K197" s="4">
        <f t="shared" si="89"/>
        <v>-0.58893449206348047</v>
      </c>
      <c r="L197" s="4">
        <f t="shared" si="90"/>
        <v>-0.55780263492061821</v>
      </c>
      <c r="M197" s="4">
        <f t="shared" si="91"/>
        <v>-5.2162033809748957E-3</v>
      </c>
      <c r="N197" s="4">
        <f t="shared" si="92"/>
        <v>-2.4299020327825023E-3</v>
      </c>
      <c r="O197" s="4">
        <f t="shared" si="93"/>
        <v>-5.4721716096359386E-3</v>
      </c>
      <c r="P197" s="4">
        <f t="shared" si="94"/>
        <v>-2.7428897498428927E-3</v>
      </c>
      <c r="S197" s="4">
        <v>-2.5905630192083438E-2</v>
      </c>
      <c r="T197" s="4">
        <v>0.15960880745748798</v>
      </c>
      <c r="U197" s="4">
        <f t="shared" si="95"/>
        <v>0.11072797765632841</v>
      </c>
      <c r="W197" s="4">
        <f t="shared" si="96"/>
        <v>-1.5735911427886193E-2</v>
      </c>
      <c r="X197" s="4">
        <f t="shared" si="97"/>
        <v>0.26101266403675694</v>
      </c>
      <c r="Y197" s="3">
        <f t="shared" si="84"/>
        <v>28.623592497406662</v>
      </c>
      <c r="AA197" s="3"/>
      <c r="AH197" s="3">
        <f t="shared" si="83"/>
        <v>137</v>
      </c>
      <c r="AI197" s="4">
        <f t="shared" si="74"/>
        <v>26.104708093218605</v>
      </c>
      <c r="AJ197" s="4">
        <f t="shared" si="75"/>
        <v>20.798127462932328</v>
      </c>
      <c r="AK197" s="4">
        <f t="shared" si="76"/>
        <v>4.9169506675621184</v>
      </c>
      <c r="AL197" s="3">
        <f t="shared" si="80"/>
        <v>108.64233576642336</v>
      </c>
      <c r="AM197" s="4">
        <f t="shared" si="77"/>
        <v>8.1459019422652474</v>
      </c>
      <c r="AN197" s="4">
        <f t="shared" si="78"/>
        <v>5.654631192589278</v>
      </c>
      <c r="AO197" s="4">
        <f t="shared" si="79"/>
        <v>2.123724105848797</v>
      </c>
      <c r="AP197" s="4">
        <f t="shared" si="73"/>
        <v>0</v>
      </c>
      <c r="AR197" s="3">
        <f t="shared" si="81"/>
        <v>137</v>
      </c>
      <c r="AS197" s="4">
        <f t="shared" si="82"/>
        <v>0</v>
      </c>
    </row>
    <row r="198" spans="4:45" x14ac:dyDescent="0.25">
      <c r="D198" s="1">
        <v>42459</v>
      </c>
      <c r="E198" s="3">
        <v>107.75699899999999</v>
      </c>
      <c r="F198" s="3">
        <v>202.72916699999999</v>
      </c>
      <c r="G198" s="3">
        <f t="shared" si="85"/>
        <v>1.8490589999999969</v>
      </c>
      <c r="H198" s="3">
        <f t="shared" si="86"/>
        <v>0.88563299999998435</v>
      </c>
      <c r="I198" s="4">
        <f t="shared" si="87"/>
        <v>2.0586044265069798</v>
      </c>
      <c r="J198" s="4">
        <f t="shared" si="88"/>
        <v>0.99693399209621159</v>
      </c>
      <c r="K198" s="4">
        <f t="shared" si="89"/>
        <v>1.8207435079365049</v>
      </c>
      <c r="L198" s="4">
        <f t="shared" si="90"/>
        <v>0.81984436507934944</v>
      </c>
      <c r="M198" s="4">
        <f t="shared" si="91"/>
        <v>1.7308456601191347E-2</v>
      </c>
      <c r="N198" s="4">
        <f t="shared" si="92"/>
        <v>4.3781224608500065E-3</v>
      </c>
      <c r="O198" s="4">
        <f t="shared" si="93"/>
        <v>1.7052488372530303E-2</v>
      </c>
      <c r="P198" s="4">
        <f t="shared" si="94"/>
        <v>4.0651347437896156E-3</v>
      </c>
      <c r="S198" s="4">
        <v>5.831467681117599E-2</v>
      </c>
      <c r="T198" s="4">
        <v>-0.23604971589762522</v>
      </c>
      <c r="U198" s="4">
        <f t="shared" si="95"/>
        <v>-0.15156479777243931</v>
      </c>
      <c r="W198" s="4">
        <f t="shared" si="96"/>
        <v>0.12747707734943697</v>
      </c>
      <c r="X198" s="4">
        <f t="shared" si="97"/>
        <v>-0.201434619035496</v>
      </c>
      <c r="Y198" s="3">
        <f t="shared" si="84"/>
        <v>-40.529728644480656</v>
      </c>
      <c r="AA198" s="3"/>
      <c r="AH198" s="3">
        <f t="shared" si="83"/>
        <v>137.5</v>
      </c>
      <c r="AI198" s="4">
        <f t="shared" si="74"/>
        <v>26.496876248127009</v>
      </c>
      <c r="AJ198" s="4">
        <f t="shared" si="75"/>
        <v>21.148911310826847</v>
      </c>
      <c r="AK198" s="4">
        <f t="shared" si="76"/>
        <v>4.9606351358572329</v>
      </c>
      <c r="AL198" s="3">
        <f t="shared" si="80"/>
        <v>108.24727272727273</v>
      </c>
      <c r="AM198" s="4">
        <f t="shared" si="77"/>
        <v>7.9679618215938817</v>
      </c>
      <c r="AN198" s="4">
        <f t="shared" si="78"/>
        <v>5.517349606385153</v>
      </c>
      <c r="AO198" s="4">
        <f t="shared" si="79"/>
        <v>2.0859043817454328</v>
      </c>
      <c r="AP198" s="4">
        <f t="shared" ref="AP198:AP223" si="98">400*IF(AH198&gt;=$AG$10,0,AI198-AJ198-AK198-(AH198/$AG$10)^(2*$AG$12)*(AM198-AN198-AO198))</f>
        <v>0</v>
      </c>
      <c r="AR198" s="3">
        <f t="shared" si="81"/>
        <v>137.5</v>
      </c>
      <c r="AS198" s="4">
        <f t="shared" si="82"/>
        <v>0</v>
      </c>
    </row>
    <row r="199" spans="4:45" x14ac:dyDescent="0.25">
      <c r="D199" s="1">
        <v>42458</v>
      </c>
      <c r="E199" s="3">
        <v>105.90794</v>
      </c>
      <c r="F199" s="3">
        <v>201.84353400000001</v>
      </c>
      <c r="G199" s="3">
        <f t="shared" si="85"/>
        <v>2.4490199999999902</v>
      </c>
      <c r="H199" s="3">
        <f t="shared" si="86"/>
        <v>1.84996000000001</v>
      </c>
      <c r="I199" s="4">
        <f t="shared" si="87"/>
        <v>2.7910977419451011</v>
      </c>
      <c r="J199" s="4">
        <f t="shared" si="88"/>
        <v>2.1017146508403428</v>
      </c>
      <c r="K199" s="4">
        <f t="shared" si="89"/>
        <v>2.4207045079364979</v>
      </c>
      <c r="L199" s="4">
        <f t="shared" si="90"/>
        <v>1.7841713650793751</v>
      </c>
      <c r="M199" s="4">
        <f t="shared" si="91"/>
        <v>2.3395600485644704E-2</v>
      </c>
      <c r="N199" s="4">
        <f t="shared" si="92"/>
        <v>9.2075770656207274E-3</v>
      </c>
      <c r="O199" s="4">
        <f t="shared" si="93"/>
        <v>2.313963225698366E-2</v>
      </c>
      <c r="P199" s="4">
        <f t="shared" si="94"/>
        <v>8.8945893485603365E-3</v>
      </c>
      <c r="S199" s="4">
        <v>9.6044145088061361E-2</v>
      </c>
      <c r="T199" s="4">
        <v>1.1906285911196501</v>
      </c>
      <c r="U199" s="4">
        <f t="shared" si="95"/>
        <v>1.0023524354705615</v>
      </c>
      <c r="W199" s="4">
        <f t="shared" si="96"/>
        <v>0.19163440601724674</v>
      </c>
      <c r="X199" s="4">
        <f t="shared" si="97"/>
        <v>1.8330319747590273</v>
      </c>
      <c r="Y199" s="3">
        <f t="shared" si="84"/>
        <v>152.68855495452044</v>
      </c>
      <c r="AA199" s="3"/>
      <c r="AH199" s="3">
        <f t="shared" si="83"/>
        <v>138</v>
      </c>
      <c r="AI199" s="4">
        <f t="shared" si="74"/>
        <v>26.891033636168501</v>
      </c>
      <c r="AJ199" s="4">
        <f t="shared" si="75"/>
        <v>21.502107605893428</v>
      </c>
      <c r="AK199" s="4">
        <f t="shared" si="76"/>
        <v>5.0039555204870023</v>
      </c>
      <c r="AL199" s="3">
        <f t="shared" si="80"/>
        <v>107.85507246376811</v>
      </c>
      <c r="AM199" s="4">
        <f t="shared" si="77"/>
        <v>7.7935306302167362</v>
      </c>
      <c r="AN199" s="4">
        <f t="shared" si="78"/>
        <v>5.3831391816422887</v>
      </c>
      <c r="AO199" s="4">
        <f t="shared" si="79"/>
        <v>2.048566418973341</v>
      </c>
      <c r="AP199" s="4">
        <f t="shared" si="98"/>
        <v>0</v>
      </c>
      <c r="AR199" s="3">
        <f t="shared" si="81"/>
        <v>138</v>
      </c>
      <c r="AS199" s="4">
        <f t="shared" si="82"/>
        <v>0</v>
      </c>
    </row>
    <row r="200" spans="4:45" x14ac:dyDescent="0.25">
      <c r="D200" s="1">
        <v>42457</v>
      </c>
      <c r="E200" s="3">
        <v>103.45892000000001</v>
      </c>
      <c r="F200" s="3">
        <v>199.993574</v>
      </c>
      <c r="G200" s="3">
        <f t="shared" si="85"/>
        <v>-0.47209599999999341</v>
      </c>
      <c r="H200" s="3">
        <f t="shared" si="86"/>
        <v>0.11809399999998504</v>
      </c>
      <c r="I200" s="4">
        <f t="shared" si="87"/>
        <v>-0.53559412185851452</v>
      </c>
      <c r="J200" s="4">
        <f t="shared" si="88"/>
        <v>0.1342442733178407</v>
      </c>
      <c r="K200" s="4">
        <f t="shared" si="89"/>
        <v>-0.50041149206348545</v>
      </c>
      <c r="L200" s="4">
        <f t="shared" si="90"/>
        <v>5.2305365079350158E-2</v>
      </c>
      <c r="M200" s="4">
        <f t="shared" si="91"/>
        <v>-4.5527456592389564E-3</v>
      </c>
      <c r="N200" s="4">
        <f t="shared" si="92"/>
        <v>5.9066337968440453E-4</v>
      </c>
      <c r="O200" s="4">
        <f t="shared" si="93"/>
        <v>-4.8087138878999992E-3</v>
      </c>
      <c r="P200" s="4">
        <f t="shared" si="94"/>
        <v>2.7767566262401394E-4</v>
      </c>
      <c r="S200" s="4">
        <v>-1.4559105901918497</v>
      </c>
      <c r="T200" s="4">
        <v>1.2880971475424152</v>
      </c>
      <c r="U200" s="4">
        <f t="shared" si="95"/>
        <v>0.13350874863160611</v>
      </c>
      <c r="W200" s="4">
        <f t="shared" si="96"/>
        <v>-2.44739748540003</v>
      </c>
      <c r="X200" s="4">
        <f t="shared" si="97"/>
        <v>0.3011773449990407</v>
      </c>
      <c r="Y200" s="3">
        <f t="shared" si="84"/>
        <v>438.00028045772797</v>
      </c>
      <c r="AA200" s="3"/>
      <c r="AH200" s="3">
        <f t="shared" si="83"/>
        <v>138.5</v>
      </c>
      <c r="AI200" s="4">
        <f t="shared" si="74"/>
        <v>27.287148628202374</v>
      </c>
      <c r="AJ200" s="4">
        <f t="shared" si="75"/>
        <v>21.8576873593708</v>
      </c>
      <c r="AK200" s="4">
        <f t="shared" si="76"/>
        <v>5.046907119687158</v>
      </c>
      <c r="AL200" s="3">
        <f t="shared" si="80"/>
        <v>107.46570397111914</v>
      </c>
      <c r="AM200" s="4">
        <f t="shared" si="77"/>
        <v>7.6225506314408591</v>
      </c>
      <c r="AN200" s="4">
        <f t="shared" si="78"/>
        <v>5.2519401352271267</v>
      </c>
      <c r="AO200" s="4">
        <f t="shared" si="79"/>
        <v>2.0117101245869073</v>
      </c>
      <c r="AP200" s="4">
        <f t="shared" si="98"/>
        <v>0</v>
      </c>
      <c r="AR200" s="3">
        <f t="shared" si="81"/>
        <v>138.5</v>
      </c>
      <c r="AS200" s="4">
        <f t="shared" si="82"/>
        <v>0</v>
      </c>
    </row>
    <row r="201" spans="4:45" x14ac:dyDescent="0.25">
      <c r="D201" s="1">
        <v>42453</v>
      </c>
      <c r="E201" s="3">
        <v>103.931016</v>
      </c>
      <c r="F201" s="3">
        <v>199.87548000000001</v>
      </c>
      <c r="G201" s="3">
        <f t="shared" si="85"/>
        <v>-0.45242899999999509</v>
      </c>
      <c r="H201" s="3">
        <f t="shared" si="86"/>
        <v>-8.8573999999994157E-2</v>
      </c>
      <c r="I201" s="4">
        <f t="shared" si="87"/>
        <v>-0.51105714320614171</v>
      </c>
      <c r="J201" s="4">
        <f t="shared" si="88"/>
        <v>-0.10064258429175811</v>
      </c>
      <c r="K201" s="4">
        <f t="shared" si="89"/>
        <v>-0.48074449206348713</v>
      </c>
      <c r="L201" s="4">
        <f t="shared" si="90"/>
        <v>-0.15436263492062904</v>
      </c>
      <c r="M201" s="4">
        <f t="shared" si="91"/>
        <v>-4.3437187144190863E-3</v>
      </c>
      <c r="N201" s="4">
        <f t="shared" si="92"/>
        <v>-4.4304774249188646E-4</v>
      </c>
      <c r="O201" s="4">
        <f t="shared" si="93"/>
        <v>-4.5996869430801291E-3</v>
      </c>
      <c r="P201" s="4">
        <f t="shared" si="94"/>
        <v>-7.5603545955227705E-4</v>
      </c>
      <c r="S201" s="4">
        <v>-0.48682148175562412</v>
      </c>
      <c r="T201" s="4">
        <v>-6.2908814506202296E-2</v>
      </c>
      <c r="U201" s="4">
        <f t="shared" si="95"/>
        <v>-0.34664455234769065</v>
      </c>
      <c r="W201" s="4">
        <f t="shared" si="96"/>
        <v>-0.799503378277717</v>
      </c>
      <c r="X201" s="4">
        <f t="shared" si="97"/>
        <v>-0.54537890929760735</v>
      </c>
      <c r="Y201" s="3">
        <f t="shared" si="84"/>
        <v>75.242542083011358</v>
      </c>
      <c r="AA201" s="3"/>
      <c r="AH201" s="3">
        <f t="shared" si="83"/>
        <v>139</v>
      </c>
      <c r="AI201" s="4">
        <f t="shared" si="74"/>
        <v>27.685189805781448</v>
      </c>
      <c r="AJ201" s="4">
        <f t="shared" si="75"/>
        <v>22.215621540112437</v>
      </c>
      <c r="AK201" s="4">
        <f t="shared" si="76"/>
        <v>5.0894854916276193</v>
      </c>
      <c r="AL201" s="3">
        <f t="shared" si="80"/>
        <v>107.07913669064749</v>
      </c>
      <c r="AM201" s="4">
        <f t="shared" si="77"/>
        <v>7.4549647111867046</v>
      </c>
      <c r="AN201" s="4">
        <f t="shared" si="78"/>
        <v>5.1236935555339116</v>
      </c>
      <c r="AO201" s="4">
        <f t="shared" si="79"/>
        <v>1.9753351792649299</v>
      </c>
      <c r="AP201" s="4">
        <f t="shared" si="98"/>
        <v>0</v>
      </c>
      <c r="AR201" s="3">
        <f t="shared" si="81"/>
        <v>139</v>
      </c>
      <c r="AS201" s="4">
        <f t="shared" si="82"/>
        <v>0</v>
      </c>
    </row>
    <row r="202" spans="4:45" x14ac:dyDescent="0.25">
      <c r="D202" s="1">
        <v>42452</v>
      </c>
      <c r="E202" s="3">
        <v>104.38344499999999</v>
      </c>
      <c r="F202" s="3">
        <v>199.964054</v>
      </c>
      <c r="G202" s="3">
        <f t="shared" si="85"/>
        <v>-0.58029500000000667</v>
      </c>
      <c r="H202" s="3">
        <f t="shared" si="86"/>
        <v>-1.3284270000000049</v>
      </c>
      <c r="I202" s="4">
        <f t="shared" si="87"/>
        <v>-0.65186878603202192</v>
      </c>
      <c r="J202" s="4">
        <f t="shared" si="88"/>
        <v>-1.4994693615455517</v>
      </c>
      <c r="K202" s="4">
        <f t="shared" si="89"/>
        <v>-0.60861049206349871</v>
      </c>
      <c r="L202" s="4">
        <f t="shared" si="90"/>
        <v>-1.3942156349206398</v>
      </c>
      <c r="M202" s="4">
        <f t="shared" si="91"/>
        <v>-5.5438671052951407E-3</v>
      </c>
      <c r="N202" s="4">
        <f t="shared" si="92"/>
        <v>-6.6213593428390812E-3</v>
      </c>
      <c r="O202" s="4">
        <f t="shared" si="93"/>
        <v>-5.7998353339561836E-3</v>
      </c>
      <c r="P202" s="4">
        <f t="shared" si="94"/>
        <v>-6.9343470598994721E-3</v>
      </c>
      <c r="S202" s="4">
        <v>-0.80560867960927662</v>
      </c>
      <c r="T202" s="4">
        <v>0.57213353285212065</v>
      </c>
      <c r="U202" s="4">
        <f t="shared" si="95"/>
        <v>-3.7591340452736932E-2</v>
      </c>
      <c r="W202" s="4">
        <f t="shared" si="96"/>
        <v>-1.3415872178296502</v>
      </c>
      <c r="X202" s="4">
        <f t="shared" si="97"/>
        <v>-4.8849845063228536E-4</v>
      </c>
      <c r="Y202" s="3">
        <f t="shared" si="84"/>
        <v>219.6277772741787</v>
      </c>
      <c r="AA202" s="3"/>
      <c r="AH202" s="3">
        <f t="shared" si="83"/>
        <v>139.5</v>
      </c>
      <c r="AI202" s="4">
        <f t="shared" si="74"/>
        <v>28.085125970726097</v>
      </c>
      <c r="AJ202" s="4">
        <f t="shared" si="75"/>
        <v>22.575881089212743</v>
      </c>
      <c r="AK202" s="4">
        <f t="shared" si="76"/>
        <v>5.131686451090971</v>
      </c>
      <c r="AL202" s="3">
        <f t="shared" si="80"/>
        <v>106.69534050179212</v>
      </c>
      <c r="AM202" s="4">
        <f t="shared" si="77"/>
        <v>7.2907163800433352</v>
      </c>
      <c r="AN202" s="4">
        <f t="shared" si="78"/>
        <v>4.9983413990530288</v>
      </c>
      <c r="AO202" s="4">
        <f t="shared" si="79"/>
        <v>1.9394410441373762</v>
      </c>
      <c r="AP202" s="4">
        <f t="shared" si="98"/>
        <v>0</v>
      </c>
      <c r="AR202" s="3">
        <f t="shared" si="81"/>
        <v>139.5</v>
      </c>
      <c r="AS202" s="4">
        <f t="shared" si="82"/>
        <v>0</v>
      </c>
    </row>
    <row r="203" spans="4:45" x14ac:dyDescent="0.25">
      <c r="D203" s="1">
        <v>42451</v>
      </c>
      <c r="E203" s="3">
        <v>104.96374</v>
      </c>
      <c r="F203" s="3">
        <v>201.29248100000001</v>
      </c>
      <c r="G203" s="3">
        <f t="shared" si="85"/>
        <v>0.79666799999999682</v>
      </c>
      <c r="H203" s="3">
        <f t="shared" si="86"/>
        <v>-0.10824399999998491</v>
      </c>
      <c r="I203" s="4">
        <f t="shared" si="87"/>
        <v>0.90177371085818381</v>
      </c>
      <c r="J203" s="4">
        <f t="shared" si="88"/>
        <v>-0.1221153498712806</v>
      </c>
      <c r="K203" s="4">
        <f t="shared" si="89"/>
        <v>0.76835250793650478</v>
      </c>
      <c r="L203" s="4">
        <f t="shared" si="90"/>
        <v>-0.17403263492061979</v>
      </c>
      <c r="M203" s="4">
        <f t="shared" si="91"/>
        <v>7.6188854821274835E-3</v>
      </c>
      <c r="N203" s="4">
        <f t="shared" si="92"/>
        <v>-5.3760034186911988E-4</v>
      </c>
      <c r="O203" s="4">
        <f t="shared" si="93"/>
        <v>7.3629172534664406E-3</v>
      </c>
      <c r="P203" s="4">
        <f t="shared" si="94"/>
        <v>-8.5058805892951046E-4</v>
      </c>
      <c r="S203" s="4">
        <v>0.33721173644924962</v>
      </c>
      <c r="T203" s="4">
        <v>-0.37747504605918752</v>
      </c>
      <c r="U203" s="4">
        <f t="shared" si="95"/>
        <v>-9.3649658001805414E-2</v>
      </c>
      <c r="W203" s="4">
        <f t="shared" si="96"/>
        <v>0.60172946247111647</v>
      </c>
      <c r="X203" s="4">
        <f t="shared" si="97"/>
        <v>-9.9324681040070945E-2</v>
      </c>
      <c r="Y203" s="3">
        <f t="shared" si="84"/>
        <v>-105.42683349962226</v>
      </c>
      <c r="AA203" s="3"/>
      <c r="AH203" s="3">
        <f t="shared" si="83"/>
        <v>140</v>
      </c>
      <c r="AI203" s="4">
        <f t="shared" si="74"/>
        <v>28.486926154226595</v>
      </c>
      <c r="AJ203" s="4">
        <f t="shared" si="75"/>
        <v>22.938436934237814</v>
      </c>
      <c r="AK203" s="4">
        <f t="shared" si="76"/>
        <v>5.1735060660066745</v>
      </c>
      <c r="AL203" s="3">
        <f t="shared" si="80"/>
        <v>106.31428571428572</v>
      </c>
      <c r="AM203" s="4">
        <f t="shared" si="77"/>
        <v>7.1297497750817556</v>
      </c>
      <c r="AN203" s="4">
        <f t="shared" si="78"/>
        <v>4.8758264866412269</v>
      </c>
      <c r="AO203" s="4">
        <f t="shared" si="79"/>
        <v>1.9040269675926393</v>
      </c>
      <c r="AP203" s="4">
        <f t="shared" si="98"/>
        <v>0</v>
      </c>
      <c r="AR203" s="3">
        <f t="shared" si="81"/>
        <v>140</v>
      </c>
      <c r="AS203" s="4">
        <f t="shared" si="82"/>
        <v>0</v>
      </c>
    </row>
    <row r="204" spans="4:45" x14ac:dyDescent="0.25">
      <c r="D204" s="1">
        <v>42450</v>
      </c>
      <c r="E204" s="3">
        <v>104.167072</v>
      </c>
      <c r="F204" s="3">
        <v>201.40072499999999</v>
      </c>
      <c r="G204" s="3">
        <f t="shared" si="85"/>
        <v>-9.8299999999937882E-3</v>
      </c>
      <c r="H204" s="3">
        <f t="shared" si="86"/>
        <v>0.28536099999999465</v>
      </c>
      <c r="I204" s="4">
        <f t="shared" si="87"/>
        <v>-1.1125838041519681E-2</v>
      </c>
      <c r="J204" s="4">
        <f t="shared" si="88"/>
        <v>0.32238648265343756</v>
      </c>
      <c r="K204" s="4">
        <f t="shared" si="89"/>
        <v>-3.8145492063485845E-2</v>
      </c>
      <c r="L204" s="4">
        <f t="shared" si="90"/>
        <v>0.21957236507935976</v>
      </c>
      <c r="M204" s="4">
        <f t="shared" si="91"/>
        <v>-9.4363180451686299E-5</v>
      </c>
      <c r="N204" s="4">
        <f t="shared" si="92"/>
        <v>1.4178864179887917E-3</v>
      </c>
      <c r="O204" s="4">
        <f t="shared" si="93"/>
        <v>-3.5033140911272889E-4</v>
      </c>
      <c r="P204" s="4">
        <f t="shared" si="94"/>
        <v>1.1048987009284012E-3</v>
      </c>
      <c r="S204" s="4">
        <v>1.2677806809739123</v>
      </c>
      <c r="T204" s="4">
        <v>0.29254541024686737</v>
      </c>
      <c r="U204" s="4">
        <f t="shared" si="95"/>
        <v>1.0047658015382832</v>
      </c>
      <c r="W204" s="4">
        <f t="shared" si="96"/>
        <v>2.1841216972035107</v>
      </c>
      <c r="X204" s="4">
        <f t="shared" si="97"/>
        <v>1.8372869702664416</v>
      </c>
      <c r="Y204" s="3">
        <f t="shared" si="84"/>
        <v>-154.09476621364229</v>
      </c>
      <c r="AA204" s="3"/>
      <c r="AH204" s="3">
        <f t="shared" si="83"/>
        <v>140.5</v>
      </c>
      <c r="AI204" s="4">
        <f t="shared" si="74"/>
        <v>28.890559625482382</v>
      </c>
      <c r="AJ204" s="4">
        <f t="shared" si="75"/>
        <v>23.303260003060942</v>
      </c>
      <c r="AK204" s="4">
        <f t="shared" si="76"/>
        <v>5.2149406538503538</v>
      </c>
      <c r="AL204" s="3">
        <f t="shared" si="80"/>
        <v>105.93594306049822</v>
      </c>
      <c r="AM204" s="4">
        <f t="shared" si="77"/>
        <v>6.9720096614267177</v>
      </c>
      <c r="AN204" s="4">
        <f t="shared" si="78"/>
        <v>4.7560924995029517</v>
      </c>
      <c r="AO204" s="4">
        <f t="shared" si="79"/>
        <v>1.8690919920575675</v>
      </c>
      <c r="AP204" s="4">
        <f t="shared" si="98"/>
        <v>0</v>
      </c>
      <c r="AR204" s="3">
        <f t="shared" si="81"/>
        <v>140.5</v>
      </c>
      <c r="AS204" s="4">
        <f t="shared" si="82"/>
        <v>0</v>
      </c>
    </row>
    <row r="205" spans="4:45" x14ac:dyDescent="0.25">
      <c r="D205" s="1">
        <v>42447</v>
      </c>
      <c r="E205" s="3">
        <v>104.176902</v>
      </c>
      <c r="F205" s="3">
        <v>201.115364</v>
      </c>
      <c r="G205" s="3">
        <f t="shared" si="85"/>
        <v>0.11802000000000135</v>
      </c>
      <c r="H205" s="3">
        <f t="shared" si="86"/>
        <v>0.78722999999999388</v>
      </c>
      <c r="I205" s="4">
        <f t="shared" si="87"/>
        <v>0.13372946551626566</v>
      </c>
      <c r="J205" s="4">
        <f t="shared" si="88"/>
        <v>0.89286776769262277</v>
      </c>
      <c r="K205" s="4">
        <f t="shared" si="89"/>
        <v>8.970450793650929E-2</v>
      </c>
      <c r="L205" s="4">
        <f t="shared" si="90"/>
        <v>0.72144136507935896</v>
      </c>
      <c r="M205" s="4">
        <f t="shared" si="91"/>
        <v>1.1335228784381144E-3</v>
      </c>
      <c r="N205" s="4">
        <f t="shared" si="92"/>
        <v>3.9220015420634979E-3</v>
      </c>
      <c r="O205" s="4">
        <f t="shared" si="93"/>
        <v>8.7755464977707178E-4</v>
      </c>
      <c r="P205" s="4">
        <f t="shared" si="94"/>
        <v>3.6090138250031074E-3</v>
      </c>
      <c r="S205" s="4">
        <v>2.0081115172924431</v>
      </c>
      <c r="T205" s="4">
        <v>-0.5917044916118871</v>
      </c>
      <c r="U205" s="4">
        <f t="shared" si="95"/>
        <v>0.75515015755931558</v>
      </c>
      <c r="W205" s="4">
        <f t="shared" si="96"/>
        <v>3.4430222584314429</v>
      </c>
      <c r="X205" s="4">
        <f t="shared" si="97"/>
        <v>1.3971906840393229</v>
      </c>
      <c r="Y205" s="3">
        <f t="shared" si="84"/>
        <v>-381.97476404241888</v>
      </c>
      <c r="AA205" s="3"/>
      <c r="AH205" s="3">
        <f t="shared" si="83"/>
        <v>141</v>
      </c>
      <c r="AI205" s="4">
        <f t="shared" si="74"/>
        <v>29.295995899886705</v>
      </c>
      <c r="AJ205" s="4">
        <f t="shared" si="75"/>
        <v>23.670321237301721</v>
      </c>
      <c r="AK205" s="4">
        <f t="shared" si="76"/>
        <v>5.2559867779173244</v>
      </c>
      <c r="AL205" s="3">
        <f t="shared" si="80"/>
        <v>105.56028368794327</v>
      </c>
      <c r="AM205" s="4">
        <f t="shared" si="77"/>
        <v>6.8174414335868292</v>
      </c>
      <c r="AN205" s="4">
        <f t="shared" si="78"/>
        <v>4.6390839748914239</v>
      </c>
      <c r="AO205" s="4">
        <f t="shared" si="79"/>
        <v>1.8346349607428858</v>
      </c>
      <c r="AP205" s="4">
        <f t="shared" si="98"/>
        <v>0</v>
      </c>
      <c r="AR205" s="3">
        <f t="shared" si="81"/>
        <v>141</v>
      </c>
      <c r="AS205" s="4">
        <f t="shared" si="82"/>
        <v>0</v>
      </c>
    </row>
    <row r="206" spans="4:45" x14ac:dyDescent="0.25">
      <c r="D206" s="1">
        <v>42446</v>
      </c>
      <c r="E206" s="3">
        <v>104.058882</v>
      </c>
      <c r="F206" s="3">
        <v>200.32813400000001</v>
      </c>
      <c r="G206" s="3">
        <f t="shared" si="85"/>
        <v>-0.16720000000000823</v>
      </c>
      <c r="H206" s="3">
        <f t="shared" si="86"/>
        <v>1.2628890000000013</v>
      </c>
      <c r="I206" s="4">
        <f t="shared" si="87"/>
        <v>-0.18915181584587407</v>
      </c>
      <c r="J206" s="4">
        <f t="shared" si="88"/>
        <v>1.4414420685550773</v>
      </c>
      <c r="K206" s="4">
        <f t="shared" si="89"/>
        <v>-0.19551549206350027</v>
      </c>
      <c r="L206" s="4">
        <f t="shared" si="90"/>
        <v>1.1971003650793663</v>
      </c>
      <c r="M206" s="4">
        <f t="shared" si="91"/>
        <v>-1.6054930966085705E-3</v>
      </c>
      <c r="N206" s="4">
        <f t="shared" si="92"/>
        <v>6.3240568089819142E-3</v>
      </c>
      <c r="O206" s="4">
        <f t="shared" si="93"/>
        <v>-1.8614613252696131E-3</v>
      </c>
      <c r="P206" s="4">
        <f t="shared" si="94"/>
        <v>6.0110690919215233E-3</v>
      </c>
      <c r="S206" s="4">
        <v>1.49300255871912</v>
      </c>
      <c r="T206" s="4">
        <v>-0.50551781929028772</v>
      </c>
      <c r="U206" s="4">
        <f t="shared" si="95"/>
        <v>0.50944773066585891</v>
      </c>
      <c r="W206" s="4">
        <f t="shared" si="96"/>
        <v>2.5671017574481714</v>
      </c>
      <c r="X206" s="4">
        <f t="shared" si="97"/>
        <v>0.96399377430592659</v>
      </c>
      <c r="Y206" s="3">
        <f t="shared" si="84"/>
        <v>-298.18708145029314</v>
      </c>
      <c r="AA206" s="3"/>
      <c r="AH206" s="3">
        <f t="shared" si="83"/>
        <v>141.5</v>
      </c>
      <c r="AI206" s="4">
        <f t="shared" si="74"/>
        <v>29.703204746765991</v>
      </c>
      <c r="AJ206" s="4">
        <f t="shared" si="75"/>
        <v>24.039591605370177</v>
      </c>
      <c r="AK206" s="4">
        <f t="shared" si="76"/>
        <v>5.2966412434792973</v>
      </c>
      <c r="AL206" s="3">
        <f t="shared" si="80"/>
        <v>105.18727915194346</v>
      </c>
      <c r="AM206" s="4">
        <f t="shared" si="77"/>
        <v>6.6659911165438288</v>
      </c>
      <c r="AN206" s="4">
        <f t="shared" si="78"/>
        <v>4.5247463015383218</v>
      </c>
      <c r="AO206" s="4">
        <f t="shared" si="79"/>
        <v>1.8006545243470398</v>
      </c>
      <c r="AP206" s="4">
        <f t="shared" si="98"/>
        <v>0</v>
      </c>
      <c r="AR206" s="3">
        <f t="shared" si="81"/>
        <v>141.5</v>
      </c>
      <c r="AS206" s="4">
        <f t="shared" si="82"/>
        <v>0</v>
      </c>
    </row>
    <row r="207" spans="4:45" x14ac:dyDescent="0.25">
      <c r="D207" s="1">
        <v>42445</v>
      </c>
      <c r="E207" s="3">
        <v>104.22608200000001</v>
      </c>
      <c r="F207" s="3">
        <v>199.065245</v>
      </c>
      <c r="G207" s="3">
        <f t="shared" si="85"/>
        <v>1.367124000000004</v>
      </c>
      <c r="H207" s="3">
        <f t="shared" si="86"/>
        <v>1.1454009999999926</v>
      </c>
      <c r="I207" s="4">
        <f t="shared" si="87"/>
        <v>1.5671711967809012</v>
      </c>
      <c r="J207" s="4">
        <f t="shared" si="88"/>
        <v>1.3149089245836576</v>
      </c>
      <c r="K207" s="4">
        <f t="shared" si="89"/>
        <v>1.338808507936512</v>
      </c>
      <c r="L207" s="4">
        <f t="shared" si="90"/>
        <v>1.0796123650793576</v>
      </c>
      <c r="M207" s="4">
        <f t="shared" si="91"/>
        <v>1.3203695078098498E-2</v>
      </c>
      <c r="N207" s="4">
        <f t="shared" si="92"/>
        <v>5.7705148637229699E-3</v>
      </c>
      <c r="O207" s="4">
        <f t="shared" si="93"/>
        <v>1.2947726849437456E-2</v>
      </c>
      <c r="P207" s="4">
        <f t="shared" si="94"/>
        <v>5.457527146662579E-3</v>
      </c>
      <c r="S207" s="4">
        <v>0.43087041185356562</v>
      </c>
      <c r="T207" s="4">
        <v>-1.1409799698081928</v>
      </c>
      <c r="U207" s="4">
        <f t="shared" si="95"/>
        <v>-0.64177749925374905</v>
      </c>
      <c r="W207" s="4">
        <f t="shared" si="96"/>
        <v>0.76099198842056659</v>
      </c>
      <c r="X207" s="4">
        <f t="shared" si="97"/>
        <v>-1.0657265598141186</v>
      </c>
      <c r="Y207" s="3">
        <f t="shared" si="84"/>
        <v>-227.03097216723563</v>
      </c>
      <c r="AA207" s="3"/>
      <c r="AH207" s="3">
        <f t="shared" si="83"/>
        <v>142</v>
      </c>
      <c r="AI207" s="4">
        <f t="shared" si="74"/>
        <v>30.11215619668296</v>
      </c>
      <c r="AJ207" s="4">
        <f t="shared" si="75"/>
        <v>24.411042115116288</v>
      </c>
      <c r="AK207" s="4">
        <f t="shared" si="76"/>
        <v>5.3369010938330641</v>
      </c>
      <c r="AL207" s="3">
        <f t="shared" si="80"/>
        <v>104.8169014084507</v>
      </c>
      <c r="AM207" s="4">
        <f t="shared" si="77"/>
        <v>6.5176053666020124</v>
      </c>
      <c r="AN207" s="4">
        <f t="shared" si="78"/>
        <v>4.4130257148215009</v>
      </c>
      <c r="AO207" s="4">
        <f t="shared" si="79"/>
        <v>1.7671491477118608</v>
      </c>
      <c r="AP207" s="4">
        <f t="shared" si="98"/>
        <v>0</v>
      </c>
      <c r="AR207" s="3">
        <f t="shared" si="81"/>
        <v>142</v>
      </c>
      <c r="AS207" s="4">
        <f t="shared" si="82"/>
        <v>0</v>
      </c>
    </row>
    <row r="208" spans="4:45" x14ac:dyDescent="0.25">
      <c r="D208" s="1">
        <v>42444</v>
      </c>
      <c r="E208" s="3">
        <v>102.858958</v>
      </c>
      <c r="F208" s="3">
        <v>197.91984400000001</v>
      </c>
      <c r="G208" s="3">
        <f t="shared" si="85"/>
        <v>2.0261050000000012</v>
      </c>
      <c r="H208" s="3">
        <f t="shared" si="86"/>
        <v>-0.32306399999998803</v>
      </c>
      <c r="I208" s="4">
        <f t="shared" si="87"/>
        <v>2.3692481323960966</v>
      </c>
      <c r="J208" s="4">
        <f t="shared" si="88"/>
        <v>-0.37026985954748648</v>
      </c>
      <c r="K208" s="4">
        <f t="shared" si="89"/>
        <v>1.9977895079365091</v>
      </c>
      <c r="L208" s="4">
        <f t="shared" si="90"/>
        <v>-0.38885263492062294</v>
      </c>
      <c r="M208" s="4">
        <f t="shared" si="91"/>
        <v>1.9894484866222941E-2</v>
      </c>
      <c r="N208" s="4">
        <f t="shared" si="92"/>
        <v>-1.6309664146007252E-3</v>
      </c>
      <c r="O208" s="4">
        <f t="shared" si="93"/>
        <v>1.9638516637561897E-2</v>
      </c>
      <c r="P208" s="4">
        <f t="shared" si="94"/>
        <v>-1.9439541316611159E-3</v>
      </c>
      <c r="S208" s="4">
        <v>-0.56670769050820047</v>
      </c>
      <c r="T208" s="4">
        <v>1.817737649071222</v>
      </c>
      <c r="U208" s="4">
        <f t="shared" si="95"/>
        <v>1.095428474512447</v>
      </c>
      <c r="W208" s="4">
        <f t="shared" si="96"/>
        <v>-0.9353464204682761</v>
      </c>
      <c r="X208" s="4">
        <f t="shared" si="97"/>
        <v>1.9971339455574422</v>
      </c>
      <c r="Y208" s="3">
        <f t="shared" si="84"/>
        <v>351.87628214516553</v>
      </c>
      <c r="AA208" s="3"/>
      <c r="AH208" s="3">
        <f t="shared" si="83"/>
        <v>142.5</v>
      </c>
      <c r="AI208" s="4">
        <f t="shared" si="74"/>
        <v>30.522820548313149</v>
      </c>
      <c r="AJ208" s="4">
        <f t="shared" si="75"/>
        <v>24.784643826086807</v>
      </c>
      <c r="AK208" s="4">
        <f t="shared" si="76"/>
        <v>5.376763606249682</v>
      </c>
      <c r="AL208" s="3">
        <f t="shared" si="80"/>
        <v>104.44912280701755</v>
      </c>
      <c r="AM208" s="4">
        <f t="shared" si="77"/>
        <v>6.3722314719993989</v>
      </c>
      <c r="AN208" s="4">
        <f t="shared" si="78"/>
        <v>4.3038692916795966</v>
      </c>
      <c r="AO208" s="4">
        <f t="shared" si="79"/>
        <v>1.7341171164238021</v>
      </c>
      <c r="AP208" s="4">
        <f t="shared" si="98"/>
        <v>0</v>
      </c>
      <c r="AR208" s="3">
        <f t="shared" si="81"/>
        <v>142.5</v>
      </c>
      <c r="AS208" s="4">
        <f t="shared" si="82"/>
        <v>0</v>
      </c>
    </row>
    <row r="209" spans="4:45" x14ac:dyDescent="0.25">
      <c r="D209" s="1">
        <v>42443</v>
      </c>
      <c r="E209" s="3">
        <v>100.832853</v>
      </c>
      <c r="F209" s="3">
        <v>198.242908</v>
      </c>
      <c r="G209" s="3">
        <f t="shared" si="85"/>
        <v>0.25571499999999503</v>
      </c>
      <c r="H209" s="3">
        <f t="shared" si="86"/>
        <v>-0.2545289999999909</v>
      </c>
      <c r="I209" s="4">
        <f t="shared" si="87"/>
        <v>0.29978340279338045</v>
      </c>
      <c r="J209" s="4">
        <f t="shared" si="88"/>
        <v>-0.29134651180257271</v>
      </c>
      <c r="K209" s="4">
        <f t="shared" si="89"/>
        <v>0.22739950793650299</v>
      </c>
      <c r="L209" s="4">
        <f t="shared" si="90"/>
        <v>-0.32031763492062582</v>
      </c>
      <c r="M209" s="4">
        <f t="shared" si="91"/>
        <v>2.539249777332954E-3</v>
      </c>
      <c r="N209" s="4">
        <f t="shared" si="92"/>
        <v>-1.2831013438791459E-3</v>
      </c>
      <c r="O209" s="4">
        <f t="shared" si="93"/>
        <v>2.2832815486719116E-3</v>
      </c>
      <c r="P209" s="4">
        <f t="shared" si="94"/>
        <v>-1.5960890609395366E-3</v>
      </c>
      <c r="S209" s="4">
        <v>-0.27830585988613454</v>
      </c>
      <c r="T209" s="4">
        <v>0.52901458696031967</v>
      </c>
      <c r="U209" s="4">
        <f t="shared" si="95"/>
        <v>0.2496841792800705</v>
      </c>
      <c r="W209" s="4">
        <f t="shared" si="96"/>
        <v>-0.44493158345469325</v>
      </c>
      <c r="X209" s="4">
        <f t="shared" si="97"/>
        <v>0.50600575544727922</v>
      </c>
      <c r="Y209" s="3">
        <f t="shared" si="84"/>
        <v>122.4140756976044</v>
      </c>
      <c r="AA209" s="3"/>
      <c r="AH209" s="3">
        <f t="shared" si="83"/>
        <v>143</v>
      </c>
      <c r="AI209" s="4">
        <f t="shared" si="74"/>
        <v>30.935168374903753</v>
      </c>
      <c r="AJ209" s="4">
        <f t="shared" si="75"/>
        <v>25.160367861390114</v>
      </c>
      <c r="AK209" s="4">
        <f t="shared" si="76"/>
        <v>5.4162262878325489</v>
      </c>
      <c r="AL209" s="3">
        <f t="shared" si="80"/>
        <v>104.08391608391608</v>
      </c>
      <c r="AM209" s="4">
        <f t="shared" si="77"/>
        <v>6.2298173532824492</v>
      </c>
      <c r="AN209" s="4">
        <f t="shared" si="78"/>
        <v>4.1972249452829757</v>
      </c>
      <c r="AO209" s="4">
        <f t="shared" si="79"/>
        <v>1.7015565433549174</v>
      </c>
      <c r="AP209" s="4">
        <f t="shared" si="98"/>
        <v>0</v>
      </c>
      <c r="AR209" s="3">
        <f t="shared" si="81"/>
        <v>143</v>
      </c>
      <c r="AS209" s="4">
        <f t="shared" si="82"/>
        <v>0</v>
      </c>
    </row>
    <row r="210" spans="4:45" x14ac:dyDescent="0.25">
      <c r="D210" s="1">
        <v>42440</v>
      </c>
      <c r="E210" s="3">
        <v>100.57713800000001</v>
      </c>
      <c r="F210" s="3">
        <v>198.49743699999999</v>
      </c>
      <c r="G210" s="3">
        <f t="shared" si="85"/>
        <v>1.0720660000000066</v>
      </c>
      <c r="H210" s="3">
        <f t="shared" si="86"/>
        <v>3.1523090000000025</v>
      </c>
      <c r="I210" s="4">
        <f t="shared" si="87"/>
        <v>1.2703604329663194</v>
      </c>
      <c r="J210" s="4">
        <f t="shared" si="88"/>
        <v>3.6665165765289198</v>
      </c>
      <c r="K210" s="4">
        <f t="shared" si="89"/>
        <v>1.0437505079365146</v>
      </c>
      <c r="L210" s="4">
        <f t="shared" si="90"/>
        <v>3.0865203650793678</v>
      </c>
      <c r="M210" s="4">
        <f t="shared" si="91"/>
        <v>1.0716357637999682E-2</v>
      </c>
      <c r="N210" s="4">
        <f t="shared" si="92"/>
        <v>1.6008306866567845E-2</v>
      </c>
      <c r="O210" s="4">
        <f t="shared" si="93"/>
        <v>1.046038940933864E-2</v>
      </c>
      <c r="P210" s="4">
        <f t="shared" si="94"/>
        <v>1.5695319149507454E-2</v>
      </c>
      <c r="S210" s="4">
        <v>0.87422326682001972</v>
      </c>
      <c r="T210" s="4">
        <v>1.6721435122813644</v>
      </c>
      <c r="U210" s="4">
        <f t="shared" si="95"/>
        <v>1.8584408257019791</v>
      </c>
      <c r="W210" s="4">
        <f t="shared" si="96"/>
        <v>1.5148943393137746</v>
      </c>
      <c r="X210" s="4">
        <f t="shared" si="97"/>
        <v>3.3423977950148474</v>
      </c>
      <c r="Y210" s="3">
        <f t="shared" si="84"/>
        <v>97.360733208785405</v>
      </c>
      <c r="AA210" s="3"/>
      <c r="AH210" s="3">
        <f t="shared" si="83"/>
        <v>143.5</v>
      </c>
      <c r="AI210" s="4">
        <f t="shared" si="74"/>
        <v>31.349170530325068</v>
      </c>
      <c r="AJ210" s="4">
        <f t="shared" si="75"/>
        <v>25.538185419172933</v>
      </c>
      <c r="AK210" s="4">
        <f t="shared" si="76"/>
        <v>5.4552868712924791</v>
      </c>
      <c r="AL210" s="3">
        <f t="shared" si="80"/>
        <v>103.7212543554007</v>
      </c>
      <c r="AM210" s="4">
        <f t="shared" si="77"/>
        <v>6.0903115634466118</v>
      </c>
      <c r="AN210" s="4">
        <f t="shared" si="78"/>
        <v>4.0930414194702038</v>
      </c>
      <c r="AO210" s="4">
        <f t="shared" si="79"/>
        <v>1.6694653751380486</v>
      </c>
      <c r="AP210" s="4">
        <f t="shared" si="98"/>
        <v>0</v>
      </c>
      <c r="AR210" s="3">
        <f t="shared" si="81"/>
        <v>143.5</v>
      </c>
      <c r="AS210" s="4">
        <f t="shared" si="82"/>
        <v>0</v>
      </c>
    </row>
    <row r="211" spans="4:45" x14ac:dyDescent="0.25">
      <c r="D211" s="1">
        <v>42439</v>
      </c>
      <c r="E211" s="3">
        <v>99.505071999999998</v>
      </c>
      <c r="F211" s="3">
        <v>195.34512799999999</v>
      </c>
      <c r="G211" s="3">
        <f t="shared" si="85"/>
        <v>4.9172999999996136E-2</v>
      </c>
      <c r="H211" s="3">
        <f t="shared" si="86"/>
        <v>0.15662499999999113</v>
      </c>
      <c r="I211" s="4">
        <f t="shared" si="87"/>
        <v>5.8297081269071266E-2</v>
      </c>
      <c r="J211" s="4">
        <f t="shared" si="88"/>
        <v>0.18231999733290122</v>
      </c>
      <c r="K211" s="4">
        <f t="shared" si="89"/>
        <v>2.0857507936504083E-2</v>
      </c>
      <c r="L211" s="4">
        <f t="shared" si="90"/>
        <v>9.0836365079356246E-2</v>
      </c>
      <c r="M211" s="4">
        <f t="shared" si="91"/>
        <v>4.942979595852345E-4</v>
      </c>
      <c r="N211" s="4">
        <f t="shared" si="92"/>
        <v>8.0210765969813969E-4</v>
      </c>
      <c r="O211" s="4">
        <f t="shared" si="93"/>
        <v>2.383297309241919E-4</v>
      </c>
      <c r="P211" s="4">
        <f t="shared" si="94"/>
        <v>4.891199426377491E-4</v>
      </c>
      <c r="S211" s="4">
        <v>0.78330537752790852</v>
      </c>
      <c r="T211" s="4">
        <v>1.0804622240111099</v>
      </c>
      <c r="U211" s="4">
        <f t="shared" si="95"/>
        <v>1.3339942168750947</v>
      </c>
      <c r="W211" s="4">
        <f t="shared" si="96"/>
        <v>1.3602924015846101</v>
      </c>
      <c r="X211" s="4">
        <f t="shared" si="97"/>
        <v>2.4177481969769699</v>
      </c>
      <c r="Y211" s="3">
        <f t="shared" si="84"/>
        <v>28.535379477703373</v>
      </c>
      <c r="AA211" s="3"/>
      <c r="AH211" s="3">
        <f t="shared" si="83"/>
        <v>144</v>
      </c>
      <c r="AI211" s="4">
        <f t="shared" si="74"/>
        <v>31.764798154723408</v>
      </c>
      <c r="AJ211" s="4">
        <f t="shared" si="75"/>
        <v>25.918067783709759</v>
      </c>
      <c r="AK211" s="4">
        <f t="shared" si="76"/>
        <v>5.4939433106477606</v>
      </c>
      <c r="AL211" s="3">
        <f t="shared" si="80"/>
        <v>103.36111111111111</v>
      </c>
      <c r="AM211" s="4">
        <f t="shared" si="77"/>
        <v>5.9536632878451883</v>
      </c>
      <c r="AN211" s="4">
        <f t="shared" si="78"/>
        <v>3.9912682829594637</v>
      </c>
      <c r="AO211" s="4">
        <f t="shared" si="79"/>
        <v>1.6378413985710651</v>
      </c>
      <c r="AP211" s="4">
        <f t="shared" si="98"/>
        <v>0</v>
      </c>
      <c r="AR211" s="3">
        <f t="shared" si="81"/>
        <v>144</v>
      </c>
      <c r="AS211" s="4">
        <f t="shared" si="82"/>
        <v>0</v>
      </c>
    </row>
    <row r="212" spans="4:45" x14ac:dyDescent="0.25">
      <c r="D212" s="1">
        <v>42438</v>
      </c>
      <c r="E212" s="3">
        <v>99.455899000000002</v>
      </c>
      <c r="F212" s="3">
        <v>195.188503</v>
      </c>
      <c r="G212" s="3">
        <f t="shared" si="85"/>
        <v>8.8523000000009233E-2</v>
      </c>
      <c r="H212" s="3">
        <f t="shared" si="86"/>
        <v>0.95940799999999626</v>
      </c>
      <c r="I212" s="4">
        <f t="shared" si="87"/>
        <v>0.10504199370317567</v>
      </c>
      <c r="J212" s="4">
        <f t="shared" si="88"/>
        <v>1.1223194876949572</v>
      </c>
      <c r="K212" s="4">
        <f t="shared" si="89"/>
        <v>6.0207507936517177E-2</v>
      </c>
      <c r="L212" s="4">
        <f t="shared" si="90"/>
        <v>0.89361936507936135</v>
      </c>
      <c r="M212" s="4">
        <f t="shared" si="91"/>
        <v>8.9046924560946545E-4</v>
      </c>
      <c r="N212" s="4">
        <f t="shared" si="92"/>
        <v>4.9274092700371495E-3</v>
      </c>
      <c r="O212" s="4">
        <f t="shared" si="93"/>
        <v>6.3450101694842291E-4</v>
      </c>
      <c r="P212" s="4">
        <f t="shared" si="94"/>
        <v>4.6144215529767586E-3</v>
      </c>
      <c r="S212" s="4">
        <v>-0.28281105769975345</v>
      </c>
      <c r="T212" s="4">
        <v>0.96163126401258037</v>
      </c>
      <c r="U212" s="4">
        <f t="shared" si="95"/>
        <v>0.5898694973331341</v>
      </c>
      <c r="W212" s="4">
        <f t="shared" si="96"/>
        <v>-0.45259247744664288</v>
      </c>
      <c r="X212" s="4">
        <f t="shared" si="97"/>
        <v>1.1057850509979992</v>
      </c>
      <c r="Y212" s="3">
        <f t="shared" si="84"/>
        <v>183.63750772523326</v>
      </c>
      <c r="AA212" s="3"/>
      <c r="AH212" s="3">
        <f t="shared" si="83"/>
        <v>144.5</v>
      </c>
      <c r="AI212" s="4">
        <f t="shared" si="74"/>
        <v>32.182022679786272</v>
      </c>
      <c r="AJ212" s="4">
        <f t="shared" si="75"/>
        <v>26.299986336109285</v>
      </c>
      <c r="AK212" s="4">
        <f t="shared" si="76"/>
        <v>5.5321937768568166</v>
      </c>
      <c r="AL212" s="3">
        <f t="shared" si="80"/>
        <v>103.00346020761246</v>
      </c>
      <c r="AM212" s="4">
        <f t="shared" si="77"/>
        <v>5.8198223438695109</v>
      </c>
      <c r="AN212" s="4">
        <f t="shared" si="78"/>
        <v>3.8918559233441634</v>
      </c>
      <c r="AO212" s="4">
        <f t="shared" si="79"/>
        <v>1.6066822469453479</v>
      </c>
      <c r="AP212" s="4">
        <f t="shared" si="98"/>
        <v>0</v>
      </c>
      <c r="AR212" s="3">
        <f t="shared" si="81"/>
        <v>144.5</v>
      </c>
      <c r="AS212" s="4">
        <f t="shared" si="82"/>
        <v>0</v>
      </c>
    </row>
    <row r="213" spans="4:45" x14ac:dyDescent="0.25">
      <c r="D213" s="1">
        <v>42437</v>
      </c>
      <c r="E213" s="3">
        <v>99.367375999999993</v>
      </c>
      <c r="F213" s="3">
        <v>194.229095</v>
      </c>
      <c r="G213" s="3">
        <f t="shared" si="85"/>
        <v>-0.82618000000000791</v>
      </c>
      <c r="H213" s="3">
        <f t="shared" si="86"/>
        <v>-2.1439629999999852</v>
      </c>
      <c r="I213" s="4">
        <f t="shared" si="87"/>
        <v>-0.97226698995213756</v>
      </c>
      <c r="J213" s="4">
        <f t="shared" si="88"/>
        <v>-2.4806348345287654</v>
      </c>
      <c r="K213" s="4">
        <f t="shared" si="89"/>
        <v>-0.85449549206349995</v>
      </c>
      <c r="L213" s="4">
        <f t="shared" si="90"/>
        <v>-2.2097516349206199</v>
      </c>
      <c r="M213" s="4">
        <f t="shared" si="91"/>
        <v>-8.2800246709041833E-3</v>
      </c>
      <c r="N213" s="4">
        <f t="shared" si="92"/>
        <v>-1.0977842875573077E-2</v>
      </c>
      <c r="O213" s="4">
        <f t="shared" si="93"/>
        <v>-8.5359928995652253E-3</v>
      </c>
      <c r="P213" s="4">
        <f t="shared" si="94"/>
        <v>-1.1290830592633468E-2</v>
      </c>
      <c r="S213" s="4">
        <v>1.5224037553365837</v>
      </c>
      <c r="T213" s="4">
        <v>5.9882125516710669E-2</v>
      </c>
      <c r="U213" s="4">
        <f t="shared" si="95"/>
        <v>0.97555937987652463</v>
      </c>
      <c r="W213" s="4">
        <f t="shared" si="96"/>
        <v>2.6170972204313889</v>
      </c>
      <c r="X213" s="4">
        <f t="shared" si="97"/>
        <v>1.7857932517541266</v>
      </c>
      <c r="Y213" s="3">
        <f t="shared" si="84"/>
        <v>-223.36355816169817</v>
      </c>
      <c r="AA213" s="3"/>
      <c r="AH213" s="3">
        <f t="shared" si="83"/>
        <v>145</v>
      </c>
      <c r="AI213" s="4">
        <f t="shared" si="74"/>
        <v>32.600815833628403</v>
      </c>
      <c r="AJ213" s="4">
        <f t="shared" si="75"/>
        <v>26.683912564640366</v>
      </c>
      <c r="AK213" s="4">
        <f t="shared" si="76"/>
        <v>5.5700366533910408</v>
      </c>
      <c r="AL213" s="3">
        <f t="shared" si="80"/>
        <v>102.64827586206897</v>
      </c>
      <c r="AM213" s="4">
        <f t="shared" si="77"/>
        <v>5.6887391804034735</v>
      </c>
      <c r="AN213" s="4">
        <f t="shared" si="78"/>
        <v>3.7947555408820683</v>
      </c>
      <c r="AO213" s="4">
        <f t="shared" si="79"/>
        <v>1.5759854062940104</v>
      </c>
      <c r="AP213" s="4">
        <f t="shared" si="98"/>
        <v>0</v>
      </c>
      <c r="AR213" s="3">
        <f t="shared" si="81"/>
        <v>145</v>
      </c>
      <c r="AS213" s="4">
        <f t="shared" si="82"/>
        <v>0</v>
      </c>
    </row>
    <row r="214" spans="4:45" x14ac:dyDescent="0.25">
      <c r="D214" s="1">
        <v>42436</v>
      </c>
      <c r="E214" s="3">
        <v>100.193556</v>
      </c>
      <c r="F214" s="3">
        <v>196.37305799999999</v>
      </c>
      <c r="G214" s="3">
        <f t="shared" si="85"/>
        <v>-1.1212390000000028</v>
      </c>
      <c r="H214" s="3">
        <f t="shared" si="86"/>
        <v>0.15663999999998168</v>
      </c>
      <c r="I214" s="4">
        <f t="shared" si="87"/>
        <v>-1.3048962392408368</v>
      </c>
      <c r="J214" s="4">
        <f t="shared" si="88"/>
        <v>0.18138225057434204</v>
      </c>
      <c r="K214" s="4">
        <f t="shared" si="89"/>
        <v>-1.1495544920634948</v>
      </c>
      <c r="L214" s="4">
        <f t="shared" si="90"/>
        <v>9.0851365079346796E-2</v>
      </c>
      <c r="M214" s="4">
        <f t="shared" si="91"/>
        <v>-1.1128576717401773E-2</v>
      </c>
      <c r="N214" s="4">
        <f t="shared" si="92"/>
        <v>7.9798373562136801E-4</v>
      </c>
      <c r="O214" s="4">
        <f t="shared" si="93"/>
        <v>-1.1384544946062815E-2</v>
      </c>
      <c r="P214" s="4">
        <f t="shared" si="94"/>
        <v>4.8499601856097742E-4</v>
      </c>
      <c r="S214" s="4">
        <v>-0.98690310350763655</v>
      </c>
      <c r="T214" s="4">
        <v>3.5152635883308615E-2</v>
      </c>
      <c r="U214" s="4">
        <f t="shared" si="95"/>
        <v>-0.57377293762602899</v>
      </c>
      <c r="W214" s="4">
        <f t="shared" si="96"/>
        <v>-1.6498705430631033</v>
      </c>
      <c r="X214" s="4">
        <f t="shared" si="97"/>
        <v>-0.94582800481255558</v>
      </c>
      <c r="Y214" s="3">
        <f t="shared" si="84"/>
        <v>176.90916803289929</v>
      </c>
      <c r="AA214" s="3"/>
      <c r="AH214" s="3">
        <f t="shared" si="83"/>
        <v>145.5</v>
      </c>
      <c r="AI214" s="4">
        <f t="shared" si="74"/>
        <v>33.021149645309592</v>
      </c>
      <c r="AJ214" s="4">
        <f t="shared" si="75"/>
        <v>27.069818074681265</v>
      </c>
      <c r="AK214" s="4">
        <f t="shared" si="76"/>
        <v>5.6074705317549851</v>
      </c>
      <c r="AL214" s="3">
        <f t="shared" si="80"/>
        <v>102.29553264604812</v>
      </c>
      <c r="AM214" s="4">
        <f t="shared" si="77"/>
        <v>5.5603648770559246</v>
      </c>
      <c r="AN214" s="4">
        <f t="shared" si="78"/>
        <v>3.6999191420872677</v>
      </c>
      <c r="AO214" s="4">
        <f t="shared" si="79"/>
        <v>1.5457482215557079</v>
      </c>
      <c r="AP214" s="4">
        <f t="shared" si="98"/>
        <v>0</v>
      </c>
      <c r="AR214" s="3">
        <f t="shared" si="81"/>
        <v>145.5</v>
      </c>
      <c r="AS214" s="4">
        <f t="shared" si="82"/>
        <v>0</v>
      </c>
    </row>
    <row r="215" spans="4:45" x14ac:dyDescent="0.25">
      <c r="D215" s="1">
        <v>42433</v>
      </c>
      <c r="E215" s="3">
        <v>101.314795</v>
      </c>
      <c r="F215" s="3">
        <v>196.216418</v>
      </c>
      <c r="G215" s="3">
        <f t="shared" si="85"/>
        <v>1.4851519999999994</v>
      </c>
      <c r="H215" s="3">
        <f t="shared" si="86"/>
        <v>0.63633000000001516</v>
      </c>
      <c r="I215" s="4">
        <f t="shared" si="87"/>
        <v>1.754131067669028</v>
      </c>
      <c r="J215" s="4">
        <f t="shared" si="88"/>
        <v>0.73923958841000958</v>
      </c>
      <c r="K215" s="4">
        <f t="shared" si="89"/>
        <v>1.4568365079365073</v>
      </c>
      <c r="L215" s="4">
        <f t="shared" si="90"/>
        <v>0.57054136507938025</v>
      </c>
      <c r="M215" s="4">
        <f t="shared" si="91"/>
        <v>1.4767288660250602E-2</v>
      </c>
      <c r="N215" s="4">
        <f t="shared" si="92"/>
        <v>3.2482707209593453E-3</v>
      </c>
      <c r="O215" s="4">
        <f t="shared" si="93"/>
        <v>1.451132043158956E-2</v>
      </c>
      <c r="P215" s="4">
        <f t="shared" si="94"/>
        <v>2.9352830038989548E-3</v>
      </c>
      <c r="S215" s="4">
        <v>-0.58466239016009636</v>
      </c>
      <c r="T215" s="4">
        <v>-0.57662792171088706</v>
      </c>
      <c r="U215" s="4">
        <f t="shared" si="95"/>
        <v>-0.81351158938104429</v>
      </c>
      <c r="W215" s="4">
        <f t="shared" si="96"/>
        <v>-0.96587761052494103</v>
      </c>
      <c r="X215" s="4">
        <f t="shared" si="97"/>
        <v>-1.3685102078213092</v>
      </c>
      <c r="Y215" s="3">
        <f t="shared" si="84"/>
        <v>20.355722092168435</v>
      </c>
      <c r="AA215" s="3"/>
      <c r="AH215" s="3">
        <f t="shared" si="83"/>
        <v>146</v>
      </c>
      <c r="AI215" s="4">
        <f t="shared" ref="AI215:AI223" si="99">AH215*EXP(-$B$9*$B$7)*NORMSDIST((LN(AH215/$AG$15)+($B$8-$B$9+0.5*$B$6^2)*$B$7)/($B$6*SQRT($B$7)))-$AG$15*EXP(-$B$8*$B$7)*NORMSDIST((LN(AH215/$AG$15)+($B$8-$B$9-0.5*$B$6^2)*$B$7)/($B$6*SQRT($B$7)))</f>
        <v>33.44299644899354</v>
      </c>
      <c r="AJ215" s="4">
        <f t="shared" ref="AJ215:AJ223" si="100">AH215*EXP(-$B$9*$B$7)*NORMSDIST((LN(AH215/$AG$10)+($B$8-$B$9+0.5*$B$6^2)*$B$7)/($B$6*SQRT($B$7)))-$AG$10*EXP(-$B$8*$B$7)*NORMSDIST((LN(AH215/$AG$10)+($B$8-$B$9-0.5*$B$6^2)*$B$7)/($B$6*SQRT($B$7)))</f>
        <v>27.457674598296421</v>
      </c>
      <c r="AK215" s="4">
        <f t="shared" ref="AK215:AK223" si="101">EXP(-$B$8*$B$7)*NORMSDIST((LN(AH215/$AG$10)+($B$8-$B$9-0.5*$B$6^2)*$B$7)/($B$6*SQRT($B$7)))*($AG$10-$AG$15)</f>
        <v>5.6444942069610029</v>
      </c>
      <c r="AL215" s="3">
        <f t="shared" si="80"/>
        <v>101.94520547945206</v>
      </c>
      <c r="AM215" s="4">
        <f t="shared" ref="AM215:AM223" si="102">AL215*EXP(-$B$9*$B$7)*NORMSDIST((LN(AL215/$AG$15)+($B$8-$B$9+0.5*$B$6^2)*$B$7)/($B$6*SQRT($B$7)))-$AG$15*EXP(-$B$8*$B$7)*NORMSDIST((LN(AL215/$AG$15)+($B$8-$B$9-0.5*$B$6^2)*$B$7)/($B$6*SQRT($B$7)))</f>
        <v>5.4346511431745128</v>
      </c>
      <c r="AN215" s="4">
        <f t="shared" ref="AN215:AN223" si="103">AL215*EXP(-$B$9*$B$7)*NORMSDIST((LN(AL215/$AG$10)+($B$8-$B$9+0.5*$B$6^2)*$B$7)/($B$6*SQRT($B$7)))-$AG$10*EXP(-$B$8*$B$7)*NORMSDIST((LN(AL215/$AG$10)+($B$8-$B$9-0.5*$B$6^2)*$B$7)/($B$6*SQRT($B$7)))</f>
        <v>3.607299533134146</v>
      </c>
      <c r="AO215" s="4">
        <f t="shared" ref="AO215:AO223" si="104">EXP(-$B$8*$B$7)*NORMSDIST((LN(AL215/$AG$10)+($B$8-$B$9-0.5*$B$6^2)*$B$7)/($B$6*SQRT($B$7)))*($AG$10-$AG$15)</f>
        <v>1.5159679026501627</v>
      </c>
      <c r="AP215" s="4">
        <f t="shared" si="98"/>
        <v>0</v>
      </c>
      <c r="AR215" s="3">
        <f t="shared" si="81"/>
        <v>146</v>
      </c>
      <c r="AS215" s="4">
        <f t="shared" si="82"/>
        <v>0</v>
      </c>
    </row>
    <row r="216" spans="4:45" x14ac:dyDescent="0.25">
      <c r="D216" s="1">
        <v>42432</v>
      </c>
      <c r="E216" s="3">
        <v>99.829643000000004</v>
      </c>
      <c r="F216" s="3">
        <v>195.58008799999999</v>
      </c>
      <c r="G216" s="3">
        <f t="shared" si="85"/>
        <v>0.73765800000001036</v>
      </c>
      <c r="H216" s="3">
        <f t="shared" si="86"/>
        <v>0.7636009999999942</v>
      </c>
      <c r="I216" s="4">
        <f t="shared" si="87"/>
        <v>0.87774261188362734</v>
      </c>
      <c r="J216" s="4">
        <f t="shared" si="88"/>
        <v>0.8905703579143468</v>
      </c>
      <c r="K216" s="4">
        <f t="shared" si="89"/>
        <v>0.70934250793651832</v>
      </c>
      <c r="L216" s="4">
        <f t="shared" si="90"/>
        <v>0.69781236507935929</v>
      </c>
      <c r="M216" s="4">
        <f t="shared" si="91"/>
        <v>7.4166030985663703E-3</v>
      </c>
      <c r="N216" s="4">
        <f t="shared" si="92"/>
        <v>3.9119296771201115E-3</v>
      </c>
      <c r="O216" s="4">
        <f t="shared" si="93"/>
        <v>7.1606348699053274E-3</v>
      </c>
      <c r="P216" s="4">
        <f t="shared" si="94"/>
        <v>3.598941960059721E-3</v>
      </c>
      <c r="S216" s="4">
        <v>-0.42617726045080984</v>
      </c>
      <c r="T216" s="4">
        <v>-0.49624182075085577</v>
      </c>
      <c r="U216" s="4">
        <f t="shared" si="95"/>
        <v>-0.653174097548614</v>
      </c>
      <c r="W216" s="4">
        <f t="shared" si="96"/>
        <v>-0.69638050335397983</v>
      </c>
      <c r="X216" s="4">
        <f t="shared" si="97"/>
        <v>-1.0858198540694057</v>
      </c>
      <c r="Y216" s="3">
        <f t="shared" si="84"/>
        <v>4.2717364349264244</v>
      </c>
      <c r="AA216" s="3"/>
      <c r="AH216" s="3">
        <f t="shared" si="83"/>
        <v>146.5</v>
      </c>
      <c r="AI216" s="4">
        <f t="shared" si="99"/>
        <v>33.86632888775749</v>
      </c>
      <c r="AJ216" s="4">
        <f t="shared" si="100"/>
        <v>27.847454003444298</v>
      </c>
      <c r="AK216" s="4">
        <f t="shared" si="101"/>
        <v>5.681106672965095</v>
      </c>
      <c r="AL216" s="3">
        <f t="shared" ref="AL216:AL223" si="105">$AG$10^2/AH216</f>
        <v>101.59726962457339</v>
      </c>
      <c r="AM216" s="4">
        <f t="shared" si="102"/>
        <v>5.3115503166450218</v>
      </c>
      <c r="AN216" s="4">
        <f t="shared" si="103"/>
        <v>3.5168503130826636</v>
      </c>
      <c r="AO216" s="4">
        <f t="shared" si="104"/>
        <v>1.4866415304618656</v>
      </c>
      <c r="AP216" s="4">
        <f t="shared" si="98"/>
        <v>0</v>
      </c>
      <c r="AR216" s="3">
        <f t="shared" ref="AR216:AR223" si="106">AH216</f>
        <v>146.5</v>
      </c>
      <c r="AS216" s="4">
        <f t="shared" ref="AS216:AS223" si="107">AP216</f>
        <v>0</v>
      </c>
    </row>
    <row r="217" spans="4:45" x14ac:dyDescent="0.25">
      <c r="D217" s="1">
        <v>42431</v>
      </c>
      <c r="E217" s="3">
        <v>99.091984999999994</v>
      </c>
      <c r="F217" s="3">
        <v>194.816487</v>
      </c>
      <c r="G217" s="3">
        <f t="shared" si="85"/>
        <v>0.21638099999999838</v>
      </c>
      <c r="H217" s="3">
        <f t="shared" si="86"/>
        <v>0.87128899999999021</v>
      </c>
      <c r="I217" s="4">
        <f t="shared" si="87"/>
        <v>0.25803619440366515</v>
      </c>
      <c r="J217" s="4">
        <f t="shared" si="88"/>
        <v>1.0207294732248062</v>
      </c>
      <c r="K217" s="4">
        <f t="shared" si="89"/>
        <v>0.18806550793650634</v>
      </c>
      <c r="L217" s="4">
        <f t="shared" si="90"/>
        <v>0.8055003650793553</v>
      </c>
      <c r="M217" s="4">
        <f t="shared" si="91"/>
        <v>2.186025371743487E-3</v>
      </c>
      <c r="N217" s="4">
        <f t="shared" si="92"/>
        <v>4.4823885296910995E-3</v>
      </c>
      <c r="O217" s="4">
        <f t="shared" si="93"/>
        <v>1.9300571430824443E-3</v>
      </c>
      <c r="P217" s="4">
        <f t="shared" si="94"/>
        <v>4.1694008126307086E-3</v>
      </c>
      <c r="S217" s="4">
        <v>1.0569672534046408</v>
      </c>
      <c r="T217" s="4">
        <v>0.27922918460782337</v>
      </c>
      <c r="U217" s="4">
        <f t="shared" si="95"/>
        <v>0.86569356666733621</v>
      </c>
      <c r="W217" s="4">
        <f t="shared" si="96"/>
        <v>1.8256425831886607</v>
      </c>
      <c r="X217" s="4">
        <f t="shared" si="97"/>
        <v>1.5920893011284991</v>
      </c>
      <c r="Y217" s="3">
        <f t="shared" si="84"/>
        <v>-124.82151423543928</v>
      </c>
      <c r="AA217" s="3"/>
      <c r="AH217" s="3">
        <f t="shared" ref="AH217:AH223" si="108">AH216+0.5</f>
        <v>147</v>
      </c>
      <c r="AI217" s="4">
        <f t="shared" si="99"/>
        <v>34.291119917063241</v>
      </c>
      <c r="AJ217" s="4">
        <f t="shared" si="100"/>
        <v>28.239128302821314</v>
      </c>
      <c r="AK217" s="4">
        <f t="shared" si="101"/>
        <v>5.7173071180705453</v>
      </c>
      <c r="AL217" s="3">
        <f t="shared" si="105"/>
        <v>101.25170068027211</v>
      </c>
      <c r="AM217" s="4">
        <f t="shared" si="102"/>
        <v>5.1910153624801652</v>
      </c>
      <c r="AN217" s="4">
        <f t="shared" si="103"/>
        <v>3.4285258669338603</v>
      </c>
      <c r="AO217" s="4">
        <f t="shared" si="104"/>
        <v>1.4577660627286837</v>
      </c>
      <c r="AP217" s="4">
        <f t="shared" si="98"/>
        <v>0</v>
      </c>
      <c r="AR217" s="3">
        <f t="shared" si="106"/>
        <v>147</v>
      </c>
      <c r="AS217" s="4">
        <f t="shared" si="107"/>
        <v>0</v>
      </c>
    </row>
    <row r="218" spans="4:45" x14ac:dyDescent="0.25">
      <c r="D218" s="1">
        <v>42430</v>
      </c>
      <c r="E218" s="3">
        <v>98.875603999999996</v>
      </c>
      <c r="F218" s="3">
        <v>193.945198</v>
      </c>
      <c r="G218" s="3">
        <f t="shared" si="85"/>
        <v>3.7768019999999893</v>
      </c>
      <c r="H218" s="3">
        <f t="shared" si="86"/>
        <v>4.4543500000000051</v>
      </c>
      <c r="I218" s="4">
        <f t="shared" si="87"/>
        <v>4.682737632459415</v>
      </c>
      <c r="J218" s="4">
        <f t="shared" si="88"/>
        <v>5.3410120085612318</v>
      </c>
      <c r="K218" s="4">
        <f t="shared" si="89"/>
        <v>3.7484865079364971</v>
      </c>
      <c r="L218" s="4">
        <f t="shared" si="90"/>
        <v>4.3885613650793704</v>
      </c>
      <c r="M218" s="4">
        <f t="shared" si="91"/>
        <v>3.8946162586332267E-2</v>
      </c>
      <c r="N218" s="4">
        <f t="shared" si="92"/>
        <v>2.3234906779270415E-2</v>
      </c>
      <c r="O218" s="4">
        <f t="shared" si="93"/>
        <v>3.8690194357671223E-2</v>
      </c>
      <c r="P218" s="4">
        <f t="shared" si="94"/>
        <v>2.2921919062210024E-2</v>
      </c>
      <c r="S218" s="4">
        <v>1.5104549202519806</v>
      </c>
      <c r="T218" s="4">
        <v>-1.1658581253975684</v>
      </c>
      <c r="U218" s="4">
        <f t="shared" si="95"/>
        <v>-3.3594107846469656E-3</v>
      </c>
      <c r="W218" s="4">
        <f t="shared" si="96"/>
        <v>2.5967787432640339</v>
      </c>
      <c r="X218" s="4">
        <f t="shared" si="97"/>
        <v>5.9865671973813192E-2</v>
      </c>
      <c r="Y218" s="3">
        <f t="shared" si="84"/>
        <v>-392.96810727216916</v>
      </c>
      <c r="AA218" s="3"/>
      <c r="AH218" s="3">
        <f t="shared" si="108"/>
        <v>147.5</v>
      </c>
      <c r="AI218" s="4">
        <f t="shared" si="99"/>
        <v>34.717342807898405</v>
      </c>
      <c r="AJ218" s="4">
        <f t="shared" si="100"/>
        <v>28.632669662346331</v>
      </c>
      <c r="AK218" s="4">
        <f t="shared" si="101"/>
        <v>5.7530949203057178</v>
      </c>
      <c r="AL218" s="3">
        <f t="shared" si="105"/>
        <v>100.90847457627119</v>
      </c>
      <c r="AM218" s="4">
        <f t="shared" si="102"/>
        <v>5.0729998712022066</v>
      </c>
      <c r="AN218" s="4">
        <f t="shared" si="103"/>
        <v>3.3422813585248292</v>
      </c>
      <c r="AO218" s="4">
        <f t="shared" si="104"/>
        <v>1.4293383398324249</v>
      </c>
      <c r="AP218" s="4">
        <f t="shared" si="98"/>
        <v>0</v>
      </c>
      <c r="AR218" s="3">
        <f t="shared" si="106"/>
        <v>147.5</v>
      </c>
      <c r="AS218" s="4">
        <f t="shared" si="107"/>
        <v>0</v>
      </c>
    </row>
    <row r="219" spans="4:45" x14ac:dyDescent="0.25">
      <c r="D219" s="1">
        <v>42429</v>
      </c>
      <c r="E219" s="3">
        <v>95.098802000000006</v>
      </c>
      <c r="F219" s="3">
        <v>189.490848</v>
      </c>
      <c r="G219" s="3">
        <f t="shared" si="85"/>
        <v>-0.21638099999999838</v>
      </c>
      <c r="H219" s="3">
        <f t="shared" si="86"/>
        <v>-1.4978340000000117</v>
      </c>
      <c r="I219" s="4">
        <f t="shared" si="87"/>
        <v>-0.2676749262027206</v>
      </c>
      <c r="J219" s="4">
        <f t="shared" si="88"/>
        <v>-1.7819007391487243</v>
      </c>
      <c r="K219" s="4">
        <f t="shared" si="89"/>
        <v>-0.24469649206349042</v>
      </c>
      <c r="L219" s="4">
        <f t="shared" si="90"/>
        <v>-1.5636226349206466</v>
      </c>
      <c r="M219" s="4">
        <f t="shared" si="91"/>
        <v>-2.2727437077748815E-3</v>
      </c>
      <c r="N219" s="4">
        <f t="shared" si="92"/>
        <v>-7.8734419046856303E-3</v>
      </c>
      <c r="O219" s="4">
        <f t="shared" si="93"/>
        <v>-2.5287119364359239E-3</v>
      </c>
      <c r="P219" s="4">
        <f t="shared" si="94"/>
        <v>-8.1864296217460213E-3</v>
      </c>
      <c r="S219" s="4">
        <v>-1.1285980453166462</v>
      </c>
      <c r="T219" s="4">
        <v>0.65517848526265199</v>
      </c>
      <c r="U219" s="4">
        <f t="shared" si="95"/>
        <v>-0.16866379329020331</v>
      </c>
      <c r="W219" s="4">
        <f t="shared" si="96"/>
        <v>-1.8908166620354767</v>
      </c>
      <c r="X219" s="4">
        <f t="shared" si="97"/>
        <v>-0.23158178571795027</v>
      </c>
      <c r="Y219" s="3">
        <f t="shared" si="84"/>
        <v>289.18217252548948</v>
      </c>
      <c r="AA219" s="3"/>
      <c r="AH219" s="3">
        <f t="shared" si="108"/>
        <v>148</v>
      </c>
      <c r="AI219" s="4">
        <f t="shared" si="99"/>
        <v>35.144971149598504</v>
      </c>
      <c r="AJ219" s="4">
        <f t="shared" si="100"/>
        <v>29.028050409290572</v>
      </c>
      <c r="AK219" s="4">
        <f t="shared" si="101"/>
        <v>5.7884696427820836</v>
      </c>
      <c r="AL219" s="3">
        <f t="shared" si="105"/>
        <v>100.56756756756756</v>
      </c>
      <c r="AM219" s="4">
        <f t="shared" si="102"/>
        <v>4.9574580570238851</v>
      </c>
      <c r="AN219" s="4">
        <f t="shared" si="103"/>
        <v>3.2580727232718587</v>
      </c>
      <c r="AO219" s="4">
        <f t="shared" si="104"/>
        <v>1.4013550904886249</v>
      </c>
      <c r="AP219" s="4">
        <f t="shared" si="98"/>
        <v>0</v>
      </c>
      <c r="AR219" s="3">
        <f t="shared" si="106"/>
        <v>148</v>
      </c>
      <c r="AS219" s="4">
        <f t="shared" si="107"/>
        <v>0</v>
      </c>
    </row>
    <row r="220" spans="4:45" x14ac:dyDescent="0.25">
      <c r="D220" s="1">
        <v>42426</v>
      </c>
      <c r="E220" s="3">
        <v>95.315183000000005</v>
      </c>
      <c r="F220" s="3">
        <v>190.98868200000001</v>
      </c>
      <c r="G220" s="3">
        <f t="shared" si="85"/>
        <v>0.14753300000000991</v>
      </c>
      <c r="H220" s="3">
        <f t="shared" si="86"/>
        <v>-0.44053699999997775</v>
      </c>
      <c r="I220" s="4">
        <f t="shared" si="87"/>
        <v>0.18278917909744719</v>
      </c>
      <c r="J220" s="4">
        <f t="shared" si="88"/>
        <v>-0.52287950280857565</v>
      </c>
      <c r="K220" s="4">
        <f t="shared" si="89"/>
        <v>0.11921750793651785</v>
      </c>
      <c r="L220" s="4">
        <f t="shared" si="90"/>
        <v>-0.50632563492061267</v>
      </c>
      <c r="M220" s="4">
        <f t="shared" si="91"/>
        <v>1.5490427896027166E-3</v>
      </c>
      <c r="N220" s="4">
        <f t="shared" si="92"/>
        <v>-2.3039569733538821E-3</v>
      </c>
      <c r="O220" s="4">
        <f t="shared" si="93"/>
        <v>1.2930745609416739E-3</v>
      </c>
      <c r="P220" s="4">
        <f t="shared" si="94"/>
        <v>-2.6169446904142726E-3</v>
      </c>
      <c r="S220" s="4">
        <v>1.1885547355488395</v>
      </c>
      <c r="T220" s="4">
        <v>1.0058499547449471</v>
      </c>
      <c r="U220" s="4">
        <f t="shared" si="95"/>
        <v>1.5218987170265694</v>
      </c>
      <c r="W220" s="4">
        <f t="shared" si="96"/>
        <v>2.049401404239076</v>
      </c>
      <c r="X220" s="4">
        <f t="shared" si="97"/>
        <v>2.7490418265100414</v>
      </c>
      <c r="Y220" s="3">
        <f t="shared" si="84"/>
        <v>-42.778538691943595</v>
      </c>
      <c r="AA220" s="3"/>
      <c r="AH220" s="3">
        <f t="shared" si="108"/>
        <v>148.5</v>
      </c>
      <c r="AI220" s="4">
        <f t="shared" si="99"/>
        <v>35.573978852359005</v>
      </c>
      <c r="AJ220" s="4">
        <f t="shared" si="100"/>
        <v>29.425243040058064</v>
      </c>
      <c r="AK220" s="4">
        <f t="shared" si="101"/>
        <v>5.8234310290384146</v>
      </c>
      <c r="AL220" s="3">
        <f t="shared" si="105"/>
        <v>100.22895622895624</v>
      </c>
      <c r="AM220" s="4">
        <f t="shared" si="102"/>
        <v>4.8443447558322603</v>
      </c>
      <c r="AN220" s="4">
        <f t="shared" si="103"/>
        <v>3.1758566607707763</v>
      </c>
      <c r="AO220" s="4">
        <f t="shared" si="104"/>
        <v>1.373812937333164</v>
      </c>
      <c r="AP220" s="4">
        <f t="shared" si="98"/>
        <v>0</v>
      </c>
      <c r="AR220" s="3">
        <f t="shared" si="106"/>
        <v>148.5</v>
      </c>
      <c r="AS220" s="4">
        <f t="shared" si="107"/>
        <v>0</v>
      </c>
    </row>
    <row r="221" spans="4:45" x14ac:dyDescent="0.25">
      <c r="D221" s="1">
        <v>42425</v>
      </c>
      <c r="E221" s="3">
        <v>95.167649999999995</v>
      </c>
      <c r="F221" s="3">
        <v>191.42921899999999</v>
      </c>
      <c r="G221" s="3">
        <f t="shared" si="85"/>
        <v>0.64914299999999514</v>
      </c>
      <c r="H221" s="3">
        <f t="shared" si="86"/>
        <v>2.2908029999999826</v>
      </c>
      <c r="I221" s="4">
        <f t="shared" si="87"/>
        <v>0.80979330033822294</v>
      </c>
      <c r="J221" s="4">
        <f t="shared" si="88"/>
        <v>2.7519177577632723</v>
      </c>
      <c r="K221" s="4">
        <f t="shared" si="89"/>
        <v>0.6208275079365031</v>
      </c>
      <c r="L221" s="4">
        <f t="shared" si="90"/>
        <v>2.2250143650793479</v>
      </c>
      <c r="M221" s="4">
        <f t="shared" si="91"/>
        <v>6.844416528994513E-3</v>
      </c>
      <c r="N221" s="4">
        <f t="shared" si="92"/>
        <v>1.2039019916308302E-2</v>
      </c>
      <c r="O221" s="4">
        <f t="shared" si="93"/>
        <v>6.5884483003334701E-3</v>
      </c>
      <c r="P221" s="4">
        <f t="shared" si="94"/>
        <v>1.1726032199247911E-2</v>
      </c>
      <c r="S221" s="4">
        <v>-0.25201807253922615</v>
      </c>
      <c r="T221" s="4">
        <v>0.44704757488546826</v>
      </c>
      <c r="U221" s="4">
        <f t="shared" si="95"/>
        <v>0.20073520468792605</v>
      </c>
      <c r="W221" s="4">
        <f t="shared" si="96"/>
        <v>-0.40023033825325088</v>
      </c>
      <c r="X221" s="4">
        <f t="shared" si="97"/>
        <v>0.4197040253584251</v>
      </c>
      <c r="Y221" s="3">
        <f t="shared" si="84"/>
        <v>106.5225011383327</v>
      </c>
      <c r="AA221" s="3"/>
      <c r="AH221" s="3">
        <f t="shared" si="108"/>
        <v>149</v>
      </c>
      <c r="AI221" s="4">
        <f t="shared" si="99"/>
        <v>36.004340149447529</v>
      </c>
      <c r="AJ221" s="4">
        <f t="shared" si="100"/>
        <v>29.824220227622064</v>
      </c>
      <c r="AK221" s="4">
        <f t="shared" si="101"/>
        <v>5.8579789983767698</v>
      </c>
      <c r="AL221" s="3">
        <f t="shared" si="105"/>
        <v>99.892617449664428</v>
      </c>
      <c r="AM221" s="4">
        <f t="shared" si="102"/>
        <v>4.7336154229802005</v>
      </c>
      <c r="AN221" s="4">
        <f t="shared" si="103"/>
        <v>3.0955906272629576</v>
      </c>
      <c r="AO221" s="4">
        <f t="shared" si="104"/>
        <v>1.3467084024035063</v>
      </c>
      <c r="AP221" s="4">
        <f t="shared" si="98"/>
        <v>0</v>
      </c>
      <c r="AR221" s="3">
        <f t="shared" si="106"/>
        <v>149</v>
      </c>
      <c r="AS221" s="4">
        <f t="shared" si="107"/>
        <v>0</v>
      </c>
    </row>
    <row r="222" spans="4:45" x14ac:dyDescent="0.25">
      <c r="D222" s="1">
        <v>42424</v>
      </c>
      <c r="E222" s="3">
        <v>94.518507</v>
      </c>
      <c r="F222" s="3">
        <v>189.13841600000001</v>
      </c>
      <c r="G222" s="3">
        <f t="shared" si="85"/>
        <v>1.3867919999999998</v>
      </c>
      <c r="H222" s="3">
        <f t="shared" si="86"/>
        <v>0.86149000000000342</v>
      </c>
      <c r="I222" s="4">
        <f t="shared" si="87"/>
        <v>1.755756889768088</v>
      </c>
      <c r="J222" s="4">
        <f t="shared" si="88"/>
        <v>1.0396342934260079</v>
      </c>
      <c r="K222" s="4">
        <f t="shared" si="89"/>
        <v>1.3584765079365078</v>
      </c>
      <c r="L222" s="4">
        <f t="shared" si="90"/>
        <v>0.79570136507936851</v>
      </c>
      <c r="M222" s="4">
        <f t="shared" si="91"/>
        <v>1.4780875112478709E-2</v>
      </c>
      <c r="N222" s="4">
        <f t="shared" si="92"/>
        <v>4.5652171511732067E-3</v>
      </c>
      <c r="O222" s="4">
        <f t="shared" si="93"/>
        <v>1.4524906883817667E-2</v>
      </c>
      <c r="P222" s="4">
        <f t="shared" si="94"/>
        <v>4.2522294341128157E-3</v>
      </c>
      <c r="S222" s="4">
        <v>0.23677648803877988</v>
      </c>
      <c r="T222" s="4">
        <v>0.76845374336460326</v>
      </c>
      <c r="U222" s="4">
        <f t="shared" si="95"/>
        <v>0.75349137932017041</v>
      </c>
      <c r="W222" s="4">
        <f t="shared" si="96"/>
        <v>0.4309436672721082</v>
      </c>
      <c r="X222" s="4">
        <f t="shared" si="97"/>
        <v>1.3942660991411757</v>
      </c>
      <c r="Y222" s="3">
        <f t="shared" si="84"/>
        <v>70.846721931771299</v>
      </c>
      <c r="AA222" s="3"/>
      <c r="AH222" s="3">
        <f t="shared" si="108"/>
        <v>149.5</v>
      </c>
      <c r="AI222" s="4">
        <f t="shared" si="99"/>
        <v>36.436029599125433</v>
      </c>
      <c r="AJ222" s="4">
        <f t="shared" si="100"/>
        <v>30.224954828622984</v>
      </c>
      <c r="AK222" s="4">
        <f t="shared" si="101"/>
        <v>5.8921136411957207</v>
      </c>
      <c r="AL222" s="3">
        <f t="shared" si="105"/>
        <v>99.558528428093652</v>
      </c>
      <c r="AM222" s="4">
        <f t="shared" si="102"/>
        <v>4.6252261308906384</v>
      </c>
      <c r="AN222" s="4">
        <f t="shared" si="103"/>
        <v>3.017232827975775</v>
      </c>
      <c r="AO222" s="4">
        <f t="shared" si="104"/>
        <v>1.3200379125126556</v>
      </c>
      <c r="AP222" s="4">
        <f t="shared" si="98"/>
        <v>0</v>
      </c>
      <c r="AR222" s="3">
        <f t="shared" si="106"/>
        <v>149.5</v>
      </c>
      <c r="AS222" s="4">
        <f t="shared" si="107"/>
        <v>0</v>
      </c>
    </row>
    <row r="223" spans="4:45" x14ac:dyDescent="0.25">
      <c r="D223" s="1">
        <v>42423</v>
      </c>
      <c r="E223" s="3">
        <v>93.131715</v>
      </c>
      <c r="F223" s="3">
        <v>188.276926</v>
      </c>
      <c r="G223" s="3">
        <f t="shared" si="85"/>
        <v>-2.1539549999999963</v>
      </c>
      <c r="H223" s="3">
        <f t="shared" si="86"/>
        <v>-2.4082760000000007</v>
      </c>
      <c r="I223" s="4">
        <f t="shared" si="87"/>
        <v>-2.6653833956965363</v>
      </c>
      <c r="J223" s="4">
        <f t="shared" si="88"/>
        <v>-2.869569327240884</v>
      </c>
      <c r="K223" s="4">
        <f t="shared" si="89"/>
        <v>-2.1822704920634886</v>
      </c>
      <c r="L223" s="4">
        <f t="shared" si="90"/>
        <v>-2.4740646349206354</v>
      </c>
      <c r="M223" s="4">
        <f t="shared" si="91"/>
        <v>-2.2864650609924646E-2</v>
      </c>
      <c r="N223" s="4">
        <f t="shared" si="92"/>
        <v>-1.2710021621234933E-2</v>
      </c>
      <c r="O223" s="4">
        <f t="shared" si="93"/>
        <v>-2.312061883858569E-2</v>
      </c>
      <c r="P223" s="4">
        <f t="shared" si="94"/>
        <v>-1.3023009338295324E-2</v>
      </c>
      <c r="S223" s="4">
        <v>-0.54114896267372747</v>
      </c>
      <c r="T223" s="4">
        <v>-0.30243751516991479</v>
      </c>
      <c r="U223" s="4">
        <f t="shared" si="95"/>
        <v>-0.56963628618527629</v>
      </c>
      <c r="W223" s="4">
        <f t="shared" si="96"/>
        <v>-0.89188490942938403</v>
      </c>
      <c r="X223" s="4">
        <f t="shared" si="97"/>
        <v>-0.93853469215205299</v>
      </c>
      <c r="Y223" s="3">
        <f t="shared" si="84"/>
        <v>51.137868438416263</v>
      </c>
      <c r="AA223" s="3"/>
      <c r="AH223" s="3">
        <f t="shared" si="108"/>
        <v>150</v>
      </c>
      <c r="AI223" s="4">
        <f t="shared" si="99"/>
        <v>36.869022086288382</v>
      </c>
      <c r="AJ223" s="4">
        <f t="shared" si="100"/>
        <v>30.62741989013324</v>
      </c>
      <c r="AK223" s="4">
        <f t="shared" si="101"/>
        <v>5.9258352143260238</v>
      </c>
      <c r="AL223" s="3">
        <f t="shared" si="105"/>
        <v>99.226666666666674</v>
      </c>
      <c r="AM223" s="4">
        <f t="shared" si="102"/>
        <v>4.5191335664780574</v>
      </c>
      <c r="AN223" s="4">
        <f t="shared" si="103"/>
        <v>2.940742209345796</v>
      </c>
      <c r="AO223" s="4">
        <f t="shared" si="104"/>
        <v>1.2937978045141214</v>
      </c>
      <c r="AP223" s="4">
        <f t="shared" si="98"/>
        <v>0</v>
      </c>
      <c r="AR223" s="3">
        <f t="shared" si="106"/>
        <v>150</v>
      </c>
      <c r="AS223" s="4">
        <f t="shared" si="107"/>
        <v>0</v>
      </c>
    </row>
    <row r="224" spans="4:45" x14ac:dyDescent="0.25">
      <c r="D224" s="1">
        <v>42422</v>
      </c>
      <c r="E224" s="3">
        <v>95.285669999999996</v>
      </c>
      <c r="F224" s="3">
        <v>190.685202</v>
      </c>
      <c r="G224" s="3">
        <f t="shared" si="85"/>
        <v>0.82617299999999716</v>
      </c>
      <c r="H224" s="3">
        <f t="shared" si="86"/>
        <v>2.7215559999999925</v>
      </c>
      <c r="I224" s="4">
        <f t="shared" si="87"/>
        <v>1.0312786414127493</v>
      </c>
      <c r="J224" s="4">
        <f t="shared" si="88"/>
        <v>3.2898104020119416</v>
      </c>
      <c r="K224" s="4">
        <f t="shared" si="89"/>
        <v>0.79785750793650512</v>
      </c>
      <c r="L224" s="4">
        <f t="shared" si="90"/>
        <v>2.6557673650793578</v>
      </c>
      <c r="M224" s="4">
        <f t="shared" si="91"/>
        <v>8.708292644086315E-3</v>
      </c>
      <c r="N224" s="4">
        <f t="shared" si="92"/>
        <v>1.4375339482814055E-2</v>
      </c>
      <c r="O224" s="4">
        <f t="shared" si="93"/>
        <v>8.4523244154252729E-3</v>
      </c>
      <c r="P224" s="4">
        <f t="shared" si="94"/>
        <v>1.4062351765753664E-2</v>
      </c>
      <c r="S224" s="4">
        <v>-0.30907428622085997</v>
      </c>
      <c r="T224" s="4">
        <v>1.6950070620763873</v>
      </c>
      <c r="U224" s="4">
        <f t="shared" si="95"/>
        <v>1.1551999892541103</v>
      </c>
      <c r="W224" s="4">
        <f t="shared" si="96"/>
        <v>-0.49725196142719807</v>
      </c>
      <c r="X224" s="4">
        <f t="shared" si="97"/>
        <v>2.1025168504133251</v>
      </c>
      <c r="Y224" s="3">
        <f t="shared" si="84"/>
        <v>290.57747987644234</v>
      </c>
      <c r="AA224" s="3"/>
      <c r="AH224" s="3"/>
      <c r="AI224" s="4"/>
      <c r="AJ224" s="4"/>
      <c r="AK224" s="4"/>
      <c r="AL224" s="3"/>
      <c r="AM224" s="4"/>
      <c r="AN224" s="4"/>
      <c r="AO224" s="4"/>
      <c r="AP224" s="4"/>
    </row>
    <row r="225" spans="4:42" x14ac:dyDescent="0.25">
      <c r="D225" s="1">
        <v>42419</v>
      </c>
      <c r="E225" s="3">
        <v>94.459496999999999</v>
      </c>
      <c r="F225" s="3">
        <v>187.96364600000001</v>
      </c>
      <c r="G225" s="3">
        <f t="shared" si="85"/>
        <v>-0.21638099999999838</v>
      </c>
      <c r="H225" s="3">
        <f t="shared" si="86"/>
        <v>-8.8103999999987082E-2</v>
      </c>
      <c r="I225" s="4">
        <f t="shared" si="87"/>
        <v>-0.26948241848386989</v>
      </c>
      <c r="J225" s="4">
        <f t="shared" si="88"/>
        <v>-0.10645000887641334</v>
      </c>
      <c r="K225" s="4">
        <f t="shared" si="89"/>
        <v>-0.24469649206349042</v>
      </c>
      <c r="L225" s="4">
        <f t="shared" si="90"/>
        <v>-0.15389263492062197</v>
      </c>
      <c r="M225" s="4">
        <f t="shared" si="91"/>
        <v>-2.2881081278857481E-3</v>
      </c>
      <c r="N225" s="4">
        <f t="shared" si="92"/>
        <v>-4.6861911799120294E-4</v>
      </c>
      <c r="O225" s="4">
        <f t="shared" si="93"/>
        <v>-2.5440763565467905E-3</v>
      </c>
      <c r="P225" s="4">
        <f t="shared" si="94"/>
        <v>-7.8160683505159353E-4</v>
      </c>
      <c r="S225" s="4">
        <v>-0.47032479035445501</v>
      </c>
      <c r="T225" s="4">
        <v>-1.1729973428941805</v>
      </c>
      <c r="U225" s="4">
        <f t="shared" si="95"/>
        <v>-1.2165461179674923</v>
      </c>
      <c r="W225" s="4">
        <f t="shared" si="96"/>
        <v>-0.77145146817951282</v>
      </c>
      <c r="X225" s="4">
        <f t="shared" si="97"/>
        <v>-2.079098680662133</v>
      </c>
      <c r="Y225" s="3">
        <f t="shared" si="84"/>
        <v>-82.73941944129956</v>
      </c>
      <c r="AA225" s="3"/>
      <c r="AH225" s="3"/>
      <c r="AI225" s="4"/>
      <c r="AJ225" s="4"/>
      <c r="AK225" s="4"/>
      <c r="AL225" s="3"/>
      <c r="AM225" s="4"/>
      <c r="AN225" s="4"/>
      <c r="AO225" s="4"/>
      <c r="AP225" s="4"/>
    </row>
    <row r="226" spans="4:42" x14ac:dyDescent="0.25">
      <c r="D226" s="1">
        <v>42418</v>
      </c>
      <c r="E226" s="3">
        <v>94.675877999999997</v>
      </c>
      <c r="F226" s="3">
        <v>188.05175</v>
      </c>
      <c r="G226" s="3">
        <f t="shared" si="85"/>
        <v>-1.8293910000000011</v>
      </c>
      <c r="H226" s="3">
        <f t="shared" si="86"/>
        <v>-0.77340100000000689</v>
      </c>
      <c r="I226" s="4">
        <f t="shared" si="87"/>
        <v>-2.2351473900100123</v>
      </c>
      <c r="J226" s="4">
        <f t="shared" si="88"/>
        <v>-0.93061991844406655</v>
      </c>
      <c r="K226" s="4">
        <f t="shared" si="89"/>
        <v>-1.8577064920634931</v>
      </c>
      <c r="L226" s="4">
        <f t="shared" si="90"/>
        <v>-0.8391896349206418</v>
      </c>
      <c r="M226" s="4">
        <f t="shared" si="91"/>
        <v>-1.9138360314241657E-2</v>
      </c>
      <c r="N226" s="4">
        <f t="shared" si="92"/>
        <v>-4.1042689727640693E-3</v>
      </c>
      <c r="O226" s="4">
        <f t="shared" si="93"/>
        <v>-1.9394328542902701E-2</v>
      </c>
      <c r="P226" s="4">
        <f t="shared" si="94"/>
        <v>-4.4172566898244602E-3</v>
      </c>
      <c r="S226" s="4">
        <v>-1.0698540671429967E-2</v>
      </c>
      <c r="T226" s="4">
        <v>0.36930549094099796</v>
      </c>
      <c r="U226" s="4">
        <f t="shared" si="95"/>
        <v>0.28622344612197886</v>
      </c>
      <c r="W226" s="4">
        <f t="shared" si="96"/>
        <v>1.0123086459319433E-2</v>
      </c>
      <c r="X226" s="4">
        <f t="shared" si="97"/>
        <v>0.5704279822847147</v>
      </c>
      <c r="Y226" s="3">
        <f t="shared" si="84"/>
        <v>55.420834657059004</v>
      </c>
      <c r="AA226" s="3"/>
      <c r="AH226" s="3"/>
      <c r="AI226" s="4"/>
      <c r="AJ226" s="4"/>
      <c r="AK226" s="4"/>
      <c r="AL226" s="3"/>
      <c r="AM226" s="4"/>
      <c r="AN226" s="4"/>
      <c r="AO226" s="4"/>
      <c r="AP226" s="4"/>
    </row>
    <row r="227" spans="4:42" x14ac:dyDescent="0.25">
      <c r="D227" s="1">
        <v>42417</v>
      </c>
      <c r="E227" s="3">
        <v>96.505268999999998</v>
      </c>
      <c r="F227" s="3">
        <v>188.82515100000001</v>
      </c>
      <c r="G227" s="3">
        <f t="shared" si="85"/>
        <v>1.455646999999999</v>
      </c>
      <c r="H227" s="3">
        <f t="shared" si="86"/>
        <v>3.0348360000000127</v>
      </c>
      <c r="I227" s="4">
        <f t="shared" si="87"/>
        <v>1.8057446203477578</v>
      </c>
      <c r="J227" s="4">
        <f t="shared" si="88"/>
        <v>3.7114157904509439</v>
      </c>
      <c r="K227" s="4">
        <f t="shared" si="89"/>
        <v>1.427331507936507</v>
      </c>
      <c r="L227" s="4">
        <f t="shared" si="90"/>
        <v>2.9690473650793781</v>
      </c>
      <c r="M227" s="4">
        <f t="shared" si="91"/>
        <v>1.5198515818384101E-2</v>
      </c>
      <c r="N227" s="4">
        <f t="shared" si="92"/>
        <v>1.6202760802176478E-2</v>
      </c>
      <c r="O227" s="4">
        <f t="shared" si="93"/>
        <v>1.4942547589723059E-2</v>
      </c>
      <c r="P227" s="4">
        <f t="shared" si="94"/>
        <v>1.5889773085116087E-2</v>
      </c>
      <c r="S227" s="4">
        <v>0.96408792630087226</v>
      </c>
      <c r="T227" s="4">
        <v>-0.22013587730332421</v>
      </c>
      <c r="U227" s="4">
        <f t="shared" si="95"/>
        <v>0.41322955744065148</v>
      </c>
      <c r="W227" s="4">
        <f t="shared" si="96"/>
        <v>1.6677053053105053</v>
      </c>
      <c r="X227" s="4">
        <f t="shared" si="97"/>
        <v>0.79435192001758181</v>
      </c>
      <c r="Y227" s="3">
        <f t="shared" si="84"/>
        <v>-180.69126495424644</v>
      </c>
      <c r="AA227" s="3"/>
      <c r="AH227" s="3"/>
      <c r="AI227" s="4"/>
      <c r="AJ227" s="4"/>
      <c r="AK227" s="4"/>
      <c r="AL227" s="3"/>
      <c r="AM227" s="4"/>
      <c r="AN227" s="4"/>
      <c r="AO227" s="4"/>
      <c r="AP227" s="4"/>
    </row>
    <row r="228" spans="4:42" x14ac:dyDescent="0.25">
      <c r="D228" s="1">
        <v>42416</v>
      </c>
      <c r="E228" s="3">
        <v>95.049621999999999</v>
      </c>
      <c r="F228" s="3">
        <v>185.79031499999999</v>
      </c>
      <c r="G228" s="3">
        <f t="shared" si="85"/>
        <v>2.6063919999999996</v>
      </c>
      <c r="H228" s="3">
        <f t="shared" si="86"/>
        <v>3.0837729999999794</v>
      </c>
      <c r="I228" s="4">
        <f t="shared" si="87"/>
        <v>3.3244153319347229</v>
      </c>
      <c r="J228" s="4">
        <f t="shared" si="88"/>
        <v>3.834915144507558</v>
      </c>
      <c r="K228" s="4">
        <f t="shared" si="89"/>
        <v>2.5780765079365073</v>
      </c>
      <c r="L228" s="4">
        <f t="shared" si="90"/>
        <v>3.0179843650793448</v>
      </c>
      <c r="M228" s="4">
        <f t="shared" si="91"/>
        <v>2.7804365692776268E-2</v>
      </c>
      <c r="N228" s="4">
        <f t="shared" si="92"/>
        <v>1.6737429001939252E-2</v>
      </c>
      <c r="O228" s="4">
        <f t="shared" si="93"/>
        <v>2.7548397464115224E-2</v>
      </c>
      <c r="P228" s="4">
        <f t="shared" si="94"/>
        <v>1.6424441284878862E-2</v>
      </c>
      <c r="S228" s="4">
        <v>1.8048894417520744</v>
      </c>
      <c r="T228" s="4">
        <v>7.1600985737399134E-2</v>
      </c>
      <c r="U228" s="4">
        <f t="shared" si="95"/>
        <v>1.1570584040625842</v>
      </c>
      <c r="W228" s="4">
        <f t="shared" si="96"/>
        <v>3.0974519101478539</v>
      </c>
      <c r="X228" s="4">
        <f t="shared" si="97"/>
        <v>2.1057934137025547</v>
      </c>
      <c r="Y228" s="3">
        <f t="shared" si="84"/>
        <v>-261.41661001604052</v>
      </c>
      <c r="AA228" s="3"/>
      <c r="AH228" s="3"/>
      <c r="AI228" s="4"/>
      <c r="AJ228" s="4"/>
      <c r="AK228" s="4"/>
      <c r="AL228" s="3"/>
      <c r="AM228" s="4"/>
      <c r="AN228" s="4"/>
      <c r="AO228" s="4"/>
      <c r="AP228" s="4"/>
    </row>
    <row r="229" spans="4:42" x14ac:dyDescent="0.25">
      <c r="D229" s="1">
        <v>42412</v>
      </c>
      <c r="E229" s="3">
        <v>92.44323</v>
      </c>
      <c r="F229" s="3">
        <v>182.70654200000001</v>
      </c>
      <c r="G229" s="3">
        <f t="shared" si="85"/>
        <v>0.28522800000000359</v>
      </c>
      <c r="H229" s="3">
        <f t="shared" si="86"/>
        <v>3.6907480000000135</v>
      </c>
      <c r="I229" s="4">
        <f t="shared" si="87"/>
        <v>0.36493016223281866</v>
      </c>
      <c r="J229" s="4">
        <f t="shared" si="88"/>
        <v>4.684362536834259</v>
      </c>
      <c r="K229" s="4">
        <f t="shared" si="89"/>
        <v>0.25691250793651155</v>
      </c>
      <c r="L229" s="4">
        <f t="shared" si="90"/>
        <v>3.6249593650793788</v>
      </c>
      <c r="M229" s="4">
        <f t="shared" si="91"/>
        <v>3.0902093543937765E-3</v>
      </c>
      <c r="N229" s="4">
        <f t="shared" si="92"/>
        <v>2.0407233492142043E-2</v>
      </c>
      <c r="O229" s="4">
        <f t="shared" si="93"/>
        <v>2.8342411257327341E-3</v>
      </c>
      <c r="P229" s="4">
        <f t="shared" si="94"/>
        <v>2.0094245775081652E-2</v>
      </c>
      <c r="S229" s="4">
        <v>0.2693645278065161</v>
      </c>
      <c r="T229" s="4">
        <v>1.6269149319200178</v>
      </c>
      <c r="U229" s="4">
        <f t="shared" si="95"/>
        <v>1.4538531081995421</v>
      </c>
      <c r="W229" s="4">
        <f t="shared" si="96"/>
        <v>0.48635821917288846</v>
      </c>
      <c r="X229" s="4">
        <f t="shared" si="97"/>
        <v>2.629070901364976</v>
      </c>
      <c r="Y229" s="3">
        <f t="shared" si="84"/>
        <v>185.57792086364861</v>
      </c>
      <c r="AA229" s="3"/>
      <c r="AH229" s="3"/>
      <c r="AI229" s="4"/>
      <c r="AJ229" s="4"/>
      <c r="AK229" s="4"/>
      <c r="AL229" s="3"/>
      <c r="AM229" s="4"/>
      <c r="AN229" s="4"/>
      <c r="AO229" s="4"/>
      <c r="AP229" s="4"/>
    </row>
    <row r="230" spans="4:42" x14ac:dyDescent="0.25">
      <c r="D230" s="1">
        <v>42411</v>
      </c>
      <c r="E230" s="3">
        <v>92.158001999999996</v>
      </c>
      <c r="F230" s="3">
        <v>179.015794</v>
      </c>
      <c r="G230" s="3">
        <f t="shared" si="85"/>
        <v>-0.56061900000000264</v>
      </c>
      <c r="H230" s="3">
        <f t="shared" si="86"/>
        <v>-2.3593390000000056</v>
      </c>
      <c r="I230" s="4">
        <f t="shared" si="87"/>
        <v>-0.71293757197355545</v>
      </c>
      <c r="J230" s="4">
        <f t="shared" si="88"/>
        <v>-2.9555618889904505</v>
      </c>
      <c r="K230" s="4">
        <f t="shared" si="89"/>
        <v>-0.58893449206349469</v>
      </c>
      <c r="L230" s="4">
        <f t="shared" si="90"/>
        <v>-2.4251276349206403</v>
      </c>
      <c r="M230" s="4">
        <f t="shared" si="91"/>
        <v>-6.0648091607062738E-3</v>
      </c>
      <c r="N230" s="4">
        <f t="shared" si="92"/>
        <v>-1.3093407906291189E-2</v>
      </c>
      <c r="O230" s="4">
        <f t="shared" si="93"/>
        <v>-6.3207773893673167E-3</v>
      </c>
      <c r="P230" s="4">
        <f t="shared" si="94"/>
        <v>-1.340639562335158E-2</v>
      </c>
      <c r="S230" s="4">
        <v>-1.8280326382698635</v>
      </c>
      <c r="T230" s="4">
        <v>0.36495181772125646</v>
      </c>
      <c r="U230" s="4">
        <f t="shared" si="95"/>
        <v>-0.8251150898799865</v>
      </c>
      <c r="W230" s="4">
        <f t="shared" si="96"/>
        <v>-3.0801749305490795</v>
      </c>
      <c r="X230" s="4">
        <f t="shared" si="97"/>
        <v>-1.388968290477576</v>
      </c>
      <c r="Y230" s="3">
        <f t="shared" si="84"/>
        <v>379.62731299091956</v>
      </c>
      <c r="AA230" s="3"/>
      <c r="AH230" s="3"/>
      <c r="AI230" s="4"/>
      <c r="AJ230" s="4"/>
      <c r="AK230" s="4"/>
      <c r="AL230" s="3"/>
      <c r="AM230" s="4"/>
      <c r="AN230" s="4"/>
      <c r="AO230" s="4"/>
      <c r="AP230" s="4"/>
    </row>
    <row r="231" spans="4:42" x14ac:dyDescent="0.25">
      <c r="D231" s="1">
        <v>42410</v>
      </c>
      <c r="E231" s="3">
        <v>92.718620999999999</v>
      </c>
      <c r="F231" s="3">
        <v>181.37513300000001</v>
      </c>
      <c r="G231" s="3">
        <f t="shared" si="85"/>
        <v>-0.70815299999999581</v>
      </c>
      <c r="H231" s="3">
        <f t="shared" si="86"/>
        <v>-0.15662499999999113</v>
      </c>
      <c r="I231" s="4">
        <f t="shared" si="87"/>
        <v>-0.89373013203486518</v>
      </c>
      <c r="J231" s="4">
        <f t="shared" si="88"/>
        <v>-0.19603604205922462</v>
      </c>
      <c r="K231" s="4">
        <f t="shared" si="89"/>
        <v>-0.73646849206348786</v>
      </c>
      <c r="L231" s="4">
        <f t="shared" si="90"/>
        <v>-0.22241363492062602</v>
      </c>
      <c r="M231" s="4">
        <f t="shared" si="91"/>
        <v>-7.6086374989328088E-3</v>
      </c>
      <c r="N231" s="4">
        <f t="shared" si="92"/>
        <v>-8.6316911366996277E-4</v>
      </c>
      <c r="O231" s="4">
        <f t="shared" si="93"/>
        <v>-7.8646057275938517E-3</v>
      </c>
      <c r="P231" s="4">
        <f t="shared" si="94"/>
        <v>-1.1761568307303532E-3</v>
      </c>
      <c r="S231" s="4">
        <v>-0.32795196554156475</v>
      </c>
      <c r="T231" s="4">
        <v>0.96906808945712364</v>
      </c>
      <c r="U231" s="4">
        <f t="shared" si="95"/>
        <v>0.56824570491159432</v>
      </c>
      <c r="W231" s="4">
        <f t="shared" si="96"/>
        <v>-0.52935263848354464</v>
      </c>
      <c r="X231" s="4">
        <f t="shared" si="97"/>
        <v>1.0676602340307277</v>
      </c>
      <c r="Y231" s="3">
        <f t="shared" si="84"/>
        <v>192.32151857791177</v>
      </c>
      <c r="AA231" s="3"/>
      <c r="AH231" s="3"/>
      <c r="AI231" s="4"/>
      <c r="AJ231" s="4"/>
      <c r="AK231" s="4"/>
      <c r="AL231" s="3"/>
      <c r="AM231" s="4"/>
      <c r="AN231" s="4"/>
      <c r="AO231" s="4"/>
      <c r="AP231" s="4"/>
    </row>
    <row r="232" spans="4:42" x14ac:dyDescent="0.25">
      <c r="D232" s="1">
        <v>42409</v>
      </c>
      <c r="E232" s="3">
        <v>93.426773999999995</v>
      </c>
      <c r="F232" s="3">
        <v>181.531758</v>
      </c>
      <c r="G232" s="3">
        <f t="shared" si="85"/>
        <v>-1.9675000000006548E-2</v>
      </c>
      <c r="H232" s="3">
        <f t="shared" si="86"/>
        <v>9.7849999999937154E-3</v>
      </c>
      <c r="I232" s="4">
        <f t="shared" si="87"/>
        <v>-2.4825762279107814E-2</v>
      </c>
      <c r="J232" s="4">
        <f t="shared" si="88"/>
        <v>1.2247828082463448E-2</v>
      </c>
      <c r="K232" s="4">
        <f t="shared" si="89"/>
        <v>-4.7990492063498605E-2</v>
      </c>
      <c r="L232" s="4">
        <f t="shared" si="90"/>
        <v>-5.6003634920641171E-2</v>
      </c>
      <c r="M232" s="4">
        <f t="shared" si="91"/>
        <v>-2.1057056497282185E-4</v>
      </c>
      <c r="N232" s="4">
        <f t="shared" si="92"/>
        <v>5.3903866931246655E-5</v>
      </c>
      <c r="O232" s="4">
        <f t="shared" si="93"/>
        <v>-4.6653879363386442E-4</v>
      </c>
      <c r="P232" s="4">
        <f t="shared" si="94"/>
        <v>-2.5908385012914396E-4</v>
      </c>
      <c r="S232" s="4">
        <v>1.5959467815706345</v>
      </c>
      <c r="T232" s="4">
        <v>0.55260445758685017</v>
      </c>
      <c r="U232" s="4">
        <f t="shared" si="95"/>
        <v>1.4109699097353829</v>
      </c>
      <c r="W232" s="4">
        <f t="shared" si="96"/>
        <v>2.7421539551485861</v>
      </c>
      <c r="X232" s="4">
        <f t="shared" si="97"/>
        <v>2.5534637155140478</v>
      </c>
      <c r="Y232" s="3">
        <f t="shared" si="84"/>
        <v>-164.94357202841502</v>
      </c>
      <c r="AA232" s="3"/>
      <c r="AH232" s="3"/>
      <c r="AI232" s="4"/>
      <c r="AJ232" s="4"/>
      <c r="AK232" s="4"/>
      <c r="AL232" s="3"/>
      <c r="AM232" s="4"/>
      <c r="AN232" s="4"/>
      <c r="AO232" s="4"/>
      <c r="AP232" s="4"/>
    </row>
    <row r="233" spans="4:42" x14ac:dyDescent="0.25">
      <c r="D233" s="1">
        <v>42408</v>
      </c>
      <c r="E233" s="3">
        <v>93.446449000000001</v>
      </c>
      <c r="F233" s="3">
        <v>181.521973</v>
      </c>
      <c r="G233" s="3">
        <f t="shared" si="85"/>
        <v>0.9737130000000036</v>
      </c>
      <c r="H233" s="3">
        <f t="shared" si="86"/>
        <v>-2.4768119999999954</v>
      </c>
      <c r="I233" s="4">
        <f t="shared" si="87"/>
        <v>1.2415605798108151</v>
      </c>
      <c r="J233" s="4">
        <f t="shared" si="88"/>
        <v>-3.0584792821196234</v>
      </c>
      <c r="K233" s="4">
        <f t="shared" si="89"/>
        <v>0.94539750793651156</v>
      </c>
      <c r="L233" s="4">
        <f t="shared" si="90"/>
        <v>-2.54260063492063</v>
      </c>
      <c r="M233" s="4">
        <f t="shared" si="91"/>
        <v>1.0474679123375189E-2</v>
      </c>
      <c r="N233" s="4">
        <f t="shared" si="92"/>
        <v>-1.3552444588104638E-2</v>
      </c>
      <c r="O233" s="4">
        <f t="shared" si="93"/>
        <v>1.0218710894714147E-2</v>
      </c>
      <c r="P233" s="4">
        <f t="shared" si="94"/>
        <v>-1.3865432305165029E-2</v>
      </c>
      <c r="S233" s="4">
        <v>1.4078205748407338</v>
      </c>
      <c r="T233" s="4">
        <v>1.6184103993815266</v>
      </c>
      <c r="U233" s="4">
        <f t="shared" si="95"/>
        <v>2.1411398404677207</v>
      </c>
      <c r="W233" s="4">
        <f t="shared" si="96"/>
        <v>2.422253478745823</v>
      </c>
      <c r="X233" s="4">
        <f t="shared" si="97"/>
        <v>3.840823232360238</v>
      </c>
      <c r="Y233" s="3">
        <f t="shared" si="84"/>
        <v>10.878887732108069</v>
      </c>
      <c r="AA233" s="3"/>
      <c r="AH233" s="3"/>
      <c r="AI233" s="4"/>
      <c r="AJ233" s="4"/>
      <c r="AK233" s="4"/>
      <c r="AL233" s="3"/>
      <c r="AM233" s="4"/>
      <c r="AN233" s="4"/>
      <c r="AO233" s="4"/>
      <c r="AP233" s="4"/>
    </row>
    <row r="234" spans="4:42" x14ac:dyDescent="0.25">
      <c r="D234" s="1">
        <v>42405</v>
      </c>
      <c r="E234" s="3">
        <v>92.472735999999998</v>
      </c>
      <c r="F234" s="3">
        <v>183.998785</v>
      </c>
      <c r="G234" s="3">
        <f t="shared" si="85"/>
        <v>-2.5375429999999994</v>
      </c>
      <c r="H234" s="3">
        <f t="shared" si="86"/>
        <v>-3.5732759999999928</v>
      </c>
      <c r="I234" s="4">
        <f t="shared" si="87"/>
        <v>-3.1491508964011352</v>
      </c>
      <c r="J234" s="4">
        <f t="shared" si="88"/>
        <v>-4.3283848385764143</v>
      </c>
      <c r="K234" s="4">
        <f t="shared" si="89"/>
        <v>-2.5658584920634917</v>
      </c>
      <c r="L234" s="4">
        <f t="shared" si="90"/>
        <v>-3.6390646349206275</v>
      </c>
      <c r="M234" s="4">
        <f t="shared" si="91"/>
        <v>-2.7071230621033036E-2</v>
      </c>
      <c r="N234" s="4">
        <f t="shared" si="92"/>
        <v>-1.923394258342034E-2</v>
      </c>
      <c r="O234" s="4">
        <f t="shared" si="93"/>
        <v>-2.7327198849694079E-2</v>
      </c>
      <c r="P234" s="4">
        <f t="shared" si="94"/>
        <v>-1.9546930300480731E-2</v>
      </c>
      <c r="S234" s="4">
        <v>1.0120630530262924</v>
      </c>
      <c r="T234" s="4">
        <v>0.63671934408708941</v>
      </c>
      <c r="U234" s="4">
        <f t="shared" si="95"/>
        <v>1.1216985604894769</v>
      </c>
      <c r="W234" s="4">
        <f t="shared" si="96"/>
        <v>1.7492849329536619</v>
      </c>
      <c r="X234" s="4">
        <f t="shared" si="97"/>
        <v>2.0434506230423364</v>
      </c>
      <c r="Y234" s="3">
        <f t="shared" si="84"/>
        <v>-68.144191875040633</v>
      </c>
      <c r="AA234" s="3"/>
      <c r="AH234" s="3"/>
      <c r="AI234" s="4"/>
      <c r="AJ234" s="4"/>
      <c r="AK234" s="4"/>
      <c r="AL234" s="3"/>
      <c r="AM234" s="4"/>
      <c r="AN234" s="4"/>
      <c r="AO234" s="4"/>
      <c r="AP234" s="4"/>
    </row>
    <row r="235" spans="4:42" x14ac:dyDescent="0.25">
      <c r="D235" s="1">
        <v>42404</v>
      </c>
      <c r="E235" s="3">
        <v>95.010278999999997</v>
      </c>
      <c r="F235" s="3">
        <v>187.57206099999999</v>
      </c>
      <c r="G235" s="3">
        <f t="shared" si="85"/>
        <v>0.75733199999999101</v>
      </c>
      <c r="H235" s="3">
        <f t="shared" si="86"/>
        <v>0.29369599999998286</v>
      </c>
      <c r="I235" s="4">
        <f t="shared" si="87"/>
        <v>0.94741885523565583</v>
      </c>
      <c r="J235" s="4">
        <f t="shared" si="88"/>
        <v>0.35631809480965992</v>
      </c>
      <c r="K235" s="4">
        <f t="shared" si="89"/>
        <v>0.72901650793649897</v>
      </c>
      <c r="L235" s="4">
        <f t="shared" si="90"/>
        <v>0.22790736507934797</v>
      </c>
      <c r="M235" s="4">
        <f t="shared" si="91"/>
        <v>8.0029920035443198E-3</v>
      </c>
      <c r="N235" s="4">
        <f t="shared" si="92"/>
        <v>1.5670040086738601E-3</v>
      </c>
      <c r="O235" s="4">
        <f t="shared" si="93"/>
        <v>7.7470237748832769E-3</v>
      </c>
      <c r="P235" s="4">
        <f t="shared" si="94"/>
        <v>1.2540162916134696E-3</v>
      </c>
      <c r="S235" s="4">
        <v>-0.90218872620548041</v>
      </c>
      <c r="T235" s="4">
        <v>-7.6787631099368842E-2</v>
      </c>
      <c r="U235" s="4">
        <f t="shared" si="95"/>
        <v>-0.61086331932303661</v>
      </c>
      <c r="W235" s="4">
        <f t="shared" si="96"/>
        <v>-1.5058174091154666</v>
      </c>
      <c r="X235" s="4">
        <f t="shared" si="97"/>
        <v>-1.0112218999202465</v>
      </c>
      <c r="Y235" s="3">
        <f t="shared" si="84"/>
        <v>146.09514837403731</v>
      </c>
      <c r="AA235" s="3"/>
      <c r="AH235" s="3"/>
      <c r="AI235" s="4"/>
      <c r="AJ235" s="4"/>
      <c r="AK235" s="4"/>
      <c r="AL235" s="3"/>
      <c r="AM235" s="4"/>
      <c r="AN235" s="4"/>
      <c r="AO235" s="4"/>
      <c r="AP235" s="4"/>
    </row>
    <row r="236" spans="4:42" x14ac:dyDescent="0.25">
      <c r="D236" s="1">
        <v>42403</v>
      </c>
      <c r="E236" s="3">
        <v>94.252947000000006</v>
      </c>
      <c r="F236" s="3">
        <v>187.27836500000001</v>
      </c>
      <c r="G236" s="3">
        <f t="shared" si="85"/>
        <v>1.8292950000000019</v>
      </c>
      <c r="H236" s="3">
        <f t="shared" si="86"/>
        <v>1.1160340000000133</v>
      </c>
      <c r="I236" s="4">
        <f t="shared" si="87"/>
        <v>2.3337335855023369</v>
      </c>
      <c r="J236" s="4">
        <f t="shared" si="88"/>
        <v>1.3621127947320397</v>
      </c>
      <c r="K236" s="4">
        <f t="shared" si="89"/>
        <v>1.8009795079365098</v>
      </c>
      <c r="L236" s="4">
        <f t="shared" si="90"/>
        <v>1.0502453650793784</v>
      </c>
      <c r="M236" s="4">
        <f t="shared" si="91"/>
        <v>1.9599173825947461E-2</v>
      </c>
      <c r="N236" s="4">
        <f t="shared" si="92"/>
        <v>5.9770524985247753E-3</v>
      </c>
      <c r="O236" s="4">
        <f t="shared" si="93"/>
        <v>1.9343205597286417E-2</v>
      </c>
      <c r="P236" s="4">
        <f t="shared" si="94"/>
        <v>5.6640647814643844E-3</v>
      </c>
      <c r="S236" s="4">
        <v>-0.1868804231322114</v>
      </c>
      <c r="T236" s="4">
        <v>0.53920125902252991</v>
      </c>
      <c r="U236" s="4">
        <f t="shared" si="95"/>
        <v>0.3134940590394561</v>
      </c>
      <c r="W236" s="4">
        <f t="shared" si="96"/>
        <v>-0.28946658322268581</v>
      </c>
      <c r="X236" s="4">
        <f t="shared" si="97"/>
        <v>0.61850868458689201</v>
      </c>
      <c r="Y236" s="3">
        <f t="shared" si="84"/>
        <v>108.45496983201383</v>
      </c>
      <c r="AA236" s="3"/>
      <c r="AH236" s="3"/>
      <c r="AI236" s="4"/>
      <c r="AJ236" s="4"/>
      <c r="AK236" s="4"/>
      <c r="AL236" s="3"/>
      <c r="AM236" s="4"/>
      <c r="AN236" s="4"/>
      <c r="AO236" s="4"/>
      <c r="AP236" s="4"/>
    </row>
    <row r="237" spans="4:42" x14ac:dyDescent="0.25">
      <c r="D237" s="1">
        <v>42402</v>
      </c>
      <c r="E237" s="3">
        <v>92.423652000000004</v>
      </c>
      <c r="F237" s="3">
        <v>186.16233099999999</v>
      </c>
      <c r="G237" s="3">
        <f t="shared" si="85"/>
        <v>-1.9075559999999996</v>
      </c>
      <c r="H237" s="3">
        <f t="shared" si="86"/>
        <v>-3.416622000000018</v>
      </c>
      <c r="I237" s="4">
        <f t="shared" si="87"/>
        <v>-2.384363991079431</v>
      </c>
      <c r="J237" s="4">
        <f t="shared" si="88"/>
        <v>-4.0948148317727968</v>
      </c>
      <c r="K237" s="4">
        <f t="shared" si="89"/>
        <v>-1.9358714920634916</v>
      </c>
      <c r="L237" s="4">
        <f t="shared" si="90"/>
        <v>-3.4824106349206527</v>
      </c>
      <c r="M237" s="4">
        <f t="shared" si="91"/>
        <v>-2.0429158768136071E-2</v>
      </c>
      <c r="N237" s="4">
        <f t="shared" si="92"/>
        <v>-1.8186535872643461E-2</v>
      </c>
      <c r="O237" s="4">
        <f t="shared" si="93"/>
        <v>-2.0685126996797115E-2</v>
      </c>
      <c r="P237" s="4">
        <f t="shared" si="94"/>
        <v>-1.8499523589703852E-2</v>
      </c>
      <c r="S237" s="4">
        <v>0.17888570886836153</v>
      </c>
      <c r="T237" s="4">
        <v>1.0868570158769562</v>
      </c>
      <c r="U237" s="4">
        <f t="shared" si="95"/>
        <v>0.97059560161215419</v>
      </c>
      <c r="W237" s="4">
        <f t="shared" si="96"/>
        <v>0.33250290158690643</v>
      </c>
      <c r="X237" s="4">
        <f t="shared" si="97"/>
        <v>1.7770416352889806</v>
      </c>
      <c r="Y237" s="3">
        <f t="shared" si="84"/>
        <v>124.70575848008411</v>
      </c>
      <c r="AA237" s="3"/>
      <c r="AH237" s="3"/>
      <c r="AI237" s="4"/>
      <c r="AJ237" s="4"/>
      <c r="AK237" s="4"/>
      <c r="AL237" s="3"/>
      <c r="AM237" s="4"/>
      <c r="AN237" s="4"/>
      <c r="AO237" s="4"/>
      <c r="AP237" s="4"/>
    </row>
    <row r="238" spans="4:42" x14ac:dyDescent="0.25">
      <c r="D238" s="1">
        <v>42401</v>
      </c>
      <c r="E238" s="3">
        <v>94.331208000000004</v>
      </c>
      <c r="F238" s="3">
        <v>189.57895300000001</v>
      </c>
      <c r="G238" s="3">
        <f t="shared" si="85"/>
        <v>-0.89018999999998982</v>
      </c>
      <c r="H238" s="3">
        <f t="shared" si="86"/>
        <v>-6.8534999999997126E-2</v>
      </c>
      <c r="I238" s="4">
        <f t="shared" si="87"/>
        <v>-1.10229747373336</v>
      </c>
      <c r="J238" s="4">
        <f t="shared" si="88"/>
        <v>-8.2109380904345788E-2</v>
      </c>
      <c r="K238" s="4">
        <f t="shared" si="89"/>
        <v>-0.91850549206348187</v>
      </c>
      <c r="L238" s="4">
        <f t="shared" si="90"/>
        <v>-0.13432363492063201</v>
      </c>
      <c r="M238" s="4">
        <f t="shared" si="91"/>
        <v>-9.392606762148998E-3</v>
      </c>
      <c r="N238" s="4">
        <f t="shared" si="92"/>
        <v>-3.6144631985792695E-4</v>
      </c>
      <c r="O238" s="4">
        <f t="shared" si="93"/>
        <v>-9.64857499081004E-3</v>
      </c>
      <c r="P238" s="4">
        <f t="shared" si="94"/>
        <v>-6.7443403691831759E-4</v>
      </c>
      <c r="S238" s="4">
        <v>0.69039548657352212</v>
      </c>
      <c r="T238" s="4">
        <v>1.362370596582468</v>
      </c>
      <c r="U238" s="4">
        <f t="shared" si="95"/>
        <v>1.500820791367059</v>
      </c>
      <c r="W238" s="4">
        <f t="shared" si="96"/>
        <v>1.202303151200639</v>
      </c>
      <c r="X238" s="4">
        <f t="shared" si="97"/>
        <v>2.711879424922329</v>
      </c>
      <c r="Y238" s="3">
        <f t="shared" si="84"/>
        <v>82.230809194024005</v>
      </c>
      <c r="AA238" s="3"/>
      <c r="AH238" s="3"/>
      <c r="AI238" s="4"/>
      <c r="AJ238" s="4"/>
      <c r="AK238" s="4"/>
      <c r="AL238" s="3"/>
      <c r="AM238" s="4"/>
      <c r="AN238" s="4"/>
      <c r="AO238" s="4"/>
      <c r="AP238" s="4"/>
    </row>
    <row r="239" spans="4:42" x14ac:dyDescent="0.25">
      <c r="D239" s="1">
        <v>42398</v>
      </c>
      <c r="E239" s="3">
        <v>95.221397999999994</v>
      </c>
      <c r="F239" s="3">
        <v>189.64748800000001</v>
      </c>
      <c r="G239" s="3">
        <f t="shared" si="85"/>
        <v>3.1792639999999892</v>
      </c>
      <c r="H239" s="3">
        <f t="shared" si="86"/>
        <v>4.5130860000000155</v>
      </c>
      <c r="I239" s="4">
        <f t="shared" si="87"/>
        <v>4.0727763977859821</v>
      </c>
      <c r="J239" s="4">
        <f t="shared" si="88"/>
        <v>5.538777723502764</v>
      </c>
      <c r="K239" s="4">
        <f t="shared" si="89"/>
        <v>3.1509485079364969</v>
      </c>
      <c r="L239" s="4">
        <f t="shared" si="90"/>
        <v>4.4472973650793808</v>
      </c>
      <c r="M239" s="4">
        <f t="shared" si="91"/>
        <v>3.3958234978261691E-2</v>
      </c>
      <c r="N239" s="4">
        <f t="shared" si="92"/>
        <v>2.4084963990831761E-2</v>
      </c>
      <c r="O239" s="4">
        <f t="shared" si="93"/>
        <v>3.3702266749600647E-2</v>
      </c>
      <c r="P239" s="4">
        <f t="shared" si="94"/>
        <v>2.377197627377137E-2</v>
      </c>
      <c r="S239" s="4">
        <v>-0.78566200966991739</v>
      </c>
      <c r="T239" s="4">
        <v>-0.34119482927151501</v>
      </c>
      <c r="U239" s="4">
        <f t="shared" si="95"/>
        <v>-0.74941950873724261</v>
      </c>
      <c r="W239" s="4">
        <f t="shared" si="96"/>
        <v>-1.3076687684696893</v>
      </c>
      <c r="X239" s="4">
        <f t="shared" si="97"/>
        <v>-1.2555097314958639</v>
      </c>
      <c r="Y239" s="3">
        <f t="shared" si="84"/>
        <v>88.455429262296548</v>
      </c>
      <c r="AA239" s="3"/>
      <c r="AH239" s="3"/>
      <c r="AI239" s="4"/>
      <c r="AJ239" s="4"/>
      <c r="AK239" s="4"/>
      <c r="AL239" s="3"/>
      <c r="AM239" s="4"/>
      <c r="AN239" s="4"/>
      <c r="AO239" s="4"/>
      <c r="AP239" s="4"/>
    </row>
    <row r="240" spans="4:42" x14ac:dyDescent="0.25">
      <c r="D240" s="1">
        <v>42397</v>
      </c>
      <c r="E240" s="3">
        <v>92.042134000000004</v>
      </c>
      <c r="F240" s="3">
        <v>185.13440199999999</v>
      </c>
      <c r="G240" s="3">
        <f t="shared" si="85"/>
        <v>0.65541600000000244</v>
      </c>
      <c r="H240" s="3">
        <f t="shared" si="86"/>
        <v>0.95939400000000319</v>
      </c>
      <c r="I240" s="4">
        <f t="shared" si="87"/>
        <v>0.84563823795121174</v>
      </c>
      <c r="J240" s="4">
        <f t="shared" si="88"/>
        <v>1.1835694746149201</v>
      </c>
      <c r="K240" s="4">
        <f t="shared" si="89"/>
        <v>0.6271005079365104</v>
      </c>
      <c r="L240" s="4">
        <f t="shared" si="90"/>
        <v>0.89360536507936827</v>
      </c>
      <c r="M240" s="4">
        <f t="shared" si="91"/>
        <v>7.1462998560022657E-3</v>
      </c>
      <c r="N240" s="4">
        <f t="shared" si="92"/>
        <v>5.1956225983808297E-3</v>
      </c>
      <c r="O240" s="4">
        <f t="shared" si="93"/>
        <v>6.8903316273412228E-3</v>
      </c>
      <c r="P240" s="4">
        <f t="shared" si="94"/>
        <v>4.8826348813204388E-3</v>
      </c>
      <c r="S240" s="4">
        <v>0.83266988355256988</v>
      </c>
      <c r="T240" s="4">
        <v>-7.2969299141278393E-2</v>
      </c>
      <c r="U240" s="4">
        <f t="shared" si="95"/>
        <v>0.44977195836493394</v>
      </c>
      <c r="W240" s="4">
        <f t="shared" si="96"/>
        <v>1.4442346086230422</v>
      </c>
      <c r="X240" s="4">
        <f t="shared" si="97"/>
        <v>0.85877967254239629</v>
      </c>
      <c r="Y240" s="3">
        <f t="shared" si="84"/>
        <v>-140.21172536566837</v>
      </c>
      <c r="AA240" s="3"/>
      <c r="AH240" s="3"/>
      <c r="AI240" s="4"/>
      <c r="AJ240" s="4"/>
      <c r="AK240" s="4"/>
      <c r="AL240" s="3"/>
      <c r="AM240" s="4"/>
      <c r="AN240" s="4"/>
      <c r="AO240" s="4"/>
      <c r="AP240" s="4"/>
    </row>
    <row r="241" spans="4:42" x14ac:dyDescent="0.25">
      <c r="D241" s="1">
        <v>42396</v>
      </c>
      <c r="E241" s="3">
        <v>91.386718000000002</v>
      </c>
      <c r="F241" s="3">
        <v>184.17500799999999</v>
      </c>
      <c r="G241" s="3">
        <f t="shared" si="85"/>
        <v>-6.4270039999999966</v>
      </c>
      <c r="H241" s="3">
        <f t="shared" si="86"/>
        <v>-2.0264760000000024</v>
      </c>
      <c r="I241" s="4">
        <f t="shared" si="87"/>
        <v>-7.7474617247262669</v>
      </c>
      <c r="J241" s="4">
        <f t="shared" si="88"/>
        <v>-2.4727817214675505</v>
      </c>
      <c r="K241" s="4">
        <f t="shared" si="89"/>
        <v>-6.4553194920634889</v>
      </c>
      <c r="L241" s="4">
        <f t="shared" si="90"/>
        <v>-2.0922646349206371</v>
      </c>
      <c r="M241" s="4">
        <f t="shared" si="91"/>
        <v>-6.7964723333294286E-2</v>
      </c>
      <c r="N241" s="4">
        <f t="shared" si="92"/>
        <v>-1.0942898730194172E-2</v>
      </c>
      <c r="O241" s="4">
        <f t="shared" si="93"/>
        <v>-6.8220691561955329E-2</v>
      </c>
      <c r="P241" s="4">
        <f t="shared" si="94"/>
        <v>-1.1255886447254563E-2</v>
      </c>
      <c r="S241" s="4">
        <v>0.9774365751616636</v>
      </c>
      <c r="T241" s="4">
        <v>-0.83951527916314461</v>
      </c>
      <c r="U241" s="4">
        <f t="shared" si="95"/>
        <v>-6.9609916930665761E-2</v>
      </c>
      <c r="W241" s="4">
        <f t="shared" si="96"/>
        <v>1.6904041052497996</v>
      </c>
      <c r="X241" s="4">
        <f t="shared" si="97"/>
        <v>-5.6940315226197746E-2</v>
      </c>
      <c r="Y241" s="3">
        <f t="shared" si="84"/>
        <v>-269.26368165841222</v>
      </c>
      <c r="AA241" s="3"/>
      <c r="AH241" s="3"/>
      <c r="AI241" s="4"/>
      <c r="AJ241" s="4"/>
      <c r="AK241" s="4"/>
      <c r="AL241" s="3"/>
      <c r="AM241" s="4"/>
      <c r="AN241" s="4"/>
      <c r="AO241" s="4"/>
      <c r="AP241" s="4"/>
    </row>
    <row r="242" spans="4:42" x14ac:dyDescent="0.25">
      <c r="D242" s="1">
        <v>42395</v>
      </c>
      <c r="E242" s="3">
        <v>97.813721999999999</v>
      </c>
      <c r="F242" s="3">
        <v>186.20148399999999</v>
      </c>
      <c r="G242" s="3">
        <f t="shared" si="85"/>
        <v>0.53802500000000464</v>
      </c>
      <c r="H242" s="3">
        <f t="shared" si="86"/>
        <v>2.5061800000000005</v>
      </c>
      <c r="I242" s="4">
        <f t="shared" si="87"/>
        <v>0.65215189259554263</v>
      </c>
      <c r="J242" s="4">
        <f t="shared" si="88"/>
        <v>3.0998570074674316</v>
      </c>
      <c r="K242" s="4">
        <f t="shared" si="89"/>
        <v>0.5097095079365126</v>
      </c>
      <c r="L242" s="4">
        <f t="shared" si="90"/>
        <v>2.4403913650793658</v>
      </c>
      <c r="M242" s="4">
        <f t="shared" si="91"/>
        <v>5.5156898490713747E-3</v>
      </c>
      <c r="N242" s="4">
        <f t="shared" si="92"/>
        <v>1.3550906260306084E-2</v>
      </c>
      <c r="O242" s="4">
        <f t="shared" si="93"/>
        <v>5.2597216204103318E-3</v>
      </c>
      <c r="P242" s="4">
        <f t="shared" si="94"/>
        <v>1.3237918543245693E-2</v>
      </c>
      <c r="S242" s="4">
        <v>0.39243905556518477</v>
      </c>
      <c r="T242" s="4">
        <v>-0.3270340925690729</v>
      </c>
      <c r="U242" s="4">
        <f t="shared" si="95"/>
        <v>-1.9997710785570166E-2</v>
      </c>
      <c r="W242" s="4">
        <f t="shared" si="96"/>
        <v>0.69564112955214441</v>
      </c>
      <c r="X242" s="4">
        <f t="shared" si="97"/>
        <v>3.0530755608731724E-2</v>
      </c>
      <c r="Y242" s="3">
        <f t="shared" si="84"/>
        <v>-107.17736439796136</v>
      </c>
      <c r="AA242" s="3"/>
      <c r="AH242" s="3"/>
      <c r="AI242" s="4"/>
      <c r="AJ242" s="4"/>
      <c r="AK242" s="4"/>
      <c r="AL242" s="3"/>
      <c r="AM242" s="4"/>
      <c r="AN242" s="4"/>
      <c r="AO242" s="4"/>
      <c r="AP242" s="4"/>
    </row>
    <row r="243" spans="4:42" x14ac:dyDescent="0.25">
      <c r="D243" s="1">
        <v>42394</v>
      </c>
      <c r="E243" s="3">
        <v>97.275696999999994</v>
      </c>
      <c r="F243" s="3">
        <v>183.69530399999999</v>
      </c>
      <c r="G243" s="3">
        <f t="shared" si="85"/>
        <v>-1.9369020000000035</v>
      </c>
      <c r="H243" s="3">
        <f t="shared" si="86"/>
        <v>-2.8194600000000207</v>
      </c>
      <c r="I243" s="4">
        <f t="shared" si="87"/>
        <v>-2.30192661889251</v>
      </c>
      <c r="J243" s="4">
        <f t="shared" si="88"/>
        <v>-3.4346317288653063</v>
      </c>
      <c r="K243" s="4">
        <f t="shared" si="89"/>
        <v>-1.9652174920634955</v>
      </c>
      <c r="L243" s="4">
        <f t="shared" si="90"/>
        <v>-2.8852486349206554</v>
      </c>
      <c r="M243" s="4">
        <f t="shared" si="91"/>
        <v>-1.9715828176533633E-2</v>
      </c>
      <c r="N243" s="4">
        <f t="shared" si="92"/>
        <v>-1.5231971013763846E-2</v>
      </c>
      <c r="O243" s="4">
        <f t="shared" si="93"/>
        <v>-1.9971796405194676E-2</v>
      </c>
      <c r="P243" s="4">
        <f t="shared" si="94"/>
        <v>-1.5544958730824237E-2</v>
      </c>
      <c r="S243" s="4">
        <v>0.14208489375802605</v>
      </c>
      <c r="T243" s="4">
        <v>-0.78041895932596284</v>
      </c>
      <c r="U243" s="4">
        <f t="shared" si="95"/>
        <v>-0.53201375907476411</v>
      </c>
      <c r="W243" s="4">
        <f t="shared" si="96"/>
        <v>0.26992470745625752</v>
      </c>
      <c r="X243" s="4">
        <f t="shared" si="97"/>
        <v>-0.87220257371635657</v>
      </c>
      <c r="Y243" s="3">
        <f t="shared" si="84"/>
        <v>-130.2877058400336</v>
      </c>
      <c r="AA243" s="3"/>
      <c r="AH243" s="3"/>
      <c r="AI243" s="4"/>
      <c r="AJ243" s="4"/>
      <c r="AK243" s="4"/>
      <c r="AL243" s="3"/>
      <c r="AM243" s="4"/>
      <c r="AN243" s="4"/>
      <c r="AO243" s="4"/>
      <c r="AP243" s="4"/>
    </row>
    <row r="244" spans="4:42" x14ac:dyDescent="0.25">
      <c r="D244" s="1">
        <v>42391</v>
      </c>
      <c r="E244" s="3">
        <v>99.212598999999997</v>
      </c>
      <c r="F244" s="3">
        <v>186.51476400000001</v>
      </c>
      <c r="G244" s="3">
        <f t="shared" si="85"/>
        <v>5.0085589999999911</v>
      </c>
      <c r="H244" s="3">
        <f t="shared" si="86"/>
        <v>3.7494850000000213</v>
      </c>
      <c r="I244" s="4">
        <f t="shared" si="87"/>
        <v>6.2689372103811571</v>
      </c>
      <c r="J244" s="4">
        <f t="shared" si="88"/>
        <v>4.6612820430537019</v>
      </c>
      <c r="K244" s="4">
        <f t="shared" si="89"/>
        <v>4.9802435079364988</v>
      </c>
      <c r="L244" s="4">
        <f t="shared" si="90"/>
        <v>3.6836963650793866</v>
      </c>
      <c r="M244" s="4">
        <f t="shared" si="91"/>
        <v>5.1801944138492144E-2</v>
      </c>
      <c r="N244" s="4">
        <f t="shared" si="92"/>
        <v>2.0307698335225475E-2</v>
      </c>
      <c r="O244" s="4">
        <f t="shared" si="93"/>
        <v>5.15459759098311E-2</v>
      </c>
      <c r="P244" s="4">
        <f t="shared" si="94"/>
        <v>1.9994710618165084E-2</v>
      </c>
      <c r="S244" s="4">
        <v>-0.97963080271807657</v>
      </c>
      <c r="T244" s="4">
        <v>-2.7347002400116047E-2</v>
      </c>
      <c r="U244" s="4">
        <f t="shared" si="95"/>
        <v>-0.61888254526009701</v>
      </c>
      <c r="W244" s="4">
        <f t="shared" si="96"/>
        <v>-1.6375043101625242</v>
      </c>
      <c r="X244" s="4">
        <f t="shared" si="97"/>
        <v>-1.0253605632550407</v>
      </c>
      <c r="Y244" s="3">
        <f t="shared" si="84"/>
        <v>166.86774203970526</v>
      </c>
      <c r="AA244" s="3"/>
      <c r="AH244" s="3"/>
      <c r="AI244" s="4"/>
      <c r="AJ244" s="4"/>
      <c r="AK244" s="4"/>
      <c r="AL244" s="3"/>
      <c r="AM244" s="4"/>
      <c r="AN244" s="4"/>
      <c r="AO244" s="4"/>
      <c r="AP244" s="4"/>
    </row>
    <row r="245" spans="4:42" x14ac:dyDescent="0.25">
      <c r="D245" s="1">
        <v>42390</v>
      </c>
      <c r="E245" s="3">
        <v>94.204040000000006</v>
      </c>
      <c r="F245" s="3">
        <v>182.76527899999999</v>
      </c>
      <c r="G245" s="3">
        <f t="shared" si="85"/>
        <v>-0.4793329999999969</v>
      </c>
      <c r="H245" s="3">
        <f t="shared" si="86"/>
        <v>1.0181450000000041</v>
      </c>
      <c r="I245" s="4">
        <f t="shared" si="87"/>
        <v>-0.59691743287738208</v>
      </c>
      <c r="J245" s="4">
        <f t="shared" si="88"/>
        <v>1.2728274030280771</v>
      </c>
      <c r="K245" s="4">
        <f t="shared" si="89"/>
        <v>-0.50764849206348894</v>
      </c>
      <c r="L245" s="4">
        <f t="shared" si="90"/>
        <v>0.95235636507936916</v>
      </c>
      <c r="M245" s="4">
        <f t="shared" si="91"/>
        <v>-5.07534113912907E-3</v>
      </c>
      <c r="N245" s="4">
        <f t="shared" si="92"/>
        <v>5.5863537782957634E-3</v>
      </c>
      <c r="O245" s="4">
        <f t="shared" si="93"/>
        <v>-5.3313093677901128E-3</v>
      </c>
      <c r="P245" s="4">
        <f t="shared" si="94"/>
        <v>5.2733660612353725E-3</v>
      </c>
      <c r="S245" s="4">
        <v>1.7578292998899618</v>
      </c>
      <c r="T245" s="4">
        <v>0.14139555814393787</v>
      </c>
      <c r="U245" s="4">
        <f t="shared" si="95"/>
        <v>1.1836950920964386</v>
      </c>
      <c r="W245" s="4">
        <f t="shared" si="96"/>
        <v>3.017428174683471</v>
      </c>
      <c r="X245" s="4">
        <f t="shared" si="97"/>
        <v>2.1527564457234059</v>
      </c>
      <c r="Y245" s="3">
        <f t="shared" si="84"/>
        <v>-245.12860121167887</v>
      </c>
      <c r="AA245" s="3"/>
      <c r="AH245" s="3"/>
      <c r="AI245" s="4"/>
      <c r="AJ245" s="4"/>
      <c r="AK245" s="4"/>
      <c r="AL245" s="3"/>
      <c r="AM245" s="4"/>
      <c r="AN245" s="4"/>
      <c r="AO245" s="4"/>
      <c r="AP245" s="4"/>
    </row>
    <row r="246" spans="4:42" x14ac:dyDescent="0.25">
      <c r="D246" s="1">
        <v>42389</v>
      </c>
      <c r="E246" s="3">
        <v>94.683373000000003</v>
      </c>
      <c r="F246" s="3">
        <v>181.74713399999999</v>
      </c>
      <c r="G246" s="3">
        <f t="shared" si="85"/>
        <v>0.12716799999999751</v>
      </c>
      <c r="H246" s="3">
        <f t="shared" si="86"/>
        <v>-2.3593390000000056</v>
      </c>
      <c r="I246" s="4">
        <f t="shared" si="87"/>
        <v>0.1585763661800059</v>
      </c>
      <c r="J246" s="4">
        <f t="shared" si="88"/>
        <v>-2.9117141943476059</v>
      </c>
      <c r="K246" s="4">
        <f t="shared" si="89"/>
        <v>9.8852507936505449E-2</v>
      </c>
      <c r="L246" s="4">
        <f t="shared" si="90"/>
        <v>-2.4251276349206403</v>
      </c>
      <c r="M246" s="4">
        <f t="shared" si="91"/>
        <v>1.343989671569068E-3</v>
      </c>
      <c r="N246" s="4">
        <f t="shared" si="92"/>
        <v>-1.2897900483970461E-2</v>
      </c>
      <c r="O246" s="4">
        <f t="shared" si="93"/>
        <v>1.0880214429080254E-3</v>
      </c>
      <c r="P246" s="4">
        <f t="shared" si="94"/>
        <v>-1.3210888201030852E-2</v>
      </c>
      <c r="S246" s="4">
        <v>0.9411751742432215</v>
      </c>
      <c r="T246" s="4">
        <v>-0.39752288730025492</v>
      </c>
      <c r="U246" s="4">
        <f t="shared" si="95"/>
        <v>0.25864816547219649</v>
      </c>
      <c r="W246" s="4">
        <f t="shared" si="96"/>
        <v>1.6287431616179759</v>
      </c>
      <c r="X246" s="4">
        <f t="shared" si="97"/>
        <v>0.52181012159220819</v>
      </c>
      <c r="Y246" s="3">
        <f t="shared" si="84"/>
        <v>-202.02921991220273</v>
      </c>
      <c r="AA246" s="3"/>
      <c r="AH246" s="3"/>
      <c r="AI246" s="4"/>
      <c r="AJ246" s="4"/>
      <c r="AK246" s="4"/>
      <c r="AL246" s="3"/>
      <c r="AM246" s="4"/>
      <c r="AN246" s="4"/>
      <c r="AO246" s="4"/>
      <c r="AP246" s="4"/>
    </row>
    <row r="247" spans="4:42" x14ac:dyDescent="0.25">
      <c r="D247" s="1">
        <v>42388</v>
      </c>
      <c r="E247" s="3">
        <v>94.556205000000006</v>
      </c>
      <c r="F247" s="3">
        <v>184.10647299999999</v>
      </c>
      <c r="G247" s="3">
        <f t="shared" si="85"/>
        <v>-0.45976399999999273</v>
      </c>
      <c r="H247" s="3">
        <f t="shared" si="86"/>
        <v>0.24474399999999719</v>
      </c>
      <c r="I247" s="4">
        <f t="shared" si="87"/>
        <v>-0.57054383225892424</v>
      </c>
      <c r="J247" s="4">
        <f t="shared" si="88"/>
        <v>0.30244622551769518</v>
      </c>
      <c r="K247" s="4">
        <f t="shared" si="89"/>
        <v>-0.48807949206348478</v>
      </c>
      <c r="L247" s="4">
        <f t="shared" si="90"/>
        <v>0.1789553650793623</v>
      </c>
      <c r="M247" s="4">
        <f t="shared" si="91"/>
        <v>-4.8505526073488762E-3</v>
      </c>
      <c r="N247" s="4">
        <f t="shared" si="92"/>
        <v>1.3302455742662674E-3</v>
      </c>
      <c r="O247" s="4">
        <f t="shared" si="93"/>
        <v>-5.1065208360099191E-3</v>
      </c>
      <c r="P247" s="4">
        <f t="shared" si="94"/>
        <v>1.0172578572058767E-3</v>
      </c>
      <c r="S247" s="4">
        <v>-0.15376780445760907</v>
      </c>
      <c r="T247" s="4">
        <v>-1.2753746582139704</v>
      </c>
      <c r="U247" s="4">
        <f t="shared" si="95"/>
        <v>-1.1047195971662511</v>
      </c>
      <c r="W247" s="4">
        <f t="shared" si="96"/>
        <v>-0.23316000758351035</v>
      </c>
      <c r="X247" s="4">
        <f t="shared" si="97"/>
        <v>-1.8819378147731636</v>
      </c>
      <c r="Y247" s="3">
        <f t="shared" si="84"/>
        <v>-150.68907314128364</v>
      </c>
      <c r="AA247" s="3"/>
      <c r="AH247" s="3"/>
      <c r="AI247" s="4"/>
      <c r="AJ247" s="4"/>
      <c r="AK247" s="4"/>
      <c r="AL247" s="3"/>
      <c r="AM247" s="4"/>
      <c r="AN247" s="4"/>
      <c r="AO247" s="4"/>
      <c r="AP247" s="4"/>
    </row>
    <row r="248" spans="4:42" x14ac:dyDescent="0.25">
      <c r="D248" s="1">
        <v>42384</v>
      </c>
      <c r="E248" s="3">
        <v>95.015968999999998</v>
      </c>
      <c r="F248" s="3">
        <v>183.861729</v>
      </c>
      <c r="G248" s="3">
        <f t="shared" si="85"/>
        <v>-2.3379809999999992</v>
      </c>
      <c r="H248" s="3">
        <f t="shared" si="86"/>
        <v>-4.0333809999999914</v>
      </c>
      <c r="I248" s="4">
        <f t="shared" si="87"/>
        <v>-2.8316401035800181</v>
      </c>
      <c r="J248" s="4">
        <f t="shared" si="88"/>
        <v>-4.8773197197290825</v>
      </c>
      <c r="K248" s="4">
        <f t="shared" si="89"/>
        <v>-2.3662964920634915</v>
      </c>
      <c r="L248" s="4">
        <f t="shared" si="90"/>
        <v>-4.0991696349206261</v>
      </c>
      <c r="M248" s="4">
        <f t="shared" si="91"/>
        <v>-2.4308334027975109E-2</v>
      </c>
      <c r="N248" s="4">
        <f t="shared" si="92"/>
        <v>-2.1699879314010323E-2</v>
      </c>
      <c r="O248" s="4">
        <f t="shared" si="93"/>
        <v>-2.4564302256636153E-2</v>
      </c>
      <c r="P248" s="4">
        <f t="shared" si="94"/>
        <v>-2.2012867031070714E-2</v>
      </c>
      <c r="S248" s="4">
        <v>1.6872623316815982</v>
      </c>
      <c r="T248" s="4">
        <v>1.4324901201927172</v>
      </c>
      <c r="U248" s="4">
        <f t="shared" si="95"/>
        <v>2.1641162488293508</v>
      </c>
      <c r="W248" s="4">
        <f t="shared" si="96"/>
        <v>2.8974320978978212</v>
      </c>
      <c r="X248" s="4">
        <f t="shared" si="97"/>
        <v>3.8813328407710119</v>
      </c>
      <c r="Y248" s="3">
        <f t="shared" si="84"/>
        <v>-54.830312182589296</v>
      </c>
      <c r="AA248" s="3"/>
      <c r="AH248" s="3"/>
      <c r="AI248" s="4"/>
      <c r="AJ248" s="4"/>
      <c r="AK248" s="4"/>
      <c r="AL248" s="3"/>
      <c r="AM248" s="4"/>
      <c r="AN248" s="4"/>
      <c r="AO248" s="4"/>
      <c r="AP248" s="4"/>
    </row>
    <row r="249" spans="4:42" x14ac:dyDescent="0.25">
      <c r="D249" s="1">
        <v>42383</v>
      </c>
      <c r="E249" s="3">
        <v>97.353949999999998</v>
      </c>
      <c r="F249" s="3">
        <v>187.89510999999999</v>
      </c>
      <c r="G249" s="3">
        <f t="shared" si="85"/>
        <v>2.0836379999999934</v>
      </c>
      <c r="H249" s="3">
        <f t="shared" si="86"/>
        <v>3.0348199999999963</v>
      </c>
      <c r="I249" s="4">
        <f t="shared" si="87"/>
        <v>2.5787861901255371</v>
      </c>
      <c r="J249" s="4">
        <f t="shared" si="88"/>
        <v>3.7300681149193218</v>
      </c>
      <c r="K249" s="4">
        <f t="shared" si="89"/>
        <v>2.0553225079365012</v>
      </c>
      <c r="L249" s="4">
        <f t="shared" si="90"/>
        <v>2.9690313650793616</v>
      </c>
      <c r="M249" s="4">
        <f t="shared" si="91"/>
        <v>2.1635065622787743E-2</v>
      </c>
      <c r="N249" s="4">
        <f t="shared" si="92"/>
        <v>1.6283531009535664E-2</v>
      </c>
      <c r="O249" s="4">
        <f t="shared" si="93"/>
        <v>2.13790973941267E-2</v>
      </c>
      <c r="P249" s="4">
        <f t="shared" si="94"/>
        <v>1.5970543292475273E-2</v>
      </c>
      <c r="S249" s="4">
        <v>0.86417160501694534</v>
      </c>
      <c r="T249" s="4">
        <v>0.42672523823621616</v>
      </c>
      <c r="U249" s="4">
        <f t="shared" si="95"/>
        <v>0.8650799823183275</v>
      </c>
      <c r="W249" s="4">
        <f t="shared" si="96"/>
        <v>1.4978019232419424</v>
      </c>
      <c r="X249" s="4">
        <f t="shared" si="97"/>
        <v>1.5910074931577272</v>
      </c>
      <c r="Y249" s="3">
        <f t="shared" si="84"/>
        <v>-75.170686503553497</v>
      </c>
      <c r="AA249" s="3"/>
      <c r="AH249" s="3"/>
      <c r="AI249" s="4"/>
      <c r="AJ249" s="4"/>
      <c r="AK249" s="4"/>
      <c r="AL249" s="3"/>
      <c r="AM249" s="4"/>
      <c r="AN249" s="4"/>
      <c r="AO249" s="4"/>
      <c r="AP249" s="4"/>
    </row>
    <row r="250" spans="4:42" x14ac:dyDescent="0.25">
      <c r="D250" s="1">
        <v>42382</v>
      </c>
      <c r="E250" s="3">
        <v>95.270312000000004</v>
      </c>
      <c r="F250" s="3">
        <v>184.86028999999999</v>
      </c>
      <c r="G250" s="3">
        <f t="shared" si="85"/>
        <v>-2.5140639999999905</v>
      </c>
      <c r="H250" s="3">
        <f t="shared" si="86"/>
        <v>-4.7284620000000075</v>
      </c>
      <c r="I250" s="4">
        <f t="shared" si="87"/>
        <v>-3.0314995955617174</v>
      </c>
      <c r="J250" s="4">
        <f t="shared" si="88"/>
        <v>-5.6667596193641048</v>
      </c>
      <c r="K250" s="4">
        <f t="shared" si="89"/>
        <v>-2.5423794920634828</v>
      </c>
      <c r="L250" s="4">
        <f t="shared" si="90"/>
        <v>-4.7942506349206422</v>
      </c>
      <c r="M250" s="4">
        <f t="shared" si="91"/>
        <v>-2.6046569061185989E-2</v>
      </c>
      <c r="N250" s="4">
        <f t="shared" si="92"/>
        <v>-2.5256912576481189E-2</v>
      </c>
      <c r="O250" s="4">
        <f t="shared" si="93"/>
        <v>-2.6302537289847033E-2</v>
      </c>
      <c r="P250" s="4">
        <f t="shared" si="94"/>
        <v>-2.556990029354158E-2</v>
      </c>
      <c r="S250" s="4">
        <v>-2.2793160786253188</v>
      </c>
      <c r="T250" s="4">
        <v>-1.1801459074635632</v>
      </c>
      <c r="U250" s="4">
        <f t="shared" si="95"/>
        <v>-2.3250141793264985</v>
      </c>
      <c r="W250" s="4">
        <f t="shared" si="96"/>
        <v>-3.8475628988275181</v>
      </c>
      <c r="X250" s="4">
        <f t="shared" si="97"/>
        <v>-4.0334340317212076</v>
      </c>
      <c r="Y250" s="3">
        <f t="shared" si="84"/>
        <v>252.26764397270381</v>
      </c>
      <c r="AA250" s="3"/>
      <c r="AH250" s="3"/>
      <c r="AI250" s="4"/>
      <c r="AJ250" s="4"/>
      <c r="AK250" s="4"/>
      <c r="AL250" s="3"/>
      <c r="AM250" s="4"/>
      <c r="AN250" s="4"/>
      <c r="AO250" s="4"/>
      <c r="AP250" s="4"/>
    </row>
    <row r="251" spans="4:42" x14ac:dyDescent="0.25">
      <c r="D251" s="1">
        <v>42381</v>
      </c>
      <c r="E251" s="3">
        <v>97.784375999999995</v>
      </c>
      <c r="F251" s="3">
        <v>189.588752</v>
      </c>
      <c r="G251" s="3">
        <f t="shared" si="85"/>
        <v>1.3988760000000013</v>
      </c>
      <c r="H251" s="3">
        <f t="shared" si="86"/>
        <v>1.5174179999999922</v>
      </c>
      <c r="I251" s="4">
        <f t="shared" si="87"/>
        <v>1.7112685492683462</v>
      </c>
      <c r="J251" s="4">
        <f t="shared" si="88"/>
        <v>1.8332009832073834</v>
      </c>
      <c r="K251" s="4">
        <f t="shared" si="89"/>
        <v>1.3705605079365093</v>
      </c>
      <c r="L251" s="4">
        <f t="shared" si="90"/>
        <v>1.4516293650793572</v>
      </c>
      <c r="M251" s="4">
        <f t="shared" si="91"/>
        <v>1.4409034312139839E-2</v>
      </c>
      <c r="N251" s="4">
        <f t="shared" si="92"/>
        <v>8.0359361341530346E-3</v>
      </c>
      <c r="O251" s="4">
        <f t="shared" si="93"/>
        <v>1.4153066083478797E-2</v>
      </c>
      <c r="P251" s="4">
        <f t="shared" si="94"/>
        <v>7.7229484170926437E-3</v>
      </c>
      <c r="S251" s="4">
        <v>-0.1427592463631675</v>
      </c>
      <c r="T251" s="4">
        <v>0.70253017128559336</v>
      </c>
      <c r="U251" s="4">
        <f t="shared" si="95"/>
        <v>0.46986083803612361</v>
      </c>
      <c r="W251" s="4">
        <f t="shared" si="96"/>
        <v>-0.21444043076253347</v>
      </c>
      <c r="X251" s="4">
        <f t="shared" si="97"/>
        <v>0.89419829133096462</v>
      </c>
      <c r="Y251" s="3">
        <f t="shared" si="84"/>
        <v>123.90301613176098</v>
      </c>
      <c r="AA251" s="3"/>
      <c r="AH251" s="3"/>
      <c r="AI251" s="4"/>
      <c r="AJ251" s="4"/>
      <c r="AK251" s="4"/>
      <c r="AL251" s="3"/>
      <c r="AM251" s="4"/>
      <c r="AN251" s="4"/>
      <c r="AO251" s="4"/>
      <c r="AP251" s="4"/>
    </row>
    <row r="252" spans="4:42" x14ac:dyDescent="0.25">
      <c r="D252" s="1">
        <v>42380</v>
      </c>
      <c r="E252" s="3">
        <v>96.385499999999993</v>
      </c>
      <c r="F252" s="3">
        <v>188.07133400000001</v>
      </c>
      <c r="G252" s="3">
        <f t="shared" si="85"/>
        <v>1.5358289999999926</v>
      </c>
      <c r="H252" s="3">
        <f t="shared" si="86"/>
        <v>0.18600800000001527</v>
      </c>
      <c r="I252" s="4">
        <f t="shared" si="87"/>
        <v>1.9092275347303536</v>
      </c>
      <c r="J252" s="4">
        <f t="shared" si="88"/>
        <v>0.22493975384783091</v>
      </c>
      <c r="K252" s="4">
        <f t="shared" si="89"/>
        <v>1.5075135079365005</v>
      </c>
      <c r="L252" s="4">
        <f t="shared" si="90"/>
        <v>0.12021936507938039</v>
      </c>
      <c r="M252" s="4">
        <f t="shared" si="91"/>
        <v>1.6062547624958234E-2</v>
      </c>
      <c r="N252" s="4">
        <f t="shared" si="92"/>
        <v>9.8951839383534627E-4</v>
      </c>
      <c r="O252" s="4">
        <f t="shared" si="93"/>
        <v>1.5806579396297191E-2</v>
      </c>
      <c r="P252" s="4">
        <f t="shared" si="94"/>
        <v>6.7653067677495569E-4</v>
      </c>
      <c r="S252" s="4">
        <v>-1.7203614377758547</v>
      </c>
      <c r="T252" s="4">
        <v>-0.46730427277757852</v>
      </c>
      <c r="U252" s="4">
        <f t="shared" si="95"/>
        <v>-1.4191990843672357</v>
      </c>
      <c r="W252" s="4">
        <f t="shared" si="96"/>
        <v>-2.897084711851674</v>
      </c>
      <c r="X252" s="4">
        <f t="shared" si="97"/>
        <v>-2.436395268663448</v>
      </c>
      <c r="Y252" s="3">
        <f t="shared" si="84"/>
        <v>242.6492083486055</v>
      </c>
      <c r="AA252" s="3"/>
      <c r="AH252" s="3"/>
      <c r="AI252" s="4"/>
      <c r="AJ252" s="4"/>
      <c r="AK252" s="4"/>
      <c r="AL252" s="3"/>
      <c r="AM252" s="4"/>
      <c r="AN252" s="4"/>
      <c r="AO252" s="4"/>
      <c r="AP252" s="4"/>
    </row>
    <row r="253" spans="4:42" x14ac:dyDescent="0.25">
      <c r="D253" s="1">
        <v>42377</v>
      </c>
      <c r="E253" s="3">
        <v>94.849671000000001</v>
      </c>
      <c r="F253" s="3">
        <v>187.88532599999999</v>
      </c>
      <c r="G253" s="3">
        <f t="shared" si="85"/>
        <v>0.49890200000000107</v>
      </c>
      <c r="H253" s="3">
        <f t="shared" si="86"/>
        <v>-2.0852260000000058</v>
      </c>
      <c r="I253" s="4">
        <f t="shared" si="87"/>
        <v>0.62347702556200812</v>
      </c>
      <c r="J253" s="4">
        <f t="shared" si="88"/>
        <v>-2.4939876684497042</v>
      </c>
      <c r="K253" s="4">
        <f t="shared" si="89"/>
        <v>0.47058650793650902</v>
      </c>
      <c r="L253" s="4">
        <f t="shared" si="90"/>
        <v>-2.1510146349206405</v>
      </c>
      <c r="M253" s="4">
        <f t="shared" si="91"/>
        <v>5.2738054555324741E-3</v>
      </c>
      <c r="N253" s="4">
        <f t="shared" si="92"/>
        <v>-1.1037262036065004E-2</v>
      </c>
      <c r="O253" s="4">
        <f t="shared" si="93"/>
        <v>5.0178372268714312E-3</v>
      </c>
      <c r="P253" s="4">
        <f t="shared" si="94"/>
        <v>-1.1350249753125395E-2</v>
      </c>
      <c r="S253" s="4">
        <v>-0.71286618443454308</v>
      </c>
      <c r="T253" s="4">
        <v>-1.9374737002067264</v>
      </c>
      <c r="U253" s="4">
        <f t="shared" si="95"/>
        <v>-1.9703990704564733</v>
      </c>
      <c r="W253" s="4">
        <f t="shared" si="96"/>
        <v>-1.183882616727614</v>
      </c>
      <c r="X253" s="4">
        <f t="shared" si="97"/>
        <v>-3.408213633007442</v>
      </c>
      <c r="Y253" s="3">
        <f t="shared" si="84"/>
        <v>-147.45708212122918</v>
      </c>
      <c r="AA253" s="3"/>
      <c r="AH253" s="3"/>
      <c r="AI253" s="4"/>
      <c r="AJ253" s="4"/>
      <c r="AK253" s="4"/>
      <c r="AL253" s="3"/>
      <c r="AM253" s="4"/>
      <c r="AN253" s="4"/>
      <c r="AO253" s="4"/>
      <c r="AP253" s="4"/>
    </row>
    <row r="254" spans="4:42" x14ac:dyDescent="0.25">
      <c r="D254" s="1">
        <v>42376</v>
      </c>
      <c r="E254" s="3">
        <v>94.350769</v>
      </c>
      <c r="F254" s="3">
        <v>189.970552</v>
      </c>
      <c r="G254" s="3">
        <f t="shared" si="85"/>
        <v>-4.1574990000000014</v>
      </c>
      <c r="H254" s="3">
        <f t="shared" si="86"/>
        <v>-4.6697259999999972</v>
      </c>
      <c r="I254" s="4">
        <f t="shared" si="87"/>
        <v>-4.9763409069378435</v>
      </c>
      <c r="J254" s="4">
        <f t="shared" si="88"/>
        <v>-5.4511249575387541</v>
      </c>
      <c r="K254" s="4">
        <f t="shared" si="89"/>
        <v>-4.1858144920634937</v>
      </c>
      <c r="L254" s="4">
        <f t="shared" si="90"/>
        <v>-4.7355146349206318</v>
      </c>
      <c r="M254" s="4">
        <f t="shared" si="91"/>
        <v>-4.3121061456861003E-2</v>
      </c>
      <c r="N254" s="4">
        <f t="shared" si="92"/>
        <v>-2.4284056077401139E-2</v>
      </c>
      <c r="O254" s="4">
        <f t="shared" si="93"/>
        <v>-4.3377029685522046E-2</v>
      </c>
      <c r="P254" s="4">
        <f t="shared" si="94"/>
        <v>-2.459704379446153E-2</v>
      </c>
      <c r="S254" s="4">
        <v>-0.98835448119040459</v>
      </c>
      <c r="T254" s="4">
        <v>0.41375943654985842</v>
      </c>
      <c r="U254" s="4">
        <f t="shared" si="95"/>
        <v>-0.27453914063968726</v>
      </c>
      <c r="W254" s="4">
        <f t="shared" si="96"/>
        <v>-1.6523385480275814</v>
      </c>
      <c r="X254" s="4">
        <f t="shared" si="97"/>
        <v>-0.4182501628627745</v>
      </c>
      <c r="Y254" s="3">
        <f t="shared" si="84"/>
        <v>230.08379825468637</v>
      </c>
      <c r="AA254" s="3"/>
      <c r="AH254" s="3"/>
      <c r="AI254" s="4"/>
      <c r="AJ254" s="4"/>
      <c r="AK254" s="4"/>
      <c r="AL254" s="3"/>
      <c r="AM254" s="4"/>
      <c r="AN254" s="4"/>
      <c r="AO254" s="4"/>
      <c r="AP254" s="4"/>
    </row>
    <row r="255" spans="4:42" x14ac:dyDescent="0.25">
      <c r="D255" s="1">
        <v>42375</v>
      </c>
      <c r="E255" s="3">
        <v>98.508268000000001</v>
      </c>
      <c r="F255" s="3">
        <v>194.640278</v>
      </c>
      <c r="G255" s="3">
        <f t="shared" si="85"/>
        <v>-1.9662550000000039</v>
      </c>
      <c r="H255" s="3">
        <f t="shared" si="86"/>
        <v>-2.4865959999999916</v>
      </c>
      <c r="I255" s="4">
        <f t="shared" si="87"/>
        <v>-2.3074619116631236</v>
      </c>
      <c r="J255" s="4">
        <f t="shared" si="88"/>
        <v>-2.866070379456076</v>
      </c>
      <c r="K255" s="4">
        <f t="shared" si="89"/>
        <v>-1.9945704920634959</v>
      </c>
      <c r="L255" s="4">
        <f t="shared" si="90"/>
        <v>-2.5523846349206263</v>
      </c>
      <c r="M255" s="4">
        <f t="shared" si="91"/>
        <v>-1.976370913273175E-2</v>
      </c>
      <c r="N255" s="4">
        <f t="shared" si="92"/>
        <v>-1.2694425144132751E-2</v>
      </c>
      <c r="O255" s="4">
        <f t="shared" si="93"/>
        <v>-2.0019677361392794E-2</v>
      </c>
      <c r="P255" s="4">
        <f t="shared" si="94"/>
        <v>-1.3007412861193142E-2</v>
      </c>
      <c r="S255" s="4">
        <v>2.1232838168315309E-3</v>
      </c>
      <c r="T255" s="4">
        <v>7.3078645084565713E-2</v>
      </c>
      <c r="U255" s="4">
        <f t="shared" si="95"/>
        <v>5.9223259902602417E-2</v>
      </c>
      <c r="W255" s="4">
        <f t="shared" si="96"/>
        <v>3.1926044342993926E-2</v>
      </c>
      <c r="X255" s="4">
        <f t="shared" si="97"/>
        <v>0.17020491398844395</v>
      </c>
      <c r="Y255" s="3">
        <f t="shared" si="84"/>
        <v>11.906965247076187</v>
      </c>
      <c r="AA255" s="3"/>
      <c r="AH255" s="3"/>
      <c r="AI255" s="4"/>
      <c r="AJ255" s="4"/>
      <c r="AK255" s="4"/>
      <c r="AL255" s="3"/>
      <c r="AM255" s="4"/>
      <c r="AN255" s="4"/>
      <c r="AO255" s="4"/>
      <c r="AP255" s="4"/>
    </row>
    <row r="256" spans="4:42" x14ac:dyDescent="0.25">
      <c r="D256" s="1">
        <v>42374</v>
      </c>
      <c r="E256" s="3">
        <v>100.474523</v>
      </c>
      <c r="F256" s="3">
        <v>197.12687399999999</v>
      </c>
      <c r="G256" s="3">
        <f t="shared" si="85"/>
        <v>-2.5825399999999945</v>
      </c>
      <c r="H256" s="3">
        <f t="shared" si="86"/>
        <v>0.33284799999998427</v>
      </c>
      <c r="I256" s="4">
        <f t="shared" si="87"/>
        <v>-2.9547446129932831</v>
      </c>
      <c r="J256" s="4">
        <f t="shared" si="88"/>
        <v>0.38429213501599085</v>
      </c>
      <c r="K256" s="4">
        <f t="shared" si="89"/>
        <v>-2.6108554920634868</v>
      </c>
      <c r="L256" s="4">
        <f t="shared" si="90"/>
        <v>0.26705936507934935</v>
      </c>
      <c r="M256" s="4">
        <f t="shared" si="91"/>
        <v>-2.5378651657270181E-2</v>
      </c>
      <c r="N256" s="4">
        <f t="shared" si="92"/>
        <v>1.6899234298733928E-3</v>
      </c>
      <c r="O256" s="4">
        <f t="shared" si="93"/>
        <v>-2.5634619885931225E-2</v>
      </c>
      <c r="P256" s="4">
        <f t="shared" si="94"/>
        <v>1.3769357128130023E-3</v>
      </c>
      <c r="S256" s="4">
        <v>-1.8000054219235067</v>
      </c>
      <c r="T256" s="4">
        <v>0.37642468719879224</v>
      </c>
      <c r="U256" s="4">
        <f t="shared" si="95"/>
        <v>-0.79893462138693061</v>
      </c>
      <c r="W256" s="4">
        <f t="shared" si="96"/>
        <v>-3.0325158615799404</v>
      </c>
      <c r="X256" s="4">
        <f t="shared" si="97"/>
        <v>-1.3428096171996671</v>
      </c>
      <c r="Y256" s="3">
        <f t="shared" si="84"/>
        <v>375.83473832840718</v>
      </c>
      <c r="AA256" s="3"/>
      <c r="AH256" s="3"/>
      <c r="AI256" s="4"/>
      <c r="AJ256" s="4"/>
      <c r="AK256" s="4"/>
      <c r="AL256" s="3"/>
      <c r="AM256" s="4"/>
      <c r="AN256" s="4"/>
      <c r="AO256" s="4"/>
      <c r="AP256" s="4"/>
    </row>
    <row r="257" spans="4:42" x14ac:dyDescent="0.25">
      <c r="D257" s="1">
        <v>42373</v>
      </c>
      <c r="E257" s="3">
        <v>103.057063</v>
      </c>
      <c r="F257" s="3">
        <v>196.794026</v>
      </c>
      <c r="G257" s="3">
        <f t="shared" si="85"/>
        <v>8.8037999999997396E-2</v>
      </c>
      <c r="H257" s="3">
        <f t="shared" si="86"/>
        <v>-2.7900759999999991</v>
      </c>
      <c r="I257" s="4">
        <f t="shared" si="87"/>
        <v>0.10081246211811458</v>
      </c>
      <c r="J257" s="4">
        <f t="shared" si="88"/>
        <v>-3.1762709611536684</v>
      </c>
      <c r="K257" s="4">
        <f t="shared" si="89"/>
        <v>5.972250793650534E-2</v>
      </c>
      <c r="L257" s="4">
        <f t="shared" si="90"/>
        <v>-2.8558646349206338</v>
      </c>
      <c r="M257" s="4">
        <f t="shared" si="91"/>
        <v>8.5462968513505468E-4</v>
      </c>
      <c r="N257" s="4">
        <f t="shared" si="92"/>
        <v>-1.4078082940239756E-2</v>
      </c>
      <c r="O257" s="4">
        <f t="shared" si="93"/>
        <v>5.9866145647401213E-4</v>
      </c>
      <c r="P257" s="4">
        <f t="shared" si="94"/>
        <v>-1.4391070657300147E-2</v>
      </c>
      <c r="S257" s="4">
        <v>0.83819037064738355</v>
      </c>
      <c r="T257" s="4">
        <v>0.2700464618950949</v>
      </c>
      <c r="U257" s="4">
        <f t="shared" si="95"/>
        <v>0.72504322661430409</v>
      </c>
      <c r="W257" s="4">
        <f t="shared" si="96"/>
        <v>1.4536219581173193</v>
      </c>
      <c r="X257" s="4">
        <f t="shared" si="97"/>
        <v>1.3441092814181301</v>
      </c>
      <c r="Y257" s="3">
        <f t="shared" si="84"/>
        <v>-93.113611464965743</v>
      </c>
      <c r="AA257" s="3"/>
      <c r="AH257" s="3"/>
      <c r="AI257" s="4"/>
      <c r="AJ257" s="4"/>
      <c r="AK257" s="4"/>
      <c r="AL257" s="3"/>
      <c r="AM257" s="4"/>
      <c r="AN257" s="4"/>
      <c r="AO257" s="4"/>
      <c r="AP257" s="4"/>
    </row>
    <row r="258" spans="4:42" x14ac:dyDescent="0.25">
      <c r="D258" s="1">
        <v>42369</v>
      </c>
      <c r="E258" s="3">
        <v>102.969025</v>
      </c>
      <c r="F258" s="3">
        <v>199.584102</v>
      </c>
      <c r="G258" s="3">
        <f t="shared" si="85"/>
        <v>-2.0151620000000037</v>
      </c>
      <c r="H258" s="3">
        <f t="shared" si="86"/>
        <v>-2.0166910000000087</v>
      </c>
      <c r="I258" s="4">
        <f t="shared" si="87"/>
        <v>-2.2632718914196897</v>
      </c>
      <c r="J258" s="4">
        <f t="shared" si="88"/>
        <v>-2.2728699099255971</v>
      </c>
      <c r="K258" s="4">
        <f t="shared" si="89"/>
        <v>-2.0434774920634959</v>
      </c>
      <c r="L258" s="4">
        <f t="shared" si="90"/>
        <v>-2.0824796349206434</v>
      </c>
      <c r="M258" s="4">
        <f t="shared" si="91"/>
        <v>-1.9381523969688196E-2</v>
      </c>
      <c r="N258" s="4">
        <f t="shared" si="92"/>
        <v>-1.0053758314630783E-2</v>
      </c>
      <c r="O258" s="4">
        <f t="shared" si="93"/>
        <v>-1.9637492198349239E-2</v>
      </c>
      <c r="P258" s="4">
        <f t="shared" si="94"/>
        <v>-1.0366746031691174E-2</v>
      </c>
      <c r="S258" s="4">
        <v>2.4564840328865731</v>
      </c>
      <c r="T258" s="4">
        <v>1.7176455797937853</v>
      </c>
      <c r="U258" s="4">
        <f t="shared" si="95"/>
        <v>2.8590914176284388</v>
      </c>
      <c r="W258" s="4">
        <f t="shared" si="96"/>
        <v>4.2054603250767855</v>
      </c>
      <c r="X258" s="4">
        <f t="shared" si="97"/>
        <v>5.1066406216980553</v>
      </c>
      <c r="Y258" s="3">
        <f t="shared" ref="Y258:Y321" si="109">(B$4*EXP(-B$8*B$7)*NORMSDIST((LN(B$4/(B$5+W258))-B$8*B$7+B$9*B$7+0.5*B$6*B$6*B$7)/(B$6*SQRT(B$7)))-(B$5+W258)*EXP(-B$9*B$7)*NORMSDIST((LN(B$4/(B$5+W258))-B$8*B$7+B$9*B$7-0.5*B$6*B$6*B$7)/(B$6*SQRT(B$7))))*400+100*X258-400*$B$13</f>
        <v>-118.63219074759627</v>
      </c>
      <c r="AA258" s="3"/>
      <c r="AH258" s="3"/>
      <c r="AI258" s="4"/>
      <c r="AJ258" s="4"/>
      <c r="AK258" s="4"/>
      <c r="AL258" s="3"/>
      <c r="AM258" s="4"/>
      <c r="AN258" s="4"/>
      <c r="AO258" s="4"/>
      <c r="AP258" s="4"/>
    </row>
    <row r="259" spans="4:42" x14ac:dyDescent="0.25">
      <c r="D259" s="1">
        <v>42368</v>
      </c>
      <c r="E259" s="3">
        <v>104.98418700000001</v>
      </c>
      <c r="F259" s="3">
        <v>201.60079300000001</v>
      </c>
      <c r="G259" s="3">
        <f t="shared" ref="G259:G322" si="110">E259-E260</f>
        <v>-1.3890919999999909</v>
      </c>
      <c r="H259" s="3">
        <f t="shared" ref="H259:H322" si="111">F259-F260</f>
        <v>-1.4390980000000013</v>
      </c>
      <c r="I259" s="4">
        <f t="shared" ref="I259:I322" si="112">G259/E260*E$2</f>
        <v>-1.5397461168454432</v>
      </c>
      <c r="J259" s="4">
        <f t="shared" ref="J259:J322" si="113">H259/F260*F$2</f>
        <v>-1.6104099792571611</v>
      </c>
      <c r="K259" s="4">
        <f t="shared" ref="K259:K322" si="114">G259-B$20</f>
        <v>-1.4174074920634829</v>
      </c>
      <c r="L259" s="4">
        <f t="shared" ref="L259:L322" si="115">H259-C$20</f>
        <v>-1.5048866349206362</v>
      </c>
      <c r="M259" s="4">
        <f t="shared" ref="M259:M322" si="116">LN(E259/E260)</f>
        <v>-1.3144669333062299E-2</v>
      </c>
      <c r="N259" s="4">
        <f t="shared" ref="N259:N322" si="117">LN(F259/F260)</f>
        <v>-7.1129974046786485E-3</v>
      </c>
      <c r="O259" s="4">
        <f t="shared" ref="O259:O322" si="118">M259-AVERAGE(M$2:M$505)</f>
        <v>-1.3400637561723341E-2</v>
      </c>
      <c r="P259" s="4">
        <f t="shared" ref="P259:P322" si="119">N259-AVERAGE(N$2:N$505)</f>
        <v>-7.4259851217390394E-3</v>
      </c>
      <c r="S259" s="4">
        <v>0.43988614069215776</v>
      </c>
      <c r="T259" s="4">
        <v>-0.5562262170342438</v>
      </c>
      <c r="U259" s="4">
        <f t="shared" ref="U259:U322" si="120">$B$19*S259+SQRT(1-$B$19^2)*T259</f>
        <v>-0.17275167692715382</v>
      </c>
      <c r="W259" s="4">
        <f t="shared" ref="W259:W322" si="121">S259*SQRT($B$16)+$B$20</f>
        <v>0.77632284529966489</v>
      </c>
      <c r="X259" s="4">
        <f t="shared" ref="X259:X322" si="122">U259*SQRT($C$17)+$C$20</f>
        <v>-0.23878911606981759</v>
      </c>
      <c r="Y259" s="3">
        <f t="shared" si="109"/>
        <v>-146.73345808002023</v>
      </c>
      <c r="AA259" s="3"/>
      <c r="AH259" s="3"/>
      <c r="AI259" s="4"/>
      <c r="AJ259" s="4"/>
      <c r="AK259" s="4"/>
      <c r="AL259" s="3"/>
      <c r="AM259" s="4"/>
      <c r="AN259" s="4"/>
      <c r="AO259" s="4"/>
      <c r="AP259" s="4"/>
    </row>
    <row r="260" spans="4:42" x14ac:dyDescent="0.25">
      <c r="D260" s="1">
        <v>42367</v>
      </c>
      <c r="E260" s="3">
        <v>106.373279</v>
      </c>
      <c r="F260" s="3">
        <v>203.03989100000001</v>
      </c>
      <c r="G260" s="3">
        <f t="shared" si="110"/>
        <v>1.8782099999999957</v>
      </c>
      <c r="H260" s="3">
        <f t="shared" si="111"/>
        <v>2.1439480000000231</v>
      </c>
      <c r="I260" s="4">
        <f t="shared" si="112"/>
        <v>2.1193320482217155</v>
      </c>
      <c r="J260" s="4">
        <f t="shared" si="113"/>
        <v>2.4247699222459724</v>
      </c>
      <c r="K260" s="4">
        <f t="shared" si="114"/>
        <v>1.8498945079365037</v>
      </c>
      <c r="L260" s="4">
        <f t="shared" si="115"/>
        <v>2.0781593650793884</v>
      </c>
      <c r="M260" s="4">
        <f t="shared" si="116"/>
        <v>1.7814524460594831E-2</v>
      </c>
      <c r="N260" s="4">
        <f t="shared" si="117"/>
        <v>1.0615389635348502E-2</v>
      </c>
      <c r="O260" s="4">
        <f t="shared" si="118"/>
        <v>1.7558556231933788E-2</v>
      </c>
      <c r="P260" s="4">
        <f t="shared" si="119"/>
        <v>1.0302401918288111E-2</v>
      </c>
      <c r="S260" s="4">
        <v>-0.3438107060316693</v>
      </c>
      <c r="T260" s="4">
        <v>-2.7420122651466952</v>
      </c>
      <c r="U260" s="4">
        <f t="shared" si="120"/>
        <v>-2.3831659158675702</v>
      </c>
      <c r="W260" s="4">
        <f t="shared" si="121"/>
        <v>-0.55631974065456768</v>
      </c>
      <c r="X260" s="4">
        <f t="shared" si="122"/>
        <v>-4.1359611124819784</v>
      </c>
      <c r="Y260" s="3">
        <f t="shared" si="109"/>
        <v>-323.64310177813286</v>
      </c>
      <c r="AA260" s="3"/>
      <c r="AH260" s="3"/>
      <c r="AI260" s="4"/>
      <c r="AJ260" s="4"/>
      <c r="AK260" s="4"/>
      <c r="AL260" s="3"/>
      <c r="AM260" s="4"/>
      <c r="AN260" s="4"/>
      <c r="AO260" s="4"/>
      <c r="AP260" s="4"/>
    </row>
    <row r="261" spans="4:42" x14ac:dyDescent="0.25">
      <c r="D261" s="1">
        <v>42366</v>
      </c>
      <c r="E261" s="3">
        <v>104.495069</v>
      </c>
      <c r="F261" s="3">
        <v>200.89594299999999</v>
      </c>
      <c r="G261" s="3">
        <f t="shared" si="110"/>
        <v>-1.1836639999999932</v>
      </c>
      <c r="H261" s="3">
        <f t="shared" si="111"/>
        <v>-0.46010600000002455</v>
      </c>
      <c r="I261" s="4">
        <f t="shared" si="112"/>
        <v>-1.3206614331253879</v>
      </c>
      <c r="J261" s="4">
        <f t="shared" si="113"/>
        <v>-0.5191832477838676</v>
      </c>
      <c r="K261" s="4">
        <f t="shared" si="114"/>
        <v>-1.2119794920634852</v>
      </c>
      <c r="L261" s="4">
        <f t="shared" si="115"/>
        <v>-0.52589463492065947</v>
      </c>
      <c r="M261" s="4">
        <f t="shared" si="116"/>
        <v>-1.1263787430061756E-2</v>
      </c>
      <c r="N261" s="4">
        <f t="shared" si="117"/>
        <v>-2.2876515706998757E-3</v>
      </c>
      <c r="O261" s="4">
        <f t="shared" si="118"/>
        <v>-1.1519755658722798E-2</v>
      </c>
      <c r="P261" s="4">
        <f t="shared" si="119"/>
        <v>-2.6006392877602662E-3</v>
      </c>
      <c r="S261" s="4">
        <v>-0.33945540011896513</v>
      </c>
      <c r="T261" s="4">
        <v>-1.4815908778041156</v>
      </c>
      <c r="U261" s="4">
        <f t="shared" si="120"/>
        <v>-1.3813848499608221</v>
      </c>
      <c r="W261" s="4">
        <f t="shared" si="121"/>
        <v>-0.54891373135595789</v>
      </c>
      <c r="X261" s="4">
        <f t="shared" si="122"/>
        <v>-2.3697251519051146</v>
      </c>
      <c r="Y261" s="3">
        <f t="shared" si="109"/>
        <v>-148.22757845451906</v>
      </c>
      <c r="AA261" s="3"/>
      <c r="AH261" s="3"/>
      <c r="AI261" s="4"/>
      <c r="AJ261" s="4"/>
      <c r="AK261" s="4"/>
      <c r="AL261" s="3"/>
      <c r="AM261" s="4"/>
      <c r="AN261" s="4"/>
      <c r="AO261" s="4"/>
      <c r="AP261" s="4"/>
    </row>
    <row r="262" spans="4:42" x14ac:dyDescent="0.25">
      <c r="D262" s="1">
        <v>42362</v>
      </c>
      <c r="E262" s="3">
        <v>105.67873299999999</v>
      </c>
      <c r="F262" s="3">
        <v>201.35604900000001</v>
      </c>
      <c r="G262" s="3">
        <f t="shared" si="110"/>
        <v>-0.56737800000000504</v>
      </c>
      <c r="H262" s="3">
        <f t="shared" si="111"/>
        <v>-0.33286299999997482</v>
      </c>
      <c r="I262" s="4">
        <f t="shared" si="112"/>
        <v>-0.62966579783341525</v>
      </c>
      <c r="J262" s="4">
        <f t="shared" si="113"/>
        <v>-0.37498246091007359</v>
      </c>
      <c r="K262" s="4">
        <f t="shared" si="114"/>
        <v>-0.59569349206349709</v>
      </c>
      <c r="L262" s="4">
        <f t="shared" si="115"/>
        <v>-0.39865163492060973</v>
      </c>
      <c r="M262" s="4">
        <f t="shared" si="116"/>
        <v>-5.3545336629687353E-3</v>
      </c>
      <c r="N262" s="4">
        <f t="shared" si="117"/>
        <v>-1.6517416560768493E-3</v>
      </c>
      <c r="O262" s="4">
        <f t="shared" si="118"/>
        <v>-5.6105018916297782E-3</v>
      </c>
      <c r="P262" s="4">
        <f t="shared" si="119"/>
        <v>-1.96472937313724E-3</v>
      </c>
      <c r="S262" s="4">
        <v>0.63408362011465869</v>
      </c>
      <c r="T262" s="4">
        <v>1.1450836879310031</v>
      </c>
      <c r="U262" s="4">
        <f t="shared" si="120"/>
        <v>1.2942502228435337</v>
      </c>
      <c r="W262" s="4">
        <f t="shared" si="121"/>
        <v>1.1065472582793365</v>
      </c>
      <c r="X262" s="4">
        <f t="shared" si="122"/>
        <v>2.3476757291848611</v>
      </c>
      <c r="Y262" s="3">
        <f t="shared" si="109"/>
        <v>60.589260269174247</v>
      </c>
      <c r="AA262" s="3"/>
      <c r="AH262" s="3"/>
      <c r="AI262" s="4"/>
      <c r="AJ262" s="4"/>
      <c r="AK262" s="4"/>
      <c r="AL262" s="3"/>
      <c r="AM262" s="4"/>
      <c r="AN262" s="4"/>
      <c r="AO262" s="4"/>
      <c r="AP262" s="4"/>
    </row>
    <row r="263" spans="4:42" x14ac:dyDescent="0.25">
      <c r="D263" s="1">
        <v>42361</v>
      </c>
      <c r="E263" s="3">
        <v>106.246111</v>
      </c>
      <c r="F263" s="3">
        <v>201.68891199999999</v>
      </c>
      <c r="G263" s="3">
        <f t="shared" si="110"/>
        <v>1.349962000000005</v>
      </c>
      <c r="H263" s="3">
        <f t="shared" si="111"/>
        <v>2.4670270000000016</v>
      </c>
      <c r="I263" s="4">
        <f t="shared" si="112"/>
        <v>1.5174439322824769</v>
      </c>
      <c r="J263" s="4">
        <f t="shared" si="113"/>
        <v>2.8136126808517514</v>
      </c>
      <c r="K263" s="4">
        <f t="shared" si="114"/>
        <v>1.3216465079365129</v>
      </c>
      <c r="L263" s="4">
        <f t="shared" si="115"/>
        <v>2.4012383650793669</v>
      </c>
      <c r="M263" s="4">
        <f t="shared" si="116"/>
        <v>1.2787401206801535E-2</v>
      </c>
      <c r="N263" s="4">
        <f t="shared" si="117"/>
        <v>1.2307267143658695E-2</v>
      </c>
      <c r="O263" s="4">
        <f t="shared" si="118"/>
        <v>1.2531432978140493E-2</v>
      </c>
      <c r="P263" s="4">
        <f t="shared" si="119"/>
        <v>1.1994279426598304E-2</v>
      </c>
      <c r="S263" s="4">
        <v>0.10509257167503822</v>
      </c>
      <c r="T263" s="4">
        <v>0.7047440754343316</v>
      </c>
      <c r="U263" s="4">
        <f t="shared" si="120"/>
        <v>0.62271178049499554</v>
      </c>
      <c r="W263" s="4">
        <f t="shared" si="121"/>
        <v>0.20702086400300304</v>
      </c>
      <c r="X263" s="4">
        <f t="shared" si="122"/>
        <v>1.1636891415443935</v>
      </c>
      <c r="Y263" s="3">
        <f t="shared" si="109"/>
        <v>83.304418212569999</v>
      </c>
      <c r="AA263" s="3"/>
      <c r="AH263" s="3"/>
      <c r="AI263" s="4"/>
      <c r="AJ263" s="4"/>
      <c r="AK263" s="4"/>
      <c r="AL263" s="3"/>
      <c r="AM263" s="4"/>
      <c r="AN263" s="4"/>
      <c r="AO263" s="4"/>
      <c r="AP263" s="4"/>
    </row>
    <row r="264" spans="4:42" x14ac:dyDescent="0.25">
      <c r="D264" s="1">
        <v>42360</v>
      </c>
      <c r="E264" s="3">
        <v>104.89614899999999</v>
      </c>
      <c r="F264" s="3">
        <v>199.22188499999999</v>
      </c>
      <c r="G264" s="3">
        <f t="shared" si="110"/>
        <v>-9.7822000000007847E-2</v>
      </c>
      <c r="H264" s="3">
        <f t="shared" si="111"/>
        <v>1.7915299999999945</v>
      </c>
      <c r="I264" s="4">
        <f t="shared" si="112"/>
        <v>-0.10985575934916229</v>
      </c>
      <c r="J264" s="4">
        <f t="shared" si="113"/>
        <v>2.0617576453261646</v>
      </c>
      <c r="K264" s="4">
        <f t="shared" si="114"/>
        <v>-0.12613749206349989</v>
      </c>
      <c r="L264" s="4">
        <f t="shared" si="115"/>
        <v>1.7257413650793596</v>
      </c>
      <c r="M264" s="4">
        <f t="shared" si="116"/>
        <v>-9.3212588646667915E-4</v>
      </c>
      <c r="N264" s="4">
        <f t="shared" si="117"/>
        <v>9.033314333493114E-3</v>
      </c>
      <c r="O264" s="4">
        <f t="shared" si="118"/>
        <v>-1.1880941151277218E-3</v>
      </c>
      <c r="P264" s="4">
        <f t="shared" si="119"/>
        <v>8.720326616432723E-3</v>
      </c>
      <c r="S264" s="4">
        <v>1.8567187106549932</v>
      </c>
      <c r="T264" s="4">
        <v>0.67017167245876785</v>
      </c>
      <c r="U264" s="4">
        <f t="shared" si="120"/>
        <v>1.6631368889281508</v>
      </c>
      <c r="W264" s="4">
        <f t="shared" si="121"/>
        <v>3.1855853398377185</v>
      </c>
      <c r="X264" s="4">
        <f t="shared" si="122"/>
        <v>2.9980582500665345</v>
      </c>
      <c r="Y264" s="3">
        <f t="shared" si="109"/>
        <v>-184.92029808360439</v>
      </c>
      <c r="AA264" s="3"/>
      <c r="AH264" s="3"/>
      <c r="AI264" s="4"/>
      <c r="AJ264" s="4"/>
      <c r="AK264" s="4"/>
      <c r="AL264" s="3"/>
      <c r="AM264" s="4"/>
      <c r="AN264" s="4"/>
      <c r="AO264" s="4"/>
      <c r="AP264" s="4"/>
    </row>
    <row r="265" spans="4:42" x14ac:dyDescent="0.25">
      <c r="D265" s="1">
        <v>42359</v>
      </c>
      <c r="E265" s="3">
        <v>104.993971</v>
      </c>
      <c r="F265" s="3">
        <v>197.43035499999999</v>
      </c>
      <c r="G265" s="3">
        <f t="shared" si="110"/>
        <v>1.2717080000000038</v>
      </c>
      <c r="H265" s="3">
        <f t="shared" si="111"/>
        <v>1.6153070000000014</v>
      </c>
      <c r="I265" s="4">
        <f t="shared" si="112"/>
        <v>1.4456596976372609</v>
      </c>
      <c r="J265" s="4">
        <f t="shared" si="113"/>
        <v>1.8742886132895638</v>
      </c>
      <c r="K265" s="4">
        <f t="shared" si="114"/>
        <v>1.2433925079365118</v>
      </c>
      <c r="L265" s="4">
        <f t="shared" si="115"/>
        <v>1.5495183650793665</v>
      </c>
      <c r="M265" s="4">
        <f t="shared" si="116"/>
        <v>1.2186150671805656E-2</v>
      </c>
      <c r="N265" s="4">
        <f t="shared" si="117"/>
        <v>8.215308164296508E-3</v>
      </c>
      <c r="O265" s="4">
        <f t="shared" si="118"/>
        <v>1.1930182443144614E-2</v>
      </c>
      <c r="P265" s="4">
        <f t="shared" si="119"/>
        <v>7.9023204472361171E-3</v>
      </c>
      <c r="S265" s="4">
        <v>-1.6762240392514329</v>
      </c>
      <c r="T265" s="4">
        <v>1.8431979067100377</v>
      </c>
      <c r="U265" s="4">
        <f t="shared" si="120"/>
        <v>0.43922469598311586</v>
      </c>
      <c r="W265" s="4">
        <f t="shared" si="121"/>
        <v>-2.822030974998238</v>
      </c>
      <c r="X265" s="4">
        <f t="shared" si="122"/>
        <v>0.84018383884339853</v>
      </c>
      <c r="Y265" s="3">
        <f t="shared" si="109"/>
        <v>557.14525199900709</v>
      </c>
      <c r="AA265" s="3"/>
      <c r="AH265" s="3"/>
      <c r="AI265" s="4"/>
      <c r="AJ265" s="4"/>
      <c r="AK265" s="4"/>
      <c r="AL265" s="3"/>
      <c r="AM265" s="4"/>
      <c r="AN265" s="4"/>
      <c r="AO265" s="4"/>
      <c r="AP265" s="4"/>
    </row>
    <row r="266" spans="4:42" x14ac:dyDescent="0.25">
      <c r="D266" s="1">
        <v>42356</v>
      </c>
      <c r="E266" s="3">
        <v>103.722263</v>
      </c>
      <c r="F266" s="3">
        <v>195.81504799999999</v>
      </c>
      <c r="G266" s="3">
        <f t="shared" si="110"/>
        <v>-2.8857980000000083</v>
      </c>
      <c r="H266" s="3">
        <f t="shared" si="111"/>
        <v>-3.5517300000000205</v>
      </c>
      <c r="I266" s="4">
        <f t="shared" si="112"/>
        <v>-3.1917328814674994</v>
      </c>
      <c r="J266" s="4">
        <f t="shared" si="113"/>
        <v>-4.0477586399180039</v>
      </c>
      <c r="K266" s="4">
        <f t="shared" si="114"/>
        <v>-2.9141134920635006</v>
      </c>
      <c r="L266" s="4">
        <f t="shared" si="115"/>
        <v>-3.6175186349206552</v>
      </c>
      <c r="M266" s="4">
        <f t="shared" si="116"/>
        <v>-2.7442349220159926E-2</v>
      </c>
      <c r="N266" s="4">
        <f t="shared" si="117"/>
        <v>-1.7975652741407989E-2</v>
      </c>
      <c r="O266" s="4">
        <f t="shared" si="118"/>
        <v>-2.769831744882097E-2</v>
      </c>
      <c r="P266" s="4">
        <f t="shared" si="119"/>
        <v>-1.828864045846838E-2</v>
      </c>
      <c r="S266" s="4">
        <v>-0.51984498212963592</v>
      </c>
      <c r="T266" s="4">
        <v>-1.7928291563763554</v>
      </c>
      <c r="U266" s="4">
        <f t="shared" si="120"/>
        <v>-1.7380704633931574</v>
      </c>
      <c r="W266" s="4">
        <f t="shared" si="121"/>
        <v>-0.85565841210190208</v>
      </c>
      <c r="X266" s="4">
        <f t="shared" si="122"/>
        <v>-2.9985960484561303</v>
      </c>
      <c r="Y266" s="3">
        <f t="shared" si="109"/>
        <v>-160.83840289008913</v>
      </c>
      <c r="AA266" s="3"/>
      <c r="AH266" s="3"/>
      <c r="AI266" s="4"/>
      <c r="AJ266" s="4"/>
      <c r="AK266" s="4"/>
      <c r="AL266" s="3"/>
      <c r="AM266" s="4"/>
      <c r="AN266" s="4"/>
      <c r="AO266" s="4"/>
      <c r="AP266" s="4"/>
    </row>
    <row r="267" spans="4:42" x14ac:dyDescent="0.25">
      <c r="D267" s="1">
        <v>42355</v>
      </c>
      <c r="E267" s="3">
        <v>106.60806100000001</v>
      </c>
      <c r="F267" s="3">
        <v>199.36677800000001</v>
      </c>
      <c r="G267" s="3">
        <f t="shared" si="110"/>
        <v>-2.3086279999999988</v>
      </c>
      <c r="H267" s="3">
        <f t="shared" si="111"/>
        <v>-3.0849959999999896</v>
      </c>
      <c r="I267" s="4">
        <f t="shared" si="112"/>
        <v>-2.4992527702941087</v>
      </c>
      <c r="J267" s="4">
        <f t="shared" si="113"/>
        <v>-3.4622663407976342</v>
      </c>
      <c r="K267" s="4">
        <f t="shared" si="114"/>
        <v>-2.3369434920634911</v>
      </c>
      <c r="L267" s="4">
        <f t="shared" si="115"/>
        <v>-3.1507846349206243</v>
      </c>
      <c r="M267" s="4">
        <f t="shared" si="116"/>
        <v>-2.1424140876210852E-2</v>
      </c>
      <c r="N267" s="4">
        <f t="shared" si="117"/>
        <v>-1.5355471279934507E-2</v>
      </c>
      <c r="O267" s="4">
        <f t="shared" si="118"/>
        <v>-2.1680109104871895E-2</v>
      </c>
      <c r="P267" s="4">
        <f t="shared" si="119"/>
        <v>-1.5668458996994896E-2</v>
      </c>
      <c r="S267" s="4">
        <v>-0.25128218276323167</v>
      </c>
      <c r="T267" s="4">
        <v>1.2154615373216604</v>
      </c>
      <c r="U267" s="4">
        <f t="shared" si="120"/>
        <v>0.81029943477946753</v>
      </c>
      <c r="W267" s="4">
        <f t="shared" si="121"/>
        <v>-0.39897898952298844</v>
      </c>
      <c r="X267" s="4">
        <f t="shared" si="122"/>
        <v>1.4944241414693538</v>
      </c>
      <c r="Y267" s="3">
        <f t="shared" si="109"/>
        <v>213.79138965010316</v>
      </c>
      <c r="AA267" s="3"/>
      <c r="AH267" s="3"/>
      <c r="AI267" s="4"/>
      <c r="AJ267" s="4"/>
      <c r="AK267" s="4"/>
      <c r="AL267" s="3"/>
      <c r="AM267" s="4"/>
      <c r="AN267" s="4"/>
      <c r="AO267" s="4"/>
      <c r="AP267" s="4"/>
    </row>
    <row r="268" spans="4:42" x14ac:dyDescent="0.25">
      <c r="D268" s="1">
        <v>42354</v>
      </c>
      <c r="E268" s="3">
        <v>108.91668900000001</v>
      </c>
      <c r="F268" s="3">
        <v>202.451774</v>
      </c>
      <c r="G268" s="3">
        <f t="shared" si="110"/>
        <v>0.83149900000000798</v>
      </c>
      <c r="H268" s="3">
        <f t="shared" si="111"/>
        <v>2.919556</v>
      </c>
      <c r="I268" s="4">
        <f t="shared" si="112"/>
        <v>0.9070812607721459</v>
      </c>
      <c r="J268" s="4">
        <f t="shared" si="113"/>
        <v>3.3245374899651141</v>
      </c>
      <c r="K268" s="4">
        <f t="shared" si="114"/>
        <v>0.80318350793651594</v>
      </c>
      <c r="L268" s="4">
        <f t="shared" si="115"/>
        <v>2.8537673650793653</v>
      </c>
      <c r="M268" s="4">
        <f t="shared" si="116"/>
        <v>7.6635564017158847E-3</v>
      </c>
      <c r="N268" s="4">
        <f t="shared" si="117"/>
        <v>1.4525988071679831E-2</v>
      </c>
      <c r="O268" s="4">
        <f t="shared" si="118"/>
        <v>7.4075881730548418E-3</v>
      </c>
      <c r="P268" s="4">
        <f t="shared" si="119"/>
        <v>1.421300035461944E-2</v>
      </c>
      <c r="S268" s="4">
        <v>-6.0267053315289622E-2</v>
      </c>
      <c r="T268" s="4">
        <v>2.3009301380356488</v>
      </c>
      <c r="U268" s="4">
        <f t="shared" si="120"/>
        <v>1.787188816188126</v>
      </c>
      <c r="W268" s="4">
        <f t="shared" si="121"/>
        <v>-7.4166025009948192E-2</v>
      </c>
      <c r="X268" s="4">
        <f t="shared" si="122"/>
        <v>3.2167736783793202</v>
      </c>
      <c r="Y268" s="3">
        <f t="shared" si="109"/>
        <v>333.57672862119307</v>
      </c>
      <c r="AA268" s="3"/>
      <c r="AH268" s="3"/>
      <c r="AI268" s="4"/>
      <c r="AJ268" s="4"/>
      <c r="AK268" s="4"/>
      <c r="AL268" s="3"/>
      <c r="AM268" s="4"/>
      <c r="AN268" s="4"/>
      <c r="AO268" s="4"/>
      <c r="AP268" s="4"/>
    </row>
    <row r="269" spans="4:42" x14ac:dyDescent="0.25">
      <c r="D269" s="1">
        <v>42353</v>
      </c>
      <c r="E269" s="3">
        <v>108.08519</v>
      </c>
      <c r="F269" s="3">
        <v>199.532218</v>
      </c>
      <c r="G269" s="3">
        <f t="shared" si="110"/>
        <v>-1.9466940000000079</v>
      </c>
      <c r="H269" s="3">
        <f t="shared" si="111"/>
        <v>2.072890000000001</v>
      </c>
      <c r="I269" s="4">
        <f t="shared" si="112"/>
        <v>-2.0860744084576153</v>
      </c>
      <c r="J269" s="4">
        <f t="shared" si="113"/>
        <v>2.3852068989631636</v>
      </c>
      <c r="K269" s="4">
        <f t="shared" si="114"/>
        <v>-1.9750094920635</v>
      </c>
      <c r="L269" s="4">
        <f t="shared" si="115"/>
        <v>2.0071013650793663</v>
      </c>
      <c r="M269" s="4">
        <f t="shared" si="116"/>
        <v>-1.7850465853940727E-2</v>
      </c>
      <c r="N269" s="4">
        <f t="shared" si="117"/>
        <v>1.044308806893752E-2</v>
      </c>
      <c r="O269" s="4">
        <f t="shared" si="118"/>
        <v>-1.810643408260177E-2</v>
      </c>
      <c r="P269" s="4">
        <f t="shared" si="119"/>
        <v>1.0130100351877129E-2</v>
      </c>
      <c r="S269" s="4">
        <v>-1.106849607506643</v>
      </c>
      <c r="T269" s="4">
        <v>-0.47449955113522724</v>
      </c>
      <c r="U269" s="4">
        <f t="shared" si="120"/>
        <v>-1.0508922237773894</v>
      </c>
      <c r="W269" s="4">
        <f t="shared" si="121"/>
        <v>-1.8538343843540648</v>
      </c>
      <c r="X269" s="4">
        <f t="shared" si="122"/>
        <v>-1.7870350003974969</v>
      </c>
      <c r="Y269" s="3">
        <f t="shared" si="109"/>
        <v>127.34707485010267</v>
      </c>
      <c r="AA269" s="3"/>
      <c r="AH269" s="3"/>
      <c r="AI269" s="4"/>
      <c r="AJ269" s="4"/>
      <c r="AK269" s="4"/>
      <c r="AL269" s="3"/>
      <c r="AM269" s="4"/>
      <c r="AN269" s="4"/>
      <c r="AO269" s="4"/>
      <c r="AP269" s="4"/>
    </row>
    <row r="270" spans="4:42" x14ac:dyDescent="0.25">
      <c r="D270" s="1">
        <v>42352</v>
      </c>
      <c r="E270" s="3">
        <v>110.03188400000001</v>
      </c>
      <c r="F270" s="3">
        <v>197.459328</v>
      </c>
      <c r="G270" s="3">
        <f t="shared" si="110"/>
        <v>-0.68476099999999462</v>
      </c>
      <c r="H270" s="3">
        <f t="shared" si="111"/>
        <v>0.99263899999999694</v>
      </c>
      <c r="I270" s="4">
        <f t="shared" si="112"/>
        <v>-0.72925053183325206</v>
      </c>
      <c r="J270" s="4">
        <f t="shared" si="113"/>
        <v>1.1479682142883381</v>
      </c>
      <c r="K270" s="4">
        <f t="shared" si="114"/>
        <v>-0.71307649206348667</v>
      </c>
      <c r="L270" s="4">
        <f t="shared" si="115"/>
        <v>0.92685036507936203</v>
      </c>
      <c r="M270" s="4">
        <f t="shared" si="116"/>
        <v>-6.2040114102474104E-3</v>
      </c>
      <c r="N270" s="4">
        <f t="shared" si="117"/>
        <v>5.0397336462051695E-3</v>
      </c>
      <c r="O270" s="4">
        <f t="shared" si="118"/>
        <v>-6.4599796389084533E-3</v>
      </c>
      <c r="P270" s="4">
        <f t="shared" si="119"/>
        <v>4.7267459291447786E-3</v>
      </c>
      <c r="S270" s="4">
        <v>-2.0451053865715121</v>
      </c>
      <c r="T270" s="4">
        <v>-0.54692342634781665</v>
      </c>
      <c r="U270" s="4">
        <f t="shared" si="120"/>
        <v>-1.6802837087822464</v>
      </c>
      <c r="W270" s="4">
        <f t="shared" si="121"/>
        <v>-3.449297748697719</v>
      </c>
      <c r="X270" s="4">
        <f t="shared" si="122"/>
        <v>-2.8967124657928474</v>
      </c>
      <c r="Y270" s="3">
        <f t="shared" si="109"/>
        <v>294.39366863469058</v>
      </c>
      <c r="AA270" s="3"/>
      <c r="AH270" s="3"/>
      <c r="AI270" s="4"/>
      <c r="AJ270" s="4"/>
      <c r="AK270" s="4"/>
      <c r="AL270" s="3"/>
      <c r="AM270" s="4"/>
      <c r="AN270" s="4"/>
      <c r="AO270" s="4"/>
      <c r="AP270" s="4"/>
    </row>
    <row r="271" spans="4:42" x14ac:dyDescent="0.25">
      <c r="D271" s="1">
        <v>42349</v>
      </c>
      <c r="E271" s="3">
        <v>110.716645</v>
      </c>
      <c r="F271" s="3">
        <v>196.466689</v>
      </c>
      <c r="G271" s="3">
        <f t="shared" si="110"/>
        <v>-2.9249209999999977</v>
      </c>
      <c r="H271" s="3">
        <f t="shared" si="111"/>
        <v>-3.8830010000000073</v>
      </c>
      <c r="I271" s="4">
        <f t="shared" si="112"/>
        <v>-3.0347825971500932</v>
      </c>
      <c r="J271" s="4">
        <f t="shared" si="113"/>
        <v>-4.4035839755529871</v>
      </c>
      <c r="K271" s="4">
        <f t="shared" si="114"/>
        <v>-2.9532364920634899</v>
      </c>
      <c r="L271" s="4">
        <f t="shared" si="115"/>
        <v>-3.9487896349206419</v>
      </c>
      <c r="M271" s="4">
        <f t="shared" si="116"/>
        <v>-2.6075147501662357E-2</v>
      </c>
      <c r="N271" s="4">
        <f t="shared" si="117"/>
        <v>-1.9571394478316132E-2</v>
      </c>
      <c r="O271" s="4">
        <f t="shared" si="118"/>
        <v>-2.6331115730323401E-2</v>
      </c>
      <c r="P271" s="4">
        <f t="shared" si="119"/>
        <v>-1.9884382195376523E-2</v>
      </c>
      <c r="S271" s="4">
        <v>-0.66993822424760585</v>
      </c>
      <c r="T271" s="4">
        <v>0.42738776988396349</v>
      </c>
      <c r="U271" s="4">
        <f t="shared" si="120"/>
        <v>-6.9622414885180506E-2</v>
      </c>
      <c r="W271" s="4">
        <f t="shared" si="121"/>
        <v>-1.1108854774480421</v>
      </c>
      <c r="X271" s="4">
        <f t="shared" si="122"/>
        <v>-5.696235031694645E-2</v>
      </c>
      <c r="Y271" s="3">
        <f t="shared" si="109"/>
        <v>175.53315893286253</v>
      </c>
      <c r="AA271" s="3"/>
      <c r="AH271" s="3"/>
      <c r="AI271" s="4"/>
      <c r="AJ271" s="4"/>
      <c r="AK271" s="4"/>
      <c r="AL271" s="3"/>
      <c r="AM271" s="4"/>
      <c r="AN271" s="4"/>
      <c r="AO271" s="4"/>
      <c r="AP271" s="4"/>
    </row>
    <row r="272" spans="4:42" x14ac:dyDescent="0.25">
      <c r="D272" s="1">
        <v>42348</v>
      </c>
      <c r="E272" s="3">
        <v>113.641566</v>
      </c>
      <c r="F272" s="3">
        <v>200.34969000000001</v>
      </c>
      <c r="G272" s="3">
        <f t="shared" si="110"/>
        <v>0.53802499999999043</v>
      </c>
      <c r="H272" s="3">
        <f t="shared" si="111"/>
        <v>0.51578700000001731</v>
      </c>
      <c r="I272" s="4">
        <f t="shared" si="112"/>
        <v>0.56088898138121834</v>
      </c>
      <c r="J272" s="4">
        <f t="shared" si="113"/>
        <v>0.5864468747353293</v>
      </c>
      <c r="K272" s="4">
        <f t="shared" si="114"/>
        <v>0.50970950793649838</v>
      </c>
      <c r="L272" s="4">
        <f t="shared" si="115"/>
        <v>0.4499983650793824</v>
      </c>
      <c r="M272" s="4">
        <f t="shared" si="116"/>
        <v>4.7456460416148228E-3</v>
      </c>
      <c r="N272" s="4">
        <f t="shared" si="117"/>
        <v>2.5777532843979968E-3</v>
      </c>
      <c r="O272" s="4">
        <f t="shared" si="118"/>
        <v>4.4896778129537799E-3</v>
      </c>
      <c r="P272" s="4">
        <f t="shared" si="119"/>
        <v>2.2647655673376063E-3</v>
      </c>
      <c r="S272" s="4">
        <v>-0.23222888649371121</v>
      </c>
      <c r="T272" s="4">
        <v>-0.23930372627247348</v>
      </c>
      <c r="U272" s="4">
        <f t="shared" si="120"/>
        <v>-0.33126606458212027</v>
      </c>
      <c r="W272" s="4">
        <f t="shared" si="121"/>
        <v>-0.36657968344218483</v>
      </c>
      <c r="X272" s="4">
        <f t="shared" si="122"/>
        <v>-0.51826516255669008</v>
      </c>
      <c r="Y272" s="3">
        <f t="shared" si="109"/>
        <v>7.2661322820790701</v>
      </c>
      <c r="AA272" s="3"/>
    </row>
    <row r="273" spans="4:27" x14ac:dyDescent="0.25">
      <c r="D273" s="1">
        <v>42347</v>
      </c>
      <c r="E273" s="3">
        <v>113.10354100000001</v>
      </c>
      <c r="F273" s="3">
        <v>199.83390299999999</v>
      </c>
      <c r="G273" s="3">
        <f t="shared" si="110"/>
        <v>-2.5531939999999906</v>
      </c>
      <c r="H273" s="3">
        <f t="shared" si="111"/>
        <v>-1.5668290000000127</v>
      </c>
      <c r="I273" s="4">
        <f t="shared" si="112"/>
        <v>-2.6029363076242373</v>
      </c>
      <c r="J273" s="4">
        <f t="shared" si="113"/>
        <v>-1.7676163563189327</v>
      </c>
      <c r="K273" s="4">
        <f t="shared" si="114"/>
        <v>-2.5815094920634829</v>
      </c>
      <c r="L273" s="4">
        <f t="shared" si="115"/>
        <v>-1.6326176349206476</v>
      </c>
      <c r="M273" s="4">
        <f t="shared" si="116"/>
        <v>-2.232293183041105E-2</v>
      </c>
      <c r="N273" s="4">
        <f t="shared" si="117"/>
        <v>-7.8100783316302482E-3</v>
      </c>
      <c r="O273" s="4">
        <f t="shared" si="118"/>
        <v>-2.2578900059072093E-2</v>
      </c>
      <c r="P273" s="4">
        <f t="shared" si="119"/>
        <v>-8.1230660486906383E-3</v>
      </c>
      <c r="S273" s="4">
        <v>-0.94349850233763088</v>
      </c>
      <c r="T273" s="4">
        <v>1.9348797190692817</v>
      </c>
      <c r="U273" s="4">
        <f t="shared" si="120"/>
        <v>0.95858597268948809</v>
      </c>
      <c r="W273" s="4">
        <f t="shared" si="121"/>
        <v>-1.5760628964108103</v>
      </c>
      <c r="X273" s="4">
        <f t="shared" si="122"/>
        <v>1.7558675093264409</v>
      </c>
      <c r="Y273" s="3">
        <f t="shared" si="109"/>
        <v>434.62753495912875</v>
      </c>
      <c r="AA273" s="3"/>
    </row>
    <row r="274" spans="4:27" x14ac:dyDescent="0.25">
      <c r="D274" s="1">
        <v>42346</v>
      </c>
      <c r="E274" s="3">
        <v>115.656735</v>
      </c>
      <c r="F274" s="3">
        <v>201.400732</v>
      </c>
      <c r="G274" s="3">
        <f t="shared" si="110"/>
        <v>-4.8906999999999812E-2</v>
      </c>
      <c r="H274" s="3">
        <f t="shared" si="111"/>
        <v>-1.3624690000000044</v>
      </c>
      <c r="I274" s="4">
        <f t="shared" si="112"/>
        <v>-4.9838750003461177E-2</v>
      </c>
      <c r="J274" s="4">
        <f t="shared" si="113"/>
        <v>-1.5267395143721565</v>
      </c>
      <c r="K274" s="4">
        <f t="shared" si="114"/>
        <v>-7.7222492063491868E-2</v>
      </c>
      <c r="L274" s="4">
        <f t="shared" si="115"/>
        <v>-1.4282576349206393</v>
      </c>
      <c r="M274" s="4">
        <f t="shared" si="116"/>
        <v>-4.2277401678371781E-4</v>
      </c>
      <c r="N274" s="4">
        <f t="shared" si="117"/>
        <v>-6.7421857810852593E-3</v>
      </c>
      <c r="O274" s="4">
        <f t="shared" si="118"/>
        <v>-6.7874224544476041E-4</v>
      </c>
      <c r="P274" s="4">
        <f t="shared" si="119"/>
        <v>-7.0551734981456503E-3</v>
      </c>
      <c r="S274" s="4">
        <v>0.42274373825826067</v>
      </c>
      <c r="T274" s="4">
        <v>0.60907264880888368</v>
      </c>
      <c r="U274" s="4">
        <f t="shared" si="120"/>
        <v>0.74052104270375374</v>
      </c>
      <c r="W274" s="4">
        <f t="shared" si="121"/>
        <v>0.74717293152308539</v>
      </c>
      <c r="X274" s="4">
        <f t="shared" si="122"/>
        <v>1.3713981535068005</v>
      </c>
      <c r="Y274" s="3">
        <f t="shared" si="109"/>
        <v>18.842461664657094</v>
      </c>
      <c r="AA274" s="3"/>
    </row>
    <row r="275" spans="4:27" x14ac:dyDescent="0.25">
      <c r="D275" s="1">
        <v>42345</v>
      </c>
      <c r="E275" s="3">
        <v>115.705642</v>
      </c>
      <c r="F275" s="3">
        <v>202.76320100000001</v>
      </c>
      <c r="G275" s="3">
        <f t="shared" si="110"/>
        <v>-0.73367700000000013</v>
      </c>
      <c r="H275" s="3">
        <f t="shared" si="111"/>
        <v>-1.2359339999999861</v>
      </c>
      <c r="I275" s="4">
        <f t="shared" si="112"/>
        <v>-0.74294369588942732</v>
      </c>
      <c r="J275" s="4">
        <f t="shared" si="113"/>
        <v>-1.3765576642838941</v>
      </c>
      <c r="K275" s="4">
        <f t="shared" si="114"/>
        <v>-0.76199249206349218</v>
      </c>
      <c r="L275" s="4">
        <f t="shared" si="115"/>
        <v>-1.301722634920621</v>
      </c>
      <c r="M275" s="4">
        <f t="shared" si="116"/>
        <v>-6.3208732990043875E-3</v>
      </c>
      <c r="N275" s="4">
        <f t="shared" si="117"/>
        <v>-6.0769530221127469E-3</v>
      </c>
      <c r="O275" s="4">
        <f t="shared" si="118"/>
        <v>-6.5768415276654304E-3</v>
      </c>
      <c r="P275" s="4">
        <f t="shared" si="119"/>
        <v>-6.3899407391731378E-3</v>
      </c>
      <c r="S275" s="4">
        <v>-4.0180957965765811E-2</v>
      </c>
      <c r="T275" s="4">
        <v>0.80602794555244217</v>
      </c>
      <c r="U275" s="4">
        <f t="shared" si="120"/>
        <v>0.61443671099424968</v>
      </c>
      <c r="W275" s="4">
        <f t="shared" si="121"/>
        <v>-4.0010488771398622E-2</v>
      </c>
      <c r="X275" s="4">
        <f t="shared" si="122"/>
        <v>1.1490994015044766</v>
      </c>
      <c r="Y275" s="3">
        <f t="shared" si="109"/>
        <v>121.32577600183004</v>
      </c>
      <c r="AA275" s="3"/>
    </row>
    <row r="276" spans="4:27" x14ac:dyDescent="0.25">
      <c r="D276" s="1">
        <v>42342</v>
      </c>
      <c r="E276" s="3">
        <v>116.439319</v>
      </c>
      <c r="F276" s="3">
        <v>203.999135</v>
      </c>
      <c r="G276" s="3">
        <f t="shared" si="110"/>
        <v>3.7466419999999943</v>
      </c>
      <c r="H276" s="3">
        <f t="shared" si="111"/>
        <v>3.9024679999999989</v>
      </c>
      <c r="I276" s="4">
        <f t="shared" si="112"/>
        <v>3.9201000896142291</v>
      </c>
      <c r="J276" s="4">
        <f t="shared" si="113"/>
        <v>4.4312571263232279</v>
      </c>
      <c r="K276" s="4">
        <f t="shared" si="114"/>
        <v>3.718326507936502</v>
      </c>
      <c r="L276" s="4">
        <f t="shared" si="115"/>
        <v>3.8366793650793642</v>
      </c>
      <c r="M276" s="4">
        <f t="shared" si="116"/>
        <v>3.2705829237284774E-2</v>
      </c>
      <c r="N276" s="4">
        <f t="shared" si="117"/>
        <v>1.9315168859848617E-2</v>
      </c>
      <c r="O276" s="4">
        <f t="shared" si="118"/>
        <v>3.244986100862373E-2</v>
      </c>
      <c r="P276" s="4">
        <f t="shared" si="119"/>
        <v>1.9002181142788226E-2</v>
      </c>
      <c r="S276" s="4">
        <v>-0.12048357154015145</v>
      </c>
      <c r="T276" s="4">
        <v>-6.4692042082111753E-2</v>
      </c>
      <c r="U276" s="4">
        <f t="shared" si="120"/>
        <v>-0.12473033887004122</v>
      </c>
      <c r="W276" s="4">
        <f t="shared" si="121"/>
        <v>-0.17656160934821075</v>
      </c>
      <c r="X276" s="4">
        <f t="shared" si="122"/>
        <v>-0.15412289803272616</v>
      </c>
      <c r="Y276" s="3">
        <f t="shared" si="109"/>
        <v>12.962449338941497</v>
      </c>
      <c r="AA276" s="3"/>
    </row>
    <row r="277" spans="4:27" x14ac:dyDescent="0.25">
      <c r="D277" s="1">
        <v>42341</v>
      </c>
      <c r="E277" s="3">
        <v>112.692677</v>
      </c>
      <c r="F277" s="3">
        <v>200.096667</v>
      </c>
      <c r="G277" s="3">
        <f t="shared" si="110"/>
        <v>-1.0564949999999982</v>
      </c>
      <c r="H277" s="3">
        <f t="shared" si="111"/>
        <v>-2.841700000000003</v>
      </c>
      <c r="I277" s="4">
        <f t="shared" si="112"/>
        <v>-1.0951405402404142</v>
      </c>
      <c r="J277" s="4">
        <f t="shared" si="113"/>
        <v>-3.1815702788812756</v>
      </c>
      <c r="K277" s="4">
        <f t="shared" si="114"/>
        <v>-1.0848104920634902</v>
      </c>
      <c r="L277" s="4">
        <f t="shared" si="115"/>
        <v>-2.9074886349206377</v>
      </c>
      <c r="M277" s="4">
        <f t="shared" si="116"/>
        <v>-9.3313375663207649E-3</v>
      </c>
      <c r="N277" s="4">
        <f t="shared" si="117"/>
        <v>-1.4101737325947914E-2</v>
      </c>
      <c r="O277" s="4">
        <f t="shared" si="118"/>
        <v>-9.5873057949818069E-3</v>
      </c>
      <c r="P277" s="4">
        <f t="shared" si="119"/>
        <v>-1.4414725043008305E-2</v>
      </c>
      <c r="S277" s="4">
        <v>-0.31125019793945369</v>
      </c>
      <c r="T277" s="4">
        <v>0.34628640724730841</v>
      </c>
      <c r="U277" s="4">
        <f t="shared" si="120"/>
        <v>8.4753406059642239E-2</v>
      </c>
      <c r="W277" s="4">
        <f t="shared" si="121"/>
        <v>-0.50095200517701899</v>
      </c>
      <c r="X277" s="4">
        <f t="shared" si="122"/>
        <v>0.2152170067060602</v>
      </c>
      <c r="Y277" s="3">
        <f t="shared" si="109"/>
        <v>102.45001635627432</v>
      </c>
      <c r="AA277" s="3"/>
    </row>
    <row r="278" spans="4:27" x14ac:dyDescent="0.25">
      <c r="D278" s="1">
        <v>42340</v>
      </c>
      <c r="E278" s="3">
        <v>113.749172</v>
      </c>
      <c r="F278" s="3">
        <v>202.938367</v>
      </c>
      <c r="G278" s="3">
        <f t="shared" si="110"/>
        <v>-1.0369269999999915</v>
      </c>
      <c r="H278" s="3">
        <f t="shared" si="111"/>
        <v>-2.0923429999999996</v>
      </c>
      <c r="I278" s="4">
        <f t="shared" si="112"/>
        <v>-1.0651469801905804</v>
      </c>
      <c r="J278" s="4">
        <f t="shared" si="113"/>
        <v>-2.3186832239736228</v>
      </c>
      <c r="K278" s="4">
        <f t="shared" si="114"/>
        <v>-1.0652424920634835</v>
      </c>
      <c r="L278" s="4">
        <f t="shared" si="115"/>
        <v>-2.1581316349206343</v>
      </c>
      <c r="M278" s="4">
        <f t="shared" si="116"/>
        <v>-9.0746090197573216E-3</v>
      </c>
      <c r="N278" s="4">
        <f t="shared" si="117"/>
        <v>-1.0257450691579073E-2</v>
      </c>
      <c r="O278" s="4">
        <f t="shared" si="118"/>
        <v>-9.3305772484183636E-3</v>
      </c>
      <c r="P278" s="4">
        <f t="shared" si="119"/>
        <v>-1.0570438408639464E-2</v>
      </c>
      <c r="S278" s="4">
        <v>0.5720605594826349</v>
      </c>
      <c r="T278" s="4">
        <v>0.71369526764402502</v>
      </c>
      <c r="U278" s="4">
        <f t="shared" si="120"/>
        <v>0.91448142340831873</v>
      </c>
      <c r="W278" s="4">
        <f t="shared" si="121"/>
        <v>1.0010797267268157</v>
      </c>
      <c r="X278" s="4">
        <f t="shared" si="122"/>
        <v>1.6781069650153677</v>
      </c>
      <c r="Y278" s="3">
        <f t="shared" si="109"/>
        <v>9.9639384350789442</v>
      </c>
      <c r="AA278" s="3"/>
    </row>
    <row r="279" spans="4:27" x14ac:dyDescent="0.25">
      <c r="D279" s="1">
        <v>42339</v>
      </c>
      <c r="E279" s="3">
        <v>114.78609899999999</v>
      </c>
      <c r="F279" s="3">
        <v>205.03071</v>
      </c>
      <c r="G279" s="3">
        <f t="shared" si="110"/>
        <v>-0.93911200000000861</v>
      </c>
      <c r="H279" s="3">
        <f t="shared" si="111"/>
        <v>1.9366300000000081</v>
      </c>
      <c r="I279" s="4">
        <f t="shared" si="112"/>
        <v>-0.95684163130580946</v>
      </c>
      <c r="J279" s="4">
        <f t="shared" si="113"/>
        <v>2.1665905567331745</v>
      </c>
      <c r="K279" s="4">
        <f t="shared" si="114"/>
        <v>-0.96742749206350065</v>
      </c>
      <c r="L279" s="4">
        <f t="shared" si="115"/>
        <v>1.8708413650793732</v>
      </c>
      <c r="M279" s="4">
        <f t="shared" si="116"/>
        <v>-8.1481225001941594E-3</v>
      </c>
      <c r="N279" s="4">
        <f t="shared" si="117"/>
        <v>9.4904528381605773E-3</v>
      </c>
      <c r="O279" s="4">
        <f t="shared" si="118"/>
        <v>-8.4040907288552014E-3</v>
      </c>
      <c r="P279" s="4">
        <f t="shared" si="119"/>
        <v>9.1774651211001864E-3</v>
      </c>
      <c r="S279" s="4">
        <v>-0.52663513165540088</v>
      </c>
      <c r="T279" s="4">
        <v>1.0911485371765022</v>
      </c>
      <c r="U279" s="4">
        <f t="shared" si="120"/>
        <v>0.54389621043470593</v>
      </c>
      <c r="W279" s="4">
        <f t="shared" si="121"/>
        <v>-0.86720476763575316</v>
      </c>
      <c r="X279" s="4">
        <f t="shared" si="122"/>
        <v>1.0247297432971851</v>
      </c>
      <c r="Y279" s="3">
        <f t="shared" si="109"/>
        <v>243.39627150450633</v>
      </c>
      <c r="AA279" s="3"/>
    </row>
    <row r="280" spans="4:27" x14ac:dyDescent="0.25">
      <c r="D280" s="1">
        <v>42338</v>
      </c>
      <c r="E280" s="3">
        <v>115.725211</v>
      </c>
      <c r="F280" s="3">
        <v>203.09407999999999</v>
      </c>
      <c r="G280" s="3">
        <f t="shared" si="110"/>
        <v>0.47934000000000765</v>
      </c>
      <c r="H280" s="3">
        <f t="shared" si="111"/>
        <v>-0.84666699999999651</v>
      </c>
      <c r="I280" s="4">
        <f t="shared" si="112"/>
        <v>0.49042087865656298</v>
      </c>
      <c r="J280" s="4">
        <f t="shared" si="113"/>
        <v>-0.94327013030244622</v>
      </c>
      <c r="K280" s="4">
        <f t="shared" si="114"/>
        <v>0.45102450793651561</v>
      </c>
      <c r="L280" s="4">
        <f t="shared" si="115"/>
        <v>-0.91245563492063142</v>
      </c>
      <c r="M280" s="4">
        <f t="shared" si="116"/>
        <v>4.1506554328726636E-3</v>
      </c>
      <c r="N280" s="4">
        <f t="shared" si="117"/>
        <v>-4.1601758127175889E-3</v>
      </c>
      <c r="O280" s="4">
        <f t="shared" si="118"/>
        <v>3.8946872042116211E-3</v>
      </c>
      <c r="P280" s="4">
        <f t="shared" si="119"/>
        <v>-4.4731635297779798E-3</v>
      </c>
      <c r="S280" s="4">
        <v>-0.34135724441317078</v>
      </c>
      <c r="T280" s="4">
        <v>6.9805342341084584E-2</v>
      </c>
      <c r="U280" s="4">
        <f t="shared" si="120"/>
        <v>-0.15276485475386065</v>
      </c>
      <c r="W280" s="4">
        <f t="shared" si="121"/>
        <v>-0.55214773530647487</v>
      </c>
      <c r="X280" s="4">
        <f t="shared" si="122"/>
        <v>-0.20355043442416995</v>
      </c>
      <c r="Y280" s="3">
        <f t="shared" si="109"/>
        <v>68.91739078843284</v>
      </c>
      <c r="AA280" s="3"/>
    </row>
    <row r="281" spans="4:27" x14ac:dyDescent="0.25">
      <c r="D281" s="1">
        <v>42335</v>
      </c>
      <c r="E281" s="3">
        <v>115.24587099999999</v>
      </c>
      <c r="F281" s="3">
        <v>203.94074699999999</v>
      </c>
      <c r="G281" s="3">
        <f t="shared" si="110"/>
        <v>-0.21521300000000565</v>
      </c>
      <c r="H281" s="3">
        <f t="shared" si="111"/>
        <v>0.23355499999999552</v>
      </c>
      <c r="I281" s="4">
        <f t="shared" si="112"/>
        <v>-0.21977764985172549</v>
      </c>
      <c r="J281" s="4">
        <f t="shared" si="113"/>
        <v>0.26050152016667127</v>
      </c>
      <c r="K281" s="4">
        <f t="shared" si="114"/>
        <v>-0.24352849206349769</v>
      </c>
      <c r="L281" s="4">
        <f t="shared" si="115"/>
        <v>0.16776636507936063</v>
      </c>
      <c r="M281" s="4">
        <f t="shared" si="116"/>
        <v>-1.8656833507741883E-3</v>
      </c>
      <c r="N281" s="4">
        <f t="shared" si="117"/>
        <v>1.1458663381344911E-3</v>
      </c>
      <c r="O281" s="4">
        <f t="shared" si="118"/>
        <v>-2.1216515794352307E-3</v>
      </c>
      <c r="P281" s="4">
        <f t="shared" si="119"/>
        <v>8.3287862107410046E-4</v>
      </c>
      <c r="S281" s="4">
        <v>-0.64661844779044797</v>
      </c>
      <c r="T281" s="4">
        <v>1.0084978847126866</v>
      </c>
      <c r="U281" s="4">
        <f t="shared" si="120"/>
        <v>0.40523519130041652</v>
      </c>
      <c r="W281" s="4">
        <f t="shared" si="121"/>
        <v>-1.0712312063715976</v>
      </c>
      <c r="X281" s="4">
        <f t="shared" si="122"/>
        <v>0.78025708688543371</v>
      </c>
      <c r="Y281" s="3">
        <f t="shared" si="109"/>
        <v>252.67481733862132</v>
      </c>
      <c r="AA281" s="3"/>
    </row>
    <row r="282" spans="4:27" x14ac:dyDescent="0.25">
      <c r="D282" s="1">
        <v>42333</v>
      </c>
      <c r="E282" s="3">
        <v>115.461084</v>
      </c>
      <c r="F282" s="3">
        <v>203.70719199999999</v>
      </c>
      <c r="G282" s="3">
        <f t="shared" si="110"/>
        <v>-0.8314979999999963</v>
      </c>
      <c r="H282" s="3">
        <f t="shared" si="111"/>
        <v>-2.919400000001815E-2</v>
      </c>
      <c r="I282" s="4">
        <f t="shared" si="112"/>
        <v>-0.84306265128752211</v>
      </c>
      <c r="J282" s="4">
        <f t="shared" si="113"/>
        <v>-3.2557605809117103E-2</v>
      </c>
      <c r="K282" s="4">
        <f t="shared" si="114"/>
        <v>-0.85981349206348834</v>
      </c>
      <c r="L282" s="4">
        <f t="shared" si="115"/>
        <v>-9.4982634920653036E-2</v>
      </c>
      <c r="M282" s="4">
        <f t="shared" si="116"/>
        <v>-7.1757360498330511E-3</v>
      </c>
      <c r="N282" s="4">
        <f t="shared" si="117"/>
        <v>-1.4330327744168069E-4</v>
      </c>
      <c r="O282" s="4">
        <f t="shared" si="118"/>
        <v>-7.431704278494094E-3</v>
      </c>
      <c r="P282" s="4">
        <f t="shared" si="119"/>
        <v>-4.5629099450207128E-4</v>
      </c>
      <c r="S282" s="4">
        <v>-0.90363547256384824</v>
      </c>
      <c r="T282" s="4">
        <v>-2.2405250009642748</v>
      </c>
      <c r="U282" s="4">
        <f t="shared" si="120"/>
        <v>-2.3269226323562648</v>
      </c>
      <c r="W282" s="4">
        <f t="shared" si="121"/>
        <v>-1.5082775387131484</v>
      </c>
      <c r="X282" s="4">
        <f t="shared" si="122"/>
        <v>-4.0367988171867761</v>
      </c>
      <c r="Y282" s="3">
        <f t="shared" si="109"/>
        <v>-156.04890548718913</v>
      </c>
      <c r="AA282" s="3"/>
    </row>
    <row r="283" spans="4:27" x14ac:dyDescent="0.25">
      <c r="D283" s="1">
        <v>42332</v>
      </c>
      <c r="E283" s="3">
        <v>116.292582</v>
      </c>
      <c r="F283" s="3">
        <v>203.73638600000001</v>
      </c>
      <c r="G283" s="3">
        <f t="shared" si="110"/>
        <v>1.1054029999999955</v>
      </c>
      <c r="H283" s="3">
        <f t="shared" si="111"/>
        <v>0.27249100000000226</v>
      </c>
      <c r="I283" s="4">
        <f t="shared" si="112"/>
        <v>1.131532808452679</v>
      </c>
      <c r="J283" s="4">
        <f t="shared" si="113"/>
        <v>0.30429321141934057</v>
      </c>
      <c r="K283" s="4">
        <f t="shared" si="114"/>
        <v>1.0770875079365034</v>
      </c>
      <c r="L283" s="4">
        <f t="shared" si="115"/>
        <v>0.20670236507936737</v>
      </c>
      <c r="M283" s="4">
        <f t="shared" si="116"/>
        <v>9.5508255059309679E-3</v>
      </c>
      <c r="N283" s="4">
        <f t="shared" si="117"/>
        <v>1.3383637162776474E-3</v>
      </c>
      <c r="O283" s="4">
        <f t="shared" si="118"/>
        <v>9.2948572772699259E-3</v>
      </c>
      <c r="P283" s="4">
        <f t="shared" si="119"/>
        <v>1.0253759992172569E-3</v>
      </c>
      <c r="S283" s="4">
        <v>0.18870729508371098</v>
      </c>
      <c r="T283" s="4">
        <v>0.38562198710431561</v>
      </c>
      <c r="U283" s="4">
        <f t="shared" si="120"/>
        <v>0.42071964899776998</v>
      </c>
      <c r="W283" s="4">
        <f t="shared" si="121"/>
        <v>0.34920408407463965</v>
      </c>
      <c r="X283" s="4">
        <f t="shared" si="122"/>
        <v>0.80755766876491064</v>
      </c>
      <c r="Y283" s="3">
        <f t="shared" si="109"/>
        <v>25.11034358857205</v>
      </c>
      <c r="AA283" s="3"/>
    </row>
    <row r="284" spans="4:27" x14ac:dyDescent="0.25">
      <c r="D284" s="1">
        <v>42331</v>
      </c>
      <c r="E284" s="3">
        <v>115.187179</v>
      </c>
      <c r="F284" s="3">
        <v>203.46389500000001</v>
      </c>
      <c r="G284" s="3">
        <f t="shared" si="110"/>
        <v>-1.5162669999999991</v>
      </c>
      <c r="H284" s="3">
        <f t="shared" si="111"/>
        <v>-0.23355499999999552</v>
      </c>
      <c r="I284" s="4">
        <f t="shared" si="112"/>
        <v>-1.5319431787392799</v>
      </c>
      <c r="J284" s="4">
        <f t="shared" si="113"/>
        <v>-0.26051397886858169</v>
      </c>
      <c r="K284" s="4">
        <f t="shared" si="114"/>
        <v>-1.5445824920634912</v>
      </c>
      <c r="L284" s="4">
        <f t="shared" si="115"/>
        <v>-0.29934363492063043</v>
      </c>
      <c r="M284" s="4">
        <f t="shared" si="116"/>
        <v>-1.3077618897187865E-2</v>
      </c>
      <c r="N284" s="4">
        <f t="shared" si="117"/>
        <v>-1.1472357505652156E-3</v>
      </c>
      <c r="O284" s="4">
        <f t="shared" si="118"/>
        <v>-1.3333587125848907E-2</v>
      </c>
      <c r="P284" s="4">
        <f t="shared" si="119"/>
        <v>-1.4602234676256063E-3</v>
      </c>
      <c r="S284" s="4">
        <v>-1.1770290121188631</v>
      </c>
      <c r="T284" s="4">
        <v>-1.3080343100734531</v>
      </c>
      <c r="U284" s="4">
        <f t="shared" si="120"/>
        <v>-1.7544115055807636</v>
      </c>
      <c r="W284" s="4">
        <f t="shared" si="121"/>
        <v>-1.973171426010065</v>
      </c>
      <c r="X284" s="4">
        <f t="shared" si="122"/>
        <v>-3.0274068708277126</v>
      </c>
      <c r="Y284" s="3">
        <f t="shared" si="109"/>
        <v>23.632348649252435</v>
      </c>
      <c r="AA284" s="3"/>
    </row>
    <row r="285" spans="4:27" x14ac:dyDescent="0.25">
      <c r="D285" s="1">
        <v>42328</v>
      </c>
      <c r="E285" s="3">
        <v>116.703446</v>
      </c>
      <c r="F285" s="3">
        <v>203.69745</v>
      </c>
      <c r="G285" s="3">
        <f t="shared" si="110"/>
        <v>0.50868599999999731</v>
      </c>
      <c r="H285" s="3">
        <f t="shared" si="111"/>
        <v>0.73961500000001479</v>
      </c>
      <c r="I285" s="4">
        <f t="shared" si="112"/>
        <v>0.51619512183461358</v>
      </c>
      <c r="J285" s="4">
        <f t="shared" si="113"/>
        <v>0.82799429412177339</v>
      </c>
      <c r="K285" s="4">
        <f t="shared" si="114"/>
        <v>0.48037050793650526</v>
      </c>
      <c r="L285" s="4">
        <f t="shared" si="115"/>
        <v>0.67382636507937987</v>
      </c>
      <c r="M285" s="4">
        <f t="shared" si="116"/>
        <v>4.3683188259865027E-3</v>
      </c>
      <c r="N285" s="4">
        <f t="shared" si="117"/>
        <v>3.6375566373737572E-3</v>
      </c>
      <c r="O285" s="4">
        <f t="shared" si="118"/>
        <v>4.1123505973254598E-3</v>
      </c>
      <c r="P285" s="4">
        <f t="shared" si="119"/>
        <v>3.3245689203133667E-3</v>
      </c>
      <c r="S285" s="4">
        <v>-0.34357599841366426</v>
      </c>
      <c r="T285" s="4">
        <v>-0.99266139369673589</v>
      </c>
      <c r="U285" s="4">
        <f t="shared" si="120"/>
        <v>-0.99632635874321063</v>
      </c>
      <c r="W285" s="4">
        <f t="shared" si="121"/>
        <v>-0.55592063050335438</v>
      </c>
      <c r="X285" s="4">
        <f t="shared" si="122"/>
        <v>-1.6908301545251936</v>
      </c>
      <c r="Y285" s="3">
        <f t="shared" si="109"/>
        <v>-79.195116367306582</v>
      </c>
      <c r="AA285" s="3"/>
    </row>
    <row r="286" spans="4:27" x14ac:dyDescent="0.25">
      <c r="D286" s="1">
        <v>42327</v>
      </c>
      <c r="E286" s="3">
        <v>116.19476</v>
      </c>
      <c r="F286" s="3">
        <v>202.95783499999999</v>
      </c>
      <c r="G286" s="3">
        <f t="shared" si="110"/>
        <v>1.4575680000000091</v>
      </c>
      <c r="H286" s="3">
        <f t="shared" si="111"/>
        <v>-0.17516600000001858</v>
      </c>
      <c r="I286" s="4">
        <f t="shared" si="112"/>
        <v>1.497873930105184</v>
      </c>
      <c r="J286" s="4">
        <f t="shared" si="113"/>
        <v>-0.19592812536731152</v>
      </c>
      <c r="K286" s="4">
        <f t="shared" si="114"/>
        <v>1.429252507936517</v>
      </c>
      <c r="L286" s="4">
        <f t="shared" si="115"/>
        <v>-0.24095463492065347</v>
      </c>
      <c r="M286" s="4">
        <f t="shared" si="116"/>
        <v>1.2623522583315377E-2</v>
      </c>
      <c r="N286" s="4">
        <f t="shared" si="117"/>
        <v>-8.6269373911121233E-4</v>
      </c>
      <c r="O286" s="4">
        <f t="shared" si="118"/>
        <v>1.2367554354654335E-2</v>
      </c>
      <c r="P286" s="4">
        <f t="shared" si="119"/>
        <v>-1.1756814561716029E-3</v>
      </c>
      <c r="S286" s="4">
        <v>0.34847291931783303</v>
      </c>
      <c r="T286" s="4">
        <v>0.72080336102504206</v>
      </c>
      <c r="U286" s="4">
        <f t="shared" si="120"/>
        <v>0.78381193820226147</v>
      </c>
      <c r="W286" s="4">
        <f t="shared" si="121"/>
        <v>0.6208786167922401</v>
      </c>
      <c r="X286" s="4">
        <f t="shared" si="122"/>
        <v>1.4477241482747603</v>
      </c>
      <c r="Y286" s="3">
        <f t="shared" si="109"/>
        <v>46.269613050542375</v>
      </c>
      <c r="AA286" s="3"/>
    </row>
    <row r="287" spans="4:27" x14ac:dyDescent="0.25">
      <c r="D287" s="1">
        <v>42326</v>
      </c>
      <c r="E287" s="3">
        <v>114.73719199999999</v>
      </c>
      <c r="F287" s="3">
        <v>203.13300100000001</v>
      </c>
      <c r="G287" s="3">
        <f t="shared" si="110"/>
        <v>3.5216449999999924</v>
      </c>
      <c r="H287" s="3">
        <f t="shared" si="111"/>
        <v>3.1725790000000131</v>
      </c>
      <c r="I287" s="4">
        <f t="shared" si="112"/>
        <v>3.7336252640701311</v>
      </c>
      <c r="J287" s="4">
        <f t="shared" si="113"/>
        <v>3.6049218619775463</v>
      </c>
      <c r="K287" s="4">
        <f t="shared" si="114"/>
        <v>3.4933295079365001</v>
      </c>
      <c r="L287" s="4">
        <f t="shared" si="115"/>
        <v>3.1067903650793784</v>
      </c>
      <c r="M287" s="4">
        <f t="shared" si="116"/>
        <v>3.117404295843574E-2</v>
      </c>
      <c r="N287" s="4">
        <f t="shared" si="117"/>
        <v>1.5741484881488913E-2</v>
      </c>
      <c r="O287" s="4">
        <f t="shared" si="118"/>
        <v>3.0918074729774696E-2</v>
      </c>
      <c r="P287" s="4">
        <f t="shared" si="119"/>
        <v>1.5428497164428522E-2</v>
      </c>
      <c r="S287" s="4">
        <v>-2.0697307227118076E-2</v>
      </c>
      <c r="T287" s="4">
        <v>-1.1170349856135495</v>
      </c>
      <c r="U287" s="4">
        <f t="shared" si="120"/>
        <v>-0.89808225825325949</v>
      </c>
      <c r="W287" s="4">
        <f t="shared" si="121"/>
        <v>-6.8793835325248985E-3</v>
      </c>
      <c r="X287" s="4">
        <f t="shared" si="122"/>
        <v>-1.5176163964444123</v>
      </c>
      <c r="Y287" s="3">
        <f t="shared" si="109"/>
        <v>-150.65909342990426</v>
      </c>
      <c r="AA287" s="3"/>
    </row>
    <row r="288" spans="4:27" x14ac:dyDescent="0.25">
      <c r="D288" s="1">
        <v>42325</v>
      </c>
      <c r="E288" s="3">
        <v>111.215547</v>
      </c>
      <c r="F288" s="3">
        <v>199.96042199999999</v>
      </c>
      <c r="G288" s="3">
        <f t="shared" si="110"/>
        <v>-0.4793329999999969</v>
      </c>
      <c r="H288" s="3">
        <f t="shared" si="111"/>
        <v>-0.14597200000000043</v>
      </c>
      <c r="I288" s="4">
        <f t="shared" si="112"/>
        <v>-0.50600489429176732</v>
      </c>
      <c r="J288" s="4">
        <f t="shared" si="113"/>
        <v>-0.16574332523229665</v>
      </c>
      <c r="K288" s="4">
        <f t="shared" si="114"/>
        <v>-0.50764849206348894</v>
      </c>
      <c r="L288" s="4">
        <f t="shared" si="115"/>
        <v>-0.21176063492063532</v>
      </c>
      <c r="M288" s="4">
        <f t="shared" si="116"/>
        <v>-4.3006847661485091E-3</v>
      </c>
      <c r="N288" s="4">
        <f t="shared" si="117"/>
        <v>-7.297381369302297E-4</v>
      </c>
      <c r="O288" s="4">
        <f t="shared" si="118"/>
        <v>-4.556652994809552E-3</v>
      </c>
      <c r="P288" s="4">
        <f t="shared" si="119"/>
        <v>-1.0427258539906204E-3</v>
      </c>
      <c r="S288" s="4">
        <v>-2.2022249714023197</v>
      </c>
      <c r="T288" s="4">
        <v>-0.15841717247917589</v>
      </c>
      <c r="U288" s="4">
        <f t="shared" si="120"/>
        <v>-1.4681015065743703</v>
      </c>
      <c r="W288" s="4">
        <f t="shared" si="121"/>
        <v>-3.7164728058748588</v>
      </c>
      <c r="X288" s="4">
        <f t="shared" si="122"/>
        <v>-2.5226149224391703</v>
      </c>
      <c r="Y288" s="3">
        <f t="shared" si="109"/>
        <v>379.704470021421</v>
      </c>
      <c r="AA288" s="3"/>
    </row>
    <row r="289" spans="4:27" x14ac:dyDescent="0.25">
      <c r="D289" s="1">
        <v>42324</v>
      </c>
      <c r="E289" s="3">
        <v>111.69488</v>
      </c>
      <c r="F289" s="3">
        <v>200.10639399999999</v>
      </c>
      <c r="G289" s="3">
        <f t="shared" si="110"/>
        <v>1.7999559999999946</v>
      </c>
      <c r="H289" s="3">
        <f t="shared" si="111"/>
        <v>2.9974129999999946</v>
      </c>
      <c r="I289" s="4">
        <f t="shared" si="112"/>
        <v>1.9312340500806329</v>
      </c>
      <c r="J289" s="4">
        <f t="shared" si="113"/>
        <v>3.4551557481385879</v>
      </c>
      <c r="K289" s="4">
        <f t="shared" si="114"/>
        <v>1.7716405079365025</v>
      </c>
      <c r="L289" s="4">
        <f t="shared" si="115"/>
        <v>2.9316243650793599</v>
      </c>
      <c r="M289" s="4">
        <f t="shared" si="116"/>
        <v>1.62461950612687E-2</v>
      </c>
      <c r="N289" s="4">
        <f t="shared" si="117"/>
        <v>1.5092416278878923E-2</v>
      </c>
      <c r="O289" s="4">
        <f t="shared" si="118"/>
        <v>1.5990226832607656E-2</v>
      </c>
      <c r="P289" s="4">
        <f t="shared" si="119"/>
        <v>1.4779428561818532E-2</v>
      </c>
      <c r="S289" s="4">
        <v>3.2869361871771322E-2</v>
      </c>
      <c r="T289" s="4">
        <v>0.72335644892921991</v>
      </c>
      <c r="U289" s="4">
        <f t="shared" si="120"/>
        <v>0.59343678028819269</v>
      </c>
      <c r="W289" s="4">
        <f t="shared" si="121"/>
        <v>8.4208420032486297E-2</v>
      </c>
      <c r="X289" s="4">
        <f t="shared" si="122"/>
        <v>1.1120745124893425</v>
      </c>
      <c r="Y289" s="3">
        <f t="shared" si="109"/>
        <v>97.731344080234976</v>
      </c>
      <c r="AA289" s="3"/>
    </row>
    <row r="290" spans="4:27" x14ac:dyDescent="0.25">
      <c r="D290" s="1">
        <v>42321</v>
      </c>
      <c r="E290" s="3">
        <v>109.894924</v>
      </c>
      <c r="F290" s="3">
        <v>197.108981</v>
      </c>
      <c r="G290" s="3">
        <f t="shared" si="110"/>
        <v>-3.3064389999999975</v>
      </c>
      <c r="H290" s="3">
        <f t="shared" si="111"/>
        <v>-2.2383289999999931</v>
      </c>
      <c r="I290" s="4">
        <f t="shared" si="112"/>
        <v>-3.4439712153974305</v>
      </c>
      <c r="J290" s="4">
        <f t="shared" si="113"/>
        <v>-2.5511793851559945</v>
      </c>
      <c r="K290" s="4">
        <f t="shared" si="114"/>
        <v>-3.3347544920634897</v>
      </c>
      <c r="L290" s="4">
        <f t="shared" si="115"/>
        <v>-2.3041176349206278</v>
      </c>
      <c r="M290" s="4">
        <f t="shared" si="116"/>
        <v>-2.96435334328643E-2</v>
      </c>
      <c r="N290" s="4">
        <f t="shared" si="117"/>
        <v>-1.1291801058013818E-2</v>
      </c>
      <c r="O290" s="4">
        <f t="shared" si="118"/>
        <v>-2.9899501661525343E-2</v>
      </c>
      <c r="P290" s="4">
        <f t="shared" si="119"/>
        <v>-1.1604788775074209E-2</v>
      </c>
      <c r="S290" s="4">
        <v>0.54660236163567388</v>
      </c>
      <c r="T290" s="4">
        <v>1.5921066469557164</v>
      </c>
      <c r="U290" s="4">
        <f t="shared" si="120"/>
        <v>1.5952712277074643</v>
      </c>
      <c r="W290" s="4">
        <f t="shared" si="121"/>
        <v>0.95778916258286639</v>
      </c>
      <c r="X290" s="4">
        <f t="shared" si="122"/>
        <v>2.878404589785176</v>
      </c>
      <c r="Y290" s="3">
        <f t="shared" si="109"/>
        <v>136.71357159927447</v>
      </c>
      <c r="AA290" s="3"/>
    </row>
    <row r="291" spans="4:27" x14ac:dyDescent="0.25">
      <c r="D291" s="1">
        <v>42320</v>
      </c>
      <c r="E291" s="3">
        <v>113.201363</v>
      </c>
      <c r="F291" s="3">
        <v>199.34730999999999</v>
      </c>
      <c r="G291" s="3">
        <f t="shared" si="110"/>
        <v>-0.38151100000000326</v>
      </c>
      <c r="H291" s="3">
        <f t="shared" si="111"/>
        <v>-2.8222470000000044</v>
      </c>
      <c r="I291" s="4">
        <f t="shared" si="112"/>
        <v>-0.39604530112562908</v>
      </c>
      <c r="J291" s="4">
        <f t="shared" si="113"/>
        <v>-3.1718067257066305</v>
      </c>
      <c r="K291" s="4">
        <f t="shared" si="114"/>
        <v>-0.40982649206349531</v>
      </c>
      <c r="L291" s="4">
        <f t="shared" si="115"/>
        <v>-2.8880356349206391</v>
      </c>
      <c r="M291" s="4">
        <f t="shared" si="116"/>
        <v>-3.3645315471752721E-3</v>
      </c>
      <c r="N291" s="4">
        <f t="shared" si="117"/>
        <v>-1.4058156517335824E-2</v>
      </c>
      <c r="O291" s="4">
        <f t="shared" si="118"/>
        <v>-3.6204997758363146E-3</v>
      </c>
      <c r="P291" s="4">
        <f t="shared" si="119"/>
        <v>-1.4371144234396215E-2</v>
      </c>
      <c r="S291" s="4">
        <v>1.2358069800870062</v>
      </c>
      <c r="T291" s="4">
        <v>0.60325686386764754</v>
      </c>
      <c r="U291" s="4">
        <f t="shared" si="120"/>
        <v>1.2315724095634626</v>
      </c>
      <c r="W291" s="4">
        <f t="shared" si="121"/>
        <v>2.1297518019939297</v>
      </c>
      <c r="X291" s="4">
        <f t="shared" si="122"/>
        <v>2.2371687416672024</v>
      </c>
      <c r="Y291" s="3">
        <f t="shared" si="109"/>
        <v>-105.9891515183981</v>
      </c>
      <c r="AA291" s="3"/>
    </row>
    <row r="292" spans="4:27" x14ac:dyDescent="0.25">
      <c r="D292" s="1">
        <v>42319</v>
      </c>
      <c r="E292" s="3">
        <v>113.582874</v>
      </c>
      <c r="F292" s="3">
        <v>202.169557</v>
      </c>
      <c r="G292" s="3">
        <f t="shared" si="110"/>
        <v>-0.64563099999999451</v>
      </c>
      <c r="H292" s="3">
        <f t="shared" si="111"/>
        <v>-0.79800399999999172</v>
      </c>
      <c r="I292" s="4">
        <f t="shared" si="112"/>
        <v>-0.66643920265369272</v>
      </c>
      <c r="J292" s="4">
        <f t="shared" si="113"/>
        <v>-0.89331759978150449</v>
      </c>
      <c r="K292" s="4">
        <f t="shared" si="114"/>
        <v>-0.67394649206348656</v>
      </c>
      <c r="L292" s="4">
        <f t="shared" si="115"/>
        <v>-0.86379263492062663</v>
      </c>
      <c r="M292" s="4">
        <f t="shared" si="116"/>
        <v>-5.6681341501798408E-3</v>
      </c>
      <c r="N292" s="4">
        <f t="shared" si="117"/>
        <v>-3.9394318445370689E-3</v>
      </c>
      <c r="O292" s="4">
        <f t="shared" si="118"/>
        <v>-5.9241023788408837E-3</v>
      </c>
      <c r="P292" s="4">
        <f t="shared" si="119"/>
        <v>-4.2524195615974598E-3</v>
      </c>
      <c r="S292" s="4">
        <v>1.6118626011056441</v>
      </c>
      <c r="T292" s="4">
        <v>-0.3587116498250813</v>
      </c>
      <c r="U292" s="4">
        <f t="shared" si="120"/>
        <v>0.69827954335868503</v>
      </c>
      <c r="W292" s="4">
        <f t="shared" si="121"/>
        <v>2.7692181177662909</v>
      </c>
      <c r="X292" s="4">
        <f t="shared" si="122"/>
        <v>1.2969223446588727</v>
      </c>
      <c r="Y292" s="3">
        <f t="shared" si="109"/>
        <v>-294.5581436028242</v>
      </c>
      <c r="AA292" s="3"/>
    </row>
    <row r="293" spans="4:27" x14ac:dyDescent="0.25">
      <c r="D293" s="1">
        <v>42318</v>
      </c>
      <c r="E293" s="3">
        <v>114.228505</v>
      </c>
      <c r="F293" s="3">
        <v>202.96756099999999</v>
      </c>
      <c r="G293" s="3">
        <f t="shared" si="110"/>
        <v>-3.7172970000000021</v>
      </c>
      <c r="H293" s="3">
        <f t="shared" si="111"/>
        <v>0.46712499999998158</v>
      </c>
      <c r="I293" s="4">
        <f t="shared" si="112"/>
        <v>-3.7161687546894488</v>
      </c>
      <c r="J293" s="4">
        <f t="shared" si="113"/>
        <v>0.52412467161241472</v>
      </c>
      <c r="K293" s="4">
        <f t="shared" si="114"/>
        <v>-3.7456124920634943</v>
      </c>
      <c r="L293" s="4">
        <f t="shared" si="115"/>
        <v>0.40133636507934667</v>
      </c>
      <c r="M293" s="4">
        <f t="shared" si="116"/>
        <v>-3.202434183803677E-2</v>
      </c>
      <c r="N293" s="4">
        <f t="shared" si="117"/>
        <v>2.3041286124694019E-3</v>
      </c>
      <c r="O293" s="4">
        <f t="shared" si="118"/>
        <v>-3.2280310066697813E-2</v>
      </c>
      <c r="P293" s="4">
        <f t="shared" si="119"/>
        <v>1.9911408954090114E-3</v>
      </c>
      <c r="S293" s="4">
        <v>1.4378675626281685</v>
      </c>
      <c r="T293" s="4">
        <v>-0.39629886423640853</v>
      </c>
      <c r="U293" s="4">
        <f t="shared" si="120"/>
        <v>0.56241320087302427</v>
      </c>
      <c r="W293" s="4">
        <f t="shared" si="121"/>
        <v>2.4733470816773311</v>
      </c>
      <c r="X293" s="4">
        <f t="shared" si="122"/>
        <v>1.0573769708270975</v>
      </c>
      <c r="Y293" s="3">
        <f t="shared" si="109"/>
        <v>-275.02021431813637</v>
      </c>
      <c r="AA293" s="3"/>
    </row>
    <row r="294" spans="4:27" x14ac:dyDescent="0.25">
      <c r="D294" s="1">
        <v>42317</v>
      </c>
      <c r="E294" s="3">
        <v>117.945802</v>
      </c>
      <c r="F294" s="3">
        <v>202.50043600000001</v>
      </c>
      <c r="G294" s="3">
        <f t="shared" si="110"/>
        <v>-0.4793329999999969</v>
      </c>
      <c r="H294" s="3">
        <f t="shared" si="111"/>
        <v>-1.9074359999999899</v>
      </c>
      <c r="I294" s="4">
        <f t="shared" si="112"/>
        <v>-0.47724797567114141</v>
      </c>
      <c r="J294" s="4">
        <f t="shared" si="113"/>
        <v>-2.1202145625392044</v>
      </c>
      <c r="K294" s="4">
        <f t="shared" si="114"/>
        <v>-0.50764849206348894</v>
      </c>
      <c r="L294" s="4">
        <f t="shared" si="115"/>
        <v>-1.9732246349206248</v>
      </c>
      <c r="M294" s="4">
        <f t="shared" si="116"/>
        <v>-4.0557749031380668E-3</v>
      </c>
      <c r="N294" s="4">
        <f t="shared" si="117"/>
        <v>-9.3753306774144486E-3</v>
      </c>
      <c r="O294" s="4">
        <f t="shared" si="118"/>
        <v>-4.3117431317991096E-3</v>
      </c>
      <c r="P294" s="4">
        <f t="shared" si="119"/>
        <v>-9.6883183944748395E-3</v>
      </c>
      <c r="S294" s="4">
        <v>-1.3134640561239579</v>
      </c>
      <c r="T294" s="4">
        <v>-0.7511547388075166</v>
      </c>
      <c r="U294" s="4">
        <f t="shared" si="120"/>
        <v>-1.3961513608718508</v>
      </c>
      <c r="W294" s="4">
        <f t="shared" si="121"/>
        <v>-2.2051733163045166</v>
      </c>
      <c r="X294" s="4">
        <f t="shared" si="122"/>
        <v>-2.3957599248419563</v>
      </c>
      <c r="Y294" s="3">
        <f t="shared" si="109"/>
        <v>126.52305055630541</v>
      </c>
      <c r="AA294" s="3"/>
    </row>
    <row r="295" spans="4:27" x14ac:dyDescent="0.25">
      <c r="D295" s="1">
        <v>42314</v>
      </c>
      <c r="E295" s="3">
        <v>118.425135</v>
      </c>
      <c r="F295" s="3">
        <v>204.407872</v>
      </c>
      <c r="G295" s="3">
        <f t="shared" si="110"/>
        <v>0.13695299999999122</v>
      </c>
      <c r="H295" s="3">
        <f t="shared" si="111"/>
        <v>-0.10705100000001266</v>
      </c>
      <c r="I295" s="4">
        <f t="shared" si="112"/>
        <v>0.13651514889129807</v>
      </c>
      <c r="J295" s="4">
        <f t="shared" si="113"/>
        <v>-0.11893048244386487</v>
      </c>
      <c r="K295" s="4">
        <f t="shared" si="114"/>
        <v>0.10863750793649916</v>
      </c>
      <c r="L295" s="4">
        <f t="shared" si="115"/>
        <v>-0.17283963492064755</v>
      </c>
      <c r="M295" s="4">
        <f t="shared" si="116"/>
        <v>1.1571213399949863E-3</v>
      </c>
      <c r="N295" s="4">
        <f t="shared" si="117"/>
        <v>-5.2357561747325219E-4</v>
      </c>
      <c r="O295" s="4">
        <f t="shared" si="118"/>
        <v>9.0115311133394361E-4</v>
      </c>
      <c r="P295" s="4">
        <f t="shared" si="119"/>
        <v>-8.3656333453364278E-4</v>
      </c>
      <c r="S295" s="4">
        <v>0.22153163701269707</v>
      </c>
      <c r="T295" s="4">
        <v>1.2876663797940346</v>
      </c>
      <c r="U295" s="4">
        <f t="shared" si="120"/>
        <v>1.1557734910240631</v>
      </c>
      <c r="W295" s="4">
        <f t="shared" si="121"/>
        <v>0.40502045757844291</v>
      </c>
      <c r="X295" s="4">
        <f t="shared" si="122"/>
        <v>2.1035279889584806</v>
      </c>
      <c r="Y295" s="3">
        <f t="shared" si="109"/>
        <v>145.87128092744751</v>
      </c>
      <c r="AA295" s="3"/>
    </row>
    <row r="296" spans="4:27" x14ac:dyDescent="0.25">
      <c r="D296" s="1">
        <v>42313</v>
      </c>
      <c r="E296" s="3">
        <v>118.28818200000001</v>
      </c>
      <c r="F296" s="3">
        <v>204.51492300000001</v>
      </c>
      <c r="G296" s="3">
        <f t="shared" si="110"/>
        <v>-0.54781399999998825</v>
      </c>
      <c r="H296" s="3">
        <f t="shared" si="111"/>
        <v>-0.20437499999999886</v>
      </c>
      <c r="I296" s="4">
        <f t="shared" si="112"/>
        <v>-0.54354533226830215</v>
      </c>
      <c r="J296" s="4">
        <f t="shared" si="113"/>
        <v>-0.22682788400644446</v>
      </c>
      <c r="K296" s="4">
        <f t="shared" si="114"/>
        <v>-0.5761294920634803</v>
      </c>
      <c r="L296" s="4">
        <f t="shared" si="115"/>
        <v>-0.27016363492063378</v>
      </c>
      <c r="M296" s="4">
        <f t="shared" si="116"/>
        <v>-4.6204902361597433E-3</v>
      </c>
      <c r="N296" s="4">
        <f t="shared" si="117"/>
        <v>-9.9881684621367598E-4</v>
      </c>
      <c r="O296" s="4">
        <f t="shared" si="118"/>
        <v>-4.8764584648207862E-3</v>
      </c>
      <c r="P296" s="4">
        <f t="shared" si="119"/>
        <v>-1.3118045632740665E-3</v>
      </c>
      <c r="S296" s="4">
        <v>-0.32356206224811618</v>
      </c>
      <c r="T296" s="4">
        <v>-1.3424630509882425</v>
      </c>
      <c r="U296" s="4">
        <f t="shared" si="120"/>
        <v>-1.2614103986555583</v>
      </c>
      <c r="W296" s="4">
        <f t="shared" si="121"/>
        <v>-0.52188779783562522</v>
      </c>
      <c r="X296" s="4">
        <f t="shared" si="122"/>
        <v>-2.1581987042036563</v>
      </c>
      <c r="Y296" s="3">
        <f t="shared" si="109"/>
        <v>-131.48099348859296</v>
      </c>
      <c r="AA296" s="3"/>
    </row>
    <row r="297" spans="4:27" x14ac:dyDescent="0.25">
      <c r="D297" s="1">
        <v>42312</v>
      </c>
      <c r="E297" s="3">
        <v>118.83599599999999</v>
      </c>
      <c r="F297" s="3">
        <v>204.71929800000001</v>
      </c>
      <c r="G297" s="3">
        <f t="shared" si="110"/>
        <v>-0.55521699999999896</v>
      </c>
      <c r="H297" s="3">
        <f t="shared" si="111"/>
        <v>-0.62283800000000156</v>
      </c>
      <c r="I297" s="4">
        <f t="shared" si="112"/>
        <v>-0.54832878438774113</v>
      </c>
      <c r="J297" s="4">
        <f t="shared" si="113"/>
        <v>-0.68916701217068443</v>
      </c>
      <c r="K297" s="4">
        <f t="shared" si="114"/>
        <v>-0.583532492063491</v>
      </c>
      <c r="L297" s="4">
        <f t="shared" si="115"/>
        <v>-0.68862663492063647</v>
      </c>
      <c r="M297" s="4">
        <f t="shared" si="116"/>
        <v>-4.6612476182507512E-3</v>
      </c>
      <c r="N297" s="4">
        <f t="shared" si="117"/>
        <v>-3.0377813045854036E-3</v>
      </c>
      <c r="O297" s="4">
        <f t="shared" si="118"/>
        <v>-4.9172158469117941E-3</v>
      </c>
      <c r="P297" s="4">
        <f t="shared" si="119"/>
        <v>-3.3507690216457941E-3</v>
      </c>
      <c r="S297" s="4">
        <v>-0.65253760314271725</v>
      </c>
      <c r="T297" s="4">
        <v>-0.38852705026116907</v>
      </c>
      <c r="U297" s="4">
        <f t="shared" si="120"/>
        <v>-0.70578377408323656</v>
      </c>
      <c r="W297" s="4">
        <f t="shared" si="121"/>
        <v>-1.0812964739917093</v>
      </c>
      <c r="X297" s="4">
        <f t="shared" si="122"/>
        <v>-1.1785757522712357</v>
      </c>
      <c r="Y297" s="3">
        <f t="shared" si="109"/>
        <v>58.460994721340285</v>
      </c>
      <c r="AA297" s="3"/>
    </row>
    <row r="298" spans="4:27" x14ac:dyDescent="0.25">
      <c r="D298" s="1">
        <v>42311</v>
      </c>
      <c r="E298" s="3">
        <v>119.39121299999999</v>
      </c>
      <c r="F298" s="3">
        <v>205.34213600000001</v>
      </c>
      <c r="G298" s="3">
        <f t="shared" si="110"/>
        <v>1.3539499999999975</v>
      </c>
      <c r="H298" s="3">
        <f t="shared" si="111"/>
        <v>0.59364400000001183</v>
      </c>
      <c r="I298" s="4">
        <f t="shared" si="112"/>
        <v>1.3524902717864586</v>
      </c>
      <c r="J298" s="4">
        <f t="shared" si="113"/>
        <v>0.6587685021656261</v>
      </c>
      <c r="K298" s="4">
        <f t="shared" si="114"/>
        <v>1.3256345079365055</v>
      </c>
      <c r="L298" s="4">
        <f t="shared" si="115"/>
        <v>0.52785536507937691</v>
      </c>
      <c r="M298" s="4">
        <f t="shared" si="116"/>
        <v>1.1405242534903349E-2</v>
      </c>
      <c r="N298" s="4">
        <f t="shared" si="117"/>
        <v>2.8951864496911542E-3</v>
      </c>
      <c r="O298" s="4">
        <f t="shared" si="118"/>
        <v>1.1149274306242307E-2</v>
      </c>
      <c r="P298" s="4">
        <f t="shared" si="119"/>
        <v>2.5821987326307637E-3</v>
      </c>
      <c r="S298" s="4">
        <v>0.57378666297524517</v>
      </c>
      <c r="T298" s="4">
        <v>0.77877134454694685</v>
      </c>
      <c r="U298" s="4">
        <f t="shared" si="120"/>
        <v>0.96711898139483643</v>
      </c>
      <c r="W298" s="4">
        <f t="shared" si="121"/>
        <v>1.0040148910465816</v>
      </c>
      <c r="X298" s="4">
        <f t="shared" si="122"/>
        <v>1.7709120208871181</v>
      </c>
      <c r="Y298" s="3">
        <f t="shared" si="109"/>
        <v>18.789171838954644</v>
      </c>
      <c r="AA298" s="3"/>
    </row>
    <row r="299" spans="4:27" x14ac:dyDescent="0.25">
      <c r="D299" s="1">
        <v>42310</v>
      </c>
      <c r="E299" s="3">
        <v>118.037263</v>
      </c>
      <c r="F299" s="3">
        <v>204.748492</v>
      </c>
      <c r="G299" s="3">
        <f t="shared" si="110"/>
        <v>1.6364310000000017</v>
      </c>
      <c r="H299" s="3">
        <f t="shared" si="111"/>
        <v>2.3940419999999847</v>
      </c>
      <c r="I299" s="4">
        <f t="shared" si="112"/>
        <v>1.6576478229616451</v>
      </c>
      <c r="J299" s="4">
        <f t="shared" si="113"/>
        <v>2.6881064368897767</v>
      </c>
      <c r="K299" s="4">
        <f t="shared" si="114"/>
        <v>1.6081155079365097</v>
      </c>
      <c r="L299" s="4">
        <f t="shared" si="115"/>
        <v>2.32825336507935</v>
      </c>
      <c r="M299" s="4">
        <f t="shared" si="116"/>
        <v>1.3960679712563982E-2</v>
      </c>
      <c r="N299" s="4">
        <f t="shared" si="117"/>
        <v>1.1761494947913242E-2</v>
      </c>
      <c r="O299" s="4">
        <f t="shared" si="118"/>
        <v>1.370471148390294E-2</v>
      </c>
      <c r="P299" s="4">
        <f t="shared" si="119"/>
        <v>1.1448507230852851E-2</v>
      </c>
      <c r="S299" s="4">
        <v>-1.1864005712267716</v>
      </c>
      <c r="T299" s="4">
        <v>1.8776261952126079</v>
      </c>
      <c r="U299" s="4">
        <f t="shared" si="120"/>
        <v>0.76512304048200375</v>
      </c>
      <c r="W299" s="4">
        <f t="shared" si="121"/>
        <v>-1.9891073568692932</v>
      </c>
      <c r="X299" s="4">
        <f t="shared" si="122"/>
        <v>1.4147738317430891</v>
      </c>
      <c r="Y299" s="3">
        <f t="shared" si="109"/>
        <v>470.56996442195305</v>
      </c>
      <c r="AA299" s="3"/>
    </row>
    <row r="300" spans="4:27" x14ac:dyDescent="0.25">
      <c r="D300" s="1">
        <v>42307</v>
      </c>
      <c r="E300" s="3">
        <v>116.40083199999999</v>
      </c>
      <c r="F300" s="3">
        <v>202.35445000000001</v>
      </c>
      <c r="G300" s="3">
        <f t="shared" si="110"/>
        <v>-1.0032870000000003</v>
      </c>
      <c r="H300" s="3">
        <f t="shared" si="111"/>
        <v>-0.87587499999997931</v>
      </c>
      <c r="I300" s="4">
        <f t="shared" si="112"/>
        <v>-1.0076100837922735</v>
      </c>
      <c r="J300" s="4">
        <f t="shared" si="113"/>
        <v>-0.9792218010826893</v>
      </c>
      <c r="K300" s="4">
        <f t="shared" si="114"/>
        <v>-1.0316024920634923</v>
      </c>
      <c r="L300" s="4">
        <f t="shared" si="115"/>
        <v>-0.94166363492061422</v>
      </c>
      <c r="M300" s="4">
        <f t="shared" si="116"/>
        <v>-8.5823089192858925E-3</v>
      </c>
      <c r="N300" s="4">
        <f t="shared" si="117"/>
        <v>-4.3190790955093036E-3</v>
      </c>
      <c r="O300" s="4">
        <f t="shared" si="118"/>
        <v>-8.8382771479469345E-3</v>
      </c>
      <c r="P300" s="4">
        <f t="shared" si="119"/>
        <v>-4.6320668125696945E-3</v>
      </c>
      <c r="S300" s="4">
        <v>-1.1239313777254549</v>
      </c>
      <c r="T300" s="4">
        <v>-0.32116583143805194</v>
      </c>
      <c r="U300" s="4">
        <f t="shared" si="120"/>
        <v>-0.93975923619043267</v>
      </c>
      <c r="W300" s="4">
        <f t="shared" si="121"/>
        <v>-1.8828811956717777</v>
      </c>
      <c r="X300" s="4">
        <f t="shared" si="122"/>
        <v>-1.5910968999855484</v>
      </c>
      <c r="Y300" s="3">
        <f t="shared" si="109"/>
        <v>151.88041999616689</v>
      </c>
      <c r="AA300" s="3"/>
    </row>
    <row r="301" spans="4:27" x14ac:dyDescent="0.25">
      <c r="D301" s="1">
        <v>42306</v>
      </c>
      <c r="E301" s="3">
        <v>117.40411899999999</v>
      </c>
      <c r="F301" s="3">
        <v>203.23032499999999</v>
      </c>
      <c r="G301" s="3">
        <f t="shared" si="110"/>
        <v>1.2273249999999933</v>
      </c>
      <c r="H301" s="3">
        <f t="shared" si="111"/>
        <v>-0.11677800000001071</v>
      </c>
      <c r="I301" s="4">
        <f t="shared" si="112"/>
        <v>1.2456351279524827</v>
      </c>
      <c r="J301" s="4">
        <f t="shared" si="113"/>
        <v>-0.13048196805365075</v>
      </c>
      <c r="K301" s="4">
        <f t="shared" si="114"/>
        <v>1.1990095079365013</v>
      </c>
      <c r="L301" s="4">
        <f t="shared" si="115"/>
        <v>-0.18256663492064559</v>
      </c>
      <c r="M301" s="4">
        <f t="shared" si="116"/>
        <v>1.0508874884801315E-2</v>
      </c>
      <c r="N301" s="4">
        <f t="shared" si="117"/>
        <v>-5.7444410421750628E-4</v>
      </c>
      <c r="O301" s="4">
        <f t="shared" si="118"/>
        <v>1.0252906656140273E-2</v>
      </c>
      <c r="P301" s="4">
        <f t="shared" si="119"/>
        <v>-8.8743182127789687E-4</v>
      </c>
      <c r="S301" s="4">
        <v>0.83225121524797963</v>
      </c>
      <c r="T301" s="4">
        <v>0.2285429676714068</v>
      </c>
      <c r="U301" s="4">
        <f t="shared" si="120"/>
        <v>0.68852309634003506</v>
      </c>
      <c r="W301" s="4">
        <f t="shared" si="121"/>
        <v>1.4435226812822362</v>
      </c>
      <c r="X301" s="4">
        <f t="shared" si="122"/>
        <v>1.2797207941821676</v>
      </c>
      <c r="Y301" s="3">
        <f t="shared" si="109"/>
        <v>-98.008777684245615</v>
      </c>
      <c r="AA301" s="3"/>
    </row>
    <row r="302" spans="4:27" x14ac:dyDescent="0.25">
      <c r="D302" s="1">
        <v>42305</v>
      </c>
      <c r="E302" s="3">
        <v>116.176794</v>
      </c>
      <c r="F302" s="3">
        <v>203.347103</v>
      </c>
      <c r="G302" s="3">
        <f t="shared" si="110"/>
        <v>4.5975830000000002</v>
      </c>
      <c r="H302" s="3">
        <f t="shared" si="111"/>
        <v>2.2869770000000074</v>
      </c>
      <c r="I302" s="4">
        <f t="shared" si="112"/>
        <v>4.8584411474314155</v>
      </c>
      <c r="J302" s="4">
        <f t="shared" si="113"/>
        <v>2.5844212401361006</v>
      </c>
      <c r="K302" s="4">
        <f t="shared" si="114"/>
        <v>4.5692675079365079</v>
      </c>
      <c r="L302" s="4">
        <f t="shared" si="115"/>
        <v>2.2211883650793727</v>
      </c>
      <c r="M302" s="4">
        <f t="shared" si="116"/>
        <v>4.0378365839924199E-2</v>
      </c>
      <c r="N302" s="4">
        <f t="shared" si="117"/>
        <v>1.1310388222823773E-2</v>
      </c>
      <c r="O302" s="4">
        <f t="shared" si="118"/>
        <v>4.0122397611263155E-2</v>
      </c>
      <c r="P302" s="4">
        <f t="shared" si="119"/>
        <v>1.0997400505763382E-2</v>
      </c>
      <c r="S302" s="4">
        <v>2.0045161068513</v>
      </c>
      <c r="T302" s="4">
        <v>0.39648282525556716</v>
      </c>
      <c r="U302" s="4">
        <f t="shared" si="120"/>
        <v>1.5362865144324316</v>
      </c>
      <c r="W302" s="4">
        <f t="shared" si="121"/>
        <v>3.4369084185099457</v>
      </c>
      <c r="X302" s="4">
        <f t="shared" si="122"/>
        <v>2.7744088912675755</v>
      </c>
      <c r="Y302" s="3">
        <f t="shared" si="109"/>
        <v>-243.37874117706451</v>
      </c>
      <c r="AA302" s="3"/>
    </row>
    <row r="303" spans="4:27" x14ac:dyDescent="0.25">
      <c r="D303" s="1">
        <v>42304</v>
      </c>
      <c r="E303" s="3">
        <v>111.579211</v>
      </c>
      <c r="F303" s="3">
        <v>201.060126</v>
      </c>
      <c r="G303" s="3">
        <f t="shared" si="110"/>
        <v>-0.71106399999999326</v>
      </c>
      <c r="H303" s="3">
        <f t="shared" si="111"/>
        <v>-0.38926800000001549</v>
      </c>
      <c r="I303" s="4">
        <f t="shared" si="112"/>
        <v>-0.74665022491266675</v>
      </c>
      <c r="J303" s="4">
        <f t="shared" si="113"/>
        <v>-0.43904617059746287</v>
      </c>
      <c r="K303" s="4">
        <f t="shared" si="114"/>
        <v>-0.7393794920634853</v>
      </c>
      <c r="L303" s="4">
        <f t="shared" si="115"/>
        <v>-0.4550566349206504</v>
      </c>
      <c r="M303" s="4">
        <f t="shared" si="116"/>
        <v>-6.3525083647137338E-3</v>
      </c>
      <c r="N303" s="4">
        <f t="shared" si="117"/>
        <v>-1.9342057865326496E-3</v>
      </c>
      <c r="O303" s="4">
        <f t="shared" si="118"/>
        <v>-6.6084765933747767E-3</v>
      </c>
      <c r="P303" s="4">
        <f t="shared" si="119"/>
        <v>-2.2471935035930403E-3</v>
      </c>
      <c r="S303" s="4">
        <v>-0.45379312785451403</v>
      </c>
      <c r="T303" s="4">
        <v>-0.92807731705970775</v>
      </c>
      <c r="U303" s="4">
        <f t="shared" si="120"/>
        <v>-1.012321897898</v>
      </c>
      <c r="W303" s="4">
        <f t="shared" si="121"/>
        <v>-0.74334009124065981</v>
      </c>
      <c r="X303" s="4">
        <f t="shared" si="122"/>
        <v>-1.7190318219608149</v>
      </c>
      <c r="Y303" s="3">
        <f t="shared" si="109"/>
        <v>-51.34835821374736</v>
      </c>
      <c r="AA303" s="3"/>
    </row>
    <row r="304" spans="4:27" x14ac:dyDescent="0.25">
      <c r="D304" s="1">
        <v>42303</v>
      </c>
      <c r="E304" s="3">
        <v>112.29027499999999</v>
      </c>
      <c r="F304" s="3">
        <v>201.44939400000001</v>
      </c>
      <c r="G304" s="3">
        <f t="shared" si="110"/>
        <v>-3.7014520000000033</v>
      </c>
      <c r="H304" s="3">
        <f t="shared" si="111"/>
        <v>-0.49631999999999721</v>
      </c>
      <c r="I304" s="4">
        <f t="shared" si="112"/>
        <v>-3.7626667988640983</v>
      </c>
      <c r="J304" s="4">
        <f t="shared" si="113"/>
        <v>-0.55841180503706733</v>
      </c>
      <c r="K304" s="4">
        <f t="shared" si="114"/>
        <v>-3.7297674920634956</v>
      </c>
      <c r="L304" s="4">
        <f t="shared" si="115"/>
        <v>-0.56210863492063212</v>
      </c>
      <c r="M304" s="4">
        <f t="shared" si="116"/>
        <v>-3.243161000013977E-2</v>
      </c>
      <c r="N304" s="4">
        <f t="shared" si="117"/>
        <v>-2.4607152669769788E-3</v>
      </c>
      <c r="O304" s="4">
        <f t="shared" si="118"/>
        <v>-3.2687578228800813E-2</v>
      </c>
      <c r="P304" s="4">
        <f t="shared" si="119"/>
        <v>-2.7737029840373692E-3</v>
      </c>
      <c r="S304" s="4">
        <v>1.4685927805784171</v>
      </c>
      <c r="T304" s="4">
        <v>0.20124360398168756</v>
      </c>
      <c r="U304" s="4">
        <f t="shared" si="120"/>
        <v>1.0548111248060861</v>
      </c>
      <c r="W304" s="4">
        <f t="shared" si="121"/>
        <v>2.5255939856611822</v>
      </c>
      <c r="X304" s="4">
        <f t="shared" si="122"/>
        <v>1.9255216680686813</v>
      </c>
      <c r="Y304" s="3">
        <f t="shared" si="109"/>
        <v>-195.91737739993141</v>
      </c>
      <c r="AA304" s="3"/>
    </row>
    <row r="305" spans="4:27" x14ac:dyDescent="0.25">
      <c r="D305" s="1">
        <v>42300</v>
      </c>
      <c r="E305" s="3">
        <v>115.991727</v>
      </c>
      <c r="F305" s="3">
        <v>201.94571400000001</v>
      </c>
      <c r="G305" s="3">
        <f t="shared" si="110"/>
        <v>3.4871569999999963</v>
      </c>
      <c r="H305" s="3">
        <f t="shared" si="111"/>
        <v>2.1896680000000117</v>
      </c>
      <c r="I305" s="4">
        <f t="shared" si="112"/>
        <v>3.6547021673753126</v>
      </c>
      <c r="J305" s="4">
        <f t="shared" si="113"/>
        <v>2.4906103798614367</v>
      </c>
      <c r="K305" s="4">
        <f t="shared" si="114"/>
        <v>3.458841507936504</v>
      </c>
      <c r="L305" s="4">
        <f t="shared" si="115"/>
        <v>2.123879365079377</v>
      </c>
      <c r="M305" s="4">
        <f t="shared" si="116"/>
        <v>3.0525026555892013E-2</v>
      </c>
      <c r="N305" s="4">
        <f t="shared" si="117"/>
        <v>1.0902066686074808E-2</v>
      </c>
      <c r="O305" s="4">
        <f t="shared" si="118"/>
        <v>3.0269058327230969E-2</v>
      </c>
      <c r="P305" s="4">
        <f t="shared" si="119"/>
        <v>1.0589078969014417E-2</v>
      </c>
      <c r="S305" s="4">
        <v>-1.1620785153046582</v>
      </c>
      <c r="T305" s="4">
        <v>-0.54276625283322477</v>
      </c>
      <c r="U305" s="4">
        <f t="shared" si="120"/>
        <v>-1.1386754678256854</v>
      </c>
      <c r="W305" s="4">
        <f t="shared" si="121"/>
        <v>-1.9477487529202453</v>
      </c>
      <c r="X305" s="4">
        <f t="shared" si="122"/>
        <v>-1.9418052667269545</v>
      </c>
      <c r="Y305" s="3">
        <f t="shared" si="109"/>
        <v>127.85680573452964</v>
      </c>
      <c r="AA305" s="3"/>
    </row>
    <row r="306" spans="4:27" x14ac:dyDescent="0.25">
      <c r="D306" s="1">
        <v>42299</v>
      </c>
      <c r="E306" s="3">
        <v>112.50457</v>
      </c>
      <c r="F306" s="3">
        <v>199.756046</v>
      </c>
      <c r="G306" s="3">
        <f t="shared" si="110"/>
        <v>1.6948720000000037</v>
      </c>
      <c r="H306" s="3">
        <f t="shared" si="111"/>
        <v>3.3185509999999852</v>
      </c>
      <c r="I306" s="4">
        <f t="shared" si="112"/>
        <v>1.8034735939763</v>
      </c>
      <c r="J306" s="4">
        <f t="shared" si="113"/>
        <v>3.8384117855903908</v>
      </c>
      <c r="K306" s="4">
        <f t="shared" si="114"/>
        <v>1.6665565079365117</v>
      </c>
      <c r="L306" s="4">
        <f t="shared" si="115"/>
        <v>3.2527623650793505</v>
      </c>
      <c r="M306" s="4">
        <f t="shared" si="116"/>
        <v>1.5179545482912185E-2</v>
      </c>
      <c r="N306" s="4">
        <f t="shared" si="117"/>
        <v>1.6752562918718204E-2</v>
      </c>
      <c r="O306" s="4">
        <f t="shared" si="118"/>
        <v>1.4923577254251143E-2</v>
      </c>
      <c r="P306" s="4">
        <f t="shared" si="119"/>
        <v>1.6439575201657813E-2</v>
      </c>
      <c r="S306" s="4">
        <v>-0.92275770306685445</v>
      </c>
      <c r="T306" s="4">
        <v>0.34801260102754294</v>
      </c>
      <c r="U306" s="4">
        <f t="shared" si="120"/>
        <v>-0.28666687289897047</v>
      </c>
      <c r="W306" s="4">
        <f t="shared" si="121"/>
        <v>-1.5407940644759723</v>
      </c>
      <c r="X306" s="4">
        <f t="shared" si="122"/>
        <v>-0.43963251631862232</v>
      </c>
      <c r="Y306" s="3">
        <f t="shared" si="109"/>
        <v>209.13795391696203</v>
      </c>
      <c r="AA306" s="3"/>
    </row>
    <row r="307" spans="4:27" x14ac:dyDescent="0.25">
      <c r="D307" s="1">
        <v>42298</v>
      </c>
      <c r="E307" s="3">
        <v>110.809698</v>
      </c>
      <c r="F307" s="3">
        <v>196.43749500000001</v>
      </c>
      <c r="G307" s="3">
        <f t="shared" si="110"/>
        <v>-9.7350000000062664E-3</v>
      </c>
      <c r="H307" s="3">
        <f t="shared" si="111"/>
        <v>-1.2262079999999855</v>
      </c>
      <c r="I307" s="4">
        <f t="shared" si="112"/>
        <v>-1.0357875490490363E-2</v>
      </c>
      <c r="J307" s="4">
        <f t="shared" si="113"/>
        <v>-1.4094986789934454</v>
      </c>
      <c r="K307" s="4">
        <f t="shared" si="114"/>
        <v>-3.8050492063498323E-2</v>
      </c>
      <c r="L307" s="4">
        <f t="shared" si="115"/>
        <v>-1.2919966349206204</v>
      </c>
      <c r="M307" s="4">
        <f t="shared" si="116"/>
        <v>-8.7849462408991826E-5</v>
      </c>
      <c r="N307" s="4">
        <f t="shared" si="117"/>
        <v>-6.2228278581807489E-3</v>
      </c>
      <c r="O307" s="4">
        <f t="shared" si="118"/>
        <v>-3.4381769107003443E-4</v>
      </c>
      <c r="P307" s="4">
        <f t="shared" si="119"/>
        <v>-6.5358155752411398E-3</v>
      </c>
      <c r="S307" s="4">
        <v>1.1708038839305901</v>
      </c>
      <c r="T307" s="4">
        <v>0.8878209974525193</v>
      </c>
      <c r="U307" s="4">
        <f t="shared" si="120"/>
        <v>1.4175167893762022</v>
      </c>
      <c r="W307" s="4">
        <f t="shared" si="121"/>
        <v>2.0192168489453755</v>
      </c>
      <c r="X307" s="4">
        <f t="shared" si="122"/>
        <v>2.5650064913207729</v>
      </c>
      <c r="Y307" s="3">
        <f t="shared" si="109"/>
        <v>-56.657057262783837</v>
      </c>
      <c r="AA307" s="3"/>
    </row>
    <row r="308" spans="4:27" x14ac:dyDescent="0.25">
      <c r="D308" s="1">
        <v>42297</v>
      </c>
      <c r="E308" s="3">
        <v>110.819433</v>
      </c>
      <c r="F308" s="3">
        <v>197.663703</v>
      </c>
      <c r="G308" s="3">
        <f t="shared" si="110"/>
        <v>1.9870870000000025</v>
      </c>
      <c r="H308" s="3">
        <f t="shared" si="111"/>
        <v>-0.2530230000000131</v>
      </c>
      <c r="I308" s="4">
        <f t="shared" si="112"/>
        <v>2.1528290506422447</v>
      </c>
      <c r="J308" s="4">
        <f t="shared" si="113"/>
        <v>-0.29047245658845411</v>
      </c>
      <c r="K308" s="4">
        <f t="shared" si="114"/>
        <v>1.9587715079365104</v>
      </c>
      <c r="L308" s="4">
        <f t="shared" si="115"/>
        <v>-0.31881163492064801</v>
      </c>
      <c r="M308" s="4">
        <f t="shared" si="116"/>
        <v>1.8093558989406067E-2</v>
      </c>
      <c r="N308" s="4">
        <f t="shared" si="117"/>
        <v>-1.2792495075916875E-3</v>
      </c>
      <c r="O308" s="4">
        <f t="shared" si="118"/>
        <v>1.7837590760745023E-2</v>
      </c>
      <c r="P308" s="4">
        <f t="shared" si="119"/>
        <v>-1.592237224652078E-3</v>
      </c>
      <c r="S308" s="4">
        <v>1.871606653418262</v>
      </c>
      <c r="T308" s="4">
        <v>-0.77580892101313892</v>
      </c>
      <c r="U308" s="4">
        <f t="shared" si="120"/>
        <v>0.52599563502730384</v>
      </c>
      <c r="W308" s="4">
        <f t="shared" si="121"/>
        <v>3.2109016424699441</v>
      </c>
      <c r="X308" s="4">
        <f t="shared" si="122"/>
        <v>0.99316931450134438</v>
      </c>
      <c r="Y308" s="3">
        <f t="shared" si="109"/>
        <v>-389.05891342879931</v>
      </c>
      <c r="AA308" s="3"/>
    </row>
    <row r="309" spans="4:27" x14ac:dyDescent="0.25">
      <c r="D309" s="1">
        <v>42296</v>
      </c>
      <c r="E309" s="3">
        <v>108.832346</v>
      </c>
      <c r="F309" s="3">
        <v>197.91672600000001</v>
      </c>
      <c r="G309" s="3">
        <f t="shared" si="110"/>
        <v>0.6721069999999969</v>
      </c>
      <c r="H309" s="3">
        <f t="shared" si="111"/>
        <v>9.7309000000024071E-2</v>
      </c>
      <c r="I309" s="4">
        <f t="shared" si="112"/>
        <v>0.73269197434398825</v>
      </c>
      <c r="J309" s="4">
        <f t="shared" si="113"/>
        <v>0.11176647321313493</v>
      </c>
      <c r="K309" s="4">
        <f t="shared" si="114"/>
        <v>0.64379150793650486</v>
      </c>
      <c r="L309" s="4">
        <f t="shared" si="115"/>
        <v>3.1520365079389184E-2</v>
      </c>
      <c r="M309" s="4">
        <f t="shared" si="116"/>
        <v>6.194766050166044E-3</v>
      </c>
      <c r="N309" s="4">
        <f t="shared" si="117"/>
        <v>4.9178728646589434E-4</v>
      </c>
      <c r="O309" s="4">
        <f t="shared" si="118"/>
        <v>5.9387978215050012E-3</v>
      </c>
      <c r="P309" s="4">
        <f t="shared" si="119"/>
        <v>1.7879956940550375E-4</v>
      </c>
      <c r="S309" s="4">
        <v>1.4298854760315258</v>
      </c>
      <c r="T309" s="4">
        <v>-0.95998206774941208</v>
      </c>
      <c r="U309" s="4">
        <f t="shared" si="120"/>
        <v>0.11071996615342328</v>
      </c>
      <c r="W309" s="4">
        <f t="shared" si="121"/>
        <v>2.459773888716394</v>
      </c>
      <c r="X309" s="4">
        <f t="shared" si="122"/>
        <v>0.26099853898986702</v>
      </c>
      <c r="Y309" s="3">
        <f t="shared" si="109"/>
        <v>-352.65244591890087</v>
      </c>
      <c r="AA309" s="3"/>
    </row>
    <row r="310" spans="4:27" x14ac:dyDescent="0.25">
      <c r="D310" s="1">
        <v>42293</v>
      </c>
      <c r="E310" s="3">
        <v>108.160239</v>
      </c>
      <c r="F310" s="3">
        <v>197.81941699999999</v>
      </c>
      <c r="G310" s="3">
        <f t="shared" si="110"/>
        <v>-0.79873299999999858</v>
      </c>
      <c r="H310" s="3">
        <f t="shared" si="111"/>
        <v>0.89532899999997539</v>
      </c>
      <c r="I310" s="4">
        <f t="shared" si="112"/>
        <v>-0.86434930044064506</v>
      </c>
      <c r="J310" s="4">
        <f t="shared" si="113"/>
        <v>1.0330260275588907</v>
      </c>
      <c r="K310" s="4">
        <f t="shared" si="114"/>
        <v>-0.82704849206349063</v>
      </c>
      <c r="L310" s="4">
        <f t="shared" si="115"/>
        <v>0.82954036507934048</v>
      </c>
      <c r="M310" s="4">
        <f t="shared" si="116"/>
        <v>-7.3575857202145848E-3</v>
      </c>
      <c r="N310" s="4">
        <f t="shared" si="117"/>
        <v>4.5362648098133829E-3</v>
      </c>
      <c r="O310" s="4">
        <f t="shared" si="118"/>
        <v>-7.6135539488756277E-3</v>
      </c>
      <c r="P310" s="4">
        <f t="shared" si="119"/>
        <v>4.223277092752992E-3</v>
      </c>
      <c r="S310" s="4">
        <v>-0.42580085066776419</v>
      </c>
      <c r="T310" s="4">
        <v>0.49435493603796404</v>
      </c>
      <c r="U310" s="4">
        <f t="shared" si="120"/>
        <v>0.13229351334761846</v>
      </c>
      <c r="W310" s="4">
        <f t="shared" si="121"/>
        <v>-0.69574043480100123</v>
      </c>
      <c r="X310" s="4">
        <f t="shared" si="122"/>
        <v>0.29903476880930402</v>
      </c>
      <c r="Y310" s="3">
        <f t="shared" si="109"/>
        <v>142.65231083361505</v>
      </c>
      <c r="AA310" s="3"/>
    </row>
    <row r="311" spans="4:27" x14ac:dyDescent="0.25">
      <c r="D311" s="1">
        <v>42292</v>
      </c>
      <c r="E311" s="3">
        <v>108.958972</v>
      </c>
      <c r="F311" s="3">
        <v>196.92408800000001</v>
      </c>
      <c r="G311" s="3">
        <f t="shared" si="110"/>
        <v>1.6072089999999974</v>
      </c>
      <c r="H311" s="3">
        <f t="shared" si="111"/>
        <v>2.9779600000000244</v>
      </c>
      <c r="I311" s="4">
        <f t="shared" si="112"/>
        <v>1.7652809262092481</v>
      </c>
      <c r="J311" s="4">
        <f t="shared" si="113"/>
        <v>3.4887126617228756</v>
      </c>
      <c r="K311" s="4">
        <f t="shared" si="114"/>
        <v>1.5788935079365054</v>
      </c>
      <c r="L311" s="4">
        <f t="shared" si="115"/>
        <v>2.9121713650793897</v>
      </c>
      <c r="M311" s="4">
        <f t="shared" si="116"/>
        <v>1.4860460596144558E-2</v>
      </c>
      <c r="N311" s="4">
        <f t="shared" si="117"/>
        <v>1.5237884595419663E-2</v>
      </c>
      <c r="O311" s="4">
        <f t="shared" si="118"/>
        <v>1.4604492367483516E-2</v>
      </c>
      <c r="P311" s="4">
        <f t="shared" si="119"/>
        <v>1.4924896878359272E-2</v>
      </c>
      <c r="S311" s="4">
        <v>-1.4013373884254399</v>
      </c>
      <c r="T311" s="4">
        <v>-0.12387120726339514</v>
      </c>
      <c r="U311" s="4">
        <f t="shared" si="120"/>
        <v>-0.95247825579236489</v>
      </c>
      <c r="W311" s="4">
        <f t="shared" si="121"/>
        <v>-2.3545981165754428</v>
      </c>
      <c r="X311" s="4">
        <f t="shared" si="122"/>
        <v>-1.6135217496545535</v>
      </c>
      <c r="Y311" s="3">
        <f t="shared" si="109"/>
        <v>230.48540314829006</v>
      </c>
      <c r="AA311" s="3"/>
    </row>
    <row r="312" spans="4:27" x14ac:dyDescent="0.25">
      <c r="D312" s="1">
        <v>42291</v>
      </c>
      <c r="E312" s="3">
        <v>107.35176300000001</v>
      </c>
      <c r="F312" s="3">
        <v>193.94612799999999</v>
      </c>
      <c r="G312" s="3">
        <f t="shared" si="110"/>
        <v>-1.5390249999999952</v>
      </c>
      <c r="H312" s="3">
        <f t="shared" si="111"/>
        <v>-0.93426400000001308</v>
      </c>
      <c r="I312" s="4">
        <f t="shared" si="112"/>
        <v>-1.6664995013728749</v>
      </c>
      <c r="J312" s="4">
        <f t="shared" si="113"/>
        <v>-1.0892534020551998</v>
      </c>
      <c r="K312" s="4">
        <f t="shared" si="114"/>
        <v>-1.5673404920634872</v>
      </c>
      <c r="L312" s="4">
        <f t="shared" si="115"/>
        <v>-1.000052634920648</v>
      </c>
      <c r="M312" s="4">
        <f t="shared" si="116"/>
        <v>-1.4234487887003648E-2</v>
      </c>
      <c r="N312" s="4">
        <f t="shared" si="117"/>
        <v>-4.8055662352911623E-3</v>
      </c>
      <c r="O312" s="4">
        <f t="shared" si="118"/>
        <v>-1.449045611566469E-2</v>
      </c>
      <c r="P312" s="4">
        <f t="shared" si="119"/>
        <v>-5.1185539523515532E-3</v>
      </c>
      <c r="S312" s="4">
        <v>-0.65987339429039737</v>
      </c>
      <c r="T312" s="4">
        <v>0.72685015507504203</v>
      </c>
      <c r="U312" s="4">
        <f t="shared" si="120"/>
        <v>0.17389477273536835</v>
      </c>
      <c r="W312" s="4">
        <f t="shared" si="121"/>
        <v>-1.0937706694997456</v>
      </c>
      <c r="X312" s="4">
        <f t="shared" si="122"/>
        <v>0.37238177329618005</v>
      </c>
      <c r="Y312" s="3">
        <f t="shared" si="109"/>
        <v>215.62650140907317</v>
      </c>
      <c r="AA312" s="3"/>
    </row>
    <row r="313" spans="4:27" x14ac:dyDescent="0.25">
      <c r="D313" s="1">
        <v>42290</v>
      </c>
      <c r="E313" s="3">
        <v>108.890788</v>
      </c>
      <c r="F313" s="3">
        <v>194.880392</v>
      </c>
      <c r="G313" s="3">
        <f t="shared" si="110"/>
        <v>0.18507499999999766</v>
      </c>
      <c r="H313" s="3">
        <f t="shared" si="111"/>
        <v>-1.2359500000000025</v>
      </c>
      <c r="I313" s="4">
        <f t="shared" si="112"/>
        <v>0.20074560377796999</v>
      </c>
      <c r="J313" s="4">
        <f t="shared" si="113"/>
        <v>-1.4319062108126133</v>
      </c>
      <c r="K313" s="4">
        <f t="shared" si="114"/>
        <v>0.15675950793650562</v>
      </c>
      <c r="L313" s="4">
        <f t="shared" si="115"/>
        <v>-1.3017386349206375</v>
      </c>
      <c r="M313" s="4">
        <f t="shared" si="116"/>
        <v>1.7010847488685308E-3</v>
      </c>
      <c r="N313" s="4">
        <f t="shared" si="117"/>
        <v>-6.3220687495139727E-3</v>
      </c>
      <c r="O313" s="4">
        <f t="shared" si="118"/>
        <v>1.4451165202074882E-3</v>
      </c>
      <c r="P313" s="4">
        <f t="shared" si="119"/>
        <v>-6.6350564665743636E-3</v>
      </c>
      <c r="S313" s="4">
        <v>0.13948876922571887</v>
      </c>
      <c r="T313" s="4">
        <v>-0.26000325936514629</v>
      </c>
      <c r="U313" s="4">
        <f t="shared" si="120"/>
        <v>-0.12106704262413051</v>
      </c>
      <c r="W313" s="4">
        <f t="shared" si="121"/>
        <v>0.26551010999468033</v>
      </c>
      <c r="X313" s="4">
        <f t="shared" si="122"/>
        <v>-0.14766415591433998</v>
      </c>
      <c r="Y313" s="3">
        <f t="shared" si="109"/>
        <v>-57.132520781114181</v>
      </c>
      <c r="AA313" s="3"/>
    </row>
    <row r="314" spans="4:27" x14ac:dyDescent="0.25">
      <c r="D314" s="1">
        <v>42289</v>
      </c>
      <c r="E314" s="3">
        <v>108.705713</v>
      </c>
      <c r="F314" s="3">
        <v>196.116342</v>
      </c>
      <c r="G314" s="3">
        <f t="shared" si="110"/>
        <v>-0.5065179999999998</v>
      </c>
      <c r="H314" s="3">
        <f t="shared" si="111"/>
        <v>0.18490800000000718</v>
      </c>
      <c r="I314" s="4">
        <f t="shared" si="112"/>
        <v>-0.54685760797315797</v>
      </c>
      <c r="J314" s="4">
        <f t="shared" si="113"/>
        <v>0.21442678755853758</v>
      </c>
      <c r="K314" s="4">
        <f t="shared" si="114"/>
        <v>-0.53483349206349184</v>
      </c>
      <c r="L314" s="4">
        <f t="shared" si="115"/>
        <v>0.11911936507937229</v>
      </c>
      <c r="M314" s="4">
        <f t="shared" si="116"/>
        <v>-4.648712289396166E-3</v>
      </c>
      <c r="N314" s="4">
        <f t="shared" si="117"/>
        <v>9.4329326694588499E-4</v>
      </c>
      <c r="O314" s="4">
        <f t="shared" si="118"/>
        <v>-4.9046805180572089E-3</v>
      </c>
      <c r="P314" s="4">
        <f t="shared" si="119"/>
        <v>6.303055498854944E-4</v>
      </c>
      <c r="S314" s="4">
        <v>0.81962268719987552</v>
      </c>
      <c r="T314" s="4">
        <v>0.45227559915016702</v>
      </c>
      <c r="U314" s="4">
        <f t="shared" si="120"/>
        <v>0.85817553522564594</v>
      </c>
      <c r="W314" s="4">
        <f t="shared" si="121"/>
        <v>1.4220484156332489</v>
      </c>
      <c r="X314" s="4">
        <f t="shared" si="122"/>
        <v>1.5788342916888447</v>
      </c>
      <c r="Y314" s="3">
        <f t="shared" si="109"/>
        <v>-64.813358960168898</v>
      </c>
      <c r="AA314" s="3"/>
    </row>
    <row r="315" spans="4:27" x14ac:dyDescent="0.25">
      <c r="D315" s="1">
        <v>42286</v>
      </c>
      <c r="E315" s="3">
        <v>109.212231</v>
      </c>
      <c r="F315" s="3">
        <v>195.931434</v>
      </c>
      <c r="G315" s="3">
        <f t="shared" si="110"/>
        <v>2.5520539999999983</v>
      </c>
      <c r="H315" s="3">
        <f t="shared" si="111"/>
        <v>0.11677699999998481</v>
      </c>
      <c r="I315" s="4">
        <f t="shared" si="112"/>
        <v>2.8212281829254398</v>
      </c>
      <c r="J315" s="4">
        <f t="shared" si="113"/>
        <v>0.13550008663261376</v>
      </c>
      <c r="K315" s="4">
        <f t="shared" si="114"/>
        <v>2.523738507936506</v>
      </c>
      <c r="L315" s="4">
        <f t="shared" si="115"/>
        <v>5.0988365079349923E-2</v>
      </c>
      <c r="M315" s="4">
        <f t="shared" si="116"/>
        <v>2.3645197883366543E-2</v>
      </c>
      <c r="N315" s="4">
        <f t="shared" si="117"/>
        <v>5.961872046296087E-4</v>
      </c>
      <c r="O315" s="4">
        <f t="shared" si="118"/>
        <v>2.3389229654705499E-2</v>
      </c>
      <c r="P315" s="4">
        <f t="shared" si="119"/>
        <v>2.8319948756921811E-4</v>
      </c>
      <c r="S315" s="4">
        <v>1.1137859950425273</v>
      </c>
      <c r="T315" s="4">
        <v>0.33747354125238077</v>
      </c>
      <c r="U315" s="4">
        <f t="shared" si="120"/>
        <v>0.94650137596163453</v>
      </c>
      <c r="W315" s="4">
        <f t="shared" si="121"/>
        <v>1.9222603954250057</v>
      </c>
      <c r="X315" s="4">
        <f t="shared" si="122"/>
        <v>1.7345612079436283</v>
      </c>
      <c r="Y315" s="3">
        <f t="shared" si="109"/>
        <v>-125.13590328322107</v>
      </c>
      <c r="AA315" s="3"/>
    </row>
    <row r="316" spans="4:27" x14ac:dyDescent="0.25">
      <c r="D316" s="1">
        <v>42285</v>
      </c>
      <c r="E316" s="3">
        <v>106.660177</v>
      </c>
      <c r="F316" s="3">
        <v>195.81465700000001</v>
      </c>
      <c r="G316" s="3">
        <f t="shared" si="110"/>
        <v>-1.2468029999999999</v>
      </c>
      <c r="H316" s="3">
        <f t="shared" si="111"/>
        <v>1.7517370000000199</v>
      </c>
      <c r="I316" s="4">
        <f t="shared" si="112"/>
        <v>-1.3623821806264245</v>
      </c>
      <c r="J316" s="4">
        <f t="shared" si="113"/>
        <v>2.0509439723578491</v>
      </c>
      <c r="K316" s="4">
        <f t="shared" si="114"/>
        <v>-1.2751184920634919</v>
      </c>
      <c r="L316" s="4">
        <f t="shared" si="115"/>
        <v>1.6859483650793849</v>
      </c>
      <c r="M316" s="4">
        <f t="shared" si="116"/>
        <v>-1.1621695049355235E-2</v>
      </c>
      <c r="N316" s="4">
        <f t="shared" si="117"/>
        <v>8.9861479150369159E-3</v>
      </c>
      <c r="O316" s="4">
        <f t="shared" si="118"/>
        <v>-1.1877663278016277E-2</v>
      </c>
      <c r="P316" s="4">
        <f t="shared" si="119"/>
        <v>8.673160197976525E-3</v>
      </c>
      <c r="S316" s="4">
        <v>0.40563983658758851</v>
      </c>
      <c r="T316" s="4">
        <v>-0.19755479935739939</v>
      </c>
      <c r="U316" s="4">
        <f t="shared" si="120"/>
        <v>9.0686982206427486E-2</v>
      </c>
      <c r="W316" s="4">
        <f t="shared" si="121"/>
        <v>0.71808848662886748</v>
      </c>
      <c r="X316" s="4">
        <f t="shared" si="122"/>
        <v>0.22567846971623126</v>
      </c>
      <c r="Y316" s="3">
        <f t="shared" si="109"/>
        <v>-91.178224615091949</v>
      </c>
      <c r="AA316" s="3"/>
    </row>
    <row r="317" spans="4:27" x14ac:dyDescent="0.25">
      <c r="D317" s="1">
        <v>42284</v>
      </c>
      <c r="E317" s="3">
        <v>107.90698</v>
      </c>
      <c r="F317" s="3">
        <v>194.06291999999999</v>
      </c>
      <c r="G317" s="3">
        <f t="shared" si="110"/>
        <v>-0.51625299999999186</v>
      </c>
      <c r="H317" s="3">
        <f t="shared" si="111"/>
        <v>1.5765710000000013</v>
      </c>
      <c r="I317" s="4">
        <f t="shared" si="112"/>
        <v>-0.56142389053286246</v>
      </c>
      <c r="J317" s="4">
        <f t="shared" si="113"/>
        <v>1.8609772059523932</v>
      </c>
      <c r="K317" s="4">
        <f t="shared" si="114"/>
        <v>-0.5445684920634839</v>
      </c>
      <c r="L317" s="4">
        <f t="shared" si="115"/>
        <v>1.5107823650793664</v>
      </c>
      <c r="M317" s="4">
        <f t="shared" si="116"/>
        <v>-4.7728329100018762E-3</v>
      </c>
      <c r="N317" s="4">
        <f t="shared" si="117"/>
        <v>8.157199449075803E-3</v>
      </c>
      <c r="O317" s="4">
        <f t="shared" si="118"/>
        <v>-5.0288011386629191E-3</v>
      </c>
      <c r="P317" s="4">
        <f t="shared" si="119"/>
        <v>7.8442117320154121E-3</v>
      </c>
      <c r="S317" s="4">
        <v>-0.32451764291876006</v>
      </c>
      <c r="T317" s="4">
        <v>1.0451165474008584</v>
      </c>
      <c r="U317" s="4">
        <f t="shared" si="120"/>
        <v>0.63062235027323121</v>
      </c>
      <c r="W317" s="4">
        <f t="shared" si="121"/>
        <v>-0.52351272142864247</v>
      </c>
      <c r="X317" s="4">
        <f t="shared" si="122"/>
        <v>1.1776362336650914</v>
      </c>
      <c r="Y317" s="3">
        <f t="shared" si="109"/>
        <v>202.36730528054159</v>
      </c>
      <c r="AA317" s="3"/>
    </row>
    <row r="318" spans="4:27" x14ac:dyDescent="0.25">
      <c r="D318" s="1">
        <v>42283</v>
      </c>
      <c r="E318" s="3">
        <v>108.423233</v>
      </c>
      <c r="F318" s="3">
        <v>192.48634899999999</v>
      </c>
      <c r="G318" s="3">
        <f t="shared" si="110"/>
        <v>0.51625299999999186</v>
      </c>
      <c r="H318" s="3">
        <f t="shared" si="111"/>
        <v>-0.6617740000000083</v>
      </c>
      <c r="I318" s="4">
        <f t="shared" si="112"/>
        <v>0.56410987773924393</v>
      </c>
      <c r="J318" s="4">
        <f t="shared" si="113"/>
        <v>-0.77847857300906764</v>
      </c>
      <c r="K318" s="4">
        <f t="shared" si="114"/>
        <v>0.48793750793649981</v>
      </c>
      <c r="L318" s="4">
        <f t="shared" si="115"/>
        <v>-0.72756263492064321</v>
      </c>
      <c r="M318" s="4">
        <f t="shared" si="116"/>
        <v>4.7728329100019222E-3</v>
      </c>
      <c r="N318" s="4">
        <f t="shared" si="117"/>
        <v>-3.4321343016052723E-3</v>
      </c>
      <c r="O318" s="4">
        <f t="shared" si="118"/>
        <v>4.5168646813408793E-3</v>
      </c>
      <c r="P318" s="4">
        <f t="shared" si="119"/>
        <v>-3.7451220186656628E-3</v>
      </c>
      <c r="S318" s="4">
        <v>-1.2482254467469969</v>
      </c>
      <c r="T318" s="4">
        <v>0.9695050585826529</v>
      </c>
      <c r="U318" s="4">
        <f t="shared" si="120"/>
        <v>7.572839700277334E-3</v>
      </c>
      <c r="W318" s="4">
        <f t="shared" si="121"/>
        <v>-2.0942378832124797</v>
      </c>
      <c r="X318" s="4">
        <f t="shared" si="122"/>
        <v>7.9140276569209439E-2</v>
      </c>
      <c r="Y318" s="3">
        <f t="shared" si="109"/>
        <v>354.98159247970852</v>
      </c>
      <c r="AA318" s="3"/>
    </row>
    <row r="319" spans="4:27" x14ac:dyDescent="0.25">
      <c r="D319" s="1">
        <v>42282</v>
      </c>
      <c r="E319" s="3">
        <v>107.90698</v>
      </c>
      <c r="F319" s="3">
        <v>193.148123</v>
      </c>
      <c r="G319" s="3">
        <f t="shared" si="110"/>
        <v>0.38962800000000186</v>
      </c>
      <c r="H319" s="3">
        <f t="shared" si="111"/>
        <v>3.376954000000012</v>
      </c>
      <c r="I319" s="4">
        <f t="shared" si="112"/>
        <v>0.42728953219115939</v>
      </c>
      <c r="J319" s="4">
        <f t="shared" si="113"/>
        <v>4.0431733967907464</v>
      </c>
      <c r="K319" s="4">
        <f t="shared" si="114"/>
        <v>0.36131250793650982</v>
      </c>
      <c r="L319" s="4">
        <f t="shared" si="115"/>
        <v>3.3111653650793773</v>
      </c>
      <c r="M319" s="4">
        <f t="shared" si="116"/>
        <v>3.6173112037764681E-3</v>
      </c>
      <c r="N319" s="4">
        <f t="shared" si="117"/>
        <v>1.7638398593750555E-2</v>
      </c>
      <c r="O319" s="4">
        <f t="shared" si="118"/>
        <v>3.3613429751154257E-3</v>
      </c>
      <c r="P319" s="4">
        <f t="shared" si="119"/>
        <v>1.7325410876690164E-2</v>
      </c>
      <c r="S319" s="4">
        <v>1.6869554740400443</v>
      </c>
      <c r="T319" s="4">
        <v>0.27602747947464529</v>
      </c>
      <c r="U319" s="4">
        <f t="shared" si="120"/>
        <v>1.2472104760653053</v>
      </c>
      <c r="W319" s="4">
        <f t="shared" si="121"/>
        <v>2.896910299752697</v>
      </c>
      <c r="X319" s="4">
        <f t="shared" si="122"/>
        <v>2.2647401505802334</v>
      </c>
      <c r="Y319" s="3">
        <f t="shared" si="109"/>
        <v>-216.41358693162465</v>
      </c>
      <c r="AA319" s="3"/>
    </row>
    <row r="320" spans="4:27" x14ac:dyDescent="0.25">
      <c r="D320" s="1">
        <v>42279</v>
      </c>
      <c r="E320" s="3">
        <v>107.517352</v>
      </c>
      <c r="F320" s="3">
        <v>189.77116899999999</v>
      </c>
      <c r="G320" s="3">
        <f t="shared" si="110"/>
        <v>0.7792479999999955</v>
      </c>
      <c r="H320" s="3">
        <f t="shared" si="111"/>
        <v>2.7930379999999957</v>
      </c>
      <c r="I320" s="4">
        <f t="shared" si="112"/>
        <v>0.86080913332497888</v>
      </c>
      <c r="J320" s="4">
        <f t="shared" si="113"/>
        <v>3.394012872720741</v>
      </c>
      <c r="K320" s="4">
        <f t="shared" si="114"/>
        <v>0.75093250793650346</v>
      </c>
      <c r="L320" s="4">
        <f t="shared" si="115"/>
        <v>2.727249365079361</v>
      </c>
      <c r="M320" s="4">
        <f t="shared" si="116"/>
        <v>7.2740405354199053E-3</v>
      </c>
      <c r="N320" s="4">
        <f t="shared" si="117"/>
        <v>1.4827309143697936E-2</v>
      </c>
      <c r="O320" s="4">
        <f t="shared" si="118"/>
        <v>7.0180723067588624E-3</v>
      </c>
      <c r="P320" s="4">
        <f t="shared" si="119"/>
        <v>1.4514321426637545E-2</v>
      </c>
      <c r="S320" s="4">
        <v>-0.34183329763690612</v>
      </c>
      <c r="T320" s="4">
        <v>-0.38221251110665827</v>
      </c>
      <c r="U320" s="4">
        <f t="shared" si="120"/>
        <v>-0.51136601226697809</v>
      </c>
      <c r="W320" s="4">
        <f t="shared" si="121"/>
        <v>-0.55295724321987605</v>
      </c>
      <c r="X320" s="4">
        <f t="shared" si="122"/>
        <v>-0.83579861864281102</v>
      </c>
      <c r="Y320" s="3">
        <f t="shared" si="109"/>
        <v>5.82461951750156</v>
      </c>
      <c r="AA320" s="3"/>
    </row>
    <row r="321" spans="4:27" x14ac:dyDescent="0.25">
      <c r="D321" s="1">
        <v>42278</v>
      </c>
      <c r="E321" s="3">
        <v>106.73810400000001</v>
      </c>
      <c r="F321" s="3">
        <v>186.97813099999999</v>
      </c>
      <c r="G321" s="3">
        <f t="shared" si="110"/>
        <v>-0.70132799999998952</v>
      </c>
      <c r="H321" s="3">
        <f t="shared" si="111"/>
        <v>0.48659299999999917</v>
      </c>
      <c r="I321" s="4">
        <f t="shared" si="112"/>
        <v>-0.76967632596299251</v>
      </c>
      <c r="J321" s="4">
        <f t="shared" si="113"/>
        <v>0.59283547190302444</v>
      </c>
      <c r="K321" s="4">
        <f t="shared" si="114"/>
        <v>-0.72964349206348156</v>
      </c>
      <c r="L321" s="4">
        <f t="shared" si="115"/>
        <v>0.42080436507936425</v>
      </c>
      <c r="M321" s="4">
        <f t="shared" si="116"/>
        <v>-6.5490575694214445E-3</v>
      </c>
      <c r="N321" s="4">
        <f t="shared" si="117"/>
        <v>2.6057980913997115E-3</v>
      </c>
      <c r="O321" s="4">
        <f t="shared" si="118"/>
        <v>-6.8050257980824874E-3</v>
      </c>
      <c r="P321" s="4">
        <f t="shared" si="119"/>
        <v>2.292810374339321E-3</v>
      </c>
      <c r="S321" s="4">
        <v>0.8211915519741797</v>
      </c>
      <c r="T321" s="4">
        <v>0.1892821590493039</v>
      </c>
      <c r="U321" s="4">
        <f t="shared" si="120"/>
        <v>0.65065914919488166</v>
      </c>
      <c r="W321" s="4">
        <f t="shared" si="121"/>
        <v>1.4247162023145166</v>
      </c>
      <c r="X321" s="4">
        <f t="shared" si="122"/>
        <v>1.2129630291044067</v>
      </c>
      <c r="Y321" s="3">
        <f t="shared" si="109"/>
        <v>-101.80859760441717</v>
      </c>
      <c r="AA321" s="3"/>
    </row>
    <row r="322" spans="4:27" x14ac:dyDescent="0.25">
      <c r="D322" s="1">
        <v>42277</v>
      </c>
      <c r="E322" s="3">
        <v>107.439432</v>
      </c>
      <c r="F322" s="3">
        <v>186.49153799999999</v>
      </c>
      <c r="G322" s="3">
        <f t="shared" si="110"/>
        <v>1.2078460000000035</v>
      </c>
      <c r="H322" s="3">
        <f t="shared" si="111"/>
        <v>3.4158899999999903</v>
      </c>
      <c r="I322" s="4">
        <f t="shared" si="112"/>
        <v>1.3406288285236034</v>
      </c>
      <c r="J322" s="4">
        <f t="shared" si="113"/>
        <v>4.239364433718829</v>
      </c>
      <c r="K322" s="4">
        <f t="shared" si="114"/>
        <v>1.1795305079365115</v>
      </c>
      <c r="L322" s="4">
        <f t="shared" si="115"/>
        <v>3.3501013650793556</v>
      </c>
      <c r="M322" s="4">
        <f t="shared" si="116"/>
        <v>1.1305780979752388E-2</v>
      </c>
      <c r="N322" s="4">
        <f t="shared" si="117"/>
        <v>1.8486420926497157E-2</v>
      </c>
      <c r="O322" s="4">
        <f t="shared" si="118"/>
        <v>1.1049812751091346E-2</v>
      </c>
      <c r="P322" s="4">
        <f t="shared" si="119"/>
        <v>1.8173433209436766E-2</v>
      </c>
      <c r="S322" s="4">
        <v>0.12864185696788041</v>
      </c>
      <c r="T322" s="4">
        <v>-0.48241681299427874</v>
      </c>
      <c r="U322" s="4">
        <f t="shared" si="120"/>
        <v>-0.3039850112170619</v>
      </c>
      <c r="W322" s="4">
        <f t="shared" si="121"/>
        <v>0.24706540492621851</v>
      </c>
      <c r="X322" s="4">
        <f t="shared" si="122"/>
        <v>-0.47016605274553713</v>
      </c>
      <c r="Y322" s="3">
        <f t="shared" ref="Y322:Y385" si="123">(B$4*EXP(-B$8*B$7)*NORMSDIST((LN(B$4/(B$5+W322))-B$8*B$7+B$9*B$7+0.5*B$6*B$6*B$7)/(B$6*SQRT(B$7)))-(B$5+W322)*EXP(-B$9*B$7)*NORMSDIST((LN(B$4/(B$5+W322))-B$8*B$7+B$9*B$7-0.5*B$6*B$6*B$7)/(B$6*SQRT(B$7))))*400+100*X322-400*$B$13</f>
        <v>-86.451330733042141</v>
      </c>
      <c r="AA322" s="3"/>
    </row>
    <row r="323" spans="4:27" x14ac:dyDescent="0.25">
      <c r="D323" s="1">
        <v>42276</v>
      </c>
      <c r="E323" s="3">
        <v>106.23158599999999</v>
      </c>
      <c r="F323" s="3">
        <v>183.075648</v>
      </c>
      <c r="G323" s="3">
        <f t="shared" ref="G323:G386" si="124">E323-E324</f>
        <v>-3.2923460000000091</v>
      </c>
      <c r="H323" s="3">
        <f t="shared" ref="H323:H386" si="125">F323-F324</f>
        <v>0.10705100000001266</v>
      </c>
      <c r="I323" s="4">
        <f t="shared" ref="I323:I386" si="126">G323/E324*E$2</f>
        <v>-3.5444356584037271</v>
      </c>
      <c r="J323" s="4">
        <f t="shared" ref="J323:J386" si="127">H323/F324*F$2</f>
        <v>0.13293569966741275</v>
      </c>
      <c r="K323" s="4">
        <f t="shared" ref="K323:K386" si="128">G323-B$20</f>
        <v>-3.3206614920635014</v>
      </c>
      <c r="L323" s="4">
        <f t="shared" ref="L323:L386" si="129">H323-C$20</f>
        <v>4.1262365079377777E-2</v>
      </c>
      <c r="M323" s="4">
        <f t="shared" ref="M323:M386" si="130">LN(E323/E324)</f>
        <v>-3.0521597904437949E-2</v>
      </c>
      <c r="N323" s="4">
        <f t="shared" ref="N323:N386" si="131">LN(F323/F324)</f>
        <v>5.849074504751258E-4</v>
      </c>
      <c r="O323" s="4">
        <f t="shared" ref="O323:O386" si="132">M323-AVERAGE(M$2:M$505)</f>
        <v>-3.0777566133098993E-2</v>
      </c>
      <c r="P323" s="4">
        <f t="shared" ref="P323:P386" si="133">N323-AVERAGE(N$2:N$505)</f>
        <v>2.7191973341473522E-4</v>
      </c>
      <c r="S323" s="4">
        <v>1.5468636335915389</v>
      </c>
      <c r="T323" s="4">
        <v>1.5140522073275542</v>
      </c>
      <c r="U323" s="4">
        <f t="shared" ref="U323:U386" si="134">$B$19*S323+SQRT(1-$B$19^2)*T323</f>
        <v>2.1431796854383625</v>
      </c>
      <c r="W323" s="4">
        <f t="shared" ref="W323:W386" si="135">S323*SQRT($B$16)+$B$20</f>
        <v>2.6586901852953857</v>
      </c>
      <c r="X323" s="4">
        <f t="shared" ref="X323:X386" si="136">U323*SQRT($C$17)+$C$20</f>
        <v>3.8444196744010828</v>
      </c>
      <c r="Y323" s="3">
        <f t="shared" si="123"/>
        <v>-23.611576452804911</v>
      </c>
      <c r="AA323" s="3"/>
    </row>
    <row r="324" spans="4:27" x14ac:dyDescent="0.25">
      <c r="D324" s="1">
        <v>42275</v>
      </c>
      <c r="E324" s="3">
        <v>109.523932</v>
      </c>
      <c r="F324" s="3">
        <v>182.96859699999999</v>
      </c>
      <c r="G324" s="3">
        <f t="shared" si="124"/>
        <v>-2.2111249999999956</v>
      </c>
      <c r="H324" s="3">
        <f t="shared" si="125"/>
        <v>-4.7102289999999982</v>
      </c>
      <c r="I324" s="4">
        <f t="shared" si="126"/>
        <v>-2.3333210238081277</v>
      </c>
      <c r="J324" s="4">
        <f t="shared" si="127"/>
        <v>-5.7023543191899693</v>
      </c>
      <c r="K324" s="4">
        <f t="shared" si="128"/>
        <v>-2.2394404920634878</v>
      </c>
      <c r="L324" s="4">
        <f t="shared" si="129"/>
        <v>-4.7760176349206329</v>
      </c>
      <c r="M324" s="4">
        <f t="shared" si="130"/>
        <v>-1.9987423977745482E-2</v>
      </c>
      <c r="N324" s="4">
        <f t="shared" si="131"/>
        <v>-2.5417592534009822E-2</v>
      </c>
      <c r="O324" s="4">
        <f t="shared" si="132"/>
        <v>-2.0243392206406526E-2</v>
      </c>
      <c r="P324" s="4">
        <f t="shared" si="133"/>
        <v>-2.5730580251070213E-2</v>
      </c>
      <c r="S324" s="4">
        <v>0.28853603365861175</v>
      </c>
      <c r="T324" s="4">
        <v>0.87744993931051884</v>
      </c>
      <c r="U324" s="4">
        <f t="shared" si="134"/>
        <v>0.87144556780252269</v>
      </c>
      <c r="W324" s="4">
        <f t="shared" si="135"/>
        <v>0.51895853553523918</v>
      </c>
      <c r="X324" s="4">
        <f t="shared" si="136"/>
        <v>1.6022306300036357</v>
      </c>
      <c r="Y324" s="3">
        <f t="shared" si="123"/>
        <v>77.754061251015628</v>
      </c>
      <c r="AA324" s="3"/>
    </row>
    <row r="325" spans="4:27" x14ac:dyDescent="0.25">
      <c r="D325" s="1">
        <v>42272</v>
      </c>
      <c r="E325" s="3">
        <v>111.735057</v>
      </c>
      <c r="F325" s="3">
        <v>187.67882599999999</v>
      </c>
      <c r="G325" s="3">
        <f t="shared" si="124"/>
        <v>-0.28248000000000673</v>
      </c>
      <c r="H325" s="3">
        <f t="shared" si="125"/>
        <v>-4.864700000001676E-2</v>
      </c>
      <c r="I325" s="4">
        <f t="shared" si="126"/>
        <v>-0.29733931687786341</v>
      </c>
      <c r="J325" s="4">
        <f t="shared" si="127"/>
        <v>-5.887835719459563E-2</v>
      </c>
      <c r="K325" s="4">
        <f t="shared" si="128"/>
        <v>-0.31079549206349877</v>
      </c>
      <c r="L325" s="4">
        <f t="shared" si="129"/>
        <v>-0.11443563492065165</v>
      </c>
      <c r="M325" s="4">
        <f t="shared" si="130"/>
        <v>-2.5249329630049598E-3</v>
      </c>
      <c r="N325" s="4">
        <f t="shared" si="131"/>
        <v>-2.5916986689839612E-4</v>
      </c>
      <c r="O325" s="4">
        <f t="shared" si="132"/>
        <v>-2.7809011916660022E-3</v>
      </c>
      <c r="P325" s="4">
        <f t="shared" si="133"/>
        <v>-5.7215758395878671E-4</v>
      </c>
      <c r="S325" s="4">
        <v>0.43473325605682628</v>
      </c>
      <c r="T325" s="4">
        <v>0.11083132494600913</v>
      </c>
      <c r="U325" s="4">
        <f t="shared" si="134"/>
        <v>0.35287819933004955</v>
      </c>
      <c r="W325" s="4">
        <f t="shared" si="135"/>
        <v>0.7675605878856423</v>
      </c>
      <c r="X325" s="4">
        <f t="shared" si="136"/>
        <v>0.68794669577019141</v>
      </c>
      <c r="Y325" s="3">
        <f t="shared" si="123"/>
        <v>-52.690473043367092</v>
      </c>
      <c r="AA325" s="3"/>
    </row>
    <row r="326" spans="4:27" x14ac:dyDescent="0.25">
      <c r="D326" s="1">
        <v>42271</v>
      </c>
      <c r="E326" s="3">
        <v>112.017537</v>
      </c>
      <c r="F326" s="3">
        <v>187.727473</v>
      </c>
      <c r="G326" s="3">
        <f t="shared" si="124"/>
        <v>0.66236500000000831</v>
      </c>
      <c r="H326" s="3">
        <f t="shared" si="125"/>
        <v>-0.68124199999999746</v>
      </c>
      <c r="I326" s="4">
        <f t="shared" si="126"/>
        <v>0.70135457919692301</v>
      </c>
      <c r="J326" s="4">
        <f t="shared" si="127"/>
        <v>-0.82153842824464585</v>
      </c>
      <c r="K326" s="4">
        <f t="shared" si="128"/>
        <v>0.63404950793651627</v>
      </c>
      <c r="L326" s="4">
        <f t="shared" si="129"/>
        <v>-0.74703063492063237</v>
      </c>
      <c r="M326" s="4">
        <f t="shared" si="130"/>
        <v>5.9305986336109324E-3</v>
      </c>
      <c r="N326" s="4">
        <f t="shared" si="131"/>
        <v>-3.6223196098988776E-3</v>
      </c>
      <c r="O326" s="4">
        <f t="shared" si="132"/>
        <v>5.6746304049498895E-3</v>
      </c>
      <c r="P326" s="4">
        <f t="shared" si="133"/>
        <v>-3.9353073269592686E-3</v>
      </c>
      <c r="S326" s="4">
        <v>0.73333071738296396</v>
      </c>
      <c r="T326" s="4">
        <v>-1.4124498631852132</v>
      </c>
      <c r="U326" s="4">
        <f t="shared" si="134"/>
        <v>-0.67258296641547832</v>
      </c>
      <c r="W326" s="4">
        <f t="shared" si="135"/>
        <v>1.2753126538592603</v>
      </c>
      <c r="X326" s="4">
        <f t="shared" si="136"/>
        <v>-1.1200395486847634</v>
      </c>
      <c r="Y326" s="3">
        <f t="shared" si="123"/>
        <v>-312.19804814261124</v>
      </c>
      <c r="AA326" s="3"/>
    </row>
    <row r="327" spans="4:27" x14ac:dyDescent="0.25">
      <c r="D327" s="1">
        <v>42270</v>
      </c>
      <c r="E327" s="3">
        <v>111.355172</v>
      </c>
      <c r="F327" s="3">
        <v>188.408715</v>
      </c>
      <c r="G327" s="3">
        <f t="shared" si="124"/>
        <v>0.89613799999999344</v>
      </c>
      <c r="H327" s="3">
        <f t="shared" si="125"/>
        <v>-0.30168499999999199</v>
      </c>
      <c r="I327" s="4">
        <f t="shared" si="126"/>
        <v>0.95658663070103644</v>
      </c>
      <c r="J327" s="4">
        <f t="shared" si="127"/>
        <v>-0.36323303305908511</v>
      </c>
      <c r="K327" s="4">
        <f t="shared" si="128"/>
        <v>0.8678225079365014</v>
      </c>
      <c r="L327" s="4">
        <f t="shared" si="129"/>
        <v>-0.3674736349206269</v>
      </c>
      <c r="M327" s="4">
        <f t="shared" si="130"/>
        <v>8.080121573548418E-3</v>
      </c>
      <c r="N327" s="4">
        <f t="shared" si="131"/>
        <v>-1.5999457590745491E-3</v>
      </c>
      <c r="O327" s="4">
        <f t="shared" si="132"/>
        <v>7.824153344887376E-3</v>
      </c>
      <c r="P327" s="4">
        <f t="shared" si="133"/>
        <v>-1.9129334761349395E-3</v>
      </c>
      <c r="S327" s="4">
        <v>0.17475073459184531</v>
      </c>
      <c r="T327" s="4">
        <v>-1.4819779992357234</v>
      </c>
      <c r="U327" s="4">
        <f t="shared" si="134"/>
        <v>-1.0682201854185163</v>
      </c>
      <c r="W327" s="4">
        <f t="shared" si="135"/>
        <v>0.32547155670431988</v>
      </c>
      <c r="X327" s="4">
        <f t="shared" si="136"/>
        <v>-1.8175858562837106</v>
      </c>
      <c r="Y327" s="3">
        <f t="shared" si="123"/>
        <v>-233.64214365409589</v>
      </c>
      <c r="AA327" s="3"/>
    </row>
    <row r="328" spans="4:27" x14ac:dyDescent="0.25">
      <c r="D328" s="1">
        <v>42269</v>
      </c>
      <c r="E328" s="3">
        <v>110.459034</v>
      </c>
      <c r="F328" s="3">
        <v>188.71039999999999</v>
      </c>
      <c r="G328" s="3">
        <f t="shared" si="124"/>
        <v>-1.7630559999999917</v>
      </c>
      <c r="H328" s="3">
        <f t="shared" si="125"/>
        <v>-2.4816260000000057</v>
      </c>
      <c r="I328" s="4">
        <f t="shared" si="126"/>
        <v>-1.8524155093905581</v>
      </c>
      <c r="J328" s="4">
        <f t="shared" si="127"/>
        <v>-2.9491306338862859</v>
      </c>
      <c r="K328" s="4">
        <f t="shared" si="128"/>
        <v>-1.7913714920634838</v>
      </c>
      <c r="L328" s="4">
        <f t="shared" si="129"/>
        <v>-2.5474146349206404</v>
      </c>
      <c r="M328" s="4">
        <f t="shared" si="130"/>
        <v>-1.5835135092916466E-2</v>
      </c>
      <c r="N328" s="4">
        <f t="shared" si="131"/>
        <v>-1.3064729933447695E-2</v>
      </c>
      <c r="O328" s="4">
        <f t="shared" si="132"/>
        <v>-1.609110332157751E-2</v>
      </c>
      <c r="P328" s="4">
        <f t="shared" si="133"/>
        <v>-1.3377717650508086E-2</v>
      </c>
      <c r="S328" s="4">
        <v>-1.3066657779894044</v>
      </c>
      <c r="T328" s="4">
        <v>0.18966559941621919</v>
      </c>
      <c r="U328" s="4">
        <f t="shared" si="134"/>
        <v>-0.64622620547270104</v>
      </c>
      <c r="W328" s="4">
        <f t="shared" si="135"/>
        <v>-2.1936131384230557</v>
      </c>
      <c r="X328" s="4">
        <f t="shared" si="136"/>
        <v>-1.0735700549343252</v>
      </c>
      <c r="Y328" s="3">
        <f t="shared" si="123"/>
        <v>256.75576685334545</v>
      </c>
      <c r="AA328" s="3"/>
    </row>
    <row r="329" spans="4:27" x14ac:dyDescent="0.25">
      <c r="D329" s="1">
        <v>42268</v>
      </c>
      <c r="E329" s="3">
        <v>112.22208999999999</v>
      </c>
      <c r="F329" s="3">
        <v>191.192026</v>
      </c>
      <c r="G329" s="3">
        <f t="shared" si="124"/>
        <v>1.7143569999999926</v>
      </c>
      <c r="H329" s="3">
        <f t="shared" si="125"/>
        <v>0.98292699999998945</v>
      </c>
      <c r="I329" s="4">
        <f t="shared" si="126"/>
        <v>1.8291918152680511</v>
      </c>
      <c r="J329" s="4">
        <f t="shared" si="127"/>
        <v>1.1741333707200126</v>
      </c>
      <c r="K329" s="4">
        <f t="shared" si="128"/>
        <v>1.6860415079365005</v>
      </c>
      <c r="L329" s="4">
        <f t="shared" si="129"/>
        <v>0.91713836507935453</v>
      </c>
      <c r="M329" s="4">
        <f t="shared" si="130"/>
        <v>1.5394353870928853E-2</v>
      </c>
      <c r="N329" s="4">
        <f t="shared" si="131"/>
        <v>5.154306642946558E-3</v>
      </c>
      <c r="O329" s="4">
        <f t="shared" si="132"/>
        <v>1.5138385642267811E-2</v>
      </c>
      <c r="P329" s="4">
        <f t="shared" si="133"/>
        <v>4.8413189258861671E-3</v>
      </c>
      <c r="S329" s="4">
        <v>0.81032806019193526</v>
      </c>
      <c r="T329" s="4">
        <v>0.30405886637393525</v>
      </c>
      <c r="U329" s="4">
        <f t="shared" si="134"/>
        <v>0.73501910207620913</v>
      </c>
      <c r="W329" s="4">
        <f t="shared" si="135"/>
        <v>1.4062433044820151</v>
      </c>
      <c r="X329" s="4">
        <f t="shared" si="136"/>
        <v>1.3616977052551338</v>
      </c>
      <c r="Y329" s="3">
        <f t="shared" si="123"/>
        <v>-84.108448194878747</v>
      </c>
      <c r="AA329" s="3"/>
    </row>
    <row r="330" spans="4:27" x14ac:dyDescent="0.25">
      <c r="D330" s="1">
        <v>42265</v>
      </c>
      <c r="E330" s="3">
        <v>110.507733</v>
      </c>
      <c r="F330" s="3">
        <v>190.20909900000001</v>
      </c>
      <c r="G330" s="3">
        <f t="shared" si="124"/>
        <v>-0.4578120000000041</v>
      </c>
      <c r="H330" s="3">
        <f t="shared" si="125"/>
        <v>-3.1599289999999769</v>
      </c>
      <c r="I330" s="4">
        <f t="shared" si="126"/>
        <v>-0.48646284530255296</v>
      </c>
      <c r="J330" s="4">
        <f t="shared" si="127"/>
        <v>-3.712939438313243</v>
      </c>
      <c r="K330" s="4">
        <f t="shared" si="128"/>
        <v>-0.48612749206349615</v>
      </c>
      <c r="L330" s="4">
        <f t="shared" si="129"/>
        <v>-3.2257176349206116</v>
      </c>
      <c r="M330" s="4">
        <f t="shared" si="130"/>
        <v>-4.1342473115582338E-3</v>
      </c>
      <c r="N330" s="4">
        <f t="shared" si="131"/>
        <v>-1.6476437333231685E-2</v>
      </c>
      <c r="O330" s="4">
        <f t="shared" si="132"/>
        <v>-4.3902155402192767E-3</v>
      </c>
      <c r="P330" s="4">
        <f t="shared" si="133"/>
        <v>-1.6789425050292076E-2</v>
      </c>
      <c r="S330" s="4">
        <v>0.34475304836921217</v>
      </c>
      <c r="T330" s="4">
        <v>0.66627966910372471</v>
      </c>
      <c r="U330" s="4">
        <f t="shared" si="134"/>
        <v>0.73832372644561028</v>
      </c>
      <c r="W330" s="4">
        <f t="shared" si="135"/>
        <v>0.61455313716180704</v>
      </c>
      <c r="X330" s="4">
        <f t="shared" si="136"/>
        <v>1.3675240745049377</v>
      </c>
      <c r="Y330" s="3">
        <f t="shared" si="123"/>
        <v>39.243165370428869</v>
      </c>
      <c r="AA330" s="3"/>
    </row>
    <row r="331" spans="4:27" x14ac:dyDescent="0.25">
      <c r="D331" s="1">
        <v>42264</v>
      </c>
      <c r="E331" s="3">
        <v>110.96554500000001</v>
      </c>
      <c r="F331" s="3">
        <v>193.36902799999999</v>
      </c>
      <c r="G331" s="3">
        <f t="shared" si="124"/>
        <v>-2.4254279999999966</v>
      </c>
      <c r="H331" s="3">
        <f t="shared" si="125"/>
        <v>-0.43566500000000019</v>
      </c>
      <c r="I331" s="4">
        <f t="shared" si="126"/>
        <v>-2.5220898773107061</v>
      </c>
      <c r="J331" s="4">
        <f t="shared" si="127"/>
        <v>-0.51075877558679672</v>
      </c>
      <c r="K331" s="4">
        <f t="shared" si="128"/>
        <v>-2.4537434920634889</v>
      </c>
      <c r="L331" s="4">
        <f t="shared" si="129"/>
        <v>-0.50145363492063511</v>
      </c>
      <c r="M331" s="4">
        <f t="shared" si="130"/>
        <v>-2.1622037229348461E-2</v>
      </c>
      <c r="N331" s="4">
        <f t="shared" si="131"/>
        <v>-2.2504894327584311E-3</v>
      </c>
      <c r="O331" s="4">
        <f t="shared" si="132"/>
        <v>-2.1878005458009504E-2</v>
      </c>
      <c r="P331" s="4">
        <f t="shared" si="133"/>
        <v>-2.5634771498188216E-3</v>
      </c>
      <c r="S331" s="4">
        <v>0.46769503364731368</v>
      </c>
      <c r="T331" s="4">
        <v>0.52511592400510743</v>
      </c>
      <c r="U331" s="4">
        <f t="shared" si="134"/>
        <v>0.70137252963135066</v>
      </c>
      <c r="W331" s="4">
        <f t="shared" si="135"/>
        <v>0.82361066478650657</v>
      </c>
      <c r="X331" s="4">
        <f t="shared" si="136"/>
        <v>1.3023755756753803</v>
      </c>
      <c r="Y331" s="3">
        <f t="shared" si="123"/>
        <v>-5.7333268887305167E-4</v>
      </c>
      <c r="AA331" s="3"/>
    </row>
    <row r="332" spans="4:27" x14ac:dyDescent="0.25">
      <c r="D332" s="1">
        <v>42263</v>
      </c>
      <c r="E332" s="3">
        <v>113.390973</v>
      </c>
      <c r="F332" s="3">
        <v>193.80469299999999</v>
      </c>
      <c r="G332" s="3">
        <f t="shared" si="124"/>
        <v>0.12663299999999822</v>
      </c>
      <c r="H332" s="3">
        <f t="shared" si="125"/>
        <v>1.6652079999999785</v>
      </c>
      <c r="I332" s="4">
        <f t="shared" si="126"/>
        <v>0.13182699459098768</v>
      </c>
      <c r="J332" s="4">
        <f t="shared" si="127"/>
        <v>1.9691523652020357</v>
      </c>
      <c r="K332" s="4">
        <f t="shared" si="128"/>
        <v>9.8317507936506163E-2</v>
      </c>
      <c r="L332" s="4">
        <f t="shared" si="129"/>
        <v>1.5994193650793436</v>
      </c>
      <c r="M332" s="4">
        <f t="shared" si="130"/>
        <v>1.1174060868020662E-3</v>
      </c>
      <c r="N332" s="4">
        <f t="shared" si="131"/>
        <v>8.6293222089991045E-3</v>
      </c>
      <c r="O332" s="4">
        <f t="shared" si="132"/>
        <v>8.6143785814102357E-4</v>
      </c>
      <c r="P332" s="4">
        <f t="shared" si="133"/>
        <v>8.3163344919387136E-3</v>
      </c>
      <c r="S332" s="4">
        <v>-2.3212562188982711</v>
      </c>
      <c r="T332" s="4">
        <v>-8.9297913109166155E-2</v>
      </c>
      <c r="U332" s="4">
        <f t="shared" si="134"/>
        <v>-1.4858753255979902</v>
      </c>
      <c r="W332" s="4">
        <f t="shared" si="135"/>
        <v>-3.9188802930754068</v>
      </c>
      <c r="X332" s="4">
        <f t="shared" si="136"/>
        <v>-2.5539518675908415</v>
      </c>
      <c r="Y332" s="3">
        <f t="shared" si="123"/>
        <v>413.11900346035873</v>
      </c>
      <c r="AA332" s="3"/>
    </row>
    <row r="333" spans="4:27" x14ac:dyDescent="0.25">
      <c r="D333" s="1">
        <v>42262</v>
      </c>
      <c r="E333" s="3">
        <v>113.26434</v>
      </c>
      <c r="F333" s="3">
        <v>192.13948500000001</v>
      </c>
      <c r="G333" s="3">
        <f t="shared" si="124"/>
        <v>0.94484500000000082</v>
      </c>
      <c r="H333" s="3">
        <f t="shared" si="125"/>
        <v>2.3719839999999976</v>
      </c>
      <c r="I333" s="4">
        <f t="shared" si="126"/>
        <v>0.99187302907104502</v>
      </c>
      <c r="J333" s="4">
        <f t="shared" si="127"/>
        <v>2.8399936680616742</v>
      </c>
      <c r="K333" s="4">
        <f t="shared" si="128"/>
        <v>0.91652950793650878</v>
      </c>
      <c r="L333" s="4">
        <f t="shared" si="129"/>
        <v>2.306195365079363</v>
      </c>
      <c r="M333" s="4">
        <f t="shared" si="130"/>
        <v>8.3769346789730453E-3</v>
      </c>
      <c r="N333" s="4">
        <f t="shared" si="131"/>
        <v>1.2421948734047603E-2</v>
      </c>
      <c r="O333" s="4">
        <f t="shared" si="132"/>
        <v>8.1209664503120033E-3</v>
      </c>
      <c r="P333" s="4">
        <f t="shared" si="133"/>
        <v>1.2108961016987212E-2</v>
      </c>
      <c r="S333" s="4">
        <v>-1.5118143476252495</v>
      </c>
      <c r="T333" s="4">
        <v>0.37173077924818093</v>
      </c>
      <c r="U333" s="4">
        <f t="shared" si="134"/>
        <v>-0.62696773578785736</v>
      </c>
      <c r="W333" s="4">
        <f t="shared" si="135"/>
        <v>-2.542459406577898</v>
      </c>
      <c r="X333" s="4">
        <f t="shared" si="136"/>
        <v>-1.0396155284807211</v>
      </c>
      <c r="Y333" s="3">
        <f t="shared" si="123"/>
        <v>320.40506223908869</v>
      </c>
      <c r="AA333" s="3"/>
    </row>
    <row r="334" spans="4:27" x14ac:dyDescent="0.25">
      <c r="D334" s="1">
        <v>42261</v>
      </c>
      <c r="E334" s="3">
        <v>112.319495</v>
      </c>
      <c r="F334" s="3">
        <v>189.76750100000001</v>
      </c>
      <c r="G334" s="3">
        <f t="shared" si="124"/>
        <v>1.071470000000005</v>
      </c>
      <c r="H334" s="3">
        <f t="shared" si="125"/>
        <v>-0.70676100000000019</v>
      </c>
      <c r="I334" s="4">
        <f t="shared" si="126"/>
        <v>1.1356339313518653</v>
      </c>
      <c r="J334" s="4">
        <f t="shared" si="127"/>
        <v>-0.84307018739007911</v>
      </c>
      <c r="K334" s="4">
        <f t="shared" si="128"/>
        <v>1.043154507936513</v>
      </c>
      <c r="L334" s="4">
        <f t="shared" si="129"/>
        <v>-0.77254963492063511</v>
      </c>
      <c r="M334" s="4">
        <f t="shared" si="130"/>
        <v>9.5852761049946174E-3</v>
      </c>
      <c r="N334" s="4">
        <f t="shared" si="131"/>
        <v>-3.717433920653E-3</v>
      </c>
      <c r="O334" s="4">
        <f t="shared" si="132"/>
        <v>9.3293078763335754E-3</v>
      </c>
      <c r="P334" s="4">
        <f t="shared" si="133"/>
        <v>-4.030421637713391E-3</v>
      </c>
      <c r="S334" s="4">
        <v>-0.10955649175003891</v>
      </c>
      <c r="T334" s="4">
        <v>0.46612443976809032</v>
      </c>
      <c r="U334" s="4">
        <f t="shared" si="134"/>
        <v>0.30270504145773802</v>
      </c>
      <c r="W334" s="4">
        <f t="shared" si="135"/>
        <v>-0.15798058285907982</v>
      </c>
      <c r="X334" s="4">
        <f t="shared" si="136"/>
        <v>0.5994866133173794</v>
      </c>
      <c r="Y334" s="3">
        <f t="shared" si="123"/>
        <v>85.32969095025328</v>
      </c>
      <c r="AA334" s="3"/>
    </row>
    <row r="335" spans="4:27" x14ac:dyDescent="0.25">
      <c r="D335" s="1">
        <v>42258</v>
      </c>
      <c r="E335" s="3">
        <v>111.248025</v>
      </c>
      <c r="F335" s="3">
        <v>190.47426200000001</v>
      </c>
      <c r="G335" s="3">
        <f t="shared" si="124"/>
        <v>1.5974669999999946</v>
      </c>
      <c r="H335" s="3">
        <f t="shared" si="125"/>
        <v>0.86165400000001569</v>
      </c>
      <c r="I335" s="4">
        <f t="shared" si="126"/>
        <v>1.7177964599128384</v>
      </c>
      <c r="J335" s="4">
        <f t="shared" si="127"/>
        <v>1.0325073497833095</v>
      </c>
      <c r="K335" s="4">
        <f t="shared" si="128"/>
        <v>1.5691515079365026</v>
      </c>
      <c r="L335" s="4">
        <f t="shared" si="129"/>
        <v>0.79586536507938077</v>
      </c>
      <c r="M335" s="4">
        <f t="shared" si="130"/>
        <v>1.446360430954044E-2</v>
      </c>
      <c r="N335" s="4">
        <f t="shared" si="131"/>
        <v>4.5339923270215198E-3</v>
      </c>
      <c r="O335" s="4">
        <f t="shared" si="132"/>
        <v>1.4207636080879398E-2</v>
      </c>
      <c r="P335" s="4">
        <f t="shared" si="133"/>
        <v>4.2210046099611289E-3</v>
      </c>
      <c r="S335" s="4">
        <v>1.0114497545092647</v>
      </c>
      <c r="T335" s="4">
        <v>-1.0094543691957734</v>
      </c>
      <c r="U335" s="4">
        <f t="shared" si="134"/>
        <v>-0.1835840842780504</v>
      </c>
      <c r="W335" s="4">
        <f t="shared" si="135"/>
        <v>1.7482420453561038</v>
      </c>
      <c r="X335" s="4">
        <f t="shared" si="136"/>
        <v>-0.25788768765786518</v>
      </c>
      <c r="Y335" s="3">
        <f t="shared" si="123"/>
        <v>-298.12019174813668</v>
      </c>
      <c r="AA335" s="3"/>
    </row>
    <row r="336" spans="4:27" x14ac:dyDescent="0.25">
      <c r="D336" s="1">
        <v>42257</v>
      </c>
      <c r="E336" s="3">
        <v>109.650558</v>
      </c>
      <c r="F336" s="3">
        <v>189.61260799999999</v>
      </c>
      <c r="G336" s="3">
        <f t="shared" si="124"/>
        <v>2.3572369999999978</v>
      </c>
      <c r="H336" s="3">
        <f t="shared" si="125"/>
        <v>1.0262539999999944</v>
      </c>
      <c r="I336" s="4">
        <f t="shared" si="126"/>
        <v>2.5904857963987129</v>
      </c>
      <c r="J336" s="4">
        <f t="shared" si="127"/>
        <v>1.2364371736237962</v>
      </c>
      <c r="K336" s="4">
        <f t="shared" si="128"/>
        <v>2.3289215079365055</v>
      </c>
      <c r="L336" s="4">
        <f t="shared" si="129"/>
        <v>0.96046536507935953</v>
      </c>
      <c r="M336" s="4">
        <f t="shared" si="130"/>
        <v>2.1732162110092306E-2</v>
      </c>
      <c r="N336" s="4">
        <f t="shared" si="131"/>
        <v>5.4270721074227164E-3</v>
      </c>
      <c r="O336" s="4">
        <f t="shared" si="132"/>
        <v>2.1476193881431262E-2</v>
      </c>
      <c r="P336" s="4">
        <f t="shared" si="133"/>
        <v>5.1140843903623254E-3</v>
      </c>
      <c r="S336" s="4">
        <v>0.71017294776195294</v>
      </c>
      <c r="T336" s="4">
        <v>-0.73593269284100293</v>
      </c>
      <c r="U336" s="4">
        <f t="shared" si="134"/>
        <v>-0.15043069786165109</v>
      </c>
      <c r="W336" s="4">
        <f t="shared" si="135"/>
        <v>1.2359338683994385</v>
      </c>
      <c r="X336" s="4">
        <f t="shared" si="136"/>
        <v>-0.1994350922791103</v>
      </c>
      <c r="Y336" s="3">
        <f t="shared" si="123"/>
        <v>-214.08012999023867</v>
      </c>
      <c r="AA336" s="3"/>
    </row>
    <row r="337" spans="4:27" x14ac:dyDescent="0.25">
      <c r="D337" s="1">
        <v>42256</v>
      </c>
      <c r="E337" s="3">
        <v>107.29332100000001</v>
      </c>
      <c r="F337" s="3">
        <v>188.586354</v>
      </c>
      <c r="G337" s="3">
        <f t="shared" si="124"/>
        <v>-2.1039779999999979</v>
      </c>
      <c r="H337" s="3">
        <f t="shared" si="125"/>
        <v>-2.5559210000000121</v>
      </c>
      <c r="I337" s="4">
        <f t="shared" si="126"/>
        <v>-2.2676981668067668</v>
      </c>
      <c r="J337" s="4">
        <f t="shared" si="127"/>
        <v>-3.0382123907515997</v>
      </c>
      <c r="K337" s="4">
        <f t="shared" si="128"/>
        <v>-2.1322934920634902</v>
      </c>
      <c r="L337" s="4">
        <f t="shared" si="129"/>
        <v>-2.6217096349206468</v>
      </c>
      <c r="M337" s="4">
        <f t="shared" si="130"/>
        <v>-1.94197988090581E-2</v>
      </c>
      <c r="N337" s="4">
        <f t="shared" si="131"/>
        <v>-1.3462032644881904E-2</v>
      </c>
      <c r="O337" s="4">
        <f t="shared" si="132"/>
        <v>-1.9675767037719144E-2</v>
      </c>
      <c r="P337" s="4">
        <f t="shared" si="133"/>
        <v>-1.3775020361942295E-2</v>
      </c>
      <c r="S337" s="4">
        <v>-0.99160991213931338</v>
      </c>
      <c r="T337" s="4">
        <v>1.4829305579120728E-2</v>
      </c>
      <c r="U337" s="4">
        <f t="shared" si="134"/>
        <v>-0.59275245491592843</v>
      </c>
      <c r="W337" s="4">
        <f t="shared" si="135"/>
        <v>-1.6578742675296889</v>
      </c>
      <c r="X337" s="4">
        <f t="shared" si="136"/>
        <v>-0.97929071147837621</v>
      </c>
      <c r="Y337" s="3">
        <f t="shared" si="123"/>
        <v>174.91484391189442</v>
      </c>
      <c r="AA337" s="3"/>
    </row>
    <row r="338" spans="4:27" x14ac:dyDescent="0.25">
      <c r="D338" s="1">
        <v>42255</v>
      </c>
      <c r="E338" s="3">
        <v>109.397299</v>
      </c>
      <c r="F338" s="3">
        <v>191.14227500000001</v>
      </c>
      <c r="G338" s="3">
        <f t="shared" si="124"/>
        <v>2.9611600000000067</v>
      </c>
      <c r="H338" s="3">
        <f t="shared" si="125"/>
        <v>4.6858530000000087</v>
      </c>
      <c r="I338" s="4">
        <f t="shared" si="126"/>
        <v>3.2803744172328613</v>
      </c>
      <c r="J338" s="4">
        <f t="shared" si="127"/>
        <v>5.7100349857135679</v>
      </c>
      <c r="K338" s="4">
        <f t="shared" si="128"/>
        <v>2.9328445079365144</v>
      </c>
      <c r="L338" s="4">
        <f t="shared" si="129"/>
        <v>4.620064365079374</v>
      </c>
      <c r="M338" s="4">
        <f t="shared" si="130"/>
        <v>2.7441028974789644E-2</v>
      </c>
      <c r="N338" s="4">
        <f t="shared" si="131"/>
        <v>2.4820496455575151E-2</v>
      </c>
      <c r="O338" s="4">
        <f t="shared" si="132"/>
        <v>2.71850607461286E-2</v>
      </c>
      <c r="P338" s="4">
        <f t="shared" si="133"/>
        <v>2.4507508738514761E-2</v>
      </c>
      <c r="S338" s="4">
        <v>-0.51717057771038788</v>
      </c>
      <c r="T338" s="4">
        <v>7.5269758279461293E-2</v>
      </c>
      <c r="U338" s="4">
        <f t="shared" si="134"/>
        <v>-0.25561298655060888</v>
      </c>
      <c r="W338" s="4">
        <f t="shared" si="135"/>
        <v>-0.85111070307888737</v>
      </c>
      <c r="X338" s="4">
        <f t="shared" si="136"/>
        <v>-0.38488154063063817</v>
      </c>
      <c r="Y338" s="3">
        <f t="shared" si="123"/>
        <v>99.784070375422743</v>
      </c>
      <c r="AA338" s="3"/>
    </row>
    <row r="339" spans="4:27" x14ac:dyDescent="0.25">
      <c r="D339" s="1">
        <v>42251</v>
      </c>
      <c r="E339" s="3">
        <v>106.436139</v>
      </c>
      <c r="F339" s="3">
        <v>186.456422</v>
      </c>
      <c r="G339" s="3">
        <f t="shared" si="124"/>
        <v>-1.071477999999999</v>
      </c>
      <c r="H339" s="3">
        <f t="shared" si="125"/>
        <v>-2.8657369999999958</v>
      </c>
      <c r="I339" s="4">
        <f t="shared" si="126"/>
        <v>-1.1751537127449481</v>
      </c>
      <c r="J339" s="4">
        <f t="shared" si="127"/>
        <v>-3.4392388469970809</v>
      </c>
      <c r="K339" s="4">
        <f t="shared" si="128"/>
        <v>-1.0997934920634911</v>
      </c>
      <c r="L339" s="4">
        <f t="shared" si="129"/>
        <v>-2.9315256349206305</v>
      </c>
      <c r="M339" s="4">
        <f t="shared" si="130"/>
        <v>-1.0016529377102814E-2</v>
      </c>
      <c r="N339" s="4">
        <f t="shared" si="131"/>
        <v>-1.5252559362919095E-2</v>
      </c>
      <c r="O339" s="4">
        <f t="shared" si="132"/>
        <v>-1.0272497605763856E-2</v>
      </c>
      <c r="P339" s="4">
        <f t="shared" si="133"/>
        <v>-1.5565547079979486E-2</v>
      </c>
      <c r="S339" s="4">
        <v>-0.65236765154331633</v>
      </c>
      <c r="T339" s="4">
        <v>1.0920607247036835</v>
      </c>
      <c r="U339" s="4">
        <f t="shared" si="134"/>
        <v>0.46796994475807963</v>
      </c>
      <c r="W339" s="4">
        <f t="shared" si="135"/>
        <v>-1.081007478648855</v>
      </c>
      <c r="X339" s="4">
        <f t="shared" si="136"/>
        <v>0.89086446538939379</v>
      </c>
      <c r="Y339" s="3">
        <f t="shared" si="123"/>
        <v>265.35707525604812</v>
      </c>
      <c r="AA339" s="3"/>
    </row>
    <row r="340" spans="4:27" x14ac:dyDescent="0.25">
      <c r="D340" s="1">
        <v>42250</v>
      </c>
      <c r="E340" s="3">
        <v>107.507617</v>
      </c>
      <c r="F340" s="3">
        <v>189.322159</v>
      </c>
      <c r="G340" s="3">
        <f t="shared" si="124"/>
        <v>-1.9189020000000028</v>
      </c>
      <c r="H340" s="3">
        <f t="shared" si="125"/>
        <v>0.13554099999998925</v>
      </c>
      <c r="I340" s="4">
        <f t="shared" si="126"/>
        <v>-2.0676682815397638</v>
      </c>
      <c r="J340" s="4">
        <f t="shared" si="127"/>
        <v>0.16278250483226334</v>
      </c>
      <c r="K340" s="4">
        <f t="shared" si="128"/>
        <v>-1.9472174920634948</v>
      </c>
      <c r="L340" s="4">
        <f t="shared" si="129"/>
        <v>6.9752365079354367E-2</v>
      </c>
      <c r="M340" s="4">
        <f t="shared" si="130"/>
        <v>-1.7691563763194459E-2</v>
      </c>
      <c r="N340" s="4">
        <f t="shared" si="131"/>
        <v>7.1618421568841832E-4</v>
      </c>
      <c r="O340" s="4">
        <f t="shared" si="132"/>
        <v>-1.7947531991855503E-2</v>
      </c>
      <c r="P340" s="4">
        <f t="shared" si="133"/>
        <v>4.0319649862802774E-4</v>
      </c>
      <c r="S340" s="4">
        <v>-1.4205367660942929</v>
      </c>
      <c r="T340" s="4">
        <v>0.15469611458722024</v>
      </c>
      <c r="U340" s="4">
        <f t="shared" si="134"/>
        <v>-0.74336453202459318</v>
      </c>
      <c r="W340" s="4">
        <f t="shared" si="135"/>
        <v>-2.3872458277564839</v>
      </c>
      <c r="X340" s="4">
        <f t="shared" si="136"/>
        <v>-1.2448342276614437</v>
      </c>
      <c r="Y340" s="3">
        <f t="shared" si="123"/>
        <v>272.99366511467178</v>
      </c>
      <c r="AA340" s="3"/>
    </row>
    <row r="341" spans="4:27" x14ac:dyDescent="0.25">
      <c r="D341" s="1">
        <v>42249</v>
      </c>
      <c r="E341" s="3">
        <v>109.426519</v>
      </c>
      <c r="F341" s="3">
        <v>189.18661800000001</v>
      </c>
      <c r="G341" s="3">
        <f t="shared" si="124"/>
        <v>4.5001780000000053</v>
      </c>
      <c r="H341" s="3">
        <f t="shared" si="125"/>
        <v>3.5240730000000156</v>
      </c>
      <c r="I341" s="4">
        <f t="shared" si="126"/>
        <v>5.0570333523849138</v>
      </c>
      <c r="J341" s="4">
        <f t="shared" si="127"/>
        <v>4.3126881137954589</v>
      </c>
      <c r="K341" s="4">
        <f t="shared" si="128"/>
        <v>4.4718625079365131</v>
      </c>
      <c r="L341" s="4">
        <f t="shared" si="129"/>
        <v>3.4582843650793809</v>
      </c>
      <c r="M341" s="4">
        <f t="shared" si="130"/>
        <v>4.1994674939185864E-2</v>
      </c>
      <c r="N341" s="4">
        <f t="shared" si="131"/>
        <v>1.8803172998545319E-2</v>
      </c>
      <c r="O341" s="4">
        <f t="shared" si="132"/>
        <v>4.173870671052482E-2</v>
      </c>
      <c r="P341" s="4">
        <f t="shared" si="133"/>
        <v>1.8490185281484928E-2</v>
      </c>
      <c r="S341" s="4">
        <v>0.92041058439353318</v>
      </c>
      <c r="T341" s="4">
        <v>-0.12727233076980216</v>
      </c>
      <c r="U341" s="4">
        <f t="shared" si="134"/>
        <v>0.46021506747905894</v>
      </c>
      <c r="W341" s="4">
        <f t="shared" si="135"/>
        <v>1.5934338748328536</v>
      </c>
      <c r="X341" s="4">
        <f t="shared" si="136"/>
        <v>0.8771918740556085</v>
      </c>
      <c r="Y341" s="3">
        <f t="shared" si="123"/>
        <v>-161.12289653433345</v>
      </c>
      <c r="AA341" s="3"/>
    </row>
    <row r="342" spans="4:27" x14ac:dyDescent="0.25">
      <c r="D342" s="1">
        <v>42248</v>
      </c>
      <c r="E342" s="3">
        <v>104.92634099999999</v>
      </c>
      <c r="F342" s="3">
        <v>185.66254499999999</v>
      </c>
      <c r="G342" s="3">
        <f t="shared" si="124"/>
        <v>-4.9092920000000078</v>
      </c>
      <c r="H342" s="3">
        <f t="shared" si="125"/>
        <v>-5.7120920000000126</v>
      </c>
      <c r="I342" s="4">
        <f t="shared" si="126"/>
        <v>-5.2701898604906194</v>
      </c>
      <c r="J342" s="4">
        <f t="shared" si="127"/>
        <v>-6.7816952321881967</v>
      </c>
      <c r="K342" s="4">
        <f t="shared" si="128"/>
        <v>-4.9376074920635</v>
      </c>
      <c r="L342" s="4">
        <f t="shared" si="129"/>
        <v>-5.7778806349206473</v>
      </c>
      <c r="M342" s="4">
        <f t="shared" si="130"/>
        <v>-4.5726413144256954E-2</v>
      </c>
      <c r="N342" s="4">
        <f t="shared" si="131"/>
        <v>-3.0302205445671995E-2</v>
      </c>
      <c r="O342" s="4">
        <f t="shared" si="132"/>
        <v>-4.5982381372917998E-2</v>
      </c>
      <c r="P342" s="4">
        <f t="shared" si="133"/>
        <v>-3.0615193162732385E-2</v>
      </c>
      <c r="S342" s="4">
        <v>-1.596044943862629</v>
      </c>
      <c r="T342" s="4">
        <v>1.1929032635914987</v>
      </c>
      <c r="U342" s="4">
        <f t="shared" si="134"/>
        <v>-2.7379712082995611E-2</v>
      </c>
      <c r="W342" s="4">
        <f t="shared" si="135"/>
        <v>-2.685689891752741</v>
      </c>
      <c r="X342" s="4">
        <f t="shared" si="136"/>
        <v>1.7515580341133305E-2</v>
      </c>
      <c r="Y342" s="3">
        <f t="shared" si="123"/>
        <v>451.04653725241315</v>
      </c>
      <c r="AA342" s="3"/>
    </row>
    <row r="343" spans="4:27" x14ac:dyDescent="0.25">
      <c r="D343" s="1">
        <v>42247</v>
      </c>
      <c r="E343" s="3">
        <v>109.835633</v>
      </c>
      <c r="F343" s="3">
        <v>191.37463700000001</v>
      </c>
      <c r="G343" s="3">
        <f t="shared" si="124"/>
        <v>-0.51625299999999186</v>
      </c>
      <c r="H343" s="3">
        <f t="shared" si="125"/>
        <v>-1.5587249999999813</v>
      </c>
      <c r="I343" s="4">
        <f t="shared" si="126"/>
        <v>-0.55161171685829669</v>
      </c>
      <c r="J343" s="4">
        <f t="shared" si="127"/>
        <v>-1.8356489229740927</v>
      </c>
      <c r="K343" s="4">
        <f t="shared" si="128"/>
        <v>-0.5445684920634839</v>
      </c>
      <c r="L343" s="4">
        <f t="shared" si="129"/>
        <v>-1.6245136349206162</v>
      </c>
      <c r="M343" s="4">
        <f t="shared" si="130"/>
        <v>-4.6892207907686155E-3</v>
      </c>
      <c r="N343" s="4">
        <f t="shared" si="131"/>
        <v>-8.1118974959122417E-3</v>
      </c>
      <c r="O343" s="4">
        <f t="shared" si="132"/>
        <v>-4.9451890194296584E-3</v>
      </c>
      <c r="P343" s="4">
        <f t="shared" si="133"/>
        <v>-8.4248852129726326E-3</v>
      </c>
      <c r="S343" s="4">
        <v>-1.5282218511316665</v>
      </c>
      <c r="T343" s="4">
        <v>-2.1274830207730862</v>
      </c>
      <c r="U343" s="4">
        <f t="shared" si="134"/>
        <v>-2.6180769489080964</v>
      </c>
      <c r="W343" s="4">
        <f t="shared" si="135"/>
        <v>-2.5703596565192508</v>
      </c>
      <c r="X343" s="4">
        <f t="shared" si="136"/>
        <v>-4.5501317613521373</v>
      </c>
      <c r="Y343" s="3">
        <f t="shared" si="123"/>
        <v>-25.799348042958172</v>
      </c>
      <c r="AA343" s="3"/>
    </row>
    <row r="344" spans="4:27" x14ac:dyDescent="0.25">
      <c r="D344" s="1">
        <v>42244</v>
      </c>
      <c r="E344" s="3">
        <v>110.35188599999999</v>
      </c>
      <c r="F344" s="3">
        <v>192.93336199999999</v>
      </c>
      <c r="G344" s="3">
        <f t="shared" si="124"/>
        <v>0.36040699999999504</v>
      </c>
      <c r="H344" s="3">
        <f t="shared" si="125"/>
        <v>9.6759999999846968E-3</v>
      </c>
      <c r="I344" s="4">
        <f t="shared" si="126"/>
        <v>0.38635348117855034</v>
      </c>
      <c r="J344" s="4">
        <f t="shared" si="127"/>
        <v>1.1395614884366882E-2</v>
      </c>
      <c r="K344" s="4">
        <f t="shared" si="128"/>
        <v>0.33209150793650299</v>
      </c>
      <c r="L344" s="4">
        <f t="shared" si="129"/>
        <v>-5.611263492065019E-2</v>
      </c>
      <c r="M344" s="4">
        <f t="shared" si="130"/>
        <v>3.2713244749604763E-3</v>
      </c>
      <c r="N344" s="4">
        <f t="shared" si="131"/>
        <v>5.0153288904179984E-5</v>
      </c>
      <c r="O344" s="4">
        <f t="shared" si="132"/>
        <v>3.0153562462994338E-3</v>
      </c>
      <c r="P344" s="4">
        <f t="shared" si="133"/>
        <v>-2.6283442815621061E-4</v>
      </c>
      <c r="S344" s="4">
        <v>-0.57445220706262368</v>
      </c>
      <c r="T344" s="4">
        <v>0.41249711807374129</v>
      </c>
      <c r="U344" s="4">
        <f t="shared" si="134"/>
        <v>-2.3215709185991085E-2</v>
      </c>
      <c r="W344" s="4">
        <f t="shared" si="135"/>
        <v>-0.94851563584944876</v>
      </c>
      <c r="X344" s="4">
        <f t="shared" si="136"/>
        <v>2.4857116238479013E-2</v>
      </c>
      <c r="Y344" s="3">
        <f t="shared" si="123"/>
        <v>156.82359778656155</v>
      </c>
      <c r="AA344" s="3"/>
    </row>
    <row r="345" spans="4:27" x14ac:dyDescent="0.25">
      <c r="D345" s="1">
        <v>42243</v>
      </c>
      <c r="E345" s="3">
        <v>109.991479</v>
      </c>
      <c r="F345" s="3">
        <v>192.923686</v>
      </c>
      <c r="G345" s="3">
        <f t="shared" si="124"/>
        <v>3.1462269999999961</v>
      </c>
      <c r="H345" s="3">
        <f t="shared" si="125"/>
        <v>4.6568090000000097</v>
      </c>
      <c r="I345" s="4">
        <f t="shared" si="126"/>
        <v>3.472046077956815</v>
      </c>
      <c r="J345" s="4">
        <f t="shared" si="127"/>
        <v>5.6200730704619124</v>
      </c>
      <c r="K345" s="4">
        <f t="shared" si="128"/>
        <v>3.1179115079365038</v>
      </c>
      <c r="L345" s="4">
        <f t="shared" si="129"/>
        <v>4.5910203650793751</v>
      </c>
      <c r="M345" s="4">
        <f t="shared" si="130"/>
        <v>2.9021354503156901E-2</v>
      </c>
      <c r="N345" s="4">
        <f t="shared" si="131"/>
        <v>2.4434186663649451E-2</v>
      </c>
      <c r="O345" s="4">
        <f t="shared" si="132"/>
        <v>2.8765386274495857E-2</v>
      </c>
      <c r="P345" s="4">
        <f t="shared" si="133"/>
        <v>2.4121198946589061E-2</v>
      </c>
      <c r="S345" s="4">
        <v>1.203724765776607</v>
      </c>
      <c r="T345" s="4">
        <v>1.4624670604584653</v>
      </c>
      <c r="U345" s="4">
        <f t="shared" si="134"/>
        <v>1.8931034413353731</v>
      </c>
      <c r="W345" s="4">
        <f t="shared" si="135"/>
        <v>2.075197384401875</v>
      </c>
      <c r="X345" s="4">
        <f t="shared" si="136"/>
        <v>3.4035113060432671</v>
      </c>
      <c r="Y345" s="3">
        <f t="shared" si="123"/>
        <v>18.804895631797081</v>
      </c>
      <c r="AA345" s="3"/>
    </row>
    <row r="346" spans="4:27" x14ac:dyDescent="0.25">
      <c r="D346" s="1">
        <v>42242</v>
      </c>
      <c r="E346" s="3">
        <v>106.845252</v>
      </c>
      <c r="F346" s="3">
        <v>188.26687699999999</v>
      </c>
      <c r="G346" s="3">
        <f t="shared" si="124"/>
        <v>5.7956950000000091</v>
      </c>
      <c r="H346" s="3">
        <f t="shared" si="125"/>
        <v>6.9610169999999982</v>
      </c>
      <c r="I346" s="4">
        <f t="shared" si="126"/>
        <v>6.7627255469589151</v>
      </c>
      <c r="J346" s="4">
        <f t="shared" si="127"/>
        <v>8.7234506446571487</v>
      </c>
      <c r="K346" s="4">
        <f t="shared" si="128"/>
        <v>5.7673795079365169</v>
      </c>
      <c r="L346" s="4">
        <f t="shared" si="129"/>
        <v>6.8952283650793635</v>
      </c>
      <c r="M346" s="4">
        <f t="shared" si="130"/>
        <v>5.5770484780745415E-2</v>
      </c>
      <c r="N346" s="4">
        <f t="shared" si="131"/>
        <v>3.7675075363436901E-2</v>
      </c>
      <c r="O346" s="4">
        <f t="shared" si="132"/>
        <v>5.5514516552084371E-2</v>
      </c>
      <c r="P346" s="4">
        <f t="shared" si="133"/>
        <v>3.736208764637651E-2</v>
      </c>
      <c r="S346" s="4">
        <v>0.27018036779400639</v>
      </c>
      <c r="T346" s="4">
        <v>-1.0912043992533496</v>
      </c>
      <c r="U346" s="4">
        <f t="shared" si="134"/>
        <v>-0.70028103788813378</v>
      </c>
      <c r="W346" s="4">
        <f t="shared" si="135"/>
        <v>0.48774551977923769</v>
      </c>
      <c r="X346" s="4">
        <f t="shared" si="136"/>
        <v>-1.1688739013577716</v>
      </c>
      <c r="Y346" s="3">
        <f t="shared" si="123"/>
        <v>-194.43539508611002</v>
      </c>
      <c r="AA346" s="3"/>
    </row>
    <row r="347" spans="4:27" x14ac:dyDescent="0.25">
      <c r="D347" s="1">
        <v>42241</v>
      </c>
      <c r="E347" s="3">
        <v>101.04955699999999</v>
      </c>
      <c r="F347" s="3">
        <v>181.30586</v>
      </c>
      <c r="G347" s="3">
        <f t="shared" si="124"/>
        <v>0.60391599999999812</v>
      </c>
      <c r="H347" s="3">
        <f t="shared" si="125"/>
        <v>-2.1589749999999981</v>
      </c>
      <c r="I347" s="4">
        <f t="shared" si="126"/>
        <v>0.70891814982457813</v>
      </c>
      <c r="J347" s="4">
        <f t="shared" si="127"/>
        <v>-2.6737588424660488</v>
      </c>
      <c r="K347" s="4">
        <f t="shared" si="128"/>
        <v>0.57560050793650608</v>
      </c>
      <c r="L347" s="4">
        <f t="shared" si="129"/>
        <v>-2.2247636349206328</v>
      </c>
      <c r="M347" s="4">
        <f t="shared" si="130"/>
        <v>5.9943642760657738E-3</v>
      </c>
      <c r="N347" s="4">
        <f t="shared" si="131"/>
        <v>-1.1837574896438115E-2</v>
      </c>
      <c r="O347" s="4">
        <f t="shared" si="132"/>
        <v>5.738396047404731E-3</v>
      </c>
      <c r="P347" s="4">
        <f t="shared" si="133"/>
        <v>-1.2150562613498506E-2</v>
      </c>
      <c r="S347" s="4">
        <v>1.111787774683588</v>
      </c>
      <c r="T347" s="4">
        <v>1.6316322284295031</v>
      </c>
      <c r="U347" s="4">
        <f t="shared" si="134"/>
        <v>1.9711524788136621</v>
      </c>
      <c r="W347" s="4">
        <f t="shared" si="135"/>
        <v>1.9188625081455362</v>
      </c>
      <c r="X347" s="4">
        <f t="shared" si="136"/>
        <v>3.5411192339369628</v>
      </c>
      <c r="Y347" s="3">
        <f t="shared" si="123"/>
        <v>56.031213179613133</v>
      </c>
      <c r="AA347" s="3"/>
    </row>
    <row r="348" spans="4:27" x14ac:dyDescent="0.25">
      <c r="D348" s="1">
        <v>42240</v>
      </c>
      <c r="E348" s="3">
        <v>100.44564099999999</v>
      </c>
      <c r="F348" s="3">
        <v>183.46483499999999</v>
      </c>
      <c r="G348" s="3">
        <f t="shared" si="124"/>
        <v>-2.5715330000000023</v>
      </c>
      <c r="H348" s="3">
        <f t="shared" si="125"/>
        <v>-8.0647100000000194</v>
      </c>
      <c r="I348" s="4">
        <f t="shared" si="126"/>
        <v>-2.9432904684041548</v>
      </c>
      <c r="J348" s="4">
        <f t="shared" si="127"/>
        <v>-9.5671026397153192</v>
      </c>
      <c r="K348" s="4">
        <f t="shared" si="128"/>
        <v>-2.5998484920634946</v>
      </c>
      <c r="L348" s="4">
        <f t="shared" si="129"/>
        <v>-8.1304986349206541</v>
      </c>
      <c r="M348" s="4">
        <f t="shared" si="130"/>
        <v>-2.5279016598878806E-2</v>
      </c>
      <c r="N348" s="4">
        <f t="shared" si="131"/>
        <v>-4.3019064451862203E-2</v>
      </c>
      <c r="O348" s="4">
        <f t="shared" si="132"/>
        <v>-2.5534984827539849E-2</v>
      </c>
      <c r="P348" s="4">
        <f t="shared" si="133"/>
        <v>-4.3332052168922594E-2</v>
      </c>
      <c r="S348" s="4">
        <v>9.3644532896074384E-2</v>
      </c>
      <c r="T348" s="4">
        <v>-1.8180629381489408</v>
      </c>
      <c r="U348" s="4">
        <f t="shared" si="134"/>
        <v>-1.3840761843642815</v>
      </c>
      <c r="W348" s="4">
        <f t="shared" si="135"/>
        <v>0.18755396928946733</v>
      </c>
      <c r="X348" s="4">
        <f t="shared" si="136"/>
        <v>-2.3744702322096871</v>
      </c>
      <c r="Y348" s="3">
        <f t="shared" si="123"/>
        <v>-267.41176817859559</v>
      </c>
      <c r="AA348" s="3"/>
    </row>
    <row r="349" spans="4:27" x14ac:dyDescent="0.25">
      <c r="D349" s="1">
        <v>42237</v>
      </c>
      <c r="E349" s="3">
        <v>103.017174</v>
      </c>
      <c r="F349" s="3">
        <v>191.52954500000001</v>
      </c>
      <c r="G349" s="3">
        <f t="shared" si="124"/>
        <v>-6.7113110000000091</v>
      </c>
      <c r="H349" s="3">
        <f t="shared" si="125"/>
        <v>-5.9444529999999816</v>
      </c>
      <c r="I349" s="4">
        <f t="shared" si="126"/>
        <v>-7.2117163273988982</v>
      </c>
      <c r="J349" s="4">
        <f t="shared" si="127"/>
        <v>-6.8395800025336335</v>
      </c>
      <c r="K349" s="4">
        <f t="shared" si="128"/>
        <v>-6.7396264920635014</v>
      </c>
      <c r="L349" s="4">
        <f t="shared" si="129"/>
        <v>-6.0102416349206162</v>
      </c>
      <c r="M349" s="4">
        <f t="shared" si="130"/>
        <v>-6.3113284096654967E-2</v>
      </c>
      <c r="N349" s="4">
        <f t="shared" si="131"/>
        <v>-3.0564841272808462E-2</v>
      </c>
      <c r="O349" s="4">
        <f t="shared" si="132"/>
        <v>-6.3369252325316011E-2</v>
      </c>
      <c r="P349" s="4">
        <f t="shared" si="133"/>
        <v>-3.0877828989868853E-2</v>
      </c>
      <c r="S349" s="4">
        <v>0.47274857516895963</v>
      </c>
      <c r="T349" s="4">
        <v>0.2020369148062893</v>
      </c>
      <c r="U349" s="4">
        <f t="shared" si="134"/>
        <v>0.44835112921796072</v>
      </c>
      <c r="W349" s="4">
        <f t="shared" si="135"/>
        <v>0.8322039935331853</v>
      </c>
      <c r="X349" s="4">
        <f t="shared" si="136"/>
        <v>0.85627461468232546</v>
      </c>
      <c r="Y349" s="3">
        <f t="shared" si="123"/>
        <v>-45.951218713622438</v>
      </c>
      <c r="AA349" s="3"/>
    </row>
    <row r="350" spans="4:27" x14ac:dyDescent="0.25">
      <c r="D350" s="1">
        <v>42236</v>
      </c>
      <c r="E350" s="3">
        <v>109.72848500000001</v>
      </c>
      <c r="F350" s="3">
        <v>197.47399799999999</v>
      </c>
      <c r="G350" s="3">
        <f t="shared" si="124"/>
        <v>-2.2987949999999984</v>
      </c>
      <c r="H350" s="3">
        <f t="shared" si="125"/>
        <v>-4.2114679999999964</v>
      </c>
      <c r="I350" s="4">
        <f t="shared" si="126"/>
        <v>-2.4195082451808152</v>
      </c>
      <c r="J350" s="4">
        <f t="shared" si="127"/>
        <v>-4.7444552784992213</v>
      </c>
      <c r="K350" s="4">
        <f t="shared" si="128"/>
        <v>-2.3271104920634906</v>
      </c>
      <c r="L350" s="4">
        <f t="shared" si="129"/>
        <v>-4.2772566349206311</v>
      </c>
      <c r="M350" s="4">
        <f t="shared" si="130"/>
        <v>-2.0733416773805816E-2</v>
      </c>
      <c r="N350" s="4">
        <f t="shared" si="131"/>
        <v>-2.1102464875141651E-2</v>
      </c>
      <c r="O350" s="4">
        <f t="shared" si="132"/>
        <v>-2.0989385002466859E-2</v>
      </c>
      <c r="P350" s="4">
        <f t="shared" si="133"/>
        <v>-2.1415452592202042E-2</v>
      </c>
      <c r="S350" s="4">
        <v>-0.1362756149863199</v>
      </c>
      <c r="T350" s="4">
        <v>-0.37753805640936439</v>
      </c>
      <c r="U350" s="4">
        <f t="shared" si="134"/>
        <v>-0.38234805961890123</v>
      </c>
      <c r="W350" s="4">
        <f t="shared" si="135"/>
        <v>-0.20341529608126427</v>
      </c>
      <c r="X350" s="4">
        <f t="shared" si="136"/>
        <v>-0.60832761197053231</v>
      </c>
      <c r="Y350" s="3">
        <f t="shared" si="123"/>
        <v>-28.128287080240625</v>
      </c>
      <c r="AA350" s="3"/>
    </row>
    <row r="351" spans="4:27" x14ac:dyDescent="0.25">
      <c r="D351" s="1">
        <v>42235</v>
      </c>
      <c r="E351" s="3">
        <v>112.02728</v>
      </c>
      <c r="F351" s="3">
        <v>201.68546599999999</v>
      </c>
      <c r="G351" s="3">
        <f t="shared" si="124"/>
        <v>-1.4513559999999899</v>
      </c>
      <c r="H351" s="3">
        <f t="shared" si="125"/>
        <v>-1.6071220000000039</v>
      </c>
      <c r="I351" s="4">
        <f t="shared" si="126"/>
        <v>-1.5080318005005173</v>
      </c>
      <c r="J351" s="4">
        <f t="shared" si="127"/>
        <v>-1.7962002671236341</v>
      </c>
      <c r="K351" s="4">
        <f t="shared" si="128"/>
        <v>-1.4796714920634819</v>
      </c>
      <c r="L351" s="4">
        <f t="shared" si="129"/>
        <v>-1.6729106349206389</v>
      </c>
      <c r="M351" s="4">
        <f t="shared" si="130"/>
        <v>-1.287217706429033E-2</v>
      </c>
      <c r="N351" s="4">
        <f t="shared" si="131"/>
        <v>-7.9368766811231759E-3</v>
      </c>
      <c r="O351" s="4">
        <f t="shared" si="132"/>
        <v>-1.3128145292951372E-2</v>
      </c>
      <c r="P351" s="4">
        <f t="shared" si="133"/>
        <v>-8.2498643981835668E-3</v>
      </c>
      <c r="S351" s="4">
        <v>0.57936808090117597</v>
      </c>
      <c r="T351" s="4">
        <v>-1.6151111796535287</v>
      </c>
      <c r="U351" s="4">
        <f t="shared" si="134"/>
        <v>-0.92709003291877412</v>
      </c>
      <c r="W351" s="4">
        <f t="shared" si="135"/>
        <v>1.0135058507833699</v>
      </c>
      <c r="X351" s="4">
        <f t="shared" si="136"/>
        <v>-1.5687598812777657</v>
      </c>
      <c r="Y351" s="3">
        <f t="shared" si="123"/>
        <v>-316.64985762993683</v>
      </c>
      <c r="AA351" s="3"/>
    </row>
    <row r="352" spans="4:27" x14ac:dyDescent="0.25">
      <c r="D352" s="1">
        <v>42234</v>
      </c>
      <c r="E352" s="3">
        <v>113.47863599999999</v>
      </c>
      <c r="F352" s="3">
        <v>203.29258799999999</v>
      </c>
      <c r="G352" s="3">
        <f t="shared" si="124"/>
        <v>-0.64288600000000429</v>
      </c>
      <c r="H352" s="3">
        <f t="shared" si="125"/>
        <v>-0.59057300000000623</v>
      </c>
      <c r="I352" s="4">
        <f t="shared" si="126"/>
        <v>-0.66422782927434587</v>
      </c>
      <c r="J352" s="4">
        <f t="shared" si="127"/>
        <v>-0.65814211828907443</v>
      </c>
      <c r="K352" s="4">
        <f t="shared" si="128"/>
        <v>-0.67120149206349633</v>
      </c>
      <c r="L352" s="4">
        <f t="shared" si="129"/>
        <v>-0.65636163492064115</v>
      </c>
      <c r="M352" s="4">
        <f t="shared" si="130"/>
        <v>-5.6492729655283243E-3</v>
      </c>
      <c r="N352" s="4">
        <f t="shared" si="131"/>
        <v>-2.9008280359525264E-3</v>
      </c>
      <c r="O352" s="4">
        <f t="shared" si="132"/>
        <v>-5.9052411941893672E-3</v>
      </c>
      <c r="P352" s="4">
        <f t="shared" si="133"/>
        <v>-3.2138157530129169E-3</v>
      </c>
      <c r="S352" s="4">
        <v>-0.87855897954600726</v>
      </c>
      <c r="T352" s="4">
        <v>-0.42882714013441992</v>
      </c>
      <c r="U352" s="4">
        <f t="shared" si="134"/>
        <v>-0.87551700769953245</v>
      </c>
      <c r="W352" s="4">
        <f t="shared" si="135"/>
        <v>-1.4656360471189691</v>
      </c>
      <c r="X352" s="4">
        <f t="shared" si="136"/>
        <v>-1.4778316986258875</v>
      </c>
      <c r="Y352" s="3">
        <f t="shared" si="123"/>
        <v>92.682744286424168</v>
      </c>
      <c r="AA352" s="3"/>
    </row>
    <row r="353" spans="4:27" x14ac:dyDescent="0.25">
      <c r="D353" s="1">
        <v>42233</v>
      </c>
      <c r="E353" s="3">
        <v>114.121522</v>
      </c>
      <c r="F353" s="3">
        <v>203.883161</v>
      </c>
      <c r="G353" s="3">
        <f t="shared" si="124"/>
        <v>1.1688829999999939</v>
      </c>
      <c r="H353" s="3">
        <f t="shared" si="125"/>
        <v>1.1327359999999942</v>
      </c>
      <c r="I353" s="4">
        <f t="shared" si="126"/>
        <v>1.2201839675966426</v>
      </c>
      <c r="J353" s="4">
        <f t="shared" si="127"/>
        <v>1.2693879901319598</v>
      </c>
      <c r="K353" s="4">
        <f t="shared" si="128"/>
        <v>1.1405675079365019</v>
      </c>
      <c r="L353" s="4">
        <f t="shared" si="129"/>
        <v>1.0669473650793593</v>
      </c>
      <c r="M353" s="4">
        <f t="shared" si="130"/>
        <v>1.0295256133213542E-2</v>
      </c>
      <c r="N353" s="4">
        <f t="shared" si="131"/>
        <v>5.5713003989354415E-3</v>
      </c>
      <c r="O353" s="4">
        <f t="shared" si="132"/>
        <v>1.00392879045525E-2</v>
      </c>
      <c r="P353" s="4">
        <f t="shared" si="133"/>
        <v>5.2583126818750506E-3</v>
      </c>
      <c r="S353" s="4">
        <v>1.0453523638120878</v>
      </c>
      <c r="T353" s="4">
        <v>-1.1544516340416444</v>
      </c>
      <c r="U353" s="4">
        <f t="shared" si="134"/>
        <v>-0.27785447182842127</v>
      </c>
      <c r="W353" s="4">
        <f t="shared" si="135"/>
        <v>1.8058919658844068</v>
      </c>
      <c r="X353" s="4">
        <f t="shared" si="136"/>
        <v>-0.42409540926046307</v>
      </c>
      <c r="Y353" s="3">
        <f t="shared" si="123"/>
        <v>-323.45755143596944</v>
      </c>
      <c r="AA353" s="3"/>
    </row>
    <row r="354" spans="4:27" x14ac:dyDescent="0.25">
      <c r="D354" s="1">
        <v>42230</v>
      </c>
      <c r="E354" s="3">
        <v>112.952639</v>
      </c>
      <c r="F354" s="3">
        <v>202.75042500000001</v>
      </c>
      <c r="G354" s="3">
        <f t="shared" si="124"/>
        <v>0.7889899999999983</v>
      </c>
      <c r="H354" s="3">
        <f t="shared" si="125"/>
        <v>0.73579100000000608</v>
      </c>
      <c r="I354" s="4">
        <f t="shared" si="126"/>
        <v>0.8294114437731942</v>
      </c>
      <c r="J354" s="4">
        <f t="shared" si="127"/>
        <v>0.82755924632934452</v>
      </c>
      <c r="K354" s="4">
        <f t="shared" si="128"/>
        <v>0.76067450793650626</v>
      </c>
      <c r="L354" s="4">
        <f t="shared" si="129"/>
        <v>0.67000236507937116</v>
      </c>
      <c r="M354" s="4">
        <f t="shared" si="130"/>
        <v>7.0096503243306241E-3</v>
      </c>
      <c r="N354" s="4">
        <f t="shared" si="131"/>
        <v>3.6356488491763937E-3</v>
      </c>
      <c r="O354" s="4">
        <f t="shared" si="132"/>
        <v>6.7536820956695812E-3</v>
      </c>
      <c r="P354" s="4">
        <f t="shared" si="133"/>
        <v>3.3226611321160032E-3</v>
      </c>
      <c r="S354" s="4">
        <v>-0.52503828022985621</v>
      </c>
      <c r="T354" s="4">
        <v>-1.4104538721646971</v>
      </c>
      <c r="U354" s="4">
        <f t="shared" si="134"/>
        <v>-1.4381305777527602</v>
      </c>
      <c r="W354" s="4">
        <f t="shared" si="135"/>
        <v>-0.86448939086472421</v>
      </c>
      <c r="X354" s="4">
        <f t="shared" si="136"/>
        <v>-2.4697733045865675</v>
      </c>
      <c r="Y354" s="3">
        <f t="shared" si="123"/>
        <v>-106.50141521921068</v>
      </c>
      <c r="AA354" s="3"/>
    </row>
    <row r="355" spans="4:27" x14ac:dyDescent="0.25">
      <c r="D355" s="1">
        <v>42229</v>
      </c>
      <c r="E355" s="3">
        <v>112.16364900000001</v>
      </c>
      <c r="F355" s="3">
        <v>202.014634</v>
      </c>
      <c r="G355" s="3">
        <f t="shared" si="124"/>
        <v>-8.7661999999994578E-2</v>
      </c>
      <c r="H355" s="3">
        <f t="shared" si="125"/>
        <v>-0.25171499999999014</v>
      </c>
      <c r="I355" s="4">
        <f t="shared" si="126"/>
        <v>-9.2081122960313233E-2</v>
      </c>
      <c r="J355" s="4">
        <f t="shared" si="127"/>
        <v>-0.28275670765186334</v>
      </c>
      <c r="K355" s="4">
        <f t="shared" si="128"/>
        <v>-0.11597749206348663</v>
      </c>
      <c r="L355" s="4">
        <f t="shared" si="129"/>
        <v>-0.31750363492062506</v>
      </c>
      <c r="M355" s="4">
        <f t="shared" si="130"/>
        <v>-7.8124920423048357E-4</v>
      </c>
      <c r="N355" s="4">
        <f t="shared" si="131"/>
        <v>-1.2452479493781092E-3</v>
      </c>
      <c r="O355" s="4">
        <f t="shared" si="132"/>
        <v>-1.0372174328915262E-3</v>
      </c>
      <c r="P355" s="4">
        <f t="shared" si="133"/>
        <v>-1.5582356664384997E-3</v>
      </c>
      <c r="S355" s="4">
        <v>-0.16402707615927348</v>
      </c>
      <c r="T355" s="4">
        <v>-0.79685607298652439</v>
      </c>
      <c r="U355" s="4">
        <f t="shared" si="134"/>
        <v>-0.73165601467481778</v>
      </c>
      <c r="W355" s="4">
        <f t="shared" si="135"/>
        <v>-0.25060545530690931</v>
      </c>
      <c r="X355" s="4">
        <f t="shared" si="136"/>
        <v>-1.2241909902396093</v>
      </c>
      <c r="Y355" s="3">
        <f t="shared" si="123"/>
        <v>-82.096888835178561</v>
      </c>
      <c r="AA355" s="3"/>
    </row>
    <row r="356" spans="4:27" x14ac:dyDescent="0.25">
      <c r="D356" s="1">
        <v>42228</v>
      </c>
      <c r="E356" s="3">
        <v>112.251311</v>
      </c>
      <c r="F356" s="3">
        <v>202.26634899999999</v>
      </c>
      <c r="G356" s="3">
        <f t="shared" si="124"/>
        <v>1.704615000000004</v>
      </c>
      <c r="H356" s="3">
        <f t="shared" si="125"/>
        <v>0.24203799999997955</v>
      </c>
      <c r="I356" s="4">
        <f t="shared" si="126"/>
        <v>1.818156206753212</v>
      </c>
      <c r="J356" s="4">
        <f t="shared" si="127"/>
        <v>0.27221206894382799</v>
      </c>
      <c r="K356" s="4">
        <f t="shared" si="128"/>
        <v>1.6762995079365119</v>
      </c>
      <c r="L356" s="4">
        <f t="shared" si="129"/>
        <v>0.17624936507934466</v>
      </c>
      <c r="M356" s="4">
        <f t="shared" si="130"/>
        <v>1.5302185913625832E-2</v>
      </c>
      <c r="N356" s="4">
        <f t="shared" si="131"/>
        <v>1.1973466263912485E-3</v>
      </c>
      <c r="O356" s="4">
        <f t="shared" si="132"/>
        <v>1.504621768496479E-2</v>
      </c>
      <c r="P356" s="4">
        <f t="shared" si="133"/>
        <v>8.8435890933085792E-4</v>
      </c>
      <c r="S356" s="4">
        <v>-0.58522481199330545</v>
      </c>
      <c r="T356" s="4">
        <v>1.6393103762352139</v>
      </c>
      <c r="U356" s="4">
        <f t="shared" si="134"/>
        <v>0.9427021489655435</v>
      </c>
      <c r="W356" s="4">
        <f t="shared" si="135"/>
        <v>-0.96683398452253733</v>
      </c>
      <c r="X356" s="4">
        <f t="shared" si="136"/>
        <v>1.7278628068944764</v>
      </c>
      <c r="Y356" s="3">
        <f t="shared" si="123"/>
        <v>330.15109880945965</v>
      </c>
      <c r="AA356" s="3"/>
    </row>
    <row r="357" spans="4:27" x14ac:dyDescent="0.25">
      <c r="D357" s="1">
        <v>42227</v>
      </c>
      <c r="E357" s="3">
        <v>110.546696</v>
      </c>
      <c r="F357" s="3">
        <v>202.02431100000001</v>
      </c>
      <c r="G357" s="3">
        <f t="shared" si="124"/>
        <v>-6.0684320000000014</v>
      </c>
      <c r="H357" s="3">
        <f t="shared" si="125"/>
        <v>-1.8394979999999919</v>
      </c>
      <c r="I357" s="4">
        <f t="shared" si="126"/>
        <v>-6.1358149123990851</v>
      </c>
      <c r="J357" s="4">
        <f t="shared" si="127"/>
        <v>-2.0501547356867258</v>
      </c>
      <c r="K357" s="4">
        <f t="shared" si="128"/>
        <v>-6.0967474920634936</v>
      </c>
      <c r="L357" s="4">
        <f t="shared" si="129"/>
        <v>-1.9052866349206268</v>
      </c>
      <c r="M357" s="4">
        <f t="shared" si="130"/>
        <v>-5.344098828281385E-2</v>
      </c>
      <c r="N357" s="4">
        <f t="shared" si="131"/>
        <v>-9.0641263122701789E-3</v>
      </c>
      <c r="O357" s="4">
        <f t="shared" si="132"/>
        <v>-5.3696956511474894E-2</v>
      </c>
      <c r="P357" s="4">
        <f t="shared" si="133"/>
        <v>-9.3771140293305699E-3</v>
      </c>
      <c r="S357" s="4">
        <v>0.65277621239053563</v>
      </c>
      <c r="T357" s="4">
        <v>0.54426158680863468</v>
      </c>
      <c r="U357" s="4">
        <f t="shared" si="134"/>
        <v>0.82937875979897635</v>
      </c>
      <c r="W357" s="4">
        <f t="shared" si="135"/>
        <v>1.1383332028226238</v>
      </c>
      <c r="X357" s="4">
        <f t="shared" si="136"/>
        <v>1.5280628187211429</v>
      </c>
      <c r="Y357" s="3">
        <f t="shared" si="123"/>
        <v>-26.282981390002533</v>
      </c>
      <c r="AA357" s="3"/>
    </row>
    <row r="358" spans="4:27" x14ac:dyDescent="0.25">
      <c r="D358" s="1">
        <v>42226</v>
      </c>
      <c r="E358" s="3">
        <v>116.615128</v>
      </c>
      <c r="F358" s="3">
        <v>203.863809</v>
      </c>
      <c r="G358" s="3">
        <f t="shared" si="124"/>
        <v>4.0910800000000052</v>
      </c>
      <c r="H358" s="3">
        <f t="shared" si="125"/>
        <v>2.5365690000000143</v>
      </c>
      <c r="I358" s="4">
        <f t="shared" si="126"/>
        <v>4.2868992694283499</v>
      </c>
      <c r="J358" s="4">
        <f t="shared" si="127"/>
        <v>2.8626720370576098</v>
      </c>
      <c r="K358" s="4">
        <f t="shared" si="128"/>
        <v>4.0627645079365129</v>
      </c>
      <c r="L358" s="4">
        <f t="shared" si="129"/>
        <v>2.4707803650793796</v>
      </c>
      <c r="M358" s="4">
        <f t="shared" si="130"/>
        <v>3.571204940959341E-2</v>
      </c>
      <c r="N358" s="4">
        <f t="shared" si="131"/>
        <v>1.252052404891294E-2</v>
      </c>
      <c r="O358" s="4">
        <f t="shared" si="132"/>
        <v>3.5456081180932367E-2</v>
      </c>
      <c r="P358" s="4">
        <f t="shared" si="133"/>
        <v>1.2207536331852549E-2</v>
      </c>
      <c r="S358" s="4">
        <v>3.3893119883907784E-3</v>
      </c>
      <c r="T358" s="4">
        <v>1.9853972104110105</v>
      </c>
      <c r="U358" s="4">
        <f t="shared" si="134"/>
        <v>1.5758747233279859</v>
      </c>
      <c r="W358" s="4">
        <f t="shared" si="135"/>
        <v>3.4078870481686022E-2</v>
      </c>
      <c r="X358" s="4">
        <f t="shared" si="136"/>
        <v>2.8442066949452367</v>
      </c>
      <c r="Y358" s="3">
        <f t="shared" si="123"/>
        <v>278.96251939935246</v>
      </c>
      <c r="AA358" s="3"/>
    </row>
    <row r="359" spans="4:27" x14ac:dyDescent="0.25">
      <c r="D359" s="1">
        <v>42223</v>
      </c>
      <c r="E359" s="3">
        <v>112.52404799999999</v>
      </c>
      <c r="F359" s="3">
        <v>201.32723999999999</v>
      </c>
      <c r="G359" s="3">
        <f t="shared" si="124"/>
        <v>0.37988499999998737</v>
      </c>
      <c r="H359" s="3">
        <f t="shared" si="125"/>
        <v>-0.38727000000000089</v>
      </c>
      <c r="I359" s="4">
        <f t="shared" si="126"/>
        <v>0.39941661403758044</v>
      </c>
      <c r="J359" s="4">
        <f t="shared" si="127"/>
        <v>-0.43621859136901059</v>
      </c>
      <c r="K359" s="4">
        <f t="shared" si="128"/>
        <v>0.35156950793649533</v>
      </c>
      <c r="L359" s="4">
        <f t="shared" si="129"/>
        <v>-0.45305863492063581</v>
      </c>
      <c r="M359" s="4">
        <f t="shared" si="130"/>
        <v>3.3817455557764936E-3</v>
      </c>
      <c r="N359" s="4">
        <f t="shared" si="131"/>
        <v>-1.9217369872212534E-3</v>
      </c>
      <c r="O359" s="4">
        <f t="shared" si="132"/>
        <v>3.1257773271154512E-3</v>
      </c>
      <c r="P359" s="4">
        <f t="shared" si="133"/>
        <v>-2.2347247042816439E-3</v>
      </c>
      <c r="S359" s="4">
        <v>-0.88103440338518069</v>
      </c>
      <c r="T359" s="4">
        <v>1.3031928450955184</v>
      </c>
      <c r="U359" s="4">
        <f t="shared" si="134"/>
        <v>0.49593233763271216</v>
      </c>
      <c r="W359" s="4">
        <f t="shared" si="135"/>
        <v>-1.4698453982732573</v>
      </c>
      <c r="X359" s="4">
        <f t="shared" si="136"/>
        <v>0.94016484200836214</v>
      </c>
      <c r="Y359" s="3">
        <f t="shared" si="123"/>
        <v>335.18926881907373</v>
      </c>
      <c r="AA359" s="3"/>
    </row>
    <row r="360" spans="4:27" x14ac:dyDescent="0.25">
      <c r="D360" s="1">
        <v>42222</v>
      </c>
      <c r="E360" s="3">
        <v>112.14416300000001</v>
      </c>
      <c r="F360" s="3">
        <v>201.71450999999999</v>
      </c>
      <c r="G360" s="3">
        <f t="shared" si="124"/>
        <v>0.24350800000000561</v>
      </c>
      <c r="H360" s="3">
        <f t="shared" si="125"/>
        <v>-1.665222</v>
      </c>
      <c r="I360" s="4">
        <f t="shared" si="126"/>
        <v>0.25658499723735007</v>
      </c>
      <c r="J360" s="4">
        <f t="shared" si="127"/>
        <v>-1.8603382871826875</v>
      </c>
      <c r="K360" s="4">
        <f t="shared" si="128"/>
        <v>0.21519250793651357</v>
      </c>
      <c r="L360" s="4">
        <f t="shared" si="129"/>
        <v>-1.7310106349206349</v>
      </c>
      <c r="M360" s="4">
        <f t="shared" si="130"/>
        <v>2.1737445039646539E-3</v>
      </c>
      <c r="N360" s="4">
        <f t="shared" si="131"/>
        <v>-8.2214517364932859E-3</v>
      </c>
      <c r="O360" s="4">
        <f t="shared" si="132"/>
        <v>1.9177762753036112E-3</v>
      </c>
      <c r="P360" s="4">
        <f t="shared" si="133"/>
        <v>-8.5344394535536768E-3</v>
      </c>
      <c r="S360" s="4">
        <v>0.40976047595545323</v>
      </c>
      <c r="T360" s="4">
        <v>0.83130849721294209</v>
      </c>
      <c r="U360" s="4">
        <f t="shared" si="134"/>
        <v>0.90877073967551869</v>
      </c>
      <c r="W360" s="4">
        <f t="shared" si="135"/>
        <v>0.72509545561940525</v>
      </c>
      <c r="X360" s="4">
        <f t="shared" si="136"/>
        <v>1.6680384826776393</v>
      </c>
      <c r="Y360" s="3">
        <f t="shared" si="123"/>
        <v>51.96089538448723</v>
      </c>
      <c r="AA360" s="3"/>
    </row>
    <row r="361" spans="4:27" x14ac:dyDescent="0.25">
      <c r="D361" s="1">
        <v>42221</v>
      </c>
      <c r="E361" s="3">
        <v>111.900655</v>
      </c>
      <c r="F361" s="3">
        <v>203.37973199999999</v>
      </c>
      <c r="G361" s="3">
        <f t="shared" si="124"/>
        <v>0.73695600000000638</v>
      </c>
      <c r="H361" s="3">
        <f t="shared" si="125"/>
        <v>0.66802699999999504</v>
      </c>
      <c r="I361" s="4">
        <f t="shared" si="126"/>
        <v>0.78168040187134069</v>
      </c>
      <c r="J361" s="4">
        <f t="shared" si="127"/>
        <v>0.74876001534389869</v>
      </c>
      <c r="K361" s="4">
        <f t="shared" si="128"/>
        <v>0.70864050793651434</v>
      </c>
      <c r="L361" s="4">
        <f t="shared" si="129"/>
        <v>0.60223836507936013</v>
      </c>
      <c r="M361" s="4">
        <f t="shared" si="130"/>
        <v>6.6075880622607506E-3</v>
      </c>
      <c r="N361" s="4">
        <f t="shared" si="131"/>
        <v>3.2900354044094931E-3</v>
      </c>
      <c r="O361" s="4">
        <f t="shared" si="132"/>
        <v>6.3516198335997077E-3</v>
      </c>
      <c r="P361" s="4">
        <f t="shared" si="133"/>
        <v>2.9770476873491026E-3</v>
      </c>
      <c r="S361" s="4">
        <v>0.50894477956184692</v>
      </c>
      <c r="T361" s="4">
        <v>0.59616040863223396</v>
      </c>
      <c r="U361" s="4">
        <f t="shared" si="134"/>
        <v>0.78283569105273587</v>
      </c>
      <c r="W361" s="4">
        <f t="shared" si="135"/>
        <v>0.8937540732936361</v>
      </c>
      <c r="X361" s="4">
        <f t="shared" si="136"/>
        <v>1.4460029310541671</v>
      </c>
      <c r="Y361" s="3">
        <f t="shared" si="123"/>
        <v>3.4308759847294823</v>
      </c>
      <c r="AA361" s="3"/>
    </row>
    <row r="362" spans="4:27" x14ac:dyDescent="0.25">
      <c r="D362" s="1">
        <v>42220</v>
      </c>
      <c r="E362" s="3">
        <v>111.16369899999999</v>
      </c>
      <c r="F362" s="3">
        <v>202.71170499999999</v>
      </c>
      <c r="G362" s="3">
        <f t="shared" si="124"/>
        <v>-3.684773000000007</v>
      </c>
      <c r="H362" s="3">
        <f t="shared" si="125"/>
        <v>-0.39693099999999504</v>
      </c>
      <c r="I362" s="4">
        <f t="shared" si="126"/>
        <v>-3.7829985162457609</v>
      </c>
      <c r="J362" s="4">
        <f t="shared" si="127"/>
        <v>-0.44403181009258447</v>
      </c>
      <c r="K362" s="4">
        <f t="shared" si="128"/>
        <v>-3.7130884920634992</v>
      </c>
      <c r="L362" s="4">
        <f t="shared" si="129"/>
        <v>-0.46271963492062995</v>
      </c>
      <c r="M362" s="4">
        <f t="shared" si="130"/>
        <v>-3.2609744057575191E-2</v>
      </c>
      <c r="N362" s="4">
        <f t="shared" si="131"/>
        <v>-1.9561913806458312E-3</v>
      </c>
      <c r="O362" s="4">
        <f t="shared" si="132"/>
        <v>-3.2865712286236234E-2</v>
      </c>
      <c r="P362" s="4">
        <f t="shared" si="133"/>
        <v>-2.2691790977062217E-3</v>
      </c>
      <c r="S362" s="4">
        <v>-1.1008913736063677</v>
      </c>
      <c r="T362" s="4">
        <v>0.43424570577064975</v>
      </c>
      <c r="U362" s="4">
        <f t="shared" si="134"/>
        <v>-0.32690483905390927</v>
      </c>
      <c r="W362" s="4">
        <f t="shared" si="135"/>
        <v>-1.8437026653535658</v>
      </c>
      <c r="X362" s="4">
        <f t="shared" si="136"/>
        <v>-0.51057590427235633</v>
      </c>
      <c r="Y362" s="3">
        <f t="shared" si="123"/>
        <v>253.27109815377116</v>
      </c>
      <c r="AA362" s="3"/>
    </row>
    <row r="363" spans="4:27" x14ac:dyDescent="0.25">
      <c r="D363" s="1">
        <v>42219</v>
      </c>
      <c r="E363" s="3">
        <v>114.848472</v>
      </c>
      <c r="F363" s="3">
        <v>203.10863599999999</v>
      </c>
      <c r="G363" s="3">
        <f t="shared" si="124"/>
        <v>-2.7732749999999982</v>
      </c>
      <c r="H363" s="3">
        <f t="shared" si="125"/>
        <v>-0.6873950000000093</v>
      </c>
      <c r="I363" s="4">
        <f t="shared" si="126"/>
        <v>-2.7800714976891117</v>
      </c>
      <c r="J363" s="4">
        <f t="shared" si="127"/>
        <v>-0.7663693056012808</v>
      </c>
      <c r="K363" s="4">
        <f t="shared" si="128"/>
        <v>-2.8015904920634904</v>
      </c>
      <c r="L363" s="4">
        <f t="shared" si="129"/>
        <v>-0.75318363492064422</v>
      </c>
      <c r="M363" s="4">
        <f t="shared" si="130"/>
        <v>-2.3860317101042489E-2</v>
      </c>
      <c r="N363" s="4">
        <f t="shared" si="131"/>
        <v>-3.3786570155161068E-3</v>
      </c>
      <c r="O363" s="4">
        <f t="shared" si="132"/>
        <v>-2.4116285329703533E-2</v>
      </c>
      <c r="P363" s="4">
        <f t="shared" si="133"/>
        <v>-3.6916447325764973E-3</v>
      </c>
      <c r="S363" s="4">
        <v>0.65200055801473156</v>
      </c>
      <c r="T363" s="4">
        <v>-0.93000727996169619</v>
      </c>
      <c r="U363" s="4">
        <f t="shared" si="134"/>
        <v>-0.33973526087497624</v>
      </c>
      <c r="W363" s="4">
        <f t="shared" si="135"/>
        <v>1.13701423611056</v>
      </c>
      <c r="X363" s="4">
        <f t="shared" si="136"/>
        <v>-0.53319716672277695</v>
      </c>
      <c r="Y363" s="3">
        <f t="shared" si="123"/>
        <v>-232.2053005874327</v>
      </c>
      <c r="AA363" s="3"/>
    </row>
    <row r="364" spans="4:27" x14ac:dyDescent="0.25">
      <c r="D364" s="1">
        <v>42216</v>
      </c>
      <c r="E364" s="3">
        <v>117.621747</v>
      </c>
      <c r="F364" s="3">
        <v>203.796031</v>
      </c>
      <c r="G364" s="3">
        <f t="shared" si="124"/>
        <v>-1.0375540000000001</v>
      </c>
      <c r="H364" s="3">
        <f t="shared" si="125"/>
        <v>-0.30981600000001208</v>
      </c>
      <c r="I364" s="4">
        <f t="shared" si="126"/>
        <v>-1.0310021655210662</v>
      </c>
      <c r="J364" s="4">
        <f t="shared" si="127"/>
        <v>-0.34488622723637474</v>
      </c>
      <c r="K364" s="4">
        <f t="shared" si="128"/>
        <v>-1.0658694920634921</v>
      </c>
      <c r="L364" s="4">
        <f t="shared" si="129"/>
        <v>-0.375604634920647</v>
      </c>
      <c r="M364" s="4">
        <f t="shared" si="130"/>
        <v>-8.7824281950883657E-3</v>
      </c>
      <c r="N364" s="4">
        <f t="shared" si="131"/>
        <v>-1.5190715036475461E-3</v>
      </c>
      <c r="O364" s="4">
        <f t="shared" si="132"/>
        <v>-9.0383964237494077E-3</v>
      </c>
      <c r="P364" s="4">
        <f t="shared" si="133"/>
        <v>-1.8320592207079368E-3</v>
      </c>
      <c r="S364" s="4">
        <v>-0.35598655328322898</v>
      </c>
      <c r="T364" s="4">
        <v>0.52619529602781789</v>
      </c>
      <c r="U364" s="4">
        <f t="shared" si="134"/>
        <v>0.20009346596371094</v>
      </c>
      <c r="W364" s="4">
        <f t="shared" si="135"/>
        <v>-0.57702424219152526</v>
      </c>
      <c r="X364" s="4">
        <f t="shared" si="136"/>
        <v>0.41857257852779706</v>
      </c>
      <c r="Y364" s="3">
        <f t="shared" si="123"/>
        <v>135.18911651616145</v>
      </c>
      <c r="AA364" s="3"/>
    </row>
    <row r="365" spans="4:27" x14ac:dyDescent="0.25">
      <c r="D365" s="1">
        <v>42215</v>
      </c>
      <c r="E365" s="3">
        <v>118.659301</v>
      </c>
      <c r="F365" s="3">
        <v>204.10584700000001</v>
      </c>
      <c r="G365" s="3">
        <f t="shared" si="124"/>
        <v>-0.60119400000000667</v>
      </c>
      <c r="H365" s="3">
        <f t="shared" si="125"/>
        <v>4.8411000000015747E-2</v>
      </c>
      <c r="I365" s="4">
        <f t="shared" si="126"/>
        <v>-0.59438615397979677</v>
      </c>
      <c r="J365" s="4">
        <f t="shared" si="127"/>
        <v>5.3903762903698242E-2</v>
      </c>
      <c r="K365" s="4">
        <f t="shared" si="128"/>
        <v>-0.62950949206349871</v>
      </c>
      <c r="L365" s="4">
        <f t="shared" si="129"/>
        <v>-1.7377634920619139E-2</v>
      </c>
      <c r="M365" s="4">
        <f t="shared" si="130"/>
        <v>-5.0537642489185564E-3</v>
      </c>
      <c r="N365" s="4">
        <f t="shared" si="131"/>
        <v>2.372138908292036E-4</v>
      </c>
      <c r="O365" s="4">
        <f t="shared" si="132"/>
        <v>-5.3097324775795993E-3</v>
      </c>
      <c r="P365" s="4">
        <f t="shared" si="133"/>
        <v>-7.5773826231186991E-5</v>
      </c>
      <c r="S365" s="4">
        <v>-0.23678792999924012</v>
      </c>
      <c r="T365" s="4">
        <v>-0.90204355359700927</v>
      </c>
      <c r="U365" s="4">
        <f t="shared" si="134"/>
        <v>-0.85939393097746097</v>
      </c>
      <c r="W365" s="4">
        <f t="shared" si="135"/>
        <v>-0.3743321397039196</v>
      </c>
      <c r="X365" s="4">
        <f t="shared" si="136"/>
        <v>-1.4494051702447719</v>
      </c>
      <c r="Y365" s="3">
        <f t="shared" si="123"/>
        <v>-84.590639668621407</v>
      </c>
      <c r="AA365" s="3"/>
    </row>
    <row r="366" spans="4:27" x14ac:dyDescent="0.25">
      <c r="D366" s="1">
        <v>42214</v>
      </c>
      <c r="E366" s="3">
        <v>119.26049500000001</v>
      </c>
      <c r="F366" s="3">
        <v>204.057436</v>
      </c>
      <c r="G366" s="3">
        <f t="shared" si="124"/>
        <v>-0.37817399999998713</v>
      </c>
      <c r="H366" s="3">
        <f t="shared" si="125"/>
        <v>1.3941409999999905</v>
      </c>
      <c r="I366" s="4">
        <f t="shared" si="126"/>
        <v>-0.37270974531398782</v>
      </c>
      <c r="J366" s="4">
        <f t="shared" si="127"/>
        <v>1.5630002777216507</v>
      </c>
      <c r="K366" s="4">
        <f t="shared" si="128"/>
        <v>-0.40648949206347917</v>
      </c>
      <c r="L366" s="4">
        <f t="shared" si="129"/>
        <v>1.3283523650793556</v>
      </c>
      <c r="M366" s="4">
        <f t="shared" si="130"/>
        <v>-3.1659743763873104E-3</v>
      </c>
      <c r="N366" s="4">
        <f t="shared" si="131"/>
        <v>6.8555465898258285E-3</v>
      </c>
      <c r="O366" s="4">
        <f t="shared" si="132"/>
        <v>-3.4219426050483529E-3</v>
      </c>
      <c r="P366" s="4">
        <f t="shared" si="133"/>
        <v>6.5425588727654376E-3</v>
      </c>
      <c r="S366" s="4">
        <v>-6.9247200141921511E-2</v>
      </c>
      <c r="T366" s="4">
        <v>-0.42466421702683266</v>
      </c>
      <c r="U366" s="4">
        <f t="shared" si="134"/>
        <v>-0.37884257380634317</v>
      </c>
      <c r="W366" s="4">
        <f t="shared" si="135"/>
        <v>-8.943637621694836E-2</v>
      </c>
      <c r="X366" s="4">
        <f t="shared" si="136"/>
        <v>-0.60214710475977973</v>
      </c>
      <c r="Y366" s="3">
        <f t="shared" si="123"/>
        <v>-45.86180680129246</v>
      </c>
      <c r="AA366" s="3"/>
    </row>
    <row r="367" spans="4:27" x14ac:dyDescent="0.25">
      <c r="D367" s="1">
        <v>42213</v>
      </c>
      <c r="E367" s="3">
        <v>119.63866899999999</v>
      </c>
      <c r="F367" s="3">
        <v>202.66329500000001</v>
      </c>
      <c r="G367" s="3">
        <f t="shared" si="124"/>
        <v>0.59150399999998626</v>
      </c>
      <c r="H367" s="3">
        <f t="shared" si="125"/>
        <v>2.4591149999999971</v>
      </c>
      <c r="I367" s="4">
        <f t="shared" si="126"/>
        <v>0.58585384209707447</v>
      </c>
      <c r="J367" s="4">
        <f t="shared" si="127"/>
        <v>2.7908285249778713</v>
      </c>
      <c r="K367" s="4">
        <f t="shared" si="128"/>
        <v>0.56318850793649422</v>
      </c>
      <c r="L367" s="4">
        <f t="shared" si="129"/>
        <v>2.3933263650793624</v>
      </c>
      <c r="M367" s="4">
        <f t="shared" si="130"/>
        <v>4.9563495324755182E-3</v>
      </c>
      <c r="N367" s="4">
        <f t="shared" si="131"/>
        <v>1.220821086247756E-2</v>
      </c>
      <c r="O367" s="4">
        <f t="shared" si="132"/>
        <v>4.7003813038144753E-3</v>
      </c>
      <c r="P367" s="4">
        <f t="shared" si="133"/>
        <v>1.189522314541717E-2</v>
      </c>
      <c r="S367" s="4">
        <v>0.43659842369706875</v>
      </c>
      <c r="T367" s="4">
        <v>1.1169941675883517</v>
      </c>
      <c r="U367" s="4">
        <f t="shared" si="134"/>
        <v>1.1515925022551943</v>
      </c>
      <c r="W367" s="4">
        <f t="shared" si="135"/>
        <v>0.77073222477268821</v>
      </c>
      <c r="X367" s="4">
        <f t="shared" si="136"/>
        <v>2.0961565053422873</v>
      </c>
      <c r="Y367" s="3">
        <f t="shared" si="123"/>
        <v>87.634785396920051</v>
      </c>
      <c r="AA367" s="3"/>
    </row>
    <row r="368" spans="4:27" x14ac:dyDescent="0.25">
      <c r="D368" s="1">
        <v>42212</v>
      </c>
      <c r="E368" s="3">
        <v>119.04716500000001</v>
      </c>
      <c r="F368" s="3">
        <v>200.20418000000001</v>
      </c>
      <c r="G368" s="3">
        <f t="shared" si="124"/>
        <v>-1.6775439999999975</v>
      </c>
      <c r="H368" s="3">
        <f t="shared" si="125"/>
        <v>-1.1714699999999993</v>
      </c>
      <c r="I368" s="4">
        <f t="shared" si="126"/>
        <v>-1.6384319447825357</v>
      </c>
      <c r="J368" s="4">
        <f t="shared" si="127"/>
        <v>-1.3217571583271852</v>
      </c>
      <c r="K368" s="4">
        <f t="shared" si="128"/>
        <v>-1.7058594920634895</v>
      </c>
      <c r="L368" s="4">
        <f t="shared" si="129"/>
        <v>-1.2372586349206343</v>
      </c>
      <c r="M368" s="4">
        <f t="shared" si="130"/>
        <v>-1.3993062194161141E-2</v>
      </c>
      <c r="N368" s="4">
        <f t="shared" si="131"/>
        <v>-5.8343235167099246E-3</v>
      </c>
      <c r="O368" s="4">
        <f t="shared" si="132"/>
        <v>-1.4249030422822183E-2</v>
      </c>
      <c r="P368" s="4">
        <f t="shared" si="133"/>
        <v>-6.1473112337703155E-3</v>
      </c>
      <c r="S368" s="4">
        <v>-0.62084048169121475</v>
      </c>
      <c r="T368" s="4">
        <v>-0.97455673792769937</v>
      </c>
      <c r="U368" s="4">
        <f t="shared" si="134"/>
        <v>-1.1510015578998871</v>
      </c>
      <c r="W368" s="4">
        <f t="shared" si="135"/>
        <v>-1.027396890147497</v>
      </c>
      <c r="X368" s="4">
        <f t="shared" si="136"/>
        <v>-1.9635373440073922</v>
      </c>
      <c r="Y368" s="3">
        <f t="shared" si="123"/>
        <v>-28.968930763326171</v>
      </c>
      <c r="AA368" s="3"/>
    </row>
    <row r="369" spans="4:27" x14ac:dyDescent="0.25">
      <c r="D369" s="1">
        <v>42209</v>
      </c>
      <c r="E369" s="3">
        <v>120.724709</v>
      </c>
      <c r="F369" s="3">
        <v>201.37565000000001</v>
      </c>
      <c r="G369" s="3">
        <f t="shared" si="124"/>
        <v>-0.63998999999999739</v>
      </c>
      <c r="H369" s="3">
        <f t="shared" si="125"/>
        <v>-2.1105649999999798</v>
      </c>
      <c r="I369" s="4">
        <f t="shared" si="126"/>
        <v>-0.62177242708738312</v>
      </c>
      <c r="J369" s="4">
        <f t="shared" si="127"/>
        <v>-2.3566288675817693</v>
      </c>
      <c r="K369" s="4">
        <f t="shared" si="128"/>
        <v>-0.66830549206348944</v>
      </c>
      <c r="L369" s="4">
        <f t="shared" si="129"/>
        <v>-2.1763536349206145</v>
      </c>
      <c r="M369" s="4">
        <f t="shared" si="130"/>
        <v>-5.2872324831339792E-3</v>
      </c>
      <c r="N369" s="4">
        <f t="shared" si="131"/>
        <v>-1.0426193729739094E-2</v>
      </c>
      <c r="O369" s="4">
        <f t="shared" si="132"/>
        <v>-5.5432007117950221E-3</v>
      </c>
      <c r="P369" s="4">
        <f t="shared" si="133"/>
        <v>-1.0739181446799485E-2</v>
      </c>
      <c r="S369" s="4">
        <v>-0.31859760173614299</v>
      </c>
      <c r="T369" s="4">
        <v>0.99606330013858346</v>
      </c>
      <c r="U369" s="4">
        <f t="shared" si="134"/>
        <v>0.59534722185736144</v>
      </c>
      <c r="W369" s="4">
        <f t="shared" si="135"/>
        <v>-0.5134459474923444</v>
      </c>
      <c r="X369" s="4">
        <f t="shared" si="136"/>
        <v>1.1154428039403219</v>
      </c>
      <c r="Y369" s="3">
        <f t="shared" si="123"/>
        <v>194.50765632829643</v>
      </c>
      <c r="AA369" s="3"/>
    </row>
    <row r="370" spans="4:27" x14ac:dyDescent="0.25">
      <c r="D370" s="1">
        <v>42208</v>
      </c>
      <c r="E370" s="3">
        <v>121.364699</v>
      </c>
      <c r="F370" s="3">
        <v>203.48621499999999</v>
      </c>
      <c r="G370" s="3">
        <f t="shared" si="124"/>
        <v>-5.8177999999998065E-2</v>
      </c>
      <c r="H370" s="3">
        <f t="shared" si="125"/>
        <v>-1.152103000000011</v>
      </c>
      <c r="I370" s="4">
        <f t="shared" si="126"/>
        <v>-5.649485815355678E-2</v>
      </c>
      <c r="J370" s="4">
        <f t="shared" si="127"/>
        <v>-1.2791804255091828</v>
      </c>
      <c r="K370" s="4">
        <f t="shared" si="128"/>
        <v>-8.6493492063490121E-2</v>
      </c>
      <c r="L370" s="4">
        <f t="shared" si="129"/>
        <v>-1.2178916349206459</v>
      </c>
      <c r="M370" s="4">
        <f t="shared" si="130"/>
        <v>-4.7925023242155191E-4</v>
      </c>
      <c r="N370" s="4">
        <f t="shared" si="131"/>
        <v>-5.6458554543087095E-3</v>
      </c>
      <c r="O370" s="4">
        <f t="shared" si="132"/>
        <v>-7.3521846108259457E-4</v>
      </c>
      <c r="P370" s="4">
        <f t="shared" si="133"/>
        <v>-5.9588431713691005E-3</v>
      </c>
      <c r="S370" s="4">
        <v>-0.56727720335430076</v>
      </c>
      <c r="T370" s="4">
        <v>1.1144911373526818</v>
      </c>
      <c r="U370" s="4">
        <f t="shared" si="134"/>
        <v>0.53762338958807798</v>
      </c>
      <c r="W370" s="4">
        <f t="shared" si="135"/>
        <v>-0.93631485242654422</v>
      </c>
      <c r="X370" s="4">
        <f t="shared" si="136"/>
        <v>1.0136701593914519</v>
      </c>
      <c r="Y370" s="3">
        <f t="shared" si="123"/>
        <v>253.68981660859754</v>
      </c>
      <c r="AA370" s="3"/>
    </row>
    <row r="371" spans="4:27" x14ac:dyDescent="0.25">
      <c r="D371" s="1">
        <v>42207</v>
      </c>
      <c r="E371" s="3">
        <v>121.422877</v>
      </c>
      <c r="F371" s="3">
        <v>204.638318</v>
      </c>
      <c r="G371" s="3">
        <f t="shared" si="124"/>
        <v>-5.3623089999999962</v>
      </c>
      <c r="H371" s="3">
        <f t="shared" si="125"/>
        <v>-0.36790300000001253</v>
      </c>
      <c r="I371" s="4">
        <f t="shared" si="126"/>
        <v>-4.9869381083625619</v>
      </c>
      <c r="J371" s="4">
        <f t="shared" si="127"/>
        <v>-0.40774978826288316</v>
      </c>
      <c r="K371" s="4">
        <f t="shared" si="128"/>
        <v>-5.3906244920634885</v>
      </c>
      <c r="L371" s="4">
        <f t="shared" si="129"/>
        <v>-0.43369163492064744</v>
      </c>
      <c r="M371" s="4">
        <f t="shared" si="130"/>
        <v>-4.321490148970062E-2</v>
      </c>
      <c r="N371" s="4">
        <f t="shared" si="131"/>
        <v>-1.7962065346394198E-3</v>
      </c>
      <c r="O371" s="4">
        <f t="shared" si="132"/>
        <v>-4.3470869718361664E-2</v>
      </c>
      <c r="P371" s="4">
        <f t="shared" si="133"/>
        <v>-2.1091942516998103E-3</v>
      </c>
      <c r="S371" s="4">
        <v>-0.12505365463948001</v>
      </c>
      <c r="T371" s="4">
        <v>-1.536957270524508</v>
      </c>
      <c r="U371" s="4">
        <f t="shared" si="134"/>
        <v>-1.2945692598431955</v>
      </c>
      <c r="W371" s="4">
        <f t="shared" si="135"/>
        <v>-0.18433283796164057</v>
      </c>
      <c r="X371" s="4">
        <f t="shared" si="136"/>
        <v>-2.2166609521284268</v>
      </c>
      <c r="Y371" s="3">
        <f t="shared" si="123"/>
        <v>-192.03875215062635</v>
      </c>
      <c r="AA371" s="3"/>
    </row>
    <row r="372" spans="4:27" x14ac:dyDescent="0.25">
      <c r="D372" s="1">
        <v>42206</v>
      </c>
      <c r="E372" s="3">
        <v>126.785186</v>
      </c>
      <c r="F372" s="3">
        <v>205.00622100000001</v>
      </c>
      <c r="G372" s="3">
        <f t="shared" si="124"/>
        <v>-1.279980000000009</v>
      </c>
      <c r="H372" s="3">
        <f t="shared" si="125"/>
        <v>-0.81324399999999741</v>
      </c>
      <c r="I372" s="4">
        <f t="shared" si="126"/>
        <v>-1.1784816405104339</v>
      </c>
      <c r="J372" s="4">
        <f t="shared" si="127"/>
        <v>-0.89776336233653797</v>
      </c>
      <c r="K372" s="4">
        <f t="shared" si="128"/>
        <v>-1.308295492063501</v>
      </c>
      <c r="L372" s="4">
        <f t="shared" si="129"/>
        <v>-0.87903263492063233</v>
      </c>
      <c r="M372" s="4">
        <f t="shared" si="130"/>
        <v>-1.0045038217395177E-2</v>
      </c>
      <c r="N372" s="4">
        <f t="shared" si="131"/>
        <v>-3.9590760264737353E-3</v>
      </c>
      <c r="O372" s="4">
        <f t="shared" si="132"/>
        <v>-1.0301006446056219E-2</v>
      </c>
      <c r="P372" s="4">
        <f t="shared" si="133"/>
        <v>-4.2720637435341262E-3</v>
      </c>
      <c r="S372" s="4">
        <v>-0.12571450727314154</v>
      </c>
      <c r="T372" s="4">
        <v>-0.71741721047820317</v>
      </c>
      <c r="U372" s="4">
        <f t="shared" si="134"/>
        <v>-0.64532926555342152</v>
      </c>
      <c r="W372" s="4">
        <f t="shared" si="135"/>
        <v>-0.18545658927739356</v>
      </c>
      <c r="X372" s="4">
        <f t="shared" si="136"/>
        <v>-1.0719886639559735</v>
      </c>
      <c r="Y372" s="3">
        <f t="shared" si="123"/>
        <v>-77.390365784508958</v>
      </c>
      <c r="AA372" s="3"/>
    </row>
    <row r="373" spans="4:27" x14ac:dyDescent="0.25">
      <c r="D373" s="1">
        <v>42205</v>
      </c>
      <c r="E373" s="3">
        <v>128.065166</v>
      </c>
      <c r="F373" s="3">
        <v>205.81946500000001</v>
      </c>
      <c r="G373" s="3">
        <f t="shared" si="124"/>
        <v>2.3757190000000037</v>
      </c>
      <c r="H373" s="3">
        <f t="shared" si="125"/>
        <v>0.10649700000001872</v>
      </c>
      <c r="I373" s="4">
        <f t="shared" si="126"/>
        <v>2.2286758632399462</v>
      </c>
      <c r="J373" s="4">
        <f t="shared" si="127"/>
        <v>0.1176259540209602</v>
      </c>
      <c r="K373" s="4">
        <f t="shared" si="128"/>
        <v>2.3474035079365114</v>
      </c>
      <c r="L373" s="4">
        <f t="shared" si="129"/>
        <v>4.0708365079383829E-2</v>
      </c>
      <c r="M373" s="4">
        <f t="shared" si="130"/>
        <v>1.872508552892193E-2</v>
      </c>
      <c r="N373" s="4">
        <f t="shared" si="131"/>
        <v>5.1756310724263726E-4</v>
      </c>
      <c r="O373" s="4">
        <f t="shared" si="132"/>
        <v>1.8469117300260886E-2</v>
      </c>
      <c r="P373" s="4">
        <f t="shared" si="133"/>
        <v>2.0457539018224667E-4</v>
      </c>
      <c r="S373" s="4">
        <v>0.72837652800225872</v>
      </c>
      <c r="T373" s="4">
        <v>1.4547363304618246</v>
      </c>
      <c r="U373" s="4">
        <f t="shared" si="134"/>
        <v>1.5971924617191158</v>
      </c>
      <c r="W373" s="4">
        <f t="shared" si="135"/>
        <v>1.2668882691303824</v>
      </c>
      <c r="X373" s="4">
        <f t="shared" si="136"/>
        <v>2.8817919093458531</v>
      </c>
      <c r="Y373" s="3">
        <f t="shared" si="123"/>
        <v>89.280325312452987</v>
      </c>
      <c r="AA373" s="3"/>
    </row>
    <row r="374" spans="4:27" x14ac:dyDescent="0.25">
      <c r="D374" s="1">
        <v>42202</v>
      </c>
      <c r="E374" s="3">
        <v>125.689447</v>
      </c>
      <c r="F374" s="3">
        <v>205.71296799999999</v>
      </c>
      <c r="G374" s="3">
        <f t="shared" si="124"/>
        <v>1.0763409999999993</v>
      </c>
      <c r="H374" s="3">
        <f t="shared" si="125"/>
        <v>0.17425999999997543</v>
      </c>
      <c r="I374" s="4">
        <f t="shared" si="126"/>
        <v>1.0184432094595566</v>
      </c>
      <c r="J374" s="4">
        <f t="shared" si="127"/>
        <v>0.19263337891476098</v>
      </c>
      <c r="K374" s="4">
        <f t="shared" si="128"/>
        <v>1.0480255079365073</v>
      </c>
      <c r="L374" s="4">
        <f t="shared" si="129"/>
        <v>0.10847136507934055</v>
      </c>
      <c r="M374" s="4">
        <f t="shared" si="130"/>
        <v>8.6003728009544592E-3</v>
      </c>
      <c r="N374" s="4">
        <f t="shared" si="131"/>
        <v>8.4746164258459554E-4</v>
      </c>
      <c r="O374" s="4">
        <f t="shared" si="132"/>
        <v>8.3444045722934172E-3</v>
      </c>
      <c r="P374" s="4">
        <f t="shared" si="133"/>
        <v>5.3447392552420495E-4</v>
      </c>
      <c r="S374" s="4">
        <v>1.9526813080790966</v>
      </c>
      <c r="T374" s="4">
        <v>1.1937939124832317</v>
      </c>
      <c r="U374" s="4">
        <f t="shared" si="134"/>
        <v>2.136709000028012</v>
      </c>
      <c r="W374" s="4">
        <f t="shared" si="135"/>
        <v>3.3487655855165785</v>
      </c>
      <c r="X374" s="4">
        <f t="shared" si="136"/>
        <v>3.8330112363198579</v>
      </c>
      <c r="Y374" s="3">
        <f t="shared" si="123"/>
        <v>-124.89499203186688</v>
      </c>
      <c r="AA374" s="3"/>
    </row>
    <row r="375" spans="4:27" x14ac:dyDescent="0.25">
      <c r="D375" s="1">
        <v>42201</v>
      </c>
      <c r="E375" s="3">
        <v>124.613106</v>
      </c>
      <c r="F375" s="3">
        <v>205.53870800000001</v>
      </c>
      <c r="G375" s="3">
        <f t="shared" si="124"/>
        <v>1.6387480000000068</v>
      </c>
      <c r="H375" s="3">
        <f t="shared" si="125"/>
        <v>1.6361800000000244</v>
      </c>
      <c r="I375" s="4">
        <f t="shared" si="126"/>
        <v>1.5712607601902895</v>
      </c>
      <c r="J375" s="4">
        <f t="shared" si="127"/>
        <v>1.8232067689384681</v>
      </c>
      <c r="K375" s="4">
        <f t="shared" si="128"/>
        <v>1.6104325079365147</v>
      </c>
      <c r="L375" s="4">
        <f t="shared" si="129"/>
        <v>1.5703913650793895</v>
      </c>
      <c r="M375" s="4">
        <f t="shared" si="130"/>
        <v>1.3237923318042792E-2</v>
      </c>
      <c r="N375" s="4">
        <f t="shared" si="131"/>
        <v>7.99230055809649E-3</v>
      </c>
      <c r="O375" s="4">
        <f t="shared" si="132"/>
        <v>1.298195508938175E-2</v>
      </c>
      <c r="P375" s="4">
        <f t="shared" si="133"/>
        <v>7.679312841036099E-3</v>
      </c>
      <c r="S375" s="4">
        <v>-0.68473894170426841</v>
      </c>
      <c r="T375" s="4">
        <v>-0.99765887203138348</v>
      </c>
      <c r="U375" s="4">
        <f t="shared" si="134"/>
        <v>-1.2082683621413701</v>
      </c>
      <c r="W375" s="4">
        <f t="shared" si="135"/>
        <v>-1.1360534572196586</v>
      </c>
      <c r="X375" s="4">
        <f t="shared" si="136"/>
        <v>-2.0645042043733062</v>
      </c>
      <c r="Y375" s="3">
        <f t="shared" si="123"/>
        <v>-21.040324492671971</v>
      </c>
      <c r="AA375" s="3"/>
    </row>
    <row r="376" spans="4:27" x14ac:dyDescent="0.25">
      <c r="D376" s="1">
        <v>42200</v>
      </c>
      <c r="E376" s="3">
        <v>122.974358</v>
      </c>
      <c r="F376" s="3">
        <v>203.90252799999999</v>
      </c>
      <c r="G376" s="3">
        <f t="shared" si="124"/>
        <v>1.1733079999999916</v>
      </c>
      <c r="H376" s="3">
        <f t="shared" si="125"/>
        <v>-6.7763000000013562E-2</v>
      </c>
      <c r="I376" s="4">
        <f t="shared" si="126"/>
        <v>1.1358256022688722</v>
      </c>
      <c r="J376" s="4">
        <f t="shared" si="127"/>
        <v>-7.5483697301505948E-2</v>
      </c>
      <c r="K376" s="4">
        <f t="shared" si="128"/>
        <v>1.1449925079364995</v>
      </c>
      <c r="L376" s="4">
        <f t="shared" si="129"/>
        <v>-0.13355163492064845</v>
      </c>
      <c r="M376" s="4">
        <f t="shared" si="130"/>
        <v>9.5868861661951091E-3</v>
      </c>
      <c r="N376" s="4">
        <f t="shared" si="131"/>
        <v>-3.32275147873838E-4</v>
      </c>
      <c r="O376" s="4">
        <f t="shared" si="132"/>
        <v>9.3309179375340671E-3</v>
      </c>
      <c r="P376" s="4">
        <f t="shared" si="133"/>
        <v>-6.4526286493422859E-4</v>
      </c>
      <c r="S376" s="4">
        <v>1.3599132587156977</v>
      </c>
      <c r="T376" s="4">
        <v>-3.0795471941332515</v>
      </c>
      <c r="U376" s="4">
        <f t="shared" si="134"/>
        <v>-1.6120990180396166</v>
      </c>
      <c r="W376" s="4">
        <f t="shared" si="135"/>
        <v>2.3407891600952042</v>
      </c>
      <c r="X376" s="4">
        <f t="shared" si="136"/>
        <v>-2.7764963259105873</v>
      </c>
      <c r="Y376" s="3">
        <f t="shared" si="123"/>
        <v>-638.78134959778981</v>
      </c>
      <c r="AA376" s="3"/>
    </row>
    <row r="377" spans="4:27" x14ac:dyDescent="0.25">
      <c r="D377" s="1">
        <v>42199</v>
      </c>
      <c r="E377" s="3">
        <v>121.80105</v>
      </c>
      <c r="F377" s="3">
        <v>203.970291</v>
      </c>
      <c r="G377" s="3">
        <f t="shared" si="124"/>
        <v>-4.8486999999994396E-2</v>
      </c>
      <c r="H377" s="3">
        <f t="shared" si="125"/>
        <v>0.88100700000001098</v>
      </c>
      <c r="I377" s="4">
        <f t="shared" si="126"/>
        <v>-4.6919360587700382E-2</v>
      </c>
      <c r="J377" s="4">
        <f t="shared" si="127"/>
        <v>0.98564337169582761</v>
      </c>
      <c r="K377" s="4">
        <f t="shared" si="128"/>
        <v>-7.6802492063486452E-2</v>
      </c>
      <c r="L377" s="4">
        <f t="shared" si="129"/>
        <v>0.81521836507937606</v>
      </c>
      <c r="M377" s="4">
        <f t="shared" si="130"/>
        <v>-3.9800438190656505E-4</v>
      </c>
      <c r="N377" s="4">
        <f t="shared" si="131"/>
        <v>4.3286458776038541E-3</v>
      </c>
      <c r="O377" s="4">
        <f t="shared" si="132"/>
        <v>-6.539726105676076E-4</v>
      </c>
      <c r="P377" s="4">
        <f t="shared" si="133"/>
        <v>4.0156581605434631E-3</v>
      </c>
      <c r="S377" s="4">
        <v>-0.92441082115301187</v>
      </c>
      <c r="T377" s="4">
        <v>1.2043515689017557</v>
      </c>
      <c r="U377" s="4">
        <f t="shared" si="134"/>
        <v>0.3911384147725625</v>
      </c>
      <c r="W377" s="4">
        <f t="shared" si="135"/>
        <v>-1.5436051202693368</v>
      </c>
      <c r="X377" s="4">
        <f t="shared" si="136"/>
        <v>0.75540311980713259</v>
      </c>
      <c r="Y377" s="3">
        <f t="shared" si="123"/>
        <v>329.11468215079822</v>
      </c>
      <c r="AA377" s="3"/>
    </row>
    <row r="378" spans="4:27" x14ac:dyDescent="0.25">
      <c r="D378" s="1">
        <v>42198</v>
      </c>
      <c r="E378" s="3">
        <v>121.849537</v>
      </c>
      <c r="F378" s="3">
        <v>203.08928399999999</v>
      </c>
      <c r="G378" s="3">
        <f t="shared" si="124"/>
        <v>2.3078349999999972</v>
      </c>
      <c r="H378" s="3">
        <f t="shared" si="125"/>
        <v>2.2170769999999891</v>
      </c>
      <c r="I378" s="4">
        <f t="shared" si="126"/>
        <v>2.2763339447964333</v>
      </c>
      <c r="J378" s="4">
        <f t="shared" si="127"/>
        <v>2.5077739136382191</v>
      </c>
      <c r="K378" s="4">
        <f t="shared" si="128"/>
        <v>2.2795195079365049</v>
      </c>
      <c r="L378" s="4">
        <f t="shared" si="129"/>
        <v>2.1512883650793544</v>
      </c>
      <c r="M378" s="4">
        <f t="shared" si="130"/>
        <v>1.9121699103454473E-2</v>
      </c>
      <c r="N378" s="4">
        <f t="shared" si="131"/>
        <v>1.097678521649738E-2</v>
      </c>
      <c r="O378" s="4">
        <f t="shared" si="132"/>
        <v>1.8865730874793429E-2</v>
      </c>
      <c r="P378" s="4">
        <f t="shared" si="133"/>
        <v>1.0663797499436989E-2</v>
      </c>
      <c r="S378" s="4">
        <v>-1.8926607239475239</v>
      </c>
      <c r="T378" s="4">
        <v>-0.29868225612759808</v>
      </c>
      <c r="U378" s="4">
        <f t="shared" si="134"/>
        <v>-1.3905712467179012</v>
      </c>
      <c r="W378" s="4">
        <f t="shared" si="135"/>
        <v>-3.1900721945010675</v>
      </c>
      <c r="X378" s="4">
        <f t="shared" si="136"/>
        <v>-2.3859216491764954</v>
      </c>
      <c r="Y378" s="3">
        <f t="shared" si="123"/>
        <v>299.36790001533336</v>
      </c>
      <c r="AA378" s="3"/>
    </row>
    <row r="379" spans="4:27" x14ac:dyDescent="0.25">
      <c r="D379" s="1">
        <v>42195</v>
      </c>
      <c r="E379" s="3">
        <v>119.541702</v>
      </c>
      <c r="F379" s="3">
        <v>200.872207</v>
      </c>
      <c r="G379" s="3">
        <f t="shared" si="124"/>
        <v>3.1126600000000053</v>
      </c>
      <c r="H379" s="3">
        <f t="shared" si="125"/>
        <v>2.4978340000000117</v>
      </c>
      <c r="I379" s="4">
        <f t="shared" si="126"/>
        <v>3.1522526231096246</v>
      </c>
      <c r="J379" s="4">
        <f t="shared" si="127"/>
        <v>2.8609183335633817</v>
      </c>
      <c r="K379" s="4">
        <f t="shared" si="128"/>
        <v>3.084344507936513</v>
      </c>
      <c r="L379" s="4">
        <f t="shared" si="129"/>
        <v>2.432045365079377</v>
      </c>
      <c r="M379" s="4">
        <f t="shared" si="130"/>
        <v>2.638327531157305E-2</v>
      </c>
      <c r="N379" s="4">
        <f t="shared" si="131"/>
        <v>1.2512901630704393E-2</v>
      </c>
      <c r="O379" s="4">
        <f t="shared" si="132"/>
        <v>2.6127307082912006E-2</v>
      </c>
      <c r="P379" s="4">
        <f t="shared" si="133"/>
        <v>1.2199913913644002E-2</v>
      </c>
      <c r="S379" s="4">
        <v>-0.22041947439664955</v>
      </c>
      <c r="T379" s="4">
        <v>-0.29018437160877908</v>
      </c>
      <c r="U379" s="4">
        <f t="shared" si="134"/>
        <v>-0.36439946495447539</v>
      </c>
      <c r="W379" s="4">
        <f t="shared" si="135"/>
        <v>-0.34649828903385266</v>
      </c>
      <c r="X379" s="4">
        <f t="shared" si="136"/>
        <v>-0.57668252062571546</v>
      </c>
      <c r="Y379" s="3">
        <f t="shared" si="123"/>
        <v>-1.8307833359090182</v>
      </c>
      <c r="AA379" s="3"/>
    </row>
    <row r="380" spans="4:27" x14ac:dyDescent="0.25">
      <c r="D380" s="1">
        <v>42194</v>
      </c>
      <c r="E380" s="3">
        <v>116.429042</v>
      </c>
      <c r="F380" s="3">
        <v>198.37437299999999</v>
      </c>
      <c r="G380" s="3">
        <f t="shared" si="124"/>
        <v>-2.4241910000000075</v>
      </c>
      <c r="H380" s="3">
        <f t="shared" si="125"/>
        <v>0.35821199999998043</v>
      </c>
      <c r="I380" s="4">
        <f t="shared" si="126"/>
        <v>-2.4049524215026179</v>
      </c>
      <c r="J380" s="4">
        <f t="shared" si="127"/>
        <v>0.41102378016246638</v>
      </c>
      <c r="K380" s="4">
        <f t="shared" si="128"/>
        <v>-2.4525064920634998</v>
      </c>
      <c r="L380" s="4">
        <f t="shared" si="129"/>
        <v>0.29242336507934552</v>
      </c>
      <c r="M380" s="4">
        <f t="shared" si="130"/>
        <v>-2.0607389896963348E-2</v>
      </c>
      <c r="N380" s="4">
        <f t="shared" si="131"/>
        <v>1.8073695852222715E-3</v>
      </c>
      <c r="O380" s="4">
        <f t="shared" si="132"/>
        <v>-2.0863358125624391E-2</v>
      </c>
      <c r="P380" s="4">
        <f t="shared" si="133"/>
        <v>1.4943818681618808E-3</v>
      </c>
      <c r="S380" s="4">
        <v>1.8410065703216867</v>
      </c>
      <c r="T380" s="4">
        <v>-6.6880234839908473E-2</v>
      </c>
      <c r="U380" s="4">
        <f t="shared" si="134"/>
        <v>1.069303253154025</v>
      </c>
      <c r="W380" s="4">
        <f t="shared" si="135"/>
        <v>3.1588675248915625</v>
      </c>
      <c r="X380" s="4">
        <f t="shared" si="136"/>
        <v>1.9510726782689558</v>
      </c>
      <c r="Y380" s="3">
        <f t="shared" si="123"/>
        <v>-285.76368970909971</v>
      </c>
      <c r="AA380" s="3"/>
    </row>
    <row r="381" spans="4:27" x14ac:dyDescent="0.25">
      <c r="D381" s="1">
        <v>42193</v>
      </c>
      <c r="E381" s="3">
        <v>118.853233</v>
      </c>
      <c r="F381" s="3">
        <v>198.01616100000001</v>
      </c>
      <c r="G381" s="3">
        <f t="shared" si="124"/>
        <v>-3.025392999999994</v>
      </c>
      <c r="H381" s="3">
        <f t="shared" si="125"/>
        <v>-3.3788569999999822</v>
      </c>
      <c r="I381" s="4">
        <f t="shared" si="126"/>
        <v>-2.9268799004311989</v>
      </c>
      <c r="J381" s="4">
        <f t="shared" si="127"/>
        <v>-3.8119618362257355</v>
      </c>
      <c r="K381" s="4">
        <f t="shared" si="128"/>
        <v>-3.0537084920634863</v>
      </c>
      <c r="L381" s="4">
        <f t="shared" si="129"/>
        <v>-3.4446456349206169</v>
      </c>
      <c r="M381" s="4">
        <f t="shared" si="130"/>
        <v>-2.513628487817076E-2</v>
      </c>
      <c r="N381" s="4">
        <f t="shared" si="131"/>
        <v>-1.6919594560569313E-2</v>
      </c>
      <c r="O381" s="4">
        <f t="shared" si="132"/>
        <v>-2.5392253106831804E-2</v>
      </c>
      <c r="P381" s="4">
        <f t="shared" si="133"/>
        <v>-1.7232582277629704E-2</v>
      </c>
      <c r="S381" s="4">
        <v>-1.3068846929123747</v>
      </c>
      <c r="T381" s="4">
        <v>-0.35764914359314293</v>
      </c>
      <c r="U381" s="4">
        <f t="shared" si="134"/>
        <v>-1.0802116895257177</v>
      </c>
      <c r="W381" s="4">
        <f t="shared" si="135"/>
        <v>-2.1939853937795379</v>
      </c>
      <c r="X381" s="4">
        <f t="shared" si="136"/>
        <v>-1.8387280264607579</v>
      </c>
      <c r="Y381" s="3">
        <f t="shared" si="123"/>
        <v>180.30391951252204</v>
      </c>
      <c r="AA381" s="3"/>
    </row>
    <row r="382" spans="4:27" x14ac:dyDescent="0.25">
      <c r="D382" s="1">
        <v>42192</v>
      </c>
      <c r="E382" s="3">
        <v>121.878626</v>
      </c>
      <c r="F382" s="3">
        <v>201.39501799999999</v>
      </c>
      <c r="G382" s="3">
        <f t="shared" si="124"/>
        <v>-0.30059699999999623</v>
      </c>
      <c r="H382" s="3">
        <f t="shared" si="125"/>
        <v>1.2586009999999987</v>
      </c>
      <c r="I382" s="4">
        <f t="shared" si="126"/>
        <v>-0.29009345944512643</v>
      </c>
      <c r="J382" s="4">
        <f t="shared" si="127"/>
        <v>1.4288591067372147</v>
      </c>
      <c r="K382" s="4">
        <f t="shared" si="128"/>
        <v>-0.32891249206348827</v>
      </c>
      <c r="L382" s="4">
        <f t="shared" si="129"/>
        <v>1.1928123650793638</v>
      </c>
      <c r="M382" s="4">
        <f t="shared" si="130"/>
        <v>-2.4633270614571739E-3</v>
      </c>
      <c r="N382" s="4">
        <f t="shared" si="131"/>
        <v>6.2690241026091172E-3</v>
      </c>
      <c r="O382" s="4">
        <f t="shared" si="132"/>
        <v>-2.7192952901182164E-3</v>
      </c>
      <c r="P382" s="4">
        <f t="shared" si="133"/>
        <v>5.9560363855487262E-3</v>
      </c>
      <c r="S382" s="4">
        <v>-0.89166490185372471</v>
      </c>
      <c r="T382" s="4">
        <v>-0.37369882539402821</v>
      </c>
      <c r="U382" s="4">
        <f t="shared" si="134"/>
        <v>-0.83980689524342511</v>
      </c>
      <c r="W382" s="4">
        <f t="shared" si="135"/>
        <v>-1.4879221010548562</v>
      </c>
      <c r="X382" s="4">
        <f t="shared" si="136"/>
        <v>-1.4148713503794057</v>
      </c>
      <c r="Y382" s="3">
        <f t="shared" si="123"/>
        <v>102.72231082489543</v>
      </c>
      <c r="AA382" s="3"/>
    </row>
    <row r="383" spans="4:27" x14ac:dyDescent="0.25">
      <c r="D383" s="1">
        <v>42191</v>
      </c>
      <c r="E383" s="3">
        <v>122.17922299999999</v>
      </c>
      <c r="F383" s="3">
        <v>200.13641699999999</v>
      </c>
      <c r="G383" s="3">
        <f t="shared" si="124"/>
        <v>-0.42666000000001247</v>
      </c>
      <c r="H383" s="3">
        <f t="shared" si="125"/>
        <v>-0.57120600000001787</v>
      </c>
      <c r="I383" s="4">
        <f t="shared" si="126"/>
        <v>-0.41031866559487584</v>
      </c>
      <c r="J383" s="4">
        <f t="shared" si="127"/>
        <v>-0.64663074236321372</v>
      </c>
      <c r="K383" s="4">
        <f t="shared" si="128"/>
        <v>-0.45497549206350452</v>
      </c>
      <c r="L383" s="4">
        <f t="shared" si="129"/>
        <v>-0.63699463492065278</v>
      </c>
      <c r="M383" s="4">
        <f t="shared" si="130"/>
        <v>-3.4859999371958067E-3</v>
      </c>
      <c r="N383" s="4">
        <f t="shared" si="131"/>
        <v>-2.8500181099857967E-3</v>
      </c>
      <c r="O383" s="4">
        <f t="shared" si="132"/>
        <v>-3.7419681658568491E-3</v>
      </c>
      <c r="P383" s="4">
        <f t="shared" si="133"/>
        <v>-3.1630058270461872E-3</v>
      </c>
      <c r="S383" s="4">
        <v>0.51144948179665473</v>
      </c>
      <c r="T383" s="4">
        <v>0.6044181575003883</v>
      </c>
      <c r="U383" s="4">
        <f t="shared" si="134"/>
        <v>0.79090846504181789</v>
      </c>
      <c r="W383" s="4">
        <f t="shared" si="135"/>
        <v>0.8980132110931478</v>
      </c>
      <c r="X383" s="4">
        <f t="shared" si="136"/>
        <v>1.4602360047330156</v>
      </c>
      <c r="Y383" s="3">
        <f t="shared" si="123"/>
        <v>4.1912383470839814</v>
      </c>
      <c r="AA383" s="3"/>
    </row>
    <row r="384" spans="4:27" x14ac:dyDescent="0.25">
      <c r="D384" s="1">
        <v>42187</v>
      </c>
      <c r="E384" s="3">
        <v>122.60588300000001</v>
      </c>
      <c r="F384" s="3">
        <v>200.70762300000001</v>
      </c>
      <c r="G384" s="3">
        <f t="shared" si="124"/>
        <v>-0.15514499999999032</v>
      </c>
      <c r="H384" s="3">
        <f t="shared" si="125"/>
        <v>-0.1839509999999791</v>
      </c>
      <c r="I384" s="4">
        <f t="shared" si="126"/>
        <v>-0.14901429116884601</v>
      </c>
      <c r="J384" s="4">
        <f t="shared" si="127"/>
        <v>-0.20805007977911633</v>
      </c>
      <c r="K384" s="4">
        <f t="shared" si="128"/>
        <v>-0.18346049206348236</v>
      </c>
      <c r="L384" s="4">
        <f t="shared" si="129"/>
        <v>-0.24973963492061399</v>
      </c>
      <c r="M384" s="4">
        <f t="shared" si="130"/>
        <v>-1.2645961107257448E-3</v>
      </c>
      <c r="N384" s="4">
        <f t="shared" si="131"/>
        <v>-9.1609253324611965E-4</v>
      </c>
      <c r="O384" s="4">
        <f t="shared" si="132"/>
        <v>-1.5205643393867874E-3</v>
      </c>
      <c r="P384" s="4">
        <f t="shared" si="133"/>
        <v>-1.2290802503065103E-3</v>
      </c>
      <c r="S384" s="4">
        <v>-0.96560736254900392</v>
      </c>
      <c r="T384" s="4">
        <v>2.4974152194461783E-2</v>
      </c>
      <c r="U384" s="4">
        <f t="shared" si="134"/>
        <v>-0.56885898157525772</v>
      </c>
      <c r="W384" s="4">
        <f t="shared" si="135"/>
        <v>-1.6136580567942584</v>
      </c>
      <c r="X384" s="4">
        <f t="shared" si="136"/>
        <v>-0.9371642296814986</v>
      </c>
      <c r="Y384" s="3">
        <f t="shared" si="123"/>
        <v>171.66297133626995</v>
      </c>
      <c r="AA384" s="3"/>
    </row>
    <row r="385" spans="4:27" x14ac:dyDescent="0.25">
      <c r="D385" s="1">
        <v>42186</v>
      </c>
      <c r="E385" s="3">
        <v>122.761028</v>
      </c>
      <c r="F385" s="3">
        <v>200.89157399999999</v>
      </c>
      <c r="G385" s="3">
        <f t="shared" si="124"/>
        <v>1.1345199999999949</v>
      </c>
      <c r="H385" s="3">
        <f t="shared" si="125"/>
        <v>1.5974449999999933</v>
      </c>
      <c r="I385" s="4">
        <f t="shared" si="126"/>
        <v>1.0998528194041335</v>
      </c>
      <c r="J385" s="4">
        <f t="shared" si="127"/>
        <v>1.8212051275836303</v>
      </c>
      <c r="K385" s="4">
        <f t="shared" si="128"/>
        <v>1.1062045079365028</v>
      </c>
      <c r="L385" s="4">
        <f t="shared" si="129"/>
        <v>1.5316563650793584</v>
      </c>
      <c r="M385" s="4">
        <f t="shared" si="130"/>
        <v>9.2846645836799184E-3</v>
      </c>
      <c r="N385" s="4">
        <f t="shared" si="131"/>
        <v>7.9835609955299265E-3</v>
      </c>
      <c r="O385" s="4">
        <f t="shared" si="132"/>
        <v>9.0286963550188764E-3</v>
      </c>
      <c r="P385" s="4">
        <f t="shared" si="133"/>
        <v>7.6705732784695356E-3</v>
      </c>
      <c r="S385" s="4">
        <v>0.16998466328376718</v>
      </c>
      <c r="T385" s="4">
        <v>-1.2288037148371611</v>
      </c>
      <c r="U385" s="4">
        <f t="shared" si="134"/>
        <v>-0.87043645418428384</v>
      </c>
      <c r="W385" s="4">
        <f t="shared" si="135"/>
        <v>0.31736705862015474</v>
      </c>
      <c r="X385" s="4">
        <f t="shared" si="136"/>
        <v>-1.4688741962097831</v>
      </c>
      <c r="Y385" s="3">
        <f t="shared" si="123"/>
        <v>-197.48566257413495</v>
      </c>
      <c r="AA385" s="3"/>
    </row>
    <row r="386" spans="4:27" x14ac:dyDescent="0.25">
      <c r="D386" s="1">
        <v>42185</v>
      </c>
      <c r="E386" s="3">
        <v>121.626508</v>
      </c>
      <c r="F386" s="3">
        <v>199.294129</v>
      </c>
      <c r="G386" s="3">
        <f t="shared" si="124"/>
        <v>0.87270999999999788</v>
      </c>
      <c r="H386" s="3">
        <f t="shared" si="125"/>
        <v>0.41631300000000238</v>
      </c>
      <c r="I386" s="4">
        <f t="shared" si="126"/>
        <v>0.85215737554556881</v>
      </c>
      <c r="J386" s="4">
        <f t="shared" si="127"/>
        <v>0.47562106999501413</v>
      </c>
      <c r="K386" s="4">
        <f t="shared" si="128"/>
        <v>0.84439450793650583</v>
      </c>
      <c r="L386" s="4">
        <f t="shared" si="129"/>
        <v>0.35052436507936746</v>
      </c>
      <c r="M386" s="4">
        <f t="shared" si="130"/>
        <v>7.2011937418232311E-3</v>
      </c>
      <c r="N386" s="4">
        <f t="shared" si="131"/>
        <v>2.09112247576457E-3</v>
      </c>
      <c r="O386" s="4">
        <f t="shared" si="132"/>
        <v>6.9452255131621883E-3</v>
      </c>
      <c r="P386" s="4">
        <f t="shared" si="133"/>
        <v>1.7781347587041796E-3</v>
      </c>
      <c r="S386" s="4">
        <v>-0.55258877720725796</v>
      </c>
      <c r="T386" s="4">
        <v>-0.51513753440577392</v>
      </c>
      <c r="U386" s="4">
        <f t="shared" si="134"/>
        <v>-0.74521586004497364</v>
      </c>
      <c r="W386" s="4">
        <f t="shared" si="135"/>
        <v>-0.91133781916933265</v>
      </c>
      <c r="X386" s="4">
        <f t="shared" si="136"/>
        <v>-1.248098296264557</v>
      </c>
      <c r="Y386" s="3">
        <f t="shared" ref="Y386:Y449" si="137">(B$4*EXP(-B$8*B$7)*NORMSDIST((LN(B$4/(B$5+W386))-B$8*B$7+B$9*B$7+0.5*B$6*B$6*B$7)/(B$6*SQRT(B$7)))-(B$5+W386)*EXP(-B$9*B$7)*NORMSDIST((LN(B$4/(B$5+W386))-B$8*B$7+B$9*B$7-0.5*B$6*B$6*B$7)/(B$6*SQRT(B$7))))*400+100*X386-400*$B$13</f>
        <v>23.390192353004295</v>
      </c>
      <c r="AA386" s="3"/>
    </row>
    <row r="387" spans="4:27" x14ac:dyDescent="0.25">
      <c r="D387" s="1">
        <v>42184</v>
      </c>
      <c r="E387" s="3">
        <v>120.753798</v>
      </c>
      <c r="F387" s="3">
        <v>198.877816</v>
      </c>
      <c r="G387" s="3">
        <f t="shared" ref="G387:G450" si="138">E387-E388</f>
        <v>-2.1526829999999961</v>
      </c>
      <c r="H387" s="3">
        <f t="shared" ref="H387:H450" si="139">F387-F388</f>
        <v>-4.2598780000000147</v>
      </c>
      <c r="I387" s="4">
        <f t="shared" ref="I387:I450" si="140">G387/E388*E$2</f>
        <v>-2.0651706816073561</v>
      </c>
      <c r="J387" s="4">
        <f t="shared" ref="J387:J450" si="141">H387/F388*F$2</f>
        <v>-4.7646839497899842</v>
      </c>
      <c r="K387" s="4">
        <f t="shared" ref="K387:K450" si="142">G387-B$20</f>
        <v>-2.1809984920634884</v>
      </c>
      <c r="L387" s="4">
        <f t="shared" ref="L387:L450" si="143">H387-C$20</f>
        <v>-4.3256666349206494</v>
      </c>
      <c r="M387" s="4">
        <f t="shared" ref="M387:M450" si="144">LN(E387/E388)</f>
        <v>-1.7670003657445855E-2</v>
      </c>
      <c r="N387" s="4">
        <f t="shared" ref="N387:N450" si="145">LN(F387/F388)</f>
        <v>-2.1193398464099521E-2</v>
      </c>
      <c r="O387" s="4">
        <f t="shared" ref="O387:O450" si="146">M387-AVERAGE(M$2:M$505)</f>
        <v>-1.7925971886106899E-2</v>
      </c>
      <c r="P387" s="4">
        <f t="shared" ref="P387:P450" si="147">N387-AVERAGE(N$2:N$505)</f>
        <v>-2.1506386181159912E-2</v>
      </c>
      <c r="S387" s="4">
        <v>0.78543002630563108</v>
      </c>
      <c r="T387" s="4">
        <v>2.2560786602868248</v>
      </c>
      <c r="U387" s="4">
        <f t="shared" ref="U387:U450" si="148">$B$19*S387+SQRT(1-$B$19^2)*T387</f>
        <v>2.2671912165449846</v>
      </c>
      <c r="W387" s="4">
        <f t="shared" ref="W387:W450" si="149">S387*SQRT($B$16)+$B$20</f>
        <v>1.3639052749210603</v>
      </c>
      <c r="X387" s="4">
        <f t="shared" ref="X387:X450" si="150">U387*SQRT($C$17)+$C$20</f>
        <v>4.0630638804267356</v>
      </c>
      <c r="Y387" s="3">
        <f t="shared" si="137"/>
        <v>192.51314008219833</v>
      </c>
      <c r="AA387" s="3"/>
    </row>
    <row r="388" spans="4:27" x14ac:dyDescent="0.25">
      <c r="D388" s="1">
        <v>42181</v>
      </c>
      <c r="E388" s="3">
        <v>122.906481</v>
      </c>
      <c r="F388" s="3">
        <v>203.13769400000001</v>
      </c>
      <c r="G388" s="3">
        <f t="shared" si="138"/>
        <v>-0.72725699999999449</v>
      </c>
      <c r="H388" s="3">
        <f t="shared" si="139"/>
        <v>-3.8719999999983656E-2</v>
      </c>
      <c r="I388" s="4">
        <f t="shared" si="140"/>
        <v>-0.69358798954236389</v>
      </c>
      <c r="J388" s="4">
        <f t="shared" si="141"/>
        <v>-4.3300161164554693E-2</v>
      </c>
      <c r="K388" s="4">
        <f t="shared" si="142"/>
        <v>-0.75557249206348653</v>
      </c>
      <c r="L388" s="4">
        <f t="shared" si="143"/>
        <v>-0.10450863492061854</v>
      </c>
      <c r="M388" s="4">
        <f t="shared" si="144"/>
        <v>-5.8997198298892557E-3</v>
      </c>
      <c r="N388" s="4">
        <f t="shared" si="145"/>
        <v>-1.9059146288468283E-4</v>
      </c>
      <c r="O388" s="4">
        <f t="shared" si="146"/>
        <v>-6.1556880585502986E-3</v>
      </c>
      <c r="P388" s="4">
        <f t="shared" si="147"/>
        <v>-5.0357917994507347E-4</v>
      </c>
      <c r="S388" s="4">
        <v>-0.95158363925408596</v>
      </c>
      <c r="T388" s="4">
        <v>0.54690115317858734</v>
      </c>
      <c r="U388" s="4">
        <f t="shared" si="148"/>
        <v>-0.14658243881015021</v>
      </c>
      <c r="W388" s="4">
        <f t="shared" si="149"/>
        <v>-1.5898113219827401</v>
      </c>
      <c r="X388" s="4">
        <f t="shared" si="150"/>
        <v>-0.19265024302043107</v>
      </c>
      <c r="Y388" s="3">
        <f t="shared" si="137"/>
        <v>242.09289964211712</v>
      </c>
      <c r="AA388" s="3"/>
    </row>
    <row r="389" spans="4:27" x14ac:dyDescent="0.25">
      <c r="D389" s="1">
        <v>42180</v>
      </c>
      <c r="E389" s="3">
        <v>123.63373799999999</v>
      </c>
      <c r="F389" s="3">
        <v>203.17641399999999</v>
      </c>
      <c r="G389" s="3">
        <f t="shared" si="138"/>
        <v>-0.591503000000003</v>
      </c>
      <c r="H389" s="3">
        <f t="shared" si="139"/>
        <v>-0.61961700000000519</v>
      </c>
      <c r="I389" s="4">
        <f t="shared" si="140"/>
        <v>-0.56143276949659815</v>
      </c>
      <c r="J389" s="4">
        <f t="shared" si="141"/>
        <v>-0.69080434106844879</v>
      </c>
      <c r="K389" s="4">
        <f t="shared" si="142"/>
        <v>-0.61981849206349504</v>
      </c>
      <c r="L389" s="4">
        <f t="shared" si="143"/>
        <v>-0.68540563492064011</v>
      </c>
      <c r="M389" s="4">
        <f t="shared" si="144"/>
        <v>-4.7729085731591601E-3</v>
      </c>
      <c r="N389" s="4">
        <f t="shared" si="145"/>
        <v>-3.0450094908101664E-3</v>
      </c>
      <c r="O389" s="4">
        <f t="shared" si="146"/>
        <v>-5.0288768018202029E-3</v>
      </c>
      <c r="P389" s="4">
        <f t="shared" si="147"/>
        <v>-3.3579972078705569E-3</v>
      </c>
      <c r="S389" s="4">
        <v>-8.9775507141482538E-2</v>
      </c>
      <c r="T389" s="4">
        <v>-1.4397743166708363</v>
      </c>
      <c r="U389" s="4">
        <f t="shared" si="148"/>
        <v>-1.1960267621107736</v>
      </c>
      <c r="W389" s="4">
        <f t="shared" si="149"/>
        <v>-0.12434387423677627</v>
      </c>
      <c r="X389" s="4">
        <f t="shared" si="150"/>
        <v>-2.0429210911314244</v>
      </c>
      <c r="Y389" s="3">
        <f t="shared" si="137"/>
        <v>-184.32595515525827</v>
      </c>
      <c r="AA389" s="3"/>
    </row>
    <row r="390" spans="4:27" x14ac:dyDescent="0.25">
      <c r="D390" s="1">
        <v>42179</v>
      </c>
      <c r="E390" s="3">
        <v>124.225241</v>
      </c>
      <c r="F390" s="3">
        <v>203.796031</v>
      </c>
      <c r="G390" s="3">
        <f t="shared" si="138"/>
        <v>1.0472520000000003</v>
      </c>
      <c r="H390" s="3">
        <f t="shared" si="139"/>
        <v>-1.490948000000003</v>
      </c>
      <c r="I390" s="4">
        <f t="shared" si="140"/>
        <v>1.0024639021262804</v>
      </c>
      <c r="J390" s="4">
        <f t="shared" si="141"/>
        <v>-1.6501694708880523</v>
      </c>
      <c r="K390" s="4">
        <f t="shared" si="142"/>
        <v>1.0189365079365083</v>
      </c>
      <c r="L390" s="4">
        <f t="shared" si="143"/>
        <v>-1.556736634920638</v>
      </c>
      <c r="M390" s="4">
        <f t="shared" si="144"/>
        <v>8.4660030912699462E-3</v>
      </c>
      <c r="N390" s="4">
        <f t="shared" si="145"/>
        <v>-7.2892521327815292E-3</v>
      </c>
      <c r="O390" s="4">
        <f t="shared" si="146"/>
        <v>8.2100348626089042E-3</v>
      </c>
      <c r="P390" s="4">
        <f t="shared" si="147"/>
        <v>-7.6022398498419201E-3</v>
      </c>
      <c r="S390" s="4">
        <v>0.35529246919258967</v>
      </c>
      <c r="T390" s="4">
        <v>-0.16432944117271378</v>
      </c>
      <c r="U390" s="4">
        <f t="shared" si="148"/>
        <v>8.6331579958780352E-2</v>
      </c>
      <c r="W390" s="4">
        <f t="shared" si="149"/>
        <v>0.63247496634772338</v>
      </c>
      <c r="X390" s="4">
        <f t="shared" si="150"/>
        <v>0.21799947843323197</v>
      </c>
      <c r="Y390" s="3">
        <f t="shared" si="137"/>
        <v>-78.523791247107511</v>
      </c>
      <c r="AA390" s="3"/>
    </row>
    <row r="391" spans="4:27" x14ac:dyDescent="0.25">
      <c r="D391" s="1">
        <v>42178</v>
      </c>
      <c r="E391" s="3">
        <v>123.177989</v>
      </c>
      <c r="F391" s="3">
        <v>205.286979</v>
      </c>
      <c r="G391" s="3">
        <f t="shared" si="138"/>
        <v>-0.56241400000000397</v>
      </c>
      <c r="H391" s="3">
        <f t="shared" si="139"/>
        <v>0.14521700000000237</v>
      </c>
      <c r="I391" s="4">
        <f t="shared" si="140"/>
        <v>-0.5359141830955283</v>
      </c>
      <c r="J391" s="4">
        <f t="shared" si="141"/>
        <v>0.16083880368795672</v>
      </c>
      <c r="K391" s="4">
        <f t="shared" si="142"/>
        <v>-0.59072949206349601</v>
      </c>
      <c r="L391" s="4">
        <f t="shared" si="143"/>
        <v>7.9428365079367486E-2</v>
      </c>
      <c r="M391" s="4">
        <f t="shared" si="144"/>
        <v>-4.5554725029669169E-3</v>
      </c>
      <c r="N391" s="4">
        <f t="shared" si="145"/>
        <v>7.0763565780483488E-4</v>
      </c>
      <c r="O391" s="4">
        <f t="shared" si="146"/>
        <v>-4.8114407316279598E-3</v>
      </c>
      <c r="P391" s="4">
        <f t="shared" si="147"/>
        <v>3.9464794074444429E-4</v>
      </c>
      <c r="S391" s="4">
        <v>1.1533241256127498</v>
      </c>
      <c r="T391" s="4">
        <v>-0.75728196415797222</v>
      </c>
      <c r="U391" s="4">
        <f t="shared" si="148"/>
        <v>0.10280075069707928</v>
      </c>
      <c r="W391" s="4">
        <f t="shared" si="149"/>
        <v>1.9894932760818107</v>
      </c>
      <c r="X391" s="4">
        <f t="shared" si="150"/>
        <v>0.24703620371066051</v>
      </c>
      <c r="Y391" s="3">
        <f t="shared" si="137"/>
        <v>-283.99373250180906</v>
      </c>
      <c r="AA391" s="3"/>
    </row>
    <row r="392" spans="4:27" x14ac:dyDescent="0.25">
      <c r="D392" s="1">
        <v>42177</v>
      </c>
      <c r="E392" s="3">
        <v>123.740403</v>
      </c>
      <c r="F392" s="3">
        <v>205.141762</v>
      </c>
      <c r="G392" s="3">
        <f t="shared" si="138"/>
        <v>0.97937500000000455</v>
      </c>
      <c r="H392" s="3">
        <f t="shared" si="139"/>
        <v>1.0456059999999923</v>
      </c>
      <c r="I392" s="4">
        <f t="shared" si="140"/>
        <v>0.94067402374229492</v>
      </c>
      <c r="J392" s="4">
        <f t="shared" si="141"/>
        <v>1.1640206814048972</v>
      </c>
      <c r="K392" s="4">
        <f t="shared" si="142"/>
        <v>0.9510595079365125</v>
      </c>
      <c r="L392" s="4">
        <f t="shared" si="143"/>
        <v>0.97981736507935735</v>
      </c>
      <c r="M392" s="4">
        <f t="shared" si="144"/>
        <v>7.9462431466879851E-3</v>
      </c>
      <c r="N392" s="4">
        <f t="shared" si="145"/>
        <v>5.1100263650048451E-3</v>
      </c>
      <c r="O392" s="4">
        <f t="shared" si="146"/>
        <v>7.6902749180269422E-3</v>
      </c>
      <c r="P392" s="4">
        <f t="shared" si="147"/>
        <v>4.7970386479444542E-3</v>
      </c>
      <c r="S392" s="4">
        <v>0.35770795975146402</v>
      </c>
      <c r="T392" s="4">
        <v>-1.9934455897095471</v>
      </c>
      <c r="U392" s="4">
        <f t="shared" si="148"/>
        <v>-1.3621216557614024</v>
      </c>
      <c r="W392" s="4">
        <f t="shared" si="149"/>
        <v>0.63658240355151341</v>
      </c>
      <c r="X392" s="4">
        <f t="shared" si="150"/>
        <v>-2.3357622956798427</v>
      </c>
      <c r="Y392" s="3">
        <f t="shared" si="137"/>
        <v>-334.5447812350867</v>
      </c>
      <c r="AA392" s="3"/>
    </row>
    <row r="393" spans="4:27" x14ac:dyDescent="0.25">
      <c r="D393" s="1">
        <v>42174</v>
      </c>
      <c r="E393" s="3">
        <v>122.761028</v>
      </c>
      <c r="F393" s="3">
        <v>204.09615600000001</v>
      </c>
      <c r="G393" s="3">
        <f t="shared" si="138"/>
        <v>-1.2411840000000041</v>
      </c>
      <c r="H393" s="3">
        <f t="shared" si="139"/>
        <v>-0.91005999999998721</v>
      </c>
      <c r="I393" s="4">
        <f t="shared" si="140"/>
        <v>-1.1802048370293305</v>
      </c>
      <c r="J393" s="4">
        <f t="shared" si="141"/>
        <v>-1.0086266797413455</v>
      </c>
      <c r="K393" s="4">
        <f t="shared" si="142"/>
        <v>-1.2694994920634961</v>
      </c>
      <c r="L393" s="4">
        <f t="shared" si="143"/>
        <v>-0.97584863492062213</v>
      </c>
      <c r="M393" s="4">
        <f t="shared" si="144"/>
        <v>-1.0059800375920474E-2</v>
      </c>
      <c r="N393" s="4">
        <f t="shared" si="145"/>
        <v>-4.4490648964362065E-3</v>
      </c>
      <c r="O393" s="4">
        <f t="shared" si="146"/>
        <v>-1.0315768604581516E-2</v>
      </c>
      <c r="P393" s="4">
        <f t="shared" si="147"/>
        <v>-4.7620526134965974E-3</v>
      </c>
      <c r="S393" s="4">
        <v>0.69645669691240875</v>
      </c>
      <c r="T393" s="4">
        <v>-0.35070431886389836</v>
      </c>
      <c r="U393" s="4">
        <f t="shared" si="148"/>
        <v>0.14657502710627557</v>
      </c>
      <c r="W393" s="4">
        <f t="shared" si="149"/>
        <v>1.2126099771803445</v>
      </c>
      <c r="X393" s="4">
        <f t="shared" si="150"/>
        <v>0.32421444531794497</v>
      </c>
      <c r="Y393" s="3">
        <f t="shared" si="137"/>
        <v>-158.12365819617798</v>
      </c>
      <c r="AA393" s="3"/>
    </row>
    <row r="394" spans="4:27" x14ac:dyDescent="0.25">
      <c r="D394" s="1">
        <v>42173</v>
      </c>
      <c r="E394" s="3">
        <v>124.002212</v>
      </c>
      <c r="F394" s="3">
        <v>205.00621599999999</v>
      </c>
      <c r="G394" s="3">
        <f t="shared" si="138"/>
        <v>0.56240599999999574</v>
      </c>
      <c r="H394" s="3">
        <f t="shared" si="139"/>
        <v>2.1099920000000054</v>
      </c>
      <c r="I394" s="4">
        <f t="shared" si="140"/>
        <v>0.53721158399765712</v>
      </c>
      <c r="J394" s="4">
        <f t="shared" si="141"/>
        <v>2.3628399170698473</v>
      </c>
      <c r="K394" s="4">
        <f t="shared" si="142"/>
        <v>0.5340905079365037</v>
      </c>
      <c r="L394" s="4">
        <f t="shared" si="143"/>
        <v>2.0442033650793707</v>
      </c>
      <c r="M394" s="4">
        <f t="shared" si="144"/>
        <v>4.5457677156753688E-3</v>
      </c>
      <c r="N394" s="4">
        <f t="shared" si="145"/>
        <v>1.0345664124113318E-2</v>
      </c>
      <c r="O394" s="4">
        <f t="shared" si="146"/>
        <v>4.289799487014326E-3</v>
      </c>
      <c r="P394" s="4">
        <f t="shared" si="147"/>
        <v>1.0032676407052927E-2</v>
      </c>
      <c r="S394" s="4">
        <v>0.75540729213651792</v>
      </c>
      <c r="T394" s="4">
        <v>-0.99082117648340695</v>
      </c>
      <c r="U394" s="4">
        <f t="shared" si="148"/>
        <v>-0.32490289897185104</v>
      </c>
      <c r="W394" s="4">
        <f t="shared" si="149"/>
        <v>1.3128529142183218</v>
      </c>
      <c r="X394" s="4">
        <f t="shared" si="150"/>
        <v>-0.5070462921802662</v>
      </c>
      <c r="Y394" s="3">
        <f t="shared" si="137"/>
        <v>-256.66607696008487</v>
      </c>
      <c r="AA394" s="3"/>
    </row>
    <row r="395" spans="4:27" x14ac:dyDescent="0.25">
      <c r="D395" s="1">
        <v>42172</v>
      </c>
      <c r="E395" s="3">
        <v>123.439806</v>
      </c>
      <c r="F395" s="3">
        <v>202.89622399999999</v>
      </c>
      <c r="G395" s="3">
        <f t="shared" si="138"/>
        <v>-0.29089799999999855</v>
      </c>
      <c r="H395" s="3">
        <f t="shared" si="139"/>
        <v>0.32757499999999595</v>
      </c>
      <c r="I395" s="4">
        <f t="shared" si="140"/>
        <v>-0.27721319959184765</v>
      </c>
      <c r="J395" s="4">
        <f t="shared" si="141"/>
        <v>0.36742269058142396</v>
      </c>
      <c r="K395" s="4">
        <f t="shared" si="142"/>
        <v>-0.31921349206349059</v>
      </c>
      <c r="L395" s="4">
        <f t="shared" si="143"/>
        <v>0.26178636507936104</v>
      </c>
      <c r="M395" s="4">
        <f t="shared" si="144"/>
        <v>-2.3538255782204402E-3</v>
      </c>
      <c r="N395" s="4">
        <f t="shared" si="145"/>
        <v>1.6158000018397305E-3</v>
      </c>
      <c r="O395" s="4">
        <f t="shared" si="146"/>
        <v>-2.6097938068814826E-3</v>
      </c>
      <c r="P395" s="4">
        <f t="shared" si="147"/>
        <v>1.3028122847793398E-3</v>
      </c>
      <c r="S395" s="4">
        <v>-0.83137883473727758</v>
      </c>
      <c r="T395" s="4">
        <v>-0.49958874109362666</v>
      </c>
      <c r="U395" s="4">
        <f t="shared" si="148"/>
        <v>-0.90284709507542782</v>
      </c>
      <c r="W395" s="4">
        <f t="shared" si="149"/>
        <v>-1.3854082518350648</v>
      </c>
      <c r="X395" s="4">
        <f t="shared" si="150"/>
        <v>-1.526017260094173</v>
      </c>
      <c r="Y395" s="3">
        <f t="shared" si="137"/>
        <v>74.409558319139705</v>
      </c>
      <c r="AA395" s="3"/>
    </row>
    <row r="396" spans="4:27" x14ac:dyDescent="0.25">
      <c r="D396" s="1">
        <v>42171</v>
      </c>
      <c r="E396" s="3">
        <v>123.730704</v>
      </c>
      <c r="F396" s="3">
        <v>202.56864899999999</v>
      </c>
      <c r="G396" s="3">
        <f t="shared" si="138"/>
        <v>0.65937999999999874</v>
      </c>
      <c r="H396" s="3">
        <f t="shared" si="139"/>
        <v>1.0983499999999822</v>
      </c>
      <c r="I396" s="4">
        <f t="shared" si="140"/>
        <v>0.63172716365284121</v>
      </c>
      <c r="J396" s="4">
        <f t="shared" si="141"/>
        <v>1.2386744469389304</v>
      </c>
      <c r="K396" s="4">
        <f t="shared" si="142"/>
        <v>0.6310645079365067</v>
      </c>
      <c r="L396" s="4">
        <f t="shared" si="143"/>
        <v>1.0325613650793473</v>
      </c>
      <c r="M396" s="4">
        <f t="shared" si="144"/>
        <v>5.3434047866305892E-3</v>
      </c>
      <c r="N396" s="4">
        <f t="shared" si="145"/>
        <v>5.4368654853324521E-3</v>
      </c>
      <c r="O396" s="4">
        <f t="shared" si="146"/>
        <v>5.0874365579695463E-3</v>
      </c>
      <c r="P396" s="4">
        <f t="shared" si="147"/>
        <v>5.1238777682720612E-3</v>
      </c>
      <c r="S396" s="4">
        <v>-1.9064116181505981</v>
      </c>
      <c r="T396" s="4">
        <v>2.1188525922813937</v>
      </c>
      <c r="U396" s="4">
        <f t="shared" si="148"/>
        <v>0.5174064812104735</v>
      </c>
      <c r="W396" s="4">
        <f t="shared" si="149"/>
        <v>-3.2134549952442044</v>
      </c>
      <c r="X396" s="4">
        <f t="shared" si="150"/>
        <v>0.97802581373206154</v>
      </c>
      <c r="Y396" s="3">
        <f t="shared" si="137"/>
        <v>639.90646099978949</v>
      </c>
      <c r="AA396" s="3"/>
    </row>
    <row r="397" spans="4:27" x14ac:dyDescent="0.25">
      <c r="D397" s="1">
        <v>42170</v>
      </c>
      <c r="E397" s="3">
        <v>123.071324</v>
      </c>
      <c r="F397" s="3">
        <v>201.47029900000001</v>
      </c>
      <c r="G397" s="3">
        <f t="shared" si="138"/>
        <v>-0.24241899999999816</v>
      </c>
      <c r="H397" s="3">
        <f t="shared" si="139"/>
        <v>-0.86711299999998914</v>
      </c>
      <c r="I397" s="4">
        <f t="shared" si="140"/>
        <v>-0.2317959423198741</v>
      </c>
      <c r="J397" s="4">
        <f t="shared" si="141"/>
        <v>-0.97370401673314144</v>
      </c>
      <c r="K397" s="4">
        <f t="shared" si="142"/>
        <v>-0.27073449206349021</v>
      </c>
      <c r="L397" s="4">
        <f t="shared" si="143"/>
        <v>-0.93290163492062406</v>
      </c>
      <c r="M397" s="4">
        <f t="shared" si="144"/>
        <v>-1.9678065816045383E-3</v>
      </c>
      <c r="N397" s="4">
        <f t="shared" si="145"/>
        <v>-4.2946893244345009E-3</v>
      </c>
      <c r="O397" s="4">
        <f t="shared" si="146"/>
        <v>-2.2237748102655807E-3</v>
      </c>
      <c r="P397" s="4">
        <f t="shared" si="147"/>
        <v>-4.6076770414948919E-3</v>
      </c>
      <c r="S397" s="4">
        <v>-0.38227860323676699</v>
      </c>
      <c r="T397" s="4">
        <v>1.7147770031856597</v>
      </c>
      <c r="U397" s="4">
        <f t="shared" si="148"/>
        <v>1.1262444788094677</v>
      </c>
      <c r="W397" s="4">
        <f t="shared" si="149"/>
        <v>-0.6217327357711453</v>
      </c>
      <c r="X397" s="4">
        <f t="shared" si="150"/>
        <v>2.0514655124067556</v>
      </c>
      <c r="Y397" s="3">
        <f t="shared" si="137"/>
        <v>305.78219740249824</v>
      </c>
      <c r="AA397" s="3"/>
    </row>
    <row r="398" spans="4:27" x14ac:dyDescent="0.25">
      <c r="D398" s="1">
        <v>42167</v>
      </c>
      <c r="E398" s="3">
        <v>123.313743</v>
      </c>
      <c r="F398" s="3">
        <v>202.337412</v>
      </c>
      <c r="G398" s="3">
        <f t="shared" si="138"/>
        <v>-1.376938999999993</v>
      </c>
      <c r="H398" s="3">
        <f t="shared" si="139"/>
        <v>-1.5608239999999967</v>
      </c>
      <c r="I398" s="4">
        <f t="shared" si="140"/>
        <v>-1.3020610713938929</v>
      </c>
      <c r="J398" s="4">
        <f t="shared" si="141"/>
        <v>-1.7392736637788628</v>
      </c>
      <c r="K398" s="4">
        <f t="shared" si="142"/>
        <v>-1.4052544920634851</v>
      </c>
      <c r="L398" s="4">
        <f t="shared" si="143"/>
        <v>-1.6266126349206316</v>
      </c>
      <c r="M398" s="4">
        <f t="shared" si="144"/>
        <v>-1.1104262744931577E-2</v>
      </c>
      <c r="N398" s="4">
        <f t="shared" si="145"/>
        <v>-7.6843659002543896E-3</v>
      </c>
      <c r="O398" s="4">
        <f t="shared" si="146"/>
        <v>-1.1360230973592619E-2</v>
      </c>
      <c r="P398" s="4">
        <f t="shared" si="147"/>
        <v>-7.9973536173147796E-3</v>
      </c>
      <c r="S398" s="4">
        <v>0.92614646679338619</v>
      </c>
      <c r="T398" s="4">
        <v>-1.1160059169482532</v>
      </c>
      <c r="U398" s="4">
        <f t="shared" si="148"/>
        <v>-0.32004943325315027</v>
      </c>
      <c r="W398" s="4">
        <f t="shared" si="149"/>
        <v>1.6031874947255762</v>
      </c>
      <c r="X398" s="4">
        <f t="shared" si="150"/>
        <v>-0.49848916729785775</v>
      </c>
      <c r="Y398" s="3">
        <f t="shared" si="137"/>
        <v>-300.17449173751311</v>
      </c>
      <c r="AA398" s="3"/>
    </row>
    <row r="399" spans="4:27" x14ac:dyDescent="0.25">
      <c r="D399" s="1">
        <v>42166</v>
      </c>
      <c r="E399" s="3">
        <v>124.690682</v>
      </c>
      <c r="F399" s="3">
        <v>203.898236</v>
      </c>
      <c r="G399" s="3">
        <f t="shared" si="138"/>
        <v>-0.28121400000000563</v>
      </c>
      <c r="H399" s="3">
        <f t="shared" si="139"/>
        <v>0.65516399999998498</v>
      </c>
      <c r="I399" s="4">
        <f t="shared" si="140"/>
        <v>-0.26532320406546978</v>
      </c>
      <c r="J399" s="4">
        <f t="shared" si="141"/>
        <v>0.73242258917511627</v>
      </c>
      <c r="K399" s="4">
        <f t="shared" si="142"/>
        <v>-0.30952949206349767</v>
      </c>
      <c r="L399" s="4">
        <f t="shared" si="143"/>
        <v>0.58937536507935007</v>
      </c>
      <c r="M399" s="4">
        <f t="shared" si="144"/>
        <v>-2.2527534657412539E-3</v>
      </c>
      <c r="N399" s="4">
        <f t="shared" si="145"/>
        <v>3.218364497215354E-3</v>
      </c>
      <c r="O399" s="4">
        <f t="shared" si="146"/>
        <v>-2.5087216944022963E-3</v>
      </c>
      <c r="P399" s="4">
        <f t="shared" si="147"/>
        <v>2.9053767801549635E-3</v>
      </c>
      <c r="S399" s="4">
        <v>0.82296000698691196</v>
      </c>
      <c r="T399" s="4">
        <v>-0.84065512485491778</v>
      </c>
      <c r="U399" s="4">
        <f t="shared" si="148"/>
        <v>-0.16468582613119764</v>
      </c>
      <c r="W399" s="4">
        <f t="shared" si="149"/>
        <v>1.4277233835621677</v>
      </c>
      <c r="X399" s="4">
        <f t="shared" si="150"/>
        <v>-0.2245682486434897</v>
      </c>
      <c r="Y399" s="3">
        <f t="shared" si="137"/>
        <v>-246.02171456940005</v>
      </c>
      <c r="AA399" s="3"/>
    </row>
    <row r="400" spans="4:27" x14ac:dyDescent="0.25">
      <c r="D400" s="1">
        <v>42165</v>
      </c>
      <c r="E400" s="3">
        <v>124.971896</v>
      </c>
      <c r="F400" s="3">
        <v>203.24307200000001</v>
      </c>
      <c r="G400" s="3">
        <f t="shared" si="138"/>
        <v>1.4157340000000005</v>
      </c>
      <c r="H400" s="3">
        <f t="shared" si="139"/>
        <v>2.4086640000000159</v>
      </c>
      <c r="I400" s="4">
        <f t="shared" si="140"/>
        <v>1.3510390651575601</v>
      </c>
      <c r="J400" s="4">
        <f t="shared" si="141"/>
        <v>2.7249940373795494</v>
      </c>
      <c r="K400" s="4">
        <f t="shared" si="142"/>
        <v>1.3874185079365084</v>
      </c>
      <c r="L400" s="4">
        <f t="shared" si="143"/>
        <v>2.3428753650793812</v>
      </c>
      <c r="M400" s="4">
        <f t="shared" si="144"/>
        <v>1.1393074288153964E-2</v>
      </c>
      <c r="N400" s="4">
        <f t="shared" si="145"/>
        <v>1.1921934026386726E-2</v>
      </c>
      <c r="O400" s="4">
        <f t="shared" si="146"/>
        <v>1.1137106059492922E-2</v>
      </c>
      <c r="P400" s="4">
        <f t="shared" si="147"/>
        <v>1.1608946309326336E-2</v>
      </c>
      <c r="S400" s="4">
        <v>0.61421224170714916</v>
      </c>
      <c r="T400" s="4">
        <v>-0.22264611072693466</v>
      </c>
      <c r="U400" s="4">
        <f t="shared" si="148"/>
        <v>0.19794769173683352</v>
      </c>
      <c r="W400" s="4">
        <f t="shared" si="149"/>
        <v>1.0727568389122537</v>
      </c>
      <c r="X400" s="4">
        <f t="shared" si="150"/>
        <v>0.41478937306327823</v>
      </c>
      <c r="Y400" s="3">
        <f t="shared" si="137"/>
        <v>-127.47310928194293</v>
      </c>
      <c r="AA400" s="3"/>
    </row>
    <row r="401" spans="4:27" x14ac:dyDescent="0.25">
      <c r="D401" s="1">
        <v>42164</v>
      </c>
      <c r="E401" s="3">
        <v>123.556162</v>
      </c>
      <c r="F401" s="3">
        <v>200.834408</v>
      </c>
      <c r="G401" s="3">
        <f t="shared" si="138"/>
        <v>-0.3684820000000002</v>
      </c>
      <c r="H401" s="3">
        <f t="shared" si="139"/>
        <v>-2.890300000001389E-2</v>
      </c>
      <c r="I401" s="4">
        <f t="shared" si="140"/>
        <v>-0.35059785278808647</v>
      </c>
      <c r="J401" s="4">
        <f t="shared" si="141"/>
        <v>-3.269412815924435E-2</v>
      </c>
      <c r="K401" s="4">
        <f t="shared" si="142"/>
        <v>-0.39679749206349224</v>
      </c>
      <c r="L401" s="4">
        <f t="shared" si="143"/>
        <v>-9.4691634920648776E-2</v>
      </c>
      <c r="M401" s="4">
        <f t="shared" si="144"/>
        <v>-2.9778654616019707E-3</v>
      </c>
      <c r="N401" s="4">
        <f t="shared" si="145"/>
        <v>-1.4390422789476297E-4</v>
      </c>
      <c r="O401" s="4">
        <f t="shared" si="146"/>
        <v>-3.2338336902630132E-3</v>
      </c>
      <c r="P401" s="4">
        <f t="shared" si="147"/>
        <v>-4.5689194495515358E-4</v>
      </c>
      <c r="S401" s="4">
        <v>0.26180533939806622</v>
      </c>
      <c r="T401" s="4">
        <v>0.49639365878039426</v>
      </c>
      <c r="U401" s="4">
        <f t="shared" si="148"/>
        <v>0.55308966782687563</v>
      </c>
      <c r="W401" s="4">
        <f t="shared" si="149"/>
        <v>0.47350414628684323</v>
      </c>
      <c r="X401" s="4">
        <f t="shared" si="150"/>
        <v>1.0409386891444334</v>
      </c>
      <c r="Y401" s="3">
        <f t="shared" si="137"/>
        <v>28.792797282979791</v>
      </c>
      <c r="AA401" s="3"/>
    </row>
    <row r="402" spans="4:27" x14ac:dyDescent="0.25">
      <c r="D402" s="1">
        <v>42163</v>
      </c>
      <c r="E402" s="3">
        <v>123.924644</v>
      </c>
      <c r="F402" s="3">
        <v>200.86331100000001</v>
      </c>
      <c r="G402" s="3">
        <f t="shared" si="138"/>
        <v>-0.82421599999999273</v>
      </c>
      <c r="H402" s="3">
        <f t="shared" si="139"/>
        <v>-1.2428789999999879</v>
      </c>
      <c r="I402" s="4">
        <f t="shared" si="140"/>
        <v>-0.77903166294957049</v>
      </c>
      <c r="J402" s="4">
        <f t="shared" si="141"/>
        <v>-1.3972582744256881</v>
      </c>
      <c r="K402" s="4">
        <f t="shared" si="142"/>
        <v>-0.85253149206348477</v>
      </c>
      <c r="L402" s="4">
        <f t="shared" si="143"/>
        <v>-1.3086676349206228</v>
      </c>
      <c r="M402" s="4">
        <f t="shared" si="144"/>
        <v>-6.6289251160745345E-3</v>
      </c>
      <c r="N402" s="4">
        <f t="shared" si="145"/>
        <v>-6.1686203946939413E-3</v>
      </c>
      <c r="O402" s="4">
        <f t="shared" si="146"/>
        <v>-6.8848933447355773E-3</v>
      </c>
      <c r="P402" s="4">
        <f t="shared" si="147"/>
        <v>-6.4816081117543322E-3</v>
      </c>
      <c r="S402" s="4">
        <v>-2.1603941131154675E-2</v>
      </c>
      <c r="T402" s="4">
        <v>-1.6272232570534559</v>
      </c>
      <c r="U402" s="4">
        <f t="shared" si="148"/>
        <v>-1.3030571334369183</v>
      </c>
      <c r="W402" s="4">
        <f t="shared" si="149"/>
        <v>-8.4210752663119691E-3</v>
      </c>
      <c r="X402" s="4">
        <f t="shared" si="150"/>
        <v>-2.2316258861646823</v>
      </c>
      <c r="Y402" s="3">
        <f t="shared" si="137"/>
        <v>-221.8129247201764</v>
      </c>
      <c r="AA402" s="3"/>
    </row>
    <row r="403" spans="4:27" x14ac:dyDescent="0.25">
      <c r="D403" s="1">
        <v>42160</v>
      </c>
      <c r="E403" s="3">
        <v>124.74885999999999</v>
      </c>
      <c r="F403" s="3">
        <v>202.10619</v>
      </c>
      <c r="G403" s="3">
        <f t="shared" si="138"/>
        <v>-0.688477000000006</v>
      </c>
      <c r="H403" s="3">
        <f t="shared" si="139"/>
        <v>-0.34684799999999427</v>
      </c>
      <c r="I403" s="4">
        <f t="shared" si="140"/>
        <v>-0.64716238215347877</v>
      </c>
      <c r="J403" s="4">
        <f t="shared" si="141"/>
        <v>-0.38926230639193815</v>
      </c>
      <c r="K403" s="4">
        <f t="shared" si="142"/>
        <v>-0.71679249206349804</v>
      </c>
      <c r="L403" s="4">
        <f t="shared" si="143"/>
        <v>-0.41263663492062919</v>
      </c>
      <c r="M403" s="4">
        <f t="shared" si="144"/>
        <v>-5.5037307904737065E-3</v>
      </c>
      <c r="N403" s="4">
        <f t="shared" si="145"/>
        <v>-1.7146961976258824E-3</v>
      </c>
      <c r="O403" s="4">
        <f t="shared" si="146"/>
        <v>-5.7596990191347494E-3</v>
      </c>
      <c r="P403" s="4">
        <f t="shared" si="147"/>
        <v>-2.0276839146862731E-3</v>
      </c>
      <c r="S403" s="4">
        <v>-0.62983397681493236</v>
      </c>
      <c r="T403" s="4">
        <v>-1.5565315646341451</v>
      </c>
      <c r="U403" s="4">
        <f t="shared" si="148"/>
        <v>-1.6178109935428859</v>
      </c>
      <c r="W403" s="4">
        <f t="shared" si="149"/>
        <v>-1.0426899395562581</v>
      </c>
      <c r="X403" s="4">
        <f t="shared" si="150"/>
        <v>-2.7865670857633669</v>
      </c>
      <c r="Y403" s="3">
        <f t="shared" si="137"/>
        <v>-108.73865944353065</v>
      </c>
      <c r="AA403" s="3"/>
    </row>
    <row r="404" spans="4:27" x14ac:dyDescent="0.25">
      <c r="D404" s="1">
        <v>42159</v>
      </c>
      <c r="E404" s="3">
        <v>125.437337</v>
      </c>
      <c r="F404" s="3">
        <v>202.45303799999999</v>
      </c>
      <c r="G404" s="3">
        <f t="shared" si="138"/>
        <v>-0.73694799999999816</v>
      </c>
      <c r="H404" s="3">
        <f t="shared" si="139"/>
        <v>-1.724597000000017</v>
      </c>
      <c r="I404" s="4">
        <f t="shared" si="140"/>
        <v>-0.68867869255444392</v>
      </c>
      <c r="J404" s="4">
        <f t="shared" si="141"/>
        <v>-1.9191411265106624</v>
      </c>
      <c r="K404" s="4">
        <f t="shared" si="142"/>
        <v>-0.7652634920634902</v>
      </c>
      <c r="L404" s="4">
        <f t="shared" si="143"/>
        <v>-1.7903856349206519</v>
      </c>
      <c r="M404" s="4">
        <f t="shared" si="144"/>
        <v>-5.8578383737631946E-3</v>
      </c>
      <c r="N404" s="4">
        <f t="shared" si="145"/>
        <v>-8.4824262168103088E-3</v>
      </c>
      <c r="O404" s="4">
        <f t="shared" si="146"/>
        <v>-6.1138066024242375E-3</v>
      </c>
      <c r="P404" s="4">
        <f t="shared" si="147"/>
        <v>-8.7954139338706997E-3</v>
      </c>
      <c r="S404" s="4">
        <v>0.15905860160745705</v>
      </c>
      <c r="T404" s="4">
        <v>1.9592130648297921</v>
      </c>
      <c r="U404" s="4">
        <f t="shared" si="148"/>
        <v>1.6500182323251182</v>
      </c>
      <c r="W404" s="4">
        <f t="shared" si="149"/>
        <v>0.2987877633895023</v>
      </c>
      <c r="X404" s="4">
        <f t="shared" si="150"/>
        <v>2.9749288020910303</v>
      </c>
      <c r="Y404" s="3">
        <f t="shared" si="137"/>
        <v>249.84245488457145</v>
      </c>
      <c r="AA404" s="3"/>
    </row>
    <row r="405" spans="4:27" x14ac:dyDescent="0.25">
      <c r="D405" s="1">
        <v>42158</v>
      </c>
      <c r="E405" s="3">
        <v>126.174285</v>
      </c>
      <c r="F405" s="3">
        <v>204.17763500000001</v>
      </c>
      <c r="G405" s="3">
        <f t="shared" si="138"/>
        <v>0.15513699999999631</v>
      </c>
      <c r="H405" s="3">
        <f t="shared" si="139"/>
        <v>0.53953900000001909</v>
      </c>
      <c r="I405" s="4">
        <f t="shared" si="140"/>
        <v>0.14515416570303716</v>
      </c>
      <c r="J405" s="4">
        <f t="shared" si="141"/>
        <v>0.60199276252699463</v>
      </c>
      <c r="K405" s="4">
        <f t="shared" si="142"/>
        <v>0.12682150793650426</v>
      </c>
      <c r="L405" s="4">
        <f t="shared" si="143"/>
        <v>0.47375036507938417</v>
      </c>
      <c r="M405" s="4">
        <f t="shared" si="144"/>
        <v>1.2303018181167864E-3</v>
      </c>
      <c r="N405" s="4">
        <f t="shared" si="145"/>
        <v>2.6459955993663768E-3</v>
      </c>
      <c r="O405" s="4">
        <f t="shared" si="146"/>
        <v>9.7433358945574373E-4</v>
      </c>
      <c r="P405" s="4">
        <f t="shared" si="147"/>
        <v>2.3330078823059863E-3</v>
      </c>
      <c r="S405" s="4">
        <v>1.5820657619179279</v>
      </c>
      <c r="T405" s="4">
        <v>-1.3899428531115168</v>
      </c>
      <c r="U405" s="4">
        <f t="shared" si="148"/>
        <v>-0.13733401915963028</v>
      </c>
      <c r="W405" s="4">
        <f t="shared" si="149"/>
        <v>2.7185498817074394</v>
      </c>
      <c r="X405" s="4">
        <f t="shared" si="150"/>
        <v>-0.17634439344793121</v>
      </c>
      <c r="Y405" s="3">
        <f t="shared" si="137"/>
        <v>-434.46733516523864</v>
      </c>
      <c r="AA405" s="3"/>
    </row>
    <row r="406" spans="4:27" x14ac:dyDescent="0.25">
      <c r="D406" s="1">
        <v>42157</v>
      </c>
      <c r="E406" s="3">
        <v>126.019148</v>
      </c>
      <c r="F406" s="3">
        <v>203.63809599999999</v>
      </c>
      <c r="G406" s="3">
        <f t="shared" si="138"/>
        <v>-0.56239999999999668</v>
      </c>
      <c r="H406" s="3">
        <f t="shared" si="139"/>
        <v>-0.20233500000000504</v>
      </c>
      <c r="I406" s="4">
        <f t="shared" si="140"/>
        <v>-0.52387245453499753</v>
      </c>
      <c r="J406" s="4">
        <f t="shared" si="141"/>
        <v>-0.22553198372282754</v>
      </c>
      <c r="K406" s="4">
        <f t="shared" si="142"/>
        <v>-0.59071549206348872</v>
      </c>
      <c r="L406" s="4">
        <f t="shared" si="143"/>
        <v>-0.26812363492063995</v>
      </c>
      <c r="M406" s="4">
        <f t="shared" si="144"/>
        <v>-4.4528850330691561E-3</v>
      </c>
      <c r="N406" s="4">
        <f t="shared" si="145"/>
        <v>-9.9310762763025529E-4</v>
      </c>
      <c r="O406" s="4">
        <f t="shared" si="146"/>
        <v>-4.708853261730199E-3</v>
      </c>
      <c r="P406" s="4">
        <f t="shared" si="147"/>
        <v>-1.306095344690646E-3</v>
      </c>
      <c r="S406" s="4">
        <v>-1.8964680007281158</v>
      </c>
      <c r="T406" s="4">
        <v>-0.28855270419858869</v>
      </c>
      <c r="U406" s="4">
        <f t="shared" si="148"/>
        <v>-1.3848626326211895</v>
      </c>
      <c r="W406" s="4">
        <f t="shared" si="149"/>
        <v>-3.1965463039676831</v>
      </c>
      <c r="X406" s="4">
        <f t="shared" si="150"/>
        <v>-2.3758568158054016</v>
      </c>
      <c r="Y406" s="3">
        <f t="shared" si="137"/>
        <v>301.5214047981035</v>
      </c>
      <c r="AA406" s="3"/>
    </row>
    <row r="407" spans="4:27" x14ac:dyDescent="0.25">
      <c r="D407" s="1">
        <v>42156</v>
      </c>
      <c r="E407" s="3">
        <v>126.581548</v>
      </c>
      <c r="F407" s="3">
        <v>203.840431</v>
      </c>
      <c r="G407" s="3">
        <f t="shared" si="138"/>
        <v>0.25211099999999931</v>
      </c>
      <c r="H407" s="3">
        <f t="shared" si="139"/>
        <v>0.41429800000000228</v>
      </c>
      <c r="I407" s="4">
        <f t="shared" si="140"/>
        <v>0.2353086479633715</v>
      </c>
      <c r="J407" s="4">
        <f t="shared" si="141"/>
        <v>0.46273627725149014</v>
      </c>
      <c r="K407" s="4">
        <f t="shared" si="142"/>
        <v>0.22379550793650727</v>
      </c>
      <c r="L407" s="4">
        <f t="shared" si="143"/>
        <v>0.34850936507936736</v>
      </c>
      <c r="M407" s="4">
        <f t="shared" si="144"/>
        <v>1.9936744424624829E-3</v>
      </c>
      <c r="N407" s="4">
        <f t="shared" si="145"/>
        <v>2.0345305975531004E-3</v>
      </c>
      <c r="O407" s="4">
        <f t="shared" si="146"/>
        <v>1.7377062138014402E-3</v>
      </c>
      <c r="P407" s="4">
        <f t="shared" si="147"/>
        <v>1.7215428804927099E-3</v>
      </c>
      <c r="S407" s="4">
        <v>-0.16131276513953097</v>
      </c>
      <c r="T407" s="4">
        <v>-1.0945336807250214</v>
      </c>
      <c r="U407" s="4">
        <f t="shared" si="148"/>
        <v>-0.96596797398725487</v>
      </c>
      <c r="W407" s="4">
        <f t="shared" si="149"/>
        <v>-0.2459898868360712</v>
      </c>
      <c r="X407" s="4">
        <f t="shared" si="150"/>
        <v>-1.6373054147533712</v>
      </c>
      <c r="Y407" s="3">
        <f t="shared" si="137"/>
        <v>-124.15391571314558</v>
      </c>
      <c r="AA407" s="3"/>
    </row>
    <row r="408" spans="4:27" x14ac:dyDescent="0.25">
      <c r="D408" s="1">
        <v>42153</v>
      </c>
      <c r="E408" s="3">
        <v>126.329437</v>
      </c>
      <c r="F408" s="3">
        <v>203.42613299999999</v>
      </c>
      <c r="G408" s="3">
        <f t="shared" si="138"/>
        <v>-1.4545150000000007</v>
      </c>
      <c r="H408" s="3">
        <f t="shared" si="139"/>
        <v>-1.2717810000000043</v>
      </c>
      <c r="I408" s="4">
        <f t="shared" si="140"/>
        <v>-1.3421236922462694</v>
      </c>
      <c r="J408" s="4">
        <f t="shared" si="141"/>
        <v>-1.4116478486071331</v>
      </c>
      <c r="K408" s="4">
        <f t="shared" si="142"/>
        <v>-1.4828304920634927</v>
      </c>
      <c r="L408" s="4">
        <f t="shared" si="143"/>
        <v>-1.3375696349206392</v>
      </c>
      <c r="M408" s="4">
        <f t="shared" si="144"/>
        <v>-1.1447888603655115E-2</v>
      </c>
      <c r="N408" s="4">
        <f t="shared" si="145"/>
        <v>-6.2323459051401202E-3</v>
      </c>
      <c r="O408" s="4">
        <f t="shared" si="146"/>
        <v>-1.1703856832316157E-2</v>
      </c>
      <c r="P408" s="4">
        <f t="shared" si="147"/>
        <v>-6.5453336222005111E-3</v>
      </c>
      <c r="S408" s="4">
        <v>-0.14021830572425881</v>
      </c>
      <c r="T408" s="4">
        <v>-7.7233016155611081E-2</v>
      </c>
      <c r="U408" s="4">
        <f t="shared" si="148"/>
        <v>-0.14670220320495822</v>
      </c>
      <c r="W408" s="4">
        <f t="shared" si="149"/>
        <v>-0.21011967112448332</v>
      </c>
      <c r="X408" s="4">
        <f t="shared" si="150"/>
        <v>-0.19286139911841058</v>
      </c>
      <c r="Y408" s="3">
        <f t="shared" si="137"/>
        <v>14.499892851208642</v>
      </c>
      <c r="AA408" s="3"/>
    </row>
    <row r="409" spans="4:27" x14ac:dyDescent="0.25">
      <c r="D409" s="1">
        <v>42152</v>
      </c>
      <c r="E409" s="3">
        <v>127.783952</v>
      </c>
      <c r="F409" s="3">
        <v>204.697914</v>
      </c>
      <c r="G409" s="3">
        <f t="shared" si="138"/>
        <v>-0.25210999999998762</v>
      </c>
      <c r="H409" s="3">
        <f t="shared" si="139"/>
        <v>-0.23122299999999996</v>
      </c>
      <c r="I409" s="4">
        <f t="shared" si="140"/>
        <v>-0.23217123866585762</v>
      </c>
      <c r="J409" s="4">
        <f t="shared" si="141"/>
        <v>-0.25636266378538936</v>
      </c>
      <c r="K409" s="4">
        <f t="shared" si="142"/>
        <v>-0.28042549206347966</v>
      </c>
      <c r="L409" s="4">
        <f t="shared" si="143"/>
        <v>-0.29701163492063487</v>
      </c>
      <c r="M409" s="4">
        <f t="shared" si="144"/>
        <v>-1.9709957612378858E-3</v>
      </c>
      <c r="N409" s="4">
        <f t="shared" si="145"/>
        <v>-1.1289441163303045E-3</v>
      </c>
      <c r="O409" s="4">
        <f t="shared" si="146"/>
        <v>-2.2269639898989282E-3</v>
      </c>
      <c r="P409" s="4">
        <f t="shared" si="147"/>
        <v>-1.441931833390695E-3</v>
      </c>
      <c r="S409" s="4">
        <v>1.1002318087532348</v>
      </c>
      <c r="T409" s="4">
        <v>-1.6977467841224763</v>
      </c>
      <c r="U409" s="4">
        <f t="shared" si="148"/>
        <v>-0.67506446712792245</v>
      </c>
      <c r="W409" s="4">
        <f t="shared" si="149"/>
        <v>1.8992120879798777</v>
      </c>
      <c r="X409" s="4">
        <f t="shared" si="150"/>
        <v>-1.1244146720961334</v>
      </c>
      <c r="Y409" s="3">
        <f t="shared" si="137"/>
        <v>-407.56405063081684</v>
      </c>
      <c r="AA409" s="3"/>
    </row>
    <row r="410" spans="4:27" x14ac:dyDescent="0.25">
      <c r="D410" s="1">
        <v>42151</v>
      </c>
      <c r="E410" s="3">
        <v>128.03606199999999</v>
      </c>
      <c r="F410" s="3">
        <v>204.929137</v>
      </c>
      <c r="G410" s="3">
        <f t="shared" si="138"/>
        <v>2.3466149999999857</v>
      </c>
      <c r="H410" s="3">
        <f t="shared" si="139"/>
        <v>1.9269309999999962</v>
      </c>
      <c r="I410" s="4">
        <f t="shared" si="140"/>
        <v>2.201373230932095</v>
      </c>
      <c r="J410" s="4">
        <f t="shared" si="141"/>
        <v>2.1567155087886882</v>
      </c>
      <c r="K410" s="4">
        <f t="shared" si="142"/>
        <v>2.3182995079364934</v>
      </c>
      <c r="L410" s="4">
        <f t="shared" si="143"/>
        <v>1.8611423650793613</v>
      </c>
      <c r="M410" s="4">
        <f t="shared" si="144"/>
        <v>1.849780040145426E-2</v>
      </c>
      <c r="N410" s="4">
        <f t="shared" si="145"/>
        <v>9.4474002311183986E-3</v>
      </c>
      <c r="O410" s="4">
        <f t="shared" si="146"/>
        <v>1.8241832172793217E-2</v>
      </c>
      <c r="P410" s="4">
        <f t="shared" si="147"/>
        <v>9.1344125140580077E-3</v>
      </c>
      <c r="S410" s="4">
        <v>2.1138216862763643E-2</v>
      </c>
      <c r="T410" s="4">
        <v>0.16986330976184935</v>
      </c>
      <c r="U410" s="4">
        <f t="shared" si="148"/>
        <v>0.14753561859123904</v>
      </c>
      <c r="W410" s="4">
        <f t="shared" si="149"/>
        <v>6.4260115421638134E-2</v>
      </c>
      <c r="X410" s="4">
        <f t="shared" si="150"/>
        <v>0.32590806010255935</v>
      </c>
      <c r="Y410" s="3">
        <f t="shared" si="137"/>
        <v>22.303769956386077</v>
      </c>
      <c r="AA410" s="3"/>
    </row>
    <row r="411" spans="4:27" x14ac:dyDescent="0.25">
      <c r="D411" s="1">
        <v>42150</v>
      </c>
      <c r="E411" s="3">
        <v>125.689447</v>
      </c>
      <c r="F411" s="3">
        <v>203.002206</v>
      </c>
      <c r="G411" s="3">
        <f t="shared" si="138"/>
        <v>-2.8314530000000104</v>
      </c>
      <c r="H411" s="3">
        <f t="shared" si="139"/>
        <v>-2.2063440000000014</v>
      </c>
      <c r="I411" s="4">
        <f t="shared" si="140"/>
        <v>-2.5976836028678076</v>
      </c>
      <c r="J411" s="4">
        <f t="shared" si="141"/>
        <v>-2.4428974118495956</v>
      </c>
      <c r="K411" s="4">
        <f t="shared" si="142"/>
        <v>-2.8597684920635027</v>
      </c>
      <c r="L411" s="4">
        <f t="shared" si="143"/>
        <v>-2.2721326349206361</v>
      </c>
      <c r="M411" s="4">
        <f t="shared" si="144"/>
        <v>-2.2277378810772418E-2</v>
      </c>
      <c r="N411" s="4">
        <f t="shared" si="145"/>
        <v>-1.0809933117433808E-2</v>
      </c>
      <c r="O411" s="4">
        <f t="shared" si="146"/>
        <v>-2.2533347039433462E-2</v>
      </c>
      <c r="P411" s="4">
        <f t="shared" si="147"/>
        <v>-1.1122920834494199E-2</v>
      </c>
      <c r="S411" s="4">
        <v>0.30437569209452442</v>
      </c>
      <c r="T411" s="4">
        <v>1.1754665548324714</v>
      </c>
      <c r="U411" s="4">
        <f t="shared" si="148"/>
        <v>1.1173371696328736</v>
      </c>
      <c r="W411" s="4">
        <f t="shared" si="149"/>
        <v>0.54589318949857846</v>
      </c>
      <c r="X411" s="4">
        <f t="shared" si="150"/>
        <v>2.0357610732682132</v>
      </c>
      <c r="Y411" s="3">
        <f t="shared" si="137"/>
        <v>116.8646433213321</v>
      </c>
      <c r="AA411" s="3"/>
    </row>
    <row r="412" spans="4:27" x14ac:dyDescent="0.25">
      <c r="D412" s="1">
        <v>42146</v>
      </c>
      <c r="E412" s="3">
        <v>128.52090000000001</v>
      </c>
      <c r="F412" s="3">
        <v>205.20855</v>
      </c>
      <c r="G412" s="3">
        <f t="shared" si="138"/>
        <v>1.1151220000000137</v>
      </c>
      <c r="H412" s="3">
        <f t="shared" si="139"/>
        <v>-0.4913620000000094</v>
      </c>
      <c r="I412" s="4">
        <f t="shared" si="140"/>
        <v>1.0320100198319861</v>
      </c>
      <c r="J412" s="4">
        <f t="shared" si="141"/>
        <v>-0.54274385620318655</v>
      </c>
      <c r="K412" s="4">
        <f t="shared" si="142"/>
        <v>1.0868065079365217</v>
      </c>
      <c r="L412" s="4">
        <f t="shared" si="143"/>
        <v>-0.55715063492064432</v>
      </c>
      <c r="M412" s="4">
        <f t="shared" si="144"/>
        <v>8.7144416964115186E-3</v>
      </c>
      <c r="N412" s="4">
        <f t="shared" si="145"/>
        <v>-2.3915897560836522E-3</v>
      </c>
      <c r="O412" s="4">
        <f t="shared" si="146"/>
        <v>8.4584734677504766E-3</v>
      </c>
      <c r="P412" s="4">
        <f t="shared" si="147"/>
        <v>-2.7045774731440427E-3</v>
      </c>
      <c r="S412" s="4">
        <v>0.37690597824057909</v>
      </c>
      <c r="T412" s="4">
        <v>-6.8670744812415613E-2</v>
      </c>
      <c r="U412" s="4">
        <f t="shared" si="148"/>
        <v>0.17533554245886399</v>
      </c>
      <c r="W412" s="4">
        <f t="shared" si="149"/>
        <v>0.66922780350620692</v>
      </c>
      <c r="X412" s="4">
        <f t="shared" si="150"/>
        <v>0.3749219883023851</v>
      </c>
      <c r="Y412" s="3">
        <f t="shared" si="137"/>
        <v>-68.598174278813531</v>
      </c>
      <c r="AA412" s="3"/>
    </row>
    <row r="413" spans="4:27" x14ac:dyDescent="0.25">
      <c r="D413" s="1">
        <v>42145</v>
      </c>
      <c r="E413" s="3">
        <v>127.405778</v>
      </c>
      <c r="F413" s="3">
        <v>205.69991200000001</v>
      </c>
      <c r="G413" s="3">
        <f t="shared" si="138"/>
        <v>1.2896709999999985</v>
      </c>
      <c r="H413" s="3">
        <f t="shared" si="139"/>
        <v>0.59734400000002097</v>
      </c>
      <c r="I413" s="4">
        <f t="shared" si="140"/>
        <v>1.2057548903621313</v>
      </c>
      <c r="J413" s="4">
        <f t="shared" si="141"/>
        <v>0.6617300589888897</v>
      </c>
      <c r="K413" s="4">
        <f t="shared" si="142"/>
        <v>1.2613555079365064</v>
      </c>
      <c r="L413" s="4">
        <f t="shared" si="143"/>
        <v>0.53155536507938606</v>
      </c>
      <c r="M413" s="4">
        <f t="shared" si="144"/>
        <v>1.0174128555242537E-2</v>
      </c>
      <c r="N413" s="4">
        <f t="shared" si="145"/>
        <v>2.9081831297829062E-3</v>
      </c>
      <c r="O413" s="4">
        <f t="shared" si="146"/>
        <v>9.918160326581495E-3</v>
      </c>
      <c r="P413" s="4">
        <f t="shared" si="147"/>
        <v>2.5951954127225157E-3</v>
      </c>
      <c r="S413" s="4">
        <v>-0.1712783573541527</v>
      </c>
      <c r="T413" s="4">
        <v>-1.3906767149853974</v>
      </c>
      <c r="U413" s="4">
        <f t="shared" si="148"/>
        <v>-1.2067934410749168</v>
      </c>
      <c r="W413" s="4">
        <f t="shared" si="149"/>
        <v>-0.26293594529601921</v>
      </c>
      <c r="X413" s="4">
        <f t="shared" si="150"/>
        <v>-2.0619037772787649</v>
      </c>
      <c r="Y413" s="3">
        <f t="shared" si="137"/>
        <v>-163.87579649223017</v>
      </c>
      <c r="AA413" s="3"/>
    </row>
    <row r="414" spans="4:27" x14ac:dyDescent="0.25">
      <c r="D414" s="1">
        <v>42144</v>
      </c>
      <c r="E414" s="3">
        <v>126.116107</v>
      </c>
      <c r="F414" s="3">
        <v>205.10256799999999</v>
      </c>
      <c r="G414" s="3">
        <f t="shared" si="138"/>
        <v>-9.7059999999942193E-3</v>
      </c>
      <c r="H414" s="3">
        <f t="shared" si="139"/>
        <v>-0.14451400000001513</v>
      </c>
      <c r="I414" s="4">
        <f t="shared" si="140"/>
        <v>-9.0737531961305861E-3</v>
      </c>
      <c r="J414" s="4">
        <f t="shared" si="141"/>
        <v>-0.15997804515243452</v>
      </c>
      <c r="K414" s="4">
        <f t="shared" si="142"/>
        <v>-3.8021492063486276E-2</v>
      </c>
      <c r="L414" s="4">
        <f t="shared" si="143"/>
        <v>-0.21030263492065002</v>
      </c>
      <c r="M414" s="4">
        <f t="shared" si="144"/>
        <v>-7.6957866517859014E-5</v>
      </c>
      <c r="N414" s="4">
        <f t="shared" si="145"/>
        <v>-7.0434570115751453E-4</v>
      </c>
      <c r="O414" s="4">
        <f t="shared" si="146"/>
        <v>-3.3292609517890164E-4</v>
      </c>
      <c r="P414" s="4">
        <f t="shared" si="147"/>
        <v>-1.0173334182179052E-3</v>
      </c>
      <c r="S414" s="4">
        <v>0.32011625601098731</v>
      </c>
      <c r="T414" s="4">
        <v>0.76146576773861641</v>
      </c>
      <c r="U414" s="4">
        <f t="shared" si="148"/>
        <v>0.79875784883343148</v>
      </c>
      <c r="W414" s="4">
        <f t="shared" si="149"/>
        <v>0.57265933751831788</v>
      </c>
      <c r="X414" s="4">
        <f t="shared" si="150"/>
        <v>1.4740752200994676</v>
      </c>
      <c r="Y414" s="3">
        <f t="shared" si="137"/>
        <v>56.483819561161454</v>
      </c>
      <c r="AA414" s="3"/>
    </row>
    <row r="415" spans="4:27" x14ac:dyDescent="0.25">
      <c r="D415" s="1">
        <v>42143</v>
      </c>
      <c r="E415" s="3">
        <v>126.12581299999999</v>
      </c>
      <c r="F415" s="3">
        <v>205.24708200000001</v>
      </c>
      <c r="G415" s="3">
        <f t="shared" si="138"/>
        <v>-0.11635700000000782</v>
      </c>
      <c r="H415" s="3">
        <f t="shared" si="139"/>
        <v>-6.7450000000008004E-2</v>
      </c>
      <c r="I415" s="4">
        <f t="shared" si="140"/>
        <v>-0.10867726953227215</v>
      </c>
      <c r="J415" s="4">
        <f t="shared" si="141"/>
        <v>-7.4643108906445141E-2</v>
      </c>
      <c r="K415" s="4">
        <f t="shared" si="142"/>
        <v>-0.14467249206349986</v>
      </c>
      <c r="L415" s="4">
        <f t="shared" si="143"/>
        <v>-0.13323863492064289</v>
      </c>
      <c r="M415" s="4">
        <f t="shared" si="144"/>
        <v>-9.2212179105904068E-4</v>
      </c>
      <c r="N415" s="4">
        <f t="shared" si="145"/>
        <v>-3.2857431531260067E-4</v>
      </c>
      <c r="O415" s="4">
        <f t="shared" si="146"/>
        <v>-1.1780900197200833E-3</v>
      </c>
      <c r="P415" s="4">
        <f t="shared" si="147"/>
        <v>-6.4156203237299126E-4</v>
      </c>
      <c r="S415" s="4">
        <v>2.1856327782066707</v>
      </c>
      <c r="T415" s="4">
        <v>1.1497738670871891</v>
      </c>
      <c r="U415" s="4">
        <f t="shared" si="148"/>
        <v>2.2438270751379772</v>
      </c>
      <c r="W415" s="4">
        <f t="shared" si="149"/>
        <v>3.744889483233433</v>
      </c>
      <c r="X415" s="4">
        <f t="shared" si="150"/>
        <v>4.0218706615234536</v>
      </c>
      <c r="Y415" s="3">
        <f t="shared" si="137"/>
        <v>-162.44453304278704</v>
      </c>
      <c r="AA415" s="3"/>
    </row>
    <row r="416" spans="4:27" x14ac:dyDescent="0.25">
      <c r="D416" s="1">
        <v>42142</v>
      </c>
      <c r="E416" s="3">
        <v>126.24217</v>
      </c>
      <c r="F416" s="3">
        <v>205.31453200000001</v>
      </c>
      <c r="G416" s="3">
        <f t="shared" si="138"/>
        <v>1.3769390000000072</v>
      </c>
      <c r="H416" s="3">
        <f t="shared" si="139"/>
        <v>0.63589100000001508</v>
      </c>
      <c r="I416" s="4">
        <f t="shared" si="140"/>
        <v>1.3002409213318706</v>
      </c>
      <c r="J416" s="4">
        <f t="shared" si="141"/>
        <v>0.7058909413085287</v>
      </c>
      <c r="K416" s="4">
        <f t="shared" si="142"/>
        <v>1.3486235079365152</v>
      </c>
      <c r="L416" s="4">
        <f t="shared" si="143"/>
        <v>0.57010236507938017</v>
      </c>
      <c r="M416" s="4">
        <f t="shared" si="144"/>
        <v>1.0967042751838355E-2</v>
      </c>
      <c r="N416" s="4">
        <f t="shared" si="145"/>
        <v>3.1019614557692161E-3</v>
      </c>
      <c r="O416" s="4">
        <f t="shared" si="146"/>
        <v>1.0711074523177313E-2</v>
      </c>
      <c r="P416" s="4">
        <f t="shared" si="147"/>
        <v>2.7889737387088256E-3</v>
      </c>
      <c r="S416" s="4">
        <v>0.76308022023518929</v>
      </c>
      <c r="T416" s="4">
        <v>-1.9213430179162034</v>
      </c>
      <c r="U416" s="4">
        <f t="shared" si="148"/>
        <v>-1.0578425479585436</v>
      </c>
      <c r="W416" s="4">
        <f t="shared" si="149"/>
        <v>1.3259003965273297</v>
      </c>
      <c r="X416" s="4">
        <f t="shared" si="150"/>
        <v>-1.7992890875670424</v>
      </c>
      <c r="Y416" s="3">
        <f t="shared" si="137"/>
        <v>-387.89318757782712</v>
      </c>
      <c r="AA416" s="3"/>
    </row>
    <row r="417" spans="4:27" x14ac:dyDescent="0.25">
      <c r="D417" s="1">
        <v>42139</v>
      </c>
      <c r="E417" s="3">
        <v>124.86523099999999</v>
      </c>
      <c r="F417" s="3">
        <v>204.678641</v>
      </c>
      <c r="G417" s="3">
        <f t="shared" si="138"/>
        <v>-0.17453500000000588</v>
      </c>
      <c r="H417" s="3">
        <f t="shared" si="139"/>
        <v>0.22159300000001281</v>
      </c>
      <c r="I417" s="4">
        <f t="shared" si="140"/>
        <v>-0.16458302191752897</v>
      </c>
      <c r="J417" s="4">
        <f t="shared" si="141"/>
        <v>0.24625292976524787</v>
      </c>
      <c r="K417" s="4">
        <f t="shared" si="142"/>
        <v>-0.20285049206349792</v>
      </c>
      <c r="L417" s="4">
        <f t="shared" si="143"/>
        <v>0.15580436507937792</v>
      </c>
      <c r="M417" s="4">
        <f t="shared" si="144"/>
        <v>-1.3968110319752453E-3</v>
      </c>
      <c r="N417" s="4">
        <f t="shared" si="145"/>
        <v>1.0832250895016237E-3</v>
      </c>
      <c r="O417" s="4">
        <f t="shared" si="146"/>
        <v>-1.652779260636288E-3</v>
      </c>
      <c r="P417" s="4">
        <f t="shared" si="147"/>
        <v>7.7023737244123313E-4</v>
      </c>
      <c r="S417" s="4">
        <v>-9.107124557805879E-2</v>
      </c>
      <c r="T417" s="4">
        <v>0.37800274506381609</v>
      </c>
      <c r="U417" s="4">
        <f t="shared" si="148"/>
        <v>0.24412069587675353</v>
      </c>
      <c r="W417" s="4">
        <f t="shared" si="149"/>
        <v>-0.12654722139589505</v>
      </c>
      <c r="X417" s="4">
        <f t="shared" si="150"/>
        <v>0.49619680138792421</v>
      </c>
      <c r="Y417" s="3">
        <f t="shared" si="137"/>
        <v>69.940351975523299</v>
      </c>
      <c r="AA417" s="3"/>
    </row>
    <row r="418" spans="4:27" x14ac:dyDescent="0.25">
      <c r="D418" s="1">
        <v>42138</v>
      </c>
      <c r="E418" s="3">
        <v>125.039766</v>
      </c>
      <c r="F418" s="3">
        <v>204.45704799999999</v>
      </c>
      <c r="G418" s="3">
        <f t="shared" si="138"/>
        <v>2.850843999999995</v>
      </c>
      <c r="H418" s="3">
        <f t="shared" si="139"/>
        <v>2.109991999999977</v>
      </c>
      <c r="I418" s="4">
        <f t="shared" si="140"/>
        <v>2.7510106639894523</v>
      </c>
      <c r="J418" s="4">
        <f t="shared" si="141"/>
        <v>2.3692526423015452</v>
      </c>
      <c r="K418" s="4">
        <f t="shared" si="142"/>
        <v>2.8225285079365028</v>
      </c>
      <c r="L418" s="4">
        <f t="shared" si="143"/>
        <v>2.0442033650793423</v>
      </c>
      <c r="M418" s="4">
        <f t="shared" si="144"/>
        <v>2.3063426746690405E-2</v>
      </c>
      <c r="N418" s="4">
        <f t="shared" si="145"/>
        <v>1.0373597025391553E-2</v>
      </c>
      <c r="O418" s="4">
        <f t="shared" si="146"/>
        <v>2.2807458518029362E-2</v>
      </c>
      <c r="P418" s="4">
        <f t="shared" si="147"/>
        <v>1.0060609308331163E-2</v>
      </c>
      <c r="S418" s="4">
        <v>0.16675291472617509</v>
      </c>
      <c r="T418" s="4">
        <v>0.14354655345790496</v>
      </c>
      <c r="U418" s="4">
        <f t="shared" si="148"/>
        <v>0.21544450465601822</v>
      </c>
      <c r="W418" s="4">
        <f t="shared" si="149"/>
        <v>0.31187161000000602</v>
      </c>
      <c r="X418" s="4">
        <f t="shared" si="150"/>
        <v>0.44563792992373152</v>
      </c>
      <c r="Y418" s="3">
        <f t="shared" si="137"/>
        <v>-5.1627191457146182</v>
      </c>
      <c r="AA418" s="3"/>
    </row>
    <row r="419" spans="4:27" x14ac:dyDescent="0.25">
      <c r="D419" s="1">
        <v>42137</v>
      </c>
      <c r="E419" s="3">
        <v>122.18892200000001</v>
      </c>
      <c r="F419" s="3">
        <v>202.34705600000001</v>
      </c>
      <c r="G419" s="3">
        <f t="shared" si="138"/>
        <v>0.1357540000000057</v>
      </c>
      <c r="H419" s="3">
        <f t="shared" si="139"/>
        <v>3.8547000000022535E-2</v>
      </c>
      <c r="I419" s="4">
        <f t="shared" si="140"/>
        <v>0.13114575348848523</v>
      </c>
      <c r="J419" s="4">
        <f t="shared" si="141"/>
        <v>4.3291625167551015E-2</v>
      </c>
      <c r="K419" s="4">
        <f t="shared" si="142"/>
        <v>0.10743850793651365</v>
      </c>
      <c r="L419" s="4">
        <f t="shared" si="143"/>
        <v>-2.7241634920612351E-2</v>
      </c>
      <c r="M419" s="4">
        <f t="shared" si="144"/>
        <v>1.1116348863509623E-3</v>
      </c>
      <c r="N419" s="4">
        <f t="shared" si="145"/>
        <v>1.9051758310365343E-4</v>
      </c>
      <c r="O419" s="4">
        <f t="shared" si="146"/>
        <v>8.556666576899196E-4</v>
      </c>
      <c r="P419" s="4">
        <f t="shared" si="147"/>
        <v>-1.2247013395673715E-4</v>
      </c>
      <c r="S419" s="4">
        <v>0.28105498421654623</v>
      </c>
      <c r="T419" s="4">
        <v>-0.46905781905664473</v>
      </c>
      <c r="U419" s="4">
        <f t="shared" si="148"/>
        <v>-0.20048100035152755</v>
      </c>
      <c r="W419" s="4">
        <f t="shared" si="149"/>
        <v>0.50623733458132125</v>
      </c>
      <c r="X419" s="4">
        <f t="shared" si="150"/>
        <v>-0.28767856892672983</v>
      </c>
      <c r="Y419" s="3">
        <f t="shared" si="137"/>
        <v>-109.2318564672064</v>
      </c>
      <c r="AA419" s="3"/>
    </row>
    <row r="420" spans="4:27" x14ac:dyDescent="0.25">
      <c r="D420" s="1">
        <v>42136</v>
      </c>
      <c r="E420" s="3">
        <v>122.053168</v>
      </c>
      <c r="F420" s="3">
        <v>202.30850899999999</v>
      </c>
      <c r="G420" s="3">
        <f t="shared" si="138"/>
        <v>-0.43635100000000193</v>
      </c>
      <c r="H420" s="3">
        <f t="shared" si="139"/>
        <v>-0.60698800000000119</v>
      </c>
      <c r="I420" s="4">
        <f t="shared" si="140"/>
        <v>-0.42003714746732107</v>
      </c>
      <c r="J420" s="4">
        <f t="shared" si="141"/>
        <v>-0.67966099074688346</v>
      </c>
      <c r="K420" s="4">
        <f t="shared" si="142"/>
        <v>-0.46466649206349397</v>
      </c>
      <c r="L420" s="4">
        <f t="shared" si="143"/>
        <v>-0.67277663492063611</v>
      </c>
      <c r="M420" s="4">
        <f t="shared" si="144"/>
        <v>-3.5687140634353145E-3</v>
      </c>
      <c r="N420" s="4">
        <f t="shared" si="145"/>
        <v>-2.9958168567745967E-3</v>
      </c>
      <c r="O420" s="4">
        <f t="shared" si="146"/>
        <v>-3.8246822920963569E-3</v>
      </c>
      <c r="P420" s="4">
        <f t="shared" si="147"/>
        <v>-3.3088045738349872E-3</v>
      </c>
      <c r="S420" s="4">
        <v>-0.15250568128506739</v>
      </c>
      <c r="T420" s="4">
        <v>0.94925366434434211</v>
      </c>
      <c r="U420" s="4">
        <f t="shared" si="148"/>
        <v>0.65949493767931266</v>
      </c>
      <c r="W420" s="4">
        <f t="shared" si="149"/>
        <v>-0.23101382172672147</v>
      </c>
      <c r="X420" s="4">
        <f t="shared" si="150"/>
        <v>1.228541370413071</v>
      </c>
      <c r="Y420" s="3">
        <f t="shared" si="137"/>
        <v>160.01233785690965</v>
      </c>
      <c r="AA420" s="3"/>
    </row>
    <row r="421" spans="4:27" x14ac:dyDescent="0.25">
      <c r="D421" s="1">
        <v>42135</v>
      </c>
      <c r="E421" s="3">
        <v>122.489519</v>
      </c>
      <c r="F421" s="3">
        <v>202.91549699999999</v>
      </c>
      <c r="G421" s="3">
        <f t="shared" si="138"/>
        <v>-1.2605829999999969</v>
      </c>
      <c r="H421" s="3">
        <f t="shared" si="139"/>
        <v>-0.97309500000000071</v>
      </c>
      <c r="I421" s="4">
        <f t="shared" si="140"/>
        <v>-1.2010927196838321</v>
      </c>
      <c r="J421" s="4">
        <f t="shared" si="141"/>
        <v>-1.0844006503397952</v>
      </c>
      <c r="K421" s="4">
        <f t="shared" si="142"/>
        <v>-1.2888984920634889</v>
      </c>
      <c r="L421" s="4">
        <f t="shared" si="143"/>
        <v>-1.0388836349206356</v>
      </c>
      <c r="M421" s="4">
        <f t="shared" si="144"/>
        <v>-1.0238758550171799E-2</v>
      </c>
      <c r="N421" s="4">
        <f t="shared" si="145"/>
        <v>-4.7841055795717511E-3</v>
      </c>
      <c r="O421" s="4">
        <f t="shared" si="146"/>
        <v>-1.0494726778832841E-2</v>
      </c>
      <c r="P421" s="4">
        <f t="shared" si="147"/>
        <v>-5.097093296632142E-3</v>
      </c>
      <c r="S421" s="4">
        <v>-1.9461950512562209</v>
      </c>
      <c r="T421" s="4">
        <v>0.24047961733535339</v>
      </c>
      <c r="U421" s="4">
        <f t="shared" si="148"/>
        <v>-0.99581765308465564</v>
      </c>
      <c r="W421" s="4">
        <f t="shared" si="149"/>
        <v>-3.2811050022509285</v>
      </c>
      <c r="X421" s="4">
        <f t="shared" si="150"/>
        <v>-1.6899332577300088</v>
      </c>
      <c r="Y421" s="3">
        <f t="shared" si="137"/>
        <v>385.11593497469858</v>
      </c>
      <c r="AA421" s="3"/>
    </row>
    <row r="422" spans="4:27" x14ac:dyDescent="0.25">
      <c r="D422" s="1">
        <v>42132</v>
      </c>
      <c r="E422" s="3">
        <v>123.750102</v>
      </c>
      <c r="F422" s="3">
        <v>203.88859199999999</v>
      </c>
      <c r="G422" s="3">
        <f t="shared" si="138"/>
        <v>2.2884370000000018</v>
      </c>
      <c r="H422" s="3">
        <f t="shared" si="139"/>
        <v>2.6495299999999986</v>
      </c>
      <c r="I422" s="4">
        <f t="shared" si="140"/>
        <v>2.2215208051342641</v>
      </c>
      <c r="J422" s="4">
        <f t="shared" si="141"/>
        <v>2.9914655925334697</v>
      </c>
      <c r="K422" s="4">
        <f t="shared" si="142"/>
        <v>2.2601215079365096</v>
      </c>
      <c r="L422" s="4">
        <f t="shared" si="143"/>
        <v>2.5837413650793639</v>
      </c>
      <c r="M422" s="4">
        <f t="shared" si="144"/>
        <v>1.866552709871494E-2</v>
      </c>
      <c r="N422" s="4">
        <f t="shared" si="145"/>
        <v>1.3080162509518781E-2</v>
      </c>
      <c r="O422" s="4">
        <f t="shared" si="146"/>
        <v>1.8409558870053896E-2</v>
      </c>
      <c r="P422" s="4">
        <f t="shared" si="147"/>
        <v>1.276717479245839E-2</v>
      </c>
      <c r="S422" s="4">
        <v>-0.86564301313002501</v>
      </c>
      <c r="T422" s="4">
        <v>-0.6280658581611247</v>
      </c>
      <c r="U422" s="4">
        <f t="shared" si="148"/>
        <v>-1.0255780880367573</v>
      </c>
      <c r="W422" s="4">
        <f t="shared" si="149"/>
        <v>-1.4436730049596862</v>
      </c>
      <c r="X422" s="4">
        <f t="shared" si="150"/>
        <v>-1.7424037547314999</v>
      </c>
      <c r="Y422" s="3">
        <f t="shared" si="137"/>
        <v>62.538835992853365</v>
      </c>
      <c r="AA422" s="3"/>
    </row>
    <row r="423" spans="4:27" x14ac:dyDescent="0.25">
      <c r="D423" s="1">
        <v>42131</v>
      </c>
      <c r="E423" s="3">
        <v>121.461665</v>
      </c>
      <c r="F423" s="3">
        <v>201.23906199999999</v>
      </c>
      <c r="G423" s="3">
        <f t="shared" si="138"/>
        <v>0.74665499999998985</v>
      </c>
      <c r="H423" s="3">
        <f t="shared" si="139"/>
        <v>0.79967899999999759</v>
      </c>
      <c r="I423" s="4">
        <f t="shared" si="140"/>
        <v>0.72930527890954733</v>
      </c>
      <c r="J423" s="4">
        <f t="shared" si="141"/>
        <v>0.90648388788820233</v>
      </c>
      <c r="K423" s="4">
        <f t="shared" si="142"/>
        <v>0.71833950793649781</v>
      </c>
      <c r="L423" s="4">
        <f t="shared" si="143"/>
        <v>0.73389036507936267</v>
      </c>
      <c r="M423" s="4">
        <f t="shared" si="144"/>
        <v>6.1662203083087622E-3</v>
      </c>
      <c r="N423" s="4">
        <f t="shared" si="145"/>
        <v>3.9816926521945087E-3</v>
      </c>
      <c r="O423" s="4">
        <f t="shared" si="146"/>
        <v>5.9102520796477194E-3</v>
      </c>
      <c r="P423" s="4">
        <f t="shared" si="147"/>
        <v>3.6687049351341182E-3</v>
      </c>
      <c r="S423" s="4">
        <v>0.25067300967310158</v>
      </c>
      <c r="T423" s="4">
        <v>0.57617231307890648</v>
      </c>
      <c r="U423" s="4">
        <f t="shared" si="148"/>
        <v>0.60954305378781382</v>
      </c>
      <c r="W423" s="4">
        <f t="shared" si="149"/>
        <v>0.45457410116239216</v>
      </c>
      <c r="X423" s="4">
        <f t="shared" si="150"/>
        <v>1.1404714151800199</v>
      </c>
      <c r="Y423" s="3">
        <f t="shared" si="137"/>
        <v>41.734369358330696</v>
      </c>
      <c r="AA423" s="3"/>
    </row>
    <row r="424" spans="4:27" x14ac:dyDescent="0.25">
      <c r="D424" s="1">
        <v>42130</v>
      </c>
      <c r="E424" s="3">
        <v>120.71501000000001</v>
      </c>
      <c r="F424" s="3">
        <v>200.43938299999999</v>
      </c>
      <c r="G424" s="3">
        <f t="shared" si="138"/>
        <v>-0.76285799999999426</v>
      </c>
      <c r="H424" s="3">
        <f t="shared" si="139"/>
        <v>-0.828581000000014</v>
      </c>
      <c r="I424" s="4">
        <f t="shared" si="140"/>
        <v>-0.74045248992541857</v>
      </c>
      <c r="J424" s="4">
        <f t="shared" si="141"/>
        <v>-0.93537933741939261</v>
      </c>
      <c r="K424" s="4">
        <f t="shared" si="142"/>
        <v>-0.79117349206348631</v>
      </c>
      <c r="L424" s="4">
        <f t="shared" si="143"/>
        <v>-0.89436963492064891</v>
      </c>
      <c r="M424" s="4">
        <f t="shared" si="144"/>
        <v>-6.2996115256535434E-3</v>
      </c>
      <c r="N424" s="4">
        <f t="shared" si="145"/>
        <v>-4.1253025679612674E-3</v>
      </c>
      <c r="O424" s="4">
        <f t="shared" si="146"/>
        <v>-6.5555797543145862E-3</v>
      </c>
      <c r="P424" s="4">
        <f t="shared" si="147"/>
        <v>-4.4382902850216583E-3</v>
      </c>
      <c r="S424" s="4">
        <v>-0.7760789578543078</v>
      </c>
      <c r="T424" s="4">
        <v>0.8482701974415191</v>
      </c>
      <c r="U424" s="4">
        <f t="shared" si="148"/>
        <v>0.19930196694856483</v>
      </c>
      <c r="W424" s="4">
        <f t="shared" si="149"/>
        <v>-1.291373203409967</v>
      </c>
      <c r="X424" s="4">
        <f t="shared" si="150"/>
        <v>0.41717708996159331</v>
      </c>
      <c r="Y424" s="3">
        <f t="shared" si="137"/>
        <v>253.00210407067152</v>
      </c>
      <c r="AA424" s="3"/>
    </row>
    <row r="425" spans="4:27" x14ac:dyDescent="0.25">
      <c r="D425" s="1">
        <v>42129</v>
      </c>
      <c r="E425" s="3">
        <v>121.477868</v>
      </c>
      <c r="F425" s="3">
        <v>201.26796400000001</v>
      </c>
      <c r="G425" s="3">
        <f t="shared" si="138"/>
        <v>-2.8003590000000003</v>
      </c>
      <c r="H425" s="3">
        <f t="shared" si="139"/>
        <v>-2.3315999999999804</v>
      </c>
      <c r="I425" s="4">
        <f t="shared" si="140"/>
        <v>-2.6568639484327052</v>
      </c>
      <c r="J425" s="4">
        <f t="shared" si="141"/>
        <v>-2.6019842180074391</v>
      </c>
      <c r="K425" s="4">
        <f t="shared" si="142"/>
        <v>-2.8286744920634925</v>
      </c>
      <c r="L425" s="4">
        <f t="shared" si="143"/>
        <v>-2.397388634920615</v>
      </c>
      <c r="M425" s="4">
        <f t="shared" si="144"/>
        <v>-2.2790728440412227E-2</v>
      </c>
      <c r="N425" s="4">
        <f t="shared" si="145"/>
        <v>-1.1517968793394845E-2</v>
      </c>
      <c r="O425" s="4">
        <f t="shared" si="146"/>
        <v>-2.3046696669073271E-2</v>
      </c>
      <c r="P425" s="4">
        <f t="shared" si="147"/>
        <v>-1.1830956510455235E-2</v>
      </c>
      <c r="S425" s="4">
        <v>0.78497223535026195</v>
      </c>
      <c r="T425" s="4">
        <v>0.17780056845779235</v>
      </c>
      <c r="U425" s="4">
        <f t="shared" si="148"/>
        <v>0.61947768043424101</v>
      </c>
      <c r="W425" s="4">
        <f t="shared" si="149"/>
        <v>1.3631268212050094</v>
      </c>
      <c r="X425" s="4">
        <f t="shared" si="150"/>
        <v>1.1579871134049036</v>
      </c>
      <c r="Y425" s="3">
        <f t="shared" si="137"/>
        <v>-97.875215094863506</v>
      </c>
      <c r="AA425" s="3"/>
    </row>
    <row r="426" spans="4:27" x14ac:dyDescent="0.25">
      <c r="D426" s="1">
        <v>42128</v>
      </c>
      <c r="E426" s="3">
        <v>124.278227</v>
      </c>
      <c r="F426" s="3">
        <v>203.59956399999999</v>
      </c>
      <c r="G426" s="3">
        <f t="shared" si="138"/>
        <v>-0.2414100000000019</v>
      </c>
      <c r="H426" s="3">
        <f t="shared" si="139"/>
        <v>0.5780849999999873</v>
      </c>
      <c r="I426" s="4">
        <f t="shared" si="140"/>
        <v>-0.22859570386990627</v>
      </c>
      <c r="J426" s="4">
        <f t="shared" si="141"/>
        <v>0.64695961010407232</v>
      </c>
      <c r="K426" s="4">
        <f t="shared" si="142"/>
        <v>-0.26972549206349394</v>
      </c>
      <c r="L426" s="4">
        <f t="shared" si="143"/>
        <v>0.51229636507935239</v>
      </c>
      <c r="M426" s="4">
        <f t="shared" si="144"/>
        <v>-1.9406121248855097E-3</v>
      </c>
      <c r="N426" s="4">
        <f t="shared" si="145"/>
        <v>2.8433618939420987E-3</v>
      </c>
      <c r="O426" s="4">
        <f t="shared" si="146"/>
        <v>-2.1965803535465523E-3</v>
      </c>
      <c r="P426" s="4">
        <f t="shared" si="147"/>
        <v>2.5303741768817082E-3</v>
      </c>
      <c r="S426" s="4">
        <v>1.3259452115471184</v>
      </c>
      <c r="T426" s="4">
        <v>-2.2038483860344367</v>
      </c>
      <c r="U426" s="4">
        <f t="shared" si="148"/>
        <v>-0.93864724130869126</v>
      </c>
      <c r="W426" s="4">
        <f t="shared" si="149"/>
        <v>2.2830279653069558</v>
      </c>
      <c r="X426" s="4">
        <f t="shared" si="150"/>
        <v>-1.5891363465123887</v>
      </c>
      <c r="Y426" s="3">
        <f t="shared" si="137"/>
        <v>-511.46610653170501</v>
      </c>
      <c r="AA426" s="3"/>
    </row>
    <row r="427" spans="4:27" x14ac:dyDescent="0.25">
      <c r="D427" s="1">
        <v>42125</v>
      </c>
      <c r="E427" s="3">
        <v>124.519637</v>
      </c>
      <c r="F427" s="3">
        <v>203.021479</v>
      </c>
      <c r="G427" s="3">
        <f t="shared" si="138"/>
        <v>3.6694379999999995</v>
      </c>
      <c r="H427" s="3">
        <f t="shared" si="139"/>
        <v>2.1774269999999945</v>
      </c>
      <c r="I427" s="4">
        <f t="shared" si="140"/>
        <v>3.5801633165515261</v>
      </c>
      <c r="J427" s="4">
        <f t="shared" si="141"/>
        <v>2.4632703781139993</v>
      </c>
      <c r="K427" s="4">
        <f t="shared" si="142"/>
        <v>3.6411225079365073</v>
      </c>
      <c r="L427" s="4">
        <f t="shared" si="143"/>
        <v>2.1116383650793598</v>
      </c>
      <c r="M427" s="4">
        <f t="shared" si="144"/>
        <v>2.9911676557250761E-2</v>
      </c>
      <c r="N427" s="4">
        <f t="shared" si="145"/>
        <v>1.0783035099422992E-2</v>
      </c>
      <c r="O427" s="4">
        <f t="shared" si="146"/>
        <v>2.9655708328589717E-2</v>
      </c>
      <c r="P427" s="4">
        <f t="shared" si="147"/>
        <v>1.0470047382362601E-2</v>
      </c>
      <c r="S427" s="4">
        <v>3.3565808657036243E-3</v>
      </c>
      <c r="T427" s="4">
        <v>0.20753733569564425</v>
      </c>
      <c r="U427" s="4">
        <f t="shared" si="148"/>
        <v>0.16655943622522723</v>
      </c>
      <c r="W427" s="4">
        <f t="shared" si="149"/>
        <v>3.4023212623470384E-2</v>
      </c>
      <c r="X427" s="4">
        <f t="shared" si="150"/>
        <v>0.35944887251768831</v>
      </c>
      <c r="Y427" s="3">
        <f t="shared" si="137"/>
        <v>30.495646552917151</v>
      </c>
      <c r="AA427" s="3"/>
    </row>
    <row r="428" spans="4:27" x14ac:dyDescent="0.25">
      <c r="D428" s="1">
        <v>42124</v>
      </c>
      <c r="E428" s="3">
        <v>120.850199</v>
      </c>
      <c r="F428" s="3">
        <v>200.844052</v>
      </c>
      <c r="G428" s="3">
        <f t="shared" si="138"/>
        <v>-3.3700910000000022</v>
      </c>
      <c r="H428" s="3">
        <f t="shared" si="139"/>
        <v>-2.0329130000000077</v>
      </c>
      <c r="I428" s="4">
        <f t="shared" si="140"/>
        <v>-3.1988932185745522</v>
      </c>
      <c r="J428" s="4">
        <f t="shared" si="141"/>
        <v>-2.2767403729664069</v>
      </c>
      <c r="K428" s="4">
        <f t="shared" si="142"/>
        <v>-3.3984064920634944</v>
      </c>
      <c r="L428" s="4">
        <f t="shared" si="143"/>
        <v>-2.0987016349206424</v>
      </c>
      <c r="M428" s="4">
        <f t="shared" si="144"/>
        <v>-2.7504767878573099E-2</v>
      </c>
      <c r="N428" s="4">
        <f t="shared" si="145"/>
        <v>-1.0070965328068004E-2</v>
      </c>
      <c r="O428" s="4">
        <f t="shared" si="146"/>
        <v>-2.7760736107234143E-2</v>
      </c>
      <c r="P428" s="4">
        <f t="shared" si="147"/>
        <v>-1.0383953045128395E-2</v>
      </c>
      <c r="S428" s="4">
        <v>0.22107342013547995</v>
      </c>
      <c r="T428" s="4">
        <v>0.29702360628737695</v>
      </c>
      <c r="U428" s="4">
        <f t="shared" si="148"/>
        <v>0.3702195316129881</v>
      </c>
      <c r="W428" s="4">
        <f t="shared" si="149"/>
        <v>0.40424127960071438</v>
      </c>
      <c r="X428" s="4">
        <f t="shared" si="150"/>
        <v>0.71852112537843638</v>
      </c>
      <c r="Y428" s="3">
        <f t="shared" si="137"/>
        <v>7.4938333432992295</v>
      </c>
      <c r="AA428" s="3"/>
    </row>
    <row r="429" spans="4:27" x14ac:dyDescent="0.25">
      <c r="D429" s="1">
        <v>42123</v>
      </c>
      <c r="E429" s="3">
        <v>124.22029000000001</v>
      </c>
      <c r="F429" s="3">
        <v>202.87696500000001</v>
      </c>
      <c r="G429" s="3">
        <f t="shared" si="138"/>
        <v>-1.8540330000000012</v>
      </c>
      <c r="H429" s="3">
        <f t="shared" si="139"/>
        <v>-0.83820999999997525</v>
      </c>
      <c r="I429" s="4">
        <f t="shared" si="140"/>
        <v>-1.733969560527659</v>
      </c>
      <c r="J429" s="4">
        <f t="shared" si="141"/>
        <v>-0.93488224413063181</v>
      </c>
      <c r="K429" s="4">
        <f t="shared" si="142"/>
        <v>-1.8823484920634932</v>
      </c>
      <c r="L429" s="4">
        <f t="shared" si="143"/>
        <v>-0.90399863492061017</v>
      </c>
      <c r="M429" s="4">
        <f t="shared" si="144"/>
        <v>-1.4815076432685361E-2</v>
      </c>
      <c r="N429" s="4">
        <f t="shared" si="145"/>
        <v>-4.1231057120969007E-3</v>
      </c>
      <c r="O429" s="4">
        <f t="shared" si="146"/>
        <v>-1.5071044661346403E-2</v>
      </c>
      <c r="P429" s="4">
        <f t="shared" si="147"/>
        <v>-4.4360934291572916E-3</v>
      </c>
      <c r="S429" s="4">
        <v>0.27734270224798035</v>
      </c>
      <c r="T429" s="4">
        <v>1.4285899575016221</v>
      </c>
      <c r="U429" s="4">
        <f t="shared" si="148"/>
        <v>1.3015061569690252</v>
      </c>
      <c r="W429" s="4">
        <f t="shared" si="149"/>
        <v>0.49992475968318045</v>
      </c>
      <c r="X429" s="4">
        <f t="shared" si="150"/>
        <v>2.3604686359547848</v>
      </c>
      <c r="Y429" s="3">
        <f t="shared" si="137"/>
        <v>156.57810377054193</v>
      </c>
      <c r="AA429" s="3"/>
    </row>
    <row r="430" spans="4:27" x14ac:dyDescent="0.25">
      <c r="D430" s="1">
        <v>42122</v>
      </c>
      <c r="E430" s="3">
        <v>126.07432300000001</v>
      </c>
      <c r="F430" s="3">
        <v>203.71517499999999</v>
      </c>
      <c r="G430" s="3">
        <f t="shared" si="138"/>
        <v>-2.0181899999999899</v>
      </c>
      <c r="H430" s="3">
        <f t="shared" si="139"/>
        <v>0.64551999999997633</v>
      </c>
      <c r="I430" s="4">
        <f t="shared" si="140"/>
        <v>-1.8577572209295232</v>
      </c>
      <c r="J430" s="4">
        <f t="shared" si="141"/>
        <v>0.72225761017141932</v>
      </c>
      <c r="K430" s="4">
        <f t="shared" si="142"/>
        <v>-2.0465054920634822</v>
      </c>
      <c r="L430" s="4">
        <f t="shared" si="143"/>
        <v>0.57973136507934142</v>
      </c>
      <c r="M430" s="4">
        <f t="shared" si="144"/>
        <v>-1.5881162539652695E-2</v>
      </c>
      <c r="N430" s="4">
        <f t="shared" si="145"/>
        <v>3.1737690014148803E-3</v>
      </c>
      <c r="O430" s="4">
        <f t="shared" si="146"/>
        <v>-1.6137130768313739E-2</v>
      </c>
      <c r="P430" s="4">
        <f t="shared" si="147"/>
        <v>2.8607812843544898E-3</v>
      </c>
      <c r="S430" s="4">
        <v>0.29541771636466413</v>
      </c>
      <c r="T430" s="4">
        <v>-0.15587762818377079</v>
      </c>
      <c r="U430" s="4">
        <f t="shared" si="148"/>
        <v>5.6530279420087856E-2</v>
      </c>
      <c r="W430" s="4">
        <f t="shared" si="149"/>
        <v>0.5306605392825402</v>
      </c>
      <c r="X430" s="4">
        <f t="shared" si="150"/>
        <v>0.16545693148885099</v>
      </c>
      <c r="Y430" s="3">
        <f t="shared" si="137"/>
        <v>-67.766941447160207</v>
      </c>
      <c r="AA430" s="3"/>
    </row>
    <row r="431" spans="4:27" x14ac:dyDescent="0.25">
      <c r="D431" s="1">
        <v>42121</v>
      </c>
      <c r="E431" s="3">
        <v>128.092513</v>
      </c>
      <c r="F431" s="3">
        <v>203.06965500000001</v>
      </c>
      <c r="G431" s="3">
        <f t="shared" si="138"/>
        <v>2.2885689999999954</v>
      </c>
      <c r="H431" s="3">
        <f t="shared" si="139"/>
        <v>-0.84783999999999082</v>
      </c>
      <c r="I431" s="4">
        <f t="shared" si="140"/>
        <v>2.1449659793199762</v>
      </c>
      <c r="J431" s="4">
        <f t="shared" si="141"/>
        <v>-0.94468467423492963</v>
      </c>
      <c r="K431" s="4">
        <f t="shared" si="142"/>
        <v>2.2602535079365031</v>
      </c>
      <c r="L431" s="4">
        <f t="shared" si="143"/>
        <v>-0.91362863492062574</v>
      </c>
      <c r="M431" s="4">
        <f t="shared" si="144"/>
        <v>1.8028065542224133E-2</v>
      </c>
      <c r="N431" s="4">
        <f t="shared" si="145"/>
        <v>-4.1664274976701476E-3</v>
      </c>
      <c r="O431" s="4">
        <f t="shared" si="146"/>
        <v>1.7772097313563089E-2</v>
      </c>
      <c r="P431" s="4">
        <f t="shared" si="147"/>
        <v>-4.4794152147305385E-3</v>
      </c>
      <c r="S431" s="4">
        <v>-1.3370643099210264</v>
      </c>
      <c r="T431" s="4">
        <v>0.18780175961384896</v>
      </c>
      <c r="U431" s="4">
        <f t="shared" si="148"/>
        <v>-0.66623527972172092</v>
      </c>
      <c r="W431" s="4">
        <f t="shared" si="149"/>
        <v>-2.245304526964325</v>
      </c>
      <c r="X431" s="4">
        <f t="shared" si="150"/>
        <v>-1.1088479691205781</v>
      </c>
      <c r="Y431" s="3">
        <f t="shared" si="137"/>
        <v>262.11514081128007</v>
      </c>
      <c r="AA431" s="3"/>
    </row>
    <row r="432" spans="4:27" x14ac:dyDescent="0.25">
      <c r="D432" s="1">
        <v>42118</v>
      </c>
      <c r="E432" s="3">
        <v>125.803944</v>
      </c>
      <c r="F432" s="3">
        <v>203.917495</v>
      </c>
      <c r="G432" s="3">
        <f t="shared" si="138"/>
        <v>0.58904300000000376</v>
      </c>
      <c r="H432" s="3">
        <f t="shared" si="139"/>
        <v>0.47208900000001108</v>
      </c>
      <c r="I432" s="4">
        <f t="shared" si="140"/>
        <v>0.55467889150167882</v>
      </c>
      <c r="J432" s="4">
        <f t="shared" si="141"/>
        <v>0.5272340482076332</v>
      </c>
      <c r="K432" s="4">
        <f t="shared" si="142"/>
        <v>0.56072750793651172</v>
      </c>
      <c r="L432" s="4">
        <f t="shared" si="143"/>
        <v>0.40630036507937617</v>
      </c>
      <c r="M432" s="4">
        <f t="shared" si="144"/>
        <v>4.6932259703944424E-3</v>
      </c>
      <c r="N432" s="4">
        <f t="shared" si="145"/>
        <v>2.3177820571488859E-3</v>
      </c>
      <c r="O432" s="4">
        <f t="shared" si="146"/>
        <v>4.4372577417333995E-3</v>
      </c>
      <c r="P432" s="4">
        <f t="shared" si="147"/>
        <v>2.0047943400884954E-3</v>
      </c>
      <c r="S432" s="4">
        <v>0.83744363187072535</v>
      </c>
      <c r="T432" s="4">
        <v>7.7960572597841416E-3</v>
      </c>
      <c r="U432" s="4">
        <f t="shared" si="148"/>
        <v>0.51670419527679912</v>
      </c>
      <c r="W432" s="4">
        <f t="shared" si="149"/>
        <v>1.4523521611307446</v>
      </c>
      <c r="X432" s="4">
        <f t="shared" si="150"/>
        <v>0.97678761637250144</v>
      </c>
      <c r="Y432" s="3">
        <f t="shared" si="137"/>
        <v>-129.65171676671798</v>
      </c>
      <c r="AA432" s="3"/>
    </row>
    <row r="433" spans="4:27" x14ac:dyDescent="0.25">
      <c r="D433" s="1">
        <v>42117</v>
      </c>
      <c r="E433" s="3">
        <v>125.214901</v>
      </c>
      <c r="F433" s="3">
        <v>203.44540599999999</v>
      </c>
      <c r="G433" s="3">
        <f t="shared" si="138"/>
        <v>1.0139279999999928</v>
      </c>
      <c r="H433" s="3">
        <f t="shared" si="139"/>
        <v>0.5106349999999793</v>
      </c>
      <c r="I433" s="4">
        <f t="shared" si="140"/>
        <v>0.96257099802037094</v>
      </c>
      <c r="J433" s="4">
        <f t="shared" si="141"/>
        <v>0.57171760833652452</v>
      </c>
      <c r="K433" s="4">
        <f t="shared" si="142"/>
        <v>0.98561250793650079</v>
      </c>
      <c r="L433" s="4">
        <f t="shared" si="143"/>
        <v>0.44484636507934439</v>
      </c>
      <c r="M433" s="4">
        <f t="shared" si="144"/>
        <v>8.130465548675813E-3</v>
      </c>
      <c r="N433" s="4">
        <f t="shared" si="145"/>
        <v>2.5130914234942018E-3</v>
      </c>
      <c r="O433" s="4">
        <f t="shared" si="146"/>
        <v>7.874497320014771E-3</v>
      </c>
      <c r="P433" s="4">
        <f t="shared" si="147"/>
        <v>2.2001037064338113E-3</v>
      </c>
      <c r="S433" s="4">
        <v>0.470294873941284</v>
      </c>
      <c r="T433" s="4">
        <v>-0.2358595997179235</v>
      </c>
      <c r="U433" s="4">
        <f t="shared" si="148"/>
        <v>9.9738226018074722E-2</v>
      </c>
      <c r="W433" s="4">
        <f t="shared" si="149"/>
        <v>0.82803158074005201</v>
      </c>
      <c r="X433" s="4">
        <f t="shared" si="150"/>
        <v>0.24163667940110894</v>
      </c>
      <c r="Y433" s="3">
        <f t="shared" si="137"/>
        <v>-106.76416773471419</v>
      </c>
      <c r="AA433" s="3"/>
    </row>
    <row r="434" spans="4:27" x14ac:dyDescent="0.25">
      <c r="D434" s="1">
        <v>42116</v>
      </c>
      <c r="E434" s="3">
        <v>124.200973</v>
      </c>
      <c r="F434" s="3">
        <v>202.93477100000001</v>
      </c>
      <c r="G434" s="3">
        <f t="shared" si="138"/>
        <v>1.6512400000000014</v>
      </c>
      <c r="H434" s="3">
        <f t="shared" si="139"/>
        <v>0.99236900000002493</v>
      </c>
      <c r="I434" s="4">
        <f t="shared" si="140"/>
        <v>1.5887241060326109</v>
      </c>
      <c r="J434" s="4">
        <f t="shared" si="141"/>
        <v>1.1165370184939598</v>
      </c>
      <c r="K434" s="4">
        <f t="shared" si="142"/>
        <v>1.6229245079365093</v>
      </c>
      <c r="L434" s="4">
        <f t="shared" si="143"/>
        <v>0.92658036507939001</v>
      </c>
      <c r="M434" s="4">
        <f t="shared" si="144"/>
        <v>1.3384072338000201E-2</v>
      </c>
      <c r="N434" s="4">
        <f t="shared" si="145"/>
        <v>4.9020841550562761E-3</v>
      </c>
      <c r="O434" s="4">
        <f t="shared" si="146"/>
        <v>1.3128104109339159E-2</v>
      </c>
      <c r="P434" s="4">
        <f t="shared" si="147"/>
        <v>4.5890964379958852E-3</v>
      </c>
      <c r="S434" s="4">
        <v>-1.0260324486280172</v>
      </c>
      <c r="T434" s="4">
        <v>-0.9748173960439328</v>
      </c>
      <c r="U434" s="4">
        <f t="shared" si="148"/>
        <v>-1.3982222431366558</v>
      </c>
      <c r="W434" s="4">
        <f t="shared" si="149"/>
        <v>-1.7164083017460798</v>
      </c>
      <c r="X434" s="4">
        <f t="shared" si="150"/>
        <v>-2.3994110886048778</v>
      </c>
      <c r="Y434" s="3">
        <f t="shared" si="137"/>
        <v>42.800397615847487</v>
      </c>
      <c r="AA434" s="3"/>
    </row>
    <row r="435" spans="4:27" x14ac:dyDescent="0.25">
      <c r="D435" s="1">
        <v>42115</v>
      </c>
      <c r="E435" s="3">
        <v>122.549733</v>
      </c>
      <c r="F435" s="3">
        <v>201.94240199999999</v>
      </c>
      <c r="G435" s="3">
        <f t="shared" si="138"/>
        <v>-0.66628799999999444</v>
      </c>
      <c r="H435" s="3">
        <f t="shared" si="139"/>
        <v>-0.2408670000000086</v>
      </c>
      <c r="I435" s="4">
        <f t="shared" si="140"/>
        <v>-0.63759582648064372</v>
      </c>
      <c r="J435" s="4">
        <f t="shared" si="141"/>
        <v>-0.27068210454184988</v>
      </c>
      <c r="K435" s="4">
        <f t="shared" si="142"/>
        <v>-0.69460349206348648</v>
      </c>
      <c r="L435" s="4">
        <f t="shared" si="143"/>
        <v>-0.30665563492064352</v>
      </c>
      <c r="M435" s="4">
        <f t="shared" si="144"/>
        <v>-5.422151960113226E-3</v>
      </c>
      <c r="N435" s="4">
        <f t="shared" si="145"/>
        <v>-1.1920402281094535E-3</v>
      </c>
      <c r="O435" s="4">
        <f t="shared" si="146"/>
        <v>-5.6781201887742688E-3</v>
      </c>
      <c r="P435" s="4">
        <f t="shared" si="147"/>
        <v>-1.5050279451698442E-3</v>
      </c>
      <c r="S435" s="4">
        <v>-1.6069106887907856</v>
      </c>
      <c r="T435" s="4">
        <v>0.63126266281907162</v>
      </c>
      <c r="U435" s="4">
        <f t="shared" si="148"/>
        <v>-0.47921173437092923</v>
      </c>
      <c r="W435" s="4">
        <f t="shared" si="149"/>
        <v>-2.7041666209623973</v>
      </c>
      <c r="X435" s="4">
        <f t="shared" si="150"/>
        <v>-0.77910754727086529</v>
      </c>
      <c r="Y435" s="3">
        <f t="shared" si="137"/>
        <v>374.6080195097602</v>
      </c>
      <c r="AA435" s="3"/>
    </row>
    <row r="436" spans="4:27" x14ac:dyDescent="0.25">
      <c r="D436" s="1">
        <v>42114</v>
      </c>
      <c r="E436" s="3">
        <v>123.216021</v>
      </c>
      <c r="F436" s="3">
        <v>202.183269</v>
      </c>
      <c r="G436" s="3">
        <f t="shared" si="138"/>
        <v>2.7520799999999923</v>
      </c>
      <c r="H436" s="3">
        <f t="shared" si="139"/>
        <v>1.8305939999999907</v>
      </c>
      <c r="I436" s="4">
        <f t="shared" si="140"/>
        <v>2.6937335862880252</v>
      </c>
      <c r="J436" s="4">
        <f t="shared" si="141"/>
        <v>2.0759856365988418</v>
      </c>
      <c r="K436" s="4">
        <f t="shared" si="142"/>
        <v>2.7237645079365</v>
      </c>
      <c r="L436" s="4">
        <f t="shared" si="143"/>
        <v>1.7648053650793558</v>
      </c>
      <c r="M436" s="4">
        <f t="shared" si="144"/>
        <v>2.2588619894522648E-2</v>
      </c>
      <c r="N436" s="4">
        <f t="shared" si="145"/>
        <v>9.0953697280482925E-3</v>
      </c>
      <c r="O436" s="4">
        <f t="shared" si="146"/>
        <v>2.2332651665861604E-2</v>
      </c>
      <c r="P436" s="4">
        <f t="shared" si="147"/>
        <v>8.7823820109879016E-3</v>
      </c>
      <c r="S436" s="4">
        <v>-0.11951215997416606</v>
      </c>
      <c r="T436" s="4">
        <v>-1.6990488931409209</v>
      </c>
      <c r="U436" s="4">
        <f t="shared" si="148"/>
        <v>-1.4196797766392273</v>
      </c>
      <c r="W436" s="4">
        <f t="shared" si="149"/>
        <v>-0.17490976600249314</v>
      </c>
      <c r="X436" s="4">
        <f t="shared" si="150"/>
        <v>-2.4372427751752572</v>
      </c>
      <c r="Y436" s="3">
        <f t="shared" si="137"/>
        <v>-215.61575005327677</v>
      </c>
      <c r="AA436" s="3"/>
    </row>
    <row r="437" spans="4:27" x14ac:dyDescent="0.25">
      <c r="D437" s="1">
        <v>42111</v>
      </c>
      <c r="E437" s="3">
        <v>120.46394100000001</v>
      </c>
      <c r="F437" s="3">
        <v>200.352675</v>
      </c>
      <c r="G437" s="3">
        <f t="shared" si="138"/>
        <v>-1.3712109999999882</v>
      </c>
      <c r="H437" s="3">
        <f t="shared" si="139"/>
        <v>-2.3315849999999898</v>
      </c>
      <c r="I437" s="4">
        <f t="shared" si="140"/>
        <v>-1.3270348650678632</v>
      </c>
      <c r="J437" s="4">
        <f t="shared" si="141"/>
        <v>-2.6137177310714343</v>
      </c>
      <c r="K437" s="4">
        <f t="shared" si="142"/>
        <v>-1.3995264920634802</v>
      </c>
      <c r="L437" s="4">
        <f t="shared" si="143"/>
        <v>-2.3973736349206245</v>
      </c>
      <c r="M437" s="4">
        <f t="shared" si="144"/>
        <v>-1.131845457212111E-2</v>
      </c>
      <c r="N437" s="4">
        <f t="shared" si="145"/>
        <v>-1.1570210113221454E-2</v>
      </c>
      <c r="O437" s="4">
        <f t="shared" si="146"/>
        <v>-1.1574422800782152E-2</v>
      </c>
      <c r="P437" s="4">
        <f t="shared" si="147"/>
        <v>-1.1883197830281845E-2</v>
      </c>
      <c r="S437" s="4">
        <v>-0.27652039091591679</v>
      </c>
      <c r="T437" s="4">
        <v>-0.61555171127039332</v>
      </c>
      <c r="U437" s="4">
        <f t="shared" si="148"/>
        <v>-0.65651592875345144</v>
      </c>
      <c r="W437" s="4">
        <f t="shared" si="149"/>
        <v>-0.44189547070834384</v>
      </c>
      <c r="X437" s="4">
        <f t="shared" si="150"/>
        <v>-1.0917118225334126</v>
      </c>
      <c r="Y437" s="3">
        <f t="shared" si="137"/>
        <v>-37.851206490556251</v>
      </c>
      <c r="AA437" s="3"/>
    </row>
    <row r="438" spans="4:27" x14ac:dyDescent="0.25">
      <c r="D438" s="1">
        <v>42110</v>
      </c>
      <c r="E438" s="3">
        <v>121.83515199999999</v>
      </c>
      <c r="F438" s="3">
        <v>202.68425999999999</v>
      </c>
      <c r="G438" s="3">
        <f t="shared" si="138"/>
        <v>-0.58904200000000628</v>
      </c>
      <c r="H438" s="3">
        <f t="shared" si="139"/>
        <v>-5.7805999999999358E-2</v>
      </c>
      <c r="I438" s="4">
        <f t="shared" si="140"/>
        <v>-0.56732204890945603</v>
      </c>
      <c r="J438" s="4">
        <f t="shared" si="141"/>
        <v>-6.4782321319749467E-2</v>
      </c>
      <c r="K438" s="4">
        <f t="shared" si="142"/>
        <v>-0.61735749206349833</v>
      </c>
      <c r="L438" s="4">
        <f t="shared" si="143"/>
        <v>-0.12359463492063424</v>
      </c>
      <c r="M438" s="4">
        <f t="shared" si="144"/>
        <v>-4.8230960371933749E-3</v>
      </c>
      <c r="N438" s="4">
        <f t="shared" si="145"/>
        <v>-2.8516155308436718E-4</v>
      </c>
      <c r="O438" s="4">
        <f t="shared" si="146"/>
        <v>-5.0790642658544178E-3</v>
      </c>
      <c r="P438" s="4">
        <f t="shared" si="147"/>
        <v>-5.9814927014475777E-4</v>
      </c>
      <c r="S438" s="4">
        <v>1.8862546832356135</v>
      </c>
      <c r="T438" s="4">
        <v>0.38087370346786242</v>
      </c>
      <c r="U438" s="4">
        <f t="shared" si="148"/>
        <v>1.4518184857010143</v>
      </c>
      <c r="W438" s="4">
        <f t="shared" si="149"/>
        <v>3.2358099835160181</v>
      </c>
      <c r="X438" s="4">
        <f t="shared" si="150"/>
        <v>2.6254836670426287</v>
      </c>
      <c r="Y438" s="3">
        <f t="shared" si="137"/>
        <v>-229.4153328281709</v>
      </c>
      <c r="AA438" s="3"/>
    </row>
    <row r="439" spans="4:27" x14ac:dyDescent="0.25">
      <c r="D439" s="1">
        <v>42109</v>
      </c>
      <c r="E439" s="3">
        <v>122.424194</v>
      </c>
      <c r="F439" s="3">
        <v>202.74206599999999</v>
      </c>
      <c r="G439" s="3">
        <f t="shared" si="138"/>
        <v>0.46350400000000036</v>
      </c>
      <c r="H439" s="3">
        <f t="shared" si="139"/>
        <v>0.90564599999999018</v>
      </c>
      <c r="I439" s="4">
        <f t="shared" si="140"/>
        <v>0.44810962035403412</v>
      </c>
      <c r="J439" s="4">
        <f t="shared" si="141"/>
        <v>1.0194980370714053</v>
      </c>
      <c r="K439" s="4">
        <f t="shared" si="142"/>
        <v>0.43518850793650832</v>
      </c>
      <c r="L439" s="4">
        <f t="shared" si="143"/>
        <v>0.83985736507935527</v>
      </c>
      <c r="M439" s="4">
        <f t="shared" si="144"/>
        <v>3.7932342473796046E-3</v>
      </c>
      <c r="N439" s="4">
        <f t="shared" si="145"/>
        <v>4.4769929397078688E-3</v>
      </c>
      <c r="O439" s="4">
        <f t="shared" si="146"/>
        <v>3.5372660187185621E-3</v>
      </c>
      <c r="P439" s="4">
        <f t="shared" si="147"/>
        <v>4.1640052226474778E-3</v>
      </c>
      <c r="S439" s="4">
        <v>0.21809679265559961</v>
      </c>
      <c r="T439" s="4">
        <v>0.69384830206056858</v>
      </c>
      <c r="U439" s="4">
        <f t="shared" si="148"/>
        <v>0.68296468234477703</v>
      </c>
      <c r="W439" s="4">
        <f t="shared" si="149"/>
        <v>0.39917965333694549</v>
      </c>
      <c r="X439" s="4">
        <f t="shared" si="150"/>
        <v>1.2699207779747217</v>
      </c>
      <c r="Y439" s="3">
        <f t="shared" si="137"/>
        <v>63.434447224718042</v>
      </c>
      <c r="AA439" s="3"/>
    </row>
    <row r="440" spans="4:27" x14ac:dyDescent="0.25">
      <c r="D440" s="1">
        <v>42108</v>
      </c>
      <c r="E440" s="3">
        <v>121.96069</v>
      </c>
      <c r="F440" s="3">
        <v>201.83642</v>
      </c>
      <c r="G440" s="3">
        <f t="shared" si="138"/>
        <v>-0.53109899999999755</v>
      </c>
      <c r="H440" s="3">
        <f t="shared" si="139"/>
        <v>0.38539500000001681</v>
      </c>
      <c r="I440" s="4">
        <f t="shared" si="140"/>
        <v>-0.51123333021444983</v>
      </c>
      <c r="J440" s="4">
        <f t="shared" si="141"/>
        <v>0.43467438623242954</v>
      </c>
      <c r="K440" s="4">
        <f t="shared" si="142"/>
        <v>-0.55941449206348959</v>
      </c>
      <c r="L440" s="4">
        <f t="shared" si="143"/>
        <v>0.31960636507938189</v>
      </c>
      <c r="M440" s="4">
        <f t="shared" si="144"/>
        <v>-4.3452194701347367E-3</v>
      </c>
      <c r="N440" s="4">
        <f t="shared" si="145"/>
        <v>1.9112676186528292E-3</v>
      </c>
      <c r="O440" s="4">
        <f t="shared" si="146"/>
        <v>-4.6011876987957796E-3</v>
      </c>
      <c r="P440" s="4">
        <f t="shared" si="147"/>
        <v>1.5982799015924385E-3</v>
      </c>
      <c r="S440" s="4">
        <v>0.7752302724000677</v>
      </c>
      <c r="T440" s="4">
        <v>1.435936751318198</v>
      </c>
      <c r="U440" s="4">
        <f t="shared" si="148"/>
        <v>1.6108532733513081</v>
      </c>
      <c r="W440" s="4">
        <f t="shared" si="149"/>
        <v>1.3465610346352539</v>
      </c>
      <c r="X440" s="4">
        <f t="shared" si="150"/>
        <v>2.9058772285603918</v>
      </c>
      <c r="Y440" s="3">
        <f t="shared" si="137"/>
        <v>79.453729005839705</v>
      </c>
      <c r="AA440" s="3"/>
    </row>
    <row r="441" spans="4:27" x14ac:dyDescent="0.25">
      <c r="D441" s="1">
        <v>42107</v>
      </c>
      <c r="E441" s="3">
        <v>122.491789</v>
      </c>
      <c r="F441" s="3">
        <v>201.45102499999999</v>
      </c>
      <c r="G441" s="3">
        <f t="shared" si="138"/>
        <v>-0.24141099999999938</v>
      </c>
      <c r="H441" s="3">
        <f t="shared" si="139"/>
        <v>-0.91528999999999883</v>
      </c>
      <c r="I441" s="4">
        <f t="shared" si="140"/>
        <v>-0.23192397799164308</v>
      </c>
      <c r="J441" s="4">
        <f t="shared" si="141"/>
        <v>-1.0276564422642658</v>
      </c>
      <c r="K441" s="4">
        <f t="shared" si="142"/>
        <v>-0.26972649206349142</v>
      </c>
      <c r="L441" s="4">
        <f t="shared" si="143"/>
        <v>-0.98107863492063374</v>
      </c>
      <c r="M441" s="4">
        <f t="shared" si="144"/>
        <v>-1.968894597334321E-3</v>
      </c>
      <c r="N441" s="4">
        <f t="shared" si="145"/>
        <v>-4.5331959614380544E-3</v>
      </c>
      <c r="O441" s="4">
        <f t="shared" si="146"/>
        <v>-2.2248628259953634E-3</v>
      </c>
      <c r="P441" s="4">
        <f t="shared" si="147"/>
        <v>-4.8461836784984454E-3</v>
      </c>
      <c r="S441" s="4">
        <v>-0.82794265068493711</v>
      </c>
      <c r="T441" s="4">
        <v>-0.19704806639756095</v>
      </c>
      <c r="U441" s="4">
        <f t="shared" si="148"/>
        <v>-0.66093074237327154</v>
      </c>
      <c r="W441" s="4">
        <f t="shared" si="149"/>
        <v>-1.3795651694997604</v>
      </c>
      <c r="X441" s="4">
        <f t="shared" si="150"/>
        <v>-1.0994955617554281</v>
      </c>
      <c r="Y441" s="3">
        <f t="shared" si="137"/>
        <v>116.08314122793945</v>
      </c>
      <c r="AA441" s="3"/>
    </row>
    <row r="442" spans="4:27" x14ac:dyDescent="0.25">
      <c r="D442" s="1">
        <v>42104</v>
      </c>
      <c r="E442" s="3">
        <v>122.7332</v>
      </c>
      <c r="F442" s="3">
        <v>202.36631499999999</v>
      </c>
      <c r="G442" s="3">
        <f t="shared" si="138"/>
        <v>0.52144799999999236</v>
      </c>
      <c r="H442" s="3">
        <f t="shared" si="139"/>
        <v>1.0983509999999796</v>
      </c>
      <c r="I442" s="4">
        <f t="shared" si="140"/>
        <v>0.50309348127004261</v>
      </c>
      <c r="J442" s="4">
        <f t="shared" si="141"/>
        <v>1.23992081719698</v>
      </c>
      <c r="K442" s="4">
        <f t="shared" si="142"/>
        <v>0.49313250793650032</v>
      </c>
      <c r="L442" s="4">
        <f t="shared" si="143"/>
        <v>1.0325623650793447</v>
      </c>
      <c r="M442" s="4">
        <f t="shared" si="144"/>
        <v>4.2576814379696902E-3</v>
      </c>
      <c r="N442" s="4">
        <f t="shared" si="145"/>
        <v>5.4423212701948968E-3</v>
      </c>
      <c r="O442" s="4">
        <f t="shared" si="146"/>
        <v>4.0017132093086473E-3</v>
      </c>
      <c r="P442" s="4">
        <f t="shared" si="147"/>
        <v>5.1293335531345059E-3</v>
      </c>
      <c r="S442" s="4">
        <v>0.28098200309317034</v>
      </c>
      <c r="T442" s="4">
        <v>0.51736467774875183</v>
      </c>
      <c r="U442" s="4">
        <f t="shared" si="148"/>
        <v>0.58140374924756721</v>
      </c>
      <c r="W442" s="4">
        <f t="shared" si="149"/>
        <v>0.50611323333810698</v>
      </c>
      <c r="X442" s="4">
        <f t="shared" si="150"/>
        <v>1.0908591263516008</v>
      </c>
      <c r="Y442" s="3">
        <f t="shared" si="137"/>
        <v>28.641476877726291</v>
      </c>
      <c r="AA442" s="3"/>
    </row>
    <row r="443" spans="4:27" x14ac:dyDescent="0.25">
      <c r="D443" s="1">
        <v>42103</v>
      </c>
      <c r="E443" s="3">
        <v>122.211752</v>
      </c>
      <c r="F443" s="3">
        <v>201.26796400000001</v>
      </c>
      <c r="G443" s="3">
        <f t="shared" si="138"/>
        <v>0.92701700000000642</v>
      </c>
      <c r="H443" s="3">
        <f t="shared" si="139"/>
        <v>0.88638600000001588</v>
      </c>
      <c r="I443" s="4">
        <f t="shared" si="140"/>
        <v>0.90122288001098205</v>
      </c>
      <c r="J443" s="4">
        <f t="shared" si="141"/>
        <v>1.0050612999200237</v>
      </c>
      <c r="K443" s="4">
        <f t="shared" si="142"/>
        <v>0.89870150793651438</v>
      </c>
      <c r="L443" s="4">
        <f t="shared" si="143"/>
        <v>0.82059736507938097</v>
      </c>
      <c r="M443" s="4">
        <f t="shared" si="144"/>
        <v>7.6142493077121509E-3</v>
      </c>
      <c r="N443" s="4">
        <f t="shared" si="145"/>
        <v>4.4137355893110125E-3</v>
      </c>
      <c r="O443" s="4">
        <f t="shared" si="146"/>
        <v>7.358281079051108E-3</v>
      </c>
      <c r="P443" s="4">
        <f t="shared" si="147"/>
        <v>4.1007478722506216E-3</v>
      </c>
      <c r="S443" s="4">
        <v>1.3441983196631948</v>
      </c>
      <c r="T443" s="4">
        <v>1.1165198486087946</v>
      </c>
      <c r="U443" s="4">
        <f t="shared" si="148"/>
        <v>1.7045096602022605</v>
      </c>
      <c r="W443" s="4">
        <f t="shared" si="149"/>
        <v>2.3140665860481242</v>
      </c>
      <c r="X443" s="4">
        <f t="shared" si="150"/>
        <v>3.0710024081265712</v>
      </c>
      <c r="Y443" s="3">
        <f t="shared" si="137"/>
        <v>-50.064443251544617</v>
      </c>
      <c r="AA443" s="3"/>
    </row>
    <row r="444" spans="4:27" x14ac:dyDescent="0.25">
      <c r="D444" s="1">
        <v>42102</v>
      </c>
      <c r="E444" s="3">
        <v>121.284735</v>
      </c>
      <c r="F444" s="3">
        <v>200.38157799999999</v>
      </c>
      <c r="G444" s="3">
        <f t="shared" si="138"/>
        <v>-0.39591800000000887</v>
      </c>
      <c r="H444" s="3">
        <f t="shared" si="139"/>
        <v>0.67442299999999022</v>
      </c>
      <c r="I444" s="4">
        <f t="shared" si="140"/>
        <v>-0.38364926397685462</v>
      </c>
      <c r="J444" s="4">
        <f t="shared" si="141"/>
        <v>0.76730177519658116</v>
      </c>
      <c r="K444" s="4">
        <f t="shared" si="142"/>
        <v>-0.42423349206350092</v>
      </c>
      <c r="L444" s="4">
        <f t="shared" si="143"/>
        <v>0.60863436507935531</v>
      </c>
      <c r="M444" s="4">
        <f t="shared" si="144"/>
        <v>-3.2590514533214791E-3</v>
      </c>
      <c r="N444" s="4">
        <f t="shared" si="145"/>
        <v>3.3713703144877144E-3</v>
      </c>
      <c r="O444" s="4">
        <f t="shared" si="146"/>
        <v>-3.5150196819825215E-3</v>
      </c>
      <c r="P444" s="4">
        <f t="shared" si="147"/>
        <v>3.0583825974273239E-3</v>
      </c>
      <c r="S444" s="4">
        <v>-1.2072981606531155</v>
      </c>
      <c r="T444" s="4">
        <v>0.60933797730225148</v>
      </c>
      <c r="U444" s="4">
        <f t="shared" si="148"/>
        <v>-0.25297854434908817</v>
      </c>
      <c r="W444" s="4">
        <f t="shared" si="149"/>
        <v>-2.0246428036810968</v>
      </c>
      <c r="X444" s="4">
        <f t="shared" si="150"/>
        <v>-0.38023676672669593</v>
      </c>
      <c r="Y444" s="3">
        <f t="shared" si="137"/>
        <v>297.13808012007939</v>
      </c>
      <c r="AA444" s="3"/>
    </row>
    <row r="445" spans="4:27" x14ac:dyDescent="0.25">
      <c r="D445" s="1">
        <v>42101</v>
      </c>
      <c r="E445" s="3">
        <v>121.68065300000001</v>
      </c>
      <c r="F445" s="3">
        <v>199.707155</v>
      </c>
      <c r="G445" s="3">
        <f t="shared" si="138"/>
        <v>-1.2939569999999918</v>
      </c>
      <c r="H445" s="3">
        <f t="shared" si="139"/>
        <v>-0.52990900000000352</v>
      </c>
      <c r="I445" s="4">
        <f t="shared" si="140"/>
        <v>-1.240666468028051</v>
      </c>
      <c r="J445" s="4">
        <f t="shared" si="141"/>
        <v>-0.60129041644040382</v>
      </c>
      <c r="K445" s="4">
        <f t="shared" si="142"/>
        <v>-1.3222724920634839</v>
      </c>
      <c r="L445" s="4">
        <f t="shared" si="143"/>
        <v>-0.59569763492063843</v>
      </c>
      <c r="M445" s="4">
        <f t="shared" si="144"/>
        <v>-1.0577896828266778E-2</v>
      </c>
      <c r="N445" s="4">
        <f t="shared" si="145"/>
        <v>-2.6499160878607495E-3</v>
      </c>
      <c r="O445" s="4">
        <f t="shared" si="146"/>
        <v>-1.083386505692782E-2</v>
      </c>
      <c r="P445" s="4">
        <f t="shared" si="147"/>
        <v>-2.96290380492114E-3</v>
      </c>
      <c r="S445" s="4">
        <v>-0.60751355120895389</v>
      </c>
      <c r="T445" s="4">
        <v>3.4550140126061408</v>
      </c>
      <c r="U445" s="4">
        <f t="shared" si="148"/>
        <v>2.3684082175477044</v>
      </c>
      <c r="W445" s="4">
        <f t="shared" si="149"/>
        <v>-1.0047350213713795</v>
      </c>
      <c r="X445" s="4">
        <f t="shared" si="150"/>
        <v>4.2415191468286153</v>
      </c>
      <c r="Y445" s="3">
        <f t="shared" si="137"/>
        <v>587.78511119629184</v>
      </c>
      <c r="AA445" s="3"/>
    </row>
    <row r="446" spans="4:27" x14ac:dyDescent="0.25">
      <c r="D446" s="1">
        <v>42100</v>
      </c>
      <c r="E446" s="3">
        <v>122.97461</v>
      </c>
      <c r="F446" s="3">
        <v>200.237064</v>
      </c>
      <c r="G446" s="3">
        <f t="shared" si="138"/>
        <v>1.9602529999999945</v>
      </c>
      <c r="H446" s="3">
        <f t="shared" si="139"/>
        <v>1.3392169999999908</v>
      </c>
      <c r="I446" s="4">
        <f t="shared" si="140"/>
        <v>1.9099670882109578</v>
      </c>
      <c r="J446" s="4">
        <f t="shared" si="141"/>
        <v>1.529848153381554</v>
      </c>
      <c r="K446" s="4">
        <f t="shared" si="142"/>
        <v>1.9319375079365024</v>
      </c>
      <c r="L446" s="4">
        <f t="shared" si="143"/>
        <v>1.2734283650793559</v>
      </c>
      <c r="M446" s="4">
        <f t="shared" si="144"/>
        <v>1.6068719849473365E-2</v>
      </c>
      <c r="N446" s="4">
        <f t="shared" si="145"/>
        <v>6.7106233445121911E-3</v>
      </c>
      <c r="O446" s="4">
        <f t="shared" si="146"/>
        <v>1.5812751620812322E-2</v>
      </c>
      <c r="P446" s="4">
        <f t="shared" si="147"/>
        <v>6.3976356274518002E-3</v>
      </c>
      <c r="S446" s="4">
        <v>-0.55854296862557995</v>
      </c>
      <c r="T446" s="4">
        <v>-1.1277692397793222</v>
      </c>
      <c r="U446" s="4">
        <f t="shared" si="148"/>
        <v>-1.2344739313816815</v>
      </c>
      <c r="W446" s="4">
        <f t="shared" si="149"/>
        <v>-0.92146266410414368</v>
      </c>
      <c r="X446" s="4">
        <f t="shared" si="150"/>
        <v>-2.1107071326725451</v>
      </c>
      <c r="Y446" s="3">
        <f t="shared" si="137"/>
        <v>-61.199850692905329</v>
      </c>
      <c r="AA446" s="3"/>
    </row>
    <row r="447" spans="4:27" x14ac:dyDescent="0.25">
      <c r="D447" s="1">
        <v>42096</v>
      </c>
      <c r="E447" s="3">
        <v>121.014357</v>
      </c>
      <c r="F447" s="3">
        <v>198.89784700000001</v>
      </c>
      <c r="G447" s="3">
        <f t="shared" si="138"/>
        <v>1.0332379999999972</v>
      </c>
      <c r="H447" s="3">
        <f t="shared" si="139"/>
        <v>0.71297000000001276</v>
      </c>
      <c r="I447" s="4">
        <f t="shared" si="140"/>
        <v>1.0154022376883456</v>
      </c>
      <c r="J447" s="4">
        <f t="shared" si="141"/>
        <v>0.81738789126070843</v>
      </c>
      <c r="K447" s="4">
        <f t="shared" si="142"/>
        <v>1.0049225079365052</v>
      </c>
      <c r="L447" s="4">
        <f t="shared" si="143"/>
        <v>0.64718136507937785</v>
      </c>
      <c r="M447" s="4">
        <f t="shared" si="144"/>
        <v>8.5748027147246365E-3</v>
      </c>
      <c r="N447" s="4">
        <f t="shared" si="145"/>
        <v>3.5910439970740183E-3</v>
      </c>
      <c r="O447" s="4">
        <f t="shared" si="146"/>
        <v>8.3188344860635945E-3</v>
      </c>
      <c r="P447" s="4">
        <f t="shared" si="147"/>
        <v>3.2780562800136278E-3</v>
      </c>
      <c r="S447" s="4">
        <v>0.46913119747802579</v>
      </c>
      <c r="T447" s="4">
        <v>0.94071561481193178</v>
      </c>
      <c r="U447" s="4">
        <f t="shared" si="148"/>
        <v>1.0316906051224226</v>
      </c>
      <c r="W447" s="4">
        <f t="shared" si="149"/>
        <v>0.82605279925369879</v>
      </c>
      <c r="X447" s="4">
        <f t="shared" si="150"/>
        <v>1.8847579775955048</v>
      </c>
      <c r="Y447" s="3">
        <f t="shared" si="137"/>
        <v>57.85665842266144</v>
      </c>
      <c r="AA447" s="3"/>
    </row>
    <row r="448" spans="4:27" x14ac:dyDescent="0.25">
      <c r="D448" s="1">
        <v>42095</v>
      </c>
      <c r="E448" s="3">
        <v>119.98111900000001</v>
      </c>
      <c r="F448" s="3">
        <v>198.184877</v>
      </c>
      <c r="G448" s="3">
        <f t="shared" si="138"/>
        <v>-0.17381599999998798</v>
      </c>
      <c r="H448" s="3">
        <f t="shared" si="139"/>
        <v>-0.70332600000000411</v>
      </c>
      <c r="I448" s="4">
        <f t="shared" si="140"/>
        <v>-0.17056848522503534</v>
      </c>
      <c r="J448" s="4">
        <f t="shared" si="141"/>
        <v>-0.80348006052064802</v>
      </c>
      <c r="K448" s="4">
        <f t="shared" si="142"/>
        <v>-0.20213149206348002</v>
      </c>
      <c r="L448" s="4">
        <f t="shared" si="143"/>
        <v>-0.76911463492063903</v>
      </c>
      <c r="M448" s="4">
        <f t="shared" si="144"/>
        <v>-1.4476462610251214E-3</v>
      </c>
      <c r="N448" s="4">
        <f t="shared" si="145"/>
        <v>-3.5425556199581787E-3</v>
      </c>
      <c r="O448" s="4">
        <f t="shared" si="146"/>
        <v>-1.703614489686164E-3</v>
      </c>
      <c r="P448" s="4">
        <f t="shared" si="147"/>
        <v>-3.8555433370185692E-3</v>
      </c>
      <c r="S448" s="4">
        <v>1.7497213773930855</v>
      </c>
      <c r="T448" s="4">
        <v>0.3119191495233733</v>
      </c>
      <c r="U448" s="4">
        <f t="shared" si="148"/>
        <v>1.313925011566986</v>
      </c>
      <c r="W448" s="4">
        <f t="shared" si="149"/>
        <v>3.003641003217715</v>
      </c>
      <c r="X448" s="4">
        <f t="shared" si="150"/>
        <v>2.3823642659747435</v>
      </c>
      <c r="Y448" s="3">
        <f t="shared" si="137"/>
        <v>-220.16753398596757</v>
      </c>
      <c r="AA448" s="3"/>
    </row>
    <row r="449" spans="4:27" x14ac:dyDescent="0.25">
      <c r="D449" s="1">
        <v>42094</v>
      </c>
      <c r="E449" s="3">
        <v>120.15493499999999</v>
      </c>
      <c r="F449" s="3">
        <v>198.888203</v>
      </c>
      <c r="G449" s="3">
        <f t="shared" si="138"/>
        <v>-1.8733500000000021</v>
      </c>
      <c r="H449" s="3">
        <f t="shared" si="139"/>
        <v>-1.7535149999999931</v>
      </c>
      <c r="I449" s="4">
        <f t="shared" si="140"/>
        <v>-1.8101271028548851</v>
      </c>
      <c r="J449" s="4">
        <f t="shared" si="141"/>
        <v>-1.9857094496399965</v>
      </c>
      <c r="K449" s="4">
        <f t="shared" si="142"/>
        <v>-1.9016654920634941</v>
      </c>
      <c r="L449" s="4">
        <f t="shared" si="143"/>
        <v>-1.819303634920628</v>
      </c>
      <c r="M449" s="4">
        <f t="shared" si="144"/>
        <v>-1.5470827126918054E-2</v>
      </c>
      <c r="N449" s="4">
        <f t="shared" si="145"/>
        <v>-8.7779471182951214E-3</v>
      </c>
      <c r="O449" s="4">
        <f t="shared" si="146"/>
        <v>-1.5726795355579096E-2</v>
      </c>
      <c r="P449" s="4">
        <f t="shared" si="147"/>
        <v>-9.0909348353555124E-3</v>
      </c>
      <c r="S449" s="4">
        <v>-0.5342771027330363</v>
      </c>
      <c r="T449" s="4">
        <v>0.2081197617786012</v>
      </c>
      <c r="U449" s="4">
        <f t="shared" si="148"/>
        <v>-0.16073236839280569</v>
      </c>
      <c r="W449" s="4">
        <f t="shared" si="149"/>
        <v>-0.88019960886965742</v>
      </c>
      <c r="X449" s="4">
        <f t="shared" si="150"/>
        <v>-0.21759792402485814</v>
      </c>
      <c r="Y449" s="3">
        <f t="shared" si="137"/>
        <v>121.30505303047721</v>
      </c>
      <c r="AA449" s="3"/>
    </row>
    <row r="450" spans="4:27" x14ac:dyDescent="0.25">
      <c r="D450" s="1">
        <v>42093</v>
      </c>
      <c r="E450" s="3">
        <v>122.028285</v>
      </c>
      <c r="F450" s="3">
        <v>200.641718</v>
      </c>
      <c r="G450" s="3">
        <f t="shared" si="138"/>
        <v>3.0128089999999901</v>
      </c>
      <c r="H450" s="3">
        <f t="shared" si="139"/>
        <v>2.4182940000000031</v>
      </c>
      <c r="I450" s="4">
        <f t="shared" si="140"/>
        <v>2.9848246058456702</v>
      </c>
      <c r="J450" s="4">
        <f t="shared" si="141"/>
        <v>2.7719256664038792</v>
      </c>
      <c r="K450" s="4">
        <f t="shared" si="142"/>
        <v>2.9844935079364978</v>
      </c>
      <c r="L450" s="4">
        <f t="shared" si="143"/>
        <v>2.3525053650793684</v>
      </c>
      <c r="M450" s="4">
        <f t="shared" si="144"/>
        <v>2.4999327047949136E-2</v>
      </c>
      <c r="N450" s="4">
        <f t="shared" si="145"/>
        <v>1.2126021441952238E-2</v>
      </c>
      <c r="O450" s="4">
        <f t="shared" si="146"/>
        <v>2.4743358819288092E-2</v>
      </c>
      <c r="P450" s="4">
        <f t="shared" si="147"/>
        <v>1.1813033724891847E-2</v>
      </c>
      <c r="S450" s="4">
        <v>-0.60540574083657317</v>
      </c>
      <c r="T450" s="4">
        <v>-0.4278085070027095</v>
      </c>
      <c r="U450" s="4">
        <f t="shared" si="148"/>
        <v>-0.70818923647356402</v>
      </c>
      <c r="W450" s="4">
        <f t="shared" si="149"/>
        <v>-1.0011507810148015</v>
      </c>
      <c r="X450" s="4">
        <f t="shared" si="150"/>
        <v>-1.1828168128384626</v>
      </c>
      <c r="Y450" s="3">
        <f t="shared" ref="Y450:Y513" si="151">(B$4*EXP(-B$8*B$7)*NORMSDIST((LN(B$4/(B$5+W450))-B$8*B$7+B$9*B$7+0.5*B$6*B$6*B$7)/(B$6*SQRT(B$7)))-(B$5+W450)*EXP(-B$9*B$7)*NORMSDIST((LN(B$4/(B$5+W450))-B$8*B$7+B$9*B$7-0.5*B$6*B$6*B$7)/(B$6*SQRT(B$7))))*400+100*X450-400*$B$13</f>
        <v>44.758401694176428</v>
      </c>
      <c r="AA450" s="3"/>
    </row>
    <row r="451" spans="4:27" x14ac:dyDescent="0.25">
      <c r="D451" s="1">
        <v>42090</v>
      </c>
      <c r="E451" s="3">
        <v>119.01547600000001</v>
      </c>
      <c r="F451" s="3">
        <v>198.22342399999999</v>
      </c>
      <c r="G451" s="3">
        <f t="shared" ref="G451:G505" si="152">E451-E452</f>
        <v>-0.95598499999999831</v>
      </c>
      <c r="H451" s="3">
        <f t="shared" ref="H451:H505" si="153">F451-F452</f>
        <v>0.45283000000000584</v>
      </c>
      <c r="I451" s="4">
        <f t="shared" ref="I451:I505" si="154">G451/E452*E$2</f>
        <v>-0.93955841026175224</v>
      </c>
      <c r="J451" s="4">
        <f t="shared" ref="J451:J505" si="155">H451/F452*F$2</f>
        <v>0.52023663067832693</v>
      </c>
      <c r="K451" s="4">
        <f t="shared" ref="K451:K505" si="156">G451-B$20</f>
        <v>-0.98430049206349035</v>
      </c>
      <c r="L451" s="4">
        <f t="shared" ref="L451:L505" si="157">H451-C$20</f>
        <v>0.38704136507937092</v>
      </c>
      <c r="M451" s="4">
        <f t="shared" ref="M451:M505" si="158">LN(E451/E452)</f>
        <v>-8.0003544213213505E-3</v>
      </c>
      <c r="N451" s="4">
        <f t="shared" ref="N451:N505" si="159">LN(F451/F452)</f>
        <v>2.2870557473014313E-3</v>
      </c>
      <c r="O451" s="4">
        <f t="shared" ref="O451:O505" si="160">M451-AVERAGE(M$2:M$505)</f>
        <v>-8.2563226499823925E-3</v>
      </c>
      <c r="P451" s="4">
        <f t="shared" ref="P451:P505" si="161">N451-AVERAGE(N$2:N$505)</f>
        <v>1.9740680302410408E-3</v>
      </c>
      <c r="S451" s="4">
        <v>-0.52387878891101802</v>
      </c>
      <c r="T451" s="4">
        <v>0.18411627370695613</v>
      </c>
      <c r="U451" s="4">
        <f t="shared" ref="U451:U514" si="162">$B$19*S451+SQRT(1-$B$19^2)*T451</f>
        <v>-0.17342069770236013</v>
      </c>
      <c r="W451" s="4">
        <f t="shared" ref="W451:W514" si="163">S451*SQRT($B$16)+$B$20</f>
        <v>-0.86251772603541221</v>
      </c>
      <c r="X451" s="4">
        <f t="shared" ref="X451:X514" si="164">U451*SQRT($C$17)+$C$20</f>
        <v>-0.23996866376916728</v>
      </c>
      <c r="Y451" s="3">
        <f t="shared" si="151"/>
        <v>116.15422415967168</v>
      </c>
      <c r="AA451" s="3"/>
    </row>
    <row r="452" spans="4:27" x14ac:dyDescent="0.25">
      <c r="D452" s="1">
        <v>42089</v>
      </c>
      <c r="E452" s="3">
        <v>119.97146100000001</v>
      </c>
      <c r="F452" s="3">
        <v>197.77059399999999</v>
      </c>
      <c r="G452" s="3">
        <f t="shared" si="152"/>
        <v>0.83045400000000313</v>
      </c>
      <c r="H452" s="3">
        <f t="shared" si="153"/>
        <v>-0.47208900000001108</v>
      </c>
      <c r="I452" s="4">
        <f t="shared" si="154"/>
        <v>0.82187348359256662</v>
      </c>
      <c r="J452" s="4">
        <f t="shared" si="155"/>
        <v>-0.54107089034214451</v>
      </c>
      <c r="K452" s="4">
        <f t="shared" si="156"/>
        <v>0.80213850793651109</v>
      </c>
      <c r="L452" s="4">
        <f t="shared" si="157"/>
        <v>-0.537877634920646</v>
      </c>
      <c r="M452" s="4">
        <f t="shared" si="158"/>
        <v>6.9461650913137437E-3</v>
      </c>
      <c r="N452" s="4">
        <f t="shared" si="159"/>
        <v>-2.38420907100363E-3</v>
      </c>
      <c r="O452" s="4">
        <f t="shared" si="160"/>
        <v>6.6901968626527008E-3</v>
      </c>
      <c r="P452" s="4">
        <f t="shared" si="161"/>
        <v>-2.6971967880640205E-3</v>
      </c>
      <c r="S452" s="4">
        <v>-0.68585083857494977</v>
      </c>
      <c r="T452" s="4">
        <v>0.61703407867169857</v>
      </c>
      <c r="U452" s="4">
        <f t="shared" si="162"/>
        <v>7.1008015778374844E-2</v>
      </c>
      <c r="W452" s="4">
        <f t="shared" si="163"/>
        <v>-1.1379441897487654</v>
      </c>
      <c r="X452" s="4">
        <f t="shared" si="164"/>
        <v>0.19098256723303653</v>
      </c>
      <c r="Y452" s="3">
        <f t="shared" si="151"/>
        <v>204.82256056268852</v>
      </c>
      <c r="AA452" s="3"/>
    </row>
    <row r="453" spans="4:27" x14ac:dyDescent="0.25">
      <c r="D453" s="1">
        <v>42088</v>
      </c>
      <c r="E453" s="3">
        <v>119.141007</v>
      </c>
      <c r="F453" s="3">
        <v>198.242683</v>
      </c>
      <c r="G453" s="3">
        <f t="shared" si="152"/>
        <v>-3.196282999999994</v>
      </c>
      <c r="H453" s="3">
        <f t="shared" si="153"/>
        <v>-2.9482169999999996</v>
      </c>
      <c r="I453" s="4">
        <f t="shared" si="154"/>
        <v>-3.080612144630074</v>
      </c>
      <c r="J453" s="4">
        <f t="shared" si="155"/>
        <v>-3.3294965388967341</v>
      </c>
      <c r="K453" s="4">
        <f t="shared" si="156"/>
        <v>-3.2245984920634863</v>
      </c>
      <c r="L453" s="4">
        <f t="shared" si="157"/>
        <v>-3.0140056349206343</v>
      </c>
      <c r="M453" s="4">
        <f t="shared" si="158"/>
        <v>-2.6474177781794894E-2</v>
      </c>
      <c r="N453" s="4">
        <f t="shared" si="159"/>
        <v>-1.4762256685180407E-2</v>
      </c>
      <c r="O453" s="4">
        <f t="shared" si="160"/>
        <v>-2.6730146010455938E-2</v>
      </c>
      <c r="P453" s="4">
        <f t="shared" si="161"/>
        <v>-1.5075244402240798E-2</v>
      </c>
      <c r="S453" s="4">
        <v>0.34938561162037085</v>
      </c>
      <c r="T453" s="4">
        <v>0.90808239517662548</v>
      </c>
      <c r="U453" s="4">
        <f t="shared" si="162"/>
        <v>0.93282293148044837</v>
      </c>
      <c r="W453" s="4">
        <f t="shared" si="163"/>
        <v>0.62243061057059856</v>
      </c>
      <c r="X453" s="4">
        <f t="shared" si="164"/>
        <v>1.7104448003276014</v>
      </c>
      <c r="Y453" s="3">
        <f t="shared" si="151"/>
        <v>72.297933801005456</v>
      </c>
      <c r="AA453" s="3"/>
    </row>
    <row r="454" spans="4:27" x14ac:dyDescent="0.25">
      <c r="D454" s="1">
        <v>42087</v>
      </c>
      <c r="E454" s="3">
        <v>122.33729</v>
      </c>
      <c r="F454" s="3">
        <v>201.1909</v>
      </c>
      <c r="G454" s="3">
        <f t="shared" si="152"/>
        <v>-0.50213100000000566</v>
      </c>
      <c r="H454" s="3">
        <f t="shared" si="153"/>
        <v>-1.1368830000000116</v>
      </c>
      <c r="I454" s="4">
        <f t="shared" si="154"/>
        <v>-0.48198101013944589</v>
      </c>
      <c r="J454" s="4">
        <f t="shared" si="155"/>
        <v>-1.2766966086322591</v>
      </c>
      <c r="K454" s="4">
        <f t="shared" si="156"/>
        <v>-0.5304464920634977</v>
      </c>
      <c r="L454" s="4">
        <f t="shared" si="157"/>
        <v>-1.2026716349206465</v>
      </c>
      <c r="M454" s="4">
        <f t="shared" si="158"/>
        <v>-4.0960799254479716E-3</v>
      </c>
      <c r="N454" s="4">
        <f t="shared" si="159"/>
        <v>-5.6348618096543103E-3</v>
      </c>
      <c r="O454" s="4">
        <f t="shared" si="160"/>
        <v>-4.3520481541090145E-3</v>
      </c>
      <c r="P454" s="4">
        <f t="shared" si="161"/>
        <v>-5.9478495267147012E-3</v>
      </c>
      <c r="S454" s="4">
        <v>-1.9799773436447121</v>
      </c>
      <c r="T454" s="4">
        <v>0.43865524986009741</v>
      </c>
      <c r="U454" s="4">
        <f t="shared" si="162"/>
        <v>-0.85931985001952893</v>
      </c>
      <c r="W454" s="4">
        <f t="shared" si="163"/>
        <v>-3.3385503290711926</v>
      </c>
      <c r="X454" s="4">
        <f t="shared" si="164"/>
        <v>-1.4492745584211444</v>
      </c>
      <c r="Y454" s="3">
        <f t="shared" si="151"/>
        <v>419.39572363765637</v>
      </c>
      <c r="AA454" s="3"/>
    </row>
    <row r="455" spans="4:27" x14ac:dyDescent="0.25">
      <c r="D455" s="1">
        <v>42086</v>
      </c>
      <c r="E455" s="3">
        <v>122.839421</v>
      </c>
      <c r="F455" s="3">
        <v>202.32778300000001</v>
      </c>
      <c r="G455" s="3">
        <f t="shared" si="152"/>
        <v>1.2649899999999974</v>
      </c>
      <c r="H455" s="3">
        <f t="shared" si="153"/>
        <v>-0.39502399999997806</v>
      </c>
      <c r="I455" s="4">
        <f t="shared" si="154"/>
        <v>1.2268613945637934</v>
      </c>
      <c r="J455" s="4">
        <f t="shared" si="155"/>
        <v>-0.44273955719823382</v>
      </c>
      <c r="K455" s="4">
        <f t="shared" si="156"/>
        <v>1.2366745079365054</v>
      </c>
      <c r="L455" s="4">
        <f t="shared" si="157"/>
        <v>-0.46081263492061297</v>
      </c>
      <c r="M455" s="4">
        <f t="shared" si="158"/>
        <v>1.0351306072763945E-2</v>
      </c>
      <c r="N455" s="4">
        <f t="shared" si="159"/>
        <v>-1.9504927778847192E-3</v>
      </c>
      <c r="O455" s="4">
        <f t="shared" si="160"/>
        <v>1.0095337844102903E-2</v>
      </c>
      <c r="P455" s="4">
        <f t="shared" si="161"/>
        <v>-2.2634804949451096E-3</v>
      </c>
      <c r="S455" s="4">
        <v>-1.4150691151168349</v>
      </c>
      <c r="T455" s="4">
        <v>3.3544988059714752E-2</v>
      </c>
      <c r="U455" s="4">
        <f t="shared" si="162"/>
        <v>-0.8360668610792209</v>
      </c>
      <c r="W455" s="4">
        <f t="shared" si="163"/>
        <v>-2.3779483237941355</v>
      </c>
      <c r="X455" s="4">
        <f t="shared" si="164"/>
        <v>-1.4082773119618155</v>
      </c>
      <c r="Y455" s="3">
        <f t="shared" si="151"/>
        <v>255.04273997308428</v>
      </c>
      <c r="AA455" s="3"/>
    </row>
    <row r="456" spans="4:27" x14ac:dyDescent="0.25">
      <c r="D456" s="1">
        <v>42083</v>
      </c>
      <c r="E456" s="3">
        <v>121.574431</v>
      </c>
      <c r="F456" s="3">
        <v>202.72280699999999</v>
      </c>
      <c r="G456" s="3">
        <f t="shared" si="152"/>
        <v>-1.5450269999999904</v>
      </c>
      <c r="H456" s="3">
        <f t="shared" si="153"/>
        <v>1.7737359999999853</v>
      </c>
      <c r="I456" s="4">
        <f t="shared" si="154"/>
        <v>-1.4796535227608529</v>
      </c>
      <c r="J456" s="4">
        <f t="shared" si="155"/>
        <v>2.0055358652349708</v>
      </c>
      <c r="K456" s="4">
        <f t="shared" si="156"/>
        <v>-1.5733424920634824</v>
      </c>
      <c r="L456" s="4">
        <f t="shared" si="157"/>
        <v>1.7079473650793504</v>
      </c>
      <c r="M456" s="4">
        <f t="shared" si="158"/>
        <v>-1.2628411271345884E-2</v>
      </c>
      <c r="N456" s="4">
        <f t="shared" si="159"/>
        <v>8.7880653180808146E-3</v>
      </c>
      <c r="O456" s="4">
        <f t="shared" si="160"/>
        <v>-1.2884379500006926E-2</v>
      </c>
      <c r="P456" s="4">
        <f t="shared" si="161"/>
        <v>8.4750776010204237E-3</v>
      </c>
      <c r="S456" s="4">
        <v>-1.081260840555186</v>
      </c>
      <c r="T456" s="4">
        <v>-5.6292123838515062E-2</v>
      </c>
      <c r="U456" s="4">
        <f t="shared" si="162"/>
        <v>-0.70378305063154423</v>
      </c>
      <c r="W456" s="4">
        <f t="shared" si="163"/>
        <v>-1.8103217930962019</v>
      </c>
      <c r="X456" s="4">
        <f t="shared" si="164"/>
        <v>-1.1750482852149984</v>
      </c>
      <c r="Y456" s="3">
        <f t="shared" si="151"/>
        <v>181.15464154480105</v>
      </c>
      <c r="AA456" s="3"/>
    </row>
    <row r="457" spans="4:27" x14ac:dyDescent="0.25">
      <c r="D457" s="1">
        <v>42082</v>
      </c>
      <c r="E457" s="3">
        <v>123.11945799999999</v>
      </c>
      <c r="F457" s="3">
        <v>200.949071</v>
      </c>
      <c r="G457" s="3">
        <f t="shared" si="152"/>
        <v>-0.93667500000000814</v>
      </c>
      <c r="H457" s="3">
        <f t="shared" si="153"/>
        <v>-0.9208229999999844</v>
      </c>
      <c r="I457" s="4">
        <f t="shared" si="154"/>
        <v>-0.89026918964740709</v>
      </c>
      <c r="J457" s="4">
        <f t="shared" si="155"/>
        <v>-1.0364111068278337</v>
      </c>
      <c r="K457" s="4">
        <f t="shared" si="156"/>
        <v>-0.96499049206350018</v>
      </c>
      <c r="L457" s="4">
        <f t="shared" si="157"/>
        <v>-0.98661163492061932</v>
      </c>
      <c r="M457" s="4">
        <f t="shared" si="158"/>
        <v>-7.5790613460385379E-3</v>
      </c>
      <c r="N457" s="4">
        <f t="shared" si="159"/>
        <v>-4.5719029338271667E-3</v>
      </c>
      <c r="O457" s="4">
        <f t="shared" si="160"/>
        <v>-7.8350295746995799E-3</v>
      </c>
      <c r="P457" s="4">
        <f t="shared" si="161"/>
        <v>-4.8848906508875576E-3</v>
      </c>
      <c r="S457" s="4">
        <v>1.1248496012680841E-2</v>
      </c>
      <c r="T457" s="4">
        <v>0.90676037722225167</v>
      </c>
      <c r="U457" s="4">
        <f t="shared" si="162"/>
        <v>0.72563904825898884</v>
      </c>
      <c r="W457" s="4">
        <f t="shared" si="163"/>
        <v>4.7443072934973331E-2</v>
      </c>
      <c r="X457" s="4">
        <f t="shared" si="164"/>
        <v>1.3451597720400303</v>
      </c>
      <c r="Y457" s="3">
        <f t="shared" si="151"/>
        <v>126.91902426717479</v>
      </c>
      <c r="AA457" s="3"/>
    </row>
    <row r="458" spans="4:27" x14ac:dyDescent="0.25">
      <c r="D458" s="1">
        <v>42081</v>
      </c>
      <c r="E458" s="3">
        <v>124.056133</v>
      </c>
      <c r="F458" s="3">
        <v>201.86989399999999</v>
      </c>
      <c r="G458" s="3">
        <f t="shared" si="152"/>
        <v>1.3808700000000016</v>
      </c>
      <c r="H458" s="3">
        <f t="shared" si="153"/>
        <v>2.3979599999999834</v>
      </c>
      <c r="I458" s="4">
        <f t="shared" si="154"/>
        <v>1.3272307981396396</v>
      </c>
      <c r="J458" s="4">
        <f t="shared" si="155"/>
        <v>2.7314143772512689</v>
      </c>
      <c r="K458" s="4">
        <f t="shared" si="156"/>
        <v>1.3525545079365096</v>
      </c>
      <c r="L458" s="4">
        <f t="shared" si="157"/>
        <v>2.3321713650793487</v>
      </c>
      <c r="M458" s="4">
        <f t="shared" si="158"/>
        <v>1.1193422807981432E-2</v>
      </c>
      <c r="N458" s="4">
        <f t="shared" si="159"/>
        <v>1.1949856048735236E-2</v>
      </c>
      <c r="O458" s="4">
        <f t="shared" si="160"/>
        <v>1.093745457932039E-2</v>
      </c>
      <c r="P458" s="4">
        <f t="shared" si="161"/>
        <v>1.1636868331674845E-2</v>
      </c>
      <c r="S458" s="4">
        <v>-0.51176025385268376</v>
      </c>
      <c r="T458" s="4">
        <v>0.80149924841523146</v>
      </c>
      <c r="U458" s="4">
        <f t="shared" si="162"/>
        <v>0.3233615883367007</v>
      </c>
      <c r="W458" s="4">
        <f t="shared" si="163"/>
        <v>-0.84191068140376946</v>
      </c>
      <c r="X458" s="4">
        <f t="shared" si="164"/>
        <v>0.63590608375919933</v>
      </c>
      <c r="Y458" s="3">
        <f t="shared" si="151"/>
        <v>200.3479817021589</v>
      </c>
      <c r="AA458" s="3"/>
    </row>
    <row r="459" spans="4:27" x14ac:dyDescent="0.25">
      <c r="D459" s="1">
        <v>42080</v>
      </c>
      <c r="E459" s="3">
        <v>122.675263</v>
      </c>
      <c r="F459" s="3">
        <v>199.471934</v>
      </c>
      <c r="G459" s="3">
        <f t="shared" si="152"/>
        <v>2.0181970000000007</v>
      </c>
      <c r="H459" s="3">
        <f t="shared" si="153"/>
        <v>-0.59468899999998825</v>
      </c>
      <c r="I459" s="4">
        <f t="shared" si="154"/>
        <v>1.9722476621699725</v>
      </c>
      <c r="J459" s="4">
        <f t="shared" si="155"/>
        <v>-0.67537148289257787</v>
      </c>
      <c r="K459" s="4">
        <f t="shared" si="156"/>
        <v>1.9898815079365086</v>
      </c>
      <c r="L459" s="4">
        <f t="shared" si="157"/>
        <v>-0.66047763492062317</v>
      </c>
      <c r="M459" s="4">
        <f t="shared" si="158"/>
        <v>1.6588369393360714E-2</v>
      </c>
      <c r="N459" s="4">
        <f t="shared" si="159"/>
        <v>-2.9768813484949662E-3</v>
      </c>
      <c r="O459" s="4">
        <f t="shared" si="160"/>
        <v>1.633240116469967E-2</v>
      </c>
      <c r="P459" s="4">
        <f t="shared" si="161"/>
        <v>-3.2898690655553567E-3</v>
      </c>
      <c r="S459" s="4">
        <v>7.9079246673359319E-2</v>
      </c>
      <c r="T459" s="4">
        <v>-0.52582673881336073</v>
      </c>
      <c r="U459" s="4">
        <f t="shared" si="162"/>
        <v>-0.3686101860258395</v>
      </c>
      <c r="W459" s="4">
        <f t="shared" si="163"/>
        <v>0.16278633014667168</v>
      </c>
      <c r="X459" s="4">
        <f t="shared" si="164"/>
        <v>-0.58410642513869448</v>
      </c>
      <c r="Y459" s="3">
        <f t="shared" si="151"/>
        <v>-84.428764943141687</v>
      </c>
      <c r="AA459" s="3"/>
    </row>
    <row r="460" spans="4:27" x14ac:dyDescent="0.25">
      <c r="D460" s="1">
        <v>42079</v>
      </c>
      <c r="E460" s="3">
        <v>120.657066</v>
      </c>
      <c r="F460" s="3">
        <v>200.06662299999999</v>
      </c>
      <c r="G460" s="3">
        <f t="shared" si="152"/>
        <v>1.3132750000000044</v>
      </c>
      <c r="H460" s="3">
        <f t="shared" si="153"/>
        <v>2.637755999999996</v>
      </c>
      <c r="I460" s="4">
        <f t="shared" si="154"/>
        <v>1.2974974165442803</v>
      </c>
      <c r="J460" s="4">
        <f t="shared" si="155"/>
        <v>3.0356480707772642</v>
      </c>
      <c r="K460" s="4">
        <f t="shared" si="156"/>
        <v>1.2849595079365124</v>
      </c>
      <c r="L460" s="4">
        <f t="shared" si="157"/>
        <v>2.5719673650793613</v>
      </c>
      <c r="M460" s="4">
        <f t="shared" si="158"/>
        <v>1.0944028485242287E-2</v>
      </c>
      <c r="N460" s="4">
        <f t="shared" si="159"/>
        <v>1.3272073700728167E-2</v>
      </c>
      <c r="O460" s="4">
        <f t="shared" si="160"/>
        <v>1.0688060256581245E-2</v>
      </c>
      <c r="P460" s="4">
        <f t="shared" si="161"/>
        <v>1.2959085983667776E-2</v>
      </c>
      <c r="S460" s="4">
        <v>-6.0606378982186373E-3</v>
      </c>
      <c r="T460" s="4">
        <v>-1.2581527466542057</v>
      </c>
      <c r="U460" s="4">
        <f t="shared" si="162"/>
        <v>-1.0010223409667185</v>
      </c>
      <c r="W460" s="4">
        <f t="shared" si="163"/>
        <v>1.8009639494379309E-2</v>
      </c>
      <c r="X460" s="4">
        <f t="shared" si="164"/>
        <v>-1.6991096209232552</v>
      </c>
      <c r="Y460" s="3">
        <f t="shared" si="151"/>
        <v>-172.79617527260052</v>
      </c>
      <c r="AA460" s="3"/>
    </row>
    <row r="461" spans="4:27" x14ac:dyDescent="0.25">
      <c r="D461" s="1">
        <v>42076</v>
      </c>
      <c r="E461" s="3">
        <v>119.343791</v>
      </c>
      <c r="F461" s="3">
        <v>197.428867</v>
      </c>
      <c r="G461" s="3">
        <f t="shared" si="152"/>
        <v>-0.83045400000000313</v>
      </c>
      <c r="H461" s="3">
        <f t="shared" si="153"/>
        <v>-1.2181679999999915</v>
      </c>
      <c r="I461" s="4">
        <f t="shared" si="154"/>
        <v>-0.81480715324499331</v>
      </c>
      <c r="J461" s="4">
        <f t="shared" si="155"/>
        <v>-1.3933254015453795</v>
      </c>
      <c r="K461" s="4">
        <f t="shared" si="156"/>
        <v>-0.85876949206349518</v>
      </c>
      <c r="L461" s="4">
        <f t="shared" si="157"/>
        <v>-1.2839566349206264</v>
      </c>
      <c r="M461" s="4">
        <f t="shared" si="158"/>
        <v>-6.934403284447368E-3</v>
      </c>
      <c r="N461" s="4">
        <f t="shared" si="159"/>
        <v>-6.1512040235881041E-3</v>
      </c>
      <c r="O461" s="4">
        <f t="shared" si="160"/>
        <v>-7.1903715131084109E-3</v>
      </c>
      <c r="P461" s="4">
        <f t="shared" si="161"/>
        <v>-6.464191740648495E-3</v>
      </c>
      <c r="S461" s="4">
        <v>-0.24675285755657389</v>
      </c>
      <c r="T461" s="4">
        <v>0.65125161965315259</v>
      </c>
      <c r="U461" s="4">
        <f t="shared" si="162"/>
        <v>0.36581591374061129</v>
      </c>
      <c r="W461" s="4">
        <f t="shared" si="163"/>
        <v>-0.39127706794290179</v>
      </c>
      <c r="X461" s="4">
        <f t="shared" si="164"/>
        <v>0.71075712533138924</v>
      </c>
      <c r="Y461" s="3">
        <f t="shared" si="151"/>
        <v>134.17466586399814</v>
      </c>
      <c r="AA461" s="3"/>
    </row>
    <row r="462" spans="4:27" x14ac:dyDescent="0.25">
      <c r="D462" s="1">
        <v>42075</v>
      </c>
      <c r="E462" s="3">
        <v>120.174245</v>
      </c>
      <c r="F462" s="3">
        <v>198.64703499999999</v>
      </c>
      <c r="G462" s="3">
        <f t="shared" si="152"/>
        <v>2.1340699999999941</v>
      </c>
      <c r="H462" s="3">
        <f t="shared" si="153"/>
        <v>2.49388399999998</v>
      </c>
      <c r="I462" s="4">
        <f t="shared" si="154"/>
        <v>2.1317166145871886</v>
      </c>
      <c r="J462" s="4">
        <f t="shared" si="155"/>
        <v>2.8887397332566094</v>
      </c>
      <c r="K462" s="4">
        <f t="shared" si="156"/>
        <v>2.1057545079365019</v>
      </c>
      <c r="L462" s="4">
        <f t="shared" si="157"/>
        <v>2.4280953650793453</v>
      </c>
      <c r="M462" s="4">
        <f t="shared" si="158"/>
        <v>1.7917698633680278E-2</v>
      </c>
      <c r="N462" s="4">
        <f t="shared" si="159"/>
        <v>1.2633819637326621E-2</v>
      </c>
      <c r="O462" s="4">
        <f t="shared" si="160"/>
        <v>1.7661730405019234E-2</v>
      </c>
      <c r="P462" s="4">
        <f t="shared" si="161"/>
        <v>1.232083192026623E-2</v>
      </c>
      <c r="S462" s="4">
        <v>8.4202785890188939E-2</v>
      </c>
      <c r="T462" s="4">
        <v>-0.63155193724066583</v>
      </c>
      <c r="U462" s="4">
        <f t="shared" si="162"/>
        <v>-0.44929428319775039</v>
      </c>
      <c r="W462" s="4">
        <f t="shared" si="163"/>
        <v>0.17149868694598375</v>
      </c>
      <c r="X462" s="4">
        <f t="shared" si="164"/>
        <v>-0.72636021563404463</v>
      </c>
      <c r="Y462" s="3">
        <f t="shared" si="151"/>
        <v>-100.04278320766252</v>
      </c>
      <c r="AA462" s="3"/>
    </row>
    <row r="463" spans="4:27" x14ac:dyDescent="0.25">
      <c r="D463" s="1">
        <v>42074</v>
      </c>
      <c r="E463" s="3">
        <v>118.040175</v>
      </c>
      <c r="F463" s="3">
        <v>196.15315100000001</v>
      </c>
      <c r="G463" s="3">
        <f t="shared" si="152"/>
        <v>-2.1920129999999887</v>
      </c>
      <c r="H463" s="3">
        <f t="shared" si="153"/>
        <v>-0.46040399999998272</v>
      </c>
      <c r="I463" s="4">
        <f t="shared" si="154"/>
        <v>-2.149676105021483</v>
      </c>
      <c r="J463" s="4">
        <f t="shared" si="155"/>
        <v>-0.53205078389851646</v>
      </c>
      <c r="K463" s="4">
        <f t="shared" si="156"/>
        <v>-2.2203284920634809</v>
      </c>
      <c r="L463" s="4">
        <f t="shared" si="157"/>
        <v>-0.52619263492061763</v>
      </c>
      <c r="M463" s="4">
        <f t="shared" si="158"/>
        <v>-1.8399740652264504E-2</v>
      </c>
      <c r="N463" s="4">
        <f t="shared" si="159"/>
        <v>-2.344415673949286E-3</v>
      </c>
      <c r="O463" s="4">
        <f t="shared" si="160"/>
        <v>-1.8655708880925548E-2</v>
      </c>
      <c r="P463" s="4">
        <f t="shared" si="161"/>
        <v>-2.6574033910096765E-3</v>
      </c>
      <c r="S463" s="4">
        <v>-6.130933753017629E-2</v>
      </c>
      <c r="T463" s="4">
        <v>-0.60822968826246471</v>
      </c>
      <c r="U463" s="4">
        <f t="shared" si="162"/>
        <v>-0.51951435965119597</v>
      </c>
      <c r="W463" s="4">
        <f t="shared" si="163"/>
        <v>-7.5938384229246314E-2</v>
      </c>
      <c r="X463" s="4">
        <f t="shared" si="164"/>
        <v>-0.85016493545500926</v>
      </c>
      <c r="Y463" s="3">
        <f t="shared" si="151"/>
        <v>-72.832423288411519</v>
      </c>
      <c r="AA463" s="3"/>
    </row>
    <row r="464" spans="4:27" x14ac:dyDescent="0.25">
      <c r="D464" s="1">
        <v>42073</v>
      </c>
      <c r="E464" s="3">
        <v>120.23218799999999</v>
      </c>
      <c r="F464" s="3">
        <v>196.61355499999999</v>
      </c>
      <c r="G464" s="3">
        <f t="shared" si="152"/>
        <v>-2.5396380000000107</v>
      </c>
      <c r="H464" s="3">
        <f t="shared" si="153"/>
        <v>-3.2420470000000137</v>
      </c>
      <c r="I464" s="4">
        <f t="shared" si="154"/>
        <v>-2.4390671418257908</v>
      </c>
      <c r="J464" s="4">
        <f t="shared" si="155"/>
        <v>-3.6857887104126914</v>
      </c>
      <c r="K464" s="4">
        <f t="shared" si="156"/>
        <v>-2.567953492063503</v>
      </c>
      <c r="L464" s="4">
        <f t="shared" si="157"/>
        <v>-3.3078356349206484</v>
      </c>
      <c r="M464" s="4">
        <f t="shared" si="158"/>
        <v>-2.090278614834121E-2</v>
      </c>
      <c r="N464" s="4">
        <f t="shared" si="159"/>
        <v>-1.6354963350702079E-2</v>
      </c>
      <c r="O464" s="4">
        <f t="shared" si="160"/>
        <v>-2.1158754377002254E-2</v>
      </c>
      <c r="P464" s="4">
        <f t="shared" si="161"/>
        <v>-1.666795106776247E-2</v>
      </c>
      <c r="S464" s="4">
        <v>0.23229619615171426</v>
      </c>
      <c r="T464" s="4">
        <v>0.27683233610405722</v>
      </c>
      <c r="U464" s="4">
        <f t="shared" si="162"/>
        <v>0.36105572754684201</v>
      </c>
      <c r="W464" s="4">
        <f t="shared" si="163"/>
        <v>0.42332512473085826</v>
      </c>
      <c r="X464" s="4">
        <f t="shared" si="164"/>
        <v>0.7023644611848906</v>
      </c>
      <c r="Y464" s="3">
        <f t="shared" si="151"/>
        <v>2.8606653834008284</v>
      </c>
      <c r="AA464" s="3"/>
    </row>
    <row r="465" spans="4:27" x14ac:dyDescent="0.25">
      <c r="D465" s="1">
        <v>42072</v>
      </c>
      <c r="E465" s="3">
        <v>122.771826</v>
      </c>
      <c r="F465" s="3">
        <v>199.855602</v>
      </c>
      <c r="G465" s="3">
        <f t="shared" si="152"/>
        <v>0.52144800000000657</v>
      </c>
      <c r="H465" s="3">
        <f t="shared" si="153"/>
        <v>0.82489900000001626</v>
      </c>
      <c r="I465" s="4">
        <f t="shared" si="154"/>
        <v>0.50293452479789291</v>
      </c>
      <c r="J465" s="4">
        <f t="shared" si="155"/>
        <v>0.94169042634741984</v>
      </c>
      <c r="K465" s="4">
        <f t="shared" si="156"/>
        <v>0.49313250793651453</v>
      </c>
      <c r="L465" s="4">
        <f t="shared" si="157"/>
        <v>0.75911036507938134</v>
      </c>
      <c r="M465" s="4">
        <f t="shared" si="158"/>
        <v>4.2563390477930972E-3</v>
      </c>
      <c r="N465" s="4">
        <f t="shared" si="159"/>
        <v>4.136016532012469E-3</v>
      </c>
      <c r="O465" s="4">
        <f t="shared" si="160"/>
        <v>4.0003708191320543E-3</v>
      </c>
      <c r="P465" s="4">
        <f t="shared" si="161"/>
        <v>3.8230288149520785E-3</v>
      </c>
      <c r="S465" s="4">
        <v>0.16327335733341472</v>
      </c>
      <c r="T465" s="4">
        <v>0.25713258639484066</v>
      </c>
      <c r="U465" s="4">
        <f t="shared" si="162"/>
        <v>0.30336203060615308</v>
      </c>
      <c r="W465" s="4">
        <f t="shared" si="163"/>
        <v>0.3059547731756026</v>
      </c>
      <c r="X465" s="4">
        <f t="shared" si="164"/>
        <v>0.60064494810641744</v>
      </c>
      <c r="Y465" s="3">
        <f t="shared" si="151"/>
        <v>11.276731042512438</v>
      </c>
      <c r="AA465" s="3"/>
    </row>
    <row r="466" spans="4:27" x14ac:dyDescent="0.25">
      <c r="D466" s="1">
        <v>42069</v>
      </c>
      <c r="E466" s="3">
        <v>122.250378</v>
      </c>
      <c r="F466" s="3">
        <v>199.03070299999999</v>
      </c>
      <c r="G466" s="3">
        <f t="shared" si="152"/>
        <v>0.18346699999999316</v>
      </c>
      <c r="H466" s="3">
        <f t="shared" si="153"/>
        <v>-2.8391909999999996</v>
      </c>
      <c r="I466" s="4">
        <f t="shared" si="154"/>
        <v>0.17721915404140268</v>
      </c>
      <c r="J466" s="4">
        <f t="shared" si="155"/>
        <v>-3.1955859994870601</v>
      </c>
      <c r="K466" s="4">
        <f t="shared" si="156"/>
        <v>0.15515150793650112</v>
      </c>
      <c r="L466" s="4">
        <f t="shared" si="157"/>
        <v>-2.9049796349206343</v>
      </c>
      <c r="M466" s="4">
        <f t="shared" si="158"/>
        <v>1.501875165994691E-3</v>
      </c>
      <c r="N466" s="4">
        <f t="shared" si="159"/>
        <v>-1.4164301522068067E-2</v>
      </c>
      <c r="O466" s="4">
        <f t="shared" si="160"/>
        <v>1.2459069373336484E-3</v>
      </c>
      <c r="P466" s="4">
        <f t="shared" si="161"/>
        <v>-1.4477289239128457E-2</v>
      </c>
      <c r="S466" s="4">
        <v>1.3250069156300321</v>
      </c>
      <c r="T466" s="4">
        <v>1.6536690605103237</v>
      </c>
      <c r="U466" s="4">
        <f t="shared" si="162"/>
        <v>2.1186040453619683</v>
      </c>
      <c r="W466" s="4">
        <f t="shared" si="163"/>
        <v>2.2814324336896434</v>
      </c>
      <c r="X466" s="4">
        <f t="shared" si="164"/>
        <v>3.8010904673174646</v>
      </c>
      <c r="Y466" s="3">
        <f t="shared" si="151"/>
        <v>27.79379365499608</v>
      </c>
      <c r="AA466" s="3"/>
    </row>
    <row r="467" spans="4:27" x14ac:dyDescent="0.25">
      <c r="D467" s="1">
        <v>42068</v>
      </c>
      <c r="E467" s="3">
        <v>122.066911</v>
      </c>
      <c r="F467" s="3">
        <v>201.86989399999999</v>
      </c>
      <c r="G467" s="3">
        <f t="shared" si="152"/>
        <v>-2.0568090000000012</v>
      </c>
      <c r="H467" s="3">
        <f t="shared" si="153"/>
        <v>0.22062299999998913</v>
      </c>
      <c r="I467" s="4">
        <f t="shared" si="154"/>
        <v>-1.953843773109895</v>
      </c>
      <c r="J467" s="4">
        <f t="shared" si="155"/>
        <v>0.24858881525219365</v>
      </c>
      <c r="K467" s="4">
        <f t="shared" si="156"/>
        <v>-2.0851244920634935</v>
      </c>
      <c r="L467" s="4">
        <f t="shared" si="157"/>
        <v>0.15483436507935425</v>
      </c>
      <c r="M467" s="4">
        <f t="shared" si="158"/>
        <v>-1.6709464918122391E-2</v>
      </c>
      <c r="N467" s="4">
        <f t="shared" si="159"/>
        <v>1.0934946397592057E-3</v>
      </c>
      <c r="O467" s="4">
        <f t="shared" si="160"/>
        <v>-1.6965433146783435E-2</v>
      </c>
      <c r="P467" s="4">
        <f t="shared" si="161"/>
        <v>7.8050692269881507E-4</v>
      </c>
      <c r="S467" s="4">
        <v>-0.47613609150517389</v>
      </c>
      <c r="T467" s="4">
        <v>-1.4734084444130258</v>
      </c>
      <c r="U467" s="4">
        <f t="shared" si="162"/>
        <v>-1.4582222993847533</v>
      </c>
      <c r="W467" s="4">
        <f t="shared" si="163"/>
        <v>-0.78133333439554709</v>
      </c>
      <c r="X467" s="4">
        <f t="shared" si="164"/>
        <v>-2.5051969340242093</v>
      </c>
      <c r="Y467" s="3">
        <f t="shared" si="151"/>
        <v>-123.7257523685771</v>
      </c>
      <c r="AA467" s="3"/>
    </row>
    <row r="468" spans="4:27" x14ac:dyDescent="0.25">
      <c r="D468" s="1">
        <v>42067</v>
      </c>
      <c r="E468" s="3">
        <v>124.12372000000001</v>
      </c>
      <c r="F468" s="3">
        <v>201.649271</v>
      </c>
      <c r="G468" s="3">
        <f t="shared" si="152"/>
        <v>-0.79183399999999438</v>
      </c>
      <c r="H468" s="3">
        <f t="shared" si="153"/>
        <v>-0.85367400000001226</v>
      </c>
      <c r="I468" s="4">
        <f t="shared" si="154"/>
        <v>-0.7474261380399061</v>
      </c>
      <c r="J468" s="4">
        <f t="shared" si="155"/>
        <v>-0.95782940596602562</v>
      </c>
      <c r="K468" s="4">
        <f t="shared" si="156"/>
        <v>-0.82014949206348642</v>
      </c>
      <c r="L468" s="4">
        <f t="shared" si="157"/>
        <v>-0.91946263492064717</v>
      </c>
      <c r="M468" s="4">
        <f t="shared" si="158"/>
        <v>-6.3591308765444127E-3</v>
      </c>
      <c r="N468" s="4">
        <f t="shared" si="159"/>
        <v>-4.2245235126844504E-3</v>
      </c>
      <c r="O468" s="4">
        <f t="shared" si="160"/>
        <v>-6.6150991052054556E-3</v>
      </c>
      <c r="P468" s="4">
        <f t="shared" si="161"/>
        <v>-4.5375112297448414E-3</v>
      </c>
      <c r="S468" s="4">
        <v>-0.91128907768063494</v>
      </c>
      <c r="T468" s="4">
        <v>-1.9001123520136813</v>
      </c>
      <c r="U468" s="4">
        <f t="shared" si="162"/>
        <v>-2.0617460508323009</v>
      </c>
      <c r="W468" s="4">
        <f t="shared" si="163"/>
        <v>-1.5212921631273533</v>
      </c>
      <c r="X468" s="4">
        <f t="shared" si="164"/>
        <v>-3.5692671077842495</v>
      </c>
      <c r="Y468" s="3">
        <f t="shared" si="151"/>
        <v>-107.10696654974299</v>
      </c>
      <c r="AA468" s="3"/>
    </row>
    <row r="469" spans="4:27" x14ac:dyDescent="0.25">
      <c r="D469" s="1">
        <v>42066</v>
      </c>
      <c r="E469" s="3">
        <v>124.915554</v>
      </c>
      <c r="F469" s="3">
        <v>202.50294500000001</v>
      </c>
      <c r="G469" s="3">
        <f t="shared" si="152"/>
        <v>0.26072700000000282</v>
      </c>
      <c r="H469" s="3">
        <f t="shared" si="153"/>
        <v>-0.83449999999999136</v>
      </c>
      <c r="I469" s="4">
        <f t="shared" si="154"/>
        <v>0.24661958427737687</v>
      </c>
      <c r="J469" s="4">
        <f t="shared" si="155"/>
        <v>-0.93247336141898518</v>
      </c>
      <c r="K469" s="4">
        <f t="shared" si="156"/>
        <v>0.23241150793651077</v>
      </c>
      <c r="L469" s="4">
        <f t="shared" si="157"/>
        <v>-0.90028863492062627</v>
      </c>
      <c r="M469" s="4">
        <f t="shared" si="158"/>
        <v>2.0894073552179511E-3</v>
      </c>
      <c r="N469" s="4">
        <f t="shared" si="159"/>
        <v>-4.1124599555557705E-3</v>
      </c>
      <c r="O469" s="4">
        <f t="shared" si="160"/>
        <v>1.8334391265569085E-3</v>
      </c>
      <c r="P469" s="4">
        <f t="shared" si="161"/>
        <v>-4.4254476726161614E-3</v>
      </c>
      <c r="S469" s="4">
        <v>-7.3192920269963255E-2</v>
      </c>
      <c r="T469" s="4">
        <v>-1.8127268331544424</v>
      </c>
      <c r="U469" s="4">
        <f t="shared" si="162"/>
        <v>-1.4815541304256978</v>
      </c>
      <c r="W469" s="4">
        <f t="shared" si="163"/>
        <v>-9.6145902606989075E-2</v>
      </c>
      <c r="X469" s="4">
        <f t="shared" si="164"/>
        <v>-2.5463331866577321</v>
      </c>
      <c r="Y469" s="3">
        <f t="shared" si="151"/>
        <v>-239.20198915927222</v>
      </c>
      <c r="AA469" s="3"/>
    </row>
    <row r="470" spans="4:27" x14ac:dyDescent="0.25">
      <c r="D470" s="1">
        <v>42065</v>
      </c>
      <c r="E470" s="3">
        <v>124.654827</v>
      </c>
      <c r="F470" s="3">
        <v>203.337445</v>
      </c>
      <c r="G470" s="3">
        <f t="shared" si="152"/>
        <v>0.60834499999999991</v>
      </c>
      <c r="H470" s="3">
        <f t="shared" si="153"/>
        <v>1.2757170000000144</v>
      </c>
      <c r="I470" s="4">
        <f t="shared" si="154"/>
        <v>0.57825067044932388</v>
      </c>
      <c r="J470" s="4">
        <f t="shared" si="155"/>
        <v>1.4344906943487203</v>
      </c>
      <c r="K470" s="4">
        <f t="shared" si="156"/>
        <v>0.58002950793650787</v>
      </c>
      <c r="L470" s="4">
        <f t="shared" si="157"/>
        <v>1.2099283650793795</v>
      </c>
      <c r="M470" s="4">
        <f t="shared" si="158"/>
        <v>4.8921834449707803E-3</v>
      </c>
      <c r="N470" s="4">
        <f t="shared" si="159"/>
        <v>6.2936547279833681E-3</v>
      </c>
      <c r="O470" s="4">
        <f t="shared" si="160"/>
        <v>4.6362152163097374E-3</v>
      </c>
      <c r="P470" s="4">
        <f t="shared" si="161"/>
        <v>5.9806670109229772E-3</v>
      </c>
      <c r="S470" s="4">
        <v>1.4846901072959007</v>
      </c>
      <c r="T470" s="4">
        <v>0.32430615720521738</v>
      </c>
      <c r="U470" s="4">
        <f t="shared" si="162"/>
        <v>1.1621751181048938</v>
      </c>
      <c r="W470" s="4">
        <f t="shared" si="163"/>
        <v>2.5529667933908748</v>
      </c>
      <c r="X470" s="4">
        <f t="shared" si="164"/>
        <v>2.1148146705909903</v>
      </c>
      <c r="Y470" s="3">
        <f t="shared" si="151"/>
        <v>-181.02290774863786</v>
      </c>
      <c r="AA470" s="3"/>
    </row>
    <row r="471" spans="4:27" x14ac:dyDescent="0.25">
      <c r="D471" s="1">
        <v>42062</v>
      </c>
      <c r="E471" s="3">
        <v>124.046482</v>
      </c>
      <c r="F471" s="3">
        <v>202.06172799999999</v>
      </c>
      <c r="G471" s="3">
        <f t="shared" si="152"/>
        <v>-1.8926510000000007</v>
      </c>
      <c r="H471" s="3">
        <f t="shared" si="153"/>
        <v>-0.69061400000001072</v>
      </c>
      <c r="I471" s="4">
        <f t="shared" si="154"/>
        <v>-1.7719868452691674</v>
      </c>
      <c r="J471" s="4">
        <f t="shared" si="155"/>
        <v>-0.77392157459912569</v>
      </c>
      <c r="K471" s="4">
        <f t="shared" si="156"/>
        <v>-1.9209664920634928</v>
      </c>
      <c r="L471" s="4">
        <f t="shared" si="157"/>
        <v>-0.75640263492064563</v>
      </c>
      <c r="M471" s="4">
        <f t="shared" si="158"/>
        <v>-1.5142368603089901E-2</v>
      </c>
      <c r="N471" s="4">
        <f t="shared" si="159"/>
        <v>-3.4120092219099489E-3</v>
      </c>
      <c r="O471" s="4">
        <f t="shared" si="160"/>
        <v>-1.5398336831750943E-2</v>
      </c>
      <c r="P471" s="4">
        <f t="shared" si="161"/>
        <v>-3.7249969389703394E-3</v>
      </c>
      <c r="S471" s="4">
        <v>-2.5992179480250872</v>
      </c>
      <c r="T471" s="4">
        <v>-2.1565782225146308</v>
      </c>
      <c r="U471" s="4">
        <f t="shared" si="162"/>
        <v>-3.2940435996919804</v>
      </c>
      <c r="W471" s="4">
        <f t="shared" si="163"/>
        <v>-4.3915421891241051</v>
      </c>
      <c r="X471" s="4">
        <f t="shared" si="164"/>
        <v>-5.7419257045572243</v>
      </c>
      <c r="Y471" s="3">
        <f t="shared" si="151"/>
        <v>180.54243522664092</v>
      </c>
      <c r="AA471" s="3"/>
    </row>
    <row r="472" spans="4:27" x14ac:dyDescent="0.25">
      <c r="D472" s="1">
        <v>42061</v>
      </c>
      <c r="E472" s="3">
        <v>125.939133</v>
      </c>
      <c r="F472" s="3">
        <v>202.752342</v>
      </c>
      <c r="G472" s="3">
        <f t="shared" si="152"/>
        <v>1.574001999999993</v>
      </c>
      <c r="H472" s="3">
        <f t="shared" si="153"/>
        <v>-0.23979600000001255</v>
      </c>
      <c r="I472" s="4">
        <f t="shared" si="154"/>
        <v>1.4923039972997509</v>
      </c>
      <c r="J472" s="4">
        <f t="shared" si="155"/>
        <v>-0.26840473417041816</v>
      </c>
      <c r="K472" s="4">
        <f t="shared" si="156"/>
        <v>1.545686507936501</v>
      </c>
      <c r="L472" s="4">
        <f t="shared" si="157"/>
        <v>-0.30558463492064747</v>
      </c>
      <c r="M472" s="4">
        <f t="shared" si="158"/>
        <v>1.2576875219553977E-2</v>
      </c>
      <c r="N472" s="4">
        <f t="shared" si="159"/>
        <v>-1.1820051275570967E-3</v>
      </c>
      <c r="O472" s="4">
        <f t="shared" si="160"/>
        <v>1.2320906990892935E-2</v>
      </c>
      <c r="P472" s="4">
        <f t="shared" si="161"/>
        <v>-1.4949928446174872E-3</v>
      </c>
      <c r="S472" s="4">
        <v>1.9056682031504533</v>
      </c>
      <c r="T472" s="4">
        <v>1.5360332158689949</v>
      </c>
      <c r="U472" s="4">
        <f t="shared" si="162"/>
        <v>2.379339126675406</v>
      </c>
      <c r="W472" s="4">
        <f t="shared" si="163"/>
        <v>3.2688218343227922</v>
      </c>
      <c r="X472" s="4">
        <f t="shared" si="164"/>
        <v>4.2607913864827651</v>
      </c>
      <c r="Y472" s="3">
        <f t="shared" si="151"/>
        <v>-70.634999386038544</v>
      </c>
      <c r="AA472" s="3"/>
    </row>
    <row r="473" spans="4:27" x14ac:dyDescent="0.25">
      <c r="D473" s="1">
        <v>42060</v>
      </c>
      <c r="E473" s="3">
        <v>124.36513100000001</v>
      </c>
      <c r="F473" s="3">
        <v>202.99213800000001</v>
      </c>
      <c r="G473" s="3">
        <f t="shared" si="152"/>
        <v>-3.2638769999999937</v>
      </c>
      <c r="H473" s="3">
        <f t="shared" si="153"/>
        <v>-0.17264599999998609</v>
      </c>
      <c r="I473" s="4">
        <f t="shared" si="154"/>
        <v>-3.0153313588828277</v>
      </c>
      <c r="J473" s="4">
        <f t="shared" si="155"/>
        <v>-0.19307922414604511</v>
      </c>
      <c r="K473" s="4">
        <f t="shared" si="156"/>
        <v>-3.292192492063486</v>
      </c>
      <c r="L473" s="4">
        <f t="shared" si="157"/>
        <v>-0.23843463492062097</v>
      </c>
      <c r="M473" s="4">
        <f t="shared" si="158"/>
        <v>-2.590583691034519E-2</v>
      </c>
      <c r="N473" s="4">
        <f t="shared" si="159"/>
        <v>-8.5014437054571005E-4</v>
      </c>
      <c r="O473" s="4">
        <f t="shared" si="160"/>
        <v>-2.6161805139006233E-2</v>
      </c>
      <c r="P473" s="4">
        <f t="shared" si="161"/>
        <v>-1.1631320876061006E-3</v>
      </c>
      <c r="S473" s="4">
        <v>-0.50124099118153775</v>
      </c>
      <c r="T473" s="4">
        <v>0.86217666459791131</v>
      </c>
      <c r="U473" s="4">
        <f t="shared" si="162"/>
        <v>0.37787286910317114</v>
      </c>
      <c r="W473" s="4">
        <f t="shared" si="163"/>
        <v>-0.82402313028370244</v>
      </c>
      <c r="X473" s="4">
        <f t="shared" si="164"/>
        <v>0.7320146923399532</v>
      </c>
      <c r="Y473" s="3">
        <f t="shared" si="151"/>
        <v>207.0147954733975</v>
      </c>
      <c r="AA473" s="3"/>
    </row>
    <row r="474" spans="4:27" x14ac:dyDescent="0.25">
      <c r="D474" s="1">
        <v>42059</v>
      </c>
      <c r="E474" s="3">
        <v>127.629008</v>
      </c>
      <c r="F474" s="3">
        <v>203.164784</v>
      </c>
      <c r="G474" s="3">
        <f t="shared" si="152"/>
        <v>-0.80148600000001124</v>
      </c>
      <c r="H474" s="3">
        <f t="shared" si="153"/>
        <v>0.57550200000000018</v>
      </c>
      <c r="I474" s="4">
        <f t="shared" si="154"/>
        <v>-0.73583161228006577</v>
      </c>
      <c r="J474" s="4">
        <f t="shared" si="155"/>
        <v>0.64544289884256589</v>
      </c>
      <c r="K474" s="4">
        <f t="shared" si="156"/>
        <v>-0.82980149206350329</v>
      </c>
      <c r="L474" s="4">
        <f t="shared" si="157"/>
        <v>0.50971336507936527</v>
      </c>
      <c r="M474" s="4">
        <f t="shared" si="158"/>
        <v>-6.2601747737824403E-3</v>
      </c>
      <c r="N474" s="4">
        <f t="shared" si="159"/>
        <v>2.8367054535794601E-3</v>
      </c>
      <c r="O474" s="4">
        <f t="shared" si="160"/>
        <v>-6.5161430024434832E-3</v>
      </c>
      <c r="P474" s="4">
        <f t="shared" si="161"/>
        <v>2.5237177365190697E-3</v>
      </c>
      <c r="S474" s="4">
        <v>-0.14326669178875168</v>
      </c>
      <c r="T474" s="4">
        <v>-1.1130671204507316E-2</v>
      </c>
      <c r="U474" s="4">
        <f t="shared" si="162"/>
        <v>-9.6161766089073869E-2</v>
      </c>
      <c r="W474" s="4">
        <f t="shared" si="163"/>
        <v>-0.21530331975718506</v>
      </c>
      <c r="X474" s="4">
        <f t="shared" si="164"/>
        <v>-0.1037537681845494</v>
      </c>
      <c r="Y474" s="3">
        <f t="shared" si="151"/>
        <v>24.247048857405389</v>
      </c>
      <c r="AA474" s="3"/>
    </row>
    <row r="475" spans="4:27" x14ac:dyDescent="0.25">
      <c r="D475" s="1">
        <v>42058</v>
      </c>
      <c r="E475" s="3">
        <v>128.43049400000001</v>
      </c>
      <c r="F475" s="3">
        <v>202.589282</v>
      </c>
      <c r="G475" s="3">
        <f t="shared" si="152"/>
        <v>3.3797500000000156</v>
      </c>
      <c r="H475" s="3">
        <f t="shared" si="153"/>
        <v>-2.8774999999995998E-2</v>
      </c>
      <c r="I475" s="4">
        <f t="shared" si="154"/>
        <v>3.1867570177671385</v>
      </c>
      <c r="J475" s="4">
        <f t="shared" si="155"/>
        <v>-3.2267449645043682E-2</v>
      </c>
      <c r="K475" s="4">
        <f t="shared" si="156"/>
        <v>3.3514345079365233</v>
      </c>
      <c r="L475" s="4">
        <f t="shared" si="157"/>
        <v>-9.4563634920630885E-2</v>
      </c>
      <c r="M475" s="4">
        <f t="shared" si="158"/>
        <v>2.6668248344806852E-2</v>
      </c>
      <c r="N475" s="4">
        <f t="shared" si="159"/>
        <v>-1.4202605569470803E-4</v>
      </c>
      <c r="O475" s="4">
        <f t="shared" si="160"/>
        <v>2.6412280116145808E-2</v>
      </c>
      <c r="P475" s="4">
        <f t="shared" si="161"/>
        <v>-4.5501377275509861E-4</v>
      </c>
      <c r="S475" s="4">
        <v>-1.9950564460417555</v>
      </c>
      <c r="T475" s="4">
        <v>0.75697780751104704</v>
      </c>
      <c r="U475" s="4">
        <f t="shared" si="162"/>
        <v>-0.61618065638509245</v>
      </c>
      <c r="W475" s="4">
        <f t="shared" si="163"/>
        <v>-3.3641916903912876</v>
      </c>
      <c r="X475" s="4">
        <f t="shared" si="164"/>
        <v>-1.0205968744063239</v>
      </c>
      <c r="Y475" s="3">
        <f t="shared" si="151"/>
        <v>466.82837086788641</v>
      </c>
      <c r="AA475" s="3"/>
    </row>
    <row r="476" spans="4:27" x14ac:dyDescent="0.25">
      <c r="D476" s="1">
        <v>42055</v>
      </c>
      <c r="E476" s="3">
        <v>125.05074399999999</v>
      </c>
      <c r="F476" s="3">
        <v>202.61805699999999</v>
      </c>
      <c r="G476" s="3">
        <f t="shared" si="152"/>
        <v>1.0139279999999928</v>
      </c>
      <c r="H476" s="3">
        <f t="shared" si="153"/>
        <v>1.2085820000000069</v>
      </c>
      <c r="I476" s="4">
        <f t="shared" si="154"/>
        <v>0.96384491630058577</v>
      </c>
      <c r="J476" s="4">
        <f t="shared" si="155"/>
        <v>1.3634012237014947</v>
      </c>
      <c r="K476" s="4">
        <f t="shared" si="156"/>
        <v>0.98561250793650079</v>
      </c>
      <c r="L476" s="4">
        <f t="shared" si="157"/>
        <v>1.142793365079372</v>
      </c>
      <c r="M476" s="4">
        <f t="shared" si="158"/>
        <v>8.1411821622783195E-3</v>
      </c>
      <c r="N476" s="4">
        <f t="shared" si="159"/>
        <v>5.9826893423326503E-3</v>
      </c>
      <c r="O476" s="4">
        <f t="shared" si="160"/>
        <v>7.8852139336172775E-3</v>
      </c>
      <c r="P476" s="4">
        <f t="shared" si="161"/>
        <v>5.6697016252722594E-3</v>
      </c>
      <c r="S476" s="4">
        <v>1.6429646680106997</v>
      </c>
      <c r="T476" s="4">
        <v>-0.77568533777968562</v>
      </c>
      <c r="U476" s="4">
        <f t="shared" si="162"/>
        <v>0.38670834273927357</v>
      </c>
      <c r="W476" s="4">
        <f t="shared" si="163"/>
        <v>2.8221058370957026</v>
      </c>
      <c r="X476" s="4">
        <f t="shared" si="164"/>
        <v>0.74759247854086108</v>
      </c>
      <c r="Y476" s="3">
        <f t="shared" si="151"/>
        <v>-357.2200480736974</v>
      </c>
      <c r="AA476" s="3"/>
    </row>
    <row r="477" spans="4:27" x14ac:dyDescent="0.25">
      <c r="D477" s="1">
        <v>42054</v>
      </c>
      <c r="E477" s="3">
        <v>124.036816</v>
      </c>
      <c r="F477" s="3">
        <v>201.40947499999999</v>
      </c>
      <c r="G477" s="3">
        <f t="shared" si="152"/>
        <v>-0.26072800000000029</v>
      </c>
      <c r="H477" s="3">
        <f t="shared" si="153"/>
        <v>-0.14388700000000654</v>
      </c>
      <c r="I477" s="4">
        <f t="shared" si="154"/>
        <v>-0.24732942046636125</v>
      </c>
      <c r="J477" s="4">
        <f t="shared" si="155"/>
        <v>-0.16220303126082553</v>
      </c>
      <c r="K477" s="4">
        <f t="shared" si="156"/>
        <v>-0.28904349206349234</v>
      </c>
      <c r="L477" s="4">
        <f t="shared" si="157"/>
        <v>-0.20967563492064142</v>
      </c>
      <c r="M477" s="4">
        <f t="shared" si="158"/>
        <v>-2.0998149092267293E-3</v>
      </c>
      <c r="N477" s="4">
        <f t="shared" si="159"/>
        <v>-7.1414529035218979E-4</v>
      </c>
      <c r="O477" s="4">
        <f t="shared" si="160"/>
        <v>-2.3557831378877717E-3</v>
      </c>
      <c r="P477" s="4">
        <f t="shared" si="161"/>
        <v>-1.0271330074125805E-3</v>
      </c>
      <c r="S477" s="4">
        <v>0.50248536537833588</v>
      </c>
      <c r="T477" s="4">
        <v>0.27657278281886322</v>
      </c>
      <c r="U477" s="4">
        <f t="shared" si="162"/>
        <v>0.52556332771080749</v>
      </c>
      <c r="W477" s="4">
        <f t="shared" si="163"/>
        <v>0.88277011890202539</v>
      </c>
      <c r="X477" s="4">
        <f t="shared" si="164"/>
        <v>0.99240711529993975</v>
      </c>
      <c r="Y477" s="3">
        <f t="shared" si="151"/>
        <v>-40.218600334539587</v>
      </c>
      <c r="AA477" s="3"/>
    </row>
    <row r="478" spans="4:27" x14ac:dyDescent="0.25">
      <c r="D478" s="1">
        <v>42053</v>
      </c>
      <c r="E478" s="3">
        <v>124.297544</v>
      </c>
      <c r="F478" s="3">
        <v>201.55336199999999</v>
      </c>
      <c r="G478" s="3">
        <f t="shared" si="152"/>
        <v>0.85942199999999502</v>
      </c>
      <c r="H478" s="3">
        <f t="shared" si="153"/>
        <v>1.918799999998555E-2</v>
      </c>
      <c r="I478" s="4">
        <f t="shared" si="154"/>
        <v>0.8209331915928485</v>
      </c>
      <c r="J478" s="4">
        <f t="shared" si="155"/>
        <v>2.1632587306571225E-2</v>
      </c>
      <c r="K478" s="4">
        <f t="shared" si="156"/>
        <v>0.83110650793650298</v>
      </c>
      <c r="L478" s="4">
        <f t="shared" si="157"/>
        <v>-4.6600634920649336E-2</v>
      </c>
      <c r="M478" s="4">
        <f t="shared" si="158"/>
        <v>6.9382456029424269E-3</v>
      </c>
      <c r="N478" s="4">
        <f t="shared" si="159"/>
        <v>9.5205126930349946E-5</v>
      </c>
      <c r="O478" s="4">
        <f t="shared" si="160"/>
        <v>6.682277374281384E-3</v>
      </c>
      <c r="P478" s="4">
        <f t="shared" si="161"/>
        <v>-2.1778259013004064E-4</v>
      </c>
      <c r="S478" s="4">
        <v>0.39567700942713352</v>
      </c>
      <c r="T478" s="4">
        <v>0.66527313312344349</v>
      </c>
      <c r="U478" s="4">
        <f t="shared" si="162"/>
        <v>0.76857023627611798</v>
      </c>
      <c r="W478" s="4">
        <f t="shared" si="163"/>
        <v>0.70114713002391682</v>
      </c>
      <c r="X478" s="4">
        <f t="shared" si="164"/>
        <v>1.4208515680688429</v>
      </c>
      <c r="Y478" s="3">
        <f t="shared" si="151"/>
        <v>30.992146730155127</v>
      </c>
      <c r="AA478" s="3"/>
    </row>
    <row r="479" spans="4:27" x14ac:dyDescent="0.25">
      <c r="D479" s="1">
        <v>42052</v>
      </c>
      <c r="E479" s="3">
        <v>123.43812200000001</v>
      </c>
      <c r="F479" s="3">
        <v>201.53417400000001</v>
      </c>
      <c r="G479" s="3">
        <f t="shared" si="152"/>
        <v>0.72423200000000065</v>
      </c>
      <c r="H479" s="3">
        <f t="shared" si="153"/>
        <v>0.31653300000002105</v>
      </c>
      <c r="I479" s="4">
        <f t="shared" si="154"/>
        <v>0.69588045833220724</v>
      </c>
      <c r="J479" s="4">
        <f t="shared" si="155"/>
        <v>0.35742127175487454</v>
      </c>
      <c r="K479" s="4">
        <f t="shared" si="156"/>
        <v>0.69591650793650861</v>
      </c>
      <c r="L479" s="4">
        <f t="shared" si="157"/>
        <v>0.25074436507938613</v>
      </c>
      <c r="M479" s="4">
        <f t="shared" si="158"/>
        <v>5.8844458262047143E-3</v>
      </c>
      <c r="N479" s="4">
        <f t="shared" si="159"/>
        <v>1.571851713055484E-3</v>
      </c>
      <c r="O479" s="4">
        <f t="shared" si="160"/>
        <v>5.6284775975436714E-3</v>
      </c>
      <c r="P479" s="4">
        <f t="shared" si="161"/>
        <v>1.2588639959950935E-3</v>
      </c>
      <c r="S479" s="4">
        <v>-0.10276661617539387</v>
      </c>
      <c r="T479" s="4">
        <v>-1.0792724640111098</v>
      </c>
      <c r="U479" s="4">
        <f t="shared" si="162"/>
        <v>-0.91817949061720827</v>
      </c>
      <c r="W479" s="4">
        <f t="shared" si="163"/>
        <v>-0.1464346931672573</v>
      </c>
      <c r="X479" s="4">
        <f t="shared" si="164"/>
        <v>-1.5530497418302591</v>
      </c>
      <c r="Y479" s="3">
        <f t="shared" si="151"/>
        <v>-131.78327598849728</v>
      </c>
      <c r="AA479" s="3"/>
    </row>
    <row r="480" spans="4:27" x14ac:dyDescent="0.25">
      <c r="D480" s="1">
        <v>42048</v>
      </c>
      <c r="E480" s="3">
        <v>122.71389000000001</v>
      </c>
      <c r="F480" s="3">
        <v>201.21764099999999</v>
      </c>
      <c r="G480" s="3">
        <f t="shared" si="152"/>
        <v>0.59870100000000548</v>
      </c>
      <c r="H480" s="3">
        <f t="shared" si="153"/>
        <v>0.82489799999999036</v>
      </c>
      <c r="I480" s="4">
        <f t="shared" si="154"/>
        <v>0.57808400316855468</v>
      </c>
      <c r="J480" s="4">
        <f t="shared" si="155"/>
        <v>0.93528876120171589</v>
      </c>
      <c r="K480" s="4">
        <f t="shared" si="156"/>
        <v>0.57038550793651344</v>
      </c>
      <c r="L480" s="4">
        <f t="shared" si="157"/>
        <v>0.75910936507935545</v>
      </c>
      <c r="M480" s="4">
        <f t="shared" si="158"/>
        <v>4.8907768296194446E-3</v>
      </c>
      <c r="N480" s="4">
        <f t="shared" si="159"/>
        <v>4.107957328284716E-3</v>
      </c>
      <c r="O480" s="4">
        <f t="shared" si="160"/>
        <v>4.6348086009584018E-3</v>
      </c>
      <c r="P480" s="4">
        <f t="shared" si="161"/>
        <v>3.7949696112243255E-3</v>
      </c>
      <c r="S480" s="4">
        <v>-0.25964868426598653</v>
      </c>
      <c r="T480" s="4">
        <v>-4.3345991922079358E-2</v>
      </c>
      <c r="U480" s="4">
        <f t="shared" si="162"/>
        <v>-0.19264765302153083</v>
      </c>
      <c r="W480" s="4">
        <f t="shared" si="163"/>
        <v>-0.41320586340238569</v>
      </c>
      <c r="X480" s="4">
        <f t="shared" si="164"/>
        <v>-0.27386762737793358</v>
      </c>
      <c r="Y480" s="3">
        <f t="shared" si="151"/>
        <v>39.272046766121093</v>
      </c>
      <c r="AA480" s="3"/>
    </row>
    <row r="481" spans="4:27" x14ac:dyDescent="0.25">
      <c r="D481" s="1">
        <v>42047</v>
      </c>
      <c r="E481" s="3">
        <v>122.115189</v>
      </c>
      <c r="F481" s="3">
        <v>200.392743</v>
      </c>
      <c r="G481" s="3">
        <f t="shared" si="152"/>
        <v>1.5257179999999977</v>
      </c>
      <c r="H481" s="3">
        <f t="shared" si="153"/>
        <v>1.9087820000000022</v>
      </c>
      <c r="I481" s="4">
        <f t="shared" si="154"/>
        <v>1.4918169388343343</v>
      </c>
      <c r="J481" s="4">
        <f t="shared" si="155"/>
        <v>2.1850348481380544</v>
      </c>
      <c r="K481" s="4">
        <f t="shared" si="156"/>
        <v>1.4974025079365056</v>
      </c>
      <c r="L481" s="4">
        <f t="shared" si="157"/>
        <v>1.8429933650793673</v>
      </c>
      <c r="M481" s="4">
        <f t="shared" si="158"/>
        <v>1.2572796073455522E-2</v>
      </c>
      <c r="N481" s="4">
        <f t="shared" si="159"/>
        <v>9.570860125057255E-3</v>
      </c>
      <c r="O481" s="4">
        <f t="shared" si="160"/>
        <v>1.231682784479448E-2</v>
      </c>
      <c r="P481" s="4">
        <f t="shared" si="161"/>
        <v>9.257872407996864E-3</v>
      </c>
      <c r="S481" s="4">
        <v>1.0924656231108052</v>
      </c>
      <c r="T481" s="4">
        <v>2.2715344722249964</v>
      </c>
      <c r="U481" s="4">
        <f t="shared" si="162"/>
        <v>2.4666186656602038</v>
      </c>
      <c r="W481" s="4">
        <f t="shared" si="163"/>
        <v>1.8860060252519322</v>
      </c>
      <c r="X481" s="4">
        <f t="shared" si="164"/>
        <v>4.4146735725450341</v>
      </c>
      <c r="Y481" s="3">
        <f t="shared" si="151"/>
        <v>148.33386813374364</v>
      </c>
      <c r="AA481" s="3"/>
    </row>
    <row r="482" spans="4:27" x14ac:dyDescent="0.25">
      <c r="D482" s="1">
        <v>42046</v>
      </c>
      <c r="E482" s="3">
        <v>120.589471</v>
      </c>
      <c r="F482" s="3">
        <v>198.48396099999999</v>
      </c>
      <c r="G482" s="3">
        <f t="shared" si="152"/>
        <v>2.7617390000000057</v>
      </c>
      <c r="H482" s="3">
        <f t="shared" si="153"/>
        <v>0.11509799999998904</v>
      </c>
      <c r="I482" s="4">
        <f t="shared" si="154"/>
        <v>2.7636673558051399</v>
      </c>
      <c r="J482" s="4">
        <f t="shared" si="155"/>
        <v>0.1318322693904008</v>
      </c>
      <c r="K482" s="4">
        <f t="shared" si="156"/>
        <v>2.7334235079365135</v>
      </c>
      <c r="L482" s="4">
        <f t="shared" si="157"/>
        <v>4.9309365079354156E-2</v>
      </c>
      <c r="M482" s="4">
        <f t="shared" si="158"/>
        <v>2.316831587005708E-2</v>
      </c>
      <c r="N482" s="4">
        <f t="shared" si="159"/>
        <v>5.8005384498499069E-4</v>
      </c>
      <c r="O482" s="4">
        <f t="shared" si="160"/>
        <v>2.2912347641396037E-2</v>
      </c>
      <c r="P482" s="4">
        <f t="shared" si="161"/>
        <v>2.6706612792460011E-4</v>
      </c>
      <c r="S482" s="4">
        <v>0.84155297926547001</v>
      </c>
      <c r="T482" s="4">
        <v>1.4610968448167518</v>
      </c>
      <c r="U482" s="4">
        <f t="shared" si="162"/>
        <v>1.671229280551038</v>
      </c>
      <c r="W482" s="4">
        <f t="shared" si="163"/>
        <v>1.4593399286094704</v>
      </c>
      <c r="X482" s="4">
        <f t="shared" si="164"/>
        <v>3.012325911512578</v>
      </c>
      <c r="Y482" s="3">
        <f t="shared" si="151"/>
        <v>72.834283303071061</v>
      </c>
      <c r="AA482" s="3"/>
    </row>
    <row r="483" spans="4:27" x14ac:dyDescent="0.25">
      <c r="D483" s="1">
        <v>42045</v>
      </c>
      <c r="E483" s="3">
        <v>117.827732</v>
      </c>
      <c r="F483" s="3">
        <v>198.368863</v>
      </c>
      <c r="G483" s="3">
        <f t="shared" si="152"/>
        <v>2.2209739999999982</v>
      </c>
      <c r="H483" s="3">
        <f t="shared" si="153"/>
        <v>2.0910140000000013</v>
      </c>
      <c r="I483" s="4">
        <f t="shared" si="154"/>
        <v>2.2652227063049013</v>
      </c>
      <c r="J483" s="4">
        <f t="shared" si="155"/>
        <v>2.4205446921170317</v>
      </c>
      <c r="K483" s="4">
        <f t="shared" si="156"/>
        <v>2.192658507936506</v>
      </c>
      <c r="L483" s="4">
        <f t="shared" si="157"/>
        <v>2.0252253650793666</v>
      </c>
      <c r="M483" s="4">
        <f t="shared" si="158"/>
        <v>1.9029244733592316E-2</v>
      </c>
      <c r="N483" s="4">
        <f t="shared" si="159"/>
        <v>1.0596989682790313E-2</v>
      </c>
      <c r="O483" s="4">
        <f t="shared" si="160"/>
        <v>1.8773276504931272E-2</v>
      </c>
      <c r="P483" s="4">
        <f t="shared" si="161"/>
        <v>1.0284001965729922E-2</v>
      </c>
      <c r="S483" s="4">
        <v>-1.2405981044908947</v>
      </c>
      <c r="T483" s="4">
        <v>0.23038195458272789</v>
      </c>
      <c r="U483" s="4">
        <f t="shared" si="162"/>
        <v>-0.57367434783496996</v>
      </c>
      <c r="W483" s="4">
        <f t="shared" si="163"/>
        <v>-2.0812679176567652</v>
      </c>
      <c r="X483" s="4">
        <f t="shared" si="164"/>
        <v>-0.94565418156889436</v>
      </c>
      <c r="Y483" s="3">
        <f t="shared" si="151"/>
        <v>250.28138184553973</v>
      </c>
      <c r="AA483" s="3"/>
    </row>
    <row r="484" spans="4:27" x14ac:dyDescent="0.25">
      <c r="D484" s="1">
        <v>42044</v>
      </c>
      <c r="E484" s="3">
        <v>115.606758</v>
      </c>
      <c r="F484" s="3">
        <v>196.277849</v>
      </c>
      <c r="G484" s="3">
        <f t="shared" si="152"/>
        <v>0.76285799999999426</v>
      </c>
      <c r="H484" s="3">
        <f t="shared" si="153"/>
        <v>-0.88244800000001078</v>
      </c>
      <c r="I484" s="4">
        <f t="shared" si="154"/>
        <v>0.78322479323178085</v>
      </c>
      <c r="J484" s="4">
        <f t="shared" si="155"/>
        <v>-1.0169441784576863</v>
      </c>
      <c r="K484" s="4">
        <f t="shared" si="156"/>
        <v>0.73454250793650222</v>
      </c>
      <c r="L484" s="4">
        <f t="shared" si="157"/>
        <v>-0.94823663492064569</v>
      </c>
      <c r="M484" s="4">
        <f t="shared" si="158"/>
        <v>6.6205997683516041E-3</v>
      </c>
      <c r="N484" s="4">
        <f t="shared" si="159"/>
        <v>-4.4858358994552192E-3</v>
      </c>
      <c r="O484" s="4">
        <f t="shared" si="160"/>
        <v>6.3646315396905613E-3</v>
      </c>
      <c r="P484" s="4">
        <f t="shared" si="161"/>
        <v>-4.7988236165156101E-3</v>
      </c>
      <c r="S484" s="4">
        <v>-0.66995508344014376</v>
      </c>
      <c r="T484" s="4">
        <v>-1.0314859703049704</v>
      </c>
      <c r="U484" s="4">
        <f t="shared" si="162"/>
        <v>-1.2260702631136469</v>
      </c>
      <c r="W484" s="4">
        <f t="shared" si="163"/>
        <v>-1.110914145775642</v>
      </c>
      <c r="X484" s="4">
        <f t="shared" si="164"/>
        <v>-2.0958906606898906</v>
      </c>
      <c r="Y484" s="3">
        <f t="shared" si="151"/>
        <v>-28.354911849351083</v>
      </c>
      <c r="AA484" s="3"/>
    </row>
    <row r="485" spans="4:27" x14ac:dyDescent="0.25">
      <c r="D485" s="1">
        <v>42041</v>
      </c>
      <c r="E485" s="3">
        <v>114.8439</v>
      </c>
      <c r="F485" s="3">
        <v>197.16029700000001</v>
      </c>
      <c r="G485" s="3">
        <f t="shared" si="152"/>
        <v>-0.97530100000000175</v>
      </c>
      <c r="H485" s="3">
        <f t="shared" si="153"/>
        <v>-0.54672699999997576</v>
      </c>
      <c r="I485" s="4">
        <f t="shared" si="154"/>
        <v>-0.99290742656050801</v>
      </c>
      <c r="J485" s="4">
        <f t="shared" si="155"/>
        <v>-0.62831275785671381</v>
      </c>
      <c r="K485" s="4">
        <f t="shared" si="156"/>
        <v>-1.0036164920634938</v>
      </c>
      <c r="L485" s="4">
        <f t="shared" si="157"/>
        <v>-0.61251563492061067</v>
      </c>
      <c r="M485" s="4">
        <f t="shared" si="158"/>
        <v>-8.4565481692273712E-3</v>
      </c>
      <c r="N485" s="4">
        <f t="shared" si="159"/>
        <v>-2.7691698973096083E-3</v>
      </c>
      <c r="O485" s="4">
        <f t="shared" si="160"/>
        <v>-8.7125163978884132E-3</v>
      </c>
      <c r="P485" s="4">
        <f t="shared" si="161"/>
        <v>-3.0821576143699988E-3</v>
      </c>
      <c r="S485" s="4">
        <v>-0.42280134003155784</v>
      </c>
      <c r="T485" s="4">
        <v>0.97904145442654278</v>
      </c>
      <c r="U485" s="4">
        <f t="shared" si="162"/>
        <v>0.51832921677040666</v>
      </c>
      <c r="W485" s="4">
        <f t="shared" si="163"/>
        <v>-0.69063989671980119</v>
      </c>
      <c r="X485" s="4">
        <f t="shared" si="164"/>
        <v>0.97965268489535495</v>
      </c>
      <c r="Y485" s="3">
        <f t="shared" si="151"/>
        <v>209.87835496417665</v>
      </c>
      <c r="AA485" s="3"/>
    </row>
    <row r="486" spans="4:27" x14ac:dyDescent="0.25">
      <c r="D486" s="1">
        <v>42040</v>
      </c>
      <c r="E486" s="3">
        <v>115.81920100000001</v>
      </c>
      <c r="F486" s="3">
        <v>197.70702399999999</v>
      </c>
      <c r="G486" s="3">
        <f t="shared" si="152"/>
        <v>0.8207970000000131</v>
      </c>
      <c r="H486" s="3">
        <f t="shared" si="153"/>
        <v>1.9759169999999813</v>
      </c>
      <c r="I486" s="4">
        <f t="shared" si="154"/>
        <v>0.84157844097722911</v>
      </c>
      <c r="J486" s="4">
        <f t="shared" si="155"/>
        <v>2.2936983409663885</v>
      </c>
      <c r="K486" s="4">
        <f t="shared" si="156"/>
        <v>0.79248150793652106</v>
      </c>
      <c r="L486" s="4">
        <f t="shared" si="157"/>
        <v>1.9101283650793464</v>
      </c>
      <c r="M486" s="4">
        <f t="shared" si="158"/>
        <v>7.1121131319573224E-3</v>
      </c>
      <c r="N486" s="4">
        <f t="shared" si="159"/>
        <v>1.0044443875393584E-2</v>
      </c>
      <c r="O486" s="4">
        <f t="shared" si="160"/>
        <v>6.8561449032962796E-3</v>
      </c>
      <c r="P486" s="4">
        <f t="shared" si="161"/>
        <v>9.7314561583331932E-3</v>
      </c>
      <c r="S486" s="4">
        <v>-0.10175507843748965</v>
      </c>
      <c r="T486" s="4">
        <v>-0.11526515973008154</v>
      </c>
      <c r="U486" s="4">
        <f t="shared" si="162"/>
        <v>-0.15340193833971599</v>
      </c>
      <c r="W486" s="4">
        <f t="shared" si="163"/>
        <v>-0.14471461700200763</v>
      </c>
      <c r="X486" s="4">
        <f t="shared" si="164"/>
        <v>-0.20467367380004345</v>
      </c>
      <c r="Y486" s="3">
        <f t="shared" si="151"/>
        <v>2.7773916654296045</v>
      </c>
      <c r="AA486" s="3"/>
    </row>
    <row r="487" spans="4:27" x14ac:dyDescent="0.25">
      <c r="D487" s="1">
        <v>42039</v>
      </c>
      <c r="E487" s="3">
        <v>114.99840399999999</v>
      </c>
      <c r="F487" s="3">
        <v>195.73110700000001</v>
      </c>
      <c r="G487" s="3">
        <f t="shared" si="152"/>
        <v>0.8752759999999995</v>
      </c>
      <c r="H487" s="3">
        <f t="shared" si="153"/>
        <v>-0.74816300000000524</v>
      </c>
      <c r="I487" s="4">
        <f t="shared" si="154"/>
        <v>0.90431973316665448</v>
      </c>
      <c r="J487" s="4">
        <f t="shared" si="155"/>
        <v>-0.86518094487597685</v>
      </c>
      <c r="K487" s="4">
        <f t="shared" si="156"/>
        <v>0.84696050793650746</v>
      </c>
      <c r="L487" s="4">
        <f t="shared" si="157"/>
        <v>-0.81395163492064015</v>
      </c>
      <c r="M487" s="4">
        <f t="shared" si="158"/>
        <v>7.6403142922884361E-3</v>
      </c>
      <c r="N487" s="4">
        <f t="shared" si="159"/>
        <v>-3.8151153122891412E-3</v>
      </c>
      <c r="O487" s="4">
        <f t="shared" si="160"/>
        <v>7.3843460636273933E-3</v>
      </c>
      <c r="P487" s="4">
        <f t="shared" si="161"/>
        <v>-4.1281030293495316E-3</v>
      </c>
      <c r="S487" s="4">
        <v>1.4658096022790237E-2</v>
      </c>
      <c r="T487" s="4">
        <v>2.3623229938691841</v>
      </c>
      <c r="U487" s="4">
        <f t="shared" si="162"/>
        <v>1.8815304857827138</v>
      </c>
      <c r="W487" s="4">
        <f t="shared" si="163"/>
        <v>5.3240950256461368E-2</v>
      </c>
      <c r="X487" s="4">
        <f t="shared" si="164"/>
        <v>3.3831070770526113</v>
      </c>
      <c r="Y487" s="3">
        <f t="shared" si="151"/>
        <v>329.7861512895106</v>
      </c>
      <c r="AA487" s="3"/>
    </row>
    <row r="488" spans="4:27" x14ac:dyDescent="0.25">
      <c r="D488" s="1">
        <v>42038</v>
      </c>
      <c r="E488" s="3">
        <v>114.12312799999999</v>
      </c>
      <c r="F488" s="3">
        <v>196.47927000000001</v>
      </c>
      <c r="G488" s="3">
        <f t="shared" si="152"/>
        <v>1.9240999999993846E-2</v>
      </c>
      <c r="H488" s="3">
        <f t="shared" si="153"/>
        <v>2.800816000000026</v>
      </c>
      <c r="I488" s="4">
        <f t="shared" si="154"/>
        <v>1.9882814219670489E-2</v>
      </c>
      <c r="J488" s="4">
        <f t="shared" si="155"/>
        <v>3.2857213067475124</v>
      </c>
      <c r="K488" s="4">
        <f t="shared" si="156"/>
        <v>-9.0744920634982067E-3</v>
      </c>
      <c r="L488" s="4">
        <f t="shared" si="157"/>
        <v>2.7350273650793913</v>
      </c>
      <c r="M488" s="4">
        <f t="shared" si="158"/>
        <v>1.6861281777342014E-4</v>
      </c>
      <c r="N488" s="4">
        <f t="shared" si="159"/>
        <v>1.4357599201795777E-2</v>
      </c>
      <c r="O488" s="4">
        <f t="shared" si="160"/>
        <v>-8.7355410887622462E-5</v>
      </c>
      <c r="P488" s="4">
        <f t="shared" si="161"/>
        <v>1.4044611484735386E-2</v>
      </c>
      <c r="S488" s="4">
        <v>2.1921512609771732</v>
      </c>
      <c r="T488" s="4">
        <v>1.3003970519040065</v>
      </c>
      <c r="U488" s="4">
        <f t="shared" si="162"/>
        <v>2.3671986841458827</v>
      </c>
      <c r="W488" s="4">
        <f t="shared" si="163"/>
        <v>3.7559738812019781</v>
      </c>
      <c r="X488" s="4">
        <f t="shared" si="164"/>
        <v>4.2393866236032114</v>
      </c>
      <c r="Y488" s="3">
        <f t="shared" si="151"/>
        <v>-142.2611937896545</v>
      </c>
      <c r="AA488" s="3"/>
    </row>
    <row r="489" spans="4:27" x14ac:dyDescent="0.25">
      <c r="D489" s="1">
        <v>42037</v>
      </c>
      <c r="E489" s="3">
        <v>114.103887</v>
      </c>
      <c r="F489" s="3">
        <v>193.67845399999999</v>
      </c>
      <c r="G489" s="3">
        <f t="shared" si="152"/>
        <v>1.4139090000000039</v>
      </c>
      <c r="H489" s="3">
        <f t="shared" si="153"/>
        <v>2.3691859999999849</v>
      </c>
      <c r="I489" s="4">
        <f t="shared" si="154"/>
        <v>1.4794041032259007</v>
      </c>
      <c r="J489" s="4">
        <f t="shared" si="155"/>
        <v>2.813783008381479</v>
      </c>
      <c r="K489" s="4">
        <f t="shared" si="156"/>
        <v>1.3855935079365118</v>
      </c>
      <c r="L489" s="4">
        <f t="shared" si="157"/>
        <v>2.3033973650793502</v>
      </c>
      <c r="M489" s="4">
        <f t="shared" si="158"/>
        <v>1.2468832157616662E-2</v>
      </c>
      <c r="N489" s="4">
        <f t="shared" si="159"/>
        <v>1.2308007621818723E-2</v>
      </c>
      <c r="O489" s="4">
        <f t="shared" si="160"/>
        <v>1.221286392895562E-2</v>
      </c>
      <c r="P489" s="4">
        <f t="shared" si="161"/>
        <v>1.1995019904758332E-2</v>
      </c>
      <c r="S489" s="4">
        <v>0.32521830424477688</v>
      </c>
      <c r="T489" s="4">
        <v>-0.66829847522581287</v>
      </c>
      <c r="U489" s="4">
        <f t="shared" si="162"/>
        <v>-0.33149453309042137</v>
      </c>
      <c r="W489" s="4">
        <f t="shared" si="163"/>
        <v>0.5813351498306476</v>
      </c>
      <c r="X489" s="4">
        <f t="shared" si="164"/>
        <v>-0.51866797441743884</v>
      </c>
      <c r="Y489" s="3">
        <f t="shared" si="151"/>
        <v>-144.15504108399637</v>
      </c>
      <c r="AA489" s="3"/>
    </row>
    <row r="490" spans="4:27" x14ac:dyDescent="0.25">
      <c r="D490" s="1">
        <v>42034</v>
      </c>
      <c r="E490" s="3">
        <v>112.689978</v>
      </c>
      <c r="F490" s="3">
        <v>191.309268</v>
      </c>
      <c r="G490" s="3">
        <f t="shared" si="152"/>
        <v>-1.6736110000000082</v>
      </c>
      <c r="H490" s="3">
        <f t="shared" si="153"/>
        <v>-2.436335999999983</v>
      </c>
      <c r="I490" s="4">
        <f t="shared" si="154"/>
        <v>-1.7255096786482014</v>
      </c>
      <c r="J490" s="4">
        <f t="shared" si="155"/>
        <v>-2.8571482820035916</v>
      </c>
      <c r="K490" s="4">
        <f t="shared" si="156"/>
        <v>-1.7019264920635002</v>
      </c>
      <c r="L490" s="4">
        <f t="shared" si="157"/>
        <v>-2.5021246349206177</v>
      </c>
      <c r="M490" s="4">
        <f t="shared" si="158"/>
        <v>-1.4742259574087944E-2</v>
      </c>
      <c r="N490" s="4">
        <f t="shared" si="159"/>
        <v>-1.2654656206416494E-2</v>
      </c>
      <c r="O490" s="4">
        <f t="shared" si="160"/>
        <v>-1.4998227802748986E-2</v>
      </c>
      <c r="P490" s="4">
        <f t="shared" si="161"/>
        <v>-1.2967643923476884E-2</v>
      </c>
      <c r="S490" s="4">
        <v>-0.25910787983544403</v>
      </c>
      <c r="T490" s="4">
        <v>-0.86599271031321445</v>
      </c>
      <c r="U490" s="4">
        <f t="shared" si="162"/>
        <v>-0.84442345464994351</v>
      </c>
      <c r="W490" s="4">
        <f t="shared" si="163"/>
        <v>-0.4122862488628779</v>
      </c>
      <c r="X490" s="4">
        <f t="shared" si="164"/>
        <v>-1.4230107867447275</v>
      </c>
      <c r="Y490" s="3">
        <f t="shared" si="151"/>
        <v>-75.791606968891756</v>
      </c>
      <c r="AA490" s="3"/>
    </row>
    <row r="491" spans="4:27" x14ac:dyDescent="0.25">
      <c r="D491" s="1">
        <v>42033</v>
      </c>
      <c r="E491" s="3">
        <v>114.363589</v>
      </c>
      <c r="F491" s="3">
        <v>193.74560399999999</v>
      </c>
      <c r="G491" s="3">
        <f t="shared" si="152"/>
        <v>3.4530340000000024</v>
      </c>
      <c r="H491" s="3">
        <f t="shared" si="153"/>
        <v>1.7744969999999967</v>
      </c>
      <c r="I491" s="4">
        <f t="shared" si="154"/>
        <v>3.6709513603293775</v>
      </c>
      <c r="J491" s="4">
        <f t="shared" si="155"/>
        <v>2.1002299882110811</v>
      </c>
      <c r="K491" s="4">
        <f t="shared" si="156"/>
        <v>3.4247185079365101</v>
      </c>
      <c r="L491" s="4">
        <f t="shared" si="157"/>
        <v>1.7087083650793617</v>
      </c>
      <c r="M491" s="4">
        <f t="shared" si="158"/>
        <v>3.0658684651012156E-2</v>
      </c>
      <c r="N491" s="4">
        <f t="shared" si="159"/>
        <v>9.2011026149263504E-3</v>
      </c>
      <c r="O491" s="4">
        <f t="shared" si="160"/>
        <v>3.0402716422351112E-2</v>
      </c>
      <c r="P491" s="4">
        <f t="shared" si="161"/>
        <v>8.8881148978659594E-3</v>
      </c>
      <c r="S491" s="4">
        <v>-0.26135262555452016</v>
      </c>
      <c r="T491" s="4">
        <v>0.14484463428678035</v>
      </c>
      <c r="U491" s="4">
        <f t="shared" si="162"/>
        <v>-4.4509206214073893E-2</v>
      </c>
      <c r="W491" s="4">
        <f t="shared" si="163"/>
        <v>-0.41610334185283282</v>
      </c>
      <c r="X491" s="4">
        <f t="shared" si="164"/>
        <v>-1.2685358317470863E-2</v>
      </c>
      <c r="Y491" s="3">
        <f t="shared" si="151"/>
        <v>65.860829003270283</v>
      </c>
      <c r="AA491" s="3"/>
    </row>
    <row r="492" spans="4:27" x14ac:dyDescent="0.25">
      <c r="D492" s="1">
        <v>42032</v>
      </c>
      <c r="E492" s="3">
        <v>110.910555</v>
      </c>
      <c r="F492" s="3">
        <v>191.97110699999999</v>
      </c>
      <c r="G492" s="3">
        <f t="shared" si="152"/>
        <v>5.9345930000000067</v>
      </c>
      <c r="H492" s="3">
        <f t="shared" si="153"/>
        <v>-2.4938850000000059</v>
      </c>
      <c r="I492" s="4">
        <f t="shared" si="154"/>
        <v>6.6657915873004612</v>
      </c>
      <c r="J492" s="4">
        <f t="shared" si="155"/>
        <v>-2.9138181761126258</v>
      </c>
      <c r="K492" s="4">
        <f t="shared" si="156"/>
        <v>5.9062775079365144</v>
      </c>
      <c r="L492" s="4">
        <f t="shared" si="157"/>
        <v>-2.5596736349206406</v>
      </c>
      <c r="M492" s="4">
        <f t="shared" si="158"/>
        <v>5.499267504651964E-2</v>
      </c>
      <c r="N492" s="4">
        <f t="shared" si="159"/>
        <v>-1.2907280812312343E-2</v>
      </c>
      <c r="O492" s="4">
        <f t="shared" si="160"/>
        <v>5.4736706817858596E-2</v>
      </c>
      <c r="P492" s="4">
        <f t="shared" si="161"/>
        <v>-1.3220268529372733E-2</v>
      </c>
      <c r="S492" s="4">
        <v>-1.0462086766850816</v>
      </c>
      <c r="T492" s="4">
        <v>5.673587068806428E-2</v>
      </c>
      <c r="U492" s="4">
        <f t="shared" si="162"/>
        <v>-0.59281808027960992</v>
      </c>
      <c r="W492" s="4">
        <f t="shared" si="163"/>
        <v>-1.7507171047547563</v>
      </c>
      <c r="X492" s="4">
        <f t="shared" si="164"/>
        <v>-0.97940641527954098</v>
      </c>
      <c r="Y492" s="3">
        <f t="shared" si="151"/>
        <v>190.61063815116268</v>
      </c>
      <c r="AA492" s="3"/>
    </row>
    <row r="493" spans="4:27" x14ac:dyDescent="0.25">
      <c r="D493" s="1">
        <v>42031</v>
      </c>
      <c r="E493" s="3">
        <v>104.975962</v>
      </c>
      <c r="F493" s="3">
        <v>194.464992</v>
      </c>
      <c r="G493" s="3">
        <f t="shared" si="152"/>
        <v>-3.808913000000004</v>
      </c>
      <c r="H493" s="3">
        <f t="shared" si="153"/>
        <v>-2.5993809999999939</v>
      </c>
      <c r="I493" s="4">
        <f t="shared" si="154"/>
        <v>-4.1284135047786048</v>
      </c>
      <c r="J493" s="4">
        <f t="shared" si="155"/>
        <v>-2.9970175035426907</v>
      </c>
      <c r="K493" s="4">
        <f t="shared" si="156"/>
        <v>-3.8372284920634963</v>
      </c>
      <c r="L493" s="4">
        <f t="shared" si="157"/>
        <v>-2.6651696349206286</v>
      </c>
      <c r="M493" s="4">
        <f t="shared" si="158"/>
        <v>-3.5640917599074999E-2</v>
      </c>
      <c r="N493" s="4">
        <f t="shared" si="159"/>
        <v>-1.327828471772164E-2</v>
      </c>
      <c r="O493" s="4">
        <f t="shared" si="160"/>
        <v>-3.5896885827736043E-2</v>
      </c>
      <c r="P493" s="4">
        <f t="shared" si="161"/>
        <v>-1.3591272434782031E-2</v>
      </c>
      <c r="S493" s="4">
        <v>-6.2663037560269655E-2</v>
      </c>
      <c r="T493" s="4">
        <v>-0.34952226985902668</v>
      </c>
      <c r="U493" s="4">
        <f t="shared" si="162"/>
        <v>-0.31526429958418789</v>
      </c>
      <c r="W493" s="4">
        <f t="shared" si="163"/>
        <v>-7.8240292570783479E-2</v>
      </c>
      <c r="X493" s="4">
        <f t="shared" si="164"/>
        <v>-0.49005251836335373</v>
      </c>
      <c r="Y493" s="3">
        <f t="shared" si="151"/>
        <v>-36.451381747825508</v>
      </c>
      <c r="AA493" s="3"/>
    </row>
    <row r="494" spans="4:27" x14ac:dyDescent="0.25">
      <c r="D494" s="1">
        <v>42030</v>
      </c>
      <c r="E494" s="3">
        <v>108.784875</v>
      </c>
      <c r="F494" s="3">
        <v>197.06437299999999</v>
      </c>
      <c r="G494" s="3">
        <f t="shared" si="152"/>
        <v>0.11541699999999366</v>
      </c>
      <c r="H494" s="3">
        <f t="shared" si="153"/>
        <v>0.46040499999998019</v>
      </c>
      <c r="I494" s="4">
        <f t="shared" si="154"/>
        <v>0.12523131321467759</v>
      </c>
      <c r="J494" s="4">
        <f t="shared" si="155"/>
        <v>0.5320778839663628</v>
      </c>
      <c r="K494" s="4">
        <f t="shared" si="156"/>
        <v>8.7101507936501607E-2</v>
      </c>
      <c r="L494" s="4">
        <f t="shared" si="157"/>
        <v>0.39461636507934528</v>
      </c>
      <c r="M494" s="4">
        <f t="shared" si="158"/>
        <v>1.0615287287750225E-3</v>
      </c>
      <c r="N494" s="4">
        <f t="shared" si="159"/>
        <v>2.3390512365962287E-3</v>
      </c>
      <c r="O494" s="4">
        <f t="shared" si="160"/>
        <v>8.0556050011397983E-4</v>
      </c>
      <c r="P494" s="4">
        <f t="shared" si="161"/>
        <v>2.0260635195358382E-3</v>
      </c>
      <c r="S494" s="4">
        <v>-0.14377721238437921</v>
      </c>
      <c r="T494" s="4">
        <v>-1.0180920872197323</v>
      </c>
      <c r="U494" s="4">
        <f t="shared" si="162"/>
        <v>-0.89468326869035697</v>
      </c>
      <c r="W494" s="4">
        <f t="shared" si="163"/>
        <v>-0.21617143794546675</v>
      </c>
      <c r="X494" s="4">
        <f t="shared" si="164"/>
        <v>-1.5116236523210345</v>
      </c>
      <c r="Y494" s="3">
        <f t="shared" si="151"/>
        <v>-116.39985318006302</v>
      </c>
      <c r="AA494" s="3"/>
    </row>
    <row r="495" spans="4:27" x14ac:dyDescent="0.25">
      <c r="D495" s="1">
        <v>42027</v>
      </c>
      <c r="E495" s="3">
        <v>108.66945800000001</v>
      </c>
      <c r="F495" s="3">
        <v>196.60396800000001</v>
      </c>
      <c r="G495" s="3">
        <f t="shared" si="152"/>
        <v>0.55787300000000073</v>
      </c>
      <c r="H495" s="3">
        <f t="shared" si="153"/>
        <v>-1.0838829999999859</v>
      </c>
      <c r="I495" s="4">
        <f t="shared" si="154"/>
        <v>0.60843440285786288</v>
      </c>
      <c r="J495" s="4">
        <f t="shared" si="155"/>
        <v>-1.2457470844638692</v>
      </c>
      <c r="K495" s="4">
        <f t="shared" si="156"/>
        <v>0.52955750793650869</v>
      </c>
      <c r="L495" s="4">
        <f t="shared" si="157"/>
        <v>-1.1496716349206209</v>
      </c>
      <c r="M495" s="4">
        <f t="shared" si="158"/>
        <v>5.1468912946127645E-3</v>
      </c>
      <c r="N495" s="4">
        <f t="shared" si="159"/>
        <v>-5.4978859715422582E-3</v>
      </c>
      <c r="O495" s="4">
        <f t="shared" si="160"/>
        <v>4.8909230659517217E-3</v>
      </c>
      <c r="P495" s="4">
        <f t="shared" si="161"/>
        <v>-5.8108736886026491E-3</v>
      </c>
      <c r="S495" s="4">
        <v>2.145555706375283E-2</v>
      </c>
      <c r="T495" s="4">
        <v>-0.59169083738257888</v>
      </c>
      <c r="U495" s="4">
        <f t="shared" si="162"/>
        <v>-0.45594881817363853</v>
      </c>
      <c r="W495" s="4">
        <f t="shared" si="163"/>
        <v>6.4799738705617602E-2</v>
      </c>
      <c r="X495" s="4">
        <f t="shared" si="164"/>
        <v>-0.73809279810673456</v>
      </c>
      <c r="Y495" s="3">
        <f t="shared" si="151"/>
        <v>-84.182610744319845</v>
      </c>
      <c r="AA495" s="3"/>
    </row>
    <row r="496" spans="4:27" x14ac:dyDescent="0.25">
      <c r="D496" s="1">
        <v>42026</v>
      </c>
      <c r="E496" s="3">
        <v>108.11158500000001</v>
      </c>
      <c r="F496" s="3">
        <v>197.68785099999999</v>
      </c>
      <c r="G496" s="3">
        <f t="shared" si="152"/>
        <v>2.7412620000000061</v>
      </c>
      <c r="H496" s="3">
        <f t="shared" si="153"/>
        <v>2.8967399999999941</v>
      </c>
      <c r="I496" s="4">
        <f t="shared" si="154"/>
        <v>3.0674881141348376</v>
      </c>
      <c r="J496" s="4">
        <f t="shared" si="155"/>
        <v>3.3788416334725797</v>
      </c>
      <c r="K496" s="4">
        <f t="shared" si="156"/>
        <v>2.7129465079365138</v>
      </c>
      <c r="L496" s="4">
        <f t="shared" si="157"/>
        <v>2.8309513650793594</v>
      </c>
      <c r="M496" s="4">
        <f t="shared" si="158"/>
        <v>2.5682857195272888E-2</v>
      </c>
      <c r="N496" s="4">
        <f t="shared" si="159"/>
        <v>1.4761517843399592E-2</v>
      </c>
      <c r="O496" s="4">
        <f t="shared" si="160"/>
        <v>2.5426888966611844E-2</v>
      </c>
      <c r="P496" s="4">
        <f t="shared" si="161"/>
        <v>1.4448530126339201E-2</v>
      </c>
      <c r="S496" s="4">
        <v>2.5559072882193404E-2</v>
      </c>
      <c r="T496" s="4">
        <v>-1.782060828128343</v>
      </c>
      <c r="U496" s="4">
        <f t="shared" si="162"/>
        <v>-1.3970440146232139</v>
      </c>
      <c r="W496" s="4">
        <f t="shared" si="163"/>
        <v>7.1777589841106271E-2</v>
      </c>
      <c r="X496" s="4">
        <f t="shared" si="164"/>
        <v>-2.3973337588957815</v>
      </c>
      <c r="Y496" s="3">
        <f t="shared" si="151"/>
        <v>-251.2224476386009</v>
      </c>
      <c r="AA496" s="3"/>
    </row>
    <row r="497" spans="4:27" x14ac:dyDescent="0.25">
      <c r="D497" s="1">
        <v>42025</v>
      </c>
      <c r="E497" s="3">
        <v>105.370323</v>
      </c>
      <c r="F497" s="3">
        <v>194.791111</v>
      </c>
      <c r="G497" s="3">
        <f t="shared" si="152"/>
        <v>0.79833499999999447</v>
      </c>
      <c r="H497" s="3">
        <f t="shared" si="153"/>
        <v>0.97837200000000735</v>
      </c>
      <c r="I497" s="4">
        <f t="shared" si="154"/>
        <v>0.90016155228242722</v>
      </c>
      <c r="J497" s="4">
        <f t="shared" si="155"/>
        <v>1.1469623210299178</v>
      </c>
      <c r="K497" s="4">
        <f t="shared" si="156"/>
        <v>0.77001950793650242</v>
      </c>
      <c r="L497" s="4">
        <f t="shared" si="157"/>
        <v>0.91258336507937243</v>
      </c>
      <c r="M497" s="4">
        <f t="shared" si="158"/>
        <v>7.6053163769040496E-3</v>
      </c>
      <c r="N497" s="4">
        <f t="shared" si="159"/>
        <v>5.0353287399481526E-3</v>
      </c>
      <c r="O497" s="4">
        <f t="shared" si="160"/>
        <v>7.3493481482430068E-3</v>
      </c>
      <c r="P497" s="4">
        <f t="shared" si="161"/>
        <v>4.7223410228877617E-3</v>
      </c>
      <c r="S497" s="4">
        <v>-0.41572943242576427</v>
      </c>
      <c r="T497" s="4">
        <v>-2.0679400784997268</v>
      </c>
      <c r="U497" s="4">
        <f t="shared" si="162"/>
        <v>-1.8926775335731651</v>
      </c>
      <c r="W497" s="4">
        <f t="shared" si="163"/>
        <v>-0.67861442375941905</v>
      </c>
      <c r="X497" s="4">
        <f t="shared" si="164"/>
        <v>-3.2711831200276942</v>
      </c>
      <c r="Y497" s="3">
        <f t="shared" si="151"/>
        <v>-217.17511825020983</v>
      </c>
      <c r="AA497" s="3"/>
    </row>
    <row r="498" spans="4:27" x14ac:dyDescent="0.25">
      <c r="D498" s="1">
        <v>42024</v>
      </c>
      <c r="E498" s="3">
        <v>104.571988</v>
      </c>
      <c r="F498" s="3">
        <v>193.81273899999999</v>
      </c>
      <c r="G498" s="3">
        <f t="shared" si="152"/>
        <v>2.6258449999999982</v>
      </c>
      <c r="H498" s="3">
        <f t="shared" si="153"/>
        <v>0.41244199999999864</v>
      </c>
      <c r="I498" s="4">
        <f t="shared" si="154"/>
        <v>3.0370290169131735</v>
      </c>
      <c r="J498" s="4">
        <f t="shared" si="155"/>
        <v>0.48454398033883933</v>
      </c>
      <c r="K498" s="4">
        <f t="shared" si="156"/>
        <v>2.5975295079365059</v>
      </c>
      <c r="L498" s="4">
        <f t="shared" si="157"/>
        <v>0.34665336507936373</v>
      </c>
      <c r="M498" s="4">
        <f t="shared" si="158"/>
        <v>2.5431050584379566E-2</v>
      </c>
      <c r="N498" s="4">
        <f t="shared" si="159"/>
        <v>2.1303113151365091E-3</v>
      </c>
      <c r="O498" s="4">
        <f t="shared" si="160"/>
        <v>2.5175082355718522E-2</v>
      </c>
      <c r="P498" s="4">
        <f t="shared" si="161"/>
        <v>1.8173235980761186E-3</v>
      </c>
      <c r="S498" s="4">
        <v>0.51446528419310866</v>
      </c>
      <c r="T498" s="4">
        <v>0.77605395078258099</v>
      </c>
      <c r="U498" s="4">
        <f t="shared" si="162"/>
        <v>0.92880128897002168</v>
      </c>
      <c r="W498" s="4">
        <f t="shared" si="163"/>
        <v>0.90314145260788448</v>
      </c>
      <c r="X498" s="4">
        <f t="shared" si="164"/>
        <v>1.7033542594257618</v>
      </c>
      <c r="Y498" s="3">
        <f t="shared" si="151"/>
        <v>27.704963331788349</v>
      </c>
      <c r="AA498" s="3"/>
    </row>
    <row r="499" spans="4:27" x14ac:dyDescent="0.25">
      <c r="D499" s="1">
        <v>42020</v>
      </c>
      <c r="E499" s="3">
        <v>101.94614300000001</v>
      </c>
      <c r="F499" s="3">
        <v>193.40029699999999</v>
      </c>
      <c r="G499" s="3">
        <f t="shared" si="152"/>
        <v>-0.79833499999999447</v>
      </c>
      <c r="H499" s="3">
        <f t="shared" si="153"/>
        <v>2.5034709999999905</v>
      </c>
      <c r="I499" s="4">
        <f t="shared" si="154"/>
        <v>-0.91617267298140681</v>
      </c>
      <c r="J499" s="4">
        <f t="shared" si="155"/>
        <v>2.9796915713742398</v>
      </c>
      <c r="K499" s="4">
        <f t="shared" si="156"/>
        <v>-0.82665049206348651</v>
      </c>
      <c r="L499" s="4">
        <f t="shared" si="157"/>
        <v>2.4376823650793558</v>
      </c>
      <c r="M499" s="4">
        <f t="shared" si="158"/>
        <v>-7.8004458056436764E-3</v>
      </c>
      <c r="N499" s="4">
        <f t="shared" si="159"/>
        <v>1.3029014607911395E-2</v>
      </c>
      <c r="O499" s="4">
        <f t="shared" si="160"/>
        <v>-8.0564140343047184E-3</v>
      </c>
      <c r="P499" s="4">
        <f t="shared" si="161"/>
        <v>1.2716026890851004E-2</v>
      </c>
      <c r="S499" s="4">
        <v>1.0755928537887973</v>
      </c>
      <c r="T499" s="4">
        <v>0.57251058071186667</v>
      </c>
      <c r="U499" s="4">
        <f t="shared" si="162"/>
        <v>1.1095299702283592</v>
      </c>
      <c r="W499" s="4">
        <f t="shared" si="163"/>
        <v>1.857314610918076</v>
      </c>
      <c r="X499" s="4">
        <f t="shared" si="164"/>
        <v>2.0219962330162504</v>
      </c>
      <c r="Y499" s="3">
        <f t="shared" si="151"/>
        <v>-86.609362775426689</v>
      </c>
      <c r="AA499" s="3"/>
    </row>
    <row r="500" spans="4:27" x14ac:dyDescent="0.25">
      <c r="D500" s="1">
        <v>42019</v>
      </c>
      <c r="E500" s="3">
        <v>102.744478</v>
      </c>
      <c r="F500" s="3">
        <v>190.896826</v>
      </c>
      <c r="G500" s="3">
        <f t="shared" si="152"/>
        <v>-2.8663070000000062</v>
      </c>
      <c r="H500" s="3">
        <f t="shared" si="153"/>
        <v>-1.7648949999999957</v>
      </c>
      <c r="I500" s="4">
        <f t="shared" si="154"/>
        <v>-3.2001113317662462</v>
      </c>
      <c r="J500" s="4">
        <f t="shared" si="155"/>
        <v>-2.0813776770127781</v>
      </c>
      <c r="K500" s="4">
        <f t="shared" si="156"/>
        <v>-2.8946224920634984</v>
      </c>
      <c r="L500" s="4">
        <f t="shared" si="157"/>
        <v>-1.8306836349206306</v>
      </c>
      <c r="M500" s="4">
        <f t="shared" si="158"/>
        <v>-2.751538689926775E-2</v>
      </c>
      <c r="N500" s="4">
        <f t="shared" si="159"/>
        <v>-9.2028060371702001E-3</v>
      </c>
      <c r="O500" s="4">
        <f t="shared" si="160"/>
        <v>-2.7771355127928794E-2</v>
      </c>
      <c r="P500" s="4">
        <f t="shared" si="161"/>
        <v>-9.515793754230591E-3</v>
      </c>
      <c r="S500" s="4">
        <v>1.0761128195843301</v>
      </c>
      <c r="T500" s="4">
        <v>5.7634393385874977E-2</v>
      </c>
      <c r="U500" s="4">
        <f t="shared" si="162"/>
        <v>0.70170870854328038</v>
      </c>
      <c r="W500" s="4">
        <f t="shared" si="163"/>
        <v>1.8581987902602073</v>
      </c>
      <c r="X500" s="4">
        <f t="shared" si="164"/>
        <v>1.3029682912932388</v>
      </c>
      <c r="Y500" s="3">
        <f t="shared" si="151"/>
        <v>-158.64548610640031</v>
      </c>
      <c r="AA500" s="3"/>
    </row>
    <row r="501" spans="4:27" x14ac:dyDescent="0.25">
      <c r="D501" s="1">
        <v>42018</v>
      </c>
      <c r="E501" s="3">
        <v>105.61078500000001</v>
      </c>
      <c r="F501" s="3">
        <v>192.661721</v>
      </c>
      <c r="G501" s="3">
        <f t="shared" si="152"/>
        <v>-0.40397399999999095</v>
      </c>
      <c r="H501" s="3">
        <f t="shared" si="153"/>
        <v>-1.1702060000000074</v>
      </c>
      <c r="I501" s="4">
        <f t="shared" si="154"/>
        <v>-0.4493013652551428</v>
      </c>
      <c r="J501" s="4">
        <f t="shared" si="155"/>
        <v>-1.371716814492814</v>
      </c>
      <c r="K501" s="4">
        <f t="shared" si="156"/>
        <v>-0.43228949206348299</v>
      </c>
      <c r="L501" s="4">
        <f t="shared" si="157"/>
        <v>-1.2359946349206423</v>
      </c>
      <c r="M501" s="4">
        <f t="shared" si="158"/>
        <v>-3.8178235297162719E-3</v>
      </c>
      <c r="N501" s="4">
        <f t="shared" si="159"/>
        <v>-6.0555177656302405E-3</v>
      </c>
      <c r="O501" s="4">
        <f t="shared" si="160"/>
        <v>-4.0737917583773143E-3</v>
      </c>
      <c r="P501" s="4">
        <f t="shared" si="161"/>
        <v>-6.3685054826906314E-3</v>
      </c>
      <c r="S501" s="4">
        <v>-0.18416289860376495</v>
      </c>
      <c r="T501" s="4">
        <v>0.4230036418863426</v>
      </c>
      <c r="U501" s="4">
        <f t="shared" si="162"/>
        <v>0.22304179890133413</v>
      </c>
      <c r="W501" s="4">
        <f t="shared" si="163"/>
        <v>-0.28484555031930964</v>
      </c>
      <c r="X501" s="4">
        <f t="shared" si="164"/>
        <v>0.45903268727724067</v>
      </c>
      <c r="Y501" s="3">
        <f t="shared" si="151"/>
        <v>91.759970443717521</v>
      </c>
      <c r="AA501" s="3"/>
    </row>
    <row r="502" spans="4:27" x14ac:dyDescent="0.25">
      <c r="D502" s="1">
        <v>42017</v>
      </c>
      <c r="E502" s="3">
        <v>106.014759</v>
      </c>
      <c r="F502" s="3">
        <v>193.83192700000001</v>
      </c>
      <c r="G502" s="3">
        <f t="shared" si="152"/>
        <v>0.93299299999999619</v>
      </c>
      <c r="H502" s="3">
        <f t="shared" si="153"/>
        <v>-0.54672700000000418</v>
      </c>
      <c r="I502" s="4">
        <f t="shared" si="154"/>
        <v>1.0468915069620315</v>
      </c>
      <c r="J502" s="4">
        <f t="shared" si="155"/>
        <v>-0.63907143578167758</v>
      </c>
      <c r="K502" s="4">
        <f t="shared" si="156"/>
        <v>0.90467750793650414</v>
      </c>
      <c r="L502" s="4">
        <f t="shared" si="157"/>
        <v>-0.6125156349206391</v>
      </c>
      <c r="M502" s="4">
        <f t="shared" si="158"/>
        <v>8.8395493497342281E-3</v>
      </c>
      <c r="N502" s="4">
        <f t="shared" si="159"/>
        <v>-2.8166535803749583E-3</v>
      </c>
      <c r="O502" s="4">
        <f t="shared" si="160"/>
        <v>8.583581121073186E-3</v>
      </c>
      <c r="P502" s="4">
        <f t="shared" si="161"/>
        <v>-3.1296412974353488E-3</v>
      </c>
      <c r="S502" s="4">
        <v>1.3379705582973302</v>
      </c>
      <c r="T502" s="4">
        <v>0.89371622408575191</v>
      </c>
      <c r="U502" s="4">
        <f t="shared" si="162"/>
        <v>1.5240984229704697</v>
      </c>
      <c r="W502" s="4">
        <f t="shared" si="163"/>
        <v>2.3034765472518646</v>
      </c>
      <c r="X502" s="4">
        <f t="shared" si="164"/>
        <v>2.7529201187567556</v>
      </c>
      <c r="Y502" s="3">
        <f t="shared" si="151"/>
        <v>-80.299573494181004</v>
      </c>
      <c r="AA502" s="3"/>
    </row>
    <row r="503" spans="4:27" x14ac:dyDescent="0.25">
      <c r="D503" s="1">
        <v>42016</v>
      </c>
      <c r="E503" s="3">
        <v>105.081766</v>
      </c>
      <c r="F503" s="3">
        <v>194.37865400000001</v>
      </c>
      <c r="G503" s="3">
        <f t="shared" si="152"/>
        <v>-2.6546989999999937</v>
      </c>
      <c r="H503" s="3">
        <f t="shared" si="153"/>
        <v>-1.5347009999999841</v>
      </c>
      <c r="I503" s="4">
        <f t="shared" si="154"/>
        <v>-2.9053818473512685</v>
      </c>
      <c r="J503" s="4">
        <f t="shared" si="155"/>
        <v>-1.7798655173502766</v>
      </c>
      <c r="K503" s="4">
        <f t="shared" si="156"/>
        <v>-2.683014492063486</v>
      </c>
      <c r="L503" s="4">
        <f t="shared" si="157"/>
        <v>-1.600489634920619</v>
      </c>
      <c r="M503" s="4">
        <f t="shared" si="158"/>
        <v>-2.4949335325484868E-2</v>
      </c>
      <c r="N503" s="4">
        <f t="shared" si="159"/>
        <v>-7.8644136932305223E-3</v>
      </c>
      <c r="O503" s="4">
        <f t="shared" si="160"/>
        <v>-2.5205303554145912E-2</v>
      </c>
      <c r="P503" s="4">
        <f t="shared" si="161"/>
        <v>-8.1774014102909132E-3</v>
      </c>
      <c r="S503" s="4">
        <v>7.4240351385357053E-3</v>
      </c>
      <c r="T503" s="4">
        <v>-0.33207041715865848</v>
      </c>
      <c r="U503" s="4">
        <f t="shared" si="162"/>
        <v>-0.25870371194322511</v>
      </c>
      <c r="W503" s="4">
        <f t="shared" si="163"/>
        <v>4.0939742660636269E-2</v>
      </c>
      <c r="X503" s="4">
        <f t="shared" si="164"/>
        <v>-0.39033078549909228</v>
      </c>
      <c r="Y503" s="3">
        <f t="shared" si="151"/>
        <v>-45.589355791852995</v>
      </c>
      <c r="AA503" s="3"/>
    </row>
    <row r="504" spans="4:27" x14ac:dyDescent="0.25">
      <c r="D504" s="1">
        <v>42013</v>
      </c>
      <c r="E504" s="3">
        <v>107.736465</v>
      </c>
      <c r="F504" s="3">
        <v>195.913355</v>
      </c>
      <c r="G504" s="3">
        <f t="shared" si="152"/>
        <v>0.1154239999999902</v>
      </c>
      <c r="H504" s="3">
        <f t="shared" si="153"/>
        <v>-1.5826470000000086</v>
      </c>
      <c r="I504" s="4">
        <f t="shared" si="154"/>
        <v>0.12645895426429526</v>
      </c>
      <c r="J504" s="4">
        <f t="shared" si="155"/>
        <v>-1.8207621030654124</v>
      </c>
      <c r="K504" s="4">
        <f t="shared" si="156"/>
        <v>8.7108507936498145E-2</v>
      </c>
      <c r="L504" s="4">
        <f t="shared" si="157"/>
        <v>-1.6484356349206435</v>
      </c>
      <c r="M504" s="4">
        <f t="shared" si="158"/>
        <v>1.0719293067236E-3</v>
      </c>
      <c r="N504" s="4">
        <f t="shared" si="159"/>
        <v>-8.0458459344468977E-3</v>
      </c>
      <c r="O504" s="4">
        <f t="shared" si="160"/>
        <v>8.1596107806255732E-4</v>
      </c>
      <c r="P504" s="4">
        <f t="shared" si="161"/>
        <v>-8.3588336515072886E-3</v>
      </c>
      <c r="S504" s="4">
        <v>5.0878335114118135E-2</v>
      </c>
      <c r="T504" s="4">
        <v>-2.4409458909011734</v>
      </c>
      <c r="U504" s="4">
        <f t="shared" si="162"/>
        <v>-1.9039017581056026</v>
      </c>
      <c r="W504" s="4">
        <f t="shared" si="163"/>
        <v>0.11483189998189461</v>
      </c>
      <c r="X504" s="4">
        <f t="shared" si="164"/>
        <v>-3.2909725028314472</v>
      </c>
      <c r="Y504" s="3">
        <f t="shared" si="151"/>
        <v>-347.46503626737513</v>
      </c>
      <c r="AA504" s="3"/>
    </row>
    <row r="505" spans="4:27" x14ac:dyDescent="0.25">
      <c r="D505" s="1">
        <v>42012</v>
      </c>
      <c r="E505" s="3">
        <v>107.62104100000001</v>
      </c>
      <c r="F505" s="3">
        <v>197.496002</v>
      </c>
      <c r="G505" s="3">
        <f t="shared" si="152"/>
        <v>3.9820449999999994</v>
      </c>
      <c r="H505" s="3">
        <f t="shared" si="153"/>
        <v>3.4434669999999983</v>
      </c>
      <c r="I505" s="4">
        <f t="shared" si="154"/>
        <v>4.5303694555105487</v>
      </c>
      <c r="J505" s="4">
        <f t="shared" si="155"/>
        <v>4.0318471550720458</v>
      </c>
      <c r="K505" s="4">
        <f t="shared" si="156"/>
        <v>3.9537295079365071</v>
      </c>
      <c r="L505" s="4">
        <f t="shared" si="157"/>
        <v>3.3776783650793636</v>
      </c>
      <c r="M505" s="4">
        <f t="shared" si="158"/>
        <v>3.7702508670143534E-2</v>
      </c>
      <c r="N505" s="4">
        <f t="shared" si="159"/>
        <v>1.7589419725331207E-2</v>
      </c>
      <c r="O505" s="4">
        <f t="shared" si="160"/>
        <v>3.744654044148249E-2</v>
      </c>
      <c r="P505" s="4">
        <f t="shared" si="161"/>
        <v>1.7276432008270816E-2</v>
      </c>
      <c r="S505" s="4">
        <v>0.26768215341914459</v>
      </c>
      <c r="T505" s="4">
        <v>0.37834947080678477</v>
      </c>
      <c r="U505" s="4">
        <f t="shared" si="162"/>
        <v>0.46309961908783404</v>
      </c>
      <c r="W505" s="4">
        <f t="shared" si="163"/>
        <v>0.48349741430490611</v>
      </c>
      <c r="X505" s="4">
        <f t="shared" si="164"/>
        <v>0.8822776147977206</v>
      </c>
      <c r="Y505" s="3">
        <f t="shared" si="151"/>
        <v>11.349892673002614</v>
      </c>
      <c r="AA505" s="3"/>
    </row>
    <row r="506" spans="4:27" x14ac:dyDescent="0.25">
      <c r="D506" s="1">
        <v>42011</v>
      </c>
      <c r="E506" s="3">
        <v>103.63899600000001</v>
      </c>
      <c r="F506" s="3">
        <v>194.05253500000001</v>
      </c>
      <c r="K506" s="4"/>
      <c r="L506" s="4"/>
      <c r="M506" s="4"/>
      <c r="N506" s="4"/>
      <c r="O506" s="4"/>
      <c r="P506" s="4"/>
      <c r="S506" s="4">
        <v>0.14284407834478366</v>
      </c>
      <c r="T506" s="4">
        <v>-0.55127786971384296</v>
      </c>
      <c r="U506" s="4">
        <f t="shared" si="162"/>
        <v>-0.34991263026517849</v>
      </c>
      <c r="W506" s="4">
        <f t="shared" si="163"/>
        <v>0.27121566800451374</v>
      </c>
      <c r="X506" s="4">
        <f t="shared" si="164"/>
        <v>-0.55114084365260496</v>
      </c>
      <c r="Y506" s="3">
        <f t="shared" si="151"/>
        <v>-98.386607660237132</v>
      </c>
      <c r="AA506" s="3"/>
    </row>
    <row r="507" spans="4:27" x14ac:dyDescent="0.25">
      <c r="S507" s="4">
        <v>0.93260447205219077</v>
      </c>
      <c r="T507" s="4">
        <v>-2.8090888659869262</v>
      </c>
      <c r="U507" s="4">
        <f t="shared" si="162"/>
        <v>-1.6582058302632319</v>
      </c>
      <c r="W507" s="4">
        <f t="shared" si="163"/>
        <v>1.6141690533016722</v>
      </c>
      <c r="X507" s="4">
        <f t="shared" si="164"/>
        <v>-2.8577870515475348</v>
      </c>
      <c r="Y507" s="3">
        <f t="shared" si="151"/>
        <v>-537.7739636280794</v>
      </c>
      <c r="AA507" s="3"/>
    </row>
    <row r="508" spans="4:27" x14ac:dyDescent="0.25">
      <c r="S508" s="4">
        <v>0.54257711138920262</v>
      </c>
      <c r="T508" s="4">
        <v>-0.56395196009630388</v>
      </c>
      <c r="U508" s="4">
        <f t="shared" si="162"/>
        <v>-0.11627310483004627</v>
      </c>
      <c r="W508" s="4">
        <f t="shared" si="163"/>
        <v>0.95094439866682534</v>
      </c>
      <c r="X508" s="4">
        <f t="shared" si="164"/>
        <v>-0.13921198446406793</v>
      </c>
      <c r="Y508" s="3">
        <f t="shared" si="151"/>
        <v>-163.98471982886758</v>
      </c>
      <c r="AA508" s="3"/>
    </row>
    <row r="509" spans="4:27" x14ac:dyDescent="0.25">
      <c r="S509" s="4">
        <v>-2.5147878267574107E-2</v>
      </c>
      <c r="T509" s="4">
        <v>-0.80223768286933717</v>
      </c>
      <c r="U509" s="4">
        <f t="shared" si="162"/>
        <v>-0.65125811619091489</v>
      </c>
      <c r="W509" s="4">
        <f t="shared" si="163"/>
        <v>-1.4447387059807717E-2</v>
      </c>
      <c r="X509" s="4">
        <f t="shared" si="164"/>
        <v>-1.0824417954406973</v>
      </c>
      <c r="Y509" s="3">
        <f t="shared" si="151"/>
        <v>-105.92844053759291</v>
      </c>
      <c r="AA509" s="3"/>
    </row>
    <row r="510" spans="4:27" x14ac:dyDescent="0.25">
      <c r="S510" s="4">
        <v>1.050881458652573</v>
      </c>
      <c r="T510" s="4">
        <v>0.69256510668073368</v>
      </c>
      <c r="U510" s="4">
        <f t="shared" si="162"/>
        <v>1.1896316169694108</v>
      </c>
      <c r="W510" s="4">
        <f t="shared" si="163"/>
        <v>1.8152939524778362</v>
      </c>
      <c r="X510" s="4">
        <f t="shared" si="164"/>
        <v>2.1632231076202464</v>
      </c>
      <c r="Y510" s="3">
        <f t="shared" si="151"/>
        <v>-66.145686656655926</v>
      </c>
      <c r="AA510" s="3"/>
    </row>
    <row r="511" spans="4:27" x14ac:dyDescent="0.25">
      <c r="S511" s="4">
        <v>-1.1797510512782916E-2</v>
      </c>
      <c r="T511" s="4">
        <v>-1.398370768895087</v>
      </c>
      <c r="U511" s="4">
        <f t="shared" si="162"/>
        <v>-1.1156693736546781</v>
      </c>
      <c r="W511" s="4">
        <f t="shared" si="163"/>
        <v>8.254335784375854E-3</v>
      </c>
      <c r="X511" s="4">
        <f t="shared" si="164"/>
        <v>-1.9012433193912146</v>
      </c>
      <c r="Y511" s="3">
        <f t="shared" si="151"/>
        <v>-191.44691627837619</v>
      </c>
      <c r="AA511" s="3"/>
    </row>
    <row r="512" spans="4:27" x14ac:dyDescent="0.25">
      <c r="S512" s="4">
        <v>-4.0735212552171739E-2</v>
      </c>
      <c r="T512" s="4">
        <v>0.47226575728911135</v>
      </c>
      <c r="U512" s="4">
        <f t="shared" si="162"/>
        <v>0.34952820217172442</v>
      </c>
      <c r="W512" s="4">
        <f t="shared" si="163"/>
        <v>-4.0952974719112648E-2</v>
      </c>
      <c r="X512" s="4">
        <f t="shared" si="164"/>
        <v>0.68204032994812569</v>
      </c>
      <c r="Y512" s="3">
        <f t="shared" si="151"/>
        <v>74.771099927640989</v>
      </c>
      <c r="AA512" s="3"/>
    </row>
    <row r="513" spans="19:27" x14ac:dyDescent="0.25">
      <c r="S513" s="4">
        <v>0.40040910903695603</v>
      </c>
      <c r="T513" s="4">
        <v>-1.3484089904963483</v>
      </c>
      <c r="U513" s="4">
        <f t="shared" si="162"/>
        <v>-0.82477471829485793</v>
      </c>
      <c r="W513" s="4">
        <f t="shared" si="163"/>
        <v>0.70919386070477808</v>
      </c>
      <c r="X513" s="4">
        <f t="shared" si="164"/>
        <v>-1.3883681827753322</v>
      </c>
      <c r="Y513" s="3">
        <f t="shared" si="151"/>
        <v>-251.19015064491032</v>
      </c>
      <c r="AA513" s="3"/>
    </row>
    <row r="514" spans="19:27" x14ac:dyDescent="0.25">
      <c r="S514" s="4">
        <v>-0.46808888815017241</v>
      </c>
      <c r="T514" s="4">
        <v>0.61178051060361149</v>
      </c>
      <c r="U514" s="4">
        <f t="shared" si="162"/>
        <v>0.19959609795146005</v>
      </c>
      <c r="W514" s="4">
        <f t="shared" si="163"/>
        <v>-0.76764941320390312</v>
      </c>
      <c r="X514" s="4">
        <f t="shared" si="164"/>
        <v>0.41769567108886174</v>
      </c>
      <c r="Y514" s="3">
        <f t="shared" ref="Y514:Y577" si="165">(B$4*EXP(-B$8*B$7)*NORMSDIST((LN(B$4/(B$5+W514))-B$8*B$7+B$9*B$7+0.5*B$6*B$6*B$7)/(B$6*SQRT(B$7)))-(B$5+W514)*EXP(-B$9*B$7)*NORMSDIST((LN(B$4/(B$5+W514))-B$8*B$7+B$9*B$7-0.5*B$6*B$6*B$7)/(B$6*SQRT(B$7))))*400+100*X514-400*$B$13</f>
        <v>166.31551206643508</v>
      </c>
      <c r="AA514" s="3"/>
    </row>
    <row r="515" spans="19:27" x14ac:dyDescent="0.25">
      <c r="S515" s="4">
        <v>0.78792498446387793</v>
      </c>
      <c r="T515" s="4">
        <v>-2.5990587802142069</v>
      </c>
      <c r="U515" s="4">
        <f t="shared" ref="U515:U578" si="166">$B$19*S515+SQRT(1-$B$19^2)*T515</f>
        <v>-1.579916501235292</v>
      </c>
      <c r="W515" s="4">
        <f t="shared" ref="W515:W578" si="167">S515*SQRT($B$16)+$B$20</f>
        <v>1.3681478433398986</v>
      </c>
      <c r="X515" s="4">
        <f t="shared" ref="X515:X578" si="168">U515*SQRT($C$17)+$C$20</f>
        <v>-2.7197554666388881</v>
      </c>
      <c r="Y515" s="3">
        <f t="shared" si="165"/>
        <v>-486.41904246415925</v>
      </c>
      <c r="AA515" s="3"/>
    </row>
    <row r="516" spans="19:27" x14ac:dyDescent="0.25">
      <c r="S516" s="4">
        <v>0.8109422109694393</v>
      </c>
      <c r="T516" s="4">
        <v>-0.39237213785071906</v>
      </c>
      <c r="U516" s="4">
        <f t="shared" si="166"/>
        <v>0.18333820330194595</v>
      </c>
      <c r="W516" s="4">
        <f t="shared" si="167"/>
        <v>1.4072876413116455</v>
      </c>
      <c r="X516" s="4">
        <f t="shared" si="168"/>
        <v>0.38903144579004278</v>
      </c>
      <c r="Y516" s="3">
        <f t="shared" si="165"/>
        <v>-181.53492218005704</v>
      </c>
      <c r="AA516" s="3"/>
    </row>
    <row r="517" spans="19:27" x14ac:dyDescent="0.25">
      <c r="S517" s="4">
        <v>0.61145148766474189</v>
      </c>
      <c r="T517" s="4">
        <v>0.32474548730581926</v>
      </c>
      <c r="U517" s="4">
        <f t="shared" si="166"/>
        <v>0.63017762547027734</v>
      </c>
      <c r="W517" s="4">
        <f t="shared" si="167"/>
        <v>1.0680622960904502</v>
      </c>
      <c r="X517" s="4">
        <f t="shared" si="168"/>
        <v>1.1768521412458295</v>
      </c>
      <c r="Y517" s="3">
        <f t="shared" si="165"/>
        <v>-50.540282522291363</v>
      </c>
      <c r="AA517" s="3"/>
    </row>
    <row r="518" spans="19:27" x14ac:dyDescent="0.25">
      <c r="S518" s="4">
        <v>0.34241232097679286</v>
      </c>
      <c r="T518" s="4">
        <v>1.0143707470354451</v>
      </c>
      <c r="U518" s="4">
        <f t="shared" si="166"/>
        <v>1.0128257861418313</v>
      </c>
      <c r="W518" s="4">
        <f t="shared" si="167"/>
        <v>0.61057283148839814</v>
      </c>
      <c r="X518" s="4">
        <f t="shared" si="168"/>
        <v>1.8514974950337442</v>
      </c>
      <c r="Y518" s="3">
        <f t="shared" si="165"/>
        <v>88.265809458501735</v>
      </c>
      <c r="AA518" s="3"/>
    </row>
    <row r="519" spans="19:27" x14ac:dyDescent="0.25">
      <c r="S519" s="4">
        <v>-0.36966271520528948</v>
      </c>
      <c r="T519" s="4">
        <v>0.91553961257686112</v>
      </c>
      <c r="U519" s="4">
        <f t="shared" si="166"/>
        <v>0.5003863048634799</v>
      </c>
      <c r="W519" s="4">
        <f t="shared" si="167"/>
        <v>-0.60027996392363792</v>
      </c>
      <c r="X519" s="4">
        <f t="shared" si="168"/>
        <v>0.9480176127962513</v>
      </c>
      <c r="Y519" s="3">
        <f t="shared" si="165"/>
        <v>191.93148052903689</v>
      </c>
      <c r="AA519" s="3"/>
    </row>
    <row r="520" spans="19:27" x14ac:dyDescent="0.25">
      <c r="S520" s="4">
        <v>-1.2285860742691792</v>
      </c>
      <c r="T520" s="4">
        <v>2.0117870167272738</v>
      </c>
      <c r="U520" s="4">
        <f t="shared" si="166"/>
        <v>0.84575402905967567</v>
      </c>
      <c r="W520" s="4">
        <f t="shared" si="167"/>
        <v>-2.0608419798925057</v>
      </c>
      <c r="X520" s="4">
        <f t="shared" si="168"/>
        <v>1.5569339867005429</v>
      </c>
      <c r="Y520" s="3">
        <f t="shared" si="165"/>
        <v>497.04461557505056</v>
      </c>
      <c r="AA520" s="3"/>
    </row>
    <row r="521" spans="19:27" x14ac:dyDescent="0.25">
      <c r="S521" s="4">
        <v>1.401016306518222</v>
      </c>
      <c r="T521" s="4">
        <v>-0.95474923672185097</v>
      </c>
      <c r="U521" s="4">
        <f t="shared" si="166"/>
        <v>9.7268699685449156E-2</v>
      </c>
      <c r="W521" s="4">
        <f t="shared" si="167"/>
        <v>2.4106831148088679</v>
      </c>
      <c r="X521" s="4">
        <f t="shared" si="168"/>
        <v>0.237282667968155</v>
      </c>
      <c r="Y521" s="3">
        <f t="shared" si="165"/>
        <v>-347.7626294225829</v>
      </c>
      <c r="AA521" s="3"/>
    </row>
    <row r="522" spans="19:27" x14ac:dyDescent="0.25">
      <c r="S522" s="4">
        <v>-1.2129516226147432</v>
      </c>
      <c r="T522" s="4">
        <v>0.92695372195959247</v>
      </c>
      <c r="U522" s="4">
        <f t="shared" si="166"/>
        <v>-4.6535550206333598E-3</v>
      </c>
      <c r="W522" s="4">
        <f t="shared" si="167"/>
        <v>-2.0342562711840384</v>
      </c>
      <c r="X522" s="4">
        <f t="shared" si="168"/>
        <v>5.7583971744528548E-2</v>
      </c>
      <c r="Y522" s="3">
        <f t="shared" si="165"/>
        <v>342.56321611611929</v>
      </c>
      <c r="AA522" s="3"/>
    </row>
    <row r="523" spans="19:27" x14ac:dyDescent="0.25">
      <c r="S523" s="4">
        <v>-1.0326512278187898</v>
      </c>
      <c r="T523" s="4">
        <v>-1.6691907140023521</v>
      </c>
      <c r="U523" s="4">
        <f t="shared" si="166"/>
        <v>-1.9526813859189256</v>
      </c>
      <c r="W523" s="4">
        <f t="shared" si="167"/>
        <v>-1.7276632494385766</v>
      </c>
      <c r="X523" s="4">
        <f t="shared" si="168"/>
        <v>-3.3769756583307609</v>
      </c>
      <c r="Y523" s="3">
        <f t="shared" si="165"/>
        <v>-53.050861615019585</v>
      </c>
      <c r="AA523" s="3"/>
    </row>
    <row r="524" spans="19:27" x14ac:dyDescent="0.25">
      <c r="S524" s="4">
        <v>-1.5411913273433695</v>
      </c>
      <c r="T524" s="4">
        <v>1.3663986361867588</v>
      </c>
      <c r="U524" s="4">
        <f t="shared" si="166"/>
        <v>0.14358867361222349</v>
      </c>
      <c r="W524" s="4">
        <f t="shared" si="167"/>
        <v>-2.5924136897713792</v>
      </c>
      <c r="X524" s="4">
        <f t="shared" si="168"/>
        <v>0.3189492181024407</v>
      </c>
      <c r="Y524" s="3">
        <f t="shared" si="165"/>
        <v>464.94323846888074</v>
      </c>
      <c r="AA524" s="3"/>
    </row>
    <row r="525" spans="19:27" x14ac:dyDescent="0.25">
      <c r="S525" s="4">
        <v>-0.58635244267167597</v>
      </c>
      <c r="T525" s="4">
        <v>0.90038704659433988</v>
      </c>
      <c r="U525" s="4">
        <f t="shared" si="166"/>
        <v>0.3562760941297794</v>
      </c>
      <c r="W525" s="4">
        <f t="shared" si="167"/>
        <v>-0.96875147171099163</v>
      </c>
      <c r="X525" s="4">
        <f t="shared" si="168"/>
        <v>0.69393750972124946</v>
      </c>
      <c r="Y525" s="3">
        <f t="shared" si="165"/>
        <v>227.07551737290942</v>
      </c>
      <c r="AA525" s="3"/>
    </row>
    <row r="526" spans="19:27" x14ac:dyDescent="0.25">
      <c r="S526" s="4">
        <v>-0.22343488099668052</v>
      </c>
      <c r="T526" s="4">
        <v>-2.3387595874416753</v>
      </c>
      <c r="U526" s="4">
        <f t="shared" si="166"/>
        <v>-1.9901269478856554</v>
      </c>
      <c r="W526" s="4">
        <f t="shared" si="167"/>
        <v>-0.3516258575138938</v>
      </c>
      <c r="X526" s="4">
        <f t="shared" si="168"/>
        <v>-3.4429957702698739</v>
      </c>
      <c r="Y526" s="3">
        <f t="shared" si="165"/>
        <v>-287.63113245898057</v>
      </c>
      <c r="AA526" s="3"/>
    </row>
    <row r="527" spans="19:27" x14ac:dyDescent="0.25">
      <c r="S527" s="4">
        <v>-0.28397156530139955</v>
      </c>
      <c r="T527" s="4">
        <v>-1.3538150199957495</v>
      </c>
      <c r="U527" s="4">
        <f t="shared" si="166"/>
        <v>-1.2462737636109857</v>
      </c>
      <c r="W527" s="4">
        <f t="shared" si="167"/>
        <v>-0.45456587042090635</v>
      </c>
      <c r="X527" s="4">
        <f t="shared" si="168"/>
        <v>-2.1315113669722892</v>
      </c>
      <c r="Y527" s="3">
        <f t="shared" si="165"/>
        <v>-139.77125179144423</v>
      </c>
      <c r="AA527" s="3"/>
    </row>
    <row r="528" spans="19:27" x14ac:dyDescent="0.25">
      <c r="S528" s="4">
        <v>1.5666656880249037</v>
      </c>
      <c r="T528" s="4">
        <v>-1.2936260684373033</v>
      </c>
      <c r="U528" s="4">
        <f t="shared" si="166"/>
        <v>-7.0372701307819363E-2</v>
      </c>
      <c r="W528" s="4">
        <f t="shared" si="167"/>
        <v>2.6923627222433177</v>
      </c>
      <c r="X528" s="4">
        <f t="shared" si="168"/>
        <v>-5.8285177135596541E-2</v>
      </c>
      <c r="Y528" s="3">
        <f t="shared" si="165"/>
        <v>-418.82283473689267</v>
      </c>
      <c r="AA528" s="3"/>
    </row>
    <row r="529" spans="19:27" x14ac:dyDescent="0.25">
      <c r="S529" s="4">
        <v>0.65336374426243005</v>
      </c>
      <c r="T529" s="4">
        <v>-1.5357279569983591</v>
      </c>
      <c r="U529" s="4">
        <f t="shared" si="166"/>
        <v>-0.81905417851690621</v>
      </c>
      <c r="W529" s="4">
        <f t="shared" si="167"/>
        <v>1.1393322753547708</v>
      </c>
      <c r="X529" s="4">
        <f t="shared" si="168"/>
        <v>-1.3782823232860799</v>
      </c>
      <c r="Y529" s="3">
        <f t="shared" si="165"/>
        <v>-317.0717699120396</v>
      </c>
      <c r="AA529" s="3"/>
    </row>
    <row r="530" spans="19:27" x14ac:dyDescent="0.25">
      <c r="S530" s="4">
        <v>1.7294731579319484</v>
      </c>
      <c r="T530" s="4">
        <v>0.95332384426323391</v>
      </c>
      <c r="U530" s="4">
        <f t="shared" si="166"/>
        <v>1.8100176276389446</v>
      </c>
      <c r="W530" s="4">
        <f t="shared" si="167"/>
        <v>2.9692097819406853</v>
      </c>
      <c r="X530" s="4">
        <f t="shared" si="168"/>
        <v>3.2570230593008578</v>
      </c>
      <c r="Y530" s="3">
        <f t="shared" si="165"/>
        <v>-127.7021982783981</v>
      </c>
      <c r="AA530" s="3"/>
    </row>
    <row r="531" spans="19:27" x14ac:dyDescent="0.25">
      <c r="S531" s="4">
        <v>1.0360876770481586</v>
      </c>
      <c r="T531" s="4">
        <v>0.79207989249952149</v>
      </c>
      <c r="U531" s="4">
        <f t="shared" si="166"/>
        <v>1.2594975741117271</v>
      </c>
      <c r="W531" s="4">
        <f t="shared" si="167"/>
        <v>1.7901377668229304</v>
      </c>
      <c r="X531" s="4">
        <f t="shared" si="168"/>
        <v>2.2864034811813969</v>
      </c>
      <c r="Y531" s="3">
        <f t="shared" si="165"/>
        <v>-50.027304306891438</v>
      </c>
      <c r="AA531" s="3"/>
    </row>
    <row r="532" spans="19:27" x14ac:dyDescent="0.25">
      <c r="S532" s="4">
        <v>-0.84021472655977258</v>
      </c>
      <c r="T532" s="4">
        <v>1.9863236599633067</v>
      </c>
      <c r="U532" s="4">
        <f t="shared" si="166"/>
        <v>1.0623292682256147</v>
      </c>
      <c r="W532" s="4">
        <f t="shared" si="167"/>
        <v>-1.4004333036478496</v>
      </c>
      <c r="X532" s="4">
        <f t="shared" si="168"/>
        <v>1.9387768749359888</v>
      </c>
      <c r="Y532" s="3">
        <f t="shared" si="165"/>
        <v>423.40616376301296</v>
      </c>
      <c r="AA532" s="3"/>
    </row>
    <row r="533" spans="19:27" x14ac:dyDescent="0.25">
      <c r="S533" s="4">
        <v>-1.1670751640400612</v>
      </c>
      <c r="T533" s="4">
        <v>-0.11537151897047099</v>
      </c>
      <c r="U533" s="4">
        <f t="shared" si="166"/>
        <v>-0.8029291419094009</v>
      </c>
      <c r="W533" s="4">
        <f t="shared" si="167"/>
        <v>-1.9562453379450397</v>
      </c>
      <c r="X533" s="4">
        <f t="shared" si="168"/>
        <v>-1.3498523394392448</v>
      </c>
      <c r="Y533" s="3">
        <f t="shared" si="165"/>
        <v>188.50076324521615</v>
      </c>
      <c r="AA533" s="3"/>
    </row>
    <row r="534" spans="19:27" x14ac:dyDescent="0.25">
      <c r="S534" s="4">
        <v>-0.23166793161445967</v>
      </c>
      <c r="T534" s="4">
        <v>0.43277292783585947</v>
      </c>
      <c r="U534" s="4">
        <f t="shared" si="166"/>
        <v>0.20182570585561402</v>
      </c>
      <c r="W534" s="4">
        <f t="shared" si="167"/>
        <v>-0.36562580393633448</v>
      </c>
      <c r="X534" s="4">
        <f t="shared" si="168"/>
        <v>0.42162668335523823</v>
      </c>
      <c r="Y534" s="3">
        <f t="shared" si="165"/>
        <v>101.10064623520657</v>
      </c>
      <c r="AA534" s="3"/>
    </row>
    <row r="535" spans="19:27" x14ac:dyDescent="0.25">
      <c r="S535" s="4">
        <v>1.5937344079394919</v>
      </c>
      <c r="T535" s="4">
        <v>1.7133185179263524</v>
      </c>
      <c r="U535" s="4">
        <f t="shared" si="166"/>
        <v>2.3297099693099459</v>
      </c>
      <c r="W535" s="4">
        <f t="shared" si="167"/>
        <v>2.7383919094937799</v>
      </c>
      <c r="X535" s="4">
        <f t="shared" si="168"/>
        <v>4.1732904290229005</v>
      </c>
      <c r="Y535" s="3">
        <f t="shared" si="165"/>
        <v>-2.4100961174949589</v>
      </c>
      <c r="AA535" s="3"/>
    </row>
    <row r="536" spans="19:27" x14ac:dyDescent="0.25">
      <c r="S536" s="4">
        <v>0.24175160973360396</v>
      </c>
      <c r="T536" s="4">
        <v>1.311778325873852</v>
      </c>
      <c r="U536" s="4">
        <f t="shared" si="166"/>
        <v>1.1872133847583677</v>
      </c>
      <c r="W536" s="4">
        <f t="shared" si="167"/>
        <v>0.4394036464956354</v>
      </c>
      <c r="X536" s="4">
        <f t="shared" si="168"/>
        <v>2.1589595326361217</v>
      </c>
      <c r="Y536" s="3">
        <f t="shared" si="165"/>
        <v>145.97931850965779</v>
      </c>
      <c r="AA536" s="3"/>
    </row>
    <row r="537" spans="19:27" x14ac:dyDescent="0.25">
      <c r="S537" s="4">
        <v>0.15584279794966058</v>
      </c>
      <c r="T537" s="4">
        <v>-0.23830567549752357</v>
      </c>
      <c r="U537" s="4">
        <f t="shared" si="166"/>
        <v>-9.3897760263187371E-2</v>
      </c>
      <c r="W537" s="4">
        <f t="shared" si="167"/>
        <v>0.29331942838169645</v>
      </c>
      <c r="X537" s="4">
        <f t="shared" si="168"/>
        <v>-9.9762109087841666E-2</v>
      </c>
      <c r="Y537" s="3">
        <f t="shared" si="165"/>
        <v>-56.758684078457918</v>
      </c>
      <c r="AA537" s="3"/>
    </row>
    <row r="538" spans="19:27" x14ac:dyDescent="0.25">
      <c r="S538" s="4">
        <v>-0.57759032673964072</v>
      </c>
      <c r="T538" s="4">
        <v>-0.82442638547373648</v>
      </c>
      <c r="U538" s="4">
        <f t="shared" si="166"/>
        <v>-1.0056281662594329</v>
      </c>
      <c r="W538" s="4">
        <f t="shared" si="167"/>
        <v>-0.95385187260846638</v>
      </c>
      <c r="X538" s="4">
        <f t="shared" si="168"/>
        <v>-1.7072301320179257</v>
      </c>
      <c r="Y538" s="3">
        <f t="shared" si="165"/>
        <v>-15.503546779724729</v>
      </c>
      <c r="AA538" s="3"/>
    </row>
    <row r="539" spans="19:27" x14ac:dyDescent="0.25">
      <c r="S539" s="4">
        <v>1.1209114893773644</v>
      </c>
      <c r="T539" s="4">
        <v>8.7418982118146568E-2</v>
      </c>
      <c r="U539" s="4">
        <f t="shared" si="166"/>
        <v>0.75262898296593217</v>
      </c>
      <c r="W539" s="4">
        <f t="shared" si="167"/>
        <v>1.934376990300021</v>
      </c>
      <c r="X539" s="4">
        <f t="shared" si="168"/>
        <v>1.3927456117762571</v>
      </c>
      <c r="Y539" s="3">
        <f t="shared" si="165"/>
        <v>-161.140297254909</v>
      </c>
      <c r="AA539" s="3"/>
    </row>
    <row r="540" spans="19:27" x14ac:dyDescent="0.25">
      <c r="S540" s="4">
        <v>1.3840447504149416</v>
      </c>
      <c r="T540" s="4">
        <v>-1.6733290781281953</v>
      </c>
      <c r="U540" s="4">
        <f t="shared" si="166"/>
        <v>-0.48269004483577216</v>
      </c>
      <c r="W540" s="4">
        <f t="shared" si="167"/>
        <v>2.3818237178268702</v>
      </c>
      <c r="X540" s="4">
        <f t="shared" si="168"/>
        <v>-0.78524014174099099</v>
      </c>
      <c r="Y540" s="3">
        <f t="shared" si="165"/>
        <v>-445.74051485980772</v>
      </c>
      <c r="AA540" s="3"/>
    </row>
    <row r="541" spans="19:27" x14ac:dyDescent="0.25">
      <c r="S541" s="4">
        <v>8.2632629728379745E-2</v>
      </c>
      <c r="T541" s="4">
        <v>2.3003950472430015</v>
      </c>
      <c r="U541" s="4">
        <f t="shared" si="166"/>
        <v>1.8738794891275574</v>
      </c>
      <c r="W541" s="4">
        <f t="shared" si="167"/>
        <v>0.16882870431612795</v>
      </c>
      <c r="X541" s="4">
        <f t="shared" si="168"/>
        <v>3.3696176372074302</v>
      </c>
      <c r="Y541" s="3">
        <f t="shared" si="165"/>
        <v>309.98052186165296</v>
      </c>
      <c r="AA541" s="3"/>
    </row>
    <row r="542" spans="19:27" x14ac:dyDescent="0.25">
      <c r="S542" s="4">
        <v>1.4616742221894212</v>
      </c>
      <c r="T542" s="4">
        <v>0.9465914414837272</v>
      </c>
      <c r="U542" s="4">
        <f t="shared" si="166"/>
        <v>1.641424699368156</v>
      </c>
      <c r="W542" s="4">
        <f t="shared" si="167"/>
        <v>2.513829276410239</v>
      </c>
      <c r="X542" s="4">
        <f t="shared" si="168"/>
        <v>2.9597775804783013</v>
      </c>
      <c r="Y542" s="3">
        <f t="shared" si="165"/>
        <v>-90.7564956269498</v>
      </c>
      <c r="AA542" s="3"/>
    </row>
    <row r="543" spans="19:27" x14ac:dyDescent="0.25">
      <c r="S543" s="4">
        <v>0.14011904567188233</v>
      </c>
      <c r="T543" s="4">
        <v>0.28006600455377778</v>
      </c>
      <c r="U543" s="4">
        <f t="shared" si="166"/>
        <v>0.3074257831432774</v>
      </c>
      <c r="W543" s="4">
        <f t="shared" si="167"/>
        <v>0.26658186782628646</v>
      </c>
      <c r="X543" s="4">
        <f t="shared" si="168"/>
        <v>0.60780973301823626</v>
      </c>
      <c r="Y543" s="3">
        <f t="shared" si="165"/>
        <v>18.244589650965281</v>
      </c>
      <c r="AA543" s="3"/>
    </row>
    <row r="544" spans="19:27" x14ac:dyDescent="0.25">
      <c r="S544" s="4">
        <v>1.0194907092774861</v>
      </c>
      <c r="T544" s="4">
        <v>2.3212022839790021</v>
      </c>
      <c r="U544" s="4">
        <f t="shared" si="166"/>
        <v>2.4615028079574492</v>
      </c>
      <c r="W544" s="4">
        <f t="shared" si="167"/>
        <v>1.7619153410962356</v>
      </c>
      <c r="X544" s="4">
        <f t="shared" si="168"/>
        <v>4.4056538254652455</v>
      </c>
      <c r="Y544" s="3">
        <f t="shared" si="165"/>
        <v>166.16506848967038</v>
      </c>
      <c r="AA544" s="3"/>
    </row>
    <row r="545" spans="19:27" x14ac:dyDescent="0.25">
      <c r="S545" s="4">
        <v>-0.63644491781374557</v>
      </c>
      <c r="T545" s="4">
        <v>-1.4104001266032513</v>
      </c>
      <c r="U545" s="4">
        <f t="shared" si="166"/>
        <v>-1.5060039460348309</v>
      </c>
      <c r="W545" s="4">
        <f t="shared" si="167"/>
        <v>-1.0539315587423999</v>
      </c>
      <c r="X545" s="4">
        <f t="shared" si="168"/>
        <v>-2.5894405531552578</v>
      </c>
      <c r="Y545" s="3">
        <f t="shared" si="165"/>
        <v>-87.163083350613761</v>
      </c>
      <c r="AA545" s="3"/>
    </row>
    <row r="546" spans="19:27" x14ac:dyDescent="0.25">
      <c r="S546" s="4">
        <v>0.48930111180416075</v>
      </c>
      <c r="T546" s="4">
        <v>-7.9633936577146971E-2</v>
      </c>
      <c r="U546" s="4">
        <f t="shared" si="166"/>
        <v>0.23516368900893531</v>
      </c>
      <c r="W546" s="4">
        <f t="shared" si="167"/>
        <v>0.86035086603605504</v>
      </c>
      <c r="X546" s="4">
        <f t="shared" si="168"/>
        <v>0.48040474046016546</v>
      </c>
      <c r="Y546" s="3">
        <f t="shared" si="165"/>
        <v>-87.926449246323955</v>
      </c>
      <c r="AA546" s="3"/>
    </row>
    <row r="547" spans="19:27" x14ac:dyDescent="0.25">
      <c r="S547" s="4">
        <v>1.4861687762029695E-2</v>
      </c>
      <c r="T547" s="4">
        <v>-5.3467956603054728E-2</v>
      </c>
      <c r="U547" s="4">
        <f t="shared" si="166"/>
        <v>-3.3323606016728902E-2</v>
      </c>
      <c r="W547" s="4">
        <f t="shared" si="167"/>
        <v>5.3587149201873997E-2</v>
      </c>
      <c r="X547" s="4">
        <f t="shared" si="168"/>
        <v>7.0359260844300164E-3</v>
      </c>
      <c r="Y547" s="3">
        <f t="shared" si="165"/>
        <v>-7.8763467468229464</v>
      </c>
      <c r="AA547" s="3"/>
    </row>
    <row r="548" spans="19:27" x14ac:dyDescent="0.25">
      <c r="S548" s="4">
        <v>0.97675481155208932</v>
      </c>
      <c r="T548" s="4">
        <v>-1.2472236131879415</v>
      </c>
      <c r="U548" s="4">
        <f t="shared" si="166"/>
        <v>-0.39321267767514589</v>
      </c>
      <c r="W548" s="4">
        <f t="shared" si="167"/>
        <v>1.6892447957240939</v>
      </c>
      <c r="X548" s="4">
        <f t="shared" si="168"/>
        <v>-0.62748297411695386</v>
      </c>
      <c r="Y548" s="3">
        <f t="shared" si="165"/>
        <v>-326.14215398035913</v>
      </c>
      <c r="AA548" s="3"/>
    </row>
    <row r="549" spans="19:27" x14ac:dyDescent="0.25">
      <c r="S549" s="4">
        <v>1.525388827825279</v>
      </c>
      <c r="T549" s="4">
        <v>6.229347211516436E-2</v>
      </c>
      <c r="U549" s="4">
        <f t="shared" si="166"/>
        <v>0.97929060187162409</v>
      </c>
      <c r="W549" s="4">
        <f t="shared" si="167"/>
        <v>2.6221732070673256</v>
      </c>
      <c r="X549" s="4">
        <f t="shared" si="168"/>
        <v>1.7923717534736365</v>
      </c>
      <c r="Y549" s="3">
        <f t="shared" si="165"/>
        <v>-223.45190770597947</v>
      </c>
      <c r="AA549" s="3"/>
    </row>
    <row r="550" spans="19:27" x14ac:dyDescent="0.25">
      <c r="S550" s="4">
        <v>-0.44089927385149374</v>
      </c>
      <c r="T550" s="4">
        <v>1.0154667309257859</v>
      </c>
      <c r="U550" s="4">
        <f t="shared" si="166"/>
        <v>0.53617033848395435</v>
      </c>
      <c r="W550" s="4">
        <f t="shared" si="167"/>
        <v>-0.72141465028305896</v>
      </c>
      <c r="X550" s="4">
        <f t="shared" si="168"/>
        <v>1.011108291135002</v>
      </c>
      <c r="Y550" s="3">
        <f t="shared" si="165"/>
        <v>218.06857147420851</v>
      </c>
      <c r="AA550" s="3"/>
    </row>
    <row r="551" spans="19:27" x14ac:dyDescent="0.25">
      <c r="S551" s="4">
        <v>1.3761646839937913</v>
      </c>
      <c r="T551" s="4">
        <v>-1.4112440456922408</v>
      </c>
      <c r="U551" s="4">
        <f t="shared" si="166"/>
        <v>-0.27974119564944666</v>
      </c>
      <c r="W551" s="4">
        <f t="shared" si="167"/>
        <v>2.3684240057610726</v>
      </c>
      <c r="X551" s="4">
        <f t="shared" si="168"/>
        <v>-0.42742188404999781</v>
      </c>
      <c r="Y551" s="3">
        <f t="shared" si="165"/>
        <v>-407.97263970489394</v>
      </c>
      <c r="AA551" s="3"/>
    </row>
    <row r="552" spans="19:27" x14ac:dyDescent="0.25">
      <c r="S552" s="4">
        <v>0.35662832108107667</v>
      </c>
      <c r="T552" s="4">
        <v>1.9551409581989523</v>
      </c>
      <c r="U552" s="4">
        <f t="shared" si="166"/>
        <v>1.767233215036276</v>
      </c>
      <c r="W552" s="4">
        <f t="shared" si="167"/>
        <v>0.6347465246965508</v>
      </c>
      <c r="X552" s="4">
        <f t="shared" si="168"/>
        <v>3.1815900423845394</v>
      </c>
      <c r="Y552" s="3">
        <f t="shared" si="165"/>
        <v>217.47865027148055</v>
      </c>
      <c r="AA552" s="3"/>
    </row>
    <row r="553" spans="19:27" x14ac:dyDescent="0.25">
      <c r="S553" s="4">
        <v>-1.5996439745042295</v>
      </c>
      <c r="T553" s="4">
        <v>-2.7019287928835625</v>
      </c>
      <c r="U553" s="4">
        <f t="shared" si="166"/>
        <v>-3.116976047741594</v>
      </c>
      <c r="W553" s="4">
        <f t="shared" si="167"/>
        <v>-2.6918098876685099</v>
      </c>
      <c r="X553" s="4">
        <f t="shared" si="168"/>
        <v>-5.4297386525659697</v>
      </c>
      <c r="Y553" s="3">
        <f t="shared" si="165"/>
        <v>-92.611280878598791</v>
      </c>
      <c r="AA553" s="3"/>
    </row>
    <row r="554" spans="19:27" x14ac:dyDescent="0.25">
      <c r="S554" s="4">
        <v>0.69535714225254008</v>
      </c>
      <c r="T554" s="4">
        <v>-0.25841875603356113</v>
      </c>
      <c r="U554" s="4">
        <f t="shared" si="166"/>
        <v>0.21905874317148769</v>
      </c>
      <c r="W554" s="4">
        <f t="shared" si="167"/>
        <v>1.2107402320468135</v>
      </c>
      <c r="X554" s="4">
        <f t="shared" si="168"/>
        <v>0.45201017856505121</v>
      </c>
      <c r="Y554" s="3">
        <f t="shared" si="165"/>
        <v>-145.05605378554628</v>
      </c>
      <c r="AA554" s="3"/>
    </row>
    <row r="555" spans="19:27" x14ac:dyDescent="0.25">
      <c r="S555" s="4">
        <v>1.5131845810409301</v>
      </c>
      <c r="T555" s="4">
        <v>-0.21522878796826092</v>
      </c>
      <c r="U555" s="4">
        <f t="shared" si="166"/>
        <v>0.75186094008627247</v>
      </c>
      <c r="W555" s="4">
        <f t="shared" si="167"/>
        <v>2.6014204133533938</v>
      </c>
      <c r="X555" s="4">
        <f t="shared" si="168"/>
        <v>1.391391478623329</v>
      </c>
      <c r="Y555" s="3">
        <f t="shared" si="165"/>
        <v>-260.49834995204628</v>
      </c>
      <c r="AA555" s="3"/>
    </row>
    <row r="556" spans="19:27" x14ac:dyDescent="0.25">
      <c r="S556" s="4">
        <v>-0.11984712054778064</v>
      </c>
      <c r="T556" s="4">
        <v>0.74839656511610197</v>
      </c>
      <c r="U556" s="4">
        <f t="shared" si="166"/>
        <v>0.52018650547216227</v>
      </c>
      <c r="W556" s="4">
        <f t="shared" si="167"/>
        <v>-0.17547935196788333</v>
      </c>
      <c r="X556" s="4">
        <f t="shared" si="168"/>
        <v>0.98292726275059183</v>
      </c>
      <c r="Y556" s="3">
        <f t="shared" si="165"/>
        <v>126.49304682361708</v>
      </c>
      <c r="AA556" s="3"/>
    </row>
    <row r="557" spans="19:27" x14ac:dyDescent="0.25">
      <c r="S557" s="4">
        <v>-0.22812128425836345</v>
      </c>
      <c r="T557" s="4">
        <v>-1.2618501026919513</v>
      </c>
      <c r="U557" s="4">
        <f t="shared" si="166"/>
        <v>-1.1393263301947052</v>
      </c>
      <c r="W557" s="4">
        <f t="shared" si="167"/>
        <v>-0.35959488353151964</v>
      </c>
      <c r="X557" s="4">
        <f t="shared" si="168"/>
        <v>-1.9429527994171523</v>
      </c>
      <c r="Y557" s="3">
        <f t="shared" si="165"/>
        <v>-136.33510039470548</v>
      </c>
      <c r="AA557" s="3"/>
    </row>
    <row r="558" spans="19:27" x14ac:dyDescent="0.25">
      <c r="S558" s="4">
        <v>0.38858095147569544</v>
      </c>
      <c r="T558" s="4">
        <v>0.92999318781957652</v>
      </c>
      <c r="U558" s="4">
        <f t="shared" si="166"/>
        <v>0.97408579563363396</v>
      </c>
      <c r="W558" s="4">
        <f t="shared" si="167"/>
        <v>0.68908059044548464</v>
      </c>
      <c r="X558" s="4">
        <f t="shared" si="168"/>
        <v>1.7831951816075551</v>
      </c>
      <c r="Y558" s="3">
        <f t="shared" si="165"/>
        <v>69.117054660900521</v>
      </c>
      <c r="AA558" s="3"/>
    </row>
    <row r="559" spans="19:27" x14ac:dyDescent="0.25">
      <c r="S559" s="4">
        <v>-0.2019006723468775</v>
      </c>
      <c r="T559" s="4">
        <v>0.32385857615965297</v>
      </c>
      <c r="U559" s="4">
        <f t="shared" si="166"/>
        <v>0.13363695394612607</v>
      </c>
      <c r="W559" s="4">
        <f t="shared" si="167"/>
        <v>-0.31500786725207464</v>
      </c>
      <c r="X559" s="4">
        <f t="shared" si="168"/>
        <v>0.30140338324686611</v>
      </c>
      <c r="Y559" s="3">
        <f t="shared" si="165"/>
        <v>80.87745399007963</v>
      </c>
      <c r="AA559" s="3"/>
    </row>
    <row r="560" spans="19:27" x14ac:dyDescent="0.25">
      <c r="S560" s="4">
        <v>0.43228446313881053</v>
      </c>
      <c r="T560" s="4">
        <v>1.0874254907475032</v>
      </c>
      <c r="U560" s="4">
        <f t="shared" si="166"/>
        <v>1.1255237615040763</v>
      </c>
      <c r="W560" s="4">
        <f t="shared" si="167"/>
        <v>0.76339652146075732</v>
      </c>
      <c r="X560" s="4">
        <f t="shared" si="168"/>
        <v>2.0501948187736714</v>
      </c>
      <c r="Y560" s="3">
        <f t="shared" si="165"/>
        <v>84.185255122129092</v>
      </c>
      <c r="AA560" s="3"/>
    </row>
    <row r="561" spans="19:27" x14ac:dyDescent="0.25">
      <c r="S561" s="4">
        <v>-0.39916723718161845</v>
      </c>
      <c r="T561" s="4">
        <v>-0.53617158394944897</v>
      </c>
      <c r="U561" s="4">
        <f t="shared" si="166"/>
        <v>-0.66836018932571939</v>
      </c>
      <c r="W561" s="4">
        <f t="shared" si="167"/>
        <v>-0.65045112720986009</v>
      </c>
      <c r="X561" s="4">
        <f t="shared" si="168"/>
        <v>-1.1125943882567397</v>
      </c>
      <c r="Y561" s="3">
        <f t="shared" si="165"/>
        <v>-5.9267167374528071</v>
      </c>
      <c r="AA561" s="3"/>
    </row>
    <row r="562" spans="19:27" x14ac:dyDescent="0.25">
      <c r="S562" s="4">
        <v>1.7710525083833311</v>
      </c>
      <c r="T562" s="4">
        <v>-0.41959533886676292</v>
      </c>
      <c r="U562" s="4">
        <f t="shared" si="166"/>
        <v>0.74706324827005499</v>
      </c>
      <c r="W562" s="4">
        <f t="shared" si="167"/>
        <v>3.039913668704382</v>
      </c>
      <c r="X562" s="4">
        <f t="shared" si="168"/>
        <v>1.3829326884725104</v>
      </c>
      <c r="Y562" s="3">
        <f t="shared" si="165"/>
        <v>-325.37124345049733</v>
      </c>
      <c r="AA562" s="3"/>
    </row>
    <row r="563" spans="19:27" x14ac:dyDescent="0.25">
      <c r="S563" s="4">
        <v>1.2778073561725549</v>
      </c>
      <c r="T563" s="4">
        <v>1.000932556832169</v>
      </c>
      <c r="U563" s="4">
        <f t="shared" si="166"/>
        <v>1.572411123870745</v>
      </c>
      <c r="W563" s="4">
        <f t="shared" si="167"/>
        <v>2.2011716246354007</v>
      </c>
      <c r="X563" s="4">
        <f t="shared" si="168"/>
        <v>2.8381000373903982</v>
      </c>
      <c r="Y563" s="3">
        <f t="shared" si="165"/>
        <v>-56.5559862080936</v>
      </c>
      <c r="AA563" s="3"/>
    </row>
    <row r="564" spans="19:27" x14ac:dyDescent="0.25">
      <c r="S564" s="4">
        <v>-0.18329954421887479</v>
      </c>
      <c r="T564" s="4">
        <v>-0.38638083300868692</v>
      </c>
      <c r="U564" s="4">
        <f t="shared" si="166"/>
        <v>-0.41802449450562268</v>
      </c>
      <c r="W564" s="4">
        <f t="shared" si="167"/>
        <v>-0.28337745353560473</v>
      </c>
      <c r="X564" s="4">
        <f t="shared" si="168"/>
        <v>-0.67122858343685865</v>
      </c>
      <c r="Y564" s="3">
        <f t="shared" si="165"/>
        <v>-21.503581411386222</v>
      </c>
      <c r="AA564" s="3"/>
    </row>
    <row r="565" spans="19:27" x14ac:dyDescent="0.25">
      <c r="S565" s="4">
        <v>-0.82646978879048638</v>
      </c>
      <c r="T565" s="4">
        <v>0.92697729921480221</v>
      </c>
      <c r="U565" s="4">
        <f t="shared" si="166"/>
        <v>0.23097308350660739</v>
      </c>
      <c r="W565" s="4">
        <f t="shared" si="167"/>
        <v>-1.3770606315627001</v>
      </c>
      <c r="X565" s="4">
        <f t="shared" si="168"/>
        <v>0.47301630162188157</v>
      </c>
      <c r="Y565" s="3">
        <f t="shared" si="165"/>
        <v>272.91492814362482</v>
      </c>
      <c r="AA565" s="3"/>
    </row>
    <row r="566" spans="19:27" x14ac:dyDescent="0.25">
      <c r="S566" s="4">
        <v>-0.52921209361507693</v>
      </c>
      <c r="T566" s="4">
        <v>0.61563502067426312</v>
      </c>
      <c r="U566" s="4">
        <f t="shared" si="166"/>
        <v>0.16538946749799521</v>
      </c>
      <c r="W566" s="4">
        <f t="shared" si="167"/>
        <v>-0.87158677997152378</v>
      </c>
      <c r="X566" s="4">
        <f t="shared" si="168"/>
        <v>0.35738610560272666</v>
      </c>
      <c r="Y566" s="3">
        <f t="shared" si="165"/>
        <v>177.38396389668742</v>
      </c>
      <c r="AA566" s="3"/>
    </row>
    <row r="567" spans="19:27" x14ac:dyDescent="0.25">
      <c r="S567" s="4">
        <v>-2.460805352050523E-2</v>
      </c>
      <c r="T567" s="4">
        <v>-0.80450895350458862</v>
      </c>
      <c r="U567" s="4">
        <f t="shared" si="166"/>
        <v>-0.65272944508602737</v>
      </c>
      <c r="W567" s="4">
        <f t="shared" si="167"/>
        <v>-1.352943842966672E-2</v>
      </c>
      <c r="X567" s="4">
        <f t="shared" si="168"/>
        <v>-1.0850358891931393</v>
      </c>
      <c r="Y567" s="3">
        <f t="shared" si="165"/>
        <v>-106.33501793661299</v>
      </c>
      <c r="AA567" s="3"/>
    </row>
    <row r="568" spans="19:27" x14ac:dyDescent="0.25">
      <c r="S568" s="4">
        <v>0.3737640301455859</v>
      </c>
      <c r="T568" s="4">
        <v>-0.61883121591306234</v>
      </c>
      <c r="U568" s="4">
        <f t="shared" si="166"/>
        <v>-0.26268767378013858</v>
      </c>
      <c r="W568" s="4">
        <f t="shared" si="167"/>
        <v>0.66388505668803421</v>
      </c>
      <c r="X568" s="4">
        <f t="shared" si="168"/>
        <v>-0.39735489176481953</v>
      </c>
      <c r="Y568" s="3">
        <f t="shared" si="165"/>
        <v>-144.98799790671364</v>
      </c>
      <c r="AA568" s="3"/>
    </row>
    <row r="569" spans="19:27" x14ac:dyDescent="0.25">
      <c r="S569" s="4">
        <v>-0.90631751643317071</v>
      </c>
      <c r="T569" s="4">
        <v>0.68474500259402082</v>
      </c>
      <c r="U569" s="4">
        <f t="shared" si="166"/>
        <v>-9.7194810758876038E-3</v>
      </c>
      <c r="W569" s="4">
        <f t="shared" si="167"/>
        <v>-1.5128382382905401</v>
      </c>
      <c r="X569" s="4">
        <f t="shared" si="168"/>
        <v>4.8652258941277948E-2</v>
      </c>
      <c r="Y569" s="3">
        <f t="shared" si="165"/>
        <v>253.26310747045954</v>
      </c>
      <c r="AA569" s="3"/>
    </row>
    <row r="570" spans="19:27" x14ac:dyDescent="0.25">
      <c r="S570" s="4">
        <v>-0.7956054859603422</v>
      </c>
      <c r="T570" s="4">
        <v>0.48954005766256531</v>
      </c>
      <c r="U570" s="4">
        <f t="shared" si="166"/>
        <v>-9.6964359013816281E-2</v>
      </c>
      <c r="W570" s="4">
        <f t="shared" si="167"/>
        <v>-1.3245772197572518</v>
      </c>
      <c r="X570" s="4">
        <f t="shared" si="168"/>
        <v>-0.1051688163758441</v>
      </c>
      <c r="Y570" s="3">
        <f t="shared" si="165"/>
        <v>206.31538604672642</v>
      </c>
      <c r="AA570" s="3"/>
    </row>
    <row r="571" spans="19:27" x14ac:dyDescent="0.25">
      <c r="S571" s="4">
        <v>3.4055616898226906E-2</v>
      </c>
      <c r="T571" s="4">
        <v>-0.91541533566628597</v>
      </c>
      <c r="U571" s="4">
        <f t="shared" si="166"/>
        <v>-0.70488136669262391</v>
      </c>
      <c r="W571" s="4">
        <f t="shared" si="167"/>
        <v>8.6225595388831788E-2</v>
      </c>
      <c r="X571" s="4">
        <f t="shared" si="168"/>
        <v>-1.1769847216172997</v>
      </c>
      <c r="Y571" s="3">
        <f t="shared" si="165"/>
        <v>-131.49694424234167</v>
      </c>
      <c r="AA571" s="3"/>
    </row>
    <row r="572" spans="19:27" x14ac:dyDescent="0.25">
      <c r="S572" s="4">
        <v>1.1134105226776663</v>
      </c>
      <c r="T572" s="4">
        <v>-0.42215833834284566</v>
      </c>
      <c r="U572" s="4">
        <f t="shared" si="166"/>
        <v>0.34411835134320168</v>
      </c>
      <c r="W572" s="4">
        <f t="shared" si="167"/>
        <v>1.9216219209110983</v>
      </c>
      <c r="X572" s="4">
        <f t="shared" si="168"/>
        <v>0.67250224483164889</v>
      </c>
      <c r="Y572" s="3">
        <f t="shared" si="165"/>
        <v>-231.24572639584767</v>
      </c>
      <c r="AA572" s="3"/>
    </row>
    <row r="573" spans="19:27" x14ac:dyDescent="0.25">
      <c r="S573" s="4">
        <v>1.2456109782879674</v>
      </c>
      <c r="T573" s="4">
        <v>0.21042108842608384</v>
      </c>
      <c r="U573" s="4">
        <f t="shared" si="166"/>
        <v>0.92615136166560574</v>
      </c>
      <c r="W573" s="4">
        <f t="shared" si="167"/>
        <v>2.1464230768240347</v>
      </c>
      <c r="X573" s="4">
        <f t="shared" si="168"/>
        <v>1.6986821838023942</v>
      </c>
      <c r="Y573" s="3">
        <f t="shared" si="165"/>
        <v>-162.3283974204578</v>
      </c>
      <c r="AA573" s="3"/>
    </row>
    <row r="574" spans="19:27" x14ac:dyDescent="0.25">
      <c r="S574" s="4">
        <v>1.1942153623934173</v>
      </c>
      <c r="T574" s="4">
        <v>-0.28388425852176963</v>
      </c>
      <c r="U574" s="4">
        <f t="shared" si="166"/>
        <v>0.50298754404004842</v>
      </c>
      <c r="W574" s="4">
        <f t="shared" si="167"/>
        <v>2.059027055315529</v>
      </c>
      <c r="X574" s="4">
        <f t="shared" si="168"/>
        <v>0.95260384658732233</v>
      </c>
      <c r="Y574" s="3">
        <f t="shared" si="165"/>
        <v>-223.86437724049438</v>
      </c>
      <c r="AA574" s="3"/>
    </row>
    <row r="575" spans="19:27" x14ac:dyDescent="0.25">
      <c r="S575" s="4">
        <v>0.29998456244147181</v>
      </c>
      <c r="T575" s="4">
        <v>0.37770457854117451</v>
      </c>
      <c r="U575" s="4">
        <f t="shared" si="166"/>
        <v>0.48228068740242758</v>
      </c>
      <c r="W575" s="4">
        <f t="shared" si="167"/>
        <v>0.53842626347920342</v>
      </c>
      <c r="X575" s="4">
        <f t="shared" si="168"/>
        <v>0.91609567522278179</v>
      </c>
      <c r="Y575" s="3">
        <f t="shared" si="165"/>
        <v>6.0738423552552376</v>
      </c>
      <c r="AA575" s="3"/>
    </row>
    <row r="576" spans="19:27" x14ac:dyDescent="0.25">
      <c r="S576" s="4">
        <v>-0.53003041751650715</v>
      </c>
      <c r="T576" s="4">
        <v>0.63671138961598428</v>
      </c>
      <c r="U576" s="4">
        <f t="shared" si="166"/>
        <v>0.18159766843769243</v>
      </c>
      <c r="W576" s="4">
        <f t="shared" si="167"/>
        <v>-0.87297830436607637</v>
      </c>
      <c r="X576" s="4">
        <f t="shared" si="168"/>
        <v>0.38596271613193156</v>
      </c>
      <c r="Y576" s="3">
        <f t="shared" si="165"/>
        <v>180.4709376427536</v>
      </c>
      <c r="AA576" s="3"/>
    </row>
    <row r="577" spans="19:27" x14ac:dyDescent="0.25">
      <c r="S577" s="4">
        <v>-0.98156996138554498</v>
      </c>
      <c r="T577" s="4">
        <v>0.16416736446697303</v>
      </c>
      <c r="U577" s="4">
        <f t="shared" si="166"/>
        <v>-0.46825278952217042</v>
      </c>
      <c r="W577" s="4">
        <f t="shared" si="167"/>
        <v>-1.640801765590594</v>
      </c>
      <c r="X577" s="4">
        <f t="shared" si="168"/>
        <v>-0.75978587795548802</v>
      </c>
      <c r="Y577" s="3">
        <f t="shared" si="165"/>
        <v>193.98194173615229</v>
      </c>
      <c r="AA577" s="3"/>
    </row>
    <row r="578" spans="19:27" x14ac:dyDescent="0.25">
      <c r="S578" s="4">
        <v>-1.2280783647914351</v>
      </c>
      <c r="T578" s="4">
        <v>2.3722454900695027</v>
      </c>
      <c r="U578" s="4">
        <f t="shared" si="166"/>
        <v>1.1317960950628356</v>
      </c>
      <c r="W578" s="4">
        <f t="shared" si="167"/>
        <v>-2.0599786418885788</v>
      </c>
      <c r="X578" s="4">
        <f t="shared" si="168"/>
        <v>2.0612535435442241</v>
      </c>
      <c r="Y578" s="3">
        <f t="shared" ref="Y578:Y641" si="169">(B$4*EXP(-B$8*B$7)*NORMSDIST((LN(B$4/(B$5+W578))-B$8*B$7+B$9*B$7+0.5*B$6*B$6*B$7)/(B$6*SQRT(B$7)))-(B$5+W578)*EXP(-B$9*B$7)*NORMSDIST((LN(B$4/(B$5+W578))-B$8*B$7+B$9*B$7-0.5*B$6*B$6*B$7)/(B$6*SQRT(B$7))))*400+100*X578-400*$B$13</f>
        <v>547.32887336644035</v>
      </c>
      <c r="AA578" s="3"/>
    </row>
    <row r="579" spans="19:27" x14ac:dyDescent="0.25">
      <c r="S579" s="4">
        <v>-0.17158946442996451</v>
      </c>
      <c r="T579" s="4">
        <v>0.64616125482994347</v>
      </c>
      <c r="U579" s="4">
        <f t="shared" ref="U579:U642" si="170">$B$19*S579+SQRT(1-$B$19^2)*T579</f>
        <v>0.40760210365633642</v>
      </c>
      <c r="W579" s="4">
        <f t="shared" ref="W579:W642" si="171">S579*SQRT($B$16)+$B$20</f>
        <v>-0.26346496942027298</v>
      </c>
      <c r="X579" s="4">
        <f t="shared" ref="X579:X642" si="172">U579*SQRT($C$17)+$C$20</f>
        <v>0.78443018005003196</v>
      </c>
      <c r="Y579" s="3">
        <f t="shared" si="169"/>
        <v>120.84309707024022</v>
      </c>
      <c r="AA579" s="3"/>
    </row>
    <row r="580" spans="19:27" x14ac:dyDescent="0.25">
      <c r="S580" s="4">
        <v>-7.3290206790734586E-2</v>
      </c>
      <c r="T580" s="4">
        <v>-0.4743657685321912</v>
      </c>
      <c r="U580" s="4">
        <f t="shared" si="170"/>
        <v>-0.42070530407365059</v>
      </c>
      <c r="W580" s="4">
        <f t="shared" si="171"/>
        <v>-9.631133412704837E-2</v>
      </c>
      <c r="X580" s="4">
        <f t="shared" si="172"/>
        <v>-0.67595510744859333</v>
      </c>
      <c r="Y580" s="3">
        <f t="shared" si="169"/>
        <v>-52.137588395091825</v>
      </c>
      <c r="AA580" s="3"/>
    </row>
    <row r="581" spans="19:27" x14ac:dyDescent="0.25">
      <c r="S581" s="4">
        <v>-1.2378226815066242</v>
      </c>
      <c r="T581" s="4">
        <v>-0.18298763813515426</v>
      </c>
      <c r="U581" s="4">
        <f t="shared" si="170"/>
        <v>-0.89965716507876436</v>
      </c>
      <c r="W581" s="4">
        <f t="shared" si="171"/>
        <v>-2.0765484309338866</v>
      </c>
      <c r="X581" s="4">
        <f t="shared" si="172"/>
        <v>-1.5203931080078783</v>
      </c>
      <c r="Y581" s="3">
        <f t="shared" si="169"/>
        <v>191.99962428665822</v>
      </c>
      <c r="AA581" s="3"/>
    </row>
    <row r="582" spans="19:27" x14ac:dyDescent="0.25">
      <c r="S582" s="4">
        <v>-2.2342923789007383</v>
      </c>
      <c r="T582" s="4">
        <v>-1.7846101623838433</v>
      </c>
      <c r="U582" s="4">
        <f t="shared" si="170"/>
        <v>-2.7767207180218776</v>
      </c>
      <c r="W582" s="4">
        <f t="shared" si="171"/>
        <v>-3.7710020451236677</v>
      </c>
      <c r="X582" s="4">
        <f t="shared" si="172"/>
        <v>-4.8298359197418668</v>
      </c>
      <c r="Y582" s="3">
        <f t="shared" si="169"/>
        <v>158.80656535328581</v>
      </c>
      <c r="AA582" s="3"/>
    </row>
    <row r="583" spans="19:27" x14ac:dyDescent="0.25">
      <c r="S583" s="4">
        <v>0.41827206619850488</v>
      </c>
      <c r="T583" s="4">
        <v>-1.8361626809740412</v>
      </c>
      <c r="U583" s="4">
        <f t="shared" si="170"/>
        <v>-1.2005235187035712</v>
      </c>
      <c r="W583" s="4">
        <f t="shared" si="171"/>
        <v>0.73956904662529122</v>
      </c>
      <c r="X583" s="4">
        <f t="shared" si="172"/>
        <v>-2.0508493036625439</v>
      </c>
      <c r="Y583" s="3">
        <f t="shared" si="169"/>
        <v>-322.19280653258375</v>
      </c>
      <c r="AA583" s="3"/>
    </row>
    <row r="584" spans="19:27" x14ac:dyDescent="0.25">
      <c r="S584" s="4">
        <v>-0.82345214075124606</v>
      </c>
      <c r="T584" s="4">
        <v>1.9904305997544229</v>
      </c>
      <c r="U584" s="4">
        <f t="shared" si="170"/>
        <v>1.0758036529335302</v>
      </c>
      <c r="W584" s="4">
        <f t="shared" si="171"/>
        <v>-1.3719292516122459</v>
      </c>
      <c r="X584" s="4">
        <f t="shared" si="172"/>
        <v>1.96253350562877</v>
      </c>
      <c r="Y584" s="3">
        <f t="shared" si="169"/>
        <v>421.00747267837323</v>
      </c>
      <c r="AA584" s="3"/>
    </row>
    <row r="585" spans="19:27" x14ac:dyDescent="0.25">
      <c r="S585" s="4">
        <v>0.792271390912476</v>
      </c>
      <c r="T585" s="4">
        <v>0.10735589843160516</v>
      </c>
      <c r="U585" s="4">
        <f t="shared" si="170"/>
        <v>0.56808648081605206</v>
      </c>
      <c r="W585" s="4">
        <f t="shared" si="171"/>
        <v>1.3755387194847775</v>
      </c>
      <c r="X585" s="4">
        <f t="shared" si="172"/>
        <v>1.0673795067012661</v>
      </c>
      <c r="Y585" s="3">
        <f t="shared" si="169"/>
        <v>-108.83810904437496</v>
      </c>
      <c r="AA585" s="3"/>
    </row>
    <row r="586" spans="19:27" x14ac:dyDescent="0.25">
      <c r="S586" s="4">
        <v>-1.3506999970879614</v>
      </c>
      <c r="T586" s="4">
        <v>0.44324977855216363</v>
      </c>
      <c r="U586" s="4">
        <f t="shared" si="170"/>
        <v>-0.4720562929897652</v>
      </c>
      <c r="W586" s="4">
        <f t="shared" si="171"/>
        <v>-2.2684914231262421</v>
      </c>
      <c r="X586" s="4">
        <f t="shared" si="172"/>
        <v>-0.76649181883346229</v>
      </c>
      <c r="Y586" s="3">
        <f t="shared" si="169"/>
        <v>300.34186210113694</v>
      </c>
      <c r="AA586" s="3"/>
    </row>
    <row r="587" spans="19:27" x14ac:dyDescent="0.25">
      <c r="S587" s="4">
        <v>1.7181335012456307</v>
      </c>
      <c r="T587" s="4">
        <v>0.39453612951753503</v>
      </c>
      <c r="U587" s="4">
        <f t="shared" si="170"/>
        <v>1.3601581581537183</v>
      </c>
      <c r="W587" s="4">
        <f t="shared" si="171"/>
        <v>2.9499271862871987</v>
      </c>
      <c r="X587" s="4">
        <f t="shared" si="172"/>
        <v>2.4638777311930102</v>
      </c>
      <c r="Y587" s="3">
        <f t="shared" si="169"/>
        <v>-204.21433451546682</v>
      </c>
      <c r="AA587" s="3"/>
    </row>
    <row r="588" spans="19:27" x14ac:dyDescent="0.25">
      <c r="S588" s="4">
        <v>4.3424928043172148E-2</v>
      </c>
      <c r="T588" s="4">
        <v>-1.2284005738778636</v>
      </c>
      <c r="U588" s="4">
        <f t="shared" si="170"/>
        <v>-0.94727052594824135</v>
      </c>
      <c r="W588" s="4">
        <f t="shared" si="171"/>
        <v>0.10215770368428556</v>
      </c>
      <c r="X588" s="4">
        <f t="shared" si="172"/>
        <v>-1.6043400231908629</v>
      </c>
      <c r="Y588" s="3">
        <f t="shared" si="169"/>
        <v>-176.77784732560895</v>
      </c>
      <c r="AA588" s="3"/>
    </row>
    <row r="589" spans="19:27" x14ac:dyDescent="0.25">
      <c r="S589" s="4">
        <v>1.0734355263820543</v>
      </c>
      <c r="T589" s="4">
        <v>-0.20318762038393809</v>
      </c>
      <c r="U589" s="4">
        <f t="shared" si="170"/>
        <v>0.49332504219267836</v>
      </c>
      <c r="W589" s="4">
        <f t="shared" si="171"/>
        <v>1.8536461689866195</v>
      </c>
      <c r="X589" s="4">
        <f t="shared" si="172"/>
        <v>0.93556793044478859</v>
      </c>
      <c r="Y589" s="3">
        <f t="shared" si="169"/>
        <v>-194.698971275855</v>
      </c>
      <c r="AA589" s="3"/>
    </row>
    <row r="590" spans="19:27" x14ac:dyDescent="0.25">
      <c r="S590" s="4">
        <v>-0.65346341515821438</v>
      </c>
      <c r="T590" s="4">
        <v>0.54153941791113158</v>
      </c>
      <c r="U590" s="4">
        <f t="shared" si="170"/>
        <v>3.0908096659188866E-2</v>
      </c>
      <c r="W590" s="4">
        <f t="shared" si="171"/>
        <v>-1.0828707772744099</v>
      </c>
      <c r="X590" s="4">
        <f t="shared" si="172"/>
        <v>0.12028256942421101</v>
      </c>
      <c r="Y590" s="3">
        <f t="shared" si="169"/>
        <v>188.60799465447326</v>
      </c>
      <c r="AA590" s="3"/>
    </row>
    <row r="591" spans="19:27" x14ac:dyDescent="0.25">
      <c r="S591" s="4">
        <v>-0.39213556937567967</v>
      </c>
      <c r="T591" s="4">
        <v>-4.06992844723427E-3</v>
      </c>
      <c r="U591" s="4">
        <f t="shared" si="170"/>
        <v>-0.24228079216045081</v>
      </c>
      <c r="W591" s="4">
        <f t="shared" si="171"/>
        <v>-0.6384940802883996</v>
      </c>
      <c r="X591" s="4">
        <f t="shared" si="172"/>
        <v>-0.36137560508574518</v>
      </c>
      <c r="Y591" s="3">
        <f t="shared" si="169"/>
        <v>67.238986897181348</v>
      </c>
      <c r="AA591" s="3"/>
    </row>
    <row r="592" spans="19:27" x14ac:dyDescent="0.25">
      <c r="S592" s="4">
        <v>-1.168528788985848</v>
      </c>
      <c r="T592" s="4">
        <v>-0.47728361268436847</v>
      </c>
      <c r="U592" s="4">
        <f t="shared" si="170"/>
        <v>-1.0907001323541965</v>
      </c>
      <c r="W592" s="4">
        <f t="shared" si="171"/>
        <v>-1.958717164283067</v>
      </c>
      <c r="X592" s="4">
        <f t="shared" si="172"/>
        <v>-1.8572201556540224</v>
      </c>
      <c r="Y592" s="3">
        <f t="shared" si="169"/>
        <v>138.18549937941862</v>
      </c>
      <c r="AA592" s="3"/>
    </row>
    <row r="593" spans="19:27" x14ac:dyDescent="0.25">
      <c r="S593" s="4">
        <v>1.2556294342928471</v>
      </c>
      <c r="T593" s="4">
        <v>0.72131285565717485</v>
      </c>
      <c r="U593" s="4">
        <f t="shared" si="170"/>
        <v>1.3372386624026051</v>
      </c>
      <c r="W593" s="4">
        <f t="shared" si="171"/>
        <v>2.1634590278724843</v>
      </c>
      <c r="X593" s="4">
        <f t="shared" si="172"/>
        <v>2.4234684651651444</v>
      </c>
      <c r="Y593" s="3">
        <f t="shared" si="169"/>
        <v>-92.39340974233437</v>
      </c>
      <c r="AA593" s="3"/>
    </row>
    <row r="594" spans="19:27" x14ac:dyDescent="0.25">
      <c r="S594" s="4">
        <v>-0.66511817121553973</v>
      </c>
      <c r="T594" s="4">
        <v>1.2680871395832196</v>
      </c>
      <c r="U594" s="4">
        <f t="shared" si="170"/>
        <v>0.59973167767575286</v>
      </c>
      <c r="W594" s="4">
        <f t="shared" si="171"/>
        <v>-1.1026891857774279</v>
      </c>
      <c r="X594" s="4">
        <f t="shared" si="172"/>
        <v>1.1231730194510274</v>
      </c>
      <c r="Y594" s="3">
        <f t="shared" si="169"/>
        <v>292.18591355378248</v>
      </c>
      <c r="AA594" s="3"/>
    </row>
    <row r="595" spans="19:27" x14ac:dyDescent="0.25">
      <c r="S595" s="4">
        <v>-0.90171215323936704</v>
      </c>
      <c r="T595" s="4">
        <v>1.1517512515058366</v>
      </c>
      <c r="U595" s="4">
        <f t="shared" si="170"/>
        <v>0.36328017738862461</v>
      </c>
      <c r="W595" s="4">
        <f t="shared" si="171"/>
        <v>-1.5050070174026351</v>
      </c>
      <c r="X595" s="4">
        <f t="shared" si="172"/>
        <v>0.70628637929331461</v>
      </c>
      <c r="Y595" s="3">
        <f t="shared" si="169"/>
        <v>317.70972679009265</v>
      </c>
      <c r="AA595" s="3"/>
    </row>
    <row r="596" spans="19:27" x14ac:dyDescent="0.25">
      <c r="S596" s="4">
        <v>1.7103032253482604</v>
      </c>
      <c r="T596" s="4">
        <v>0.75916762650803937</v>
      </c>
      <c r="U596" s="4">
        <f t="shared" si="170"/>
        <v>1.6444251247771378</v>
      </c>
      <c r="W596" s="4">
        <f t="shared" si="171"/>
        <v>2.9366121408532035</v>
      </c>
      <c r="X596" s="4">
        <f t="shared" si="172"/>
        <v>2.9650676178275051</v>
      </c>
      <c r="Y596" s="3">
        <f t="shared" si="169"/>
        <v>-152.15916628001878</v>
      </c>
      <c r="AA596" s="3"/>
    </row>
    <row r="597" spans="19:27" x14ac:dyDescent="0.25">
      <c r="S597" s="4">
        <v>1.8614588324861034</v>
      </c>
      <c r="T597" s="4">
        <v>-0.93608730663070505</v>
      </c>
      <c r="U597" s="4">
        <f t="shared" si="170"/>
        <v>0.39275789988277843</v>
      </c>
      <c r="W597" s="4">
        <f t="shared" si="171"/>
        <v>3.1936457119588471</v>
      </c>
      <c r="X597" s="4">
        <f t="shared" si="172"/>
        <v>0.75825842715584268</v>
      </c>
      <c r="Y597" s="3">
        <f t="shared" si="169"/>
        <v>-410.06264254663802</v>
      </c>
      <c r="AA597" s="3"/>
    </row>
    <row r="598" spans="19:27" x14ac:dyDescent="0.25">
      <c r="S598" s="4">
        <v>-1.1342022716194742</v>
      </c>
      <c r="T598" s="4">
        <v>-0.41878085485146938</v>
      </c>
      <c r="U598" s="4">
        <f t="shared" si="170"/>
        <v>-1.0233992522593354</v>
      </c>
      <c r="W598" s="4">
        <f t="shared" si="171"/>
        <v>-1.9003464064305122</v>
      </c>
      <c r="X598" s="4">
        <f t="shared" si="172"/>
        <v>-1.7385622585870395</v>
      </c>
      <c r="Y598" s="3">
        <f t="shared" si="169"/>
        <v>140.10608006851635</v>
      </c>
      <c r="AA598" s="3"/>
    </row>
    <row r="599" spans="19:27" x14ac:dyDescent="0.25">
      <c r="S599" s="4">
        <v>0.39165591981068981</v>
      </c>
      <c r="T599" s="4">
        <v>-0.54046986557419796</v>
      </c>
      <c r="U599" s="4">
        <f t="shared" si="170"/>
        <v>-0.18966396163211688</v>
      </c>
      <c r="W599" s="4">
        <f t="shared" si="171"/>
        <v>0.69430944107925319</v>
      </c>
      <c r="X599" s="4">
        <f t="shared" si="172"/>
        <v>-0.26860709370785807</v>
      </c>
      <c r="Y599" s="3">
        <f t="shared" si="169"/>
        <v>-136.88250372412949</v>
      </c>
      <c r="AA599" s="3"/>
    </row>
    <row r="600" spans="19:27" x14ac:dyDescent="0.25">
      <c r="S600" s="4">
        <v>7.6792885208607442E-2</v>
      </c>
      <c r="T600" s="4">
        <v>0.63502583969268567</v>
      </c>
      <c r="U600" s="4">
        <f t="shared" si="170"/>
        <v>0.55019457115964709</v>
      </c>
      <c r="W600" s="4">
        <f t="shared" si="171"/>
        <v>0.15889847138144844</v>
      </c>
      <c r="X600" s="4">
        <f t="shared" si="172"/>
        <v>1.0358343564543593</v>
      </c>
      <c r="Y600" s="3">
        <f t="shared" si="169"/>
        <v>78.185114921038348</v>
      </c>
      <c r="AA600" s="3"/>
    </row>
    <row r="601" spans="19:27" x14ac:dyDescent="0.25">
      <c r="S601" s="4">
        <v>-0.62135541726341059</v>
      </c>
      <c r="T601" s="4">
        <v>0.11118348726171466</v>
      </c>
      <c r="U601" s="4">
        <f t="shared" si="170"/>
        <v>-0.29065786296438012</v>
      </c>
      <c r="W601" s="4">
        <f t="shared" si="171"/>
        <v>-1.0282725158124459</v>
      </c>
      <c r="X601" s="4">
        <f t="shared" si="172"/>
        <v>-0.44666901402428738</v>
      </c>
      <c r="Y601" s="3">
        <f t="shared" si="169"/>
        <v>122.86291369418586</v>
      </c>
      <c r="AA601" s="3"/>
    </row>
    <row r="602" spans="19:27" x14ac:dyDescent="0.25">
      <c r="S602" s="4">
        <v>-1.4079785809457324</v>
      </c>
      <c r="T602" s="4">
        <v>-1.2512283362641383</v>
      </c>
      <c r="U602" s="4">
        <f t="shared" si="170"/>
        <v>-1.8501738735837554</v>
      </c>
      <c r="W602" s="4">
        <f t="shared" si="171"/>
        <v>-2.3658911771652109</v>
      </c>
      <c r="X602" s="4">
        <f t="shared" si="172"/>
        <v>-3.196245096856456</v>
      </c>
      <c r="Y602" s="3">
        <f t="shared" si="169"/>
        <v>74.163166163081769</v>
      </c>
      <c r="AA602" s="3"/>
    </row>
    <row r="603" spans="19:27" x14ac:dyDescent="0.25">
      <c r="S603" s="4">
        <v>0.51098117245180974</v>
      </c>
      <c r="T603" s="4">
        <v>-1.0809780951138575</v>
      </c>
      <c r="U603" s="4">
        <f t="shared" si="170"/>
        <v>-0.54537718498190735</v>
      </c>
      <c r="W603" s="4">
        <f t="shared" si="171"/>
        <v>0.89721687131080763</v>
      </c>
      <c r="X603" s="4">
        <f t="shared" si="172"/>
        <v>-0.89576357341676205</v>
      </c>
      <c r="Y603" s="3">
        <f t="shared" si="169"/>
        <v>-231.28477429509985</v>
      </c>
      <c r="AA603" s="3"/>
    </row>
    <row r="604" spans="19:27" x14ac:dyDescent="0.25">
      <c r="S604" s="4">
        <v>0.88443245717056307</v>
      </c>
      <c r="T604" s="4">
        <v>0.65138835639390491</v>
      </c>
      <c r="U604" s="4">
        <f t="shared" si="170"/>
        <v>1.0555201105620475</v>
      </c>
      <c r="W604" s="4">
        <f t="shared" si="171"/>
        <v>1.5322546258660585</v>
      </c>
      <c r="X604" s="4">
        <f t="shared" si="172"/>
        <v>1.9267716778565809</v>
      </c>
      <c r="Y604" s="3">
        <f t="shared" si="169"/>
        <v>-46.848848396407902</v>
      </c>
      <c r="AA604" s="3"/>
    </row>
    <row r="605" spans="19:27" x14ac:dyDescent="0.25">
      <c r="S605" s="4">
        <v>-1.5463429605108772</v>
      </c>
      <c r="T605" s="4">
        <v>0.14290334204112168</v>
      </c>
      <c r="U605" s="4">
        <f t="shared" si="170"/>
        <v>-0.82940683178874819</v>
      </c>
      <c r="W605" s="4">
        <f t="shared" si="171"/>
        <v>-2.6011738191185048</v>
      </c>
      <c r="X605" s="4">
        <f t="shared" si="172"/>
        <v>-1.3965350424863181</v>
      </c>
      <c r="Y605" s="3">
        <f t="shared" si="169"/>
        <v>294.91864326999894</v>
      </c>
      <c r="AA605" s="3"/>
    </row>
    <row r="606" spans="19:27" x14ac:dyDescent="0.25">
      <c r="S606" s="4">
        <v>0.38158441459498282</v>
      </c>
      <c r="T606" s="4">
        <v>0.22445425997799059</v>
      </c>
      <c r="U606" s="4">
        <f t="shared" si="170"/>
        <v>0.41054547349412168</v>
      </c>
      <c r="W606" s="4">
        <f t="shared" si="171"/>
        <v>0.67718328214264445</v>
      </c>
      <c r="X606" s="4">
        <f t="shared" si="172"/>
        <v>0.7896196229629584</v>
      </c>
      <c r="Y606" s="3">
        <f t="shared" si="169"/>
        <v>-28.375740570211747</v>
      </c>
      <c r="AA606" s="3"/>
    </row>
    <row r="607" spans="19:27" x14ac:dyDescent="0.25">
      <c r="S607" s="4">
        <v>0.83260842705123128</v>
      </c>
      <c r="T607" s="4">
        <v>-0.1535333880490386</v>
      </c>
      <c r="U607" s="4">
        <f t="shared" si="170"/>
        <v>0.38587198282017643</v>
      </c>
      <c r="W607" s="4">
        <f t="shared" si="171"/>
        <v>1.4441301045010595</v>
      </c>
      <c r="X607" s="4">
        <f t="shared" si="172"/>
        <v>0.74611789590462663</v>
      </c>
      <c r="Y607" s="3">
        <f t="shared" si="169"/>
        <v>-151.46192717692838</v>
      </c>
      <c r="AA607" s="3"/>
    </row>
    <row r="608" spans="19:27" x14ac:dyDescent="0.25">
      <c r="S608" s="4">
        <v>-0.61233981987219488</v>
      </c>
      <c r="T608" s="4">
        <v>0.69966453757528513</v>
      </c>
      <c r="U608" s="4">
        <f t="shared" si="170"/>
        <v>0.18132247824083331</v>
      </c>
      <c r="W608" s="4">
        <f t="shared" si="171"/>
        <v>-1.0129418824539249</v>
      </c>
      <c r="X608" s="4">
        <f t="shared" si="172"/>
        <v>0.38547752945968117</v>
      </c>
      <c r="Y608" s="3">
        <f t="shared" si="169"/>
        <v>203.53926001160471</v>
      </c>
      <c r="AA608" s="3"/>
    </row>
    <row r="609" spans="19:27" x14ac:dyDescent="0.25">
      <c r="S609" s="4">
        <v>0.97683481134320505</v>
      </c>
      <c r="T609" s="4">
        <v>-0.59431421113067584</v>
      </c>
      <c r="U609" s="4">
        <f t="shared" si="170"/>
        <v>0.12439216408397408</v>
      </c>
      <c r="W609" s="4">
        <f t="shared" si="171"/>
        <v>1.6893808319081796</v>
      </c>
      <c r="X609" s="4">
        <f t="shared" si="172"/>
        <v>0.28510393333888667</v>
      </c>
      <c r="Y609" s="3">
        <f t="shared" si="169"/>
        <v>-234.90409162676542</v>
      </c>
      <c r="AA609" s="3"/>
    </row>
    <row r="610" spans="19:27" x14ac:dyDescent="0.25">
      <c r="S610" s="4">
        <v>-0.33736345112891408</v>
      </c>
      <c r="T610" s="4">
        <v>-1.4186274176409541</v>
      </c>
      <c r="U610" s="4">
        <f t="shared" si="170"/>
        <v>-1.3301989188250598</v>
      </c>
      <c r="W610" s="4">
        <f t="shared" si="171"/>
        <v>-0.54535646259388471</v>
      </c>
      <c r="X610" s="4">
        <f t="shared" si="172"/>
        <v>-2.2794794531947238</v>
      </c>
      <c r="Y610" s="3">
        <f t="shared" si="169"/>
        <v>-139.78317070150706</v>
      </c>
      <c r="AA610" s="3"/>
    </row>
    <row r="611" spans="19:27" x14ac:dyDescent="0.25">
      <c r="S611" s="4">
        <v>2.1349103377882933E-3</v>
      </c>
      <c r="T611" s="4">
        <v>-5.9364783593313089E-3</v>
      </c>
      <c r="U611" s="4">
        <f t="shared" si="170"/>
        <v>-3.4043100403286157E-3</v>
      </c>
      <c r="W611" s="4">
        <f t="shared" si="171"/>
        <v>3.1945814738929858E-2</v>
      </c>
      <c r="X611" s="4">
        <f t="shared" si="172"/>
        <v>5.9786510286008399E-2</v>
      </c>
      <c r="Y611" s="3">
        <f t="shared" si="169"/>
        <v>0.86195992714874592</v>
      </c>
      <c r="AA611" s="3"/>
    </row>
    <row r="612" spans="19:27" x14ac:dyDescent="0.25">
      <c r="S612" s="4">
        <v>-8.3002385100854434E-2</v>
      </c>
      <c r="T612" s="4">
        <v>-0.60842376093608685</v>
      </c>
      <c r="U612" s="4">
        <f t="shared" si="170"/>
        <v>-0.5328927653218487</v>
      </c>
      <c r="W612" s="4">
        <f t="shared" si="171"/>
        <v>-0.11282647320480933</v>
      </c>
      <c r="X612" s="4">
        <f t="shared" si="172"/>
        <v>-0.87375234591310613</v>
      </c>
      <c r="Y612" s="3">
        <f t="shared" si="169"/>
        <v>-69.261817544926089</v>
      </c>
      <c r="AA612" s="3"/>
    </row>
    <row r="613" spans="19:27" x14ac:dyDescent="0.25">
      <c r="S613" s="4">
        <v>-6.133229403696825E-2</v>
      </c>
      <c r="T613" s="4">
        <v>0.73419886116514677</v>
      </c>
      <c r="U613" s="4">
        <f t="shared" si="170"/>
        <v>0.54460404267818119</v>
      </c>
      <c r="W613" s="4">
        <f t="shared" si="171"/>
        <v>-7.5977420775971763E-2</v>
      </c>
      <c r="X613" s="4">
        <f t="shared" si="172"/>
        <v>1.0259777193320987</v>
      </c>
      <c r="Y613" s="3">
        <f t="shared" si="169"/>
        <v>114.78811315329222</v>
      </c>
      <c r="AA613" s="3"/>
    </row>
    <row r="614" spans="19:27" x14ac:dyDescent="0.25">
      <c r="S614" s="4">
        <v>-0.46578933011050738</v>
      </c>
      <c r="T614" s="4">
        <v>7.0365715322448175E-2</v>
      </c>
      <c r="U614" s="4">
        <f t="shared" si="170"/>
        <v>-0.22817722731543005</v>
      </c>
      <c r="W614" s="4">
        <f t="shared" si="171"/>
        <v>-0.76373911423390994</v>
      </c>
      <c r="X614" s="4">
        <f t="shared" si="172"/>
        <v>-0.33650966955415651</v>
      </c>
      <c r="Y614" s="3">
        <f t="shared" si="169"/>
        <v>90.252773728382181</v>
      </c>
      <c r="AA614" s="3"/>
    </row>
    <row r="615" spans="19:27" x14ac:dyDescent="0.25">
      <c r="S615" s="4">
        <v>-2.1100913959451191</v>
      </c>
      <c r="T615" s="4">
        <v>-2.1157606686189041</v>
      </c>
      <c r="U615" s="4">
        <f t="shared" si="170"/>
        <v>-2.9635053910184208</v>
      </c>
      <c r="W615" s="4">
        <f t="shared" si="171"/>
        <v>-3.5598036464112619</v>
      </c>
      <c r="X615" s="4">
        <f t="shared" si="172"/>
        <v>-5.1591551867540417</v>
      </c>
      <c r="Y615" s="3">
        <f t="shared" si="169"/>
        <v>87.914542897653519</v>
      </c>
      <c r="AA615" s="3"/>
    </row>
    <row r="616" spans="19:27" x14ac:dyDescent="0.25">
      <c r="S616" s="4">
        <v>0.71213001869447656</v>
      </c>
      <c r="T616" s="4">
        <v>0.69426873721844873</v>
      </c>
      <c r="U616" s="4">
        <f t="shared" si="170"/>
        <v>0.9844716353290246</v>
      </c>
      <c r="W616" s="4">
        <f t="shared" si="171"/>
        <v>1.2392617828593688</v>
      </c>
      <c r="X616" s="4">
        <f t="shared" si="172"/>
        <v>1.8015064116507999</v>
      </c>
      <c r="Y616" s="3">
        <f t="shared" si="169"/>
        <v>-14.49820230907244</v>
      </c>
      <c r="AA616" s="3"/>
    </row>
    <row r="617" spans="19:27" x14ac:dyDescent="0.25">
      <c r="S617" s="4">
        <v>-3.5757694201208294</v>
      </c>
      <c r="T617" s="4">
        <v>-0.39501901949360918</v>
      </c>
      <c r="U617" s="4">
        <f t="shared" si="170"/>
        <v>-2.4929972446300188</v>
      </c>
      <c r="W617" s="4">
        <f t="shared" si="171"/>
        <v>-6.0521257228354397</v>
      </c>
      <c r="X617" s="4">
        <f t="shared" si="172"/>
        <v>-4.3296042637254004</v>
      </c>
      <c r="Y617" s="3">
        <f t="shared" si="169"/>
        <v>634.47437013767376</v>
      </c>
      <c r="AA617" s="3"/>
    </row>
    <row r="618" spans="19:27" x14ac:dyDescent="0.25">
      <c r="S618" s="4">
        <v>0.67992421821161919</v>
      </c>
      <c r="T618" s="4">
        <v>2.0956791001222634</v>
      </c>
      <c r="U618" s="4">
        <f t="shared" si="170"/>
        <v>2.0757250707168806</v>
      </c>
      <c r="W618" s="4">
        <f t="shared" si="171"/>
        <v>1.1844972123272566</v>
      </c>
      <c r="X618" s="4">
        <f t="shared" si="172"/>
        <v>3.7254907284640781</v>
      </c>
      <c r="Y618" s="3">
        <f t="shared" si="169"/>
        <v>186.33656305045133</v>
      </c>
      <c r="AA618" s="3"/>
    </row>
    <row r="619" spans="19:27" x14ac:dyDescent="0.25">
      <c r="S619" s="4">
        <v>1.8511986585418114E-2</v>
      </c>
      <c r="T619" s="4">
        <v>0.32814324819787222</v>
      </c>
      <c r="U619" s="4">
        <f t="shared" si="170"/>
        <v>0.27140185397461347</v>
      </c>
      <c r="W619" s="4">
        <f t="shared" si="171"/>
        <v>5.9794324442966035E-2</v>
      </c>
      <c r="X619" s="4">
        <f t="shared" si="172"/>
        <v>0.54429609585303673</v>
      </c>
      <c r="Y619" s="3">
        <f t="shared" si="169"/>
        <v>44.856786687537351</v>
      </c>
      <c r="AA619" s="3"/>
    </row>
    <row r="620" spans="19:27" x14ac:dyDescent="0.25">
      <c r="S620" s="4">
        <v>2.9466910666621257E-2</v>
      </c>
      <c r="T620" s="4">
        <v>0.50352715529837044</v>
      </c>
      <c r="U620" s="4">
        <f t="shared" si="170"/>
        <v>0.4171056435282065</v>
      </c>
      <c r="W620" s="4">
        <f t="shared" si="171"/>
        <v>7.8422698944581828E-2</v>
      </c>
      <c r="X620" s="4">
        <f t="shared" si="172"/>
        <v>0.80118583100584218</v>
      </c>
      <c r="Y620" s="3">
        <f t="shared" si="169"/>
        <v>67.567208916445452</v>
      </c>
      <c r="AA620" s="3"/>
    </row>
    <row r="621" spans="19:27" x14ac:dyDescent="0.25">
      <c r="S621" s="4">
        <v>1.1466987827882096</v>
      </c>
      <c r="T621" s="4">
        <v>-0.5357783713493901</v>
      </c>
      <c r="U621" s="4">
        <f t="shared" si="170"/>
        <v>0.27434592407340408</v>
      </c>
      <c r="W621" s="4">
        <f t="shared" si="171"/>
        <v>1.9782271672140279</v>
      </c>
      <c r="X621" s="4">
        <f t="shared" si="172"/>
        <v>0.54948677339318008</v>
      </c>
      <c r="Y621" s="3">
        <f t="shared" si="169"/>
        <v>-252.05691698681585</v>
      </c>
      <c r="AA621" s="3"/>
    </row>
    <row r="622" spans="19:27" x14ac:dyDescent="0.25">
      <c r="S622" s="4">
        <v>-0.91768888122275827</v>
      </c>
      <c r="T622" s="4">
        <v>-1.2050841623853152</v>
      </c>
      <c r="U622" s="4">
        <f t="shared" si="170"/>
        <v>-1.5147042150065144</v>
      </c>
      <c r="W622" s="4">
        <f t="shared" si="171"/>
        <v>-1.5321747522019775</v>
      </c>
      <c r="X622" s="4">
        <f t="shared" si="172"/>
        <v>-2.6047799605841351</v>
      </c>
      <c r="Y622" s="3">
        <f t="shared" si="169"/>
        <v>-8.8273559060280604</v>
      </c>
      <c r="AA622" s="3"/>
    </row>
    <row r="623" spans="19:27" x14ac:dyDescent="0.25">
      <c r="S623" s="4">
        <v>0.35146743739125735</v>
      </c>
      <c r="T623" s="4">
        <v>1.1509890572258541</v>
      </c>
      <c r="U623" s="4">
        <f t="shared" si="170"/>
        <v>1.1266422312734878</v>
      </c>
      <c r="W623" s="4">
        <f t="shared" si="171"/>
        <v>0.62597066523640221</v>
      </c>
      <c r="X623" s="4">
        <f t="shared" si="172"/>
        <v>2.0521667880938987</v>
      </c>
      <c r="Y623" s="3">
        <f t="shared" si="169"/>
        <v>105.91420437453962</v>
      </c>
      <c r="AA623" s="3"/>
    </row>
    <row r="624" spans="19:27" x14ac:dyDescent="0.25">
      <c r="S624" s="4">
        <v>2.6387799173335256E-2</v>
      </c>
      <c r="T624" s="4">
        <v>1.4306685651767268</v>
      </c>
      <c r="U624" s="4">
        <f t="shared" si="170"/>
        <v>1.1501661445003268</v>
      </c>
      <c r="W624" s="4">
        <f t="shared" si="171"/>
        <v>7.3186803049367047E-2</v>
      </c>
      <c r="X624" s="4">
        <f t="shared" si="172"/>
        <v>2.0936417000170198</v>
      </c>
      <c r="Y624" s="3">
        <f t="shared" si="169"/>
        <v>197.6497991330798</v>
      </c>
      <c r="AA624" s="3"/>
    </row>
    <row r="625" spans="19:27" x14ac:dyDescent="0.25">
      <c r="S625" s="4">
        <v>-0.78917464866056419</v>
      </c>
      <c r="T625" s="4">
        <v>-0.84958565052748991</v>
      </c>
      <c r="U625" s="4">
        <f t="shared" si="170"/>
        <v>-1.1545582383512576</v>
      </c>
      <c r="W625" s="4">
        <f t="shared" si="171"/>
        <v>-1.3136418591202235</v>
      </c>
      <c r="X625" s="4">
        <f t="shared" si="172"/>
        <v>-1.969808112269323</v>
      </c>
      <c r="Y625" s="3">
        <f t="shared" si="169"/>
        <v>18.023685826492965</v>
      </c>
      <c r="AA625" s="3"/>
    </row>
    <row r="626" spans="19:27" x14ac:dyDescent="0.25">
      <c r="S626" s="4">
        <v>0.75772633943120182</v>
      </c>
      <c r="T626" s="4">
        <v>0.35366336210966764</v>
      </c>
      <c r="U626" s="4">
        <f t="shared" si="170"/>
        <v>0.74227300733183987</v>
      </c>
      <c r="W626" s="4">
        <f t="shared" si="171"/>
        <v>1.31679635382339</v>
      </c>
      <c r="X626" s="4">
        <f t="shared" si="172"/>
        <v>1.3744870349331866</v>
      </c>
      <c r="Y626" s="3">
        <f t="shared" si="169"/>
        <v>-69.118165846075954</v>
      </c>
      <c r="AA626" s="3"/>
    </row>
    <row r="627" spans="19:27" x14ac:dyDescent="0.25">
      <c r="S627" s="4">
        <v>0.62847207354706103</v>
      </c>
      <c r="T627" s="4">
        <v>0.67684488220866201</v>
      </c>
      <c r="U627" s="4">
        <f t="shared" si="170"/>
        <v>0.91966013459794782</v>
      </c>
      <c r="W627" s="4">
        <f t="shared" si="171"/>
        <v>1.0970050660907271</v>
      </c>
      <c r="X627" s="4">
        <f t="shared" si="172"/>
        <v>1.6872375288120447</v>
      </c>
      <c r="Y627" s="3">
        <f t="shared" si="169"/>
        <v>-3.9792838729244977</v>
      </c>
      <c r="AA627" s="3"/>
    </row>
    <row r="628" spans="19:27" x14ac:dyDescent="0.25">
      <c r="S628" s="4">
        <v>1.6458535600915511</v>
      </c>
      <c r="T628" s="4">
        <v>0.14572273508799127</v>
      </c>
      <c r="U628" s="4">
        <f t="shared" si="170"/>
        <v>1.1188623013571504</v>
      </c>
      <c r="W628" s="4">
        <f t="shared" si="171"/>
        <v>2.8270182731087639</v>
      </c>
      <c r="X628" s="4">
        <f t="shared" si="172"/>
        <v>2.0384500265612124</v>
      </c>
      <c r="Y628" s="3">
        <f t="shared" si="169"/>
        <v>-228.8514895410508</v>
      </c>
      <c r="AA628" s="3"/>
    </row>
    <row r="629" spans="19:27" x14ac:dyDescent="0.25">
      <c r="S629" s="4">
        <v>1.4413079201604027</v>
      </c>
      <c r="T629" s="4">
        <v>-1.2185855993213679</v>
      </c>
      <c r="U629" s="4">
        <f t="shared" si="170"/>
        <v>-8.7309612596437103E-2</v>
      </c>
      <c r="W629" s="4">
        <f t="shared" si="171"/>
        <v>2.4791972608346544</v>
      </c>
      <c r="X629" s="4">
        <f t="shared" si="172"/>
        <v>-8.8146573799128131E-2</v>
      </c>
      <c r="Y629" s="3">
        <f t="shared" si="169"/>
        <v>-390.43672573059257</v>
      </c>
      <c r="AA629" s="3"/>
    </row>
    <row r="630" spans="19:27" x14ac:dyDescent="0.25">
      <c r="S630" s="4">
        <v>0.312195856318563</v>
      </c>
      <c r="T630" s="4">
        <v>0.2314298333637673</v>
      </c>
      <c r="U630" s="4">
        <f t="shared" si="170"/>
        <v>0.37377414153192384</v>
      </c>
      <c r="W630" s="4">
        <f t="shared" si="171"/>
        <v>0.55919104046949364</v>
      </c>
      <c r="X630" s="4">
        <f t="shared" si="172"/>
        <v>0.72478824309338818</v>
      </c>
      <c r="Y630" s="3">
        <f t="shared" si="169"/>
        <v>-16.32580595981608</v>
      </c>
      <c r="AA630" s="3"/>
    </row>
    <row r="631" spans="19:27" x14ac:dyDescent="0.25">
      <c r="S631" s="4">
        <v>2.4139489166896335</v>
      </c>
      <c r="T631" s="4">
        <v>-0.3821621153872502</v>
      </c>
      <c r="U631" s="4">
        <f t="shared" si="170"/>
        <v>1.1686602604792589</v>
      </c>
      <c r="W631" s="4">
        <f t="shared" si="171"/>
        <v>4.1331312000081875</v>
      </c>
      <c r="X631" s="4">
        <f t="shared" si="172"/>
        <v>2.1262485976843286</v>
      </c>
      <c r="Y631" s="3">
        <f t="shared" si="169"/>
        <v>-406.58374095558611</v>
      </c>
      <c r="AA631" s="3"/>
    </row>
    <row r="632" spans="19:27" x14ac:dyDescent="0.25">
      <c r="S632" s="4">
        <v>1.0680843332584851</v>
      </c>
      <c r="T632" s="4">
        <v>0.10699248260250376</v>
      </c>
      <c r="U632" s="4">
        <f t="shared" si="170"/>
        <v>0.73594012754077409</v>
      </c>
      <c r="W632" s="4">
        <f t="shared" si="171"/>
        <v>1.8445466965669648</v>
      </c>
      <c r="X632" s="4">
        <f t="shared" si="172"/>
        <v>1.3633215613565157</v>
      </c>
      <c r="Y632" s="3">
        <f t="shared" si="169"/>
        <v>-150.55106544844239</v>
      </c>
      <c r="AA632" s="3"/>
    </row>
    <row r="633" spans="19:27" x14ac:dyDescent="0.25">
      <c r="S633" s="4">
        <v>-1.0610025105370815</v>
      </c>
      <c r="T633" s="4">
        <v>-8.1416025661556601E-4</v>
      </c>
      <c r="U633" s="4">
        <f t="shared" si="170"/>
        <v>-0.64745618169322094</v>
      </c>
      <c r="W633" s="4">
        <f t="shared" si="171"/>
        <v>-1.7758733792544212</v>
      </c>
      <c r="X633" s="4">
        <f t="shared" si="172"/>
        <v>-1.0757386208069195</v>
      </c>
      <c r="Y633" s="3">
        <f t="shared" si="169"/>
        <v>185.24129616728351</v>
      </c>
      <c r="AA633" s="3"/>
    </row>
    <row r="634" spans="19:27" x14ac:dyDescent="0.25">
      <c r="S634" s="4">
        <v>0.81946078984299142</v>
      </c>
      <c r="T634" s="4">
        <v>-0.31974397966444912</v>
      </c>
      <c r="U634" s="4">
        <f t="shared" si="170"/>
        <v>0.2461030803930937</v>
      </c>
      <c r="W634" s="4">
        <f t="shared" si="171"/>
        <v>1.4217731161813767</v>
      </c>
      <c r="X634" s="4">
        <f t="shared" si="172"/>
        <v>0.49969193514480115</v>
      </c>
      <c r="Y634" s="3">
        <f t="shared" si="169"/>
        <v>-172.68547783994518</v>
      </c>
      <c r="AA634" s="3"/>
    </row>
    <row r="635" spans="19:27" x14ac:dyDescent="0.25">
      <c r="S635" s="4">
        <v>1.2722237381063768</v>
      </c>
      <c r="T635" s="4">
        <v>0.76088191406552441</v>
      </c>
      <c r="U635" s="4">
        <f t="shared" si="170"/>
        <v>1.3787209970542627</v>
      </c>
      <c r="W635" s="4">
        <f t="shared" si="171"/>
        <v>2.1916769236552978</v>
      </c>
      <c r="X635" s="4">
        <f t="shared" si="172"/>
        <v>2.4966057939527713</v>
      </c>
      <c r="Y635" s="3">
        <f t="shared" si="169"/>
        <v>-89.289716119830246</v>
      </c>
      <c r="AA635" s="3"/>
    </row>
    <row r="636" spans="19:27" x14ac:dyDescent="0.25">
      <c r="S636" s="4">
        <v>1.3990540606011934</v>
      </c>
      <c r="T636" s="4">
        <v>-0.70312025957356472</v>
      </c>
      <c r="U636" s="4">
        <f t="shared" si="170"/>
        <v>0.29553675271250235</v>
      </c>
      <c r="W636" s="4">
        <f t="shared" si="171"/>
        <v>2.4073464005116514</v>
      </c>
      <c r="X636" s="4">
        <f t="shared" si="172"/>
        <v>0.58684823374671558</v>
      </c>
      <c r="Y636" s="3">
        <f t="shared" si="169"/>
        <v>-312.31207969273055</v>
      </c>
      <c r="AA636" s="3"/>
    </row>
    <row r="637" spans="19:27" x14ac:dyDescent="0.25">
      <c r="S637" s="4">
        <v>-0.9651349064984085</v>
      </c>
      <c r="T637" s="4">
        <v>-0.22581199055908277</v>
      </c>
      <c r="U637" s="4">
        <f t="shared" si="170"/>
        <v>-0.76736713564686176</v>
      </c>
      <c r="W637" s="4">
        <f t="shared" si="171"/>
        <v>-1.6128546657181717</v>
      </c>
      <c r="X637" s="4">
        <f t="shared" si="172"/>
        <v>-1.2871531165962737</v>
      </c>
      <c r="Y637" s="3">
        <f t="shared" si="169"/>
        <v>136.52855115222974</v>
      </c>
      <c r="AA637" s="3"/>
    </row>
    <row r="638" spans="19:27" x14ac:dyDescent="0.25">
      <c r="S638" s="4">
        <v>0.44159412533355186</v>
      </c>
      <c r="T638" s="4">
        <v>0.51194305931185957</v>
      </c>
      <c r="U638" s="4">
        <f t="shared" si="170"/>
        <v>0.6750188088547362</v>
      </c>
      <c r="W638" s="4">
        <f t="shared" si="171"/>
        <v>0.77922719929674</v>
      </c>
      <c r="X638" s="4">
        <f t="shared" si="172"/>
        <v>1.2559114420290463</v>
      </c>
      <c r="Y638" s="3">
        <f t="shared" si="169"/>
        <v>2.2827790783212549</v>
      </c>
      <c r="AA638" s="3"/>
    </row>
    <row r="639" spans="19:27" x14ac:dyDescent="0.25">
      <c r="S639" s="4">
        <v>-1.8922779733282384</v>
      </c>
      <c r="T639" s="4">
        <v>-0.7599065647008143</v>
      </c>
      <c r="U639" s="4">
        <f t="shared" si="170"/>
        <v>-1.7559467417474974</v>
      </c>
      <c r="W639" s="4">
        <f t="shared" si="171"/>
        <v>-3.1894213436303609</v>
      </c>
      <c r="X639" s="4">
        <f t="shared" si="172"/>
        <v>-3.0301136392204739</v>
      </c>
      <c r="Y639" s="3">
        <f t="shared" si="169"/>
        <v>234.83340197760208</v>
      </c>
      <c r="AA639" s="3"/>
    </row>
    <row r="640" spans="19:27" x14ac:dyDescent="0.25">
      <c r="S640" s="4">
        <v>1.3701110614968792</v>
      </c>
      <c r="T640" s="4">
        <v>-0.68092541422993402</v>
      </c>
      <c r="U640" s="4">
        <f t="shared" si="170"/>
        <v>0.29548613145206315</v>
      </c>
      <c r="W640" s="4">
        <f t="shared" si="171"/>
        <v>2.3581300825784028</v>
      </c>
      <c r="X640" s="4">
        <f t="shared" si="172"/>
        <v>0.58675898361652223</v>
      </c>
      <c r="Y640" s="3">
        <f t="shared" si="169"/>
        <v>-305.02822568959482</v>
      </c>
      <c r="AA640" s="3"/>
    </row>
    <row r="641" spans="19:27" x14ac:dyDescent="0.25">
      <c r="S641" s="4">
        <v>-0.37213773562187608</v>
      </c>
      <c r="T641" s="4">
        <v>1.5846085507232521</v>
      </c>
      <c r="U641" s="4">
        <f t="shared" si="170"/>
        <v>1.029243084584367</v>
      </c>
      <c r="W641" s="4">
        <f t="shared" si="171"/>
        <v>-0.60448862907526868</v>
      </c>
      <c r="X641" s="4">
        <f t="shared" si="172"/>
        <v>1.8804427644858903</v>
      </c>
      <c r="Y641" s="3">
        <f t="shared" si="169"/>
        <v>285.8616088330773</v>
      </c>
      <c r="AA641" s="3"/>
    </row>
    <row r="642" spans="19:27" x14ac:dyDescent="0.25">
      <c r="S642" s="4">
        <v>-0.37492029799491361</v>
      </c>
      <c r="T642" s="4">
        <v>0.90966337141537357</v>
      </c>
      <c r="U642" s="4">
        <f t="shared" si="170"/>
        <v>0.49252311561843337</v>
      </c>
      <c r="W642" s="4">
        <f t="shared" si="171"/>
        <v>-0.60922025601990337</v>
      </c>
      <c r="X642" s="4">
        <f t="shared" si="172"/>
        <v>0.93415405709323784</v>
      </c>
      <c r="Y642" s="3">
        <f t="shared" ref="Y642:Y705" si="173">(B$4*EXP(-B$8*B$7)*NORMSDIST((LN(B$4/(B$5+W642))-B$8*B$7+B$9*B$7+0.5*B$6*B$6*B$7)/(B$6*SQRT(B$7)))-(B$5+W642)*EXP(-B$9*B$7)*NORMSDIST((LN(B$4/(B$5+W642))-B$8*B$7+B$9*B$7-0.5*B$6*B$6*B$7)/(B$6*SQRT(B$7))))*400+100*X642-400*$B$13</f>
        <v>192.00590333548917</v>
      </c>
      <c r="AA642" s="3"/>
    </row>
    <row r="643" spans="19:27" x14ac:dyDescent="0.25">
      <c r="S643" s="4">
        <v>0.46884366684724998</v>
      </c>
      <c r="T643" s="4">
        <v>1.3095339617244943</v>
      </c>
      <c r="U643" s="4">
        <f t="shared" ref="U643:U706" si="174">$B$19*S643+SQRT(1-$B$19^2)*T643</f>
        <v>1.3238746800706971</v>
      </c>
      <c r="W643" s="4">
        <f t="shared" ref="W643:W706" si="175">S643*SQRT($B$16)+$B$20</f>
        <v>0.82556386585433661</v>
      </c>
      <c r="X643" s="4">
        <f t="shared" ref="X643:X706" si="176">U643*SQRT($C$17)+$C$20</f>
        <v>2.399906484434589</v>
      </c>
      <c r="Y643" s="3">
        <f t="shared" si="173"/>
        <v>109.44778738110926</v>
      </c>
      <c r="AA643" s="3"/>
    </row>
    <row r="644" spans="19:27" x14ac:dyDescent="0.25">
      <c r="S644" s="4">
        <v>0.29022352223067388</v>
      </c>
      <c r="T644" s="4">
        <v>0.45973463013911348</v>
      </c>
      <c r="U644" s="4">
        <f t="shared" si="174"/>
        <v>0.54135470671793018</v>
      </c>
      <c r="W644" s="4">
        <f t="shared" si="175"/>
        <v>0.52182803685305379</v>
      </c>
      <c r="X644" s="4">
        <f t="shared" si="176"/>
        <v>1.0202488288426421</v>
      </c>
      <c r="Y644" s="3">
        <f t="shared" si="173"/>
        <v>19.103730619907765</v>
      </c>
      <c r="AA644" s="3"/>
    </row>
    <row r="645" spans="19:27" x14ac:dyDescent="0.25">
      <c r="S645" s="4">
        <v>-0.88676010256128446</v>
      </c>
      <c r="T645" s="4">
        <v>0.27848011496110014</v>
      </c>
      <c r="U645" s="4">
        <f t="shared" si="174"/>
        <v>-0.3198397792195049</v>
      </c>
      <c r="W645" s="4">
        <f t="shared" si="175"/>
        <v>-1.4795817020345097</v>
      </c>
      <c r="X645" s="4">
        <f t="shared" si="176"/>
        <v>-0.4981195271578045</v>
      </c>
      <c r="Y645" s="3">
        <f t="shared" si="173"/>
        <v>192.99619500206336</v>
      </c>
      <c r="AA645" s="3"/>
    </row>
    <row r="646" spans="19:27" x14ac:dyDescent="0.25">
      <c r="S646" s="4">
        <v>1.685390236705981</v>
      </c>
      <c r="T646" s="4">
        <v>-0.27712552230983206</v>
      </c>
      <c r="U646" s="4">
        <f t="shared" si="174"/>
        <v>0.80777630269599998</v>
      </c>
      <c r="W646" s="4">
        <f t="shared" si="175"/>
        <v>2.8942486813766397</v>
      </c>
      <c r="X646" s="4">
        <f t="shared" si="176"/>
        <v>1.4899756179637993</v>
      </c>
      <c r="Y646" s="3">
        <f t="shared" si="173"/>
        <v>-293.50238338699683</v>
      </c>
      <c r="AA646" s="3"/>
    </row>
    <row r="647" spans="19:27" x14ac:dyDescent="0.25">
      <c r="S647" s="4">
        <v>1.9928449351476323</v>
      </c>
      <c r="T647" s="4">
        <v>0.35791154612295262</v>
      </c>
      <c r="U647" s="4">
        <f t="shared" si="174"/>
        <v>1.4985963626276855</v>
      </c>
      <c r="W647" s="4">
        <f t="shared" si="175"/>
        <v>3.4170620959104459</v>
      </c>
      <c r="X647" s="4">
        <f t="shared" si="176"/>
        <v>2.707957544019473</v>
      </c>
      <c r="Y647" s="3">
        <f t="shared" si="173"/>
        <v>-247.18484954757469</v>
      </c>
      <c r="AA647" s="3"/>
    </row>
    <row r="648" spans="19:27" x14ac:dyDescent="0.25">
      <c r="S648" s="4">
        <v>-0.39649979622287762</v>
      </c>
      <c r="T648" s="4">
        <v>-2.0603520116809229</v>
      </c>
      <c r="U648" s="4">
        <f t="shared" si="174"/>
        <v>-1.8749397182886181</v>
      </c>
      <c r="W648" s="4">
        <f t="shared" si="175"/>
        <v>-0.64591525925020588</v>
      </c>
      <c r="X648" s="4">
        <f t="shared" si="176"/>
        <v>-3.2399096529161153</v>
      </c>
      <c r="Y648" s="3">
        <f t="shared" si="173"/>
        <v>-219.40039981757627</v>
      </c>
      <c r="AA648" s="3"/>
    </row>
    <row r="649" spans="19:27" x14ac:dyDescent="0.25">
      <c r="S649" s="4">
        <v>0.94486941353012088</v>
      </c>
      <c r="T649" s="4">
        <v>-9.1477271211373196E-2</v>
      </c>
      <c r="U649" s="4">
        <f t="shared" si="174"/>
        <v>0.50350017347196718</v>
      </c>
      <c r="W649" s="4">
        <f t="shared" si="175"/>
        <v>1.6350250557164503</v>
      </c>
      <c r="X649" s="4">
        <f t="shared" si="176"/>
        <v>0.95350766137073062</v>
      </c>
      <c r="Y649" s="3">
        <f t="shared" si="173"/>
        <v>-159.8138590634735</v>
      </c>
      <c r="AA649" s="3"/>
    </row>
    <row r="650" spans="19:27" x14ac:dyDescent="0.25">
      <c r="S650" s="4">
        <v>1.0310279363217603</v>
      </c>
      <c r="T650" s="4">
        <v>0.16061315234179568</v>
      </c>
      <c r="U650" s="4">
        <f t="shared" si="174"/>
        <v>0.75585439812379851</v>
      </c>
      <c r="W650" s="4">
        <f t="shared" si="175"/>
        <v>1.7815338965967413</v>
      </c>
      <c r="X650" s="4">
        <f t="shared" si="176"/>
        <v>1.3984323276001951</v>
      </c>
      <c r="Y650" s="3">
        <f t="shared" si="173"/>
        <v>-137.5239049134434</v>
      </c>
      <c r="AA650" s="3"/>
    </row>
    <row r="651" spans="19:27" x14ac:dyDescent="0.25">
      <c r="S651" s="4">
        <v>-0.85954223166149102</v>
      </c>
      <c r="T651" s="4">
        <v>0.53161023367514848</v>
      </c>
      <c r="U651" s="4">
        <f t="shared" si="174"/>
        <v>-0.10259293297995586</v>
      </c>
      <c r="W651" s="4">
        <f t="shared" si="175"/>
        <v>-1.4332988899858208</v>
      </c>
      <c r="X651" s="4">
        <f t="shared" si="176"/>
        <v>-0.11509253133123123</v>
      </c>
      <c r="Y651" s="3">
        <f t="shared" si="173"/>
        <v>223.52945292900768</v>
      </c>
      <c r="AA651" s="3"/>
    </row>
    <row r="652" spans="19:27" x14ac:dyDescent="0.25">
      <c r="S652" s="4">
        <v>-0.82597145917509918</v>
      </c>
      <c r="T652" s="4">
        <v>1.2921614013895917</v>
      </c>
      <c r="U652" s="4">
        <f t="shared" si="174"/>
        <v>0.5207553995964348</v>
      </c>
      <c r="W652" s="4">
        <f t="shared" si="175"/>
        <v>-1.3762132436089483</v>
      </c>
      <c r="X652" s="4">
        <f t="shared" si="176"/>
        <v>0.98393027757513485</v>
      </c>
      <c r="Y652" s="3">
        <f t="shared" si="173"/>
        <v>323.86443320845956</v>
      </c>
      <c r="AA652" s="3"/>
    </row>
    <row r="653" spans="19:27" x14ac:dyDescent="0.25">
      <c r="S653" s="4">
        <v>0.42131562129337707</v>
      </c>
      <c r="T653" s="4">
        <v>-1.7218134911439167E-2</v>
      </c>
      <c r="U653" s="4">
        <f t="shared" si="174"/>
        <v>0.24319472494740993</v>
      </c>
      <c r="W653" s="4">
        <f t="shared" si="175"/>
        <v>0.74474448040313568</v>
      </c>
      <c r="X653" s="4">
        <f t="shared" si="176"/>
        <v>0.49456422595850635</v>
      </c>
      <c r="Y653" s="3">
        <f t="shared" si="173"/>
        <v>-68.461079996855915</v>
      </c>
      <c r="AA653" s="3"/>
    </row>
    <row r="654" spans="19:27" x14ac:dyDescent="0.25">
      <c r="S654" s="4">
        <v>1.6220727004411268</v>
      </c>
      <c r="T654" s="4">
        <v>0.18907139495014078</v>
      </c>
      <c r="U654" s="4">
        <f t="shared" si="174"/>
        <v>1.1387270954236615</v>
      </c>
      <c r="W654" s="4">
        <f t="shared" si="175"/>
        <v>2.7865799500081425</v>
      </c>
      <c r="X654" s="4">
        <f t="shared" si="176"/>
        <v>2.0734735609678725</v>
      </c>
      <c r="Y654" s="3">
        <f t="shared" si="173"/>
        <v>-219.44176707548286</v>
      </c>
      <c r="AA654" s="3"/>
    </row>
    <row r="655" spans="19:27" x14ac:dyDescent="0.25">
      <c r="S655" s="4">
        <v>0.96609084369218012</v>
      </c>
      <c r="T655" s="4">
        <v>0.2967579582062434</v>
      </c>
      <c r="U655" s="4">
        <f t="shared" si="174"/>
        <v>0.82418819861877646</v>
      </c>
      <c r="W655" s="4">
        <f t="shared" si="175"/>
        <v>1.6711111796903289</v>
      </c>
      <c r="X655" s="4">
        <f t="shared" si="176"/>
        <v>1.5189113622562065</v>
      </c>
      <c r="Y655" s="3">
        <f t="shared" si="173"/>
        <v>-108.75212470627366</v>
      </c>
      <c r="AA655" s="3"/>
    </row>
    <row r="656" spans="19:27" x14ac:dyDescent="0.25">
      <c r="S656" s="4">
        <v>-0.26423214021126173</v>
      </c>
      <c r="T656" s="4">
        <v>0.62073589329224466</v>
      </c>
      <c r="U656" s="4">
        <f t="shared" si="174"/>
        <v>0.33097058030068427</v>
      </c>
      <c r="W656" s="4">
        <f t="shared" si="175"/>
        <v>-0.42099983196185259</v>
      </c>
      <c r="X656" s="4">
        <f t="shared" si="176"/>
        <v>0.64932146531101953</v>
      </c>
      <c r="Y656" s="3">
        <f t="shared" si="173"/>
        <v>132.85680885442571</v>
      </c>
      <c r="AA656" s="3"/>
    </row>
    <row r="657" spans="19:27" x14ac:dyDescent="0.25">
      <c r="S657" s="4">
        <v>-0.80819531596550709</v>
      </c>
      <c r="T657" s="4">
        <v>-0.45713868526362528</v>
      </c>
      <c r="U657" s="4">
        <f t="shared" si="174"/>
        <v>-0.85506408430490066</v>
      </c>
      <c r="W657" s="4">
        <f t="shared" si="175"/>
        <v>-1.3459856810582576</v>
      </c>
      <c r="X657" s="4">
        <f t="shared" si="176"/>
        <v>-1.4417712358881287</v>
      </c>
      <c r="Y657" s="3">
        <f t="shared" si="173"/>
        <v>76.235249592789842</v>
      </c>
      <c r="AA657" s="3"/>
    </row>
    <row r="658" spans="19:27" x14ac:dyDescent="0.25">
      <c r="S658" s="4">
        <v>-0.54230011697596947</v>
      </c>
      <c r="T658" s="4">
        <v>0.60061740827377741</v>
      </c>
      <c r="U658" s="4">
        <f t="shared" si="174"/>
        <v>0.14550637494574375</v>
      </c>
      <c r="W658" s="4">
        <f t="shared" si="175"/>
        <v>-0.89384239752262473</v>
      </c>
      <c r="X658" s="4">
        <f t="shared" si="176"/>
        <v>0.32233030921324524</v>
      </c>
      <c r="Y658" s="3">
        <f t="shared" si="173"/>
        <v>177.54715906163528</v>
      </c>
      <c r="AA658" s="3"/>
    </row>
    <row r="659" spans="19:27" x14ac:dyDescent="0.25">
      <c r="S659" s="4">
        <v>0.26411234658834154</v>
      </c>
      <c r="T659" s="4">
        <v>-0.76623022231511428</v>
      </c>
      <c r="U659" s="4">
        <f t="shared" si="174"/>
        <v>-0.44637580258345544</v>
      </c>
      <c r="W659" s="4">
        <f t="shared" si="175"/>
        <v>0.47742711221520673</v>
      </c>
      <c r="X659" s="4">
        <f t="shared" si="176"/>
        <v>-0.72121465480579272</v>
      </c>
      <c r="Y659" s="3">
        <f t="shared" si="173"/>
        <v>-148.04158705396912</v>
      </c>
      <c r="AA659" s="3"/>
    </row>
    <row r="660" spans="19:27" x14ac:dyDescent="0.25">
      <c r="S660" s="4">
        <v>-0.22993510047892407</v>
      </c>
      <c r="T660" s="4">
        <v>-1.8333923926302367</v>
      </c>
      <c r="U660" s="4">
        <f t="shared" si="174"/>
        <v>-1.5934890847529819</v>
      </c>
      <c r="W660" s="4">
        <f t="shared" si="175"/>
        <v>-0.36267919955080485</v>
      </c>
      <c r="X660" s="4">
        <f t="shared" si="176"/>
        <v>-2.743685231237881</v>
      </c>
      <c r="Y660" s="3">
        <f t="shared" si="173"/>
        <v>-215.9083043817127</v>
      </c>
      <c r="AA660" s="3"/>
    </row>
    <row r="661" spans="19:27" x14ac:dyDescent="0.25">
      <c r="S661" s="4">
        <v>0.11981288678552721</v>
      </c>
      <c r="T661" s="4">
        <v>1.8121259049398215</v>
      </c>
      <c r="U661" s="4">
        <f t="shared" si="174"/>
        <v>1.5094983511917488</v>
      </c>
      <c r="W661" s="4">
        <f t="shared" si="175"/>
        <v>0.23205212306307194</v>
      </c>
      <c r="X661" s="4">
        <f t="shared" si="176"/>
        <v>2.7271787939501828</v>
      </c>
      <c r="Y661" s="3">
        <f t="shared" si="173"/>
        <v>235.67047787016509</v>
      </c>
      <c r="AA661" s="3"/>
    </row>
    <row r="662" spans="19:27" x14ac:dyDescent="0.25">
      <c r="S662" s="4">
        <v>-1.3368643528818047</v>
      </c>
      <c r="T662" s="4">
        <v>-3.6995093502299937E-2</v>
      </c>
      <c r="U662" s="4">
        <f t="shared" si="174"/>
        <v>-0.84430805279713939</v>
      </c>
      <c r="W662" s="4">
        <f t="shared" si="175"/>
        <v>-2.2449645086690593</v>
      </c>
      <c r="X662" s="4">
        <f t="shared" si="176"/>
        <v>-1.4228073222261048</v>
      </c>
      <c r="Y662" s="3">
        <f t="shared" si="173"/>
        <v>230.66070034754739</v>
      </c>
      <c r="AA662" s="3"/>
    </row>
    <row r="663" spans="19:27" x14ac:dyDescent="0.25">
      <c r="S663" s="4">
        <v>-0.74860208825275643</v>
      </c>
      <c r="T663" s="4">
        <v>-1.3053098051919956</v>
      </c>
      <c r="U663" s="4">
        <f t="shared" si="174"/>
        <v>-1.4910732005182594</v>
      </c>
      <c r="W663" s="4">
        <f t="shared" si="175"/>
        <v>-1.2446499752729494</v>
      </c>
      <c r="X663" s="4">
        <f t="shared" si="176"/>
        <v>-2.563116218879963</v>
      </c>
      <c r="Y663" s="3">
        <f t="shared" si="173"/>
        <v>-52.824096767315041</v>
      </c>
      <c r="AA663" s="3"/>
    </row>
    <row r="664" spans="19:27" x14ac:dyDescent="0.25">
      <c r="S664" s="4">
        <v>-0.96337079373193923</v>
      </c>
      <c r="T664" s="4">
        <v>-7.4121257945047245E-2</v>
      </c>
      <c r="U664" s="4">
        <f t="shared" si="174"/>
        <v>-0.64604766005352898</v>
      </c>
      <c r="W664" s="4">
        <f t="shared" si="175"/>
        <v>-1.6098548682724496</v>
      </c>
      <c r="X664" s="4">
        <f t="shared" si="176"/>
        <v>-1.0732552622608855</v>
      </c>
      <c r="Y664" s="3">
        <f t="shared" si="173"/>
        <v>157.41230317283953</v>
      </c>
      <c r="AA664" s="3"/>
    </row>
    <row r="665" spans="19:27" x14ac:dyDescent="0.25">
      <c r="S665" s="4">
        <v>0.26189499479907719</v>
      </c>
      <c r="T665" s="4">
        <v>-1.4642331422589956</v>
      </c>
      <c r="U665" s="4">
        <f t="shared" si="174"/>
        <v>-1.0010288935435674</v>
      </c>
      <c r="W665" s="4">
        <f t="shared" si="175"/>
        <v>0.4736566014178642</v>
      </c>
      <c r="X665" s="4">
        <f t="shared" si="176"/>
        <v>-1.6991211737437855</v>
      </c>
      <c r="Y665" s="3">
        <f t="shared" si="173"/>
        <v>-245.23724813001672</v>
      </c>
      <c r="AA665" s="3"/>
    </row>
    <row r="666" spans="19:27" x14ac:dyDescent="0.25">
      <c r="S666" s="4">
        <v>0.18155964968047039</v>
      </c>
      <c r="T666" s="4">
        <v>0.31998766894435676</v>
      </c>
      <c r="U666" s="4">
        <f t="shared" si="174"/>
        <v>0.3643344847087886</v>
      </c>
      <c r="W666" s="4">
        <f t="shared" si="175"/>
        <v>0.33704982226603614</v>
      </c>
      <c r="X666" s="4">
        <f t="shared" si="176"/>
        <v>0.70814522407062885</v>
      </c>
      <c r="Y666" s="3">
        <f t="shared" si="173"/>
        <v>17.095320799717683</v>
      </c>
      <c r="AA666" s="3"/>
    </row>
    <row r="667" spans="19:27" x14ac:dyDescent="0.25">
      <c r="S667" s="4">
        <v>0.1680476490770193</v>
      </c>
      <c r="T667" s="4">
        <v>0.48131822247123413</v>
      </c>
      <c r="U667" s="4">
        <f t="shared" si="174"/>
        <v>0.48398270985503711</v>
      </c>
      <c r="W667" s="4">
        <f t="shared" si="175"/>
        <v>0.31407324975477308</v>
      </c>
      <c r="X667" s="4">
        <f t="shared" si="176"/>
        <v>0.91909650381079977</v>
      </c>
      <c r="Y667" s="3">
        <f t="shared" si="173"/>
        <v>41.833878364795055</v>
      </c>
      <c r="AA667" s="3"/>
    </row>
    <row r="668" spans="19:27" x14ac:dyDescent="0.25">
      <c r="S668" s="4">
        <v>-0.35667906772375391</v>
      </c>
      <c r="T668" s="4">
        <v>-0.27765702396483255</v>
      </c>
      <c r="U668" s="4">
        <f t="shared" si="174"/>
        <v>-0.43753602475488151</v>
      </c>
      <c r="W668" s="4">
        <f t="shared" si="175"/>
        <v>-0.57820183304019301</v>
      </c>
      <c r="X668" s="4">
        <f t="shared" si="176"/>
        <v>-0.70562927990134161</v>
      </c>
      <c r="Y668" s="3">
        <f t="shared" si="173"/>
        <v>22.961173597254401</v>
      </c>
      <c r="AA668" s="3"/>
    </row>
    <row r="669" spans="19:27" x14ac:dyDescent="0.25">
      <c r="S669" s="4">
        <v>0.39203602827082157</v>
      </c>
      <c r="T669" s="4">
        <v>-1.2656322603471455</v>
      </c>
      <c r="U669" s="4">
        <f t="shared" si="174"/>
        <v>-0.76426268180564083</v>
      </c>
      <c r="W669" s="4">
        <f t="shared" si="175"/>
        <v>0.69495579907261584</v>
      </c>
      <c r="X669" s="4">
        <f t="shared" si="176"/>
        <v>-1.281679667158145</v>
      </c>
      <c r="Y669" s="3">
        <f t="shared" si="173"/>
        <v>-238.29103194829759</v>
      </c>
      <c r="AA669" s="3"/>
    </row>
    <row r="670" spans="19:27" x14ac:dyDescent="0.25">
      <c r="S670" s="4">
        <v>0.33672019093335015</v>
      </c>
      <c r="T670" s="4">
        <v>0.69022160015473821</v>
      </c>
      <c r="U670" s="4">
        <f t="shared" si="174"/>
        <v>0.75240529498691688</v>
      </c>
      <c r="W670" s="4">
        <f t="shared" si="175"/>
        <v>0.6008936105850704</v>
      </c>
      <c r="X670" s="4">
        <f t="shared" si="176"/>
        <v>1.3923512284464745</v>
      </c>
      <c r="Y670" s="3">
        <f t="shared" si="173"/>
        <v>43.872117082421028</v>
      </c>
      <c r="AA670" s="3"/>
    </row>
    <row r="671" spans="19:27" x14ac:dyDescent="0.25">
      <c r="S671" s="4">
        <v>-2.0882269540702183E-2</v>
      </c>
      <c r="T671" s="4">
        <v>-1.3619493654132742</v>
      </c>
      <c r="U671" s="4">
        <f t="shared" si="174"/>
        <v>-1.0923366895972904</v>
      </c>
      <c r="W671" s="4">
        <f t="shared" si="175"/>
        <v>-7.1939039454999264E-3</v>
      </c>
      <c r="X671" s="4">
        <f t="shared" si="176"/>
        <v>-1.8601055628080083</v>
      </c>
      <c r="Y671" s="3">
        <f t="shared" si="173"/>
        <v>-184.85759660485792</v>
      </c>
      <c r="AA671" s="3"/>
    </row>
    <row r="672" spans="19:27" x14ac:dyDescent="0.25">
      <c r="S672" s="4">
        <v>-0.8885974182592189</v>
      </c>
      <c r="T672" s="4">
        <v>-0.83916668285273721</v>
      </c>
      <c r="U672" s="4">
        <f t="shared" si="174"/>
        <v>-1.2069095444834699</v>
      </c>
      <c r="W672" s="4">
        <f t="shared" si="175"/>
        <v>-1.4827059778985066</v>
      </c>
      <c r="X672" s="4">
        <f t="shared" si="176"/>
        <v>-2.0621084787073616</v>
      </c>
      <c r="Y672" s="3">
        <f t="shared" si="173"/>
        <v>37.122176695283088</v>
      </c>
      <c r="AA672" s="3"/>
    </row>
    <row r="673" spans="19:27" x14ac:dyDescent="0.25">
      <c r="S673" s="4">
        <v>-0.12284724870614848</v>
      </c>
      <c r="T673" s="4">
        <v>2.1670355965031094</v>
      </c>
      <c r="U673" s="4">
        <f t="shared" si="174"/>
        <v>1.642901398345286</v>
      </c>
      <c r="W673" s="4">
        <f t="shared" si="175"/>
        <v>-0.18058094011880563</v>
      </c>
      <c r="X673" s="4">
        <f t="shared" si="176"/>
        <v>2.9623811421996371</v>
      </c>
      <c r="Y673" s="3">
        <f t="shared" si="173"/>
        <v>325.26066928141699</v>
      </c>
      <c r="AA673" s="3"/>
    </row>
    <row r="674" spans="19:27" x14ac:dyDescent="0.25">
      <c r="S674" s="4">
        <v>0.86939216156145116</v>
      </c>
      <c r="T674" s="4">
        <v>0.18508747319800622</v>
      </c>
      <c r="U674" s="4">
        <f t="shared" si="174"/>
        <v>0.67671822224792444</v>
      </c>
      <c r="W674" s="4">
        <f t="shared" si="175"/>
        <v>1.5066792538101006</v>
      </c>
      <c r="X674" s="4">
        <f t="shared" si="176"/>
        <v>1.2589076705954327</v>
      </c>
      <c r="Y674" s="3">
        <f t="shared" si="173"/>
        <v>-109.73517363499786</v>
      </c>
      <c r="AA674" s="3"/>
    </row>
    <row r="675" spans="19:27" x14ac:dyDescent="0.25">
      <c r="S675" s="4">
        <v>-0.18081338305231717</v>
      </c>
      <c r="T675" s="4">
        <v>-7.8593932764314381E-2</v>
      </c>
      <c r="U675" s="4">
        <f t="shared" si="174"/>
        <v>-0.17252865582971016</v>
      </c>
      <c r="W675" s="4">
        <f t="shared" si="175"/>
        <v>-0.27914984402058535</v>
      </c>
      <c r="X675" s="4">
        <f t="shared" si="176"/>
        <v>-0.23839590851611345</v>
      </c>
      <c r="Y675" s="3">
        <f t="shared" si="173"/>
        <v>21.096047595500295</v>
      </c>
      <c r="AA675" s="3"/>
    </row>
    <row r="676" spans="19:27" x14ac:dyDescent="0.25">
      <c r="S676" s="4">
        <v>-0.79351344482639652</v>
      </c>
      <c r="T676" s="4">
        <v>0.38587396963284543</v>
      </c>
      <c r="U676" s="4">
        <f t="shared" si="174"/>
        <v>-0.17786428467711174</v>
      </c>
      <c r="W676" s="4">
        <f t="shared" si="175"/>
        <v>-1.3210197943084718</v>
      </c>
      <c r="X676" s="4">
        <f t="shared" si="176"/>
        <v>-0.24780313317157446</v>
      </c>
      <c r="Y676" s="3">
        <f t="shared" si="173"/>
        <v>191.45728579466959</v>
      </c>
      <c r="AA676" s="3"/>
    </row>
    <row r="677" spans="19:27" x14ac:dyDescent="0.25">
      <c r="S677" s="4">
        <v>1.2097867518213883E-2</v>
      </c>
      <c r="T677" s="4">
        <v>-0.58043503929801687</v>
      </c>
      <c r="U677" s="4">
        <f t="shared" si="174"/>
        <v>-0.45273109319956495</v>
      </c>
      <c r="W677" s="4">
        <f t="shared" si="175"/>
        <v>4.8887392437216112E-2</v>
      </c>
      <c r="X677" s="4">
        <f t="shared" si="176"/>
        <v>-0.73241964081331845</v>
      </c>
      <c r="Y677" s="3">
        <f t="shared" si="173"/>
        <v>-81.070010209210068</v>
      </c>
      <c r="AA677" s="3"/>
    </row>
    <row r="678" spans="19:27" x14ac:dyDescent="0.25">
      <c r="S678" s="4">
        <v>-0.62656866783722209</v>
      </c>
      <c r="T678" s="4">
        <v>-0.28110696580568906</v>
      </c>
      <c r="U678" s="4">
        <f t="shared" si="174"/>
        <v>-0.60480148808424261</v>
      </c>
      <c r="W678" s="4">
        <f t="shared" si="175"/>
        <v>-1.0371374228934869</v>
      </c>
      <c r="X678" s="4">
        <f t="shared" si="176"/>
        <v>-1.0005343108997702</v>
      </c>
      <c r="Y678" s="3">
        <f t="shared" si="173"/>
        <v>68.944718998134249</v>
      </c>
      <c r="AA678" s="3"/>
    </row>
    <row r="679" spans="19:27" x14ac:dyDescent="0.25">
      <c r="S679" s="4">
        <v>-1.1373294366265572</v>
      </c>
      <c r="T679" s="4">
        <v>-7.3479231558161523E-2</v>
      </c>
      <c r="U679" s="4">
        <f t="shared" si="174"/>
        <v>-0.75158780090895794</v>
      </c>
      <c r="W679" s="4">
        <f t="shared" si="175"/>
        <v>-1.9056640152471944</v>
      </c>
      <c r="X679" s="4">
        <f t="shared" si="176"/>
        <v>-1.2593326382536938</v>
      </c>
      <c r="Y679" s="3">
        <f t="shared" si="173"/>
        <v>188.93430501062994</v>
      </c>
      <c r="AA679" s="3"/>
    </row>
    <row r="680" spans="19:27" x14ac:dyDescent="0.25">
      <c r="S680" s="4">
        <v>0.47853657552185419</v>
      </c>
      <c r="T680" s="4">
        <v>0.96950507787796547</v>
      </c>
      <c r="U680" s="4">
        <f t="shared" si="174"/>
        <v>1.06024551103136</v>
      </c>
      <c r="W680" s="4">
        <f t="shared" si="175"/>
        <v>0.84204623775048737</v>
      </c>
      <c r="X680" s="4">
        <f t="shared" si="176"/>
        <v>1.9351030114394052</v>
      </c>
      <c r="Y680" s="3">
        <f t="shared" si="173"/>
        <v>60.396704924384721</v>
      </c>
      <c r="AA680" s="3"/>
    </row>
    <row r="681" spans="19:27" x14ac:dyDescent="0.25">
      <c r="S681" s="4">
        <v>2.3563677453659331</v>
      </c>
      <c r="T681" s="4">
        <v>1.0497364705912917</v>
      </c>
      <c r="U681" s="4">
        <f t="shared" si="174"/>
        <v>2.2686120747339782</v>
      </c>
      <c r="W681" s="4">
        <f t="shared" si="175"/>
        <v>4.0352169090730206</v>
      </c>
      <c r="X681" s="4">
        <f t="shared" si="176"/>
        <v>4.0655689894906697</v>
      </c>
      <c r="Y681" s="3">
        <f t="shared" si="173"/>
        <v>-198.95576590104019</v>
      </c>
      <c r="AA681" s="3"/>
    </row>
    <row r="682" spans="19:27" x14ac:dyDescent="0.25">
      <c r="S682" s="4">
        <v>0.49708084301504812</v>
      </c>
      <c r="T682" s="4">
        <v>0.94405919762936596</v>
      </c>
      <c r="U682" s="4">
        <f t="shared" si="174"/>
        <v>1.0513797640642237</v>
      </c>
      <c r="W682" s="4">
        <f t="shared" si="175"/>
        <v>0.87357996241719604</v>
      </c>
      <c r="X682" s="4">
        <f t="shared" si="176"/>
        <v>1.9194718504565833</v>
      </c>
      <c r="Y682" s="3">
        <f t="shared" si="173"/>
        <v>53.919172129751132</v>
      </c>
      <c r="AA682" s="3"/>
    </row>
    <row r="683" spans="19:27" x14ac:dyDescent="0.25">
      <c r="S683" s="4">
        <v>-0.50609152353915066</v>
      </c>
      <c r="T683" s="4">
        <v>-1.0207483264709651</v>
      </c>
      <c r="U683" s="4">
        <f t="shared" si="174"/>
        <v>-1.1176637363288748</v>
      </c>
      <c r="W683" s="4">
        <f t="shared" si="175"/>
        <v>-0.8322712507289054</v>
      </c>
      <c r="X683" s="4">
        <f t="shared" si="176"/>
        <v>-1.9047595717875505</v>
      </c>
      <c r="Y683" s="3">
        <f t="shared" si="173"/>
        <v>-55.305311043663551</v>
      </c>
      <c r="AA683" s="3"/>
    </row>
    <row r="684" spans="19:27" x14ac:dyDescent="0.25">
      <c r="S684" s="4">
        <v>-0.41609501696312018</v>
      </c>
      <c r="T684" s="4">
        <v>-1.2128053210553509</v>
      </c>
      <c r="U684" s="4">
        <f t="shared" si="174"/>
        <v>-1.2150419047198788</v>
      </c>
      <c r="W684" s="4">
        <f t="shared" si="175"/>
        <v>-0.67923608445039096</v>
      </c>
      <c r="X684" s="4">
        <f t="shared" si="176"/>
        <v>-2.0764466086468705</v>
      </c>
      <c r="Y684" s="3">
        <f t="shared" si="173"/>
        <v>-97.59965140425993</v>
      </c>
      <c r="AA684" s="3"/>
    </row>
    <row r="685" spans="19:27" x14ac:dyDescent="0.25">
      <c r="S685" s="4">
        <v>-0.75166564344104869</v>
      </c>
      <c r="T685" s="4">
        <v>-1.1410897046949304</v>
      </c>
      <c r="U685" s="4">
        <f t="shared" si="174"/>
        <v>-1.3627648491011306</v>
      </c>
      <c r="W685" s="4">
        <f t="shared" si="175"/>
        <v>-1.2498594183444716</v>
      </c>
      <c r="X685" s="4">
        <f t="shared" si="176"/>
        <v>-2.33689630713693</v>
      </c>
      <c r="Y685" s="3">
        <f t="shared" si="173"/>
        <v>-29.333357753688688</v>
      </c>
      <c r="AA685" s="3"/>
    </row>
    <row r="686" spans="19:27" x14ac:dyDescent="0.25">
      <c r="S686" s="4">
        <v>0.3117483463481503</v>
      </c>
      <c r="T686" s="4">
        <v>0.75817484085141962</v>
      </c>
      <c r="U686" s="4">
        <f t="shared" si="174"/>
        <v>0.79104789292099897</v>
      </c>
      <c r="W686" s="4">
        <f t="shared" si="175"/>
        <v>0.55843006912361648</v>
      </c>
      <c r="X686" s="4">
        <f t="shared" si="176"/>
        <v>1.4604818294371327</v>
      </c>
      <c r="Y686" s="3">
        <f t="shared" si="173"/>
        <v>57.363309962614039</v>
      </c>
      <c r="AA686" s="3"/>
    </row>
    <row r="687" spans="19:27" x14ac:dyDescent="0.25">
      <c r="S687" s="4">
        <v>1.3687314461632272</v>
      </c>
      <c r="T687" s="4">
        <v>-0.83155511405453286</v>
      </c>
      <c r="U687" s="4">
        <f t="shared" si="174"/>
        <v>0.17524212629664582</v>
      </c>
      <c r="W687" s="4">
        <f t="shared" si="175"/>
        <v>2.3557841063842329</v>
      </c>
      <c r="X687" s="4">
        <f t="shared" si="176"/>
        <v>0.37475728666185304</v>
      </c>
      <c r="Y687" s="3">
        <f t="shared" si="173"/>
        <v>-325.88047316706161</v>
      </c>
      <c r="AA687" s="3"/>
    </row>
    <row r="688" spans="19:27" x14ac:dyDescent="0.25">
      <c r="S688" s="4">
        <v>-1.142125574742491</v>
      </c>
      <c r="T688" s="4">
        <v>1.2895721763491284</v>
      </c>
      <c r="U688" s="4">
        <f t="shared" si="174"/>
        <v>0.32596833873752362</v>
      </c>
      <c r="W688" s="4">
        <f t="shared" si="175"/>
        <v>-1.9138196406374597</v>
      </c>
      <c r="X688" s="4">
        <f t="shared" si="176"/>
        <v>0.64050203436644526</v>
      </c>
      <c r="Y688" s="3">
        <f t="shared" si="173"/>
        <v>380.30646801737112</v>
      </c>
      <c r="AA688" s="3"/>
    </row>
    <row r="689" spans="19:27" x14ac:dyDescent="0.25">
      <c r="S689" s="4">
        <v>0.34514545404028524</v>
      </c>
      <c r="T689" s="4">
        <v>0.19006993812191469</v>
      </c>
      <c r="U689" s="4">
        <f t="shared" si="174"/>
        <v>0.36107529260727278</v>
      </c>
      <c r="W689" s="4">
        <f t="shared" si="175"/>
        <v>0.61522040603041106</v>
      </c>
      <c r="X689" s="4">
        <f t="shared" si="176"/>
        <v>0.70239895626019166</v>
      </c>
      <c r="Y689" s="3">
        <f t="shared" si="173"/>
        <v>-27.37416578890543</v>
      </c>
      <c r="AA689" s="3"/>
    </row>
    <row r="690" spans="19:27" x14ac:dyDescent="0.25">
      <c r="S690" s="4">
        <v>0.29345008179609339</v>
      </c>
      <c r="T690" s="4">
        <v>-0.35332956640140367</v>
      </c>
      <c r="U690" s="4">
        <f t="shared" si="174"/>
        <v>-0.10118781006378672</v>
      </c>
      <c r="W690" s="4">
        <f t="shared" si="175"/>
        <v>0.52731466181648334</v>
      </c>
      <c r="X690" s="4">
        <f t="shared" si="176"/>
        <v>-0.11261516506026639</v>
      </c>
      <c r="Y690" s="3">
        <f t="shared" si="173"/>
        <v>-95.047084863732834</v>
      </c>
      <c r="AA690" s="3"/>
    </row>
    <row r="691" spans="19:27" x14ac:dyDescent="0.25">
      <c r="S691" s="4">
        <v>1.4770790008739887</v>
      </c>
      <c r="T691" s="4">
        <v>-0.14622618681502061</v>
      </c>
      <c r="U691" s="4">
        <f t="shared" si="174"/>
        <v>0.78454798405435622</v>
      </c>
      <c r="W691" s="4">
        <f t="shared" si="175"/>
        <v>2.5400244361688555</v>
      </c>
      <c r="X691" s="4">
        <f t="shared" si="176"/>
        <v>1.4490218676037101</v>
      </c>
      <c r="Y691" s="3">
        <f t="shared" si="173"/>
        <v>-245.69490910277773</v>
      </c>
      <c r="AA691" s="3"/>
    </row>
    <row r="692" spans="19:27" x14ac:dyDescent="0.25">
      <c r="S692" s="4">
        <v>-0.31698882914174809</v>
      </c>
      <c r="T692" s="4">
        <v>-0.85111195814893681</v>
      </c>
      <c r="U692" s="4">
        <f t="shared" si="174"/>
        <v>-0.86791311930186721</v>
      </c>
      <c r="W692" s="4">
        <f t="shared" si="175"/>
        <v>-0.51071029928938283</v>
      </c>
      <c r="X692" s="4">
        <f t="shared" si="176"/>
        <v>-1.4644253151502591</v>
      </c>
      <c r="Y692" s="3">
        <f t="shared" si="173"/>
        <v>-63.924817818166957</v>
      </c>
      <c r="AA692" s="3"/>
    </row>
    <row r="693" spans="19:27" x14ac:dyDescent="0.25">
      <c r="S693" s="4">
        <v>-3.5849116216266474</v>
      </c>
      <c r="T693" s="4">
        <v>1.0194287153257888</v>
      </c>
      <c r="U693" s="4">
        <f t="shared" si="174"/>
        <v>-1.3773491040486929</v>
      </c>
      <c r="W693" s="4">
        <f t="shared" si="175"/>
        <v>-6.0676716410140807</v>
      </c>
      <c r="X693" s="4">
        <f t="shared" si="176"/>
        <v>-2.3626097453553792</v>
      </c>
      <c r="Y693" s="3">
        <f t="shared" si="173"/>
        <v>834.17375474779692</v>
      </c>
      <c r="AA693" s="3"/>
    </row>
    <row r="694" spans="19:27" x14ac:dyDescent="0.25">
      <c r="S694" s="4">
        <v>-0.15561945779325312</v>
      </c>
      <c r="T694" s="4">
        <v>-0.26291379057386571</v>
      </c>
      <c r="U694" s="4">
        <f t="shared" si="174"/>
        <v>-0.30327875708636187</v>
      </c>
      <c r="W694" s="4">
        <f t="shared" si="175"/>
        <v>-0.23630866398020123</v>
      </c>
      <c r="X694" s="4">
        <f t="shared" si="176"/>
        <v>-0.46892085907458336</v>
      </c>
      <c r="Y694" s="3">
        <f t="shared" si="173"/>
        <v>-8.8789752008974574</v>
      </c>
      <c r="AA694" s="3"/>
    </row>
    <row r="695" spans="19:27" x14ac:dyDescent="0.25">
      <c r="S695" s="4">
        <v>1.6795393011871189</v>
      </c>
      <c r="T695" s="4">
        <v>0.4263735220345064</v>
      </c>
      <c r="U695" s="4">
        <f t="shared" si="174"/>
        <v>1.3618675196419785</v>
      </c>
      <c r="W695" s="4">
        <f t="shared" si="175"/>
        <v>2.8842994186321191</v>
      </c>
      <c r="X695" s="4">
        <f t="shared" si="176"/>
        <v>2.4668914992037458</v>
      </c>
      <c r="Y695" s="3">
        <f t="shared" si="173"/>
        <v>-194.36140658300974</v>
      </c>
      <c r="AA695" s="3"/>
    </row>
    <row r="696" spans="19:27" x14ac:dyDescent="0.25">
      <c r="S696" s="4">
        <v>-0.20097978951259221</v>
      </c>
      <c r="T696" s="4">
        <v>-0.35656927855567572</v>
      </c>
      <c r="U696" s="4">
        <f t="shared" si="174"/>
        <v>-0.4051713852286209</v>
      </c>
      <c r="W696" s="4">
        <f t="shared" si="175"/>
        <v>-0.31344194582879337</v>
      </c>
      <c r="X696" s="4">
        <f t="shared" si="176"/>
        <v>-0.64856732082882906</v>
      </c>
      <c r="Y696" s="3">
        <f t="shared" si="173"/>
        <v>-14.373106690534314</v>
      </c>
      <c r="AA696" s="3"/>
    </row>
    <row r="697" spans="19:27" x14ac:dyDescent="0.25">
      <c r="S697" s="4">
        <v>-1.2296027003360401</v>
      </c>
      <c r="T697" s="4">
        <v>6.7752486696547098E-2</v>
      </c>
      <c r="U697" s="4">
        <f t="shared" si="174"/>
        <v>-0.69588638537211955</v>
      </c>
      <c r="W697" s="4">
        <f t="shared" si="175"/>
        <v>-2.0625707085410308</v>
      </c>
      <c r="X697" s="4">
        <f t="shared" si="176"/>
        <v>-1.1611257080926112</v>
      </c>
      <c r="Y697" s="3">
        <f t="shared" si="173"/>
        <v>225.53440499848421</v>
      </c>
      <c r="AA697" s="3"/>
    </row>
    <row r="698" spans="19:27" x14ac:dyDescent="0.25">
      <c r="S698" s="4">
        <v>-1.4113618324262818</v>
      </c>
      <c r="T698" s="4">
        <v>2.0834173173244723</v>
      </c>
      <c r="U698" s="4">
        <f t="shared" si="174"/>
        <v>0.79111061641887526</v>
      </c>
      <c r="W698" s="4">
        <f t="shared" si="175"/>
        <v>-2.3716442499519919</v>
      </c>
      <c r="X698" s="4">
        <f t="shared" si="176"/>
        <v>1.4605924169709688</v>
      </c>
      <c r="Y698" s="3">
        <f t="shared" si="173"/>
        <v>540.84062705456108</v>
      </c>
      <c r="AA698" s="3"/>
    </row>
    <row r="699" spans="19:27" x14ac:dyDescent="0.25">
      <c r="S699" s="4">
        <v>-4.3412148298823949E-2</v>
      </c>
      <c r="T699" s="4">
        <v>6.4034575866719873E-2</v>
      </c>
      <c r="U699" s="4">
        <f t="shared" si="174"/>
        <v>2.4294683017297137E-2</v>
      </c>
      <c r="W699" s="4">
        <f t="shared" si="175"/>
        <v>-4.5504988154875609E-2</v>
      </c>
      <c r="X699" s="4">
        <f t="shared" si="176"/>
        <v>0.10862248780158021</v>
      </c>
      <c r="Y699" s="3">
        <f t="shared" si="173"/>
        <v>18.159795463686805</v>
      </c>
      <c r="AA699" s="3"/>
    </row>
    <row r="700" spans="19:27" x14ac:dyDescent="0.25">
      <c r="S700" s="4">
        <v>-1.3557866004266823</v>
      </c>
      <c r="T700" s="4">
        <v>-0.30741293945099202</v>
      </c>
      <c r="U700" s="4">
        <f t="shared" si="174"/>
        <v>-1.0702015453533105</v>
      </c>
      <c r="W700" s="4">
        <f t="shared" si="175"/>
        <v>-2.2771409720626372</v>
      </c>
      <c r="X700" s="4">
        <f t="shared" si="176"/>
        <v>-1.8210791836051969</v>
      </c>
      <c r="Y700" s="3">
        <f t="shared" si="173"/>
        <v>196.37268909232625</v>
      </c>
      <c r="AA700" s="3"/>
    </row>
    <row r="701" spans="19:27" x14ac:dyDescent="0.25">
      <c r="S701" s="4">
        <v>0.19186997118401025</v>
      </c>
      <c r="T701" s="4">
        <v>1.7439386761845164</v>
      </c>
      <c r="U701" s="4">
        <f t="shared" si="174"/>
        <v>1.4993744855402045</v>
      </c>
      <c r="W701" s="4">
        <f t="shared" si="175"/>
        <v>0.35458207796916369</v>
      </c>
      <c r="X701" s="4">
        <f t="shared" si="176"/>
        <v>2.709329449235705</v>
      </c>
      <c r="Y701" s="3">
        <f t="shared" si="173"/>
        <v>214.43545322531827</v>
      </c>
      <c r="AA701" s="3"/>
    </row>
    <row r="702" spans="19:27" x14ac:dyDescent="0.25">
      <c r="S702" s="4">
        <v>-1.4565673519868019</v>
      </c>
      <c r="T702" s="4">
        <v>2.1980756853252141</v>
      </c>
      <c r="U702" s="4">
        <f t="shared" si="174"/>
        <v>0.85444109629470966</v>
      </c>
      <c r="W702" s="4">
        <f t="shared" si="175"/>
        <v>-2.4485142804215232</v>
      </c>
      <c r="X702" s="4">
        <f t="shared" si="176"/>
        <v>1.5722501182033659</v>
      </c>
      <c r="Y702" s="3">
        <f t="shared" si="173"/>
        <v>565.30093236254197</v>
      </c>
      <c r="AA702" s="3"/>
    </row>
    <row r="703" spans="19:27" x14ac:dyDescent="0.25">
      <c r="S703" s="4">
        <v>0.4454206362455651</v>
      </c>
      <c r="T703" s="4">
        <v>-1.6213947182107846</v>
      </c>
      <c r="U703" s="4">
        <f t="shared" si="174"/>
        <v>-1.0137282946615931</v>
      </c>
      <c r="W703" s="4">
        <f t="shared" si="175"/>
        <v>0.78573401557178935</v>
      </c>
      <c r="X703" s="4">
        <f t="shared" si="176"/>
        <v>-1.7215114341467854</v>
      </c>
      <c r="Y703" s="3">
        <f t="shared" si="173"/>
        <v>-296.4760722035021</v>
      </c>
      <c r="AA703" s="3"/>
    </row>
    <row r="704" spans="19:27" x14ac:dyDescent="0.25">
      <c r="S704" s="4">
        <v>1.2233609352311705</v>
      </c>
      <c r="T704" s="4">
        <v>-0.32352997403712541</v>
      </c>
      <c r="U704" s="4">
        <f t="shared" si="174"/>
        <v>0.48932849325950739</v>
      </c>
      <c r="W704" s="4">
        <f t="shared" si="175"/>
        <v>2.1085878411193644</v>
      </c>
      <c r="X704" s="4">
        <f t="shared" si="176"/>
        <v>0.92852163192288306</v>
      </c>
      <c r="Y704" s="3">
        <f t="shared" si="173"/>
        <v>-233.69009665738622</v>
      </c>
      <c r="AA704" s="3"/>
    </row>
    <row r="705" spans="19:27" x14ac:dyDescent="0.25">
      <c r="S705" s="4">
        <v>0.39240942897852943</v>
      </c>
      <c r="T705" s="4">
        <v>-0.60070008097989003</v>
      </c>
      <c r="U705" s="4">
        <f t="shared" si="174"/>
        <v>-0.23694861668232939</v>
      </c>
      <c r="W705" s="4">
        <f t="shared" si="175"/>
        <v>0.69559075082315192</v>
      </c>
      <c r="X705" s="4">
        <f t="shared" si="176"/>
        <v>-0.351974469051057</v>
      </c>
      <c r="Y705" s="3">
        <f t="shared" si="173"/>
        <v>-145.4199938161637</v>
      </c>
      <c r="AA705" s="3"/>
    </row>
    <row r="706" spans="19:27" x14ac:dyDescent="0.25">
      <c r="S706" s="4">
        <v>1.5359389059200355</v>
      </c>
      <c r="T706" s="4">
        <v>1.4586295829511853</v>
      </c>
      <c r="U706" s="4">
        <f t="shared" si="174"/>
        <v>2.0925866556870512</v>
      </c>
      <c r="W706" s="4">
        <f t="shared" si="175"/>
        <v>2.6401131584821993</v>
      </c>
      <c r="X706" s="4">
        <f t="shared" si="176"/>
        <v>3.7552193176141246</v>
      </c>
      <c r="Y706" s="3">
        <f t="shared" ref="Y706:Y769" si="177">(B$4*EXP(-B$8*B$7)*NORMSDIST((LN(B$4/(B$5+W706))-B$8*B$7+B$9*B$7+0.5*B$6*B$6*B$7)/(B$6*SQRT(B$7)))-(B$5+W706)*EXP(-B$9*B$7)*NORMSDIST((LN(B$4/(B$5+W706))-B$8*B$7+B$9*B$7-0.5*B$6*B$6*B$7)/(B$6*SQRT(B$7))))*400+100*X706-400*$B$13</f>
        <v>-29.803409891010688</v>
      </c>
      <c r="AA706" s="3"/>
    </row>
    <row r="707" spans="19:27" x14ac:dyDescent="0.25">
      <c r="S707" s="4">
        <v>-0.12083212746169872</v>
      </c>
      <c r="T707" s="4">
        <v>0.6322348544080475</v>
      </c>
      <c r="U707" s="4">
        <f t="shared" ref="U707:U770" si="178">$B$19*S707+SQRT(1-$B$19^2)*T707</f>
        <v>0.42750556229544645</v>
      </c>
      <c r="W707" s="4">
        <f t="shared" ref="W707:W770" si="179">S707*SQRT($B$16)+$B$20</f>
        <v>-0.17715431361464004</v>
      </c>
      <c r="X707" s="4">
        <f t="shared" ref="X707:X770" si="180">U707*SQRT($C$17)+$C$20</f>
        <v>0.81952188380112156</v>
      </c>
      <c r="Y707" s="3">
        <f t="shared" si="177"/>
        <v>110.42245140806745</v>
      </c>
      <c r="AA707" s="3"/>
    </row>
    <row r="708" spans="19:27" x14ac:dyDescent="0.25">
      <c r="S708" s="4">
        <v>-1.6535263172981161</v>
      </c>
      <c r="T708" s="4">
        <v>-0.76475878516992724</v>
      </c>
      <c r="U708" s="4">
        <f t="shared" si="178"/>
        <v>-1.6142447216796363</v>
      </c>
      <c r="W708" s="4">
        <f t="shared" si="179"/>
        <v>-2.7834344806961524</v>
      </c>
      <c r="X708" s="4">
        <f t="shared" si="180"/>
        <v>-2.7802794069237158</v>
      </c>
      <c r="Y708" s="3">
        <f t="shared" si="177"/>
        <v>188.34224700868799</v>
      </c>
      <c r="AA708" s="3"/>
    </row>
    <row r="709" spans="19:27" x14ac:dyDescent="0.25">
      <c r="S709" s="4">
        <v>-1.1371453940983798</v>
      </c>
      <c r="T709" s="4">
        <v>-0.83447525556521562</v>
      </c>
      <c r="U709" s="4">
        <f t="shared" si="178"/>
        <v>-1.3547110791527177</v>
      </c>
      <c r="W709" s="4">
        <f t="shared" si="179"/>
        <v>-1.9053510588895146</v>
      </c>
      <c r="X709" s="4">
        <f t="shared" si="180"/>
        <v>-2.3226967394018132</v>
      </c>
      <c r="Y709" s="3">
        <f t="shared" si="177"/>
        <v>82.54461343713001</v>
      </c>
      <c r="AA709" s="3"/>
    </row>
    <row r="710" spans="19:27" x14ac:dyDescent="0.25">
      <c r="S710" s="4">
        <v>0.48813690808772392</v>
      </c>
      <c r="T710" s="4">
        <v>-0.13519395396408485</v>
      </c>
      <c r="U710" s="4">
        <f t="shared" si="178"/>
        <v>0.19041198209307417</v>
      </c>
      <c r="W710" s="4">
        <f t="shared" si="179"/>
        <v>0.85837118797848</v>
      </c>
      <c r="X710" s="4">
        <f t="shared" si="180"/>
        <v>0.40150319526032041</v>
      </c>
      <c r="Y710" s="3">
        <f t="shared" si="177"/>
        <v>-95.508093741977973</v>
      </c>
      <c r="AA710" s="3"/>
    </row>
    <row r="711" spans="19:27" x14ac:dyDescent="0.25">
      <c r="S711" s="4">
        <v>1.0391821640475638</v>
      </c>
      <c r="T711" s="4">
        <v>-0.31332331393218765</v>
      </c>
      <c r="U711" s="4">
        <f t="shared" si="178"/>
        <v>0.38513974298149056</v>
      </c>
      <c r="W711" s="4">
        <f t="shared" si="179"/>
        <v>1.7953998081011726</v>
      </c>
      <c r="X711" s="4">
        <f t="shared" si="180"/>
        <v>0.74482688694182164</v>
      </c>
      <c r="Y711" s="3">
        <f t="shared" si="177"/>
        <v>-204.98016268446827</v>
      </c>
      <c r="AA711" s="3"/>
    </row>
    <row r="712" spans="19:27" x14ac:dyDescent="0.25">
      <c r="S712" s="4">
        <v>-0.3733899580363953</v>
      </c>
      <c r="T712" s="4">
        <v>-0.26798519304972734</v>
      </c>
      <c r="U712" s="4">
        <f t="shared" si="178"/>
        <v>-0.44005657316546065</v>
      </c>
      <c r="W712" s="4">
        <f t="shared" si="179"/>
        <v>-0.60661797912133675</v>
      </c>
      <c r="X712" s="4">
        <f t="shared" si="180"/>
        <v>-0.7100732481441534</v>
      </c>
      <c r="Y712" s="3">
        <f t="shared" si="177"/>
        <v>27.157936731565314</v>
      </c>
      <c r="AA712" s="3"/>
    </row>
    <row r="713" spans="19:27" x14ac:dyDescent="0.25">
      <c r="S713" s="4">
        <v>-0.73833088746302167</v>
      </c>
      <c r="T713" s="4">
        <v>0.46823049116580845</v>
      </c>
      <c r="U713" s="4">
        <f t="shared" si="178"/>
        <v>-7.8940409156460778E-2</v>
      </c>
      <c r="W713" s="4">
        <f t="shared" si="179"/>
        <v>-1.2271842426513264</v>
      </c>
      <c r="X713" s="4">
        <f t="shared" si="180"/>
        <v>-7.339086660906452E-2</v>
      </c>
      <c r="Y713" s="3">
        <f t="shared" si="177"/>
        <v>193.2368261596248</v>
      </c>
      <c r="AA713" s="3"/>
    </row>
    <row r="714" spans="19:27" x14ac:dyDescent="0.25">
      <c r="S714" s="4">
        <v>-1.5662481460429463</v>
      </c>
      <c r="T714" s="4">
        <v>-1.3032306355687739</v>
      </c>
      <c r="U714" s="4">
        <f t="shared" si="178"/>
        <v>-1.9878803393796198</v>
      </c>
      <c r="W714" s="4">
        <f t="shared" si="179"/>
        <v>-2.6350217260384405</v>
      </c>
      <c r="X714" s="4">
        <f t="shared" si="180"/>
        <v>-3.4390347843142188</v>
      </c>
      <c r="Y714" s="3">
        <f t="shared" si="177"/>
        <v>96.560414457526349</v>
      </c>
      <c r="AA714" s="3"/>
    </row>
    <row r="715" spans="19:27" x14ac:dyDescent="0.25">
      <c r="S715" s="4">
        <v>1.1114320281104073</v>
      </c>
      <c r="T715" s="4">
        <v>-0.81865491598075768</v>
      </c>
      <c r="U715" s="4">
        <f t="shared" si="178"/>
        <v>2.8612544280626429E-2</v>
      </c>
      <c r="W715" s="4">
        <f t="shared" si="179"/>
        <v>1.9182575764870642</v>
      </c>
      <c r="X715" s="4">
        <f t="shared" si="180"/>
        <v>0.1162352907338967</v>
      </c>
      <c r="Y715" s="3">
        <f t="shared" si="177"/>
        <v>-286.36614500715041</v>
      </c>
      <c r="AA715" s="3"/>
    </row>
    <row r="716" spans="19:27" x14ac:dyDescent="0.25">
      <c r="S716" s="4">
        <v>-0.37879604154059432</v>
      </c>
      <c r="T716" s="4">
        <v>-0.18716876351399075</v>
      </c>
      <c r="U716" s="4">
        <f t="shared" si="178"/>
        <v>-0.37928970359717762</v>
      </c>
      <c r="W716" s="4">
        <f t="shared" si="179"/>
        <v>-0.61581079025875229</v>
      </c>
      <c r="X716" s="4">
        <f t="shared" si="180"/>
        <v>-0.60293543740300271</v>
      </c>
      <c r="Y716" s="3">
        <f t="shared" si="177"/>
        <v>39.374066228080665</v>
      </c>
      <c r="AA716" s="3"/>
    </row>
    <row r="717" spans="19:27" x14ac:dyDescent="0.25">
      <c r="S717" s="4">
        <v>-0.27555686703248033</v>
      </c>
      <c r="T717" s="4">
        <v>1.5006754586602817</v>
      </c>
      <c r="U717" s="4">
        <f t="shared" si="178"/>
        <v>1.0215878447713735</v>
      </c>
      <c r="W717" s="4">
        <f t="shared" si="179"/>
        <v>-0.44025704002558791</v>
      </c>
      <c r="X717" s="4">
        <f t="shared" si="180"/>
        <v>1.8669458435470718</v>
      </c>
      <c r="Y717" s="3">
        <f t="shared" si="177"/>
        <v>257.74825085217526</v>
      </c>
      <c r="AA717" s="3"/>
    </row>
    <row r="718" spans="19:27" x14ac:dyDescent="0.25">
      <c r="S718" s="4">
        <v>0.68673395805812709</v>
      </c>
      <c r="T718" s="4">
        <v>-1.1118032041440138</v>
      </c>
      <c r="U718" s="4">
        <f t="shared" si="178"/>
        <v>-0.46266918341709667</v>
      </c>
      <c r="W718" s="4">
        <f t="shared" si="179"/>
        <v>1.1960768803540744</v>
      </c>
      <c r="X718" s="4">
        <f t="shared" si="180"/>
        <v>-0.74994144564576837</v>
      </c>
      <c r="Y718" s="3">
        <f t="shared" si="177"/>
        <v>-262.99173751533044</v>
      </c>
      <c r="AA718" s="3"/>
    </row>
    <row r="719" spans="19:27" x14ac:dyDescent="0.25">
      <c r="S719" s="4">
        <v>-0.12717846926138077</v>
      </c>
      <c r="T719" s="4">
        <v>-0.91720879477641237</v>
      </c>
      <c r="U719" s="4">
        <f t="shared" si="178"/>
        <v>-0.80459492376967379</v>
      </c>
      <c r="W719" s="4">
        <f t="shared" si="179"/>
        <v>-0.18794599330894166</v>
      </c>
      <c r="X719" s="4">
        <f t="shared" si="180"/>
        <v>-1.3527892723921824</v>
      </c>
      <c r="Y719" s="3">
        <f t="shared" si="177"/>
        <v>-105.06909179782406</v>
      </c>
      <c r="AA719" s="3"/>
    </row>
    <row r="720" spans="19:27" x14ac:dyDescent="0.25">
      <c r="S720" s="4">
        <v>-0.94348898824737493</v>
      </c>
      <c r="T720" s="4">
        <v>0.48540182562297673</v>
      </c>
      <c r="U720" s="4">
        <f t="shared" si="178"/>
        <v>-0.19039778507328753</v>
      </c>
      <c r="W720" s="4">
        <f t="shared" si="179"/>
        <v>-1.5760467181118996</v>
      </c>
      <c r="X720" s="4">
        <f t="shared" si="180"/>
        <v>-0.26990089471350676</v>
      </c>
      <c r="Y720" s="3">
        <f t="shared" si="177"/>
        <v>232.04796847789748</v>
      </c>
      <c r="AA720" s="3"/>
    </row>
    <row r="721" spans="19:27" x14ac:dyDescent="0.25">
      <c r="S721" s="4">
        <v>-0.82335932873292861</v>
      </c>
      <c r="T721" s="4">
        <v>0.33362485352752069</v>
      </c>
      <c r="U721" s="4">
        <f t="shared" si="178"/>
        <v>-0.23747645875686074</v>
      </c>
      <c r="W721" s="4">
        <f t="shared" si="179"/>
        <v>-1.3717714287900471</v>
      </c>
      <c r="X721" s="4">
        <f t="shared" si="180"/>
        <v>-0.35290510518031837</v>
      </c>
      <c r="Y721" s="3">
        <f t="shared" si="177"/>
        <v>189.43718863786307</v>
      </c>
      <c r="AA721" s="3"/>
    </row>
    <row r="722" spans="19:27" x14ac:dyDescent="0.25">
      <c r="S722" s="4">
        <v>-0.10664409549190931</v>
      </c>
      <c r="T722" s="4">
        <v>-0.98228060693643893</v>
      </c>
      <c r="U722" s="4">
        <f t="shared" si="178"/>
        <v>-0.84365861751706994</v>
      </c>
      <c r="W722" s="4">
        <f t="shared" si="179"/>
        <v>-0.15302817900932314</v>
      </c>
      <c r="X722" s="4">
        <f t="shared" si="180"/>
        <v>-1.4216623056304003</v>
      </c>
      <c r="Y722" s="3">
        <f t="shared" si="177"/>
        <v>-117.58281269104828</v>
      </c>
      <c r="AA722" s="3"/>
    </row>
    <row r="723" spans="19:27" x14ac:dyDescent="0.25">
      <c r="S723" s="4">
        <v>-0.75362552949211037</v>
      </c>
      <c r="T723" s="4">
        <v>-1.0343278199109756</v>
      </c>
      <c r="U723" s="4">
        <f t="shared" si="178"/>
        <v>-1.2793303453713425</v>
      </c>
      <c r="W723" s="4">
        <f t="shared" si="179"/>
        <v>-1.2531921197916969</v>
      </c>
      <c r="X723" s="4">
        <f t="shared" si="180"/>
        <v>-2.1897932864713807</v>
      </c>
      <c r="Y723" s="3">
        <f t="shared" si="177"/>
        <v>-14.067205827434464</v>
      </c>
      <c r="AA723" s="3"/>
    </row>
    <row r="724" spans="19:27" x14ac:dyDescent="0.25">
      <c r="S724" s="4">
        <v>-0.28417158349735377</v>
      </c>
      <c r="T724" s="4">
        <v>-0.68767709363288987</v>
      </c>
      <c r="U724" s="4">
        <f t="shared" si="178"/>
        <v>-0.71835348142510924</v>
      </c>
      <c r="W724" s="4">
        <f t="shared" si="179"/>
        <v>-0.4549059927105501</v>
      </c>
      <c r="X724" s="4">
        <f t="shared" si="180"/>
        <v>-1.2007373501260001</v>
      </c>
      <c r="Y724" s="3">
        <f t="shared" si="177"/>
        <v>-46.638542693947784</v>
      </c>
      <c r="AA724" s="3"/>
    </row>
    <row r="725" spans="19:27" x14ac:dyDescent="0.25">
      <c r="S725" s="4">
        <v>1.4240416876699742</v>
      </c>
      <c r="T725" s="4">
        <v>1.0818374410770832</v>
      </c>
      <c r="U725" s="4">
        <f t="shared" si="178"/>
        <v>1.7256914911446959</v>
      </c>
      <c r="W725" s="4">
        <f t="shared" si="179"/>
        <v>2.449836779403701</v>
      </c>
      <c r="X725" s="4">
        <f t="shared" si="180"/>
        <v>3.1083480046791734</v>
      </c>
      <c r="Y725" s="3">
        <f t="shared" si="177"/>
        <v>-66.448586841544056</v>
      </c>
      <c r="AA725" s="3"/>
    </row>
    <row r="726" spans="19:27" x14ac:dyDescent="0.25">
      <c r="S726" s="4">
        <v>-0.4743274403043129</v>
      </c>
      <c r="T726" s="4">
        <v>-1.4250682142707642</v>
      </c>
      <c r="U726" s="4">
        <f t="shared" si="178"/>
        <v>-1.4188007906308675</v>
      </c>
      <c r="W726" s="4">
        <f t="shared" si="179"/>
        <v>-0.77825780126882771</v>
      </c>
      <c r="X726" s="4">
        <f t="shared" si="180"/>
        <v>-2.4356930386613174</v>
      </c>
      <c r="Y726" s="3">
        <f t="shared" si="177"/>
        <v>-117.28069715355969</v>
      </c>
      <c r="AA726" s="3"/>
    </row>
    <row r="727" spans="19:27" x14ac:dyDescent="0.25">
      <c r="S727" s="4">
        <v>-0.55547726541148523</v>
      </c>
      <c r="T727" s="4">
        <v>0.17970826068556606</v>
      </c>
      <c r="U727" s="4">
        <f t="shared" si="178"/>
        <v>-0.19617803073905227</v>
      </c>
      <c r="W727" s="4">
        <f t="shared" si="179"/>
        <v>-0.91624956840766558</v>
      </c>
      <c r="X727" s="4">
        <f t="shared" si="180"/>
        <v>-0.28009202140105438</v>
      </c>
      <c r="Y727" s="3">
        <f t="shared" si="177"/>
        <v>121.00130829529689</v>
      </c>
      <c r="AA727" s="3"/>
    </row>
    <row r="728" spans="19:27" x14ac:dyDescent="0.25">
      <c r="S728" s="4">
        <v>-0.210410717859603</v>
      </c>
      <c r="T728" s="4">
        <v>-1.1423695802971514</v>
      </c>
      <c r="U728" s="4">
        <f t="shared" si="178"/>
        <v>-1.0338183172413546</v>
      </c>
      <c r="W728" s="4">
        <f t="shared" si="179"/>
        <v>-0.32947883151086438</v>
      </c>
      <c r="X728" s="4">
        <f t="shared" si="180"/>
        <v>-1.7569320679926232</v>
      </c>
      <c r="Y728" s="3">
        <f t="shared" si="177"/>
        <v>-122.61293839324753</v>
      </c>
      <c r="AA728" s="3"/>
    </row>
    <row r="729" spans="19:27" x14ac:dyDescent="0.25">
      <c r="S729" s="4">
        <v>-0.6849310800038696</v>
      </c>
      <c r="T729" s="4">
        <v>0.47377139381264527</v>
      </c>
      <c r="U729" s="4">
        <f t="shared" si="178"/>
        <v>-4.1994465774827128E-2</v>
      </c>
      <c r="W729" s="4">
        <f t="shared" si="179"/>
        <v>-1.1363801800864299</v>
      </c>
      <c r="X729" s="4">
        <f t="shared" si="180"/>
        <v>-8.2516300843521601E-3</v>
      </c>
      <c r="Y729" s="3">
        <f t="shared" si="177"/>
        <v>184.63922742764862</v>
      </c>
      <c r="AA729" s="3"/>
    </row>
    <row r="730" spans="19:27" x14ac:dyDescent="0.25">
      <c r="S730" s="4">
        <v>-0.11672481303288627</v>
      </c>
      <c r="T730" s="4">
        <v>-0.16309266447226398</v>
      </c>
      <c r="U730" s="4">
        <f t="shared" si="178"/>
        <v>-0.20044030384652106</v>
      </c>
      <c r="W730" s="4">
        <f t="shared" si="179"/>
        <v>-0.1701700031065379</v>
      </c>
      <c r="X730" s="4">
        <f t="shared" si="180"/>
        <v>-0.28760681709086622</v>
      </c>
      <c r="Y730" s="3">
        <f t="shared" si="177"/>
        <v>-1.4159376228826659</v>
      </c>
      <c r="AA730" s="3"/>
    </row>
    <row r="731" spans="19:27" x14ac:dyDescent="0.25">
      <c r="S731" s="4">
        <v>0.34697786652483414</v>
      </c>
      <c r="T731" s="4">
        <v>-0.7086131687039765</v>
      </c>
      <c r="U731" s="4">
        <f t="shared" si="178"/>
        <v>-0.35018655419448141</v>
      </c>
      <c r="W731" s="4">
        <f t="shared" si="179"/>
        <v>0.61833634419215366</v>
      </c>
      <c r="X731" s="4">
        <f t="shared" si="180"/>
        <v>-0.55162379777388237</v>
      </c>
      <c r="Y731" s="3">
        <f t="shared" si="177"/>
        <v>-153.26588473195898</v>
      </c>
      <c r="AA731" s="3"/>
    </row>
    <row r="732" spans="19:27" x14ac:dyDescent="0.25">
      <c r="S732" s="4">
        <v>1.2405488931254818</v>
      </c>
      <c r="T732" s="4">
        <v>0.99023124823767672</v>
      </c>
      <c r="U732" s="4">
        <f t="shared" si="178"/>
        <v>1.5412146915768261</v>
      </c>
      <c r="W732" s="4">
        <f t="shared" si="179"/>
        <v>2.137815219985697</v>
      </c>
      <c r="X732" s="4">
        <f t="shared" si="180"/>
        <v>2.7830977395486558</v>
      </c>
      <c r="Y732" s="3">
        <f t="shared" si="177"/>
        <v>-52.601051702012228</v>
      </c>
      <c r="AA732" s="3"/>
    </row>
    <row r="733" spans="19:27" x14ac:dyDescent="0.25">
      <c r="S733" s="4">
        <v>9.9806040814345021E-2</v>
      </c>
      <c r="T733" s="4">
        <v>-1.4370445482417091</v>
      </c>
      <c r="U733" s="4">
        <f t="shared" si="178"/>
        <v>-1.078289754913911</v>
      </c>
      <c r="W733" s="4">
        <f t="shared" si="179"/>
        <v>0.19803134696414773</v>
      </c>
      <c r="X733" s="4">
        <f t="shared" si="180"/>
        <v>-1.8353394716749099</v>
      </c>
      <c r="Y733" s="3">
        <f t="shared" si="177"/>
        <v>-215.16726778489601</v>
      </c>
      <c r="AA733" s="3"/>
    </row>
    <row r="734" spans="19:27" x14ac:dyDescent="0.25">
      <c r="S734" s="4">
        <v>-0.69700067418458789</v>
      </c>
      <c r="T734" s="4">
        <v>-0.41458894622833581</v>
      </c>
      <c r="U734" s="4">
        <f t="shared" si="178"/>
        <v>-0.7535485111754856</v>
      </c>
      <c r="W734" s="4">
        <f t="shared" si="179"/>
        <v>-1.1569040028728175</v>
      </c>
      <c r="X734" s="4">
        <f t="shared" si="180"/>
        <v>-1.2627895582323907</v>
      </c>
      <c r="Y734" s="3">
        <f t="shared" si="177"/>
        <v>62.597190199257966</v>
      </c>
      <c r="AA734" s="3"/>
    </row>
    <row r="735" spans="19:27" x14ac:dyDescent="0.25">
      <c r="S735" s="4">
        <v>-1.1601525239806993</v>
      </c>
      <c r="T735" s="4">
        <v>0.85573250693699754</v>
      </c>
      <c r="U735" s="4">
        <f t="shared" si="178"/>
        <v>-2.8922535175184505E-2</v>
      </c>
      <c r="W735" s="4">
        <f t="shared" si="179"/>
        <v>-1.944473687990208</v>
      </c>
      <c r="X735" s="4">
        <f t="shared" si="180"/>
        <v>1.4795435472188381E-2</v>
      </c>
      <c r="Y735" s="3">
        <f t="shared" si="177"/>
        <v>322.9585812263449</v>
      </c>
      <c r="AA735" s="3"/>
    </row>
    <row r="736" spans="19:27" x14ac:dyDescent="0.25">
      <c r="S736" s="4">
        <v>-0.13911914541890913</v>
      </c>
      <c r="T736" s="4">
        <v>0.6137706477365481</v>
      </c>
      <c r="U736" s="4">
        <f t="shared" si="178"/>
        <v>0.40172095886691939</v>
      </c>
      <c r="W736" s="4">
        <f t="shared" si="179"/>
        <v>-0.20825059657375258</v>
      </c>
      <c r="X736" s="4">
        <f t="shared" si="180"/>
        <v>0.77406115854429458</v>
      </c>
      <c r="Y736" s="3">
        <f t="shared" si="177"/>
        <v>110.89060359567202</v>
      </c>
      <c r="AA736" s="3"/>
    </row>
    <row r="737" spans="19:27" x14ac:dyDescent="0.25">
      <c r="S737" s="4">
        <v>0.67407601143582352</v>
      </c>
      <c r="T737" s="4">
        <v>-0.106283814171221</v>
      </c>
      <c r="U737" s="4">
        <f t="shared" si="178"/>
        <v>0.32668144522028897</v>
      </c>
      <c r="W737" s="4">
        <f t="shared" si="179"/>
        <v>1.1745525896922775</v>
      </c>
      <c r="X737" s="4">
        <f t="shared" si="180"/>
        <v>0.64175930939034542</v>
      </c>
      <c r="Y737" s="3">
        <f t="shared" si="177"/>
        <v>-120.5030064688267</v>
      </c>
      <c r="AA737" s="3"/>
    </row>
    <row r="738" spans="19:27" x14ac:dyDescent="0.25">
      <c r="S738" s="4">
        <v>-8.7345643927464703E-2</v>
      </c>
      <c r="T738" s="4">
        <v>0.97096858643958095</v>
      </c>
      <c r="U738" s="4">
        <f t="shared" si="178"/>
        <v>0.7164311957304893</v>
      </c>
      <c r="W738" s="4">
        <f t="shared" si="179"/>
        <v>-0.12021199695466071</v>
      </c>
      <c r="X738" s="4">
        <f t="shared" si="180"/>
        <v>1.3289254461887987</v>
      </c>
      <c r="Y738" s="3">
        <f t="shared" si="177"/>
        <v>152.19394860726152</v>
      </c>
      <c r="AA738" s="3"/>
    </row>
    <row r="739" spans="19:27" x14ac:dyDescent="0.25">
      <c r="S739" s="4">
        <v>-1.2283722485168851</v>
      </c>
      <c r="T739" s="4">
        <v>0.15110585975106355</v>
      </c>
      <c r="U739" s="4">
        <f t="shared" si="178"/>
        <v>-0.62906272091748017</v>
      </c>
      <c r="W739" s="4">
        <f t="shared" si="179"/>
        <v>-2.0604783784506062</v>
      </c>
      <c r="X739" s="4">
        <f t="shared" si="180"/>
        <v>-1.0433091879026672</v>
      </c>
      <c r="Y739" s="3">
        <f t="shared" si="177"/>
        <v>236.95809352607921</v>
      </c>
      <c r="AA739" s="3"/>
    </row>
    <row r="740" spans="19:27" x14ac:dyDescent="0.25">
      <c r="S740" s="4">
        <v>-0.45347059984286459</v>
      </c>
      <c r="T740" s="4">
        <v>0.25130597116039055</v>
      </c>
      <c r="U740" s="4">
        <f t="shared" si="178"/>
        <v>-7.7237557782922073E-2</v>
      </c>
      <c r="W740" s="4">
        <f t="shared" si="179"/>
        <v>-0.7427916463090718</v>
      </c>
      <c r="X740" s="4">
        <f t="shared" si="180"/>
        <v>-7.0388576554061888E-2</v>
      </c>
      <c r="Y740" s="3">
        <f t="shared" si="177"/>
        <v>113.42595793770079</v>
      </c>
      <c r="AA740" s="3"/>
    </row>
    <row r="741" spans="19:27" x14ac:dyDescent="0.25">
      <c r="S741" s="4">
        <v>0.95752857015844328</v>
      </c>
      <c r="T741" s="4">
        <v>0.18423755079221793</v>
      </c>
      <c r="U741" s="4">
        <f t="shared" si="178"/>
        <v>0.72977441670747445</v>
      </c>
      <c r="W741" s="4">
        <f t="shared" si="179"/>
        <v>1.6565514039411384</v>
      </c>
      <c r="X741" s="4">
        <f t="shared" si="180"/>
        <v>1.3524508226622929</v>
      </c>
      <c r="Y741" s="3">
        <f t="shared" si="177"/>
        <v>-123.18848482037174</v>
      </c>
      <c r="AA741" s="3"/>
    </row>
    <row r="742" spans="19:27" x14ac:dyDescent="0.25">
      <c r="S742" s="4">
        <v>-0.14076962042040428</v>
      </c>
      <c r="T742" s="4">
        <v>-0.20010576418131609</v>
      </c>
      <c r="U742" s="4">
        <f t="shared" si="178"/>
        <v>-0.24443854364975109</v>
      </c>
      <c r="W742" s="4">
        <f t="shared" si="179"/>
        <v>-0.211057157915986</v>
      </c>
      <c r="X742" s="4">
        <f t="shared" si="180"/>
        <v>-0.36517992761098761</v>
      </c>
      <c r="Y742" s="3">
        <f t="shared" si="177"/>
        <v>-2.5807048047076933</v>
      </c>
      <c r="AA742" s="3"/>
    </row>
    <row r="743" spans="19:27" x14ac:dyDescent="0.25">
      <c r="S743" s="4">
        <v>0.14546357718970554</v>
      </c>
      <c r="T743" s="4">
        <v>-2.1356676528513652</v>
      </c>
      <c r="U743" s="4">
        <f t="shared" si="178"/>
        <v>-1.6042488613062196</v>
      </c>
      <c r="W743" s="4">
        <f t="shared" si="179"/>
        <v>0.27567001247354411</v>
      </c>
      <c r="X743" s="4">
        <f t="shared" si="180"/>
        <v>-2.7626557477737461</v>
      </c>
      <c r="Y743" s="3">
        <f t="shared" si="177"/>
        <v>-320.24562464157452</v>
      </c>
      <c r="AA743" s="3"/>
    </row>
    <row r="744" spans="19:27" x14ac:dyDescent="0.25">
      <c r="S744" s="4">
        <v>-0.24435613742733708</v>
      </c>
      <c r="T744" s="4">
        <v>8.3740238140797285E-2</v>
      </c>
      <c r="U744" s="4">
        <f t="shared" si="178"/>
        <v>-8.2584734975648083E-2</v>
      </c>
      <c r="W744" s="4">
        <f t="shared" si="179"/>
        <v>-0.38720154904272142</v>
      </c>
      <c r="X744" s="4">
        <f t="shared" si="180"/>
        <v>-7.981616204832423E-2</v>
      </c>
      <c r="Y744" s="3">
        <f t="shared" si="177"/>
        <v>54.456005133992221</v>
      </c>
      <c r="AA744" s="3"/>
    </row>
    <row r="745" spans="19:27" x14ac:dyDescent="0.25">
      <c r="S745" s="4">
        <v>0.27097011604747029</v>
      </c>
      <c r="T745" s="4">
        <v>-0.19495226942115931</v>
      </c>
      <c r="U745" s="4">
        <f t="shared" si="178"/>
        <v>1.0652320543645621E-2</v>
      </c>
      <c r="W745" s="4">
        <f t="shared" si="179"/>
        <v>0.48908845252057592</v>
      </c>
      <c r="X745" s="4">
        <f t="shared" si="180"/>
        <v>8.4569696220439847E-2</v>
      </c>
      <c r="Y745" s="3">
        <f t="shared" si="177"/>
        <v>-69.302862923778775</v>
      </c>
      <c r="AA745" s="3"/>
    </row>
    <row r="746" spans="19:27" x14ac:dyDescent="0.25">
      <c r="S746" s="4">
        <v>-0.29975178877858355</v>
      </c>
      <c r="T746" s="4">
        <v>1.2602023591549303</v>
      </c>
      <c r="U746" s="4">
        <f t="shared" si="178"/>
        <v>0.81621697389381298</v>
      </c>
      <c r="W746" s="4">
        <f t="shared" si="179"/>
        <v>-0.48139945780802118</v>
      </c>
      <c r="X746" s="4">
        <f t="shared" si="180"/>
        <v>1.5048573296554539</v>
      </c>
      <c r="Y746" s="3">
        <f t="shared" si="177"/>
        <v>228.23088931435632</v>
      </c>
      <c r="AA746" s="3"/>
    </row>
    <row r="747" spans="19:27" x14ac:dyDescent="0.25">
      <c r="S747" s="4">
        <v>-0.25825204783560374</v>
      </c>
      <c r="T747" s="4">
        <v>-1.0669167139670193</v>
      </c>
      <c r="U747" s="4">
        <f t="shared" si="178"/>
        <v>-1.0031725744774331</v>
      </c>
      <c r="W747" s="4">
        <f t="shared" si="179"/>
        <v>-0.41083094356953981</v>
      </c>
      <c r="X747" s="4">
        <f t="shared" si="180"/>
        <v>-1.7029006885322484</v>
      </c>
      <c r="Y747" s="3">
        <f t="shared" si="177"/>
        <v>-104.01691770037451</v>
      </c>
      <c r="AA747" s="3"/>
    </row>
    <row r="748" spans="19:27" x14ac:dyDescent="0.25">
      <c r="S748" s="4">
        <v>-1.5200836958455763</v>
      </c>
      <c r="T748" s="4">
        <v>0.96715809907454187</v>
      </c>
      <c r="U748" s="4">
        <f t="shared" si="178"/>
        <v>-0.16001843068241595</v>
      </c>
      <c r="W748" s="4">
        <f t="shared" si="179"/>
        <v>-2.5565210755032748</v>
      </c>
      <c r="X748" s="4">
        <f t="shared" si="180"/>
        <v>-0.21633918346704881</v>
      </c>
      <c r="Y748" s="3">
        <f t="shared" si="177"/>
        <v>405.17515939137411</v>
      </c>
      <c r="AA748" s="3"/>
    </row>
    <row r="749" spans="19:27" x14ac:dyDescent="0.25">
      <c r="S749" s="4">
        <v>0.51478423795850736</v>
      </c>
      <c r="T749" s="4">
        <v>-1.0302539359438339</v>
      </c>
      <c r="U749" s="4">
        <f t="shared" si="178"/>
        <v>-0.50285011525407841</v>
      </c>
      <c r="W749" s="4">
        <f t="shared" si="179"/>
        <v>0.90368381968834122</v>
      </c>
      <c r="X749" s="4">
        <f t="shared" si="180"/>
        <v>-0.82078427663472131</v>
      </c>
      <c r="Y749" s="3">
        <f t="shared" si="177"/>
        <v>-224.79329021228114</v>
      </c>
      <c r="AA749" s="3"/>
    </row>
    <row r="750" spans="19:27" x14ac:dyDescent="0.25">
      <c r="S750" s="4">
        <v>1.9305236578462805</v>
      </c>
      <c r="T750" s="4">
        <v>1.0283138803953571</v>
      </c>
      <c r="U750" s="4">
        <f t="shared" si="178"/>
        <v>1.9920265013378979</v>
      </c>
      <c r="W750" s="4">
        <f t="shared" si="179"/>
        <v>3.3110874598122719</v>
      </c>
      <c r="X750" s="4">
        <f t="shared" si="180"/>
        <v>3.5779221347692181</v>
      </c>
      <c r="Y750" s="3">
        <f t="shared" si="177"/>
        <v>-144.99623419226191</v>
      </c>
      <c r="AA750" s="3"/>
    </row>
    <row r="751" spans="19:27" x14ac:dyDescent="0.25">
      <c r="S751" s="4">
        <v>0.12915174973468382</v>
      </c>
      <c r="T751" s="4">
        <v>-0.80676746036283264</v>
      </c>
      <c r="U751" s="4">
        <f t="shared" si="178"/>
        <v>-0.56078433871675659</v>
      </c>
      <c r="W751" s="4">
        <f t="shared" si="179"/>
        <v>0.24793245551874399</v>
      </c>
      <c r="X751" s="4">
        <f t="shared" si="180"/>
        <v>-0.92292786100688107</v>
      </c>
      <c r="Y751" s="3">
        <f t="shared" si="177"/>
        <v>-131.86534939750618</v>
      </c>
      <c r="AA751" s="3"/>
    </row>
    <row r="752" spans="19:27" x14ac:dyDescent="0.25">
      <c r="S752" s="4">
        <v>-1.3948795534852112</v>
      </c>
      <c r="T752" s="4">
        <v>-0.82554284309604176</v>
      </c>
      <c r="U752" s="4">
        <f t="shared" si="178"/>
        <v>-1.5047509211674668</v>
      </c>
      <c r="W752" s="4">
        <f t="shared" si="179"/>
        <v>-2.3436168476187174</v>
      </c>
      <c r="X752" s="4">
        <f t="shared" si="180"/>
        <v>-2.5872313503108897</v>
      </c>
      <c r="Y752" s="3">
        <f t="shared" si="177"/>
        <v>131.21884117578657</v>
      </c>
      <c r="AA752" s="3"/>
    </row>
    <row r="753" spans="19:27" x14ac:dyDescent="0.25">
      <c r="S753" s="4">
        <v>-0.27652864129197596</v>
      </c>
      <c r="T753" s="4">
        <v>1.0052268689583563</v>
      </c>
      <c r="U753" s="4">
        <f t="shared" si="178"/>
        <v>0.62825728664903435</v>
      </c>
      <c r="W753" s="4">
        <f t="shared" si="179"/>
        <v>-0.44190950011592989</v>
      </c>
      <c r="X753" s="4">
        <f t="shared" si="180"/>
        <v>1.1734663999915753</v>
      </c>
      <c r="Y753" s="3">
        <f t="shared" si="177"/>
        <v>188.66889615144282</v>
      </c>
      <c r="AA753" s="3"/>
    </row>
    <row r="754" spans="19:27" x14ac:dyDescent="0.25">
      <c r="S754" s="4">
        <v>2.5112106853585194</v>
      </c>
      <c r="T754" s="4">
        <v>2.1657494327629525</v>
      </c>
      <c r="U754" s="4">
        <f t="shared" si="178"/>
        <v>3.2476623539331784</v>
      </c>
      <c r="W754" s="4">
        <f t="shared" si="179"/>
        <v>4.2985206301880217</v>
      </c>
      <c r="X754" s="4">
        <f t="shared" si="180"/>
        <v>5.7917283961562909</v>
      </c>
      <c r="Y754" s="3">
        <f t="shared" si="177"/>
        <v>-63.065593461609751</v>
      </c>
      <c r="AA754" s="3"/>
    </row>
    <row r="755" spans="19:27" x14ac:dyDescent="0.25">
      <c r="S755" s="4">
        <v>2.0309041509723906</v>
      </c>
      <c r="T755" s="4">
        <v>-0.15931938611026125</v>
      </c>
      <c r="U755" s="4">
        <f t="shared" si="178"/>
        <v>1.1117932778360644</v>
      </c>
      <c r="W755" s="4">
        <f t="shared" si="179"/>
        <v>3.4817801460188824</v>
      </c>
      <c r="X755" s="4">
        <f t="shared" si="180"/>
        <v>2.0259866610874355</v>
      </c>
      <c r="Y755" s="3">
        <f t="shared" si="177"/>
        <v>-324.63283172223282</v>
      </c>
      <c r="AA755" s="3"/>
    </row>
    <row r="756" spans="19:27" x14ac:dyDescent="0.25">
      <c r="S756" s="4">
        <v>-7.4071163866982204E-2</v>
      </c>
      <c r="T756" s="4">
        <v>-0.59566888161904241</v>
      </c>
      <c r="U756" s="4">
        <f t="shared" si="178"/>
        <v>-0.51733740254842242</v>
      </c>
      <c r="W756" s="4">
        <f t="shared" si="179"/>
        <v>-9.7639317851827404E-2</v>
      </c>
      <c r="X756" s="4">
        <f t="shared" si="180"/>
        <v>-0.84632675159387627</v>
      </c>
      <c r="Y756" s="3">
        <f t="shared" si="177"/>
        <v>-68.961276486568295</v>
      </c>
      <c r="AA756" s="3"/>
    </row>
    <row r="757" spans="19:27" x14ac:dyDescent="0.25">
      <c r="S757" s="4">
        <v>-0.16258709469403737</v>
      </c>
      <c r="T757" s="4">
        <v>-1.4032732495164122</v>
      </c>
      <c r="U757" s="4">
        <f t="shared" si="178"/>
        <v>-1.2114802258281681</v>
      </c>
      <c r="W757" s="4">
        <f t="shared" si="179"/>
        <v>-0.24815682911735587</v>
      </c>
      <c r="X757" s="4">
        <f t="shared" si="180"/>
        <v>-2.070167027655915</v>
      </c>
      <c r="Y757" s="3">
        <f t="shared" si="177"/>
        <v>-167.09004973014089</v>
      </c>
      <c r="AA757" s="3"/>
    </row>
    <row r="758" spans="19:27" x14ac:dyDescent="0.25">
      <c r="S758" s="4">
        <v>0.20653182906332107</v>
      </c>
      <c r="T758" s="4">
        <v>-0.69582329047528335</v>
      </c>
      <c r="U758" s="4">
        <f t="shared" si="178"/>
        <v>-0.42566715784729381</v>
      </c>
      <c r="W758" s="4">
        <f t="shared" si="179"/>
        <v>0.37951393303641229</v>
      </c>
      <c r="X758" s="4">
        <f t="shared" si="180"/>
        <v>-0.68470333085227708</v>
      </c>
      <c r="Y758" s="3">
        <f t="shared" si="177"/>
        <v>-128.91598873461635</v>
      </c>
      <c r="AA758" s="3"/>
    </row>
    <row r="759" spans="19:27" x14ac:dyDescent="0.25">
      <c r="S759" s="4">
        <v>0.6430763179713217</v>
      </c>
      <c r="T759" s="4">
        <v>-0.277933135714795</v>
      </c>
      <c r="U759" s="4">
        <f t="shared" si="178"/>
        <v>0.17171829317970658</v>
      </c>
      <c r="W759" s="4">
        <f t="shared" si="179"/>
        <v>1.1218389519699603</v>
      </c>
      <c r="X759" s="4">
        <f t="shared" si="180"/>
        <v>0.36854443139634019</v>
      </c>
      <c r="Y759" s="3">
        <f t="shared" si="177"/>
        <v>-139.68708668973068</v>
      </c>
      <c r="AA759" s="3"/>
    </row>
    <row r="760" spans="19:27" x14ac:dyDescent="0.25">
      <c r="S760" s="4">
        <v>1.1128287513645165</v>
      </c>
      <c r="T760" s="4">
        <v>0.26552085299484163</v>
      </c>
      <c r="U760" s="4">
        <f t="shared" si="178"/>
        <v>0.88888149713462838</v>
      </c>
      <c r="W760" s="4">
        <f t="shared" si="179"/>
        <v>1.9206326439599011</v>
      </c>
      <c r="X760" s="4">
        <f t="shared" si="180"/>
        <v>1.6329718432691984</v>
      </c>
      <c r="Y760" s="3">
        <f t="shared" si="177"/>
        <v>-135.04990301867019</v>
      </c>
      <c r="AA760" s="3"/>
    </row>
    <row r="761" spans="19:27" x14ac:dyDescent="0.25">
      <c r="S761" s="4">
        <v>0.67817972950841732</v>
      </c>
      <c r="T761" s="4">
        <v>-0.78964859134653342</v>
      </c>
      <c r="U761" s="4">
        <f t="shared" si="178"/>
        <v>-0.21251464157250655</v>
      </c>
      <c r="W761" s="4">
        <f t="shared" si="179"/>
        <v>1.1815307847522045</v>
      </c>
      <c r="X761" s="4">
        <f t="shared" si="180"/>
        <v>-0.30889503087087244</v>
      </c>
      <c r="Y761" s="3">
        <f t="shared" si="177"/>
        <v>-216.64460892638726</v>
      </c>
      <c r="AA761" s="3"/>
    </row>
    <row r="762" spans="19:27" x14ac:dyDescent="0.25">
      <c r="S762" s="4">
        <v>0.44879868500992365</v>
      </c>
      <c r="T762" s="4">
        <v>0.21579349709648871</v>
      </c>
      <c r="U762" s="4">
        <f t="shared" si="178"/>
        <v>0.44465547479990791</v>
      </c>
      <c r="W762" s="4">
        <f t="shared" si="179"/>
        <v>0.79147824136475164</v>
      </c>
      <c r="X762" s="4">
        <f t="shared" si="180"/>
        <v>0.84975882200748443</v>
      </c>
      <c r="Y762" s="3">
        <f t="shared" si="177"/>
        <v>-40.246290739094547</v>
      </c>
      <c r="AA762" s="3"/>
    </row>
    <row r="763" spans="19:27" x14ac:dyDescent="0.25">
      <c r="S763" s="4">
        <v>1.0703543376552236</v>
      </c>
      <c r="T763" s="4">
        <v>-0.35184332154009218</v>
      </c>
      <c r="U763" s="4">
        <f t="shared" si="178"/>
        <v>0.37360849292139747</v>
      </c>
      <c r="W763" s="4">
        <f t="shared" si="179"/>
        <v>1.8484067408456208</v>
      </c>
      <c r="X763" s="4">
        <f t="shared" si="180"/>
        <v>0.72449618872872878</v>
      </c>
      <c r="Y763" s="3">
        <f t="shared" si="177"/>
        <v>-215.01589323632879</v>
      </c>
      <c r="AA763" s="3"/>
    </row>
    <row r="764" spans="19:27" x14ac:dyDescent="0.25">
      <c r="S764" s="4">
        <v>2.0219037368777832</v>
      </c>
      <c r="T764" s="4">
        <v>0.16733952335921537</v>
      </c>
      <c r="U764" s="4">
        <f t="shared" si="178"/>
        <v>1.365246335040087</v>
      </c>
      <c r="W764" s="4">
        <f t="shared" si="179"/>
        <v>3.4664753311994305</v>
      </c>
      <c r="X764" s="4">
        <f t="shared" si="180"/>
        <v>2.4728486743424956</v>
      </c>
      <c r="Y764" s="3">
        <f t="shared" si="177"/>
        <v>-277.76077454101869</v>
      </c>
      <c r="AA764" s="3"/>
    </row>
    <row r="765" spans="19:27" x14ac:dyDescent="0.25">
      <c r="S765" s="4">
        <v>0.55943136453967868</v>
      </c>
      <c r="T765" s="4">
        <v>2.0153229755229791</v>
      </c>
      <c r="U765" s="4">
        <f t="shared" si="178"/>
        <v>1.938572280056823</v>
      </c>
      <c r="W765" s="4">
        <f t="shared" si="179"/>
        <v>0.97960432705198164</v>
      </c>
      <c r="X765" s="4">
        <f t="shared" si="180"/>
        <v>3.4836772232966586</v>
      </c>
      <c r="Y765" s="3">
        <f t="shared" si="177"/>
        <v>193.85333784785689</v>
      </c>
      <c r="AA765" s="3"/>
    </row>
    <row r="766" spans="19:27" x14ac:dyDescent="0.25">
      <c r="S766" s="4">
        <v>-0.19249643596857008</v>
      </c>
      <c r="T766" s="4">
        <v>1.7146903143531598</v>
      </c>
      <c r="U766" s="4">
        <f t="shared" si="178"/>
        <v>1.2418712048223624</v>
      </c>
      <c r="W766" s="4">
        <f t="shared" si="179"/>
        <v>-0.29901637010811727</v>
      </c>
      <c r="X766" s="4">
        <f t="shared" si="180"/>
        <v>2.255326504032598</v>
      </c>
      <c r="Y766" s="3">
        <f t="shared" si="177"/>
        <v>273.68167301150243</v>
      </c>
      <c r="AA766" s="3"/>
    </row>
    <row r="767" spans="19:27" x14ac:dyDescent="0.25">
      <c r="S767" s="4">
        <v>-2.7726185315852789</v>
      </c>
      <c r="T767" s="4">
        <v>1.6411894201237294</v>
      </c>
      <c r="U767" s="4">
        <f t="shared" si="178"/>
        <v>-0.38929236421162017</v>
      </c>
      <c r="W767" s="4">
        <f t="shared" si="179"/>
        <v>-4.6864023803417165</v>
      </c>
      <c r="X767" s="4">
        <f t="shared" si="180"/>
        <v>-0.62057108602916555</v>
      </c>
      <c r="Y767" s="3">
        <f t="shared" si="177"/>
        <v>747.08679893338194</v>
      </c>
      <c r="AA767" s="3"/>
    </row>
    <row r="768" spans="19:27" x14ac:dyDescent="0.25">
      <c r="S768" s="4">
        <v>-0.54615463688359811</v>
      </c>
      <c r="T768" s="4">
        <v>1.0852552836475688</v>
      </c>
      <c r="U768" s="4">
        <f t="shared" si="178"/>
        <v>0.52732514949328779</v>
      </c>
      <c r="W768" s="4">
        <f t="shared" si="179"/>
        <v>-0.90039684188307834</v>
      </c>
      <c r="X768" s="4">
        <f t="shared" si="180"/>
        <v>0.99551337583355015</v>
      </c>
      <c r="Y768" s="3">
        <f t="shared" si="177"/>
        <v>245.94644224968033</v>
      </c>
      <c r="AA768" s="3"/>
    </row>
    <row r="769" spans="19:27" x14ac:dyDescent="0.25">
      <c r="S769" s="4">
        <v>-0.49147713661903686</v>
      </c>
      <c r="T769" s="4">
        <v>0.50232553962154081</v>
      </c>
      <c r="U769" s="4">
        <f t="shared" si="178"/>
        <v>9.8574017918905577E-2</v>
      </c>
      <c r="W769" s="4">
        <f t="shared" si="179"/>
        <v>-0.80742011797422764</v>
      </c>
      <c r="X769" s="4">
        <f t="shared" si="180"/>
        <v>0.23958406902512208</v>
      </c>
      <c r="Y769" s="3">
        <f t="shared" si="177"/>
        <v>155.0406037015855</v>
      </c>
      <c r="AA769" s="3"/>
    </row>
    <row r="770" spans="19:27" x14ac:dyDescent="0.25">
      <c r="S770" s="4">
        <v>-1.165640422776667</v>
      </c>
      <c r="T770" s="4">
        <v>-0.45014669113905703</v>
      </c>
      <c r="U770" s="4">
        <f t="shared" si="178"/>
        <v>-1.0674280987407148</v>
      </c>
      <c r="W770" s="4">
        <f t="shared" si="179"/>
        <v>-1.9538056224920328</v>
      </c>
      <c r="X770" s="4">
        <f t="shared" si="180"/>
        <v>-1.8161893316119646</v>
      </c>
      <c r="Y770" s="3">
        <f t="shared" ref="Y770:Y833" si="181">(B$4*EXP(-B$8*B$7)*NORMSDIST((LN(B$4/(B$5+W770))-B$8*B$7+B$9*B$7+0.5*B$6*B$6*B$7)/(B$6*SQRT(B$7)))-(B$5+W770)*EXP(-B$9*B$7)*NORMSDIST((LN(B$4/(B$5+W770))-B$8*B$7+B$9*B$7-0.5*B$6*B$6*B$7)/(B$6*SQRT(B$7))))*400+100*X770-400*$B$13</f>
        <v>141.45105402877016</v>
      </c>
      <c r="AA770" s="3"/>
    </row>
    <row r="771" spans="19:27" x14ac:dyDescent="0.25">
      <c r="S771" s="4">
        <v>0.67803900169844256</v>
      </c>
      <c r="T771" s="4">
        <v>-0.94499535691300873</v>
      </c>
      <c r="U771" s="4">
        <f t="shared" ref="U771:U834" si="182">$B$19*S771+SQRT(1-$B$19^2)*T771</f>
        <v>-0.33574257361801318</v>
      </c>
      <c r="W771" s="4">
        <f t="shared" ref="W771:W834" si="183">S771*SQRT($B$16)+$B$20</f>
        <v>1.1812914831990791</v>
      </c>
      <c r="X771" s="4">
        <f t="shared" ref="X771:X834" si="184">U771*SQRT($C$17)+$C$20</f>
        <v>-0.52615767670586178</v>
      </c>
      <c r="Y771" s="3">
        <f t="shared" si="181"/>
        <v>-238.33397281328644</v>
      </c>
      <c r="AA771" s="3"/>
    </row>
    <row r="772" spans="19:27" x14ac:dyDescent="0.25">
      <c r="S772" s="4">
        <v>0.20853496710127753</v>
      </c>
      <c r="T772" s="4">
        <v>-1.3690632662634474</v>
      </c>
      <c r="U772" s="4">
        <f t="shared" si="182"/>
        <v>-0.95811795584409509</v>
      </c>
      <c r="W772" s="4">
        <f t="shared" si="183"/>
        <v>0.38292018261631688</v>
      </c>
      <c r="X772" s="4">
        <f t="shared" si="184"/>
        <v>-1.6234650809643913</v>
      </c>
      <c r="Y772" s="3">
        <f t="shared" si="181"/>
        <v>-223.33132330928447</v>
      </c>
      <c r="AA772" s="3"/>
    </row>
    <row r="773" spans="19:27" x14ac:dyDescent="0.25">
      <c r="S773" s="4">
        <v>-0.45910172043815978</v>
      </c>
      <c r="T773" s="4">
        <v>0.94375775770135395</v>
      </c>
      <c r="U773" s="4">
        <f t="shared" si="182"/>
        <v>0.46823059015303603</v>
      </c>
      <c r="W773" s="4">
        <f t="shared" si="183"/>
        <v>-0.75236712328502908</v>
      </c>
      <c r="X773" s="4">
        <f t="shared" si="184"/>
        <v>0.89132400818292234</v>
      </c>
      <c r="Y773" s="3">
        <f t="shared" si="181"/>
        <v>211.16892806568922</v>
      </c>
      <c r="AA773" s="3"/>
    </row>
    <row r="774" spans="19:27" x14ac:dyDescent="0.25">
      <c r="S774" s="4">
        <v>-1.4877360358194569</v>
      </c>
      <c r="T774" s="4">
        <v>0.1274138566910806</v>
      </c>
      <c r="U774" s="4">
        <f t="shared" si="182"/>
        <v>-0.80595713428221982</v>
      </c>
      <c r="W774" s="4">
        <f t="shared" si="183"/>
        <v>-2.5015152789545398</v>
      </c>
      <c r="X774" s="4">
        <f t="shared" si="184"/>
        <v>-1.3551909799858042</v>
      </c>
      <c r="Y774" s="3">
        <f t="shared" si="181"/>
        <v>281.74171424091946</v>
      </c>
      <c r="AA774" s="3"/>
    </row>
    <row r="775" spans="19:27" x14ac:dyDescent="0.25">
      <c r="S775" s="4">
        <v>-2.1517776480518105</v>
      </c>
      <c r="T775" s="4">
        <v>1.8872196605386251</v>
      </c>
      <c r="U775" s="4">
        <f t="shared" si="182"/>
        <v>0.18421229849574905</v>
      </c>
      <c r="W775" s="4">
        <f t="shared" si="183"/>
        <v>-3.6306893148153585</v>
      </c>
      <c r="X775" s="4">
        <f t="shared" si="184"/>
        <v>0.39057255932952162</v>
      </c>
      <c r="Y775" s="3">
        <f t="shared" si="181"/>
        <v>655.60096389037972</v>
      </c>
      <c r="AA775" s="3"/>
    </row>
    <row r="776" spans="19:27" x14ac:dyDescent="0.25">
      <c r="S776" s="4">
        <v>0.54698762628820108</v>
      </c>
      <c r="T776" s="4">
        <v>1.0858197354927226</v>
      </c>
      <c r="U776" s="4">
        <f t="shared" si="182"/>
        <v>1.1941764996252475</v>
      </c>
      <c r="W776" s="4">
        <f t="shared" si="183"/>
        <v>0.95844428845834606</v>
      </c>
      <c r="X776" s="4">
        <f t="shared" si="184"/>
        <v>2.1712361710095758</v>
      </c>
      <c r="Y776" s="3">
        <f t="shared" si="181"/>
        <v>65.894965361769209</v>
      </c>
      <c r="AA776" s="3"/>
    </row>
    <row r="777" spans="19:27" x14ac:dyDescent="0.25">
      <c r="S777" s="4">
        <v>0.5621856210977566</v>
      </c>
      <c r="T777" s="4">
        <v>0.95825099144138526</v>
      </c>
      <c r="U777" s="4">
        <f t="shared" si="182"/>
        <v>1.1023188110809201</v>
      </c>
      <c r="W777" s="4">
        <f t="shared" si="183"/>
        <v>0.98428782118275726</v>
      </c>
      <c r="X777" s="4">
        <f t="shared" si="184"/>
        <v>2.0092822688207685</v>
      </c>
      <c r="Y777" s="3">
        <f t="shared" si="181"/>
        <v>45.686896836484266</v>
      </c>
      <c r="AA777" s="3"/>
    </row>
    <row r="778" spans="19:27" x14ac:dyDescent="0.25">
      <c r="S778" s="4">
        <v>-0.31364206847064924</v>
      </c>
      <c r="T778" s="4">
        <v>0.89953478655614083</v>
      </c>
      <c r="U778" s="4">
        <f t="shared" si="182"/>
        <v>0.52185084318621855</v>
      </c>
      <c r="W778" s="4">
        <f t="shared" si="183"/>
        <v>-0.50501927754551867</v>
      </c>
      <c r="X778" s="4">
        <f t="shared" si="184"/>
        <v>0.98586164953544264</v>
      </c>
      <c r="Y778" s="3">
        <f t="shared" si="181"/>
        <v>180.17688390377953</v>
      </c>
      <c r="AA778" s="3"/>
    </row>
    <row r="779" spans="19:27" x14ac:dyDescent="0.25">
      <c r="S779" s="4">
        <v>0.48001823709754704</v>
      </c>
      <c r="T779" s="4">
        <v>0.9448329128485794</v>
      </c>
      <c r="U779" s="4">
        <f t="shared" si="182"/>
        <v>1.0415913366777594</v>
      </c>
      <c r="W779" s="4">
        <f t="shared" si="183"/>
        <v>0.84456573916483491</v>
      </c>
      <c r="X779" s="4">
        <f t="shared" si="184"/>
        <v>1.9022139155286357</v>
      </c>
      <c r="Y779" s="3">
        <f t="shared" si="181"/>
        <v>56.714953862969651</v>
      </c>
      <c r="AA779" s="3"/>
    </row>
    <row r="780" spans="19:27" x14ac:dyDescent="0.25">
      <c r="S780" s="4">
        <v>-0.98443144645982039</v>
      </c>
      <c r="T780" s="4">
        <v>1.5166638584203702</v>
      </c>
      <c r="U780" s="4">
        <f t="shared" si="182"/>
        <v>0.60211596173235449</v>
      </c>
      <c r="W780" s="4">
        <f t="shared" si="183"/>
        <v>-1.6456675971745709</v>
      </c>
      <c r="X780" s="4">
        <f t="shared" si="184"/>
        <v>1.1273767405876294</v>
      </c>
      <c r="Y780" s="3">
        <f t="shared" si="181"/>
        <v>383.51983939668844</v>
      </c>
      <c r="AA780" s="3"/>
    </row>
    <row r="781" spans="19:27" x14ac:dyDescent="0.25">
      <c r="S781" s="4">
        <v>-1.3498838814118681</v>
      </c>
      <c r="T781" s="4">
        <v>1.6798436179941871</v>
      </c>
      <c r="U781" s="4">
        <f t="shared" si="182"/>
        <v>0.50867929653117649</v>
      </c>
      <c r="W781" s="4">
        <f t="shared" si="183"/>
        <v>-2.2671036537233493</v>
      </c>
      <c r="X781" s="4">
        <f t="shared" si="184"/>
        <v>0.96263895133292265</v>
      </c>
      <c r="Y781" s="3">
        <f t="shared" si="181"/>
        <v>473.01598466998075</v>
      </c>
      <c r="AA781" s="3"/>
    </row>
    <row r="782" spans="19:27" x14ac:dyDescent="0.25">
      <c r="S782" s="4">
        <v>-9.9230096171149182E-3</v>
      </c>
      <c r="T782" s="4">
        <v>-0.22256380781849369</v>
      </c>
      <c r="U782" s="4">
        <f t="shared" si="182"/>
        <v>-0.18247384222588514</v>
      </c>
      <c r="W782" s="4">
        <f t="shared" si="183"/>
        <v>1.144184346852611E-2</v>
      </c>
      <c r="X782" s="4">
        <f t="shared" si="184"/>
        <v>-0.25593022459111814</v>
      </c>
      <c r="Y782" s="3">
        <f t="shared" si="181"/>
        <v>-27.426243829888335</v>
      </c>
      <c r="AA782" s="3"/>
    </row>
    <row r="783" spans="19:27" x14ac:dyDescent="0.25">
      <c r="S783" s="4">
        <v>1.0489323505181471</v>
      </c>
      <c r="T783" s="4">
        <v>-0.16729077125635425</v>
      </c>
      <c r="U783" s="4">
        <f t="shared" si="182"/>
        <v>0.50684250528329744</v>
      </c>
      <c r="W783" s="4">
        <f t="shared" si="183"/>
        <v>1.8119795784116088</v>
      </c>
      <c r="X783" s="4">
        <f t="shared" si="184"/>
        <v>0.95940051245192781</v>
      </c>
      <c r="Y783" s="3">
        <f t="shared" si="181"/>
        <v>-186.02742509963309</v>
      </c>
      <c r="AA783" s="3"/>
    </row>
    <row r="784" spans="19:27" x14ac:dyDescent="0.25">
      <c r="S784" s="4">
        <v>0.46824260593106254</v>
      </c>
      <c r="T784" s="4">
        <v>0.38934487697310866</v>
      </c>
      <c r="U784" s="4">
        <f t="shared" si="182"/>
        <v>0.59408171652751895</v>
      </c>
      <c r="W784" s="4">
        <f t="shared" si="183"/>
        <v>0.82454178776762166</v>
      </c>
      <c r="X784" s="4">
        <f t="shared" si="184"/>
        <v>1.1132115968453402</v>
      </c>
      <c r="Y784" s="3">
        <f t="shared" si="181"/>
        <v>-19.062243508150004</v>
      </c>
      <c r="AA784" s="3"/>
    </row>
    <row r="785" spans="19:27" x14ac:dyDescent="0.25">
      <c r="S785" s="4">
        <v>-6.652757366899531E-2</v>
      </c>
      <c r="T785" s="4">
        <v>-0.30792504545127369</v>
      </c>
      <c r="U785" s="4">
        <f t="shared" si="182"/>
        <v>-0.28464641922295825</v>
      </c>
      <c r="W785" s="4">
        <f t="shared" si="183"/>
        <v>-8.4811769047912294E-2</v>
      </c>
      <c r="X785" s="4">
        <f t="shared" si="184"/>
        <v>-0.43607026298732943</v>
      </c>
      <c r="Y785" s="3">
        <f t="shared" si="181"/>
        <v>-29.997302540445617</v>
      </c>
      <c r="AA785" s="3"/>
    </row>
    <row r="786" spans="19:27" x14ac:dyDescent="0.25">
      <c r="S786" s="4">
        <v>-0.75576967061039713</v>
      </c>
      <c r="T786" s="4">
        <v>-0.71541490649438777</v>
      </c>
      <c r="U786" s="4">
        <f t="shared" si="182"/>
        <v>-1.0278377404346626</v>
      </c>
      <c r="W786" s="4">
        <f t="shared" si="183"/>
        <v>-1.2568381390100585</v>
      </c>
      <c r="X786" s="4">
        <f t="shared" si="184"/>
        <v>-1.7463877383177453</v>
      </c>
      <c r="Y786" s="3">
        <f t="shared" si="181"/>
        <v>30.881523136598844</v>
      </c>
      <c r="AA786" s="3"/>
    </row>
    <row r="787" spans="19:27" x14ac:dyDescent="0.25">
      <c r="S787" s="4">
        <v>-0.2606826022330927</v>
      </c>
      <c r="T787" s="4">
        <v>2.0263144468657166</v>
      </c>
      <c r="U787" s="4">
        <f t="shared" si="182"/>
        <v>1.447325359259501</v>
      </c>
      <c r="W787" s="4">
        <f t="shared" si="183"/>
        <v>-0.41496399617924812</v>
      </c>
      <c r="X787" s="4">
        <f t="shared" si="184"/>
        <v>2.6175618548158859</v>
      </c>
      <c r="Y787" s="3">
        <f t="shared" si="181"/>
        <v>328.70051346610398</v>
      </c>
      <c r="AA787" s="3"/>
    </row>
    <row r="788" spans="19:27" x14ac:dyDescent="0.25">
      <c r="S788" s="4">
        <v>1.3051648138731771</v>
      </c>
      <c r="T788" s="4">
        <v>-1.8159140154154005</v>
      </c>
      <c r="U788" s="4">
        <f t="shared" si="182"/>
        <v>-0.64380295591778713</v>
      </c>
      <c r="W788" s="4">
        <f t="shared" si="183"/>
        <v>2.2476917980005213</v>
      </c>
      <c r="X788" s="4">
        <f t="shared" si="184"/>
        <v>-1.0692976338924414</v>
      </c>
      <c r="Y788" s="3">
        <f t="shared" si="181"/>
        <v>-454.22559852388622</v>
      </c>
      <c r="AA788" s="3"/>
    </row>
    <row r="789" spans="19:27" x14ac:dyDescent="0.25">
      <c r="S789" s="4">
        <v>0.26217700002718275</v>
      </c>
      <c r="T789" s="4">
        <v>0.70930127176012792</v>
      </c>
      <c r="U789" s="4">
        <f t="shared" si="182"/>
        <v>0.72208640601936824</v>
      </c>
      <c r="W789" s="4">
        <f t="shared" si="183"/>
        <v>0.47413613910900876</v>
      </c>
      <c r="X789" s="4">
        <f t="shared" si="184"/>
        <v>1.3388961235321575</v>
      </c>
      <c r="Y789" s="3">
        <f t="shared" si="181"/>
        <v>58.48880596593699</v>
      </c>
      <c r="AA789" s="3"/>
    </row>
    <row r="790" spans="19:27" x14ac:dyDescent="0.25">
      <c r="S790" s="4">
        <v>0.84382066599552019</v>
      </c>
      <c r="T790" s="4">
        <v>0.67358600794316847</v>
      </c>
      <c r="U790" s="4">
        <f t="shared" si="182"/>
        <v>1.0483581577597252</v>
      </c>
      <c r="W790" s="4">
        <f t="shared" si="183"/>
        <v>1.4631960317961827</v>
      </c>
      <c r="X790" s="4">
        <f t="shared" si="184"/>
        <v>1.9141444691600717</v>
      </c>
      <c r="Y790" s="3">
        <f t="shared" si="181"/>
        <v>-37.573022447401854</v>
      </c>
      <c r="AA790" s="3"/>
    </row>
    <row r="791" spans="19:27" x14ac:dyDescent="0.25">
      <c r="S791" s="4">
        <v>0.77676457294058232</v>
      </c>
      <c r="T791" s="4">
        <v>-0.58819432723736387</v>
      </c>
      <c r="U791" s="4">
        <f t="shared" si="182"/>
        <v>7.2760659350127321E-3</v>
      </c>
      <c r="W791" s="4">
        <f t="shared" si="183"/>
        <v>1.3491700463321747</v>
      </c>
      <c r="X791" s="4">
        <f t="shared" si="184"/>
        <v>7.8617035998784307E-2</v>
      </c>
      <c r="Y791" s="3">
        <f t="shared" si="181"/>
        <v>-203.67240634602604</v>
      </c>
      <c r="AA791" s="3"/>
    </row>
    <row r="792" spans="19:27" x14ac:dyDescent="0.25">
      <c r="S792" s="4">
        <v>1.1513403132178803</v>
      </c>
      <c r="T792" s="4">
        <v>-0.59524835748256655</v>
      </c>
      <c r="U792" s="4">
        <f t="shared" si="182"/>
        <v>0.23003412121025096</v>
      </c>
      <c r="W792" s="4">
        <f t="shared" si="183"/>
        <v>1.9861198889219684</v>
      </c>
      <c r="X792" s="4">
        <f t="shared" si="184"/>
        <v>0.47136082116822631</v>
      </c>
      <c r="Y792" s="3">
        <f t="shared" si="181"/>
        <v>-261.05477757889912</v>
      </c>
      <c r="AA792" s="3"/>
    </row>
    <row r="793" spans="19:27" x14ac:dyDescent="0.25">
      <c r="S793" s="4">
        <v>1.6742742562035378</v>
      </c>
      <c r="T793" s="4">
        <v>-0.19894855489960242</v>
      </c>
      <c r="U793" s="4">
        <f t="shared" si="182"/>
        <v>0.8629700110945866</v>
      </c>
      <c r="W793" s="4">
        <f t="shared" si="183"/>
        <v>2.8753464373978361</v>
      </c>
      <c r="X793" s="4">
        <f t="shared" si="184"/>
        <v>1.5872874118166205</v>
      </c>
      <c r="Y793" s="3">
        <f t="shared" si="181"/>
        <v>-281.0171472775296</v>
      </c>
      <c r="AA793" s="3"/>
    </row>
    <row r="794" spans="19:27" x14ac:dyDescent="0.25">
      <c r="S794" s="4">
        <v>1.0495073284523559</v>
      </c>
      <c r="T794" s="4">
        <v>-0.86452658249248338</v>
      </c>
      <c r="U794" s="4">
        <f t="shared" si="182"/>
        <v>-4.5500238225040235E-2</v>
      </c>
      <c r="W794" s="4">
        <f t="shared" si="183"/>
        <v>1.8129573035157915</v>
      </c>
      <c r="X794" s="4">
        <f t="shared" si="184"/>
        <v>-1.4432642664742104E-2</v>
      </c>
      <c r="Y794" s="3">
        <f t="shared" si="181"/>
        <v>-283.55839775040113</v>
      </c>
      <c r="AA794" s="3"/>
    </row>
    <row r="795" spans="19:27" x14ac:dyDescent="0.25">
      <c r="S795" s="4">
        <v>-0.10663530572202563</v>
      </c>
      <c r="T795" s="4">
        <v>-0.70590241557280287</v>
      </c>
      <c r="U795" s="4">
        <f t="shared" si="182"/>
        <v>-0.62457047257427833</v>
      </c>
      <c r="W795" s="4">
        <f t="shared" si="183"/>
        <v>-0.15301323238587211</v>
      </c>
      <c r="X795" s="4">
        <f t="shared" si="184"/>
        <v>-1.0353889238473437</v>
      </c>
      <c r="Y795" s="3">
        <f t="shared" si="181"/>
        <v>-78.957881555826589</v>
      </c>
      <c r="AA795" s="3"/>
    </row>
    <row r="796" spans="19:27" x14ac:dyDescent="0.25">
      <c r="S796" s="4">
        <v>-0.78028860239951703</v>
      </c>
      <c r="T796" s="4">
        <v>0.68294669142930076</v>
      </c>
      <c r="U796" s="4">
        <f t="shared" si="182"/>
        <v>6.5685049949812668E-2</v>
      </c>
      <c r="W796" s="4">
        <f t="shared" si="183"/>
        <v>-1.2985315218543088</v>
      </c>
      <c r="X796" s="4">
        <f t="shared" si="184"/>
        <v>0.18159766869253696</v>
      </c>
      <c r="Y796" s="3">
        <f t="shared" si="181"/>
        <v>230.63971318324457</v>
      </c>
      <c r="AA796" s="3"/>
    </row>
    <row r="797" spans="19:27" x14ac:dyDescent="0.25">
      <c r="S797" s="4">
        <v>0.12136697853636047</v>
      </c>
      <c r="T797" s="4">
        <v>-1.729953327685235</v>
      </c>
      <c r="U797" s="4">
        <f t="shared" si="182"/>
        <v>-1.2973321779563565</v>
      </c>
      <c r="W797" s="4">
        <f t="shared" si="183"/>
        <v>0.23469478885699266</v>
      </c>
      <c r="X797" s="4">
        <f t="shared" si="184"/>
        <v>-2.2215322413688332</v>
      </c>
      <c r="Y797" s="3">
        <f t="shared" si="181"/>
        <v>-259.62093104876067</v>
      </c>
      <c r="AA797" s="3"/>
    </row>
    <row r="798" spans="19:27" x14ac:dyDescent="0.25">
      <c r="S798" s="4">
        <v>4.4167137844891249E-2</v>
      </c>
      <c r="T798" s="4">
        <v>-1.8716037998163981</v>
      </c>
      <c r="U798" s="4">
        <f t="shared" si="182"/>
        <v>-1.4566801220508079</v>
      </c>
      <c r="W798" s="4">
        <f t="shared" si="183"/>
        <v>0.10341979934489509</v>
      </c>
      <c r="X798" s="4">
        <f t="shared" si="184"/>
        <v>-2.5024779276888922</v>
      </c>
      <c r="Y798" s="3">
        <f t="shared" si="181"/>
        <v>-266.79321886131538</v>
      </c>
      <c r="AA798" s="3"/>
    </row>
    <row r="799" spans="19:27" x14ac:dyDescent="0.25">
      <c r="S799" s="4">
        <v>0.77288390672462848</v>
      </c>
      <c r="T799" s="4">
        <v>0.99531014492446379</v>
      </c>
      <c r="U799" s="4">
        <f t="shared" si="182"/>
        <v>1.2601416822629785</v>
      </c>
      <c r="W799" s="4">
        <f t="shared" si="183"/>
        <v>1.3425711413054757</v>
      </c>
      <c r="X799" s="4">
        <f t="shared" si="184"/>
        <v>2.2875391055388121</v>
      </c>
      <c r="Y799" s="3">
        <f t="shared" si="181"/>
        <v>18.231870308646648</v>
      </c>
      <c r="AA799" s="3"/>
    </row>
    <row r="800" spans="19:27" x14ac:dyDescent="0.25">
      <c r="S800" s="4">
        <v>-2.4177838267583329</v>
      </c>
      <c r="T800" s="4">
        <v>-0.62046388425328114</v>
      </c>
      <c r="U800" s="4">
        <f t="shared" si="182"/>
        <v>-1.9657717351176163</v>
      </c>
      <c r="W800" s="4">
        <f t="shared" si="183"/>
        <v>-4.0830213145588585</v>
      </c>
      <c r="X800" s="4">
        <f t="shared" si="184"/>
        <v>-3.4000551976413873</v>
      </c>
      <c r="Y800" s="3">
        <f t="shared" si="181"/>
        <v>358.31170111070878</v>
      </c>
      <c r="AA800" s="3"/>
    </row>
    <row r="801" spans="19:27" x14ac:dyDescent="0.25">
      <c r="S801" s="4">
        <v>0.52820812626029645</v>
      </c>
      <c r="T801" s="4">
        <v>0.4957364938178655</v>
      </c>
      <c r="U801" s="4">
        <f t="shared" si="182"/>
        <v>0.71497382121704001</v>
      </c>
      <c r="W801" s="4">
        <f t="shared" si="183"/>
        <v>0.92651056104227336</v>
      </c>
      <c r="X801" s="4">
        <f t="shared" si="184"/>
        <v>1.3263559553476512</v>
      </c>
      <c r="Y801" s="3">
        <f t="shared" si="181"/>
        <v>-13.630070506698758</v>
      </c>
      <c r="AA801" s="3"/>
    </row>
    <row r="802" spans="19:27" x14ac:dyDescent="0.25">
      <c r="S802" s="4">
        <v>-0.45743885700591674</v>
      </c>
      <c r="T802" s="4">
        <v>-0.26502054208772607</v>
      </c>
      <c r="U802" s="4">
        <f t="shared" si="182"/>
        <v>-0.48894460210745583</v>
      </c>
      <c r="W802" s="4">
        <f t="shared" si="183"/>
        <v>-0.74953949595221936</v>
      </c>
      <c r="X802" s="4">
        <f t="shared" si="184"/>
        <v>-0.79626752521498012</v>
      </c>
      <c r="Y802" s="3">
        <f t="shared" si="181"/>
        <v>41.945600160345748</v>
      </c>
      <c r="AA802" s="3"/>
    </row>
    <row r="803" spans="19:27" x14ac:dyDescent="0.25">
      <c r="S803" s="4">
        <v>-0.63000501180515389</v>
      </c>
      <c r="T803" s="4">
        <v>-1.4978836708650869</v>
      </c>
      <c r="U803" s="4">
        <f t="shared" si="182"/>
        <v>-1.5714255429706743</v>
      </c>
      <c r="W803" s="4">
        <f t="shared" si="183"/>
        <v>-1.0429807771583364</v>
      </c>
      <c r="X803" s="4">
        <f t="shared" si="184"/>
        <v>-2.7047850940324238</v>
      </c>
      <c r="Y803" s="3">
        <f t="shared" si="181"/>
        <v>-100.51227202539303</v>
      </c>
      <c r="AA803" s="3"/>
    </row>
    <row r="804" spans="19:27" x14ac:dyDescent="0.25">
      <c r="S804" s="4">
        <v>-1.7600051489752977</v>
      </c>
      <c r="T804" s="4">
        <v>-0.48926088015876323</v>
      </c>
      <c r="U804" s="4">
        <f t="shared" si="182"/>
        <v>-1.4607716026731392</v>
      </c>
      <c r="W804" s="4">
        <f t="shared" si="183"/>
        <v>-2.9644971278011618</v>
      </c>
      <c r="X804" s="4">
        <f t="shared" si="184"/>
        <v>-2.5096915998704721</v>
      </c>
      <c r="Y804" s="3">
        <f t="shared" si="181"/>
        <v>247.16733498577833</v>
      </c>
      <c r="AA804" s="3"/>
    </row>
    <row r="805" spans="19:27" x14ac:dyDescent="0.25">
      <c r="S805" s="4">
        <v>-0.81268228960005406</v>
      </c>
      <c r="T805" s="4">
        <v>0.27624956181063753</v>
      </c>
      <c r="U805" s="4">
        <f t="shared" si="182"/>
        <v>-0.27644843330524332</v>
      </c>
      <c r="W805" s="4">
        <f t="shared" si="183"/>
        <v>-1.353615585622054</v>
      </c>
      <c r="X805" s="4">
        <f t="shared" si="184"/>
        <v>-0.42161642868665328</v>
      </c>
      <c r="Y805" s="3">
        <f t="shared" si="181"/>
        <v>179.52725300413022</v>
      </c>
      <c r="AA805" s="3"/>
    </row>
    <row r="806" spans="19:27" x14ac:dyDescent="0.25">
      <c r="S806" s="4">
        <v>-1.5118692371089535</v>
      </c>
      <c r="T806" s="4">
        <v>-0.63339001036038967</v>
      </c>
      <c r="U806" s="4">
        <f t="shared" si="182"/>
        <v>-1.4237524256349328</v>
      </c>
      <c r="W806" s="4">
        <f t="shared" si="183"/>
        <v>-2.5425527437704751</v>
      </c>
      <c r="X806" s="4">
        <f t="shared" si="184"/>
        <v>-2.4444232453955754</v>
      </c>
      <c r="Y806" s="3">
        <f t="shared" si="181"/>
        <v>179.94049938886565</v>
      </c>
      <c r="AA806" s="3"/>
    </row>
    <row r="807" spans="19:27" x14ac:dyDescent="0.25">
      <c r="S807" s="4">
        <v>0.91409045982529147</v>
      </c>
      <c r="T807" s="4">
        <v>1.9568013454269579</v>
      </c>
      <c r="U807" s="4">
        <f t="shared" si="182"/>
        <v>2.1083907485321425</v>
      </c>
      <c r="W807" s="4">
        <f t="shared" si="183"/>
        <v>1.5826867764064865</v>
      </c>
      <c r="X807" s="4">
        <f t="shared" si="184"/>
        <v>3.7830834468707804</v>
      </c>
      <c r="Y807" s="3">
        <f t="shared" si="181"/>
        <v>131.10141065291646</v>
      </c>
      <c r="AA807" s="3"/>
    </row>
    <row r="808" spans="19:27" x14ac:dyDescent="0.25">
      <c r="S808" s="4">
        <v>-0.8652194908955092</v>
      </c>
      <c r="T808" s="4">
        <v>-1.6335282158798108</v>
      </c>
      <c r="U808" s="4">
        <f t="shared" si="182"/>
        <v>-1.8223418857409668</v>
      </c>
      <c r="W808" s="4">
        <f t="shared" si="183"/>
        <v>-1.4429528237210174</v>
      </c>
      <c r="X808" s="4">
        <f t="shared" si="184"/>
        <v>-3.1471746367976241</v>
      </c>
      <c r="Y808" s="3">
        <f t="shared" si="181"/>
        <v>-78.059098189892211</v>
      </c>
      <c r="AA808" s="3"/>
    </row>
    <row r="809" spans="19:27" x14ac:dyDescent="0.25">
      <c r="S809" s="4">
        <v>-0.50058017657003995</v>
      </c>
      <c r="T809" s="4">
        <v>0.36377422673669313</v>
      </c>
      <c r="U809" s="4">
        <f t="shared" si="182"/>
        <v>-1.6803918278358421E-2</v>
      </c>
      <c r="W809" s="4">
        <f t="shared" si="183"/>
        <v>-0.82289944362299405</v>
      </c>
      <c r="X809" s="4">
        <f t="shared" si="184"/>
        <v>3.6161717671038679E-2</v>
      </c>
      <c r="Y809" s="3">
        <f t="shared" si="181"/>
        <v>137.24461046396118</v>
      </c>
      <c r="AA809" s="3"/>
    </row>
    <row r="810" spans="19:27" x14ac:dyDescent="0.25">
      <c r="S810" s="4">
        <v>-0.67855999896819441</v>
      </c>
      <c r="T810" s="4">
        <v>0.36807349859331667</v>
      </c>
      <c r="U810" s="4">
        <f t="shared" si="182"/>
        <v>-0.12189639058394541</v>
      </c>
      <c r="W810" s="4">
        <f t="shared" si="183"/>
        <v>-1.1255464323915152</v>
      </c>
      <c r="X810" s="4">
        <f t="shared" si="184"/>
        <v>-0.14912637579481883</v>
      </c>
      <c r="Y810" s="3">
        <f t="shared" si="181"/>
        <v>168.75171069179669</v>
      </c>
      <c r="AA810" s="3"/>
    </row>
    <row r="811" spans="19:27" x14ac:dyDescent="0.25">
      <c r="S811" s="4">
        <v>0.4580830671758338</v>
      </c>
      <c r="T811" s="4">
        <v>-4.2782894290138755E-2</v>
      </c>
      <c r="U811" s="4">
        <f t="shared" si="182"/>
        <v>0.24534399958160058</v>
      </c>
      <c r="W811" s="4">
        <f t="shared" si="183"/>
        <v>0.80726593160529436</v>
      </c>
      <c r="X811" s="4">
        <f t="shared" si="184"/>
        <v>0.49835360297635523</v>
      </c>
      <c r="Y811" s="3">
        <f t="shared" si="181"/>
        <v>-77.851971846058404</v>
      </c>
      <c r="AA811" s="3"/>
    </row>
    <row r="812" spans="19:27" x14ac:dyDescent="0.25">
      <c r="S812" s="4">
        <v>-0.90845892669686579</v>
      </c>
      <c r="T812" s="4">
        <v>0.73365956937287258</v>
      </c>
      <c r="U812" s="4">
        <f t="shared" si="182"/>
        <v>2.7749254144023183E-2</v>
      </c>
      <c r="W812" s="4">
        <f t="shared" si="183"/>
        <v>-1.5164796138088026</v>
      </c>
      <c r="X812" s="4">
        <f t="shared" si="184"/>
        <v>0.11471322754507027</v>
      </c>
      <c r="Y812" s="3">
        <f t="shared" si="181"/>
        <v>260.48159961236979</v>
      </c>
      <c r="AA812" s="3"/>
    </row>
    <row r="813" spans="19:27" x14ac:dyDescent="0.25">
      <c r="S813" s="4">
        <v>0.57887644077389122</v>
      </c>
      <c r="T813" s="4">
        <v>1.4939800515580686</v>
      </c>
      <c r="U813" s="4">
        <f t="shared" si="182"/>
        <v>1.5371620574271931</v>
      </c>
      <c r="W813" s="4">
        <f t="shared" si="183"/>
        <v>1.0126698380147559</v>
      </c>
      <c r="X813" s="4">
        <f t="shared" si="184"/>
        <v>2.7759525574188015</v>
      </c>
      <c r="Y813" s="3">
        <f t="shared" si="181"/>
        <v>117.95101505435014</v>
      </c>
      <c r="AA813" s="3"/>
    </row>
    <row r="814" spans="19:27" x14ac:dyDescent="0.25">
      <c r="S814" s="4">
        <v>-0.14024731743213914</v>
      </c>
      <c r="T814" s="4">
        <v>0.26323305339414116</v>
      </c>
      <c r="U814" s="4">
        <f t="shared" si="182"/>
        <v>0.12316484666248394</v>
      </c>
      <c r="W814" s="4">
        <f t="shared" si="183"/>
        <v>-0.21016900427871793</v>
      </c>
      <c r="X814" s="4">
        <f t="shared" si="184"/>
        <v>0.28294005518361703</v>
      </c>
      <c r="Y814" s="3">
        <f t="shared" si="181"/>
        <v>62.087997635390821</v>
      </c>
      <c r="AA814" s="3"/>
    </row>
    <row r="815" spans="19:27" x14ac:dyDescent="0.25">
      <c r="S815" s="4">
        <v>-0.84884286393578656</v>
      </c>
      <c r="T815" s="4">
        <v>-1.2379923262934003</v>
      </c>
      <c r="U815" s="4">
        <f t="shared" si="182"/>
        <v>-1.4988201856740453</v>
      </c>
      <c r="W815" s="4">
        <f t="shared" si="183"/>
        <v>-1.4151050780116319</v>
      </c>
      <c r="X815" s="4">
        <f t="shared" si="184"/>
        <v>-2.5767748956446503</v>
      </c>
      <c r="Y815" s="3">
        <f t="shared" si="181"/>
        <v>-25.689855602583521</v>
      </c>
      <c r="AA815" s="3"/>
    </row>
    <row r="816" spans="19:27" x14ac:dyDescent="0.25">
      <c r="S816" s="4">
        <v>1.0987225630433091</v>
      </c>
      <c r="T816" s="4">
        <v>-6.2252324462868325E-2</v>
      </c>
      <c r="U816" s="4">
        <f t="shared" si="182"/>
        <v>0.62045886820557161</v>
      </c>
      <c r="W816" s="4">
        <f t="shared" si="183"/>
        <v>1.8966456809385277</v>
      </c>
      <c r="X816" s="4">
        <f t="shared" si="184"/>
        <v>1.1597170414149063</v>
      </c>
      <c r="Y816" s="3">
        <f t="shared" si="181"/>
        <v>-178.76439592907491</v>
      </c>
      <c r="AA816" s="3"/>
    </row>
    <row r="817" spans="19:27" x14ac:dyDescent="0.25">
      <c r="S817" s="4">
        <v>-1.8923702015854442</v>
      </c>
      <c r="T817" s="4">
        <v>1.4093924455852642</v>
      </c>
      <c r="U817" s="4">
        <f t="shared" si="182"/>
        <v>-3.6416954003222424E-2</v>
      </c>
      <c r="W817" s="4">
        <f t="shared" si="183"/>
        <v>-3.1895781737920421</v>
      </c>
      <c r="X817" s="4">
        <f t="shared" si="184"/>
        <v>1.5820573318023057E-3</v>
      </c>
      <c r="Y817" s="3">
        <f t="shared" si="181"/>
        <v>538.03075407921824</v>
      </c>
      <c r="AA817" s="3"/>
    </row>
    <row r="818" spans="19:27" x14ac:dyDescent="0.25">
      <c r="S818" s="4">
        <v>1.2389640775861936</v>
      </c>
      <c r="T818" s="4">
        <v>-0.47327214937082029</v>
      </c>
      <c r="U818" s="4">
        <f t="shared" si="182"/>
        <v>0.38014108968845606</v>
      </c>
      <c r="W818" s="4">
        <f t="shared" si="183"/>
        <v>2.1351203097185874</v>
      </c>
      <c r="X818" s="4">
        <f t="shared" si="184"/>
        <v>0.73601378246113125</v>
      </c>
      <c r="Y818" s="3">
        <f t="shared" si="181"/>
        <v>-256.90682197175602</v>
      </c>
      <c r="AA818" s="3"/>
    </row>
    <row r="819" spans="19:27" x14ac:dyDescent="0.25">
      <c r="S819" s="4">
        <v>-2.1879874573973598E-2</v>
      </c>
      <c r="T819" s="4">
        <v>-0.66471803401107232</v>
      </c>
      <c r="U819" s="4">
        <f t="shared" si="182"/>
        <v>-0.54025514012673537</v>
      </c>
      <c r="W819" s="4">
        <f t="shared" si="183"/>
        <v>-8.8902881492356235E-3</v>
      </c>
      <c r="X819" s="4">
        <f t="shared" si="184"/>
        <v>-0.88673291779471364</v>
      </c>
      <c r="Y819" s="3">
        <f t="shared" si="181"/>
        <v>-87.248415336714061</v>
      </c>
      <c r="AA819" s="3"/>
    </row>
    <row r="820" spans="19:27" x14ac:dyDescent="0.25">
      <c r="S820" s="4">
        <v>-0.41505206140268025</v>
      </c>
      <c r="T820" s="4">
        <v>-0.20212056553351274</v>
      </c>
      <c r="U820" s="4">
        <f t="shared" si="182"/>
        <v>-0.41324435637374007</v>
      </c>
      <c r="W820" s="4">
        <f t="shared" si="183"/>
        <v>-0.67746258363702117</v>
      </c>
      <c r="X820" s="4">
        <f t="shared" si="184"/>
        <v>-0.66280074211265294</v>
      </c>
      <c r="Y820" s="3">
        <f t="shared" si="181"/>
        <v>43.47447628287091</v>
      </c>
      <c r="AA820" s="3"/>
    </row>
    <row r="821" spans="19:27" x14ac:dyDescent="0.25">
      <c r="S821" s="4">
        <v>0.38912491011674899</v>
      </c>
      <c r="T821" s="4">
        <v>1.2675901654182598</v>
      </c>
      <c r="U821" s="4">
        <f t="shared" si="182"/>
        <v>1.2420278347186</v>
      </c>
      <c r="W821" s="4">
        <f t="shared" si="183"/>
        <v>0.69000556858351869</v>
      </c>
      <c r="X821" s="4">
        <f t="shared" si="184"/>
        <v>2.2556026575402366</v>
      </c>
      <c r="Y821" s="3">
        <f t="shared" si="181"/>
        <v>116.2128533199193</v>
      </c>
      <c r="AA821" s="3"/>
    </row>
    <row r="822" spans="19:27" x14ac:dyDescent="0.25">
      <c r="S822" s="4">
        <v>1.465046931407489</v>
      </c>
      <c r="T822" s="4">
        <v>0.33530971253711866</v>
      </c>
      <c r="U822" s="4">
        <f t="shared" si="182"/>
        <v>1.158922630299221</v>
      </c>
      <c r="W822" s="4">
        <f t="shared" si="183"/>
        <v>2.519564422535717</v>
      </c>
      <c r="X822" s="4">
        <f t="shared" si="184"/>
        <v>2.1090802230962002</v>
      </c>
      <c r="Y822" s="3">
        <f t="shared" si="181"/>
        <v>-176.67224895433719</v>
      </c>
      <c r="AA822" s="3"/>
    </row>
    <row r="823" spans="19:27" x14ac:dyDescent="0.25">
      <c r="S823" s="4">
        <v>-1.0007175498330283</v>
      </c>
      <c r="T823" s="4">
        <v>2.8653462035110397</v>
      </c>
      <c r="U823" s="4">
        <f t="shared" si="182"/>
        <v>1.661277320781205</v>
      </c>
      <c r="W823" s="4">
        <f t="shared" si="183"/>
        <v>-1.6733614114410433</v>
      </c>
      <c r="X823" s="4">
        <f t="shared" si="184"/>
        <v>2.9947796533311228</v>
      </c>
      <c r="Y823" s="3">
        <f t="shared" si="181"/>
        <v>574.9388514111406</v>
      </c>
      <c r="AA823" s="3"/>
    </row>
    <row r="824" spans="19:27" x14ac:dyDescent="0.25">
      <c r="S824" s="4">
        <v>0.14220936137722748</v>
      </c>
      <c r="T824" s="4">
        <v>0.81035562857380028</v>
      </c>
      <c r="U824" s="4">
        <f t="shared" si="182"/>
        <v>0.72905643892330019</v>
      </c>
      <c r="W824" s="4">
        <f t="shared" si="183"/>
        <v>0.27013635925837154</v>
      </c>
      <c r="X824" s="4">
        <f t="shared" si="184"/>
        <v>1.3511849590674805</v>
      </c>
      <c r="Y824" s="3">
        <f t="shared" si="181"/>
        <v>92.017425019979328</v>
      </c>
      <c r="AA824" s="3"/>
    </row>
    <row r="825" spans="19:27" x14ac:dyDescent="0.25">
      <c r="S825" s="4">
        <v>1.0175832243025154</v>
      </c>
      <c r="T825" s="4">
        <v>5.6946438694789513E-2</v>
      </c>
      <c r="U825" s="4">
        <f t="shared" si="182"/>
        <v>0.66548242516273282</v>
      </c>
      <c r="W825" s="4">
        <f t="shared" si="183"/>
        <v>1.7586717454120875</v>
      </c>
      <c r="X825" s="4">
        <f t="shared" si="184"/>
        <v>1.2390978842728617</v>
      </c>
      <c r="Y825" s="3">
        <f t="shared" si="181"/>
        <v>-149.9998256530439</v>
      </c>
      <c r="AA825" s="3"/>
    </row>
    <row r="826" spans="19:27" x14ac:dyDescent="0.25">
      <c r="S826" s="4">
        <v>-2.4578657101397026</v>
      </c>
      <c r="T826" s="4">
        <v>-0.71823014882143454</v>
      </c>
      <c r="U826" s="4">
        <f t="shared" si="182"/>
        <v>-2.0677050831727231</v>
      </c>
      <c r="W826" s="4">
        <f t="shared" si="183"/>
        <v>-4.1511788233488458</v>
      </c>
      <c r="X826" s="4">
        <f t="shared" si="184"/>
        <v>-3.5797734525017626</v>
      </c>
      <c r="Y826" s="3">
        <f t="shared" si="181"/>
        <v>352.75857298399387</v>
      </c>
      <c r="AA826" s="3"/>
    </row>
    <row r="827" spans="19:27" x14ac:dyDescent="0.25">
      <c r="S827" s="4">
        <v>1.0877001076085386</v>
      </c>
      <c r="T827" s="4">
        <v>-0.35838509710406768</v>
      </c>
      <c r="U827" s="4">
        <f t="shared" si="182"/>
        <v>0.37899724802195267</v>
      </c>
      <c r="W827" s="4">
        <f t="shared" si="183"/>
        <v>1.8779024722915059</v>
      </c>
      <c r="X827" s="4">
        <f t="shared" si="184"/>
        <v>0.73399708005644382</v>
      </c>
      <c r="Y827" s="3">
        <f t="shared" si="181"/>
        <v>-218.51279361284787</v>
      </c>
      <c r="AA827" s="3"/>
    </row>
    <row r="828" spans="19:27" x14ac:dyDescent="0.25">
      <c r="S828" s="4">
        <v>1.3383450052589516</v>
      </c>
      <c r="T828" s="4">
        <v>0.47918576702166948</v>
      </c>
      <c r="U828" s="4">
        <f t="shared" si="182"/>
        <v>1.1957317092707389</v>
      </c>
      <c r="W828" s="4">
        <f t="shared" si="183"/>
        <v>2.3041132781119207</v>
      </c>
      <c r="X828" s="4">
        <f t="shared" si="184"/>
        <v>2.1739781545582635</v>
      </c>
      <c r="Y828" s="3">
        <f t="shared" si="181"/>
        <v>-138.28836891951778</v>
      </c>
      <c r="AA828" s="3"/>
    </row>
    <row r="829" spans="19:27" x14ac:dyDescent="0.25">
      <c r="S829" s="4">
        <v>-0.40210519520065291</v>
      </c>
      <c r="T829" s="4">
        <v>0.99350497785139136</v>
      </c>
      <c r="U829" s="4">
        <f t="shared" si="182"/>
        <v>0.54241116801329692</v>
      </c>
      <c r="W829" s="4">
        <f t="shared" si="183"/>
        <v>-0.65544699772826065</v>
      </c>
      <c r="X829" s="4">
        <f t="shared" si="184"/>
        <v>1.0221114712845267</v>
      </c>
      <c r="Y829" s="3">
        <f t="shared" si="181"/>
        <v>208.36141563909041</v>
      </c>
      <c r="AA829" s="3"/>
    </row>
    <row r="830" spans="19:27" x14ac:dyDescent="0.25">
      <c r="S830" s="4">
        <v>-0.87351609102460237</v>
      </c>
      <c r="T830" s="4">
        <v>-0.67361517277612726</v>
      </c>
      <c r="U830" s="4">
        <f t="shared" si="182"/>
        <v>-1.0664842701477377</v>
      </c>
      <c r="W830" s="4">
        <f t="shared" si="183"/>
        <v>-1.4570608333383628</v>
      </c>
      <c r="X830" s="4">
        <f t="shared" si="184"/>
        <v>-1.814525271411318</v>
      </c>
      <c r="Y830" s="3">
        <f t="shared" si="181"/>
        <v>57.573653297323744</v>
      </c>
      <c r="AA830" s="3"/>
    </row>
    <row r="831" spans="19:27" x14ac:dyDescent="0.25">
      <c r="S831" s="4">
        <v>-1.3637442353036919</v>
      </c>
      <c r="T831" s="4">
        <v>-0.58799944605929089</v>
      </c>
      <c r="U831" s="4">
        <f t="shared" si="182"/>
        <v>-1.2974713815344978</v>
      </c>
      <c r="W831" s="4">
        <f t="shared" si="183"/>
        <v>-2.2906725859320942</v>
      </c>
      <c r="X831" s="4">
        <f t="shared" si="184"/>
        <v>-2.2217776706087355</v>
      </c>
      <c r="Y831" s="3">
        <f t="shared" si="181"/>
        <v>158.63396145654133</v>
      </c>
      <c r="AA831" s="3"/>
    </row>
    <row r="832" spans="19:27" x14ac:dyDescent="0.25">
      <c r="S832" s="4">
        <v>0.25388465194306159</v>
      </c>
      <c r="T832" s="4">
        <v>0.59662603625188737</v>
      </c>
      <c r="U832" s="4">
        <f t="shared" si="182"/>
        <v>0.62771444569009704</v>
      </c>
      <c r="W832" s="4">
        <f t="shared" si="183"/>
        <v>0.46003535991019939</v>
      </c>
      <c r="X832" s="4">
        <f t="shared" si="184"/>
        <v>1.172509319392651</v>
      </c>
      <c r="Y832" s="3">
        <f t="shared" si="181"/>
        <v>44.075856021835079</v>
      </c>
      <c r="AA832" s="3"/>
    </row>
    <row r="833" spans="19:27" x14ac:dyDescent="0.25">
      <c r="S833" s="4">
        <v>-0.24665171885197473</v>
      </c>
      <c r="T833" s="4">
        <v>0.43606521800958981</v>
      </c>
      <c r="U833" s="4">
        <f t="shared" si="182"/>
        <v>0.1953010269843134</v>
      </c>
      <c r="W833" s="4">
        <f t="shared" si="183"/>
        <v>-0.39110508595088467</v>
      </c>
      <c r="X833" s="4">
        <f t="shared" si="184"/>
        <v>0.41012304963136037</v>
      </c>
      <c r="Y833" s="3">
        <f t="shared" si="181"/>
        <v>104.08334913334238</v>
      </c>
      <c r="AA833" s="3"/>
    </row>
    <row r="834" spans="19:27" x14ac:dyDescent="0.25">
      <c r="S834" s="4">
        <v>0.35500675616625743</v>
      </c>
      <c r="T834" s="4">
        <v>-0.91834714497732794</v>
      </c>
      <c r="U834" s="4">
        <f t="shared" si="182"/>
        <v>-0.51154641302204529</v>
      </c>
      <c r="W834" s="4">
        <f t="shared" si="183"/>
        <v>0.63198912370608984</v>
      </c>
      <c r="X834" s="4">
        <f t="shared" si="184"/>
        <v>-0.8361166824511207</v>
      </c>
      <c r="Y834" s="3">
        <f t="shared" ref="Y834:Y897" si="185">(B$4*EXP(-B$8*B$7)*NORMSDIST((LN(B$4/(B$5+W834))-B$8*B$7+B$9*B$7+0.5*B$6*B$6*B$7)/(B$6*SQRT(B$7)))-(B$5+W834)*EXP(-B$9*B$7)*NORMSDIST((LN(B$4/(B$5+W834))-B$8*B$7+B$9*B$7-0.5*B$6*B$6*B$7)/(B$6*SQRT(B$7))))*400+100*X834-400*$B$13</f>
        <v>-183.8591308451073</v>
      </c>
      <c r="AA834" s="3"/>
    </row>
    <row r="835" spans="19:27" x14ac:dyDescent="0.25">
      <c r="S835" s="4">
        <v>-0.58613153005165919</v>
      </c>
      <c r="T835" s="4">
        <v>2.0734599414241761</v>
      </c>
      <c r="U835" s="4">
        <f t="shared" ref="U835:U898" si="186">$B$19*S835+SQRT(1-$B$19^2)*T835</f>
        <v>1.2862962887580593</v>
      </c>
      <c r="W835" s="4">
        <f t="shared" ref="W835:W898" si="187">S835*SQRT($B$16)+$B$20</f>
        <v>-0.96837581935710026</v>
      </c>
      <c r="X835" s="4">
        <f t="shared" ref="X835:X898" si="188">U835*SQRT($C$17)+$C$20</f>
        <v>2.3336521816374667</v>
      </c>
      <c r="Y835" s="3">
        <f t="shared" si="185"/>
        <v>390.98489012961272</v>
      </c>
      <c r="AA835" s="3"/>
    </row>
    <row r="836" spans="19:27" x14ac:dyDescent="0.25">
      <c r="S836" s="4">
        <v>-0.36973998080234616</v>
      </c>
      <c r="T836" s="4">
        <v>-1.1030247324663547</v>
      </c>
      <c r="U836" s="4">
        <f t="shared" si="186"/>
        <v>-1.0997606440005048</v>
      </c>
      <c r="W836" s="4">
        <f t="shared" si="187"/>
        <v>-0.60041135072900453</v>
      </c>
      <c r="X836" s="4">
        <f t="shared" si="188"/>
        <v>-1.8731947054189955</v>
      </c>
      <c r="Y836" s="3">
        <f t="shared" si="185"/>
        <v>-90.168286670223097</v>
      </c>
      <c r="AA836" s="3"/>
    </row>
    <row r="837" spans="19:27" x14ac:dyDescent="0.25">
      <c r="S837" s="4">
        <v>-0.57866776769151418</v>
      </c>
      <c r="T837" s="4">
        <v>-0.52644224235586479</v>
      </c>
      <c r="U837" s="4">
        <f t="shared" si="186"/>
        <v>-0.77007534628326513</v>
      </c>
      <c r="W837" s="4">
        <f t="shared" si="187"/>
        <v>-0.95568401433816708</v>
      </c>
      <c r="X837" s="4">
        <f t="shared" si="188"/>
        <v>-1.2919279513157769</v>
      </c>
      <c r="Y837" s="3">
        <f t="shared" si="185"/>
        <v>26.329387231266537</v>
      </c>
      <c r="AA837" s="3"/>
    </row>
    <row r="838" spans="19:27" x14ac:dyDescent="0.25">
      <c r="S838" s="4">
        <v>-0.22962841470966378</v>
      </c>
      <c r="T838" s="4">
        <v>0.76442564138133029</v>
      </c>
      <c r="U838" s="4">
        <f t="shared" si="186"/>
        <v>0.46596749995338183</v>
      </c>
      <c r="W838" s="4">
        <f t="shared" si="187"/>
        <v>-0.36215769366708089</v>
      </c>
      <c r="X838" s="4">
        <f t="shared" si="188"/>
        <v>0.88733396342295234</v>
      </c>
      <c r="Y838" s="3">
        <f t="shared" si="185"/>
        <v>147.10906340398287</v>
      </c>
      <c r="AA838" s="3"/>
    </row>
    <row r="839" spans="19:27" x14ac:dyDescent="0.25">
      <c r="S839" s="4">
        <v>1.1671186330757459</v>
      </c>
      <c r="T839" s="4">
        <v>-0.89944924747561672</v>
      </c>
      <c r="U839" s="4">
        <f t="shared" si="186"/>
        <v>-1.4846806126944667E-3</v>
      </c>
      <c r="W839" s="4">
        <f t="shared" si="187"/>
        <v>2.0129502392867811</v>
      </c>
      <c r="X839" s="4">
        <f t="shared" si="188"/>
        <v>6.3171000811390945E-2</v>
      </c>
      <c r="Y839" s="3">
        <f t="shared" si="185"/>
        <v>-305.90059869505285</v>
      </c>
      <c r="AA839" s="3"/>
    </row>
    <row r="840" spans="19:27" x14ac:dyDescent="0.25">
      <c r="S840" s="4">
        <v>-0.38937172188636504</v>
      </c>
      <c r="T840" s="4">
        <v>-0.61707297872483768</v>
      </c>
      <c r="U840" s="4">
        <f t="shared" si="186"/>
        <v>-0.72651851460517747</v>
      </c>
      <c r="W840" s="4">
        <f t="shared" si="187"/>
        <v>-0.63379427719394965</v>
      </c>
      <c r="X840" s="4">
        <f t="shared" si="188"/>
        <v>-1.2151330855942948</v>
      </c>
      <c r="Y840" s="3">
        <f t="shared" si="185"/>
        <v>-18.905445168841197</v>
      </c>
      <c r="AA840" s="3"/>
    </row>
    <row r="841" spans="19:27" x14ac:dyDescent="0.25">
      <c r="S841" s="4">
        <v>-8.2287504963864527E-2</v>
      </c>
      <c r="T841" s="4">
        <v>-0.29011699773259869</v>
      </c>
      <c r="U841" s="4">
        <f t="shared" si="186"/>
        <v>-0.28013772767409229</v>
      </c>
      <c r="W841" s="4">
        <f t="shared" si="187"/>
        <v>-0.1116108504568193</v>
      </c>
      <c r="X841" s="4">
        <f t="shared" si="188"/>
        <v>-0.4281210079856409</v>
      </c>
      <c r="Y841" s="3">
        <f t="shared" si="185"/>
        <v>-24.894193777131022</v>
      </c>
      <c r="AA841" s="3"/>
    </row>
    <row r="842" spans="19:27" x14ac:dyDescent="0.25">
      <c r="S842" s="4">
        <v>-1.4862241944200236</v>
      </c>
      <c r="T842" s="4">
        <v>0.81680397218331646</v>
      </c>
      <c r="U842" s="4">
        <f t="shared" si="186"/>
        <v>-0.25856143954650113</v>
      </c>
      <c r="W842" s="4">
        <f t="shared" si="187"/>
        <v>-2.4989444580554689</v>
      </c>
      <c r="X842" s="4">
        <f t="shared" si="188"/>
        <v>-0.39007994563812542</v>
      </c>
      <c r="Y842" s="3">
        <f t="shared" si="185"/>
        <v>377.80695525265401</v>
      </c>
      <c r="AA842" s="3"/>
    </row>
    <row r="843" spans="19:27" x14ac:dyDescent="0.25">
      <c r="S843" s="4">
        <v>-0.9371329303105983</v>
      </c>
      <c r="T843" s="4">
        <v>1.0727525348474438</v>
      </c>
      <c r="U843" s="4">
        <f t="shared" si="186"/>
        <v>0.27906522918123389</v>
      </c>
      <c r="W843" s="4">
        <f t="shared" si="187"/>
        <v>-1.5652385165467784</v>
      </c>
      <c r="X843" s="4">
        <f t="shared" si="188"/>
        <v>0.55780736026995281</v>
      </c>
      <c r="Y843" s="3">
        <f t="shared" si="185"/>
        <v>312.99789933046668</v>
      </c>
      <c r="AA843" s="3"/>
    </row>
    <row r="844" spans="19:27" x14ac:dyDescent="0.25">
      <c r="S844" s="4">
        <v>-0.76440628752271023</v>
      </c>
      <c r="T844" s="4">
        <v>0.21510466331723352</v>
      </c>
      <c r="U844" s="4">
        <f t="shared" si="186"/>
        <v>-0.29548737834642502</v>
      </c>
      <c r="W844" s="4">
        <f t="shared" si="187"/>
        <v>-1.2715243324585017</v>
      </c>
      <c r="X844" s="4">
        <f t="shared" si="188"/>
        <v>-0.45518391216942844</v>
      </c>
      <c r="Y844" s="3">
        <f t="shared" si="185"/>
        <v>162.45234587094183</v>
      </c>
      <c r="AA844" s="3"/>
    </row>
    <row r="845" spans="19:27" x14ac:dyDescent="0.25">
      <c r="S845" s="4">
        <v>0.47759130010036471</v>
      </c>
      <c r="T845" s="4">
        <v>-0.98238762215525777</v>
      </c>
      <c r="U845" s="4">
        <f t="shared" si="186"/>
        <v>-0.48758051509950218</v>
      </c>
      <c r="W845" s="4">
        <f t="shared" si="187"/>
        <v>0.84043883778786299</v>
      </c>
      <c r="X845" s="4">
        <f t="shared" si="188"/>
        <v>-0.79386250918024126</v>
      </c>
      <c r="Y845" s="3">
        <f t="shared" si="185"/>
        <v>-212.24920390914804</v>
      </c>
      <c r="AA845" s="3"/>
    </row>
    <row r="846" spans="19:27" x14ac:dyDescent="0.25">
      <c r="S846" s="4">
        <v>-0.98932823213659193</v>
      </c>
      <c r="T846" s="4">
        <v>0.70958344023668785</v>
      </c>
      <c r="U846" s="4">
        <f t="shared" si="186"/>
        <v>-4.0635434209321364E-2</v>
      </c>
      <c r="W846" s="4">
        <f t="shared" si="187"/>
        <v>-1.6539943693881334</v>
      </c>
      <c r="X846" s="4">
        <f t="shared" si="188"/>
        <v>-5.8555272788128193E-3</v>
      </c>
      <c r="Y846" s="3">
        <f t="shared" si="185"/>
        <v>271.60294814456756</v>
      </c>
      <c r="AA846" s="3"/>
    </row>
    <row r="847" spans="19:27" x14ac:dyDescent="0.25">
      <c r="S847" s="4">
        <v>-2.5635150057518796</v>
      </c>
      <c r="T847" s="4">
        <v>-1.0332234842731374</v>
      </c>
      <c r="U847" s="4">
        <f t="shared" si="186"/>
        <v>-2.3818039540412537</v>
      </c>
      <c r="W847" s="4">
        <f t="shared" si="187"/>
        <v>-4.3308308802601703</v>
      </c>
      <c r="X847" s="4">
        <f t="shared" si="188"/>
        <v>-4.1335598433459966</v>
      </c>
      <c r="Y847" s="3">
        <f t="shared" si="185"/>
        <v>330.23571559275933</v>
      </c>
      <c r="AA847" s="3"/>
    </row>
    <row r="848" spans="19:27" x14ac:dyDescent="0.25">
      <c r="S848" s="4">
        <v>-1.9428659813390599</v>
      </c>
      <c r="T848" s="4">
        <v>0.65289535115285791</v>
      </c>
      <c r="U848" s="4">
        <f t="shared" si="186"/>
        <v>-0.66686951710312292</v>
      </c>
      <c r="W848" s="4">
        <f t="shared" si="187"/>
        <v>-3.2754440628688521</v>
      </c>
      <c r="X848" s="4">
        <f t="shared" si="188"/>
        <v>-1.1099661903654172</v>
      </c>
      <c r="Y848" s="3">
        <f t="shared" si="185"/>
        <v>442.10708218119453</v>
      </c>
      <c r="AA848" s="3"/>
    </row>
    <row r="849" spans="19:27" x14ac:dyDescent="0.25">
      <c r="S849" s="4">
        <v>0.46993791182230804</v>
      </c>
      <c r="T849" s="4">
        <v>-1.4653688955321449</v>
      </c>
      <c r="U849" s="4">
        <f t="shared" si="186"/>
        <v>-0.8751015920582923</v>
      </c>
      <c r="W849" s="4">
        <f t="shared" si="187"/>
        <v>0.82742458209853853</v>
      </c>
      <c r="X849" s="4">
        <f t="shared" si="188"/>
        <v>-1.4770992810656889</v>
      </c>
      <c r="Y849" s="3">
        <f t="shared" si="185"/>
        <v>-278.54307214520986</v>
      </c>
      <c r="AA849" s="3"/>
    </row>
    <row r="850" spans="19:27" x14ac:dyDescent="0.25">
      <c r="S850" s="4">
        <v>1.4764836133596999</v>
      </c>
      <c r="T850" s="4">
        <v>-0.57684463721651191</v>
      </c>
      <c r="U850" s="4">
        <f t="shared" si="186"/>
        <v>0.44283721369998674</v>
      </c>
      <c r="W850" s="4">
        <f t="shared" si="187"/>
        <v>2.5390120054566441</v>
      </c>
      <c r="X850" s="4">
        <f t="shared" si="188"/>
        <v>0.84655305355198662</v>
      </c>
      <c r="Y850" s="3">
        <f t="shared" si="185"/>
        <v>-305.79255650212917</v>
      </c>
      <c r="AA850" s="3"/>
    </row>
    <row r="851" spans="19:27" x14ac:dyDescent="0.25">
      <c r="S851" s="4">
        <v>0.92983983962750949</v>
      </c>
      <c r="T851" s="4">
        <v>0.36793479001932566</v>
      </c>
      <c r="U851" s="4">
        <f t="shared" si="186"/>
        <v>0.85851008422551867</v>
      </c>
      <c r="W851" s="4">
        <f t="shared" si="187"/>
        <v>1.6094679154585867</v>
      </c>
      <c r="X851" s="4">
        <f t="shared" si="188"/>
        <v>1.5794241336156489</v>
      </c>
      <c r="Y851" s="3">
        <f t="shared" si="185"/>
        <v>-93.338138120870099</v>
      </c>
      <c r="AA851" s="3"/>
    </row>
    <row r="852" spans="19:27" x14ac:dyDescent="0.25">
      <c r="S852" s="4">
        <v>0.72266957535504128</v>
      </c>
      <c r="T852" s="4">
        <v>-0.68254514634757268</v>
      </c>
      <c r="U852" s="4">
        <f t="shared" si="186"/>
        <v>-0.10049259284186762</v>
      </c>
      <c r="W852" s="4">
        <f t="shared" si="187"/>
        <v>1.257183843030546</v>
      </c>
      <c r="X852" s="4">
        <f t="shared" si="188"/>
        <v>-0.11138943051650718</v>
      </c>
      <c r="Y852" s="3">
        <f t="shared" si="185"/>
        <v>-208.5453327640289</v>
      </c>
      <c r="AA852" s="3"/>
    </row>
    <row r="853" spans="19:27" x14ac:dyDescent="0.25">
      <c r="S853" s="4">
        <v>-0.19019647715393967</v>
      </c>
      <c r="T853" s="4">
        <v>-0.53412687311250051</v>
      </c>
      <c r="U853" s="4">
        <f t="shared" si="186"/>
        <v>-0.53934612552643713</v>
      </c>
      <c r="W853" s="4">
        <f t="shared" si="187"/>
        <v>-0.29510538963763261</v>
      </c>
      <c r="X853" s="4">
        <f t="shared" si="188"/>
        <v>-0.88513023799732404</v>
      </c>
      <c r="Y853" s="3">
        <f t="shared" si="185"/>
        <v>-40.996759172521251</v>
      </c>
      <c r="AA853" s="3"/>
    </row>
    <row r="854" spans="19:27" x14ac:dyDescent="0.25">
      <c r="S854" s="4">
        <v>-0.21196831995479792</v>
      </c>
      <c r="T854" s="4">
        <v>2.3278829025438229E-2</v>
      </c>
      <c r="U854" s="4">
        <f t="shared" si="186"/>
        <v>-0.11076767527175486</v>
      </c>
      <c r="W854" s="4">
        <f t="shared" si="187"/>
        <v>-0.33212746649351826</v>
      </c>
      <c r="X854" s="4">
        <f t="shared" si="188"/>
        <v>-0.1295053848933567</v>
      </c>
      <c r="Y854" s="3">
        <f t="shared" si="185"/>
        <v>40.55871734215043</v>
      </c>
      <c r="AA854" s="3"/>
    </row>
    <row r="855" spans="19:27" x14ac:dyDescent="0.25">
      <c r="S855" s="4">
        <v>-0.58793702336608722</v>
      </c>
      <c r="T855" s="4">
        <v>-0.70131319033284956</v>
      </c>
      <c r="U855" s="4">
        <f t="shared" si="186"/>
        <v>-0.914344896162539</v>
      </c>
      <c r="W855" s="4">
        <f t="shared" si="187"/>
        <v>-0.97144598263454718</v>
      </c>
      <c r="X855" s="4">
        <f t="shared" si="188"/>
        <v>-1.5462889845644634</v>
      </c>
      <c r="Y855" s="3">
        <f t="shared" si="185"/>
        <v>3.4982858691528236</v>
      </c>
      <c r="AA855" s="3"/>
    </row>
    <row r="856" spans="19:27" x14ac:dyDescent="0.25">
      <c r="S856" s="4">
        <v>-0.469257813397363</v>
      </c>
      <c r="T856" s="4">
        <v>1.0403147902984771</v>
      </c>
      <c r="U856" s="4">
        <f t="shared" si="186"/>
        <v>0.53857919839609425</v>
      </c>
      <c r="W856" s="4">
        <f t="shared" si="187"/>
        <v>-0.7696371200202764</v>
      </c>
      <c r="X856" s="4">
        <f t="shared" si="188"/>
        <v>1.0153553418585675</v>
      </c>
      <c r="Y856" s="3">
        <f t="shared" si="185"/>
        <v>226.40795898570377</v>
      </c>
      <c r="AA856" s="3"/>
    </row>
    <row r="857" spans="19:27" x14ac:dyDescent="0.25">
      <c r="S857" s="4">
        <v>1.6107420620441846</v>
      </c>
      <c r="T857" s="4">
        <v>1.574259072593639</v>
      </c>
      <c r="U857" s="4">
        <f t="shared" si="186"/>
        <v>2.229846902251019</v>
      </c>
      <c r="W857" s="4">
        <f t="shared" si="187"/>
        <v>2.7673126895656175</v>
      </c>
      <c r="X857" s="4">
        <f t="shared" si="188"/>
        <v>3.9972222778312769</v>
      </c>
      <c r="Y857" s="3">
        <f t="shared" si="185"/>
        <v>-24.249437457699969</v>
      </c>
      <c r="AA857" s="3"/>
    </row>
    <row r="858" spans="19:27" x14ac:dyDescent="0.25">
      <c r="S858" s="4">
        <v>-0.68019271635153056</v>
      </c>
      <c r="T858" s="4">
        <v>0.29258548929777156</v>
      </c>
      <c r="U858" s="4">
        <f t="shared" si="186"/>
        <v>-0.18273047402400525</v>
      </c>
      <c r="W858" s="4">
        <f t="shared" si="187"/>
        <v>-1.1283227976722452</v>
      </c>
      <c r="X858" s="4">
        <f t="shared" si="188"/>
        <v>-0.25638269102903888</v>
      </c>
      <c r="Y858" s="3">
        <f t="shared" si="185"/>
        <v>158.48731722500452</v>
      </c>
      <c r="AA858" s="3"/>
    </row>
    <row r="859" spans="19:27" x14ac:dyDescent="0.25">
      <c r="S859" s="4">
        <v>0.65743519377933179</v>
      </c>
      <c r="T859" s="4">
        <v>2.8638598842333784E-2</v>
      </c>
      <c r="U859" s="4">
        <f t="shared" si="186"/>
        <v>0.42348875146134707</v>
      </c>
      <c r="W859" s="4">
        <f t="shared" si="187"/>
        <v>1.146255599131647</v>
      </c>
      <c r="X859" s="4">
        <f t="shared" si="188"/>
        <v>0.81243986160738058</v>
      </c>
      <c r="Y859" s="3">
        <f t="shared" si="185"/>
        <v>-99.068494946273859</v>
      </c>
      <c r="AA859" s="3"/>
    </row>
    <row r="860" spans="19:27" x14ac:dyDescent="0.25">
      <c r="S860" s="4">
        <v>0.93234400840659348</v>
      </c>
      <c r="T860" s="4">
        <v>1.6560657130826035</v>
      </c>
      <c r="U860" s="4">
        <f t="shared" si="186"/>
        <v>1.881127783447635</v>
      </c>
      <c r="W860" s="4">
        <f t="shared" si="187"/>
        <v>1.6137261461397168</v>
      </c>
      <c r="X860" s="4">
        <f t="shared" si="188"/>
        <v>3.3823970742687393</v>
      </c>
      <c r="Y860" s="3">
        <f t="shared" si="185"/>
        <v>86.311778727344063</v>
      </c>
      <c r="AA860" s="3"/>
    </row>
    <row r="861" spans="19:27" x14ac:dyDescent="0.25">
      <c r="S861" s="4">
        <v>0.31063575976176144</v>
      </c>
      <c r="T861" s="4">
        <v>-0.63580401338961523</v>
      </c>
      <c r="U861" s="4">
        <f t="shared" si="186"/>
        <v>-0.31462627701356349</v>
      </c>
      <c r="W861" s="4">
        <f t="shared" si="187"/>
        <v>0.55653816376278542</v>
      </c>
      <c r="X861" s="4">
        <f t="shared" si="188"/>
        <v>-0.48892762346740504</v>
      </c>
      <c r="Y861" s="3">
        <f t="shared" si="185"/>
        <v>-137.2798853013951</v>
      </c>
      <c r="AA861" s="3"/>
    </row>
    <row r="862" spans="19:27" x14ac:dyDescent="0.25">
      <c r="S862" s="4">
        <v>0.11120709468262925</v>
      </c>
      <c r="T862" s="4">
        <v>-1.5550457175651802</v>
      </c>
      <c r="U862" s="4">
        <f t="shared" si="186"/>
        <v>-1.1648780032454371</v>
      </c>
      <c r="W862" s="4">
        <f t="shared" si="187"/>
        <v>0.21741834586959052</v>
      </c>
      <c r="X862" s="4">
        <f t="shared" si="188"/>
        <v>-1.9880028461099954</v>
      </c>
      <c r="Y862" s="3">
        <f t="shared" si="185"/>
        <v>-233.51959143228396</v>
      </c>
      <c r="AA862" s="3"/>
    </row>
    <row r="863" spans="19:27" x14ac:dyDescent="0.25">
      <c r="S863" s="4">
        <v>-0.72775786627963157</v>
      </c>
      <c r="T863" s="4">
        <v>-1.3161428092453125</v>
      </c>
      <c r="U863" s="4">
        <f t="shared" si="186"/>
        <v>-1.486953333584428</v>
      </c>
      <c r="W863" s="4">
        <f t="shared" si="187"/>
        <v>-1.2092052775067248</v>
      </c>
      <c r="X863" s="4">
        <f t="shared" si="188"/>
        <v>-2.5558524989126288</v>
      </c>
      <c r="Y863" s="3">
        <f t="shared" si="185"/>
        <v>-58.004827796114114</v>
      </c>
      <c r="AA863" s="3"/>
    </row>
    <row r="864" spans="19:27" x14ac:dyDescent="0.25">
      <c r="S864" s="4">
        <v>7.4064071677236679E-2</v>
      </c>
      <c r="T864" s="4">
        <v>0.40050403740213442</v>
      </c>
      <c r="U864" s="4">
        <f t="shared" si="186"/>
        <v>0.36262746460295309</v>
      </c>
      <c r="W864" s="4">
        <f t="shared" si="187"/>
        <v>0.15425824201694988</v>
      </c>
      <c r="X864" s="4">
        <f t="shared" si="188"/>
        <v>0.70513558414134403</v>
      </c>
      <c r="Y864" s="3">
        <f t="shared" si="185"/>
        <v>45.855084214718772</v>
      </c>
      <c r="AA864" s="3"/>
    </row>
    <row r="865" spans="19:27" x14ac:dyDescent="0.25">
      <c r="S865" s="4">
        <v>-0.5684000802039787</v>
      </c>
      <c r="T865" s="4">
        <v>0.9608448993347205</v>
      </c>
      <c r="U865" s="4">
        <f t="shared" si="186"/>
        <v>0.41514471219009735</v>
      </c>
      <c r="W865" s="4">
        <f t="shared" si="187"/>
        <v>-0.9382242559349524</v>
      </c>
      <c r="X865" s="4">
        <f t="shared" si="188"/>
        <v>0.79772852125677485</v>
      </c>
      <c r="Y865" s="3">
        <f t="shared" si="185"/>
        <v>232.41095895310809</v>
      </c>
      <c r="AA865" s="3"/>
    </row>
    <row r="866" spans="19:27" x14ac:dyDescent="0.25">
      <c r="S866" s="4">
        <v>1.1430461137068886</v>
      </c>
      <c r="T866" s="4">
        <v>-7.0105579851807875E-2</v>
      </c>
      <c r="U866" s="4">
        <f t="shared" si="186"/>
        <v>0.64125428076113744</v>
      </c>
      <c r="W866" s="4">
        <f t="shared" si="187"/>
        <v>1.9720159614518564</v>
      </c>
      <c r="X866" s="4">
        <f t="shared" si="188"/>
        <v>1.1963813453438557</v>
      </c>
      <c r="Y866" s="3">
        <f t="shared" si="185"/>
        <v>-186.4344920943704</v>
      </c>
      <c r="AA866" s="3"/>
    </row>
    <row r="867" spans="19:27" x14ac:dyDescent="0.25">
      <c r="S867" s="4">
        <v>-1.4351352496982439</v>
      </c>
      <c r="T867" s="4">
        <v>7.1420508620317347E-2</v>
      </c>
      <c r="U867" s="4">
        <f t="shared" si="186"/>
        <v>-0.81827600157111924</v>
      </c>
      <c r="W867" s="4">
        <f t="shared" si="187"/>
        <v>-2.4120699176099878</v>
      </c>
      <c r="X867" s="4">
        <f t="shared" si="188"/>
        <v>-1.3769103228040218</v>
      </c>
      <c r="Y867" s="3">
        <f t="shared" si="185"/>
        <v>264.07795027098564</v>
      </c>
      <c r="AA867" s="3"/>
    </row>
    <row r="868" spans="19:27" x14ac:dyDescent="0.25">
      <c r="S868" s="4">
        <v>0.65446968765733782</v>
      </c>
      <c r="T868" s="4">
        <v>-0.16090297419117949</v>
      </c>
      <c r="U868" s="4">
        <f t="shared" si="186"/>
        <v>0.27143282056249252</v>
      </c>
      <c r="W868" s="4">
        <f t="shared" si="187"/>
        <v>1.1412128842558658</v>
      </c>
      <c r="X868" s="4">
        <f t="shared" si="188"/>
        <v>0.54435069291316263</v>
      </c>
      <c r="Y868" s="3">
        <f t="shared" si="185"/>
        <v>-125.0988535559477</v>
      </c>
      <c r="AA868" s="3"/>
    </row>
    <row r="869" spans="19:27" x14ac:dyDescent="0.25">
      <c r="S869" s="4">
        <v>1.6566619487671888</v>
      </c>
      <c r="T869" s="4">
        <v>1.516294522157819</v>
      </c>
      <c r="U869" s="4">
        <f t="shared" si="186"/>
        <v>2.2118926532432295</v>
      </c>
      <c r="W869" s="4">
        <f t="shared" si="187"/>
        <v>2.8453974704921827</v>
      </c>
      <c r="X869" s="4">
        <f t="shared" si="188"/>
        <v>3.9655672173375889</v>
      </c>
      <c r="Y869" s="3">
        <f t="shared" si="185"/>
        <v>-38.822008233987617</v>
      </c>
      <c r="AA869" s="3"/>
    </row>
    <row r="870" spans="19:27" x14ac:dyDescent="0.25">
      <c r="S870" s="4">
        <v>1.1875084932644966</v>
      </c>
      <c r="T870" s="4">
        <v>-0.73543070108530861</v>
      </c>
      <c r="U870" s="4">
        <f t="shared" si="186"/>
        <v>0.14096162577562998</v>
      </c>
      <c r="W870" s="4">
        <f t="shared" si="187"/>
        <v>2.0476223144938892</v>
      </c>
      <c r="X870" s="4">
        <f t="shared" si="188"/>
        <v>0.31431748117202929</v>
      </c>
      <c r="Y870" s="3">
        <f t="shared" si="185"/>
        <v>-285.98439314709731</v>
      </c>
      <c r="AA870" s="3"/>
    </row>
    <row r="871" spans="19:27" x14ac:dyDescent="0.25">
      <c r="S871" s="4">
        <v>0.8039512118749419</v>
      </c>
      <c r="T871" s="4">
        <v>-0.92310901431187431</v>
      </c>
      <c r="U871" s="4">
        <f t="shared" si="186"/>
        <v>-0.2416345518559696</v>
      </c>
      <c r="W871" s="4">
        <f t="shared" si="187"/>
        <v>1.3953997497747055</v>
      </c>
      <c r="X871" s="4">
        <f t="shared" si="188"/>
        <v>-0.36023622153798796</v>
      </c>
      <c r="Y871" s="3">
        <f t="shared" si="185"/>
        <v>-254.64178185519449</v>
      </c>
      <c r="AA871" s="3"/>
    </row>
    <row r="872" spans="19:27" x14ac:dyDescent="0.25">
      <c r="S872" s="4">
        <v>0.9555169543008627</v>
      </c>
      <c r="T872" s="4">
        <v>1.1714828191754714</v>
      </c>
      <c r="U872" s="4">
        <f t="shared" si="186"/>
        <v>1.511129535781242</v>
      </c>
      <c r="W872" s="4">
        <f t="shared" si="187"/>
        <v>1.6531307381957046</v>
      </c>
      <c r="X872" s="4">
        <f t="shared" si="188"/>
        <v>2.7300547286013273</v>
      </c>
      <c r="Y872" s="3">
        <f t="shared" si="185"/>
        <v>15.091204578380712</v>
      </c>
      <c r="AA872" s="3"/>
    </row>
    <row r="873" spans="19:27" x14ac:dyDescent="0.25">
      <c r="S873" s="4">
        <v>-1.2796728032213256</v>
      </c>
      <c r="T873" s="4">
        <v>0.2738714581944362</v>
      </c>
      <c r="U873" s="4">
        <f t="shared" si="186"/>
        <v>-0.56302137358933035</v>
      </c>
      <c r="W873" s="4">
        <f t="shared" si="187"/>
        <v>-2.1477127525175774</v>
      </c>
      <c r="X873" s="4">
        <f t="shared" si="188"/>
        <v>-0.92687196772986846</v>
      </c>
      <c r="Y873" s="3">
        <f t="shared" si="185"/>
        <v>263.54601665824612</v>
      </c>
      <c r="AA873" s="3"/>
    </row>
    <row r="874" spans="19:27" x14ac:dyDescent="0.25">
      <c r="S874" s="4">
        <v>-0.31160111346404157</v>
      </c>
      <c r="T874" s="4">
        <v>-0.23324487619045037</v>
      </c>
      <c r="U874" s="4">
        <f t="shared" si="186"/>
        <v>-0.37485034298073783</v>
      </c>
      <c r="W874" s="4">
        <f t="shared" si="187"/>
        <v>-0.50154872184634491</v>
      </c>
      <c r="X874" s="4">
        <f t="shared" si="188"/>
        <v>-0.59510841947506099</v>
      </c>
      <c r="Y874" s="3">
        <f t="shared" si="185"/>
        <v>21.514650686375262</v>
      </c>
      <c r="AA874" s="3"/>
    </row>
    <row r="875" spans="19:27" x14ac:dyDescent="0.25">
      <c r="S875" s="4">
        <v>-0.715069659859911</v>
      </c>
      <c r="T875" s="4">
        <v>0.40489161610526087</v>
      </c>
      <c r="U875" s="4">
        <f t="shared" si="186"/>
        <v>-0.11496806655762642</v>
      </c>
      <c r="W875" s="4">
        <f t="shared" si="187"/>
        <v>-1.1876295313684275</v>
      </c>
      <c r="X875" s="4">
        <f t="shared" si="188"/>
        <v>-0.13691107700522043</v>
      </c>
      <c r="Y875" s="3">
        <f t="shared" si="185"/>
        <v>180.29680964817089</v>
      </c>
      <c r="AA875" s="3"/>
    </row>
    <row r="876" spans="19:27" x14ac:dyDescent="0.25">
      <c r="S876" s="4">
        <v>0.62677367407632867</v>
      </c>
      <c r="T876" s="4">
        <v>1.8441319611390565</v>
      </c>
      <c r="U876" s="4">
        <f t="shared" si="186"/>
        <v>1.8439239036657558</v>
      </c>
      <c r="W876" s="4">
        <f t="shared" si="187"/>
        <v>1.0941170112617178</v>
      </c>
      <c r="X876" s="4">
        <f t="shared" si="188"/>
        <v>3.316803071167616</v>
      </c>
      <c r="Y876" s="3">
        <f t="shared" si="185"/>
        <v>159.42387077935291</v>
      </c>
      <c r="AA876" s="3"/>
    </row>
    <row r="877" spans="19:27" x14ac:dyDescent="0.25">
      <c r="S877" s="4">
        <v>-1.2618968156464632</v>
      </c>
      <c r="T877" s="4">
        <v>-0.24757966529368891</v>
      </c>
      <c r="U877" s="4">
        <f t="shared" si="186"/>
        <v>-0.96553487880466649</v>
      </c>
      <c r="W877" s="4">
        <f t="shared" si="187"/>
        <v>-2.1174854546170119</v>
      </c>
      <c r="X877" s="4">
        <f t="shared" si="188"/>
        <v>-1.6365418264685918</v>
      </c>
      <c r="Y877" s="3">
        <f t="shared" si="185"/>
        <v>187.39616379527706</v>
      </c>
      <c r="AA877" s="3"/>
    </row>
    <row r="878" spans="19:27" x14ac:dyDescent="0.25">
      <c r="S878" s="4">
        <v>-0.19247776973548886</v>
      </c>
      <c r="T878" s="4">
        <v>0.52951758193254483</v>
      </c>
      <c r="U878" s="4">
        <f t="shared" si="186"/>
        <v>0.30240561811970162</v>
      </c>
      <c r="W878" s="4">
        <f t="shared" si="187"/>
        <v>-0.29898462898624423</v>
      </c>
      <c r="X878" s="4">
        <f t="shared" si="188"/>
        <v>0.59895870129640583</v>
      </c>
      <c r="Y878" s="3">
        <f t="shared" si="185"/>
        <v>108.0397570182422</v>
      </c>
      <c r="AA878" s="3"/>
    </row>
    <row r="879" spans="19:27" x14ac:dyDescent="0.25">
      <c r="S879" s="4">
        <v>-1.3070444189536732</v>
      </c>
      <c r="T879" s="4">
        <v>-1.9197840114361788</v>
      </c>
      <c r="U879" s="4">
        <f t="shared" si="186"/>
        <v>-2.3186009043309368</v>
      </c>
      <c r="W879" s="4">
        <f t="shared" si="187"/>
        <v>-2.1942570010031854</v>
      </c>
      <c r="X879" s="4">
        <f t="shared" si="188"/>
        <v>-4.0221268136994963</v>
      </c>
      <c r="Y879" s="3">
        <f t="shared" si="185"/>
        <v>-37.989299292147734</v>
      </c>
      <c r="AA879" s="3"/>
    </row>
    <row r="880" spans="19:27" x14ac:dyDescent="0.25">
      <c r="S880" s="4">
        <v>-0.48992064238449162</v>
      </c>
      <c r="T880" s="4">
        <v>1.0432842889357101</v>
      </c>
      <c r="U880" s="4">
        <f t="shared" si="186"/>
        <v>0.52833657468952078</v>
      </c>
      <c r="W880" s="4">
        <f t="shared" si="187"/>
        <v>-0.80477336686068368</v>
      </c>
      <c r="X880" s="4">
        <f t="shared" si="188"/>
        <v>0.99729661531951841</v>
      </c>
      <c r="Y880" s="3">
        <f t="shared" si="185"/>
        <v>230.37661174544883</v>
      </c>
      <c r="AA880" s="3"/>
    </row>
    <row r="881" spans="19:27" x14ac:dyDescent="0.25">
      <c r="S881" s="4">
        <v>-0.16935736081858621</v>
      </c>
      <c r="T881" s="4">
        <v>3.8324994357822342E-2</v>
      </c>
      <c r="U881" s="4">
        <f t="shared" si="186"/>
        <v>-7.2864108678226597E-2</v>
      </c>
      <c r="W881" s="4">
        <f t="shared" si="187"/>
        <v>-0.25966937378757393</v>
      </c>
      <c r="X881" s="4">
        <f t="shared" si="188"/>
        <v>-6.267776693372426E-2</v>
      </c>
      <c r="Y881" s="3">
        <f t="shared" si="185"/>
        <v>35.518912275304046</v>
      </c>
      <c r="AA881" s="3"/>
    </row>
    <row r="882" spans="19:27" x14ac:dyDescent="0.25">
      <c r="S882" s="4">
        <v>-0.43327055542238585</v>
      </c>
      <c r="T882" s="4">
        <v>1.2216448957902182</v>
      </c>
      <c r="U882" s="4">
        <f t="shared" si="186"/>
        <v>0.70425676121686154</v>
      </c>
      <c r="W882" s="4">
        <f t="shared" si="187"/>
        <v>-0.70844234460468014</v>
      </c>
      <c r="X882" s="4">
        <f t="shared" si="188"/>
        <v>1.3074607521858286</v>
      </c>
      <c r="Y882" s="3">
        <f t="shared" si="185"/>
        <v>245.57676882005035</v>
      </c>
      <c r="AA882" s="3"/>
    </row>
    <row r="883" spans="19:27" x14ac:dyDescent="0.25">
      <c r="S883" s="4">
        <v>-0.62342796824855573</v>
      </c>
      <c r="T883" s="4">
        <v>-0.82384340493492014</v>
      </c>
      <c r="U883" s="4">
        <f t="shared" si="186"/>
        <v>-1.033109691225679</v>
      </c>
      <c r="W883" s="4">
        <f t="shared" si="187"/>
        <v>-1.0317967991063139</v>
      </c>
      <c r="X883" s="4">
        <f t="shared" si="188"/>
        <v>-1.7556826924613003</v>
      </c>
      <c r="Y883" s="3">
        <f t="shared" si="185"/>
        <v>-7.4547604963722733</v>
      </c>
      <c r="AA883" s="3"/>
    </row>
    <row r="884" spans="19:27" x14ac:dyDescent="0.25">
      <c r="S884" s="4">
        <v>0.16701111211618791</v>
      </c>
      <c r="T884" s="4">
        <v>2.9365016736343836</v>
      </c>
      <c r="U884" s="4">
        <f t="shared" si="186"/>
        <v>2.4295551405666092</v>
      </c>
      <c r="W884" s="4">
        <f t="shared" si="187"/>
        <v>0.3123106634923758</v>
      </c>
      <c r="X884" s="4">
        <f t="shared" si="188"/>
        <v>4.3493270282012384</v>
      </c>
      <c r="Y884" s="3">
        <f t="shared" si="185"/>
        <v>385.13653889130364</v>
      </c>
      <c r="AA884" s="3"/>
    </row>
    <row r="885" spans="19:27" x14ac:dyDescent="0.25">
      <c r="S885" s="4">
        <v>0.17333860080674271</v>
      </c>
      <c r="T885" s="4">
        <v>-1.2967157418406448</v>
      </c>
      <c r="U885" s="4">
        <f t="shared" si="186"/>
        <v>-0.92222514083339791</v>
      </c>
      <c r="W885" s="4">
        <f t="shared" si="187"/>
        <v>0.32307028429017215</v>
      </c>
      <c r="X885" s="4">
        <f t="shared" si="188"/>
        <v>-1.5601826106165961</v>
      </c>
      <c r="Y885" s="3">
        <f t="shared" si="185"/>
        <v>-207.52102978190305</v>
      </c>
      <c r="AA885" s="3"/>
    </row>
    <row r="886" spans="19:27" x14ac:dyDescent="0.25">
      <c r="S886" s="4">
        <v>-0.48267333414410191</v>
      </c>
      <c r="T886" s="4">
        <v>-0.13105717719285803</v>
      </c>
      <c r="U886" s="4">
        <f t="shared" si="186"/>
        <v>-0.39813641221636897</v>
      </c>
      <c r="W886" s="4">
        <f t="shared" si="187"/>
        <v>-0.7924496327088173</v>
      </c>
      <c r="X886" s="4">
        <f t="shared" si="188"/>
        <v>-0.63616398966317123</v>
      </c>
      <c r="Y886" s="3">
        <f t="shared" si="185"/>
        <v>65.004450452525816</v>
      </c>
      <c r="AA886" s="3"/>
    </row>
    <row r="887" spans="19:27" x14ac:dyDescent="0.25">
      <c r="S887" s="4">
        <v>0.78127810395851371</v>
      </c>
      <c r="T887" s="4">
        <v>-3.1528877850467492E-2</v>
      </c>
      <c r="U887" s="4">
        <f t="shared" si="186"/>
        <v>0.45129187409728166</v>
      </c>
      <c r="W887" s="4">
        <f t="shared" si="187"/>
        <v>1.3568451105775721</v>
      </c>
      <c r="X887" s="4">
        <f t="shared" si="188"/>
        <v>0.86145942954208488</v>
      </c>
      <c r="Y887" s="3">
        <f t="shared" si="185"/>
        <v>-126.56500971719834</v>
      </c>
      <c r="AA887" s="3"/>
    </row>
    <row r="888" spans="19:27" x14ac:dyDescent="0.25">
      <c r="S888" s="4">
        <v>-1.90888435938238E-3</v>
      </c>
      <c r="T888" s="4">
        <v>0.69604787263980084</v>
      </c>
      <c r="U888" s="4">
        <f t="shared" si="186"/>
        <v>0.55058789494532756</v>
      </c>
      <c r="W888" s="4">
        <f t="shared" si="187"/>
        <v>2.5069516786687892E-2</v>
      </c>
      <c r="X888" s="4">
        <f t="shared" si="188"/>
        <v>1.0365278239574511</v>
      </c>
      <c r="Y888" s="3">
        <f t="shared" si="185"/>
        <v>99.637007320354314</v>
      </c>
      <c r="AA888" s="3"/>
    </row>
    <row r="889" spans="19:27" x14ac:dyDescent="0.25">
      <c r="S889" s="4">
        <v>-1.2789733439481741</v>
      </c>
      <c r="T889" s="4">
        <v>0.23361968164167232</v>
      </c>
      <c r="U889" s="4">
        <f t="shared" si="186"/>
        <v>-0.59450222963170618</v>
      </c>
      <c r="W889" s="4">
        <f t="shared" si="187"/>
        <v>-2.1465233522814544</v>
      </c>
      <c r="X889" s="4">
        <f t="shared" si="188"/>
        <v>-0.98237573187963267</v>
      </c>
      <c r="Y889" s="3">
        <f t="shared" si="185"/>
        <v>257.79160971106467</v>
      </c>
      <c r="AA889" s="3"/>
    </row>
    <row r="890" spans="19:27" x14ac:dyDescent="0.25">
      <c r="S890" s="4">
        <v>-1.0384132071154713E-2</v>
      </c>
      <c r="T890" s="4">
        <v>0.64066959703730897</v>
      </c>
      <c r="U890" s="4">
        <f t="shared" si="186"/>
        <v>0.50152327774900773</v>
      </c>
      <c r="W890" s="4">
        <f t="shared" si="187"/>
        <v>1.0657724683102814E-2</v>
      </c>
      <c r="X890" s="4">
        <f t="shared" si="188"/>
        <v>0.95002220488225009</v>
      </c>
      <c r="Y890" s="3">
        <f t="shared" si="185"/>
        <v>93.294609657395995</v>
      </c>
      <c r="AA890" s="3"/>
    </row>
    <row r="891" spans="19:27" x14ac:dyDescent="0.25">
      <c r="S891" s="4">
        <v>1.3550994867037565</v>
      </c>
      <c r="T891" s="4">
        <v>8.5988173649430302E-2</v>
      </c>
      <c r="U891" s="4">
        <f t="shared" si="186"/>
        <v>0.89426102085053538</v>
      </c>
      <c r="W891" s="4">
        <f t="shared" si="187"/>
        <v>2.3326035490276023</v>
      </c>
      <c r="X891" s="4">
        <f t="shared" si="188"/>
        <v>1.6424564587816814</v>
      </c>
      <c r="Y891" s="3">
        <f t="shared" si="185"/>
        <v>-195.67127331797565</v>
      </c>
      <c r="AA891" s="3"/>
    </row>
    <row r="892" spans="19:27" x14ac:dyDescent="0.25">
      <c r="S892" s="4">
        <v>0.32332072148163871</v>
      </c>
      <c r="T892" s="4">
        <v>-0.10393399837895349</v>
      </c>
      <c r="U892" s="4">
        <f t="shared" si="186"/>
        <v>0.11471587468818861</v>
      </c>
      <c r="W892" s="4">
        <f t="shared" si="187"/>
        <v>0.57810839242936163</v>
      </c>
      <c r="X892" s="4">
        <f t="shared" si="188"/>
        <v>0.26804370842805192</v>
      </c>
      <c r="Y892" s="3">
        <f t="shared" si="185"/>
        <v>-64.976409910195798</v>
      </c>
      <c r="AA892" s="3"/>
    </row>
    <row r="893" spans="19:27" x14ac:dyDescent="0.25">
      <c r="S893" s="4">
        <v>0.2546037542892885</v>
      </c>
      <c r="T893" s="4">
        <v>0.55649687361806388</v>
      </c>
      <c r="U893" s="4">
        <f t="shared" si="186"/>
        <v>0.59634275957829619</v>
      </c>
      <c r="W893" s="4">
        <f t="shared" si="187"/>
        <v>0.46125816234234862</v>
      </c>
      <c r="X893" s="4">
        <f t="shared" si="188"/>
        <v>1.1171980322857831</v>
      </c>
      <c r="Y893" s="3">
        <f t="shared" si="185"/>
        <v>38.351674270844796</v>
      </c>
      <c r="AA893" s="3"/>
    </row>
    <row r="894" spans="19:27" x14ac:dyDescent="0.25">
      <c r="S894" s="4">
        <v>-1.8053806884809419E-2</v>
      </c>
      <c r="T894" s="4">
        <v>-1.0311658502131664</v>
      </c>
      <c r="U894" s="4">
        <f t="shared" si="186"/>
        <v>-0.82840294315805707</v>
      </c>
      <c r="W894" s="4">
        <f t="shared" si="187"/>
        <v>-2.384225555467797E-3</v>
      </c>
      <c r="X894" s="4">
        <f t="shared" si="188"/>
        <v>-1.3947650906871831</v>
      </c>
      <c r="Y894" s="3">
        <f t="shared" si="185"/>
        <v>-139.09442131023116</v>
      </c>
      <c r="AA894" s="3"/>
    </row>
    <row r="895" spans="19:27" x14ac:dyDescent="0.25">
      <c r="S895" s="4">
        <v>-0.6977361700283361</v>
      </c>
      <c r="T895" s="4">
        <v>-1.0000509983731993</v>
      </c>
      <c r="U895" s="4">
        <f t="shared" si="186"/>
        <v>-1.218087981979425</v>
      </c>
      <c r="W895" s="4">
        <f t="shared" si="187"/>
        <v>-1.1581546817383364</v>
      </c>
      <c r="X895" s="4">
        <f t="shared" si="188"/>
        <v>-2.0818171345807341</v>
      </c>
      <c r="Y895" s="3">
        <f t="shared" si="185"/>
        <v>-19.097590485718683</v>
      </c>
      <c r="AA895" s="3"/>
    </row>
    <row r="896" spans="19:27" x14ac:dyDescent="0.25">
      <c r="S896" s="4">
        <v>0.14135621738354806</v>
      </c>
      <c r="T896" s="4">
        <v>0.67468919019007134</v>
      </c>
      <c r="U896" s="4">
        <f t="shared" si="186"/>
        <v>0.6209946403647677</v>
      </c>
      <c r="W896" s="4">
        <f t="shared" si="187"/>
        <v>0.26868562480322972</v>
      </c>
      <c r="X896" s="4">
        <f t="shared" si="188"/>
        <v>1.1606616590429022</v>
      </c>
      <c r="Y896" s="3">
        <f t="shared" si="185"/>
        <v>73.195559296955707</v>
      </c>
      <c r="AA896" s="3"/>
    </row>
    <row r="897" spans="19:27" x14ac:dyDescent="0.25">
      <c r="S897" s="4">
        <v>-0.80284888412448152</v>
      </c>
      <c r="T897" s="4">
        <v>-0.39957095882672788</v>
      </c>
      <c r="U897" s="4">
        <f t="shared" si="186"/>
        <v>-0.80617130287077421</v>
      </c>
      <c r="W897" s="4">
        <f t="shared" si="187"/>
        <v>-1.3368943049936002</v>
      </c>
      <c r="X897" s="4">
        <f t="shared" si="188"/>
        <v>-1.3555685797185246</v>
      </c>
      <c r="Y897" s="3">
        <f t="shared" si="185"/>
        <v>83.334882133442534</v>
      </c>
      <c r="AA897" s="3"/>
    </row>
    <row r="898" spans="19:27" x14ac:dyDescent="0.25">
      <c r="S898" s="4">
        <v>-0.67133207597827971</v>
      </c>
      <c r="T898" s="4">
        <v>1.905470251042083E-2</v>
      </c>
      <c r="U898" s="4">
        <f t="shared" si="186"/>
        <v>-0.39415450157580484</v>
      </c>
      <c r="W898" s="4">
        <f t="shared" si="187"/>
        <v>-1.1132556620194962</v>
      </c>
      <c r="X898" s="4">
        <f t="shared" si="188"/>
        <v>-0.62914349985305262</v>
      </c>
      <c r="Y898" s="3">
        <f t="shared" ref="Y898:Y961" si="189">(B$4*EXP(-B$8*B$7)*NORMSDIST((LN(B$4/(B$5+W898))-B$8*B$7+B$9*B$7+0.5*B$6*B$6*B$7)/(B$6*SQRT(B$7)))-(B$5+W898)*EXP(-B$9*B$7)*NORMSDIST((LN(B$4/(B$5+W898))-B$8*B$7+B$9*B$7-0.5*B$6*B$6*B$7)/(B$6*SQRT(B$7))))*400+100*X898-400*$B$13</f>
        <v>118.70861774963578</v>
      </c>
      <c r="AA898" s="3"/>
    </row>
    <row r="899" spans="19:27" x14ac:dyDescent="0.25">
      <c r="S899" s="4">
        <v>0.93029061618361375</v>
      </c>
      <c r="T899" s="4">
        <v>0.71013525567167246</v>
      </c>
      <c r="U899" s="4">
        <f t="shared" ref="U899:U962" si="190">$B$19*S899+SQRT(1-$B$19^2)*T899</f>
        <v>1.1300444656718582</v>
      </c>
      <c r="W899" s="4">
        <f t="shared" ref="W899:W962" si="191">S899*SQRT($B$16)+$B$20</f>
        <v>1.6102344414921232</v>
      </c>
      <c r="X899" s="4">
        <f t="shared" ref="X899:X962" si="192">U899*SQRT($C$17)+$C$20</f>
        <v>2.0581652531729668</v>
      </c>
      <c r="Y899" s="3">
        <f t="shared" si="189"/>
        <v>-45.580567562269152</v>
      </c>
      <c r="AA899" s="3"/>
    </row>
    <row r="900" spans="19:27" x14ac:dyDescent="0.25">
      <c r="S900" s="4">
        <v>0.55359666172221245</v>
      </c>
      <c r="T900" s="4">
        <v>0.68618795334319482</v>
      </c>
      <c r="U900" s="4">
        <f t="shared" si="190"/>
        <v>0.88142059086105373</v>
      </c>
      <c r="W900" s="4">
        <f t="shared" si="191"/>
        <v>0.9696826673139749</v>
      </c>
      <c r="X900" s="4">
        <f t="shared" si="192"/>
        <v>1.6198175509718555</v>
      </c>
      <c r="Y900" s="3">
        <f t="shared" si="189"/>
        <v>9.0077232429521246</v>
      </c>
      <c r="AA900" s="3"/>
    </row>
    <row r="901" spans="19:27" x14ac:dyDescent="0.25">
      <c r="S901" s="4">
        <v>-0.85590872088108916</v>
      </c>
      <c r="T901" s="4">
        <v>-0.62748957798509453</v>
      </c>
      <c r="U901" s="4">
        <f t="shared" si="190"/>
        <v>-1.019187033595494</v>
      </c>
      <c r="W901" s="4">
        <f t="shared" si="191"/>
        <v>-1.4271202620855943</v>
      </c>
      <c r="X901" s="4">
        <f t="shared" si="192"/>
        <v>-1.7311357136750976</v>
      </c>
      <c r="Y901" s="3">
        <f t="shared" si="189"/>
        <v>60.888792790790376</v>
      </c>
      <c r="AA901" s="3"/>
    </row>
    <row r="902" spans="19:27" x14ac:dyDescent="0.25">
      <c r="S902" s="4">
        <v>1.4663417246302874</v>
      </c>
      <c r="T902" s="4">
        <v>1.0503599544033928</v>
      </c>
      <c r="U902" s="4">
        <f t="shared" si="190"/>
        <v>1.7265265850054015</v>
      </c>
      <c r="W902" s="4">
        <f t="shared" si="191"/>
        <v>2.5217661623996959</v>
      </c>
      <c r="X902" s="4">
        <f t="shared" si="192"/>
        <v>3.1098203551332118</v>
      </c>
      <c r="Y902" s="3">
        <f t="shared" si="189"/>
        <v>-76.922981229291963</v>
      </c>
      <c r="AA902" s="3"/>
    </row>
    <row r="903" spans="19:27" x14ac:dyDescent="0.25">
      <c r="S903" s="4">
        <v>-0.8247288878129001</v>
      </c>
      <c r="T903" s="4">
        <v>-0.94010039870518813</v>
      </c>
      <c r="U903" s="4">
        <f t="shared" si="190"/>
        <v>-1.2479832142962879</v>
      </c>
      <c r="W903" s="4">
        <f t="shared" si="191"/>
        <v>-1.3741003047598561</v>
      </c>
      <c r="X903" s="4">
        <f t="shared" si="192"/>
        <v>-2.1345252922459519</v>
      </c>
      <c r="Y903" s="3">
        <f t="shared" si="189"/>
        <v>11.665087578329803</v>
      </c>
      <c r="AA903" s="3"/>
    </row>
    <row r="904" spans="19:27" x14ac:dyDescent="0.25">
      <c r="S904" s="4">
        <v>2.0399867350017598</v>
      </c>
      <c r="T904" s="4">
        <v>-8.2512788896733608E-2</v>
      </c>
      <c r="U904" s="4">
        <f t="shared" si="190"/>
        <v>1.1782142003227321</v>
      </c>
      <c r="W904" s="4">
        <f t="shared" si="191"/>
        <v>3.4972246872578117</v>
      </c>
      <c r="X904" s="4">
        <f t="shared" si="192"/>
        <v>2.1430931086169211</v>
      </c>
      <c r="Y904" s="3">
        <f t="shared" si="189"/>
        <v>-315.12684576055563</v>
      </c>
      <c r="AA904" s="3"/>
    </row>
    <row r="905" spans="19:27" x14ac:dyDescent="0.25">
      <c r="S905" s="4">
        <v>0.53005226678548623</v>
      </c>
      <c r="T905" s="4">
        <v>-0.10636386805895157</v>
      </c>
      <c r="U905" s="4">
        <f t="shared" si="190"/>
        <v>0.23881789896690636</v>
      </c>
      <c r="W905" s="4">
        <f t="shared" si="191"/>
        <v>0.92964644222978299</v>
      </c>
      <c r="X905" s="4">
        <f t="shared" si="192"/>
        <v>0.48684746258271294</v>
      </c>
      <c r="Y905" s="3">
        <f t="shared" si="189"/>
        <v>-98.068513113150857</v>
      </c>
      <c r="AA905" s="3"/>
    </row>
    <row r="906" spans="19:27" x14ac:dyDescent="0.25">
      <c r="S906" s="4">
        <v>-0.84948753701538449</v>
      </c>
      <c r="T906" s="4">
        <v>-0.30324048662318809</v>
      </c>
      <c r="U906" s="4">
        <f t="shared" si="190"/>
        <v>-0.75824286977140298</v>
      </c>
      <c r="W906" s="4">
        <f t="shared" si="191"/>
        <v>-1.41620131669561</v>
      </c>
      <c r="X906" s="4">
        <f t="shared" si="192"/>
        <v>-1.2710661620195141</v>
      </c>
      <c r="Y906" s="3">
        <f t="shared" si="189"/>
        <v>105.06480562412889</v>
      </c>
      <c r="AA906" s="3"/>
    </row>
    <row r="907" spans="19:27" x14ac:dyDescent="0.25">
      <c r="S907" s="4">
        <v>0.51853673933445465</v>
      </c>
      <c r="T907" s="4">
        <v>-1.7342496022984808</v>
      </c>
      <c r="U907" s="4">
        <f t="shared" si="190"/>
        <v>-1.0586142527775337</v>
      </c>
      <c r="W907" s="4">
        <f t="shared" si="191"/>
        <v>0.91006478594888496</v>
      </c>
      <c r="X907" s="4">
        <f t="shared" si="192"/>
        <v>-1.8006496770697169</v>
      </c>
      <c r="Y907" s="3">
        <f t="shared" si="189"/>
        <v>-323.77268576904635</v>
      </c>
      <c r="AA907" s="3"/>
    </row>
    <row r="908" spans="19:27" x14ac:dyDescent="0.25">
      <c r="S908" s="4">
        <v>0.26839822817246639</v>
      </c>
      <c r="T908" s="4">
        <v>-0.40232245907967834</v>
      </c>
      <c r="U908" s="4">
        <f t="shared" si="190"/>
        <v>-0.15529625399686967</v>
      </c>
      <c r="W908" s="4">
        <f t="shared" si="191"/>
        <v>0.4847150684462907</v>
      </c>
      <c r="X908" s="4">
        <f t="shared" si="192"/>
        <v>-0.20801353372374862</v>
      </c>
      <c r="Y908" s="3">
        <f t="shared" si="189"/>
        <v>-97.871315868354941</v>
      </c>
      <c r="AA908" s="3"/>
    </row>
    <row r="909" spans="19:27" x14ac:dyDescent="0.25">
      <c r="S909" s="4">
        <v>1.8452847838550113</v>
      </c>
      <c r="T909" s="4">
        <v>-1.9054657252232483</v>
      </c>
      <c r="U909" s="4">
        <f t="shared" si="190"/>
        <v>-0.38552069678646927</v>
      </c>
      <c r="W909" s="4">
        <f t="shared" si="191"/>
        <v>3.1661424419339723</v>
      </c>
      <c r="X909" s="4">
        <f t="shared" si="192"/>
        <v>-0.61392127514298334</v>
      </c>
      <c r="Y909" s="3">
        <f t="shared" si="189"/>
        <v>-543.31314250358082</v>
      </c>
      <c r="AA909" s="3"/>
    </row>
    <row r="910" spans="19:27" x14ac:dyDescent="0.25">
      <c r="S910" s="4">
        <v>1.0534993728830464E-2</v>
      </c>
      <c r="T910" s="4">
        <v>-9.8668399192919545E-2</v>
      </c>
      <c r="U910" s="4">
        <f t="shared" si="190"/>
        <v>-7.1791285329459012E-2</v>
      </c>
      <c r="W910" s="4">
        <f t="shared" si="191"/>
        <v>4.6229793166642594E-2</v>
      </c>
      <c r="X910" s="4">
        <f t="shared" si="192"/>
        <v>-6.078627662468683E-2</v>
      </c>
      <c r="Y910" s="3">
        <f t="shared" si="189"/>
        <v>-13.481445767137302</v>
      </c>
      <c r="AA910" s="3"/>
    </row>
    <row r="911" spans="19:27" x14ac:dyDescent="0.25">
      <c r="S911" s="4">
        <v>0.39409739706749147</v>
      </c>
      <c r="T911" s="4">
        <v>-6.7225052229903645E-2</v>
      </c>
      <c r="U911" s="4">
        <f t="shared" si="190"/>
        <v>0.18696180392016057</v>
      </c>
      <c r="W911" s="4">
        <f t="shared" si="191"/>
        <v>0.6984610675387114</v>
      </c>
      <c r="X911" s="4">
        <f t="shared" si="192"/>
        <v>0.39542020071511841</v>
      </c>
      <c r="Y911" s="3">
        <f t="shared" si="189"/>
        <v>-71.130210771126258</v>
      </c>
      <c r="AA911" s="3"/>
    </row>
    <row r="912" spans="19:27" x14ac:dyDescent="0.25">
      <c r="S912" s="4">
        <v>1.4877044913158473</v>
      </c>
      <c r="T912" s="4">
        <v>-0.14548597077856004</v>
      </c>
      <c r="U912" s="4">
        <f t="shared" si="190"/>
        <v>0.79161228344648971</v>
      </c>
      <c r="W912" s="4">
        <f t="shared" si="191"/>
        <v>2.5580926230177181</v>
      </c>
      <c r="X912" s="4">
        <f t="shared" si="192"/>
        <v>1.4614769039857103</v>
      </c>
      <c r="Y912" s="3">
        <f t="shared" si="189"/>
        <v>-247.11183464292981</v>
      </c>
      <c r="AA912" s="3"/>
    </row>
    <row r="913" spans="19:27" x14ac:dyDescent="0.25">
      <c r="S913" s="4">
        <v>1.2629789269964462</v>
      </c>
      <c r="T913" s="4">
        <v>0.34634759048693514</v>
      </c>
      <c r="U913" s="4">
        <f t="shared" si="190"/>
        <v>1.0444871040554493</v>
      </c>
      <c r="W913" s="4">
        <f t="shared" si="191"/>
        <v>2.1759565222836463</v>
      </c>
      <c r="X913" s="4">
        <f t="shared" si="192"/>
        <v>1.9073194307454879</v>
      </c>
      <c r="Y913" s="3">
        <f t="shared" si="189"/>
        <v>-145.87339701884457</v>
      </c>
      <c r="AA913" s="3"/>
    </row>
    <row r="914" spans="19:27" x14ac:dyDescent="0.25">
      <c r="S914" s="4">
        <v>0.99439570241951669</v>
      </c>
      <c r="T914" s="4">
        <v>-1.0080481061601338</v>
      </c>
      <c r="U914" s="4">
        <f t="shared" si="190"/>
        <v>-0.19286588145458605</v>
      </c>
      <c r="W914" s="4">
        <f t="shared" si="191"/>
        <v>1.7192423675178072</v>
      </c>
      <c r="X914" s="4">
        <f t="shared" si="192"/>
        <v>-0.27425238500532345</v>
      </c>
      <c r="Y914" s="3">
        <f t="shared" si="189"/>
        <v>-295.36564788876922</v>
      </c>
      <c r="AA914" s="3"/>
    </row>
    <row r="915" spans="19:27" x14ac:dyDescent="0.25">
      <c r="S915" s="4">
        <v>1.0971949562319268</v>
      </c>
      <c r="T915" s="4">
        <v>1.0142808155284804</v>
      </c>
      <c r="U915" s="4">
        <f t="shared" si="190"/>
        <v>1.4728868332048939</v>
      </c>
      <c r="W915" s="4">
        <f t="shared" si="191"/>
        <v>1.8940480516384328</v>
      </c>
      <c r="X915" s="4">
        <f t="shared" si="192"/>
        <v>2.6626291814246561</v>
      </c>
      <c r="Y915" s="3">
        <f t="shared" si="189"/>
        <v>-28.08196315709165</v>
      </c>
      <c r="AA915" s="3"/>
    </row>
    <row r="916" spans="19:27" x14ac:dyDescent="0.25">
      <c r="S916" s="4">
        <v>-0.37314393324936451</v>
      </c>
      <c r="T916" s="4">
        <v>0.40702469194355523</v>
      </c>
      <c r="U916" s="4">
        <f t="shared" si="190"/>
        <v>9.5168357573589046E-2</v>
      </c>
      <c r="W916" s="4">
        <f t="shared" si="191"/>
        <v>-0.60619962461376387</v>
      </c>
      <c r="X916" s="4">
        <f t="shared" si="192"/>
        <v>0.23357956367348209</v>
      </c>
      <c r="Y916" s="3">
        <f t="shared" si="189"/>
        <v>121.45485822190039</v>
      </c>
      <c r="AA916" s="3"/>
    </row>
    <row r="917" spans="19:27" x14ac:dyDescent="0.25">
      <c r="S917" s="4">
        <v>0.2581933000251122</v>
      </c>
      <c r="T917" s="4">
        <v>-0.84786580563584435</v>
      </c>
      <c r="U917" s="4">
        <f t="shared" si="190"/>
        <v>-0.51469606079313102</v>
      </c>
      <c r="W917" s="4">
        <f t="shared" si="191"/>
        <v>0.46736202958615142</v>
      </c>
      <c r="X917" s="4">
        <f t="shared" si="192"/>
        <v>-0.84166981311586042</v>
      </c>
      <c r="Y917" s="3">
        <f t="shared" si="189"/>
        <v>-158.49865908042784</v>
      </c>
      <c r="AA917" s="3"/>
    </row>
    <row r="918" spans="19:27" x14ac:dyDescent="0.25">
      <c r="S918" s="4">
        <v>-0.84621009994464214</v>
      </c>
      <c r="T918" s="4">
        <v>-0.31903463296187562</v>
      </c>
      <c r="U918" s="4">
        <f t="shared" si="190"/>
        <v>-0.7687647647560274</v>
      </c>
      <c r="W918" s="4">
        <f t="shared" si="191"/>
        <v>-1.4106281767352862</v>
      </c>
      <c r="X918" s="4">
        <f t="shared" si="192"/>
        <v>-1.2896172705678035</v>
      </c>
      <c r="Y918" s="3">
        <f t="shared" si="189"/>
        <v>102.2754062680815</v>
      </c>
      <c r="AA918" s="3"/>
    </row>
    <row r="919" spans="19:27" x14ac:dyDescent="0.25">
      <c r="S919" s="4">
        <v>1.4931534133091469</v>
      </c>
      <c r="T919" s="4">
        <v>0.92914599317332225</v>
      </c>
      <c r="U919" s="4">
        <f t="shared" si="190"/>
        <v>1.6467862489913481</v>
      </c>
      <c r="W919" s="4">
        <f t="shared" si="191"/>
        <v>2.5673582791527014</v>
      </c>
      <c r="X919" s="4">
        <f t="shared" si="192"/>
        <v>2.9692305059439343</v>
      </c>
      <c r="Y919" s="3">
        <f t="shared" si="189"/>
        <v>-97.701184880573692</v>
      </c>
      <c r="AA919" s="3"/>
    </row>
    <row r="920" spans="19:27" x14ac:dyDescent="0.25">
      <c r="S920" s="4">
        <v>-1.1599055491912722</v>
      </c>
      <c r="T920" s="4">
        <v>1.3521564596935645</v>
      </c>
      <c r="U920" s="4">
        <f t="shared" si="190"/>
        <v>0.36473933152756466</v>
      </c>
      <c r="W920" s="4">
        <f t="shared" si="191"/>
        <v>-1.9440537180446562</v>
      </c>
      <c r="X920" s="4">
        <f t="shared" si="192"/>
        <v>0.7088590077846384</v>
      </c>
      <c r="Y920" s="3">
        <f t="shared" si="189"/>
        <v>392.29335103140693</v>
      </c>
      <c r="AA920" s="3"/>
    </row>
    <row r="921" spans="19:27" x14ac:dyDescent="0.25">
      <c r="S921" s="4">
        <v>0.79408539850948123</v>
      </c>
      <c r="T921" s="4">
        <v>-0.44965176080095964</v>
      </c>
      <c r="U921" s="4">
        <f t="shared" si="190"/>
        <v>0.1276568143590972</v>
      </c>
      <c r="W921" s="4">
        <f t="shared" si="191"/>
        <v>1.378623360931428</v>
      </c>
      <c r="X921" s="4">
        <f t="shared" si="192"/>
        <v>0.29085982443212716</v>
      </c>
      <c r="Y921" s="3">
        <f t="shared" si="189"/>
        <v>-186.96268029753674</v>
      </c>
      <c r="AA921" s="3"/>
    </row>
    <row r="922" spans="19:27" x14ac:dyDescent="0.25">
      <c r="S922" s="4">
        <v>-0.62179498276492995</v>
      </c>
      <c r="T922" s="4">
        <v>-0.58593499405244587</v>
      </c>
      <c r="U922" s="4">
        <f t="shared" si="190"/>
        <v>-0.84352608829475439</v>
      </c>
      <c r="W922" s="4">
        <f t="shared" si="191"/>
        <v>-1.0290199779326392</v>
      </c>
      <c r="X922" s="4">
        <f t="shared" si="192"/>
        <v>-1.4214286439190271</v>
      </c>
      <c r="Y922" s="3">
        <f t="shared" si="189"/>
        <v>25.510740320039076</v>
      </c>
      <c r="AA922" s="3"/>
    </row>
    <row r="923" spans="19:27" x14ac:dyDescent="0.25">
      <c r="S923" s="4">
        <v>-0.95131364309938182</v>
      </c>
      <c r="T923" s="4">
        <v>-1.539487882541114</v>
      </c>
      <c r="U923" s="4">
        <f t="shared" si="190"/>
        <v>-1.8002817801485151</v>
      </c>
      <c r="W923" s="4">
        <f t="shared" si="191"/>
        <v>-1.5893522052014148</v>
      </c>
      <c r="X923" s="4">
        <f t="shared" si="192"/>
        <v>-3.1082805579239694</v>
      </c>
      <c r="Y923" s="3">
        <f t="shared" si="189"/>
        <v>-49.547526899147215</v>
      </c>
      <c r="AA923" s="3"/>
    </row>
    <row r="924" spans="19:27" x14ac:dyDescent="0.25">
      <c r="S924" s="4">
        <v>-0.87939479379529839</v>
      </c>
      <c r="T924" s="4">
        <v>-0.43087873859259695</v>
      </c>
      <c r="U924" s="4">
        <f t="shared" si="190"/>
        <v>-0.87765282443833126</v>
      </c>
      <c r="W924" s="4">
        <f t="shared" si="191"/>
        <v>-1.4670573130934452</v>
      </c>
      <c r="X924" s="4">
        <f t="shared" si="192"/>
        <v>-1.4815973480852871</v>
      </c>
      <c r="Y924" s="3">
        <f t="shared" si="189"/>
        <v>92.544840071628641</v>
      </c>
      <c r="AA924" s="3"/>
    </row>
    <row r="925" spans="19:27" x14ac:dyDescent="0.25">
      <c r="S925" s="4">
        <v>-1.138204104090305</v>
      </c>
      <c r="T925" s="4">
        <v>0.42697522595366949</v>
      </c>
      <c r="U925" s="4">
        <f t="shared" si="190"/>
        <v>-0.35541476339786515</v>
      </c>
      <c r="W925" s="4">
        <f t="shared" si="191"/>
        <v>-1.9071513494321051</v>
      </c>
      <c r="X925" s="4">
        <f t="shared" si="192"/>
        <v>-0.56084163130927367</v>
      </c>
      <c r="Y925" s="3">
        <f t="shared" si="189"/>
        <v>259.03663451433931</v>
      </c>
      <c r="AA925" s="3"/>
    </row>
    <row r="926" spans="19:27" x14ac:dyDescent="0.25">
      <c r="S926" s="4">
        <v>1.5683060216325453</v>
      </c>
      <c r="T926" s="4">
        <v>1.0436365770653593</v>
      </c>
      <c r="U926" s="4">
        <f t="shared" si="190"/>
        <v>1.7833567279142246</v>
      </c>
      <c r="W926" s="4">
        <f t="shared" si="191"/>
        <v>2.6951520385840091</v>
      </c>
      <c r="X926" s="4">
        <f t="shared" si="192"/>
        <v>3.2100173397502374</v>
      </c>
      <c r="Y926" s="3">
        <f t="shared" si="189"/>
        <v>-92.401608815393047</v>
      </c>
      <c r="AA926" s="3"/>
    </row>
    <row r="927" spans="19:27" x14ac:dyDescent="0.25">
      <c r="S927" s="4">
        <v>-0.47524086227787543</v>
      </c>
      <c r="T927" s="4">
        <v>1.3438163403929035</v>
      </c>
      <c r="U927" s="4">
        <f t="shared" si="190"/>
        <v>0.77551505480131699</v>
      </c>
      <c r="W927" s="4">
        <f t="shared" si="191"/>
        <v>-0.77981103582119893</v>
      </c>
      <c r="X927" s="4">
        <f t="shared" si="192"/>
        <v>1.4330959482396584</v>
      </c>
      <c r="Y927" s="3">
        <f t="shared" si="189"/>
        <v>269.8534040200675</v>
      </c>
      <c r="AA927" s="3"/>
    </row>
    <row r="928" spans="19:27" x14ac:dyDescent="0.25">
      <c r="S928" s="4">
        <v>-1.1748793052970954</v>
      </c>
      <c r="T928" s="4">
        <v>-1.5046497663828149</v>
      </c>
      <c r="U928" s="4">
        <f t="shared" si="190"/>
        <v>-1.9089564993548973</v>
      </c>
      <c r="W928" s="4">
        <f t="shared" si="191"/>
        <v>-1.9695159425537005</v>
      </c>
      <c r="X928" s="4">
        <f t="shared" si="192"/>
        <v>-3.299884495750613</v>
      </c>
      <c r="Y928" s="3">
        <f t="shared" si="189"/>
        <v>-4.2390493455295655</v>
      </c>
      <c r="AA928" s="3"/>
    </row>
    <row r="929" spans="19:27" x14ac:dyDescent="0.25">
      <c r="S929" s="4">
        <v>-1.1805788585108001</v>
      </c>
      <c r="T929" s="4">
        <v>9.6905764730336283E-2</v>
      </c>
      <c r="U929" s="4">
        <f t="shared" si="190"/>
        <v>-0.64289078675937517</v>
      </c>
      <c r="W929" s="4">
        <f t="shared" si="191"/>
        <v>-1.9792077862369404</v>
      </c>
      <c r="X929" s="4">
        <f t="shared" si="192"/>
        <v>-1.0676893923069826</v>
      </c>
      <c r="Y929" s="3">
        <f t="shared" si="189"/>
        <v>220.63407200996062</v>
      </c>
      <c r="AA929" s="3"/>
    </row>
    <row r="930" spans="19:27" x14ac:dyDescent="0.25">
      <c r="S930" s="4">
        <v>-0.9534269916312379</v>
      </c>
      <c r="T930" s="4">
        <v>1.3973128608616752</v>
      </c>
      <c r="U930" s="4">
        <f t="shared" si="190"/>
        <v>0.52640838594542916</v>
      </c>
      <c r="W930" s="4">
        <f t="shared" si="191"/>
        <v>-1.592945862958606</v>
      </c>
      <c r="X930" s="4">
        <f t="shared" si="192"/>
        <v>0.99389703389948869</v>
      </c>
      <c r="Y930" s="3">
        <f t="shared" si="189"/>
        <v>361.27605860354197</v>
      </c>
      <c r="AA930" s="3"/>
    </row>
    <row r="931" spans="19:27" x14ac:dyDescent="0.25">
      <c r="S931" s="4">
        <v>0.1091638152130887</v>
      </c>
      <c r="T931" s="4">
        <v>1.2798430628062536</v>
      </c>
      <c r="U931" s="4">
        <f t="shared" si="190"/>
        <v>1.081070078782828</v>
      </c>
      <c r="W931" s="4">
        <f t="shared" si="191"/>
        <v>0.21394383752175319</v>
      </c>
      <c r="X931" s="4">
        <f t="shared" si="192"/>
        <v>1.9718187187709471</v>
      </c>
      <c r="Y931" s="3">
        <f t="shared" si="189"/>
        <v>163.01548834526329</v>
      </c>
      <c r="AA931" s="3"/>
    </row>
    <row r="932" spans="19:27" x14ac:dyDescent="0.25">
      <c r="S932" s="4">
        <v>-0.47547444868671068</v>
      </c>
      <c r="T932" s="4">
        <v>-1.393943735227827</v>
      </c>
      <c r="U932" s="4">
        <f t="shared" si="190"/>
        <v>-1.3948279064016662</v>
      </c>
      <c r="W932" s="4">
        <f t="shared" si="191"/>
        <v>-0.78020823940472139</v>
      </c>
      <c r="X932" s="4">
        <f t="shared" si="192"/>
        <v>-2.3934265478627155</v>
      </c>
      <c r="Y932" s="3">
        <f t="shared" si="189"/>
        <v>-112.73358146714372</v>
      </c>
      <c r="AA932" s="3"/>
    </row>
    <row r="933" spans="19:27" x14ac:dyDescent="0.25">
      <c r="S933" s="4">
        <v>-5.3483774896618611E-2</v>
      </c>
      <c r="T933" s="4">
        <v>0.29991023692189295</v>
      </c>
      <c r="U933" s="4">
        <f t="shared" si="190"/>
        <v>0.2051315487071983</v>
      </c>
      <c r="W933" s="4">
        <f t="shared" si="191"/>
        <v>-6.2631353496473488E-2</v>
      </c>
      <c r="X933" s="4">
        <f t="shared" si="192"/>
        <v>0.42745520090582612</v>
      </c>
      <c r="Y933" s="3">
        <f t="shared" si="189"/>
        <v>52.792363574997125</v>
      </c>
      <c r="AA933" s="3"/>
    </row>
    <row r="934" spans="19:27" x14ac:dyDescent="0.25">
      <c r="S934" s="4">
        <v>0.18090953423794504</v>
      </c>
      <c r="T934" s="4">
        <v>-0.34537653261270207</v>
      </c>
      <c r="U934" s="4">
        <f t="shared" si="190"/>
        <v>-0.16349073243274814</v>
      </c>
      <c r="W934" s="4">
        <f t="shared" si="191"/>
        <v>0.33594432907933064</v>
      </c>
      <c r="X934" s="4">
        <f t="shared" si="192"/>
        <v>-0.22246118399803269</v>
      </c>
      <c r="Y934" s="3">
        <f t="shared" si="189"/>
        <v>-75.790082464118314</v>
      </c>
      <c r="AA934" s="3"/>
    </row>
    <row r="935" spans="19:27" x14ac:dyDescent="0.25">
      <c r="S935" s="4">
        <v>0.17546410399629694</v>
      </c>
      <c r="T935" s="4">
        <v>-1.0921132722129372</v>
      </c>
      <c r="U935" s="4">
        <f t="shared" si="190"/>
        <v>-0.75874264193588614</v>
      </c>
      <c r="W935" s="4">
        <f t="shared" si="191"/>
        <v>0.32668461051698128</v>
      </c>
      <c r="X935" s="4">
        <f t="shared" si="192"/>
        <v>-1.2719473082090826</v>
      </c>
      <c r="Y935" s="3">
        <f t="shared" si="189"/>
        <v>-179.27064138563537</v>
      </c>
      <c r="AA935" s="3"/>
    </row>
    <row r="936" spans="19:27" x14ac:dyDescent="0.25">
      <c r="S936" s="4">
        <v>-0.73954503180601894</v>
      </c>
      <c r="T936" s="4">
        <v>0.69813945059922999</v>
      </c>
      <c r="U936" s="4">
        <f t="shared" si="190"/>
        <v>0.10256641858785143</v>
      </c>
      <c r="W936" s="4">
        <f t="shared" si="191"/>
        <v>-1.2292488425839887</v>
      </c>
      <c r="X936" s="4">
        <f t="shared" si="192"/>
        <v>0.24662305375991611</v>
      </c>
      <c r="Y936" s="3">
        <f t="shared" si="189"/>
        <v>225.58231201556373</v>
      </c>
      <c r="AA936" s="3"/>
    </row>
    <row r="937" spans="19:27" x14ac:dyDescent="0.25">
      <c r="S937" s="4">
        <v>0.39177251029881494</v>
      </c>
      <c r="T937" s="4">
        <v>-1.2536571574555473</v>
      </c>
      <c r="U937" s="4">
        <f t="shared" si="190"/>
        <v>-0.75493075975279833</v>
      </c>
      <c r="W937" s="4">
        <f t="shared" si="191"/>
        <v>0.69450769816072833</v>
      </c>
      <c r="X937" s="4">
        <f t="shared" si="192"/>
        <v>-1.2652265948532577</v>
      </c>
      <c r="Y937" s="3">
        <f t="shared" si="189"/>
        <v>-236.5755168345454</v>
      </c>
      <c r="AA937" s="3"/>
    </row>
    <row r="938" spans="19:27" x14ac:dyDescent="0.25">
      <c r="S938" s="4">
        <v>0.75356822268076262</v>
      </c>
      <c r="T938" s="4">
        <v>-0.16445562959448887</v>
      </c>
      <c r="U938" s="4">
        <f t="shared" si="190"/>
        <v>0.32902933700049147</v>
      </c>
      <c r="W938" s="4">
        <f t="shared" si="191"/>
        <v>1.3097256561650166</v>
      </c>
      <c r="X938" s="4">
        <f t="shared" si="192"/>
        <v>0.64589886745833802</v>
      </c>
      <c r="Y938" s="3">
        <f t="shared" si="189"/>
        <v>-140.89138880826431</v>
      </c>
      <c r="AA938" s="3"/>
    </row>
    <row r="939" spans="19:27" x14ac:dyDescent="0.25">
      <c r="S939" s="4">
        <v>-0.95106019462980906</v>
      </c>
      <c r="T939" s="4">
        <v>-4.8426298786166236E-2</v>
      </c>
      <c r="U939" s="4">
        <f t="shared" si="190"/>
        <v>-0.61817465511636294</v>
      </c>
      <c r="W939" s="4">
        <f t="shared" si="191"/>
        <v>-1.5889212270428201</v>
      </c>
      <c r="X939" s="4">
        <f t="shared" si="192"/>
        <v>-1.0241124851364256</v>
      </c>
      <c r="Y939" s="3">
        <f t="shared" si="189"/>
        <v>158.79662977922999</v>
      </c>
      <c r="AA939" s="3"/>
    </row>
    <row r="940" spans="19:27" x14ac:dyDescent="0.25">
      <c r="S940" s="4">
        <v>0.45134667622198749</v>
      </c>
      <c r="T940" s="4">
        <v>-0.89643550499041169</v>
      </c>
      <c r="U940" s="4">
        <f t="shared" si="190"/>
        <v>-0.43544626609440928</v>
      </c>
      <c r="W940" s="4">
        <f t="shared" si="191"/>
        <v>0.79581099019745183</v>
      </c>
      <c r="X940" s="4">
        <f t="shared" si="192"/>
        <v>-0.70194483524505125</v>
      </c>
      <c r="Y940" s="3">
        <f t="shared" si="189"/>
        <v>-196.09331748281329</v>
      </c>
      <c r="AA940" s="3"/>
    </row>
    <row r="941" spans="19:27" x14ac:dyDescent="0.25">
      <c r="S941" s="4">
        <v>1.1047189160340531</v>
      </c>
      <c r="T941" s="4">
        <v>1.7451846358273069</v>
      </c>
      <c r="U941" s="4">
        <f t="shared" si="190"/>
        <v>2.0568552319372024</v>
      </c>
      <c r="W941" s="4">
        <f t="shared" si="191"/>
        <v>1.9068422198033774</v>
      </c>
      <c r="X941" s="4">
        <f t="shared" si="192"/>
        <v>3.692221395515777</v>
      </c>
      <c r="Y941" s="3">
        <f t="shared" si="189"/>
        <v>72.950705093150646</v>
      </c>
      <c r="AA941" s="3"/>
    </row>
    <row r="942" spans="19:27" x14ac:dyDescent="0.25">
      <c r="S942" s="4">
        <v>-0.10600233284793252</v>
      </c>
      <c r="T942" s="4">
        <v>-0.13907661490730752</v>
      </c>
      <c r="U942" s="4">
        <f t="shared" si="190"/>
        <v>-0.17486630987076723</v>
      </c>
      <c r="W942" s="4">
        <f t="shared" si="191"/>
        <v>-0.15193688939521621</v>
      </c>
      <c r="X942" s="4">
        <f t="shared" si="192"/>
        <v>-0.24251741646951611</v>
      </c>
      <c r="Y942" s="3">
        <f t="shared" si="189"/>
        <v>0.15593515401315017</v>
      </c>
      <c r="AA942" s="3"/>
    </row>
    <row r="943" spans="19:27" x14ac:dyDescent="0.25">
      <c r="S943" s="4">
        <v>-0.2934454732560004</v>
      </c>
      <c r="T943" s="4">
        <v>-0.10173586982149219</v>
      </c>
      <c r="U943" s="4">
        <f t="shared" si="190"/>
        <v>-0.25953611985656833</v>
      </c>
      <c r="W943" s="4">
        <f t="shared" si="191"/>
        <v>-0.47067584106643168</v>
      </c>
      <c r="X943" s="4">
        <f t="shared" si="192"/>
        <v>-0.3917984003706958</v>
      </c>
      <c r="Y943" s="3">
        <f t="shared" si="189"/>
        <v>36.820354929708628</v>
      </c>
      <c r="AA943" s="3"/>
    </row>
    <row r="944" spans="19:27" x14ac:dyDescent="0.25">
      <c r="S944" s="4">
        <v>-0.40575917779525406</v>
      </c>
      <c r="T944" s="4">
        <v>-1.1631881280298415</v>
      </c>
      <c r="U944" s="4">
        <f t="shared" si="190"/>
        <v>-1.1694097936379078</v>
      </c>
      <c r="W944" s="4">
        <f t="shared" si="191"/>
        <v>-0.66166043706294386</v>
      </c>
      <c r="X944" s="4">
        <f t="shared" si="192"/>
        <v>-1.9959928265851541</v>
      </c>
      <c r="Y944" s="3">
        <f t="shared" si="189"/>
        <v>-92.432037393810333</v>
      </c>
      <c r="AA944" s="3"/>
    </row>
    <row r="945" spans="19:27" x14ac:dyDescent="0.25">
      <c r="S945" s="4">
        <v>0.99267551604415483</v>
      </c>
      <c r="T945" s="4">
        <v>0.76471840874561703</v>
      </c>
      <c r="U945" s="4">
        <f t="shared" si="190"/>
        <v>1.2113433223598535</v>
      </c>
      <c r="W945" s="4">
        <f t="shared" si="191"/>
        <v>1.7163172649999541</v>
      </c>
      <c r="X945" s="4">
        <f t="shared" si="192"/>
        <v>2.2015029235711898</v>
      </c>
      <c r="Y945" s="3">
        <f t="shared" si="189"/>
        <v>-47.346975516483781</v>
      </c>
      <c r="AA945" s="3"/>
    </row>
    <row r="946" spans="19:27" x14ac:dyDescent="0.25">
      <c r="S946" s="4">
        <v>-0.32845831237937495</v>
      </c>
      <c r="T946" s="4">
        <v>0.73844183221147053</v>
      </c>
      <c r="U946" s="4">
        <f t="shared" si="190"/>
        <v>0.3851214311051564</v>
      </c>
      <c r="W946" s="4">
        <f t="shared" si="191"/>
        <v>-0.53021365937721032</v>
      </c>
      <c r="X946" s="4">
        <f t="shared" si="192"/>
        <v>0.74479460135010123</v>
      </c>
      <c r="Y946" s="3">
        <f t="shared" si="189"/>
        <v>160.17530301526858</v>
      </c>
      <c r="AA946" s="3"/>
    </row>
    <row r="947" spans="19:27" x14ac:dyDescent="0.25">
      <c r="S947" s="4">
        <v>-1.340617070083193</v>
      </c>
      <c r="T947" s="4">
        <v>-0.10728001588410836</v>
      </c>
      <c r="U947" s="4">
        <f t="shared" si="190"/>
        <v>-0.90231008995703965</v>
      </c>
      <c r="W947" s="4">
        <f t="shared" si="191"/>
        <v>-2.2513458419314292</v>
      </c>
      <c r="X947" s="4">
        <f t="shared" si="192"/>
        <v>-1.5250704686410399</v>
      </c>
      <c r="Y947" s="3">
        <f t="shared" si="189"/>
        <v>221.5324911650896</v>
      </c>
      <c r="AA947" s="3"/>
    </row>
    <row r="948" spans="19:27" x14ac:dyDescent="0.25">
      <c r="S948" s="4">
        <v>-5.5674801027710163E-2</v>
      </c>
      <c r="T948" s="4">
        <v>-1.0218547239949942</v>
      </c>
      <c r="U948" s="4">
        <f t="shared" si="190"/>
        <v>-0.84395668514118216</v>
      </c>
      <c r="W948" s="4">
        <f t="shared" si="191"/>
        <v>-6.635709865091341E-2</v>
      </c>
      <c r="X948" s="4">
        <f t="shared" si="192"/>
        <v>-1.4221878273978876</v>
      </c>
      <c r="Y948" s="3">
        <f t="shared" si="189"/>
        <v>-131.57364404076134</v>
      </c>
      <c r="AA948" s="3"/>
    </row>
    <row r="949" spans="19:27" x14ac:dyDescent="0.25">
      <c r="S949" s="4">
        <v>-0.56582584199131836</v>
      </c>
      <c r="T949" s="4">
        <v>1.5524432915636741</v>
      </c>
      <c r="U949" s="4">
        <f t="shared" si="190"/>
        <v>0.88566934917803364</v>
      </c>
      <c r="W949" s="4">
        <f t="shared" si="191"/>
        <v>-0.93384687521315557</v>
      </c>
      <c r="X949" s="4">
        <f t="shared" si="192"/>
        <v>1.6273085187917129</v>
      </c>
      <c r="Y949" s="3">
        <f t="shared" si="189"/>
        <v>314.64613560356338</v>
      </c>
      <c r="AA949" s="3"/>
    </row>
    <row r="950" spans="19:27" x14ac:dyDescent="0.25">
      <c r="S950" s="4">
        <v>0.67509142755711393</v>
      </c>
      <c r="T950" s="4">
        <v>0.45213188944127092</v>
      </c>
      <c r="U950" s="4">
        <f t="shared" si="190"/>
        <v>0.76995213704788457</v>
      </c>
      <c r="W950" s="4">
        <f t="shared" si="191"/>
        <v>1.1762792608807007</v>
      </c>
      <c r="X950" s="4">
        <f t="shared" si="192"/>
        <v>1.4232879914752226</v>
      </c>
      <c r="Y950" s="3">
        <f t="shared" si="189"/>
        <v>-42.616446291155626</v>
      </c>
      <c r="AA950" s="3"/>
    </row>
    <row r="951" spans="19:27" x14ac:dyDescent="0.25">
      <c r="S951" s="4">
        <v>0.2413647202223074</v>
      </c>
      <c r="T951" s="4">
        <v>-0.19637600652494344</v>
      </c>
      <c r="U951" s="4">
        <f t="shared" si="190"/>
        <v>-8.5243743418572937E-3</v>
      </c>
      <c r="W951" s="4">
        <f t="shared" si="191"/>
        <v>0.43874575761810813</v>
      </c>
      <c r="X951" s="4">
        <f t="shared" si="192"/>
        <v>5.0759346569712316E-2</v>
      </c>
      <c r="Y951" s="3">
        <f t="shared" si="189"/>
        <v>-64.736761381389442</v>
      </c>
      <c r="AA951" s="3"/>
    </row>
    <row r="952" spans="19:27" x14ac:dyDescent="0.25">
      <c r="S952" s="4">
        <v>-2.8084588691718673E-2</v>
      </c>
      <c r="T952" s="4">
        <v>1.1012178316079115</v>
      </c>
      <c r="U952" s="4">
        <f t="shared" si="190"/>
        <v>0.85580559434402614</v>
      </c>
      <c r="W952" s="4">
        <f t="shared" si="191"/>
        <v>-1.9441136097067661E-2</v>
      </c>
      <c r="X952" s="4">
        <f t="shared" si="192"/>
        <v>1.5746558589433932</v>
      </c>
      <c r="Y952" s="3">
        <f t="shared" si="189"/>
        <v>160.58201268693574</v>
      </c>
      <c r="AA952" s="3"/>
    </row>
    <row r="953" spans="19:27" x14ac:dyDescent="0.25">
      <c r="S953" s="4">
        <v>-0.13547848097680057</v>
      </c>
      <c r="T953" s="4">
        <v>0.94116078107323176</v>
      </c>
      <c r="U953" s="4">
        <f t="shared" si="190"/>
        <v>0.66345993491640576</v>
      </c>
      <c r="W953" s="4">
        <f t="shared" si="191"/>
        <v>-0.20205980418125377</v>
      </c>
      <c r="X953" s="4">
        <f t="shared" si="192"/>
        <v>1.2355320402730599</v>
      </c>
      <c r="Y953" s="3">
        <f t="shared" si="189"/>
        <v>156.0390367382015</v>
      </c>
      <c r="AA953" s="3"/>
    </row>
    <row r="954" spans="19:27" x14ac:dyDescent="0.25">
      <c r="S954" s="4">
        <v>1.2953335291430896</v>
      </c>
      <c r="T954" s="4">
        <v>-8.7036791583759335E-2</v>
      </c>
      <c r="U954" s="4">
        <f t="shared" si="190"/>
        <v>0.72067085061460601</v>
      </c>
      <c r="W954" s="4">
        <f t="shared" si="191"/>
        <v>2.2309741236080236</v>
      </c>
      <c r="X954" s="4">
        <f t="shared" si="192"/>
        <v>1.3364003637846751</v>
      </c>
      <c r="Y954" s="3">
        <f t="shared" si="189"/>
        <v>-211.1667010504093</v>
      </c>
      <c r="AA954" s="3"/>
    </row>
    <row r="955" spans="19:27" x14ac:dyDescent="0.25">
      <c r="S955" s="4">
        <v>-0.37795885880133528</v>
      </c>
      <c r="T955" s="4">
        <v>-1.4364821181344785</v>
      </c>
      <c r="U955" s="4">
        <f t="shared" si="190"/>
        <v>-1.3691000636827204</v>
      </c>
      <c r="W955" s="4">
        <f t="shared" si="191"/>
        <v>-0.61438719722628532</v>
      </c>
      <c r="X955" s="4">
        <f t="shared" si="192"/>
        <v>-2.3480658971728992</v>
      </c>
      <c r="Y955" s="3">
        <f t="shared" si="189"/>
        <v>-135.37166137076747</v>
      </c>
      <c r="AA955" s="3"/>
    </row>
    <row r="956" spans="19:27" x14ac:dyDescent="0.25">
      <c r="S956" s="4">
        <v>-0.88981446845344514</v>
      </c>
      <c r="T956" s="4">
        <v>1.0882016001767381</v>
      </c>
      <c r="U956" s="4">
        <f t="shared" si="190"/>
        <v>0.3201579700785393</v>
      </c>
      <c r="W956" s="4">
        <f t="shared" si="191"/>
        <v>-1.4847755191054797</v>
      </c>
      <c r="X956" s="4">
        <f t="shared" si="192"/>
        <v>0.63025779795694803</v>
      </c>
      <c r="Y956" s="3">
        <f t="shared" si="189"/>
        <v>306.70651473203088</v>
      </c>
      <c r="AA956" s="3"/>
    </row>
    <row r="957" spans="19:27" x14ac:dyDescent="0.25">
      <c r="S957" s="4">
        <v>-0.7650665876991829</v>
      </c>
      <c r="T957" s="4">
        <v>5.0287009507106802E-2</v>
      </c>
      <c r="U957" s="4">
        <f t="shared" si="190"/>
        <v>-0.42653955082218381</v>
      </c>
      <c r="W957" s="4">
        <f t="shared" si="191"/>
        <v>-1.2726471443447038</v>
      </c>
      <c r="X957" s="4">
        <f t="shared" si="192"/>
        <v>-0.68624144321678926</v>
      </c>
      <c r="Y957" s="3">
        <f t="shared" si="189"/>
        <v>139.53398446945357</v>
      </c>
      <c r="AA957" s="3"/>
    </row>
    <row r="958" spans="19:27" x14ac:dyDescent="0.25">
      <c r="S958" s="4">
        <v>-0.1834019817786314</v>
      </c>
      <c r="T958" s="4">
        <v>-1.0374761602137139</v>
      </c>
      <c r="U958" s="4">
        <f t="shared" si="190"/>
        <v>-0.93420501217200547</v>
      </c>
      <c r="W958" s="4">
        <f t="shared" si="191"/>
        <v>-0.28355164417462997</v>
      </c>
      <c r="X958" s="4">
        <f t="shared" si="192"/>
        <v>-1.5813042711085328</v>
      </c>
      <c r="Y958" s="3">
        <f t="shared" si="189"/>
        <v>-112.48298015881346</v>
      </c>
      <c r="AA958" s="3"/>
    </row>
    <row r="959" spans="19:27" x14ac:dyDescent="0.25">
      <c r="S959" s="4">
        <v>1.2617321153096124</v>
      </c>
      <c r="T959" s="4">
        <v>-0.65498970821993951</v>
      </c>
      <c r="U959" s="4">
        <f t="shared" si="190"/>
        <v>0.2499749348808582</v>
      </c>
      <c r="W959" s="4">
        <f t="shared" si="191"/>
        <v>2.1738363729459449</v>
      </c>
      <c r="X959" s="4">
        <f t="shared" si="192"/>
        <v>0.50651838541736716</v>
      </c>
      <c r="Y959" s="3">
        <f t="shared" si="189"/>
        <v>-285.63715239890826</v>
      </c>
      <c r="AA959" s="3"/>
    </row>
    <row r="960" spans="19:27" x14ac:dyDescent="0.25">
      <c r="S960" s="4">
        <v>0.58028123575557289</v>
      </c>
      <c r="T960" s="4">
        <v>0.4984412192489035</v>
      </c>
      <c r="U960" s="4">
        <f t="shared" si="190"/>
        <v>0.74886276487554249</v>
      </c>
      <c r="W960" s="4">
        <f t="shared" si="191"/>
        <v>1.0150586311111551</v>
      </c>
      <c r="X960" s="4">
        <f t="shared" si="192"/>
        <v>1.3861054085891462</v>
      </c>
      <c r="Y960" s="3">
        <f t="shared" si="189"/>
        <v>-21.40408715730473</v>
      </c>
      <c r="AA960" s="3"/>
    </row>
    <row r="961" spans="19:27" x14ac:dyDescent="0.25">
      <c r="S961" s="4">
        <v>-1.2902756946556955</v>
      </c>
      <c r="T961" s="4">
        <v>0.59550577084988787</v>
      </c>
      <c r="U961" s="4">
        <f t="shared" si="190"/>
        <v>-0.31452818011873385</v>
      </c>
      <c r="W961" s="4">
        <f t="shared" si="191"/>
        <v>-2.1657425107318149</v>
      </c>
      <c r="X961" s="4">
        <f t="shared" si="192"/>
        <v>-0.48875466924700139</v>
      </c>
      <c r="Y961" s="3">
        <f t="shared" si="189"/>
        <v>310.4515093466589</v>
      </c>
      <c r="AA961" s="3"/>
    </row>
    <row r="962" spans="19:27" x14ac:dyDescent="0.25">
      <c r="S962" s="4">
        <v>1.8273843198702275</v>
      </c>
      <c r="T962" s="4">
        <v>-1.1694004372320903</v>
      </c>
      <c r="U962" s="4">
        <f t="shared" si="190"/>
        <v>0.18703986018505381</v>
      </c>
      <c r="W962" s="4">
        <f t="shared" si="191"/>
        <v>3.1357034772830539</v>
      </c>
      <c r="X962" s="4">
        <f t="shared" si="192"/>
        <v>0.39555782138563689</v>
      </c>
      <c r="Y962" s="3">
        <f t="shared" ref="Y962:Y1025" si="193">(B$4*EXP(-B$8*B$7)*NORMSDIST((LN(B$4/(B$5+W962))-B$8*B$7+B$9*B$7+0.5*B$6*B$6*B$7)/(B$6*SQRT(B$7)))-(B$5+W962)*EXP(-B$9*B$7)*NORMSDIST((LN(B$4/(B$5+W962))-B$8*B$7+B$9*B$7-0.5*B$6*B$6*B$7)/(B$6*SQRT(B$7))))*400+100*X962-400*$B$13</f>
        <v>-437.96996687585215</v>
      </c>
      <c r="AA962" s="3"/>
    </row>
    <row r="963" spans="19:27" x14ac:dyDescent="0.25">
      <c r="S963" s="4">
        <v>0.10435649170872174</v>
      </c>
      <c r="T963" s="4">
        <v>0.34278262476258659</v>
      </c>
      <c r="U963" s="4">
        <f t="shared" ref="U963:U1026" si="194">$B$19*S963+SQRT(1-$B$19^2)*T963</f>
        <v>0.3353390966128782</v>
      </c>
      <c r="W963" s="4">
        <f t="shared" ref="W963:W1026" si="195">S963*SQRT($B$16)+$B$20</f>
        <v>0.20576919186232545</v>
      </c>
      <c r="X963" s="4">
        <f t="shared" ref="X963:X1026" si="196">U963*SQRT($C$17)+$C$20</f>
        <v>0.65702357794575938</v>
      </c>
      <c r="Y963" s="3">
        <f t="shared" si="193"/>
        <v>32.837109257318843</v>
      </c>
      <c r="AA963" s="3"/>
    </row>
    <row r="964" spans="19:27" x14ac:dyDescent="0.25">
      <c r="S964" s="4">
        <v>0.32764937502407382</v>
      </c>
      <c r="T964" s="4">
        <v>-0.43662535649537731</v>
      </c>
      <c r="U964" s="4">
        <f t="shared" si="194"/>
        <v>-0.14636706588117257</v>
      </c>
      <c r="W964" s="4">
        <f t="shared" si="195"/>
        <v>0.58546908052528235</v>
      </c>
      <c r="X964" s="4">
        <f t="shared" si="196"/>
        <v>-0.1922705199202038</v>
      </c>
      <c r="Y964" s="3">
        <f t="shared" si="193"/>
        <v>-112.1653491565512</v>
      </c>
      <c r="AA964" s="3"/>
    </row>
    <row r="965" spans="19:27" x14ac:dyDescent="0.25">
      <c r="S965" s="4">
        <v>0.61751964385170599</v>
      </c>
      <c r="T965" s="4">
        <v>0.37693282671810208</v>
      </c>
      <c r="U965" s="4">
        <f t="shared" si="194"/>
        <v>0.67524539631547664</v>
      </c>
      <c r="W965" s="4">
        <f t="shared" si="195"/>
        <v>1.0783809331843415</v>
      </c>
      <c r="X965" s="4">
        <f t="shared" si="196"/>
        <v>1.2563109374227961</v>
      </c>
      <c r="Y965" s="3">
        <f t="shared" si="193"/>
        <v>-44.191217281846548</v>
      </c>
      <c r="AA965" s="3"/>
    </row>
    <row r="966" spans="19:27" x14ac:dyDescent="0.25">
      <c r="S966" s="4">
        <v>-0.72174285871435273</v>
      </c>
      <c r="T966" s="4">
        <v>1.5209316956442134</v>
      </c>
      <c r="U966" s="4">
        <f t="shared" si="194"/>
        <v>0.76563986639667281</v>
      </c>
      <c r="W966" s="4">
        <f t="shared" si="195"/>
        <v>-1.1989770173448562</v>
      </c>
      <c r="X966" s="4">
        <f t="shared" si="196"/>
        <v>1.4156850453274867</v>
      </c>
      <c r="Y966" s="3">
        <f t="shared" si="193"/>
        <v>337.44554773040636</v>
      </c>
      <c r="AA966" s="3"/>
    </row>
    <row r="967" spans="19:27" x14ac:dyDescent="0.25">
      <c r="S967" s="4">
        <v>-1.3020763885043547</v>
      </c>
      <c r="T967" s="4">
        <v>2.7266082005450039</v>
      </c>
      <c r="U967" s="4">
        <f t="shared" si="194"/>
        <v>1.3675857411781811</v>
      </c>
      <c r="W967" s="4">
        <f t="shared" si="195"/>
        <v>-2.1858090801358809</v>
      </c>
      <c r="X967" s="4">
        <f t="shared" si="196"/>
        <v>2.4769732714107744</v>
      </c>
      <c r="Y967" s="3">
        <f t="shared" si="193"/>
        <v>610.46960953114831</v>
      </c>
      <c r="AA967" s="3"/>
    </row>
    <row r="968" spans="19:27" x14ac:dyDescent="0.25">
      <c r="S968" s="4">
        <v>0.65986677137425509</v>
      </c>
      <c r="T968" s="4">
        <v>-1.3190541748973681</v>
      </c>
      <c r="U968" s="4">
        <f t="shared" si="194"/>
        <v>-0.6433342103100077</v>
      </c>
      <c r="W968" s="4">
        <f t="shared" si="195"/>
        <v>1.1503903916443301</v>
      </c>
      <c r="X968" s="4">
        <f t="shared" si="196"/>
        <v>-1.06847119049378</v>
      </c>
      <c r="Y968" s="3">
        <f t="shared" si="193"/>
        <v>-287.79788562734529</v>
      </c>
      <c r="AA968" s="3"/>
    </row>
    <row r="969" spans="19:27" x14ac:dyDescent="0.25">
      <c r="S969" s="4">
        <v>-0.5249854197440863</v>
      </c>
      <c r="T969" s="4">
        <v>-0.73728660274145597</v>
      </c>
      <c r="U969" s="4">
        <f t="shared" si="194"/>
        <v>-0.90448403093795871</v>
      </c>
      <c r="W969" s="4">
        <f t="shared" si="195"/>
        <v>-0.86439950389536135</v>
      </c>
      <c r="X969" s="4">
        <f t="shared" si="196"/>
        <v>-1.528903334790487</v>
      </c>
      <c r="Y969" s="3">
        <f t="shared" si="193"/>
        <v>-12.429227238486874</v>
      </c>
      <c r="AA969" s="3"/>
    </row>
    <row r="970" spans="19:27" x14ac:dyDescent="0.25">
      <c r="S970" s="4">
        <v>0.17254582746644873</v>
      </c>
      <c r="T970" s="4">
        <v>0.50170918809899301</v>
      </c>
      <c r="U970" s="4">
        <f t="shared" si="194"/>
        <v>0.50288865547552819</v>
      </c>
      <c r="W970" s="4">
        <f t="shared" si="195"/>
        <v>0.32172220751954145</v>
      </c>
      <c r="X970" s="4">
        <f t="shared" si="196"/>
        <v>0.95242949657743525</v>
      </c>
      <c r="Y970" s="3">
        <f t="shared" si="193"/>
        <v>43.953969437980049</v>
      </c>
      <c r="AA970" s="3"/>
    </row>
    <row r="971" spans="19:27" x14ac:dyDescent="0.25">
      <c r="S971" s="4">
        <v>-0.42924650561692052</v>
      </c>
      <c r="T971" s="4">
        <v>1.705990855516102E-2</v>
      </c>
      <c r="U971" s="4">
        <f t="shared" si="194"/>
        <v>-0.24815499375357639</v>
      </c>
      <c r="W971" s="4">
        <f t="shared" si="195"/>
        <v>-0.70159962198663983</v>
      </c>
      <c r="X971" s="4">
        <f t="shared" si="196"/>
        <v>-0.37173238507146522</v>
      </c>
      <c r="Y971" s="3">
        <f t="shared" si="193"/>
        <v>76.535819073082621</v>
      </c>
      <c r="AA971" s="3"/>
    </row>
    <row r="972" spans="19:27" x14ac:dyDescent="0.25">
      <c r="S972" s="4">
        <v>0.71114135779654875</v>
      </c>
      <c r="T972" s="4">
        <v>1.0084193137543982</v>
      </c>
      <c r="U972" s="4">
        <f t="shared" si="194"/>
        <v>1.2328935803521559</v>
      </c>
      <c r="W972" s="4">
        <f t="shared" si="195"/>
        <v>1.2375806077708711</v>
      </c>
      <c r="X972" s="4">
        <f t="shared" si="196"/>
        <v>2.2394980922972643</v>
      </c>
      <c r="Y972" s="3">
        <f t="shared" si="193"/>
        <v>29.559720224418925</v>
      </c>
      <c r="AA972" s="3"/>
    </row>
    <row r="973" spans="19:27" x14ac:dyDescent="0.25">
      <c r="S973" s="4">
        <v>-2.1962192569490973</v>
      </c>
      <c r="T973" s="4">
        <v>0.12973419955664905</v>
      </c>
      <c r="U973" s="4">
        <f t="shared" si="194"/>
        <v>-1.2360249961857326</v>
      </c>
      <c r="W973" s="4">
        <f t="shared" si="195"/>
        <v>-3.7062603482480316</v>
      </c>
      <c r="X973" s="4">
        <f t="shared" si="196"/>
        <v>-2.1134418084688185</v>
      </c>
      <c r="Y973" s="3">
        <f t="shared" si="193"/>
        <v>418.78366991424264</v>
      </c>
      <c r="AA973" s="3"/>
    </row>
    <row r="974" spans="19:27" x14ac:dyDescent="0.25">
      <c r="S974" s="4">
        <v>1.3520237137132585</v>
      </c>
      <c r="T974" s="4">
        <v>-1.2214419559508016</v>
      </c>
      <c r="U974" s="4">
        <f t="shared" si="194"/>
        <v>-0.14400346804612119</v>
      </c>
      <c r="W974" s="4">
        <f t="shared" si="195"/>
        <v>2.3273733301119583</v>
      </c>
      <c r="X974" s="4">
        <f t="shared" si="196"/>
        <v>-0.18810327057333107</v>
      </c>
      <c r="Y974" s="3">
        <f t="shared" si="193"/>
        <v>-377.95087367231963</v>
      </c>
      <c r="AA974" s="3"/>
    </row>
    <row r="975" spans="19:27" x14ac:dyDescent="0.25">
      <c r="S975" s="4">
        <v>-2.4891193181055454E-2</v>
      </c>
      <c r="T975" s="4">
        <v>-0.40103591559887747</v>
      </c>
      <c r="U975" s="4">
        <f t="shared" si="194"/>
        <v>-0.33307219633524088</v>
      </c>
      <c r="W975" s="4">
        <f t="shared" si="195"/>
        <v>-1.4010905174109068E-2</v>
      </c>
      <c r="X975" s="4">
        <f t="shared" si="196"/>
        <v>-0.52144954581214109</v>
      </c>
      <c r="Y975" s="3">
        <f t="shared" si="193"/>
        <v>-49.899194082547183</v>
      </c>
      <c r="AA975" s="3"/>
    </row>
    <row r="976" spans="19:27" x14ac:dyDescent="0.25">
      <c r="S976" s="4">
        <v>0.7807348667566526</v>
      </c>
      <c r="T976" s="4">
        <v>0.46139845916181427</v>
      </c>
      <c r="U976" s="4">
        <f t="shared" si="194"/>
        <v>0.84170027054525365</v>
      </c>
      <c r="W976" s="4">
        <f t="shared" si="195"/>
        <v>1.3559213592156762</v>
      </c>
      <c r="X976" s="4">
        <f t="shared" si="196"/>
        <v>1.5497868222078839</v>
      </c>
      <c r="Y976" s="3">
        <f t="shared" si="193"/>
        <v>-57.590644386608346</v>
      </c>
      <c r="AA976" s="3"/>
    </row>
    <row r="977" spans="19:27" x14ac:dyDescent="0.25">
      <c r="S977" s="4">
        <v>-9.0426065084104362E-2</v>
      </c>
      <c r="T977" s="4">
        <v>0.29340182907358631</v>
      </c>
      <c r="U977" s="4">
        <f t="shared" si="194"/>
        <v>0.17745154140059405</v>
      </c>
      <c r="W977" s="4">
        <f t="shared" si="195"/>
        <v>-0.12545011987575375</v>
      </c>
      <c r="X977" s="4">
        <f t="shared" si="196"/>
        <v>0.37865269708758598</v>
      </c>
      <c r="Y977" s="3">
        <f t="shared" si="193"/>
        <v>58.009415104843811</v>
      </c>
      <c r="AA977" s="3"/>
    </row>
    <row r="978" spans="19:27" x14ac:dyDescent="0.25">
      <c r="S978" s="4">
        <v>1.3005116792687359</v>
      </c>
      <c r="T978" s="4">
        <v>0.21469149013041675</v>
      </c>
      <c r="U978" s="4">
        <f t="shared" si="194"/>
        <v>0.96300516726855423</v>
      </c>
      <c r="W978" s="4">
        <f t="shared" si="195"/>
        <v>2.2397793438953681</v>
      </c>
      <c r="X978" s="4">
        <f t="shared" si="196"/>
        <v>1.7636589725991751</v>
      </c>
      <c r="Y978" s="3">
        <f t="shared" si="193"/>
        <v>-169.75202430225954</v>
      </c>
      <c r="AA978" s="3"/>
    </row>
    <row r="979" spans="19:27" x14ac:dyDescent="0.25">
      <c r="S979" s="4">
        <v>-0.34189602148198678</v>
      </c>
      <c r="T979" s="4">
        <v>-0.64372176101931755</v>
      </c>
      <c r="U979" s="4">
        <f t="shared" si="194"/>
        <v>-0.71870054540710737</v>
      </c>
      <c r="W979" s="4">
        <f t="shared" si="195"/>
        <v>-0.55306390240506831</v>
      </c>
      <c r="X979" s="4">
        <f t="shared" si="196"/>
        <v>-1.2013492571648612</v>
      </c>
      <c r="Y979" s="3">
        <f t="shared" si="193"/>
        <v>-30.713045804524882</v>
      </c>
      <c r="AA979" s="3"/>
    </row>
    <row r="980" spans="19:27" x14ac:dyDescent="0.25">
      <c r="S980" s="4">
        <v>0.40735233161550138</v>
      </c>
      <c r="T980" s="4">
        <v>2.5134135225531522</v>
      </c>
      <c r="U980" s="4">
        <f t="shared" si="194"/>
        <v>2.2406939097613345</v>
      </c>
      <c r="W980" s="4">
        <f t="shared" si="195"/>
        <v>0.72100051034310331</v>
      </c>
      <c r="X980" s="4">
        <f t="shared" si="196"/>
        <v>4.0163465908986495</v>
      </c>
      <c r="Y980" s="3">
        <f t="shared" si="193"/>
        <v>287.43270454103822</v>
      </c>
      <c r="AA980" s="3"/>
    </row>
    <row r="981" spans="19:27" x14ac:dyDescent="0.25">
      <c r="S981" s="4">
        <v>0.35051544354682745</v>
      </c>
      <c r="T981" s="4">
        <v>-0.1830823149713407</v>
      </c>
      <c r="U981" s="4">
        <f t="shared" si="194"/>
        <v>6.855414514847305E-2</v>
      </c>
      <c r="W981" s="4">
        <f t="shared" si="195"/>
        <v>0.62435184088619955</v>
      </c>
      <c r="X981" s="4">
        <f t="shared" si="196"/>
        <v>0.18665615830334392</v>
      </c>
      <c r="Y981" s="3">
        <f t="shared" si="193"/>
        <v>-80.382647292342426</v>
      </c>
      <c r="AA981" s="3"/>
    </row>
    <row r="982" spans="19:27" x14ac:dyDescent="0.25">
      <c r="S982" s="4">
        <v>1.6455953289711587</v>
      </c>
      <c r="T982" s="4">
        <v>9.7627978757629699E-2</v>
      </c>
      <c r="U982" s="4">
        <f t="shared" si="194"/>
        <v>1.0805805484086151</v>
      </c>
      <c r="W982" s="4">
        <f t="shared" si="195"/>
        <v>2.8265791622593426</v>
      </c>
      <c r="X982" s="4">
        <f t="shared" si="196"/>
        <v>1.9709556298384896</v>
      </c>
      <c r="Y982" s="3">
        <f t="shared" si="193"/>
        <v>-235.5368255924941</v>
      </c>
      <c r="AA982" s="3"/>
    </row>
    <row r="983" spans="19:27" x14ac:dyDescent="0.25">
      <c r="S983" s="4">
        <v>-0.97909509964759633</v>
      </c>
      <c r="T983" s="4">
        <v>-7.3667830514365151E-2</v>
      </c>
      <c r="U983" s="4">
        <f t="shared" si="194"/>
        <v>-0.65527411947264869</v>
      </c>
      <c r="W983" s="4">
        <f t="shared" si="195"/>
        <v>-1.636593370265123</v>
      </c>
      <c r="X983" s="4">
        <f t="shared" si="196"/>
        <v>-1.0895223938422778</v>
      </c>
      <c r="Y983" s="3">
        <f t="shared" si="193"/>
        <v>160.29776915120055</v>
      </c>
      <c r="AA983" s="3"/>
    </row>
    <row r="984" spans="19:27" x14ac:dyDescent="0.25">
      <c r="S984" s="4">
        <v>1.2087626889946079</v>
      </c>
      <c r="T984" s="4">
        <v>2.3429074271302612</v>
      </c>
      <c r="U984" s="4">
        <f t="shared" si="194"/>
        <v>2.5940927235475808</v>
      </c>
      <c r="W984" s="4">
        <f t="shared" si="195"/>
        <v>2.0837641548988364</v>
      </c>
      <c r="X984" s="4">
        <f t="shared" si="196"/>
        <v>4.6394225448941482</v>
      </c>
      <c r="Y984" s="3">
        <f t="shared" si="193"/>
        <v>141.11369199159617</v>
      </c>
      <c r="AA984" s="3"/>
    </row>
    <row r="985" spans="19:27" x14ac:dyDescent="0.25">
      <c r="S985" s="4">
        <v>0.21190141099007939</v>
      </c>
      <c r="T985" s="4">
        <v>0.3603553953546545</v>
      </c>
      <c r="U985" s="4">
        <f t="shared" si="194"/>
        <v>0.41483067393223633</v>
      </c>
      <c r="W985" s="4">
        <f t="shared" si="195"/>
        <v>0.38864467482040982</v>
      </c>
      <c r="X985" s="4">
        <f t="shared" si="196"/>
        <v>0.79717484173246778</v>
      </c>
      <c r="Y985" s="3">
        <f t="shared" si="193"/>
        <v>17.826699724102127</v>
      </c>
      <c r="AA985" s="3"/>
    </row>
    <row r="986" spans="19:27" x14ac:dyDescent="0.25">
      <c r="S986" s="4">
        <v>0.30250268743991399</v>
      </c>
      <c r="T986" s="4">
        <v>0.56734333720665442</v>
      </c>
      <c r="U986" s="4">
        <f t="shared" si="194"/>
        <v>0.63414092306127856</v>
      </c>
      <c r="W986" s="4">
        <f t="shared" si="195"/>
        <v>0.54270822610762082</v>
      </c>
      <c r="X986" s="4">
        <f t="shared" si="196"/>
        <v>1.1838398144669819</v>
      </c>
      <c r="Y986" s="3">
        <f t="shared" si="193"/>
        <v>32.173985412831371</v>
      </c>
      <c r="AA986" s="3"/>
    </row>
    <row r="987" spans="19:27" x14ac:dyDescent="0.25">
      <c r="S987" s="4">
        <v>2.212515451559804</v>
      </c>
      <c r="T987" s="4">
        <v>0.82561424564324604</v>
      </c>
      <c r="U987" s="4">
        <f t="shared" si="194"/>
        <v>2.0032566078351675</v>
      </c>
      <c r="W987" s="4">
        <f t="shared" si="195"/>
        <v>3.7906023063543191</v>
      </c>
      <c r="X987" s="4">
        <f t="shared" si="196"/>
        <v>3.5977218880402901</v>
      </c>
      <c r="Y987" s="3">
        <f t="shared" si="193"/>
        <v>-211.32318873478425</v>
      </c>
      <c r="AA987" s="3"/>
    </row>
    <row r="988" spans="19:27" x14ac:dyDescent="0.25">
      <c r="S988" s="4">
        <v>-0.29154679561889174</v>
      </c>
      <c r="T988" s="4">
        <v>0.93138232902541052</v>
      </c>
      <c r="U988" s="4">
        <f t="shared" si="194"/>
        <v>0.56056590724136879</v>
      </c>
      <c r="W988" s="4">
        <f t="shared" si="195"/>
        <v>-0.46744722187932197</v>
      </c>
      <c r="X988" s="4">
        <f t="shared" si="196"/>
        <v>1.0541200152376831</v>
      </c>
      <c r="Y988" s="3">
        <f t="shared" si="193"/>
        <v>180.88694857338487</v>
      </c>
      <c r="AA988" s="3"/>
    </row>
    <row r="989" spans="19:27" x14ac:dyDescent="0.25">
      <c r="S989" s="4">
        <v>0.80235333079431059</v>
      </c>
      <c r="T989" s="4">
        <v>1.9535542318127874</v>
      </c>
      <c r="U989" s="4">
        <f t="shared" si="194"/>
        <v>2.0376993405658932</v>
      </c>
      <c r="W989" s="4">
        <f t="shared" si="195"/>
        <v>1.3926826221197435</v>
      </c>
      <c r="X989" s="4">
        <f t="shared" si="196"/>
        <v>3.6584477244529423</v>
      </c>
      <c r="Y989" s="3">
        <f t="shared" si="193"/>
        <v>147.64267565177306</v>
      </c>
      <c r="AA989" s="3"/>
    </row>
    <row r="990" spans="19:27" x14ac:dyDescent="0.25">
      <c r="S990" s="4">
        <v>-2.5866781928815401</v>
      </c>
      <c r="T990" s="4">
        <v>1.5770563774758011</v>
      </c>
      <c r="U990" s="4">
        <f t="shared" si="194"/>
        <v>-0.32677673612161451</v>
      </c>
      <c r="W990" s="4">
        <f t="shared" si="195"/>
        <v>-4.3702188779590951</v>
      </c>
      <c r="X990" s="4">
        <f t="shared" si="196"/>
        <v>-0.51035004653419924</v>
      </c>
      <c r="Y990" s="3">
        <f t="shared" si="193"/>
        <v>699.78388810874912</v>
      </c>
      <c r="AA990" s="3"/>
    </row>
    <row r="991" spans="19:27" x14ac:dyDescent="0.25">
      <c r="S991" s="4">
        <v>1.2999390325082059</v>
      </c>
      <c r="T991" s="4">
        <v>2.1489229880989589</v>
      </c>
      <c r="U991" s="4">
        <f t="shared" si="194"/>
        <v>2.4959059402480457</v>
      </c>
      <c r="W991" s="4">
        <f t="shared" si="195"/>
        <v>2.2388055828511821</v>
      </c>
      <c r="X991" s="4">
        <f t="shared" si="196"/>
        <v>4.4663098425093839</v>
      </c>
      <c r="Y991" s="3">
        <f t="shared" si="193"/>
        <v>100.65804635005634</v>
      </c>
      <c r="AA991" s="3"/>
    </row>
    <row r="992" spans="19:27" x14ac:dyDescent="0.25">
      <c r="S992" s="4">
        <v>-0.22539769156785947</v>
      </c>
      <c r="T992" s="4">
        <v>1.5146230237386695</v>
      </c>
      <c r="U992" s="4">
        <f t="shared" si="194"/>
        <v>1.0632221208000467</v>
      </c>
      <c r="W992" s="4">
        <f t="shared" si="195"/>
        <v>-0.35496353198106695</v>
      </c>
      <c r="X992" s="4">
        <f t="shared" si="196"/>
        <v>1.9403510595339262</v>
      </c>
      <c r="Y992" s="3">
        <f t="shared" si="193"/>
        <v>251.24452887135976</v>
      </c>
      <c r="AA992" s="3"/>
    </row>
    <row r="993" spans="19:27" x14ac:dyDescent="0.25">
      <c r="S993" s="4">
        <v>-1.2007267379166799</v>
      </c>
      <c r="T993" s="4">
        <v>-0.57684522278428207</v>
      </c>
      <c r="U993" s="4">
        <f t="shared" si="194"/>
        <v>-1.1892504141373332</v>
      </c>
      <c r="W993" s="4">
        <f t="shared" si="195"/>
        <v>-2.01346838359061</v>
      </c>
      <c r="X993" s="4">
        <f t="shared" si="196"/>
        <v>-2.0309737406779207</v>
      </c>
      <c r="Y993" s="3">
        <f t="shared" si="193"/>
        <v>130.15515365995634</v>
      </c>
      <c r="AA993" s="3"/>
    </row>
    <row r="994" spans="19:27" x14ac:dyDescent="0.25">
      <c r="S994" s="4">
        <v>-0.90072031959922738</v>
      </c>
      <c r="T994" s="4">
        <v>-0.4308673848162331</v>
      </c>
      <c r="U994" s="4">
        <f t="shared" si="194"/>
        <v>-0.8906443407324991</v>
      </c>
      <c r="W994" s="4">
        <f t="shared" si="195"/>
        <v>-1.5033204472032555</v>
      </c>
      <c r="X994" s="4">
        <f t="shared" si="196"/>
        <v>-1.5045026355199325</v>
      </c>
      <c r="Y994" s="3">
        <f t="shared" si="193"/>
        <v>96.347276848039201</v>
      </c>
      <c r="AA994" s="3"/>
    </row>
    <row r="995" spans="19:27" x14ac:dyDescent="0.25">
      <c r="S995" s="4">
        <v>-0.24821151947171777</v>
      </c>
      <c r="T995" s="4">
        <v>0.52056842954998384</v>
      </c>
      <c r="U995" s="4">
        <f t="shared" si="194"/>
        <v>0.26133515908732241</v>
      </c>
      <c r="W995" s="4">
        <f t="shared" si="195"/>
        <v>-0.3937574594294268</v>
      </c>
      <c r="X995" s="4">
        <f t="shared" si="196"/>
        <v>0.52654754867122788</v>
      </c>
      <c r="Y995" s="3">
        <f t="shared" si="193"/>
        <v>116.15624213462161</v>
      </c>
      <c r="AA995" s="3"/>
    </row>
    <row r="996" spans="19:27" x14ac:dyDescent="0.25">
      <c r="S996" s="4">
        <v>0.39280929767635514</v>
      </c>
      <c r="T996" s="4">
        <v>-0.28288652356866195</v>
      </c>
      <c r="U996" s="4">
        <f t="shared" si="194"/>
        <v>1.5223422668404152E-2</v>
      </c>
      <c r="W996" s="4">
        <f t="shared" si="195"/>
        <v>0.69627071024590614</v>
      </c>
      <c r="X996" s="4">
        <f t="shared" si="196"/>
        <v>9.26289870445383E-2</v>
      </c>
      <c r="Y996" s="3">
        <f t="shared" si="193"/>
        <v>-101.0661792208407</v>
      </c>
      <c r="AA996" s="3"/>
    </row>
    <row r="997" spans="19:27" x14ac:dyDescent="0.25">
      <c r="S997" s="4">
        <v>0.38521199413536444</v>
      </c>
      <c r="T997" s="4">
        <v>4.63216643515428E-2</v>
      </c>
      <c r="U997" s="4">
        <f t="shared" si="194"/>
        <v>0.27155264005385527</v>
      </c>
      <c r="W997" s="4">
        <f t="shared" si="195"/>
        <v>0.68335182422579566</v>
      </c>
      <c r="X997" s="4">
        <f t="shared" si="196"/>
        <v>0.54456194615164488</v>
      </c>
      <c r="Y997" s="3">
        <f t="shared" si="193"/>
        <v>-53.848443694482739</v>
      </c>
      <c r="AA997" s="3"/>
    </row>
    <row r="998" spans="19:27" x14ac:dyDescent="0.25">
      <c r="S998" s="4">
        <v>0.49863251349216137</v>
      </c>
      <c r="T998" s="4">
        <v>1.1006871872513841</v>
      </c>
      <c r="U998" s="4">
        <f t="shared" si="194"/>
        <v>1.176483454323666</v>
      </c>
      <c r="W998" s="4">
        <f t="shared" si="195"/>
        <v>0.87621851093989767</v>
      </c>
      <c r="X998" s="4">
        <f t="shared" si="196"/>
        <v>2.1400416376656226</v>
      </c>
      <c r="Y998" s="3">
        <f t="shared" si="193"/>
        <v>75.565172380770491</v>
      </c>
      <c r="AA998" s="3"/>
    </row>
    <row r="999" spans="19:27" x14ac:dyDescent="0.25">
      <c r="S999" s="4">
        <v>-0.1440093699269471</v>
      </c>
      <c r="T999" s="4">
        <v>0.94898862967727282</v>
      </c>
      <c r="U999" s="4">
        <f t="shared" si="194"/>
        <v>0.66446438778634642</v>
      </c>
      <c r="W999" s="4">
        <f t="shared" si="195"/>
        <v>-0.21656621180371285</v>
      </c>
      <c r="X999" s="4">
        <f t="shared" si="196"/>
        <v>1.2373029868800294</v>
      </c>
      <c r="Y999" s="3">
        <f t="shared" si="193"/>
        <v>158.55651584708721</v>
      </c>
      <c r="AA999" s="3"/>
    </row>
    <row r="1000" spans="19:27" x14ac:dyDescent="0.25">
      <c r="S1000" s="4">
        <v>0.76693038608738362</v>
      </c>
      <c r="T1000" s="4">
        <v>0.51398960227951995</v>
      </c>
      <c r="U1000" s="4">
        <f t="shared" si="194"/>
        <v>0.87497333054204396</v>
      </c>
      <c r="W1000" s="4">
        <f t="shared" si="195"/>
        <v>1.3324474370048691</v>
      </c>
      <c r="X1000" s="4">
        <f t="shared" si="196"/>
        <v>1.6084504135701039</v>
      </c>
      <c r="Y1000" s="3">
        <f t="shared" si="193"/>
        <v>-48.123905244551224</v>
      </c>
      <c r="AA1000" s="3"/>
    </row>
    <row r="1001" spans="19:27" x14ac:dyDescent="0.25">
      <c r="S1001" s="4">
        <v>1.3410661068222687</v>
      </c>
      <c r="T1001" s="4">
        <v>-0.55821752609203523</v>
      </c>
      <c r="U1001" s="4">
        <f t="shared" si="194"/>
        <v>0.37504924262351846</v>
      </c>
      <c r="W1001" s="4">
        <f t="shared" si="195"/>
        <v>2.3087403936083555</v>
      </c>
      <c r="X1001" s="4">
        <f t="shared" si="196"/>
        <v>0.72703636843533281</v>
      </c>
      <c r="Y1001" s="3">
        <f t="shared" si="193"/>
        <v>-283.66993688470666</v>
      </c>
      <c r="AA1001" s="3"/>
    </row>
    <row r="1002" spans="19:27" x14ac:dyDescent="0.25">
      <c r="S1002" s="4">
        <v>0.53082915090574023</v>
      </c>
      <c r="T1002" s="4">
        <v>0.78208372278226179</v>
      </c>
      <c r="U1002" s="4">
        <f t="shared" si="194"/>
        <v>0.94355681936640701</v>
      </c>
      <c r="W1002" s="4">
        <f t="shared" si="195"/>
        <v>0.93096750006908668</v>
      </c>
      <c r="X1002" s="4">
        <f t="shared" si="196"/>
        <v>1.7293696726636745</v>
      </c>
      <c r="Y1002" s="3">
        <f t="shared" si="193"/>
        <v>25.978313635062932</v>
      </c>
      <c r="AA1002" s="3"/>
    </row>
    <row r="1003" spans="19:27" x14ac:dyDescent="0.25">
      <c r="S1003" s="4">
        <v>0.49674711789617859</v>
      </c>
      <c r="T1003" s="4">
        <v>-0.38379504039726525</v>
      </c>
      <c r="U1003" s="4">
        <f t="shared" si="194"/>
        <v>-1.4031390132851485E-3</v>
      </c>
      <c r="W1003" s="4">
        <f t="shared" si="195"/>
        <v>0.87301247728915532</v>
      </c>
      <c r="X1003" s="4">
        <f t="shared" si="196"/>
        <v>6.331476646045453E-2</v>
      </c>
      <c r="Y1003" s="3">
        <f t="shared" si="193"/>
        <v>-131.60814054856746</v>
      </c>
      <c r="AA1003" s="3"/>
    </row>
    <row r="1004" spans="19:27" x14ac:dyDescent="0.25">
      <c r="S1004" s="4">
        <v>-1.6582859227878395</v>
      </c>
      <c r="T1004" s="4">
        <v>8.3781510671553372E-2</v>
      </c>
      <c r="U1004" s="4">
        <f t="shared" si="194"/>
        <v>-0.94451516311948347</v>
      </c>
      <c r="W1004" s="4">
        <f t="shared" si="195"/>
        <v>-2.79152798393591</v>
      </c>
      <c r="X1004" s="4">
        <f t="shared" si="196"/>
        <v>-1.5994820546404351</v>
      </c>
      <c r="Y1004" s="3">
        <f t="shared" si="193"/>
        <v>307.83816089013999</v>
      </c>
      <c r="AA1004" s="3"/>
    </row>
    <row r="1005" spans="19:27" x14ac:dyDescent="0.25">
      <c r="S1005" s="4">
        <v>-1.466418155653181</v>
      </c>
      <c r="T1005" s="4">
        <v>1.1757830129170443</v>
      </c>
      <c r="U1005" s="4">
        <f t="shared" si="194"/>
        <v>3.8072584151465527E-2</v>
      </c>
      <c r="W1005" s="4">
        <f t="shared" si="195"/>
        <v>-2.4652651459208164</v>
      </c>
      <c r="X1005" s="4">
        <f t="shared" si="196"/>
        <v>0.132914247021859</v>
      </c>
      <c r="Y1005" s="3">
        <f t="shared" si="193"/>
        <v>424.26858346038625</v>
      </c>
      <c r="AA1005" s="3"/>
    </row>
    <row r="1006" spans="19:27" x14ac:dyDescent="0.25">
      <c r="S1006" s="4">
        <v>-1.4348789138173739</v>
      </c>
      <c r="T1006" s="4">
        <v>0.91682211851838558</v>
      </c>
      <c r="U1006" s="4">
        <f t="shared" si="194"/>
        <v>-0.14797662453380633</v>
      </c>
      <c r="W1006" s="4">
        <f t="shared" si="195"/>
        <v>-2.411634029533388</v>
      </c>
      <c r="X1006" s="4">
        <f t="shared" si="196"/>
        <v>-0.19510832597353164</v>
      </c>
      <c r="Y1006" s="3">
        <f t="shared" si="193"/>
        <v>382.18275975006873</v>
      </c>
      <c r="AA1006" s="3"/>
    </row>
    <row r="1007" spans="19:27" x14ac:dyDescent="0.25">
      <c r="S1007" s="4">
        <v>-0.17072522246747887</v>
      </c>
      <c r="T1007" s="4">
        <v>-0.39480867230627387</v>
      </c>
      <c r="U1007" s="4">
        <f t="shared" si="194"/>
        <v>-0.41703958835765459</v>
      </c>
      <c r="W1007" s="4">
        <f t="shared" si="195"/>
        <v>-0.2619953633492626</v>
      </c>
      <c r="X1007" s="4">
        <f t="shared" si="196"/>
        <v>-0.66949209957273215</v>
      </c>
      <c r="Y1007" s="3">
        <f t="shared" si="193"/>
        <v>-24.786636565259414</v>
      </c>
      <c r="AA1007" s="3"/>
    </row>
    <row r="1008" spans="19:27" x14ac:dyDescent="0.25">
      <c r="S1008" s="4">
        <v>1.5911523543317014</v>
      </c>
      <c r="T1008" s="4">
        <v>-0.71846597962526704</v>
      </c>
      <c r="U1008" s="4">
        <f t="shared" si="194"/>
        <v>0.40047972882968164</v>
      </c>
      <c r="W1008" s="4">
        <f t="shared" si="195"/>
        <v>2.7340012390306496</v>
      </c>
      <c r="X1008" s="4">
        <f t="shared" si="196"/>
        <v>0.77187275111503939</v>
      </c>
      <c r="Y1008" s="3">
        <f t="shared" si="193"/>
        <v>-341.90893364588555</v>
      </c>
      <c r="AA1008" s="3"/>
    </row>
    <row r="1009" spans="19:27" x14ac:dyDescent="0.25">
      <c r="S1009" s="4">
        <v>-1.2112422778077871</v>
      </c>
      <c r="T1009" s="4">
        <v>0.23615980821678204</v>
      </c>
      <c r="U1009" s="4">
        <f t="shared" si="194"/>
        <v>-0.55119832244373546</v>
      </c>
      <c r="W1009" s="4">
        <f t="shared" si="195"/>
        <v>-2.0313496042842645</v>
      </c>
      <c r="X1009" s="4">
        <f t="shared" si="196"/>
        <v>-0.90602679625700988</v>
      </c>
      <c r="Y1009" s="3">
        <f t="shared" si="193"/>
        <v>245.70530150296599</v>
      </c>
      <c r="AA1009" s="3"/>
    </row>
    <row r="1010" spans="19:27" x14ac:dyDescent="0.25">
      <c r="S1010" s="4">
        <v>0.27309966598882518</v>
      </c>
      <c r="T1010" s="4">
        <v>2.0342769899459094</v>
      </c>
      <c r="U1010" s="4">
        <f t="shared" si="194"/>
        <v>1.7790427839893239</v>
      </c>
      <c r="W1010" s="4">
        <f t="shared" si="195"/>
        <v>0.49270966007376382</v>
      </c>
      <c r="X1010" s="4">
        <f t="shared" si="196"/>
        <v>3.2024114434607371</v>
      </c>
      <c r="Y1010" s="3">
        <f t="shared" si="193"/>
        <v>241.91016645707532</v>
      </c>
      <c r="AA1010" s="3"/>
    </row>
    <row r="1011" spans="19:27" x14ac:dyDescent="0.25">
      <c r="S1011" s="4">
        <v>-1.1707924968856487</v>
      </c>
      <c r="T1011" s="4">
        <v>-1.1572799844683284</v>
      </c>
      <c r="U1011" s="4">
        <f t="shared" si="194"/>
        <v>-1.6311078360185587</v>
      </c>
      <c r="W1011" s="4">
        <f t="shared" si="195"/>
        <v>-1.9625665016410601</v>
      </c>
      <c r="X1011" s="4">
        <f t="shared" si="196"/>
        <v>-2.8100106924973409</v>
      </c>
      <c r="Y1011" s="3">
        <f t="shared" si="193"/>
        <v>43.562933677185811</v>
      </c>
      <c r="AA1011" s="3"/>
    </row>
    <row r="1012" spans="19:27" x14ac:dyDescent="0.25">
      <c r="S1012" s="4">
        <v>-0.34911638808377177</v>
      </c>
      <c r="T1012" s="4">
        <v>-9.799737945093806E-2</v>
      </c>
      <c r="U1012" s="4">
        <f t="shared" si="194"/>
        <v>-0.29051088017723548</v>
      </c>
      <c r="W1012" s="4">
        <f t="shared" si="195"/>
        <v>-0.56534182346595419</v>
      </c>
      <c r="X1012" s="4">
        <f t="shared" si="196"/>
        <v>-0.44640986929389093</v>
      </c>
      <c r="Y1012" s="3">
        <f t="shared" si="193"/>
        <v>46.784096801352007</v>
      </c>
      <c r="AA1012" s="3"/>
    </row>
    <row r="1013" spans="19:27" x14ac:dyDescent="0.25">
      <c r="S1013" s="4">
        <v>4.5495987487215686E-2</v>
      </c>
      <c r="T1013" s="4">
        <v>1.4543864664917319</v>
      </c>
      <c r="U1013" s="4">
        <f t="shared" si="194"/>
        <v>1.1806159135139658</v>
      </c>
      <c r="W1013" s="4">
        <f t="shared" si="195"/>
        <v>0.10567945067703277</v>
      </c>
      <c r="X1013" s="4">
        <f t="shared" si="196"/>
        <v>2.1473275589870817</v>
      </c>
      <c r="Y1013" s="3">
        <f t="shared" si="193"/>
        <v>197.82644032601911</v>
      </c>
      <c r="AA1013" s="3"/>
    </row>
    <row r="1014" spans="19:27" x14ac:dyDescent="0.25">
      <c r="S1014" s="4">
        <v>-0.40789778686425032</v>
      </c>
      <c r="T1014" s="4">
        <v>2.1453010983938308</v>
      </c>
      <c r="U1014" s="4">
        <f t="shared" si="194"/>
        <v>1.4518994670914593</v>
      </c>
      <c r="W1014" s="4">
        <f t="shared" si="195"/>
        <v>-0.66529704927079758</v>
      </c>
      <c r="X1014" s="4">
        <f t="shared" si="196"/>
        <v>2.6256264449896367</v>
      </c>
      <c r="Y1014" s="3">
        <f t="shared" si="193"/>
        <v>370.32520122078404</v>
      </c>
      <c r="AA1014" s="3"/>
    </row>
    <row r="1015" spans="19:27" x14ac:dyDescent="0.25">
      <c r="S1015" s="4">
        <v>0.56067149286019968</v>
      </c>
      <c r="T1015" s="4">
        <v>-0.65417499753882224</v>
      </c>
      <c r="U1015" s="4">
        <f t="shared" si="194"/>
        <v>-0.17676144787132891</v>
      </c>
      <c r="W1015" s="4">
        <f t="shared" si="195"/>
        <v>0.98171311161438346</v>
      </c>
      <c r="X1015" s="4">
        <f t="shared" si="196"/>
        <v>-0.24585872626340607</v>
      </c>
      <c r="Y1015" s="3">
        <f t="shared" si="193"/>
        <v>-179.42758457028231</v>
      </c>
      <c r="AA1015" s="3"/>
    </row>
    <row r="1016" spans="19:27" x14ac:dyDescent="0.25">
      <c r="S1016" s="4">
        <v>0.37317345364955085</v>
      </c>
      <c r="T1016" s="4">
        <v>-0.47180823986661063</v>
      </c>
      <c r="U1016" s="4">
        <f t="shared" si="194"/>
        <v>-0.14650376267618681</v>
      </c>
      <c r="W1016" s="4">
        <f t="shared" si="195"/>
        <v>0.66288080690424345</v>
      </c>
      <c r="X1016" s="4">
        <f t="shared" si="196"/>
        <v>-0.19251152946137659</v>
      </c>
      <c r="Y1016" s="3">
        <f t="shared" si="193"/>
        <v>-124.34615614200538</v>
      </c>
      <c r="AA1016" s="3"/>
    </row>
    <row r="1017" spans="19:27" x14ac:dyDescent="0.25">
      <c r="S1017" s="4">
        <v>-2.1091159476281987</v>
      </c>
      <c r="T1017" s="4">
        <v>0.79069652010185287</v>
      </c>
      <c r="U1017" s="4">
        <f t="shared" si="194"/>
        <v>-0.65898531907138902</v>
      </c>
      <c r="W1017" s="4">
        <f t="shared" si="195"/>
        <v>-3.5581449387452051</v>
      </c>
      <c r="X1017" s="4">
        <f t="shared" si="196"/>
        <v>-1.0960655941594453</v>
      </c>
      <c r="Y1017" s="3">
        <f t="shared" si="193"/>
        <v>493.92633353225301</v>
      </c>
      <c r="AA1017" s="3"/>
    </row>
    <row r="1018" spans="19:27" x14ac:dyDescent="0.25">
      <c r="S1018" s="4">
        <v>1.1586005830385238</v>
      </c>
      <c r="T1018" s="4">
        <v>-0.89375086429249062</v>
      </c>
      <c r="U1018" s="4">
        <f t="shared" si="194"/>
        <v>-2.1604110987425429E-3</v>
      </c>
      <c r="W1018" s="4">
        <f t="shared" si="195"/>
        <v>1.9984656636803519</v>
      </c>
      <c r="X1018" s="4">
        <f t="shared" si="196"/>
        <v>6.1979623249232771E-2</v>
      </c>
      <c r="Y1018" s="3">
        <f t="shared" si="193"/>
        <v>-303.84626227996841</v>
      </c>
      <c r="AA1018" s="3"/>
    </row>
    <row r="1019" spans="19:27" x14ac:dyDescent="0.25">
      <c r="S1019" s="4">
        <v>-0.83343805251048253</v>
      </c>
      <c r="T1019" s="4">
        <v>-0.38247095888375277</v>
      </c>
      <c r="U1019" s="4">
        <f t="shared" si="194"/>
        <v>-0.81126410894124845</v>
      </c>
      <c r="W1019" s="4">
        <f t="shared" si="195"/>
        <v>-1.388909862578809</v>
      </c>
      <c r="X1019" s="4">
        <f t="shared" si="196"/>
        <v>-1.3645476845629287</v>
      </c>
      <c r="Y1019" s="3">
        <f t="shared" si="193"/>
        <v>91.143044594584353</v>
      </c>
      <c r="AA1019" s="3"/>
    </row>
    <row r="1020" spans="19:27" x14ac:dyDescent="0.25">
      <c r="S1020" s="4">
        <v>-1.0181571139248888</v>
      </c>
      <c r="T1020" s="4">
        <v>-0.77208724324626854</v>
      </c>
      <c r="U1020" s="4">
        <f t="shared" si="194"/>
        <v>-1.2327186892671744</v>
      </c>
      <c r="W1020" s="4">
        <f t="shared" si="195"/>
        <v>-1.7030166357620893</v>
      </c>
      <c r="X1020" s="4">
        <f t="shared" si="196"/>
        <v>-2.1076124727237118</v>
      </c>
      <c r="Y1020" s="3">
        <f t="shared" si="193"/>
        <v>69.714241614145976</v>
      </c>
      <c r="AA1020" s="3"/>
    </row>
    <row r="1021" spans="19:27" x14ac:dyDescent="0.25">
      <c r="S1021" s="4">
        <v>0.30002993280799078</v>
      </c>
      <c r="T1021" s="4">
        <v>-0.67429182616957117</v>
      </c>
      <c r="U1021" s="4">
        <f t="shared" si="194"/>
        <v>-0.35160080777735414</v>
      </c>
      <c r="W1021" s="4">
        <f t="shared" si="195"/>
        <v>0.53850341382479472</v>
      </c>
      <c r="X1021" s="4">
        <f t="shared" si="196"/>
        <v>-0.55411726228469693</v>
      </c>
      <c r="Y1021" s="3">
        <f t="shared" si="193"/>
        <v>-140.9596009152574</v>
      </c>
      <c r="AA1021" s="3"/>
    </row>
    <row r="1022" spans="19:27" x14ac:dyDescent="0.25">
      <c r="S1022" s="4">
        <v>0.19022945748197387</v>
      </c>
      <c r="T1022" s="4">
        <v>-0.19512454712205587</v>
      </c>
      <c r="U1022" s="4">
        <f t="shared" si="194"/>
        <v>-3.870554955014413E-2</v>
      </c>
      <c r="W1022" s="4">
        <f t="shared" si="195"/>
        <v>0.35179245538574461</v>
      </c>
      <c r="X1022" s="4">
        <f t="shared" si="196"/>
        <v>-2.4529557980679934E-3</v>
      </c>
      <c r="Y1022" s="3">
        <f t="shared" si="193"/>
        <v>-56.300828898505188</v>
      </c>
      <c r="AA1022" s="3"/>
    </row>
    <row r="1023" spans="19:27" x14ac:dyDescent="0.25">
      <c r="S1023" s="4">
        <v>-1.3798989242543542</v>
      </c>
      <c r="T1023" s="4">
        <v>1.1305822051475671</v>
      </c>
      <c r="U1023" s="4">
        <f t="shared" si="194"/>
        <v>5.4986318448086102E-2</v>
      </c>
      <c r="W1023" s="4">
        <f t="shared" si="195"/>
        <v>-2.3181429356578773</v>
      </c>
      <c r="X1023" s="4">
        <f t="shared" si="196"/>
        <v>0.16273478042882031</v>
      </c>
      <c r="Y1023" s="3">
        <f t="shared" si="193"/>
        <v>401.8205996102688</v>
      </c>
      <c r="AA1023" s="3"/>
    </row>
    <row r="1024" spans="19:27" x14ac:dyDescent="0.25">
      <c r="S1024" s="4">
        <v>-0.12439383608386105</v>
      </c>
      <c r="T1024" s="4">
        <v>-0.29989588106228099</v>
      </c>
      <c r="U1024" s="4">
        <f t="shared" si="194"/>
        <v>-0.31355832936470285</v>
      </c>
      <c r="W1024" s="4">
        <f t="shared" si="195"/>
        <v>-0.18321084505086585</v>
      </c>
      <c r="X1024" s="4">
        <f t="shared" si="196"/>
        <v>-0.48704472948425326</v>
      </c>
      <c r="Y1024" s="3">
        <f t="shared" si="193"/>
        <v>-19.257997432468983</v>
      </c>
      <c r="AA1024" s="3"/>
    </row>
    <row r="1025" spans="19:27" x14ac:dyDescent="0.25">
      <c r="S1025" s="4">
        <v>1.5357465840618445</v>
      </c>
      <c r="T1025" s="4">
        <v>-0.23537791604840483</v>
      </c>
      <c r="U1025" s="4">
        <f t="shared" si="194"/>
        <v>0.74964318751019654</v>
      </c>
      <c r="W1025" s="4">
        <f t="shared" si="195"/>
        <v>2.6397861234819868</v>
      </c>
      <c r="X1025" s="4">
        <f t="shared" si="196"/>
        <v>1.3874813684357485</v>
      </c>
      <c r="Y1025" s="3">
        <f t="shared" si="193"/>
        <v>-266.52916154550849</v>
      </c>
      <c r="AA1025" s="3"/>
    </row>
    <row r="1026" spans="19:27" x14ac:dyDescent="0.25">
      <c r="S1026" s="4">
        <v>-0.36503874109474743</v>
      </c>
      <c r="T1026" s="4">
        <v>0.51152199718834279</v>
      </c>
      <c r="U1026" s="4">
        <f t="shared" si="194"/>
        <v>0.18294364342115405</v>
      </c>
      <c r="W1026" s="4">
        <f t="shared" si="195"/>
        <v>-0.59241709597690795</v>
      </c>
      <c r="X1026" s="4">
        <f t="shared" si="196"/>
        <v>0.38833579893288761</v>
      </c>
      <c r="Y1026" s="3">
        <f t="shared" ref="Y1026:Y1089" si="197">(B$4*EXP(-B$8*B$7)*NORMSDIST((LN(B$4/(B$5+W1026))-B$8*B$7+B$9*B$7+0.5*B$6*B$6*B$7)/(B$6*SQRT(B$7)))-(B$5+W1026)*EXP(-B$9*B$7)*NORMSDIST((LN(B$4/(B$5+W1026))-B$8*B$7+B$9*B$7-0.5*B$6*B$6*B$7)/(B$6*SQRT(B$7))))*400+100*X1026-400*$B$13</f>
        <v>134.67890888375587</v>
      </c>
      <c r="AA1026" s="3"/>
    </row>
    <row r="1027" spans="19:27" x14ac:dyDescent="0.25">
      <c r="S1027" s="4">
        <v>0.6434165024073093</v>
      </c>
      <c r="T1027" s="4">
        <v>-1.0662402286227417</v>
      </c>
      <c r="U1027" s="4">
        <f t="shared" ref="U1027:U1090" si="198">$B$19*S1027+SQRT(1-$B$19^2)*T1027</f>
        <v>-0.45295906381968754</v>
      </c>
      <c r="W1027" s="4">
        <f t="shared" ref="W1027:W1090" si="199">S1027*SQRT($B$16)+$B$20</f>
        <v>1.122417420887337</v>
      </c>
      <c r="X1027" s="4">
        <f t="shared" ref="X1027:X1090" si="200">U1027*SQRT($C$17)+$C$20</f>
        <v>-0.73282157484952526</v>
      </c>
      <c r="Y1027" s="3">
        <f t="shared" si="197"/>
        <v>-249.91306207937077</v>
      </c>
      <c r="AA1027" s="3"/>
    </row>
    <row r="1028" spans="19:27" x14ac:dyDescent="0.25">
      <c r="S1028" s="4">
        <v>-1.5149769187749935</v>
      </c>
      <c r="T1028" s="4">
        <v>-0.80821345851422366</v>
      </c>
      <c r="U1028" s="4">
        <f t="shared" si="198"/>
        <v>-1.5642280897917575</v>
      </c>
      <c r="W1028" s="4">
        <f t="shared" si="199"/>
        <v>-2.5478372220085426</v>
      </c>
      <c r="X1028" s="4">
        <f t="shared" si="200"/>
        <v>-2.6920952947720789</v>
      </c>
      <c r="Y1028" s="3">
        <f t="shared" si="197"/>
        <v>156.09106786682878</v>
      </c>
      <c r="AA1028" s="3"/>
    </row>
    <row r="1029" spans="19:27" x14ac:dyDescent="0.25">
      <c r="S1029" s="4">
        <v>-0.28910701262641209</v>
      </c>
      <c r="T1029" s="4">
        <v>-1.143950358876739</v>
      </c>
      <c r="U1029" s="4">
        <f t="shared" si="198"/>
        <v>-1.0830464049551276</v>
      </c>
      <c r="W1029" s="4">
        <f t="shared" si="199"/>
        <v>-0.46329847644305122</v>
      </c>
      <c r="X1029" s="4">
        <f t="shared" si="200"/>
        <v>-1.843725901245798</v>
      </c>
      <c r="Y1029" s="3">
        <f t="shared" si="197"/>
        <v>-109.57250200496628</v>
      </c>
      <c r="AA1029" s="3"/>
    </row>
    <row r="1030" spans="19:27" x14ac:dyDescent="0.25">
      <c r="S1030" s="4">
        <v>-0.26578554359523199</v>
      </c>
      <c r="T1030" s="4">
        <v>0.8979956153123928</v>
      </c>
      <c r="U1030" s="4">
        <f t="shared" si="198"/>
        <v>0.54980515975733002</v>
      </c>
      <c r="W1030" s="4">
        <f t="shared" si="199"/>
        <v>-0.42364132721770076</v>
      </c>
      <c r="X1030" s="4">
        <f t="shared" si="200"/>
        <v>1.0351477868578292</v>
      </c>
      <c r="Y1030" s="3">
        <f t="shared" si="197"/>
        <v>171.868529657203</v>
      </c>
      <c r="AA1030" s="3"/>
    </row>
    <row r="1031" spans="19:27" x14ac:dyDescent="0.25">
      <c r="S1031" s="4">
        <v>0.19476817199876151</v>
      </c>
      <c r="T1031" s="4">
        <v>0.56543602375317548</v>
      </c>
      <c r="U1031" s="4">
        <f t="shared" si="198"/>
        <v>0.56695164653946994</v>
      </c>
      <c r="W1031" s="4">
        <f t="shared" si="199"/>
        <v>0.35951034308153546</v>
      </c>
      <c r="X1031" s="4">
        <f t="shared" si="200"/>
        <v>1.065378685187655</v>
      </c>
      <c r="Y1031" s="3">
        <f t="shared" si="197"/>
        <v>49.259692235702914</v>
      </c>
      <c r="AA1031" s="3"/>
    </row>
    <row r="1032" spans="19:27" x14ac:dyDescent="0.25">
      <c r="S1032" s="4">
        <v>-1.3416303448587812</v>
      </c>
      <c r="T1032" s="4">
        <v>-1.2264273787690327</v>
      </c>
      <c r="U1032" s="4">
        <f t="shared" si="198"/>
        <v>-1.7900669874446127</v>
      </c>
      <c r="W1032" s="4">
        <f t="shared" si="199"/>
        <v>-2.2530688718541181</v>
      </c>
      <c r="X1032" s="4">
        <f t="shared" si="200"/>
        <v>-3.0902709001080271</v>
      </c>
      <c r="Y1032" s="3">
        <f t="shared" si="197"/>
        <v>65.308985884856156</v>
      </c>
      <c r="AA1032" s="3"/>
    </row>
    <row r="1033" spans="19:27" x14ac:dyDescent="0.25">
      <c r="S1033" s="4">
        <v>-1.5206315204033538</v>
      </c>
      <c r="T1033" s="4">
        <v>-0.62698291462681344</v>
      </c>
      <c r="U1033" s="4">
        <f t="shared" si="198"/>
        <v>-1.4240152553813892</v>
      </c>
      <c r="W1033" s="4">
        <f t="shared" si="199"/>
        <v>-2.5574526274654623</v>
      </c>
      <c r="X1033" s="4">
        <f t="shared" si="200"/>
        <v>-2.4448866394099955</v>
      </c>
      <c r="Y1033" s="3">
        <f t="shared" si="197"/>
        <v>182.48225863207972</v>
      </c>
      <c r="AA1033" s="3"/>
    </row>
    <row r="1034" spans="19:27" x14ac:dyDescent="0.25">
      <c r="S1034" s="4">
        <v>-0.25963790685031213</v>
      </c>
      <c r="T1034" s="4">
        <v>-0.31819303031229523</v>
      </c>
      <c r="U1034" s="4">
        <f t="shared" si="198"/>
        <v>-0.41051013662961999</v>
      </c>
      <c r="W1034" s="4">
        <f t="shared" si="199"/>
        <v>-0.41318753687325099</v>
      </c>
      <c r="X1034" s="4">
        <f t="shared" si="200"/>
        <v>-0.65798005084533195</v>
      </c>
      <c r="Y1034" s="3">
        <f t="shared" si="197"/>
        <v>0.85782829957361173</v>
      </c>
      <c r="AA1034" s="3"/>
    </row>
    <row r="1035" spans="19:27" x14ac:dyDescent="0.25">
      <c r="S1035" s="4">
        <v>-1.4013564829356193</v>
      </c>
      <c r="T1035" s="4">
        <v>0.7642197140509539</v>
      </c>
      <c r="U1035" s="4">
        <f t="shared" si="198"/>
        <v>-0.24850731081307909</v>
      </c>
      <c r="W1035" s="4">
        <f t="shared" si="199"/>
        <v>-2.3546305859639944</v>
      </c>
      <c r="X1035" s="4">
        <f t="shared" si="200"/>
        <v>-0.37235355378905832</v>
      </c>
      <c r="Y1035" s="3">
        <f t="shared" si="197"/>
        <v>354.60782860384279</v>
      </c>
      <c r="AA1035" s="3"/>
    </row>
    <row r="1036" spans="19:27" x14ac:dyDescent="0.25">
      <c r="S1036" s="4">
        <v>-0.70959210652620852</v>
      </c>
      <c r="T1036" s="4">
        <v>-0.91522403776885386</v>
      </c>
      <c r="U1036" s="4">
        <f t="shared" si="198"/>
        <v>-1.1580739707344623</v>
      </c>
      <c r="W1036" s="4">
        <f t="shared" si="199"/>
        <v>-1.1783151888776506</v>
      </c>
      <c r="X1036" s="4">
        <f t="shared" si="200"/>
        <v>-1.9760066851654476</v>
      </c>
      <c r="Y1036" s="3">
        <f t="shared" si="197"/>
        <v>-5.1628929876032998</v>
      </c>
      <c r="AA1036" s="3"/>
    </row>
    <row r="1037" spans="19:27" x14ac:dyDescent="0.25">
      <c r="S1037" s="4">
        <v>0.30957438954775734</v>
      </c>
      <c r="T1037" s="4">
        <v>4.0588434945687424E-2</v>
      </c>
      <c r="U1037" s="4">
        <f t="shared" si="198"/>
        <v>0.22089758348934793</v>
      </c>
      <c r="W1037" s="4">
        <f t="shared" si="199"/>
        <v>0.55473334962762832</v>
      </c>
      <c r="X1037" s="4">
        <f t="shared" si="200"/>
        <v>0.45525223015266403</v>
      </c>
      <c r="Y1037" s="3">
        <f t="shared" si="197"/>
        <v>-42.577839329968356</v>
      </c>
      <c r="AA1037" s="3"/>
    </row>
    <row r="1038" spans="19:27" x14ac:dyDescent="0.25">
      <c r="S1038" s="4">
        <v>-9.1161087141546637E-2</v>
      </c>
      <c r="T1038" s="4">
        <v>-0.70079141344964524</v>
      </c>
      <c r="U1038" s="4">
        <f t="shared" si="198"/>
        <v>-0.6110855930773138</v>
      </c>
      <c r="W1038" s="4">
        <f t="shared" si="199"/>
        <v>-0.12669999308815477</v>
      </c>
      <c r="X1038" s="4">
        <f t="shared" si="200"/>
        <v>-1.0116137898363746</v>
      </c>
      <c r="Y1038" s="3">
        <f t="shared" si="197"/>
        <v>-80.816125296202244</v>
      </c>
      <c r="AA1038" s="3"/>
    </row>
    <row r="1039" spans="19:27" x14ac:dyDescent="0.25">
      <c r="S1039" s="4">
        <v>0.62101760733384948</v>
      </c>
      <c r="T1039" s="4">
        <v>0.96020991805452316</v>
      </c>
      <c r="U1039" s="4">
        <f t="shared" si="198"/>
        <v>1.1397369280330056</v>
      </c>
      <c r="W1039" s="4">
        <f t="shared" si="199"/>
        <v>1.0843290687675129</v>
      </c>
      <c r="X1039" s="4">
        <f t="shared" si="200"/>
        <v>2.0752539925706324</v>
      </c>
      <c r="Y1039" s="3">
        <f t="shared" si="197"/>
        <v>36.782856846969935</v>
      </c>
      <c r="AA1039" s="3"/>
    </row>
    <row r="1040" spans="19:27" x14ac:dyDescent="0.25">
      <c r="S1040" s="4">
        <v>0.32443986936446484</v>
      </c>
      <c r="T1040" s="4">
        <v>-1.9311336958500536</v>
      </c>
      <c r="U1040" s="4">
        <f t="shared" si="198"/>
        <v>-1.3330084849866255</v>
      </c>
      <c r="W1040" s="4">
        <f t="shared" si="199"/>
        <v>0.58001145499094953</v>
      </c>
      <c r="X1040" s="4">
        <f t="shared" si="200"/>
        <v>-2.2844329874119889</v>
      </c>
      <c r="Y1040" s="3">
        <f t="shared" si="197"/>
        <v>-320.52337513964176</v>
      </c>
      <c r="AA1040" s="3"/>
    </row>
    <row r="1041" spans="19:27" x14ac:dyDescent="0.25">
      <c r="S1041" s="4">
        <v>0.46652753451558104</v>
      </c>
      <c r="T1041" s="4">
        <v>0.35466080840904618</v>
      </c>
      <c r="U1041" s="4">
        <f t="shared" si="198"/>
        <v>0.56554238639112875</v>
      </c>
      <c r="W1041" s="4">
        <f t="shared" si="199"/>
        <v>0.82162538301777721</v>
      </c>
      <c r="X1041" s="4">
        <f t="shared" si="200"/>
        <v>1.0628940245801448</v>
      </c>
      <c r="Y1041" s="3">
        <f t="shared" si="197"/>
        <v>-23.638973247176182</v>
      </c>
      <c r="AA1041" s="3"/>
    </row>
    <row r="1042" spans="19:27" x14ac:dyDescent="0.25">
      <c r="S1042" s="4">
        <v>-0.19235313259136866</v>
      </c>
      <c r="T1042" s="4">
        <v>1.8850825187525972</v>
      </c>
      <c r="U1042" s="4">
        <f t="shared" si="198"/>
        <v>1.3770271062754511</v>
      </c>
      <c r="W1042" s="4">
        <f t="shared" si="199"/>
        <v>-0.29877268891433933</v>
      </c>
      <c r="X1042" s="4">
        <f t="shared" si="200"/>
        <v>2.493619302284436</v>
      </c>
      <c r="Y1042" s="3">
        <f t="shared" si="197"/>
        <v>297.47152530669064</v>
      </c>
      <c r="AA1042" s="3"/>
    </row>
    <row r="1043" spans="19:27" x14ac:dyDescent="0.25">
      <c r="S1043" s="4">
        <v>0.10361842346422791</v>
      </c>
      <c r="T1043" s="4">
        <v>-1.5078814137318275</v>
      </c>
      <c r="U1043" s="4">
        <f t="shared" si="198"/>
        <v>-1.1321174593099452</v>
      </c>
      <c r="W1043" s="4">
        <f t="shared" si="199"/>
        <v>0.20451413874061808</v>
      </c>
      <c r="X1043" s="4">
        <f t="shared" si="200"/>
        <v>-1.9302428696479226</v>
      </c>
      <c r="Y1043" s="3">
        <f t="shared" si="197"/>
        <v>-225.68974178979715</v>
      </c>
      <c r="AA1043" s="3"/>
    </row>
    <row r="1044" spans="19:27" x14ac:dyDescent="0.25">
      <c r="S1044" s="4">
        <v>0.60909363427470808</v>
      </c>
      <c r="T1044" s="4">
        <v>-0.45431145950950869</v>
      </c>
      <c r="U1044" s="4">
        <f t="shared" si="198"/>
        <v>1.1188001395562197E-2</v>
      </c>
      <c r="W1044" s="4">
        <f t="shared" si="199"/>
        <v>1.0640528683989505</v>
      </c>
      <c r="X1044" s="4">
        <f t="shared" si="200"/>
        <v>8.5514152864957393E-2</v>
      </c>
      <c r="Y1044" s="3">
        <f t="shared" si="197"/>
        <v>-159.05347450835461</v>
      </c>
      <c r="AA1044" s="3"/>
    </row>
    <row r="1045" spans="19:27" x14ac:dyDescent="0.25">
      <c r="S1045" s="4">
        <v>-0.38705915877092734</v>
      </c>
      <c r="T1045" s="4">
        <v>-1.1333269916235706</v>
      </c>
      <c r="U1045" s="4">
        <f t="shared" si="198"/>
        <v>-1.134339160302877</v>
      </c>
      <c r="W1045" s="4">
        <f t="shared" si="199"/>
        <v>-0.62986186365519092</v>
      </c>
      <c r="X1045" s="4">
        <f t="shared" si="200"/>
        <v>-1.934159941272563</v>
      </c>
      <c r="Y1045" s="3">
        <f t="shared" si="197"/>
        <v>-91.451214435086058</v>
      </c>
      <c r="AA1045" s="3"/>
    </row>
    <row r="1046" spans="19:27" x14ac:dyDescent="0.25">
      <c r="S1046" s="4">
        <v>-2.1975526184832006</v>
      </c>
      <c r="T1046" s="4">
        <v>1.3279827785860072</v>
      </c>
      <c r="U1046" s="4">
        <f t="shared" si="198"/>
        <v>-0.28699575782423259</v>
      </c>
      <c r="W1046" s="4">
        <f t="shared" si="199"/>
        <v>-3.70852767185696</v>
      </c>
      <c r="X1046" s="4">
        <f t="shared" si="200"/>
        <v>-0.44021237193943485</v>
      </c>
      <c r="Y1046" s="3">
        <f t="shared" si="197"/>
        <v>586.51465363154421</v>
      </c>
      <c r="AA1046" s="3"/>
    </row>
    <row r="1047" spans="19:27" x14ac:dyDescent="0.25">
      <c r="S1047" s="4">
        <v>3.0846192355829629</v>
      </c>
      <c r="T1047" s="4">
        <v>7.1832083132644858E-2</v>
      </c>
      <c r="U1047" s="4">
        <f t="shared" si="198"/>
        <v>1.9373934285859973</v>
      </c>
      <c r="W1047" s="4">
        <f t="shared" si="199"/>
        <v>5.2735770647951323</v>
      </c>
      <c r="X1047" s="4">
        <f t="shared" si="200"/>
        <v>3.4815987952540337</v>
      </c>
      <c r="Y1047" s="3">
        <f t="shared" si="197"/>
        <v>-427.21030628974813</v>
      </c>
      <c r="AA1047" s="3"/>
    </row>
    <row r="1048" spans="19:27" x14ac:dyDescent="0.25">
      <c r="S1048" s="4">
        <v>2.2069688238412311</v>
      </c>
      <c r="T1048" s="4">
        <v>-0.56200135185541211</v>
      </c>
      <c r="U1048" s="4">
        <f t="shared" si="198"/>
        <v>0.89992345032889742</v>
      </c>
      <c r="W1048" s="4">
        <f t="shared" si="199"/>
        <v>3.7811705058601555</v>
      </c>
      <c r="X1048" s="4">
        <f t="shared" si="200"/>
        <v>1.6524398642474867</v>
      </c>
      <c r="Y1048" s="3">
        <f t="shared" si="197"/>
        <v>-404.518563600574</v>
      </c>
      <c r="AA1048" s="3"/>
    </row>
    <row r="1049" spans="19:27" x14ac:dyDescent="0.25">
      <c r="S1049" s="4">
        <v>1.2444211708210913</v>
      </c>
      <c r="T1049" s="4">
        <v>7.5494302005864641E-2</v>
      </c>
      <c r="U1049" s="4">
        <f t="shared" si="198"/>
        <v>0.81847064175049389</v>
      </c>
      <c r="W1049" s="4">
        <f t="shared" si="199"/>
        <v>2.1443998606964287</v>
      </c>
      <c r="X1049" s="4">
        <f t="shared" si="200"/>
        <v>1.5088307619223766</v>
      </c>
      <c r="Y1049" s="3">
        <f t="shared" si="197"/>
        <v>-181.01135687165106</v>
      </c>
      <c r="AA1049" s="3"/>
    </row>
    <row r="1050" spans="19:27" x14ac:dyDescent="0.25">
      <c r="S1050" s="4">
        <v>7.9922239313843471E-2</v>
      </c>
      <c r="T1050" s="4">
        <v>-0.54611957000530231</v>
      </c>
      <c r="U1050" s="4">
        <f t="shared" si="198"/>
        <v>-0.38418224423101577</v>
      </c>
      <c r="W1050" s="4">
        <f t="shared" si="199"/>
        <v>0.16421980266484182</v>
      </c>
      <c r="X1050" s="4">
        <f t="shared" si="200"/>
        <v>-0.61156145510303461</v>
      </c>
      <c r="Y1050" s="3">
        <f t="shared" si="197"/>
        <v>-87.402772187109349</v>
      </c>
      <c r="AA1050" s="3"/>
    </row>
    <row r="1051" spans="19:27" x14ac:dyDescent="0.25">
      <c r="S1051" s="4">
        <v>0.66888289246965282</v>
      </c>
      <c r="T1051" s="4">
        <v>0.76689837197852229</v>
      </c>
      <c r="U1051" s="4">
        <f t="shared" si="198"/>
        <v>1.0156801540716591</v>
      </c>
      <c r="W1051" s="4">
        <f t="shared" si="199"/>
        <v>1.1657219155391576</v>
      </c>
      <c r="X1051" s="4">
        <f t="shared" si="200"/>
        <v>1.8565300190591567</v>
      </c>
      <c r="Y1051" s="3">
        <f t="shared" si="197"/>
        <v>2.3362737352490512</v>
      </c>
      <c r="AA1051" s="3"/>
    </row>
    <row r="1052" spans="19:27" x14ac:dyDescent="0.25">
      <c r="S1052" s="4">
        <v>0.10355631734981885</v>
      </c>
      <c r="T1052" s="4">
        <v>-1.7627289368609633</v>
      </c>
      <c r="U1052" s="4">
        <f t="shared" si="198"/>
        <v>-1.3341709182140182</v>
      </c>
      <c r="W1052" s="4">
        <f t="shared" si="199"/>
        <v>0.20440852997971054</v>
      </c>
      <c r="X1052" s="4">
        <f t="shared" si="200"/>
        <v>-2.2864824685190532</v>
      </c>
      <c r="Y1052" s="3">
        <f t="shared" si="197"/>
        <v>-261.29688929605527</v>
      </c>
      <c r="AA1052" s="3"/>
    </row>
    <row r="1053" spans="19:27" x14ac:dyDescent="0.25">
      <c r="S1053" s="4">
        <v>0.61466745311435167</v>
      </c>
      <c r="T1053" s="4">
        <v>0.98551204935251113</v>
      </c>
      <c r="U1053" s="4">
        <f t="shared" si="198"/>
        <v>1.1559225298791715</v>
      </c>
      <c r="W1053" s="4">
        <f t="shared" si="199"/>
        <v>1.0735309062182359</v>
      </c>
      <c r="X1053" s="4">
        <f t="shared" si="200"/>
        <v>2.1037907587336084</v>
      </c>
      <c r="Y1053" s="3">
        <f t="shared" si="197"/>
        <v>41.307241667605467</v>
      </c>
      <c r="AA1053" s="3"/>
    </row>
    <row r="1054" spans="19:27" x14ac:dyDescent="0.25">
      <c r="S1054" s="4">
        <v>1.8568698747801125</v>
      </c>
      <c r="T1054" s="4">
        <v>-1.202339599098345</v>
      </c>
      <c r="U1054" s="4">
        <f t="shared" si="198"/>
        <v>0.17890430161354798</v>
      </c>
      <c r="W1054" s="4">
        <f t="shared" si="199"/>
        <v>3.1858423878932833</v>
      </c>
      <c r="X1054" s="4">
        <f t="shared" si="200"/>
        <v>0.38121405247504481</v>
      </c>
      <c r="Y1054" s="3">
        <f t="shared" si="197"/>
        <v>-446.64179087240427</v>
      </c>
      <c r="AA1054" s="3"/>
    </row>
    <row r="1055" spans="19:27" x14ac:dyDescent="0.25">
      <c r="S1055" s="4">
        <v>-3.3955603419024621E-2</v>
      </c>
      <c r="T1055" s="4">
        <v>-0.88891930949389963</v>
      </c>
      <c r="U1055" s="4">
        <f t="shared" si="198"/>
        <v>-0.72533933557391495</v>
      </c>
      <c r="W1055" s="4">
        <f t="shared" si="199"/>
        <v>-2.9424542666941906E-2</v>
      </c>
      <c r="X1055" s="4">
        <f t="shared" si="200"/>
        <v>-1.213054080031249</v>
      </c>
      <c r="Y1055" s="3">
        <f t="shared" si="197"/>
        <v>-116.58787495796969</v>
      </c>
      <c r="AA1055" s="3"/>
    </row>
    <row r="1056" spans="19:27" x14ac:dyDescent="0.25">
      <c r="S1056" s="4">
        <v>-0.18304711535237186</v>
      </c>
      <c r="T1056" s="4">
        <v>0.76635325962140644</v>
      </c>
      <c r="U1056" s="4">
        <f t="shared" si="198"/>
        <v>0.4958925069511711</v>
      </c>
      <c r="W1056" s="4">
        <f t="shared" si="199"/>
        <v>-0.28294820916792324</v>
      </c>
      <c r="X1056" s="4">
        <f t="shared" si="200"/>
        <v>0.94009461670218863</v>
      </c>
      <c r="Y1056" s="3">
        <f t="shared" si="197"/>
        <v>139.55932209888033</v>
      </c>
      <c r="AA1056" s="3"/>
    </row>
    <row r="1057" spans="19:27" x14ac:dyDescent="0.25">
      <c r="S1057" s="4">
        <v>-1.1493989617839135</v>
      </c>
      <c r="T1057" s="4">
        <v>1.0158122065725406</v>
      </c>
      <c r="U1057" s="4">
        <f t="shared" si="198"/>
        <v>0.10452697656724297</v>
      </c>
      <c r="W1057" s="4">
        <f t="shared" si="199"/>
        <v>-1.926187720662341</v>
      </c>
      <c r="X1057" s="4">
        <f t="shared" si="200"/>
        <v>0.25007970524180745</v>
      </c>
      <c r="Y1057" s="3">
        <f t="shared" si="197"/>
        <v>343.37088068214143</v>
      </c>
      <c r="AA1057" s="3"/>
    </row>
    <row r="1058" spans="19:27" x14ac:dyDescent="0.25">
      <c r="S1058" s="4">
        <v>0.42529242793634325</v>
      </c>
      <c r="T1058" s="4">
        <v>2.3141631697407044</v>
      </c>
      <c r="U1058" s="4">
        <f t="shared" si="198"/>
        <v>2.0936864283099603</v>
      </c>
      <c r="W1058" s="4">
        <f t="shared" si="199"/>
        <v>0.75150686806703548</v>
      </c>
      <c r="X1058" s="4">
        <f t="shared" si="200"/>
        <v>3.7571583220744276</v>
      </c>
      <c r="Y1058" s="3">
        <f t="shared" si="197"/>
        <v>256.74065190115471</v>
      </c>
      <c r="AA1058" s="3"/>
    </row>
    <row r="1059" spans="19:27" x14ac:dyDescent="0.25">
      <c r="S1059" s="4">
        <v>0.62617232204987905</v>
      </c>
      <c r="T1059" s="4">
        <v>-0.13066839868205521</v>
      </c>
      <c r="U1059" s="4">
        <f t="shared" si="198"/>
        <v>0.27814882182363204</v>
      </c>
      <c r="W1059" s="4">
        <f t="shared" si="199"/>
        <v>1.0930944381545951</v>
      </c>
      <c r="X1059" s="4">
        <f t="shared" si="200"/>
        <v>0.55619164633342666</v>
      </c>
      <c r="Y1059" s="3">
        <f t="shared" si="197"/>
        <v>-116.47913381749095</v>
      </c>
      <c r="AA1059" s="3"/>
    </row>
    <row r="1060" spans="19:27" x14ac:dyDescent="0.25">
      <c r="S1060" s="4">
        <v>0.79342524722816088</v>
      </c>
      <c r="T1060" s="4">
        <v>-1.0848653538251871</v>
      </c>
      <c r="U1060" s="4">
        <f t="shared" si="198"/>
        <v>-0.37627437410353526</v>
      </c>
      <c r="W1060" s="4">
        <f t="shared" si="199"/>
        <v>1.3775008022349915</v>
      </c>
      <c r="X1060" s="4">
        <f t="shared" si="200"/>
        <v>-0.59761912272516582</v>
      </c>
      <c r="Y1060" s="3">
        <f t="shared" si="197"/>
        <v>-275.6385914980242</v>
      </c>
      <c r="AA1060" s="3"/>
    </row>
    <row r="1061" spans="19:27" x14ac:dyDescent="0.25">
      <c r="S1061" s="4">
        <v>-0.55934103901350096</v>
      </c>
      <c r="T1061" s="4">
        <v>-1.28763910363381</v>
      </c>
      <c r="U1061" s="4">
        <f t="shared" si="198"/>
        <v>-1.3616880180430226</v>
      </c>
      <c r="W1061" s="4">
        <f t="shared" si="199"/>
        <v>-0.92281974827511948</v>
      </c>
      <c r="X1061" s="4">
        <f t="shared" si="200"/>
        <v>-2.3349977508525037</v>
      </c>
      <c r="Y1061" s="3">
        <f t="shared" si="197"/>
        <v>-83.404920419216523</v>
      </c>
      <c r="AA1061" s="3"/>
    </row>
    <row r="1062" spans="19:27" x14ac:dyDescent="0.25">
      <c r="S1062" s="4">
        <v>0.24699525101997521</v>
      </c>
      <c r="T1062" s="4">
        <v>-0.2223563446906216</v>
      </c>
      <c r="U1062" s="4">
        <f t="shared" si="198"/>
        <v>-2.5686283853311009E-2</v>
      </c>
      <c r="W1062" s="4">
        <f t="shared" si="199"/>
        <v>0.44832023166871404</v>
      </c>
      <c r="X1062" s="4">
        <f t="shared" si="200"/>
        <v>2.0501256491059043E-2</v>
      </c>
      <c r="Y1062" s="3">
        <f t="shared" si="197"/>
        <v>-69.275005729798067</v>
      </c>
      <c r="AA1062" s="3"/>
    </row>
    <row r="1063" spans="19:27" x14ac:dyDescent="0.25">
      <c r="S1063" s="4">
        <v>0.40208701079934306</v>
      </c>
      <c r="T1063" s="4">
        <v>1.1729714599531598</v>
      </c>
      <c r="U1063" s="4">
        <f t="shared" si="198"/>
        <v>1.1749263278386022</v>
      </c>
      <c r="W1063" s="4">
        <f t="shared" si="199"/>
        <v>0.71204706006745533</v>
      </c>
      <c r="X1063" s="4">
        <f t="shared" si="200"/>
        <v>2.137296274545192</v>
      </c>
      <c r="Y1063" s="3">
        <f t="shared" si="197"/>
        <v>100.9294910978283</v>
      </c>
      <c r="AA1063" s="3"/>
    </row>
    <row r="1064" spans="19:27" x14ac:dyDescent="0.25">
      <c r="S1064" s="4">
        <v>0.58410823183116667</v>
      </c>
      <c r="T1064" s="4">
        <v>-0.45386455408130771</v>
      </c>
      <c r="U1064" s="4">
        <f t="shared" si="198"/>
        <v>-3.6893990384962994E-3</v>
      </c>
      <c r="W1064" s="4">
        <f t="shared" si="199"/>
        <v>1.0215662723858854</v>
      </c>
      <c r="X1064" s="4">
        <f t="shared" si="200"/>
        <v>5.9283871079034739E-2</v>
      </c>
      <c r="Y1064" s="3">
        <f t="shared" si="197"/>
        <v>-155.09511706171088</v>
      </c>
      <c r="AA1064" s="3"/>
    </row>
    <row r="1065" spans="19:27" x14ac:dyDescent="0.25">
      <c r="S1065" s="4">
        <v>7.6778997735019061E-2</v>
      </c>
      <c r="T1065" s="4">
        <v>-0.49123247800061337</v>
      </c>
      <c r="U1065" s="4">
        <f t="shared" si="198"/>
        <v>-0.34258987465408369</v>
      </c>
      <c r="W1065" s="4">
        <f t="shared" si="199"/>
        <v>0.15887485633336887</v>
      </c>
      <c r="X1065" s="4">
        <f t="shared" si="200"/>
        <v>-0.53823012420401473</v>
      </c>
      <c r="Y1065" s="3">
        <f t="shared" si="197"/>
        <v>-79.217568200145251</v>
      </c>
      <c r="AA1065" s="3"/>
    </row>
    <row r="1066" spans="19:27" x14ac:dyDescent="0.25">
      <c r="S1066" s="4">
        <v>0.18214510642382609</v>
      </c>
      <c r="T1066" s="4">
        <v>0.24594785259691049</v>
      </c>
      <c r="U1066" s="4">
        <f t="shared" si="198"/>
        <v>0.3060006206997784</v>
      </c>
      <c r="W1066" s="4">
        <f t="shared" si="199"/>
        <v>0.33804536613187081</v>
      </c>
      <c r="X1066" s="4">
        <f t="shared" si="200"/>
        <v>0.60529703514138722</v>
      </c>
      <c r="Y1066" s="3">
        <f t="shared" si="197"/>
        <v>6.6526983869734977</v>
      </c>
      <c r="AA1066" s="3"/>
    </row>
    <row r="1067" spans="19:27" x14ac:dyDescent="0.25">
      <c r="S1067" s="4">
        <v>-1.1800352568725754</v>
      </c>
      <c r="T1067" s="4">
        <v>-2.1695275943112131</v>
      </c>
      <c r="U1067" s="4">
        <f t="shared" si="198"/>
        <v>-2.4391430302429757</v>
      </c>
      <c r="W1067" s="4">
        <f t="shared" si="199"/>
        <v>-1.978283415166773</v>
      </c>
      <c r="X1067" s="4">
        <f t="shared" si="200"/>
        <v>-4.2346541260993558</v>
      </c>
      <c r="Y1067" s="3">
        <f t="shared" si="197"/>
        <v>-96.220138075063915</v>
      </c>
      <c r="AA1067" s="3"/>
    </row>
    <row r="1068" spans="19:27" x14ac:dyDescent="0.25">
      <c r="S1068" s="4">
        <v>0.34902938425177604</v>
      </c>
      <c r="T1068" s="4">
        <v>1.1060367732341456</v>
      </c>
      <c r="U1068" s="4">
        <f t="shared" si="198"/>
        <v>1.0895226229288364</v>
      </c>
      <c r="W1068" s="4">
        <f t="shared" si="199"/>
        <v>0.62182486134032355</v>
      </c>
      <c r="X1068" s="4">
        <f t="shared" si="200"/>
        <v>1.986721363607352</v>
      </c>
      <c r="Y1068" s="3">
        <f t="shared" si="197"/>
        <v>100.02072307458957</v>
      </c>
      <c r="AA1068" s="3"/>
    </row>
    <row r="1069" spans="19:27" x14ac:dyDescent="0.25">
      <c r="S1069" s="4">
        <v>0.34306480481462653</v>
      </c>
      <c r="T1069" s="4">
        <v>-0.2181185222349061</v>
      </c>
      <c r="U1069" s="4">
        <f t="shared" si="198"/>
        <v>3.6239147668018917E-2</v>
      </c>
      <c r="W1069" s="4">
        <f t="shared" si="199"/>
        <v>0.61168235202887111</v>
      </c>
      <c r="X1069" s="4">
        <f t="shared" si="200"/>
        <v>0.1296817229118471</v>
      </c>
      <c r="Y1069" s="3">
        <f t="shared" si="197"/>
        <v>-84.090080470780777</v>
      </c>
      <c r="AA1069" s="3"/>
    </row>
    <row r="1070" spans="19:27" x14ac:dyDescent="0.25">
      <c r="S1070" s="4">
        <v>0.64669477511303086</v>
      </c>
      <c r="T1070" s="4">
        <v>-3.0796678571766746E-2</v>
      </c>
      <c r="U1070" s="4">
        <f t="shared" si="198"/>
        <v>0.36982728255409858</v>
      </c>
      <c r="W1070" s="4">
        <f t="shared" si="199"/>
        <v>1.1279919818087942</v>
      </c>
      <c r="X1070" s="4">
        <f t="shared" si="200"/>
        <v>0.71782955272160442</v>
      </c>
      <c r="Y1070" s="3">
        <f t="shared" si="197"/>
        <v>-105.70914467016109</v>
      </c>
      <c r="AA1070" s="3"/>
    </row>
    <row r="1071" spans="19:27" x14ac:dyDescent="0.25">
      <c r="S1071" s="4">
        <v>-2.1562829568705477</v>
      </c>
      <c r="T1071" s="4">
        <v>0.6874105827684972</v>
      </c>
      <c r="U1071" s="4">
        <f t="shared" si="198"/>
        <v>-0.76961331848177228</v>
      </c>
      <c r="W1071" s="4">
        <f t="shared" si="199"/>
        <v>-3.6383503975667102</v>
      </c>
      <c r="X1071" s="4">
        <f t="shared" si="200"/>
        <v>-1.2911133520529685</v>
      </c>
      <c r="Y1071" s="3">
        <f t="shared" si="197"/>
        <v>488.80805966762819</v>
      </c>
      <c r="AA1071" s="3"/>
    </row>
    <row r="1072" spans="19:27" x14ac:dyDescent="0.25">
      <c r="S1072" s="4">
        <v>2.7902872345413825</v>
      </c>
      <c r="T1072" s="4">
        <v>0.93674890919321463</v>
      </c>
      <c r="U1072" s="4">
        <f t="shared" si="198"/>
        <v>2.4435747387235556</v>
      </c>
      <c r="W1072" s="4">
        <f t="shared" si="199"/>
        <v>4.773078229516087</v>
      </c>
      <c r="X1072" s="4">
        <f t="shared" si="200"/>
        <v>4.374044922420194</v>
      </c>
      <c r="Y1072" s="3">
        <f t="shared" si="197"/>
        <v>-270.1904577255209</v>
      </c>
      <c r="AA1072" s="3"/>
    </row>
    <row r="1073" spans="19:27" x14ac:dyDescent="0.25">
      <c r="S1073" s="4">
        <v>0.21008475494372841</v>
      </c>
      <c r="T1073" s="4">
        <v>-1.2882379553274526</v>
      </c>
      <c r="U1073" s="4">
        <f t="shared" si="198"/>
        <v>-0.89310359168941222</v>
      </c>
      <c r="W1073" s="4">
        <f t="shared" si="199"/>
        <v>0.3855555298002159</v>
      </c>
      <c r="X1073" s="4">
        <f t="shared" si="200"/>
        <v>-1.5088385304814242</v>
      </c>
      <c r="Y1073" s="3">
        <f t="shared" si="197"/>
        <v>-212.28576432984573</v>
      </c>
      <c r="AA1073" s="3"/>
    </row>
    <row r="1074" spans="19:27" x14ac:dyDescent="0.25">
      <c r="S1074" s="4">
        <v>-2.9439637547885061E-2</v>
      </c>
      <c r="T1074" s="4">
        <v>1.2592077130346697</v>
      </c>
      <c r="U1074" s="4">
        <f t="shared" si="198"/>
        <v>0.98021684440788304</v>
      </c>
      <c r="W1074" s="4">
        <f t="shared" si="199"/>
        <v>-2.1745338058993199E-2</v>
      </c>
      <c r="X1074" s="4">
        <f t="shared" si="200"/>
        <v>1.7940048077720581</v>
      </c>
      <c r="Y1074" s="3">
        <f t="shared" si="197"/>
        <v>182.88640221687365</v>
      </c>
      <c r="AA1074" s="3"/>
    </row>
    <row r="1075" spans="19:27" x14ac:dyDescent="0.25">
      <c r="S1075" s="4">
        <v>-5.1780139617571865E-2</v>
      </c>
      <c r="T1075" s="4">
        <v>0.72830764373236268</v>
      </c>
      <c r="U1075" s="4">
        <f t="shared" si="198"/>
        <v>0.54575732809770572</v>
      </c>
      <c r="W1075" s="4">
        <f t="shared" si="199"/>
        <v>-5.9734395401921173E-2</v>
      </c>
      <c r="X1075" s="4">
        <f t="shared" si="200"/>
        <v>1.0280110719777982</v>
      </c>
      <c r="Y1075" s="3">
        <f t="shared" si="197"/>
        <v>112.3827950960731</v>
      </c>
      <c r="AA1075" s="3"/>
    </row>
    <row r="1076" spans="19:27" x14ac:dyDescent="0.25">
      <c r="S1076" s="4">
        <v>-0.34509131065674548</v>
      </c>
      <c r="T1076" s="4">
        <v>-0.14179530884560423</v>
      </c>
      <c r="U1076" s="4">
        <f t="shared" si="198"/>
        <v>-0.32277537224802172</v>
      </c>
      <c r="W1076" s="4">
        <f t="shared" si="199"/>
        <v>-0.55849735342190332</v>
      </c>
      <c r="X1076" s="4">
        <f t="shared" si="200"/>
        <v>-0.5032952588111993</v>
      </c>
      <c r="Y1076" s="3">
        <f t="shared" si="197"/>
        <v>39.978751543707858</v>
      </c>
      <c r="AA1076" s="3"/>
    </row>
    <row r="1077" spans="19:27" x14ac:dyDescent="0.25">
      <c r="S1077" s="4">
        <v>1.3002684123104691</v>
      </c>
      <c r="T1077" s="4">
        <v>0.8640301314013038</v>
      </c>
      <c r="U1077" s="4">
        <f t="shared" si="198"/>
        <v>1.477582424827665</v>
      </c>
      <c r="W1077" s="4">
        <f t="shared" si="199"/>
        <v>2.2393656789563074</v>
      </c>
      <c r="X1077" s="4">
        <f t="shared" si="200"/>
        <v>2.6709079591562106</v>
      </c>
      <c r="Y1077" s="3">
        <f t="shared" si="197"/>
        <v>-78.965535488631758</v>
      </c>
      <c r="AA1077" s="3"/>
    </row>
    <row r="1078" spans="19:27" x14ac:dyDescent="0.25">
      <c r="S1078" s="4">
        <v>8.7306993099217928E-3</v>
      </c>
      <c r="T1078" s="4">
        <v>-0.19492295067552751</v>
      </c>
      <c r="U1078" s="4">
        <f t="shared" si="198"/>
        <v>-0.14919143821126557</v>
      </c>
      <c r="W1078" s="4">
        <f t="shared" si="199"/>
        <v>4.3161668559163376E-2</v>
      </c>
      <c r="X1078" s="4">
        <f t="shared" si="200"/>
        <v>-0.19725015883058114</v>
      </c>
      <c r="Y1078" s="3">
        <f t="shared" si="197"/>
        <v>-26.636874651971084</v>
      </c>
      <c r="AA1078" s="3"/>
    </row>
    <row r="1079" spans="19:27" x14ac:dyDescent="0.25">
      <c r="S1079" s="4">
        <v>0.56852733496578944</v>
      </c>
      <c r="T1079" s="4">
        <v>-1.8793461328596743</v>
      </c>
      <c r="U1079" s="4">
        <f t="shared" si="198"/>
        <v>-1.1431557320495451</v>
      </c>
      <c r="W1079" s="4">
        <f t="shared" si="199"/>
        <v>0.99507163127948883</v>
      </c>
      <c r="X1079" s="4">
        <f t="shared" si="200"/>
        <v>-1.9497044016321492</v>
      </c>
      <c r="Y1079" s="3">
        <f t="shared" si="197"/>
        <v>-351.88514831248222</v>
      </c>
      <c r="AA1079" s="3"/>
    </row>
    <row r="1080" spans="19:27" x14ac:dyDescent="0.25">
      <c r="S1080" s="4">
        <v>-1.141748918514361</v>
      </c>
      <c r="T1080" s="4">
        <v>0.52302789192567645</v>
      </c>
      <c r="U1080" s="4">
        <f t="shared" si="198"/>
        <v>-0.28143557964825411</v>
      </c>
      <c r="W1080" s="4">
        <f t="shared" si="199"/>
        <v>-1.9131791530152762</v>
      </c>
      <c r="X1080" s="4">
        <f t="shared" si="200"/>
        <v>-0.43040924531242186</v>
      </c>
      <c r="Y1080" s="3">
        <f t="shared" si="197"/>
        <v>273.10626846915602</v>
      </c>
      <c r="AA1080" s="3"/>
    </row>
    <row r="1081" spans="19:27" x14ac:dyDescent="0.25">
      <c r="S1081" s="4">
        <v>0.66625399876057678</v>
      </c>
      <c r="T1081" s="4">
        <v>-2.3397371969463667</v>
      </c>
      <c r="U1081" s="4">
        <f t="shared" si="198"/>
        <v>-1.4485276994299618</v>
      </c>
      <c r="W1081" s="4">
        <f t="shared" si="199"/>
        <v>1.1612515955100451</v>
      </c>
      <c r="X1081" s="4">
        <f t="shared" si="200"/>
        <v>-2.48810442584423</v>
      </c>
      <c r="Y1081" s="3">
        <f t="shared" si="197"/>
        <v>-431.43743381555487</v>
      </c>
      <c r="AA1081" s="3"/>
    </row>
    <row r="1082" spans="19:27" x14ac:dyDescent="0.25">
      <c r="S1082" s="4">
        <v>8.0609512821271309E-2</v>
      </c>
      <c r="T1082" s="4">
        <v>-0.84510436287218882</v>
      </c>
      <c r="U1082" s="4">
        <f t="shared" si="198"/>
        <v>-0.62076612605647441</v>
      </c>
      <c r="W1082" s="4">
        <f t="shared" si="199"/>
        <v>0.16538848153349525</v>
      </c>
      <c r="X1082" s="4">
        <f t="shared" si="200"/>
        <v>-1.0286814965911111</v>
      </c>
      <c r="Y1082" s="3">
        <f t="shared" si="197"/>
        <v>-129.30106302233435</v>
      </c>
      <c r="AA1082" s="3"/>
    </row>
    <row r="1083" spans="19:27" x14ac:dyDescent="0.25">
      <c r="S1083" s="4">
        <v>0.63343002079016419</v>
      </c>
      <c r="T1083" s="4">
        <v>-0.54894175606124973</v>
      </c>
      <c r="U1083" s="4">
        <f t="shared" si="198"/>
        <v>-4.8988675221198319E-2</v>
      </c>
      <c r="W1083" s="4">
        <f t="shared" si="199"/>
        <v>1.1054358409020515</v>
      </c>
      <c r="X1083" s="4">
        <f t="shared" si="200"/>
        <v>-2.0583091179402574E-2</v>
      </c>
      <c r="Y1083" s="3">
        <f t="shared" si="197"/>
        <v>-176.06481424729282</v>
      </c>
      <c r="AA1083" s="3"/>
    </row>
    <row r="1084" spans="19:27" x14ac:dyDescent="0.25">
      <c r="S1084" s="4">
        <v>-0.89518815808766672</v>
      </c>
      <c r="T1084" s="4">
        <v>-1.1518260016383775</v>
      </c>
      <c r="U1084" s="4">
        <f t="shared" si="198"/>
        <v>-1.458769953183024</v>
      </c>
      <c r="W1084" s="4">
        <f t="shared" si="199"/>
        <v>-1.4939132458683233</v>
      </c>
      <c r="X1084" s="4">
        <f t="shared" si="200"/>
        <v>-2.506162500119808</v>
      </c>
      <c r="Y1084" s="3">
        <f t="shared" si="197"/>
        <v>-5.3999848172161364</v>
      </c>
      <c r="AA1084" s="3"/>
    </row>
    <row r="1085" spans="19:27" x14ac:dyDescent="0.25">
      <c r="S1085" s="4">
        <v>0.87474269568690755</v>
      </c>
      <c r="T1085" s="4">
        <v>-0.48876225849479776</v>
      </c>
      <c r="U1085" s="4">
        <f t="shared" si="198"/>
        <v>0.1458247229535638</v>
      </c>
      <c r="W1085" s="4">
        <f t="shared" si="199"/>
        <v>1.5157776056319718</v>
      </c>
      <c r="X1085" s="4">
        <f t="shared" si="200"/>
        <v>0.32289158723947831</v>
      </c>
      <c r="Y1085" s="3">
        <f t="shared" si="197"/>
        <v>-204.72459823538884</v>
      </c>
      <c r="AA1085" s="3"/>
    </row>
    <row r="1086" spans="19:27" x14ac:dyDescent="0.25">
      <c r="S1086" s="4">
        <v>0.17374951860116855</v>
      </c>
      <c r="T1086" s="4">
        <v>0.23731550035292406</v>
      </c>
      <c r="U1086" s="4">
        <f t="shared" si="198"/>
        <v>0.29403968631347877</v>
      </c>
      <c r="W1086" s="4">
        <f t="shared" si="199"/>
        <v>0.32376903222372261</v>
      </c>
      <c r="X1086" s="4">
        <f t="shared" si="200"/>
        <v>0.58420876230997665</v>
      </c>
      <c r="Y1086" s="3">
        <f t="shared" si="197"/>
        <v>6.8072983061119885</v>
      </c>
      <c r="AA1086" s="3"/>
    </row>
    <row r="1087" spans="19:27" x14ac:dyDescent="0.25">
      <c r="S1087" s="4">
        <v>0.39435043924255786</v>
      </c>
      <c r="T1087" s="4">
        <v>1.0692173404422678</v>
      </c>
      <c r="U1087" s="4">
        <f t="shared" si="198"/>
        <v>1.0879648787319331</v>
      </c>
      <c r="W1087" s="4">
        <f t="shared" si="199"/>
        <v>0.69889135481107389</v>
      </c>
      <c r="X1087" s="4">
        <f t="shared" si="200"/>
        <v>1.9839749114017893</v>
      </c>
      <c r="Y1087" s="3">
        <f t="shared" si="197"/>
        <v>87.657852107261533</v>
      </c>
      <c r="AA1087" s="3"/>
    </row>
    <row r="1088" spans="19:27" x14ac:dyDescent="0.25">
      <c r="S1088" s="4">
        <v>-0.31027941050343549</v>
      </c>
      <c r="T1088" s="4">
        <v>-0.22120320378956368</v>
      </c>
      <c r="U1088" s="4">
        <f t="shared" si="198"/>
        <v>-0.36449926575944014</v>
      </c>
      <c r="W1088" s="4">
        <f t="shared" si="199"/>
        <v>-0.4993012231373114</v>
      </c>
      <c r="X1088" s="4">
        <f t="shared" si="200"/>
        <v>-0.57685847900287224</v>
      </c>
      <c r="Y1088" s="3">
        <f t="shared" si="197"/>
        <v>22.973643066701243</v>
      </c>
      <c r="AA1088" s="3"/>
    </row>
    <row r="1089" spans="19:27" x14ac:dyDescent="0.25">
      <c r="S1089" s="4">
        <v>1.8365516931535524</v>
      </c>
      <c r="T1089" s="4">
        <v>-0.75221960812538713</v>
      </c>
      <c r="U1089" s="4">
        <f t="shared" si="198"/>
        <v>0.52332440916720269</v>
      </c>
      <c r="W1089" s="4">
        <f t="shared" si="199"/>
        <v>3.1512921989804412</v>
      </c>
      <c r="X1089" s="4">
        <f t="shared" si="200"/>
        <v>0.98845968748452395</v>
      </c>
      <c r="Y1089" s="3">
        <f t="shared" si="197"/>
        <v>-380.93129563610819</v>
      </c>
      <c r="AA1089" s="3"/>
    </row>
    <row r="1090" spans="19:27" x14ac:dyDescent="0.25">
      <c r="S1090" s="4">
        <v>1.5552357985826468</v>
      </c>
      <c r="T1090" s="4">
        <v>1.3121602988605425</v>
      </c>
      <c r="U1090" s="4">
        <f t="shared" si="198"/>
        <v>1.9882454394851454</v>
      </c>
      <c r="W1090" s="4">
        <f t="shared" si="199"/>
        <v>2.6729266896917308</v>
      </c>
      <c r="X1090" s="4">
        <f t="shared" si="200"/>
        <v>3.5712557606074622</v>
      </c>
      <c r="Y1090" s="3">
        <f t="shared" ref="Y1090:Y1153" si="201">(B$4*EXP(-B$8*B$7)*NORMSDIST((LN(B$4/(B$5+W1090))-B$8*B$7+B$9*B$7+0.5*B$6*B$6*B$7)/(B$6*SQRT(B$7)))-(B$5+W1090)*EXP(-B$9*B$7)*NORMSDIST((LN(B$4/(B$5+W1090))-B$8*B$7+B$9*B$7-0.5*B$6*B$6*B$7)/(B$6*SQRT(B$7))))*400+100*X1090-400*$B$13</f>
        <v>-53.017573225461092</v>
      </c>
      <c r="AA1090" s="3"/>
    </row>
    <row r="1091" spans="19:27" x14ac:dyDescent="0.25">
      <c r="S1091" s="4">
        <v>3.7109434303792599E-2</v>
      </c>
      <c r="T1091" s="4">
        <v>-0.95198907495594887</v>
      </c>
      <c r="U1091" s="4">
        <f t="shared" ref="U1091:U1154" si="202">$B$19*S1091+SQRT(1-$B$19^2)*T1091</f>
        <v>-0.73201140270356402</v>
      </c>
      <c r="W1091" s="4">
        <f t="shared" ref="W1091:W1154" si="203">S1091*SQRT($B$16)+$B$20</f>
        <v>9.1418479782073778E-2</v>
      </c>
      <c r="X1091" s="4">
        <f t="shared" ref="X1091:X1154" si="204">U1091*SQRT($C$17)+$C$20</f>
        <v>-1.2248175733700879</v>
      </c>
      <c r="Y1091" s="3">
        <f t="shared" si="201"/>
        <v>-137.11000791677043</v>
      </c>
      <c r="AA1091" s="3"/>
    </row>
    <row r="1092" spans="19:27" x14ac:dyDescent="0.25">
      <c r="S1092" s="4">
        <v>0.55310159704401129</v>
      </c>
      <c r="T1092" s="4">
        <v>1.1716635230801615</v>
      </c>
      <c r="U1092" s="4">
        <f t="shared" si="202"/>
        <v>1.2659513979081285</v>
      </c>
      <c r="W1092" s="4">
        <f t="shared" si="203"/>
        <v>0.96884083124467002</v>
      </c>
      <c r="X1092" s="4">
        <f t="shared" si="204"/>
        <v>2.2977821906223799</v>
      </c>
      <c r="Y1092" s="3">
        <f t="shared" si="201"/>
        <v>76.934906572200362</v>
      </c>
      <c r="AA1092" s="3"/>
    </row>
    <row r="1093" spans="19:27" x14ac:dyDescent="0.25">
      <c r="S1093" s="4">
        <v>1.2506744834159005</v>
      </c>
      <c r="T1093" s="4">
        <v>6.8601282093155816E-2</v>
      </c>
      <c r="U1093" s="4">
        <f t="shared" si="202"/>
        <v>0.81681875876008514</v>
      </c>
      <c r="W1093" s="4">
        <f t="shared" si="203"/>
        <v>2.1550333482521897</v>
      </c>
      <c r="X1093" s="4">
        <f t="shared" si="204"/>
        <v>1.5059183340081155</v>
      </c>
      <c r="Y1093" s="3">
        <f t="shared" si="201"/>
        <v>-182.89056399589617</v>
      </c>
      <c r="AA1093" s="3"/>
    </row>
    <row r="1094" spans="19:27" x14ac:dyDescent="0.25">
      <c r="S1094" s="4">
        <v>2.2594792318145855</v>
      </c>
      <c r="T1094" s="4">
        <v>0.79654051876873921</v>
      </c>
      <c r="U1094" s="4">
        <f t="shared" si="202"/>
        <v>2.0088402648731978</v>
      </c>
      <c r="W1094" s="4">
        <f t="shared" si="203"/>
        <v>3.8704621830739376</v>
      </c>
      <c r="X1094" s="4">
        <f t="shared" si="204"/>
        <v>3.60756641014969</v>
      </c>
      <c r="Y1094" s="3">
        <f t="shared" si="201"/>
        <v>-221.60670479520513</v>
      </c>
      <c r="AA1094" s="3"/>
    </row>
    <row r="1095" spans="19:27" x14ac:dyDescent="0.25">
      <c r="S1095" s="4">
        <v>-0.7922679281519529</v>
      </c>
      <c r="T1095" s="4">
        <v>-0.6460239404633441</v>
      </c>
      <c r="U1095" s="4">
        <f t="shared" si="202"/>
        <v>-0.99508222761643239</v>
      </c>
      <c r="W1095" s="4">
        <f t="shared" si="203"/>
        <v>-1.3189018470833191</v>
      </c>
      <c r="X1095" s="4">
        <f t="shared" si="204"/>
        <v>-1.688636632197239</v>
      </c>
      <c r="Y1095" s="3">
        <f t="shared" si="201"/>
        <v>47.01992600324229</v>
      </c>
      <c r="AA1095" s="3"/>
    </row>
    <row r="1096" spans="19:27" x14ac:dyDescent="0.25">
      <c r="S1096" s="4">
        <v>0.71027053008994778</v>
      </c>
      <c r="T1096" s="4">
        <v>0.73507634751268158</v>
      </c>
      <c r="U1096" s="4">
        <f t="shared" si="202"/>
        <v>1.0156859165793086</v>
      </c>
      <c r="W1096" s="4">
        <f t="shared" si="203"/>
        <v>1.236099802926885</v>
      </c>
      <c r="X1096" s="4">
        <f t="shared" si="204"/>
        <v>1.8565401789120228</v>
      </c>
      <c r="Y1096" s="3">
        <f t="shared" si="201"/>
        <v>-8.5081443491803839</v>
      </c>
      <c r="AA1096" s="3"/>
    </row>
    <row r="1097" spans="19:27" x14ac:dyDescent="0.25">
      <c r="S1097" s="4">
        <v>1.4214684731927865</v>
      </c>
      <c r="T1097" s="4">
        <v>0.66675850901157085</v>
      </c>
      <c r="U1097" s="4">
        <f t="shared" si="202"/>
        <v>1.3950930455078565</v>
      </c>
      <c r="W1097" s="4">
        <f t="shared" si="203"/>
        <v>2.4454611394997898</v>
      </c>
      <c r="X1097" s="4">
        <f t="shared" si="204"/>
        <v>2.5254712833407851</v>
      </c>
      <c r="Y1097" s="3">
        <f t="shared" si="201"/>
        <v>-124.08929282663848</v>
      </c>
      <c r="AA1097" s="3"/>
    </row>
    <row r="1098" spans="19:27" x14ac:dyDescent="0.25">
      <c r="S1098" s="4">
        <v>0.19550609479530331</v>
      </c>
      <c r="T1098" s="4">
        <v>1.3733708100485773</v>
      </c>
      <c r="U1098" s="4">
        <f t="shared" si="202"/>
        <v>1.2078449576608163</v>
      </c>
      <c r="W1098" s="4">
        <f t="shared" si="203"/>
        <v>0.36076514887529232</v>
      </c>
      <c r="X1098" s="4">
        <f t="shared" si="204"/>
        <v>2.1953349715655697</v>
      </c>
      <c r="Y1098" s="3">
        <f t="shared" si="201"/>
        <v>162.05656750955586</v>
      </c>
      <c r="AA1098" s="3"/>
    </row>
    <row r="1099" spans="19:27" x14ac:dyDescent="0.25">
      <c r="S1099" s="4">
        <v>-0.85903347187783985</v>
      </c>
      <c r="T1099" s="4">
        <v>0.37148569812963217</v>
      </c>
      <c r="U1099" s="4">
        <f t="shared" si="202"/>
        <v>-0.22921222302783206</v>
      </c>
      <c r="W1099" s="4">
        <f t="shared" si="203"/>
        <v>-1.432433765982134</v>
      </c>
      <c r="X1099" s="4">
        <f t="shared" si="204"/>
        <v>-0.33833446611749807</v>
      </c>
      <c r="Y1099" s="3">
        <f t="shared" si="201"/>
        <v>201.06013995776902</v>
      </c>
      <c r="AA1099" s="3"/>
    </row>
    <row r="1100" spans="19:27" x14ac:dyDescent="0.25">
      <c r="S1100" s="4">
        <v>0.44247964392628891</v>
      </c>
      <c r="T1100" s="4">
        <v>0.5420366346582538</v>
      </c>
      <c r="U1100" s="4">
        <f t="shared" si="202"/>
        <v>0.699413577744878</v>
      </c>
      <c r="W1100" s="4">
        <f t="shared" si="203"/>
        <v>0.78073298535708835</v>
      </c>
      <c r="X1100" s="4">
        <f t="shared" si="204"/>
        <v>1.2989217558891217</v>
      </c>
      <c r="Y1100" s="3">
        <f t="shared" si="201"/>
        <v>6.3485414227297952</v>
      </c>
      <c r="AA1100" s="3"/>
    </row>
    <row r="1101" spans="19:27" x14ac:dyDescent="0.25">
      <c r="S1101" s="4">
        <v>-0.29241313472854491</v>
      </c>
      <c r="T1101" s="4">
        <v>-1.9223149761383158</v>
      </c>
      <c r="U1101" s="4">
        <f t="shared" si="202"/>
        <v>-1.702065310682636</v>
      </c>
      <c r="W1101" s="4">
        <f t="shared" si="203"/>
        <v>-0.46892039405837033</v>
      </c>
      <c r="X1101" s="4">
        <f t="shared" si="204"/>
        <v>-2.9351155159848723</v>
      </c>
      <c r="Y1101" s="3">
        <f t="shared" si="201"/>
        <v>-217.79694826741979</v>
      </c>
      <c r="AA1101" s="3"/>
    </row>
    <row r="1102" spans="19:27" x14ac:dyDescent="0.25">
      <c r="S1102" s="4">
        <v>-0.29509500297407865</v>
      </c>
      <c r="T1102" s="4">
        <v>-0.85597604846582942</v>
      </c>
      <c r="U1102" s="4">
        <f t="shared" si="202"/>
        <v>-0.85842187995182351</v>
      </c>
      <c r="W1102" s="4">
        <f t="shared" si="203"/>
        <v>-0.47348079499510665</v>
      </c>
      <c r="X1102" s="4">
        <f t="shared" si="204"/>
        <v>-1.4476913511924598</v>
      </c>
      <c r="Y1102" s="3">
        <f t="shared" si="201"/>
        <v>-68.31257213124627</v>
      </c>
      <c r="AA1102" s="3"/>
    </row>
    <row r="1103" spans="19:27" x14ac:dyDescent="0.25">
      <c r="S1103" s="4">
        <v>-0.98998707214496806</v>
      </c>
      <c r="T1103" s="4">
        <v>-1.7463904267683796</v>
      </c>
      <c r="U1103" s="4">
        <f t="shared" si="202"/>
        <v>-1.987867960877856</v>
      </c>
      <c r="W1103" s="4">
        <f t="shared" si="203"/>
        <v>-1.6551146983216525</v>
      </c>
      <c r="X1103" s="4">
        <f t="shared" si="204"/>
        <v>-3.43901295983011</v>
      </c>
      <c r="Y1103" s="3">
        <f t="shared" si="201"/>
        <v>-71.523551054980544</v>
      </c>
      <c r="AA1103" s="3"/>
    </row>
    <row r="1104" spans="19:27" x14ac:dyDescent="0.25">
      <c r="S1104" s="4">
        <v>-0.26881698248110947</v>
      </c>
      <c r="T1104" s="4">
        <v>-0.88725886530958575</v>
      </c>
      <c r="U1104" s="4">
        <f t="shared" si="202"/>
        <v>-0.86719985158997315</v>
      </c>
      <c r="W1104" s="4">
        <f t="shared" si="203"/>
        <v>-0.42879615790628411</v>
      </c>
      <c r="X1104" s="4">
        <f t="shared" si="204"/>
        <v>-1.463167755863964</v>
      </c>
      <c r="Y1104" s="3">
        <f t="shared" si="201"/>
        <v>-77.125561185960123</v>
      </c>
      <c r="AA1104" s="3"/>
    </row>
    <row r="1105" spans="19:27" x14ac:dyDescent="0.25">
      <c r="S1105" s="4">
        <v>-0.76554962631260426</v>
      </c>
      <c r="T1105" s="4">
        <v>1.3344384378315688</v>
      </c>
      <c r="U1105" s="4">
        <f t="shared" si="202"/>
        <v>0.59110256640445635</v>
      </c>
      <c r="W1105" s="4">
        <f t="shared" si="203"/>
        <v>-1.2734685306110853</v>
      </c>
      <c r="X1105" s="4">
        <f t="shared" si="204"/>
        <v>1.107959069862763</v>
      </c>
      <c r="Y1105" s="3">
        <f t="shared" si="201"/>
        <v>319.09112526017179</v>
      </c>
      <c r="AA1105" s="3"/>
    </row>
    <row r="1106" spans="19:27" x14ac:dyDescent="0.25">
      <c r="S1106" s="4">
        <v>0.92614301997451132</v>
      </c>
      <c r="T1106" s="4">
        <v>-1.7710307252205775</v>
      </c>
      <c r="U1106" s="4">
        <f t="shared" si="202"/>
        <v>-0.8392844722358459</v>
      </c>
      <c r="W1106" s="4">
        <f t="shared" si="203"/>
        <v>1.6031816335591853</v>
      </c>
      <c r="X1106" s="4">
        <f t="shared" si="204"/>
        <v>-1.4139502685841694</v>
      </c>
      <c r="Y1106" s="3">
        <f t="shared" si="201"/>
        <v>-391.71971054719415</v>
      </c>
      <c r="AA1106" s="3"/>
    </row>
    <row r="1107" spans="19:27" x14ac:dyDescent="0.25">
      <c r="S1107" s="4">
        <v>5.9195378716412929E-2</v>
      </c>
      <c r="T1107" s="4">
        <v>-0.16855612967092837</v>
      </c>
      <c r="U1107" s="4">
        <f t="shared" si="202"/>
        <v>-9.7526275109391478E-2</v>
      </c>
      <c r="W1107" s="4">
        <f t="shared" si="203"/>
        <v>0.12897467284105618</v>
      </c>
      <c r="X1107" s="4">
        <f t="shared" si="204"/>
        <v>-0.1061595282675023</v>
      </c>
      <c r="Y1107" s="3">
        <f t="shared" si="201"/>
        <v>-31.241217928060451</v>
      </c>
      <c r="AA1107" s="3"/>
    </row>
    <row r="1108" spans="19:27" x14ac:dyDescent="0.25">
      <c r="S1108" s="4">
        <v>-0.90037399403893614</v>
      </c>
      <c r="T1108" s="4">
        <v>0.11531875395224545</v>
      </c>
      <c r="U1108" s="4">
        <f t="shared" si="202"/>
        <v>-0.45747581988649433</v>
      </c>
      <c r="W1108" s="4">
        <f t="shared" si="203"/>
        <v>-1.5027315355696591</v>
      </c>
      <c r="X1108" s="4">
        <f t="shared" si="204"/>
        <v>-0.74078504836868886</v>
      </c>
      <c r="Y1108" s="3">
        <f t="shared" si="201"/>
        <v>172.62003049025225</v>
      </c>
      <c r="AA1108" s="3"/>
    </row>
    <row r="1109" spans="19:27" x14ac:dyDescent="0.25">
      <c r="S1109" s="4">
        <v>-0.36250943062213309</v>
      </c>
      <c r="T1109" s="4">
        <v>-1.5897369262806524</v>
      </c>
      <c r="U1109" s="4">
        <f t="shared" si="202"/>
        <v>-1.4811656108409186</v>
      </c>
      <c r="W1109" s="4">
        <f t="shared" si="203"/>
        <v>-0.58811611293353261</v>
      </c>
      <c r="X1109" s="4">
        <f t="shared" si="204"/>
        <v>-2.5456481894209313</v>
      </c>
      <c r="Y1109" s="3">
        <f t="shared" si="201"/>
        <v>-159.42191393690609</v>
      </c>
      <c r="AA1109" s="3"/>
    </row>
    <row r="1110" spans="19:27" x14ac:dyDescent="0.25">
      <c r="S1110" s="4">
        <v>-0.44516916447761118</v>
      </c>
      <c r="T1110" s="4">
        <v>-0.32046907072649433</v>
      </c>
      <c r="U1110" s="4">
        <f t="shared" si="202"/>
        <v>-0.52541832989652537</v>
      </c>
      <c r="W1110" s="4">
        <f t="shared" si="203"/>
        <v>-0.72867541458180329</v>
      </c>
      <c r="X1110" s="4">
        <f t="shared" si="204"/>
        <v>-0.86057420042553257</v>
      </c>
      <c r="Y1110" s="3">
        <f t="shared" si="201"/>
        <v>32.091242733722083</v>
      </c>
      <c r="AA1110" s="3"/>
    </row>
    <row r="1111" spans="19:27" x14ac:dyDescent="0.25">
      <c r="S1111" s="4">
        <v>4.2630675748079883E-2</v>
      </c>
      <c r="T1111" s="4">
        <v>0.50136993434248289</v>
      </c>
      <c r="U1111" s="4">
        <f t="shared" si="202"/>
        <v>0.42342055659503613</v>
      </c>
      <c r="W1111" s="4">
        <f t="shared" si="203"/>
        <v>0.10080711201499837</v>
      </c>
      <c r="X1111" s="4">
        <f t="shared" si="204"/>
        <v>0.81231962752699693</v>
      </c>
      <c r="Y1111" s="3">
        <f t="shared" si="201"/>
        <v>65.103842463810906</v>
      </c>
      <c r="AA1111" s="3"/>
    </row>
    <row r="1112" spans="19:27" x14ac:dyDescent="0.25">
      <c r="S1112" s="4">
        <v>0.32817962838607462</v>
      </c>
      <c r="T1112" s="4">
        <v>0.76312976698982282</v>
      </c>
      <c r="U1112" s="4">
        <f t="shared" si="202"/>
        <v>0.80499249946801854</v>
      </c>
      <c r="W1112" s="4">
        <f t="shared" si="203"/>
        <v>0.58637075342916312</v>
      </c>
      <c r="X1112" s="4">
        <f t="shared" si="204"/>
        <v>1.4850675062657805</v>
      </c>
      <c r="Y1112" s="3">
        <f t="shared" si="201"/>
        <v>55.426678567176168</v>
      </c>
      <c r="AA1112" s="3"/>
    </row>
    <row r="1113" spans="19:27" x14ac:dyDescent="0.25">
      <c r="S1113" s="4">
        <v>-0.42311928985668634</v>
      </c>
      <c r="T1113" s="4">
        <v>1.4362869188620533</v>
      </c>
      <c r="U1113" s="4">
        <f t="shared" si="202"/>
        <v>0.88059021781738234</v>
      </c>
      <c r="W1113" s="4">
        <f t="shared" si="203"/>
        <v>-0.69118055664325784</v>
      </c>
      <c r="X1113" s="4">
        <f t="shared" si="204"/>
        <v>1.6183535237703646</v>
      </c>
      <c r="Y1113" s="3">
        <f t="shared" si="201"/>
        <v>273.83702211257878</v>
      </c>
      <c r="AA1113" s="3"/>
    </row>
    <row r="1114" spans="19:27" x14ac:dyDescent="0.25">
      <c r="S1114" s="4">
        <v>-1.1269599928897474</v>
      </c>
      <c r="T1114" s="4">
        <v>-0.59604746745469706</v>
      </c>
      <c r="U1114" s="4">
        <f t="shared" si="202"/>
        <v>-1.1595020265920954</v>
      </c>
      <c r="W1114" s="4">
        <f t="shared" si="203"/>
        <v>-1.8880312247439568</v>
      </c>
      <c r="X1114" s="4">
        <f t="shared" si="204"/>
        <v>-1.9785244844085199</v>
      </c>
      <c r="Y1114" s="3">
        <f t="shared" si="201"/>
        <v>114.01391477507195</v>
      </c>
      <c r="AA1114" s="3"/>
    </row>
    <row r="1115" spans="19:27" x14ac:dyDescent="0.25">
      <c r="S1115" s="4">
        <v>0.79595169280043421</v>
      </c>
      <c r="T1115" s="4">
        <v>7.5246230227263289E-3</v>
      </c>
      <c r="U1115" s="4">
        <f t="shared" si="202"/>
        <v>0.49119461970411349</v>
      </c>
      <c r="W1115" s="4">
        <f t="shared" si="203"/>
        <v>1.3817969136392694</v>
      </c>
      <c r="X1115" s="4">
        <f t="shared" si="204"/>
        <v>0.93181179156516325</v>
      </c>
      <c r="Y1115" s="3">
        <f t="shared" si="201"/>
        <v>-123.35365869704447</v>
      </c>
      <c r="AA1115" s="3"/>
    </row>
    <row r="1116" spans="19:27" x14ac:dyDescent="0.25">
      <c r="S1116" s="4">
        <v>-1.628318292685321</v>
      </c>
      <c r="T1116" s="4">
        <v>-1.0218524283011421</v>
      </c>
      <c r="U1116" s="4">
        <f t="shared" si="202"/>
        <v>-1.8026734264681878</v>
      </c>
      <c r="W1116" s="4">
        <f t="shared" si="203"/>
        <v>-2.7405693253146719</v>
      </c>
      <c r="X1116" s="4">
        <f t="shared" si="204"/>
        <v>-3.1124972594354556</v>
      </c>
      <c r="Y1116" s="3">
        <f t="shared" si="201"/>
        <v>147.62592187652808</v>
      </c>
      <c r="AA1116" s="3"/>
    </row>
    <row r="1117" spans="19:27" x14ac:dyDescent="0.25">
      <c r="S1117" s="4">
        <v>0.40197786528268115</v>
      </c>
      <c r="T1117" s="4">
        <v>9.2015612696047147E-2</v>
      </c>
      <c r="U1117" s="4">
        <f t="shared" si="202"/>
        <v>0.31799471734944873</v>
      </c>
      <c r="W1117" s="4">
        <f t="shared" si="203"/>
        <v>0.71186146283789176</v>
      </c>
      <c r="X1117" s="4">
        <f t="shared" si="204"/>
        <v>0.62644377621909708</v>
      </c>
      <c r="Y1117" s="3">
        <f t="shared" si="201"/>
        <v>-50.126695930877304</v>
      </c>
      <c r="AA1117" s="3"/>
    </row>
    <row r="1118" spans="19:27" x14ac:dyDescent="0.25">
      <c r="S1118" s="4">
        <v>-0.15425586134996619</v>
      </c>
      <c r="T1118" s="4">
        <v>1.3001433106412266</v>
      </c>
      <c r="U1118" s="4">
        <f t="shared" si="202"/>
        <v>0.93657541101011832</v>
      </c>
      <c r="W1118" s="4">
        <f t="shared" si="203"/>
        <v>-0.23398992721613682</v>
      </c>
      <c r="X1118" s="4">
        <f t="shared" si="204"/>
        <v>1.7170607811164103</v>
      </c>
      <c r="Y1118" s="3">
        <f t="shared" si="201"/>
        <v>209.3447856303701</v>
      </c>
      <c r="AA1118" s="3"/>
    </row>
    <row r="1119" spans="19:27" x14ac:dyDescent="0.25">
      <c r="S1119" s="4">
        <v>-0.20776398073760796</v>
      </c>
      <c r="T1119" s="4">
        <v>-0.31170107520323775</v>
      </c>
      <c r="U1119" s="4">
        <f t="shared" si="202"/>
        <v>-0.37374051286562632</v>
      </c>
      <c r="W1119" s="4">
        <f t="shared" si="203"/>
        <v>-0.32497816952997022</v>
      </c>
      <c r="X1119" s="4">
        <f t="shared" si="204"/>
        <v>-0.59315168269279128</v>
      </c>
      <c r="Y1119" s="3">
        <f t="shared" si="201"/>
        <v>-6.9637680910686868</v>
      </c>
      <c r="AA1119" s="3"/>
    </row>
    <row r="1120" spans="19:27" x14ac:dyDescent="0.25">
      <c r="S1120" s="4">
        <v>-0.66856244507558982</v>
      </c>
      <c r="T1120" s="4">
        <v>0.33874758083310053</v>
      </c>
      <c r="U1120" s="4">
        <f t="shared" si="202"/>
        <v>-0.13904807962366533</v>
      </c>
      <c r="W1120" s="4">
        <f t="shared" si="203"/>
        <v>-1.1085460244807859</v>
      </c>
      <c r="X1120" s="4">
        <f t="shared" si="204"/>
        <v>-0.17936644620298256</v>
      </c>
      <c r="Y1120" s="3">
        <f t="shared" si="201"/>
        <v>162.9043076058415</v>
      </c>
      <c r="AA1120" s="3"/>
    </row>
    <row r="1121" spans="19:27" x14ac:dyDescent="0.25">
      <c r="S1121" s="4">
        <v>0.3954801978041465</v>
      </c>
      <c r="T1121" s="4">
        <v>0.6736908379882125</v>
      </c>
      <c r="U1121" s="4">
        <f t="shared" si="202"/>
        <v>0.77512290298360564</v>
      </c>
      <c r="W1121" s="4">
        <f t="shared" si="203"/>
        <v>0.70081246037289069</v>
      </c>
      <c r="X1121" s="4">
        <f t="shared" si="204"/>
        <v>1.4324045470283364</v>
      </c>
      <c r="Y1121" s="3">
        <f t="shared" si="201"/>
        <v>32.199869556231079</v>
      </c>
      <c r="AA1121" s="3"/>
    </row>
    <row r="1122" spans="19:27" x14ac:dyDescent="0.25">
      <c r="S1122" s="4">
        <v>-0.97054503804341552</v>
      </c>
      <c r="T1122" s="4">
        <v>-5.7459921894765134E-2</v>
      </c>
      <c r="U1122" s="4">
        <f t="shared" si="202"/>
        <v>-0.63721393134455917</v>
      </c>
      <c r="W1122" s="4">
        <f t="shared" si="203"/>
        <v>-1.6220543603738673</v>
      </c>
      <c r="X1122" s="4">
        <f t="shared" si="204"/>
        <v>-1.0576805525336255</v>
      </c>
      <c r="Y1122" s="3">
        <f t="shared" si="201"/>
        <v>161.02799415657864</v>
      </c>
      <c r="AA1122" s="3"/>
    </row>
    <row r="1123" spans="19:27" x14ac:dyDescent="0.25">
      <c r="S1123" s="4">
        <v>0.24683953118439089</v>
      </c>
      <c r="T1123" s="4">
        <v>-0.19209903531488395</v>
      </c>
      <c r="U1123" s="4">
        <f t="shared" si="202"/>
        <v>-1.7964864827434979E-3</v>
      </c>
      <c r="W1123" s="4">
        <f t="shared" si="203"/>
        <v>0.44805543682457888</v>
      </c>
      <c r="X1123" s="4">
        <f t="shared" si="204"/>
        <v>6.2621257200594027E-2</v>
      </c>
      <c r="Y1123" s="3">
        <f t="shared" si="201"/>
        <v>-65.021183569665936</v>
      </c>
      <c r="AA1123" s="3"/>
    </row>
    <row r="1124" spans="19:27" x14ac:dyDescent="0.25">
      <c r="S1124" s="4">
        <v>-0.53526786895008605</v>
      </c>
      <c r="T1124" s="4">
        <v>-0.41378059929210115</v>
      </c>
      <c r="U1124" s="4">
        <f t="shared" si="202"/>
        <v>-0.6543118143810378</v>
      </c>
      <c r="W1124" s="4">
        <f t="shared" si="203"/>
        <v>-0.88188436396224812</v>
      </c>
      <c r="X1124" s="4">
        <f t="shared" si="204"/>
        <v>-1.0878257578050305</v>
      </c>
      <c r="Y1124" s="3">
        <f t="shared" si="201"/>
        <v>34.559981924414387</v>
      </c>
      <c r="AA1124" s="3"/>
    </row>
    <row r="1125" spans="19:27" x14ac:dyDescent="0.25">
      <c r="S1125" s="4">
        <v>0.76618956879035616</v>
      </c>
      <c r="T1125" s="4">
        <v>-0.5120818943880695</v>
      </c>
      <c r="U1125" s="4">
        <f t="shared" si="202"/>
        <v>6.1163025518817249E-2</v>
      </c>
      <c r="W1125" s="4">
        <f t="shared" si="203"/>
        <v>1.3311877092382496</v>
      </c>
      <c r="X1125" s="4">
        <f t="shared" si="204"/>
        <v>0.17362490654275331</v>
      </c>
      <c r="Y1125" s="3">
        <f t="shared" si="201"/>
        <v>-191.41316285771381</v>
      </c>
      <c r="AA1125" s="3"/>
    </row>
    <row r="1126" spans="19:27" x14ac:dyDescent="0.25">
      <c r="S1126" s="4">
        <v>-4.4042619994381707E-2</v>
      </c>
      <c r="T1126" s="4">
        <v>0.46504889810573086</v>
      </c>
      <c r="U1126" s="4">
        <f t="shared" si="202"/>
        <v>0.34179118612408621</v>
      </c>
      <c r="W1126" s="4">
        <f t="shared" si="203"/>
        <v>-4.6577077999630484E-2</v>
      </c>
      <c r="X1126" s="4">
        <f t="shared" si="204"/>
        <v>0.6683992296758523</v>
      </c>
      <c r="Y1126" s="3">
        <f t="shared" si="201"/>
        <v>74.309527784111651</v>
      </c>
      <c r="AA1126" s="3"/>
    </row>
    <row r="1127" spans="19:27" x14ac:dyDescent="0.25">
      <c r="S1127" s="4">
        <v>-1.3819447138324317</v>
      </c>
      <c r="T1127" s="4">
        <v>-1.4476684209682613</v>
      </c>
      <c r="U1127" s="4">
        <f t="shared" si="202"/>
        <v>-1.9900195346724709</v>
      </c>
      <c r="W1127" s="4">
        <f t="shared" si="203"/>
        <v>-2.3216217123366967</v>
      </c>
      <c r="X1127" s="4">
        <f t="shared" si="204"/>
        <v>-3.4428063904879793</v>
      </c>
      <c r="Y1127" s="3">
        <f t="shared" si="201"/>
        <v>41.866449171954173</v>
      </c>
      <c r="AA1127" s="3"/>
    </row>
    <row r="1128" spans="19:27" x14ac:dyDescent="0.25">
      <c r="S1128" s="4">
        <v>-0.49216058910720362</v>
      </c>
      <c r="T1128" s="4">
        <v>-1.140896237032087</v>
      </c>
      <c r="U1128" s="4">
        <f t="shared" si="202"/>
        <v>-1.204411417668283</v>
      </c>
      <c r="W1128" s="4">
        <f t="shared" si="203"/>
        <v>-0.80858229936492088</v>
      </c>
      <c r="X1128" s="4">
        <f t="shared" si="204"/>
        <v>-2.0577040418845605</v>
      </c>
      <c r="Y1128" s="3">
        <f t="shared" si="201"/>
        <v>-74.49708017595367</v>
      </c>
      <c r="AA1128" s="3"/>
    </row>
    <row r="1129" spans="19:27" x14ac:dyDescent="0.25">
      <c r="S1129" s="4">
        <v>-0.51747713967771214</v>
      </c>
      <c r="T1129" s="4">
        <v>9.1088186498541682E-2</v>
      </c>
      <c r="U1129" s="4">
        <f t="shared" si="202"/>
        <v>-0.24326073176441915</v>
      </c>
      <c r="W1129" s="4">
        <f t="shared" si="203"/>
        <v>-0.8516319984427746</v>
      </c>
      <c r="X1129" s="4">
        <f t="shared" si="204"/>
        <v>-0.3631033324571501</v>
      </c>
      <c r="Y1129" s="3">
        <f t="shared" si="201"/>
        <v>102.04773958143596</v>
      </c>
      <c r="AA1129" s="3"/>
    </row>
    <row r="1130" spans="19:27" x14ac:dyDescent="0.25">
      <c r="S1130" s="4">
        <v>-4.7091391115119313E-2</v>
      </c>
      <c r="T1130" s="4">
        <v>0.68084140037578655</v>
      </c>
      <c r="U1130" s="4">
        <f t="shared" si="202"/>
        <v>0.51098958152165974</v>
      </c>
      <c r="W1130" s="4">
        <f t="shared" si="203"/>
        <v>-5.1761381403819265E-2</v>
      </c>
      <c r="X1130" s="4">
        <f t="shared" si="204"/>
        <v>0.96671220502900745</v>
      </c>
      <c r="Y1130" s="3">
        <f t="shared" si="201"/>
        <v>104.97293052104305</v>
      </c>
      <c r="AA1130" s="3"/>
    </row>
    <row r="1131" spans="19:27" x14ac:dyDescent="0.25">
      <c r="S1131" s="4">
        <v>0.45605739618619578</v>
      </c>
      <c r="T1131" s="4">
        <v>-0.20558105356464326</v>
      </c>
      <c r="U1131" s="4">
        <f t="shared" si="202"/>
        <v>0.11506030379486318</v>
      </c>
      <c r="W1131" s="4">
        <f t="shared" si="203"/>
        <v>0.80382136571580709</v>
      </c>
      <c r="X1131" s="4">
        <f t="shared" si="204"/>
        <v>0.26865096992937343</v>
      </c>
      <c r="Y1131" s="3">
        <f t="shared" si="201"/>
        <v>-100.28449398009343</v>
      </c>
      <c r="AA1131" s="3"/>
    </row>
    <row r="1132" spans="19:27" x14ac:dyDescent="0.25">
      <c r="S1132" s="4">
        <v>0.83577695224583348</v>
      </c>
      <c r="T1132" s="4">
        <v>0.10251753001349739</v>
      </c>
      <c r="U1132" s="4">
        <f t="shared" si="202"/>
        <v>0.59077310566484043</v>
      </c>
      <c r="W1132" s="4">
        <f t="shared" si="203"/>
        <v>1.4495180445274198</v>
      </c>
      <c r="X1132" s="4">
        <f t="shared" si="204"/>
        <v>1.1073781990260987</v>
      </c>
      <c r="Y1132" s="3">
        <f t="shared" si="201"/>
        <v>-116.15949530202033</v>
      </c>
      <c r="AA1132" s="3"/>
    </row>
    <row r="1133" spans="19:27" x14ac:dyDescent="0.25">
      <c r="S1133" s="4">
        <v>-0.54546639747082126</v>
      </c>
      <c r="T1133" s="4">
        <v>0.1594308804099174</v>
      </c>
      <c r="U1133" s="4">
        <f t="shared" si="202"/>
        <v>-0.20614889979092044</v>
      </c>
      <c r="W1133" s="4">
        <f t="shared" si="203"/>
        <v>-0.89922652053416297</v>
      </c>
      <c r="X1133" s="4">
        <f t="shared" si="204"/>
        <v>-0.29767161845769496</v>
      </c>
      <c r="Y1133" s="3">
        <f t="shared" si="201"/>
        <v>116.43491376309657</v>
      </c>
      <c r="AA1133" s="3"/>
    </row>
    <row r="1134" spans="19:27" x14ac:dyDescent="0.25">
      <c r="S1134" s="4">
        <v>-0.91573666498733552</v>
      </c>
      <c r="T1134" s="4">
        <v>-9.8262938268436878E-2</v>
      </c>
      <c r="U1134" s="4">
        <f t="shared" si="202"/>
        <v>-0.63614574968127624</v>
      </c>
      <c r="W1134" s="4">
        <f t="shared" si="203"/>
        <v>-1.528855092944458</v>
      </c>
      <c r="X1134" s="4">
        <f t="shared" si="204"/>
        <v>-1.0557972459606355</v>
      </c>
      <c r="Y1134" s="3">
        <f t="shared" si="201"/>
        <v>145.51234682489212</v>
      </c>
      <c r="AA1134" s="3"/>
    </row>
    <row r="1135" spans="19:27" x14ac:dyDescent="0.25">
      <c r="S1135" s="4">
        <v>1.756097192251983</v>
      </c>
      <c r="T1135" s="4">
        <v>-8.9797040410817569E-2</v>
      </c>
      <c r="U1135" s="4">
        <f t="shared" si="202"/>
        <v>0.99937463292150142</v>
      </c>
      <c r="W1135" s="4">
        <f t="shared" si="203"/>
        <v>3.014482800574239</v>
      </c>
      <c r="X1135" s="4">
        <f t="shared" si="204"/>
        <v>1.8277818236784746</v>
      </c>
      <c r="Y1135" s="3">
        <f t="shared" si="201"/>
        <v>-277.19881773158113</v>
      </c>
      <c r="AA1135" s="3"/>
    </row>
    <row r="1136" spans="19:27" x14ac:dyDescent="0.25">
      <c r="S1136" s="4">
        <v>-0.71087292368736632</v>
      </c>
      <c r="T1136" s="4">
        <v>-0.30826381734882341</v>
      </c>
      <c r="U1136" s="4">
        <f t="shared" si="202"/>
        <v>-0.67772226291244508</v>
      </c>
      <c r="W1136" s="4">
        <f t="shared" si="203"/>
        <v>-1.180493163053399</v>
      </c>
      <c r="X1136" s="4">
        <f t="shared" si="204"/>
        <v>-1.1291006206034997</v>
      </c>
      <c r="Y1136" s="3">
        <f t="shared" si="201"/>
        <v>79.890142436503538</v>
      </c>
      <c r="AA1136" s="3"/>
    </row>
    <row r="1137" spans="19:27" x14ac:dyDescent="0.25">
      <c r="S1137" s="4">
        <v>0.55243116842138051</v>
      </c>
      <c r="T1137" s="4">
        <v>1.5641369068899409</v>
      </c>
      <c r="U1137" s="4">
        <f t="shared" si="202"/>
        <v>1.5766532086535532</v>
      </c>
      <c r="W1137" s="4">
        <f t="shared" si="203"/>
        <v>0.96770079637392203</v>
      </c>
      <c r="X1137" s="4">
        <f t="shared" si="204"/>
        <v>2.8455792391303811</v>
      </c>
      <c r="Y1137" s="3">
        <f t="shared" si="201"/>
        <v>131.89164051077478</v>
      </c>
      <c r="AA1137" s="3"/>
    </row>
    <row r="1138" spans="19:27" x14ac:dyDescent="0.25">
      <c r="S1138" s="4">
        <v>1.5943095720693758</v>
      </c>
      <c r="T1138" s="4">
        <v>0.36054542405139411</v>
      </c>
      <c r="U1138" s="4">
        <f t="shared" si="202"/>
        <v>1.2577281672454017</v>
      </c>
      <c r="W1138" s="4">
        <f t="shared" si="203"/>
        <v>2.7393699512156533</v>
      </c>
      <c r="X1138" s="4">
        <f t="shared" si="204"/>
        <v>2.283283847418538</v>
      </c>
      <c r="Y1138" s="3">
        <f t="shared" si="201"/>
        <v>-191.55395697114909</v>
      </c>
      <c r="AA1138" s="3"/>
    </row>
    <row r="1139" spans="19:27" x14ac:dyDescent="0.25">
      <c r="S1139" s="4">
        <v>1.0270707497707934</v>
      </c>
      <c r="T1139" s="4">
        <v>-2.2642683548488667</v>
      </c>
      <c r="U1139" s="4">
        <f t="shared" si="202"/>
        <v>-1.1687422087144417</v>
      </c>
      <c r="W1139" s="4">
        <f t="shared" si="203"/>
        <v>1.7748048720505416</v>
      </c>
      <c r="X1139" s="4">
        <f t="shared" si="204"/>
        <v>-1.9948158104299349</v>
      </c>
      <c r="Y1139" s="3">
        <f t="shared" si="201"/>
        <v>-475.831336878397</v>
      </c>
      <c r="AA1139" s="3"/>
    </row>
    <row r="1140" spans="19:27" x14ac:dyDescent="0.25">
      <c r="S1140" s="4">
        <v>1.5593046709699374</v>
      </c>
      <c r="T1140" s="4">
        <v>1.5453336321504856</v>
      </c>
      <c r="U1140" s="4">
        <f t="shared" si="202"/>
        <v>2.1755605552050348</v>
      </c>
      <c r="W1140" s="4">
        <f t="shared" si="203"/>
        <v>2.6798456311711876</v>
      </c>
      <c r="X1140" s="4">
        <f t="shared" si="204"/>
        <v>3.9015102489418245</v>
      </c>
      <c r="Y1140" s="3">
        <f t="shared" si="201"/>
        <v>-21.007311676351492</v>
      </c>
      <c r="AA1140" s="3"/>
    </row>
    <row r="1141" spans="19:27" x14ac:dyDescent="0.25">
      <c r="S1141" s="4">
        <v>0.87834344697944988</v>
      </c>
      <c r="T1141" s="4">
        <v>-0.33545936761776302</v>
      </c>
      <c r="U1141" s="4">
        <f t="shared" si="202"/>
        <v>0.26954179935954709</v>
      </c>
      <c r="W1141" s="4">
        <f t="shared" si="203"/>
        <v>1.5219005274402342</v>
      </c>
      <c r="X1141" s="4">
        <f t="shared" si="204"/>
        <v>0.5410166414277392</v>
      </c>
      <c r="Y1141" s="3">
        <f t="shared" si="201"/>
        <v>-183.845817346486</v>
      </c>
      <c r="AA1141" s="3"/>
    </row>
    <row r="1142" spans="19:27" x14ac:dyDescent="0.25">
      <c r="S1142" s="4">
        <v>0.88525874649635039</v>
      </c>
      <c r="T1142" s="4">
        <v>-0.48363440587486406</v>
      </c>
      <c r="U1142" s="4">
        <f t="shared" si="202"/>
        <v>0.15630035000570275</v>
      </c>
      <c r="W1142" s="4">
        <f t="shared" si="203"/>
        <v>1.5336596951201544</v>
      </c>
      <c r="X1142" s="4">
        <f t="shared" si="204"/>
        <v>0.34136112099167837</v>
      </c>
      <c r="Y1142" s="3">
        <f t="shared" si="201"/>
        <v>-205.60407238665448</v>
      </c>
      <c r="AA1142" s="3"/>
    </row>
    <row r="1143" spans="19:27" x14ac:dyDescent="0.25">
      <c r="S1143" s="4">
        <v>0.54539815422735483</v>
      </c>
      <c r="T1143" s="4">
        <v>-0.70320422042334929</v>
      </c>
      <c r="U1143" s="4">
        <f t="shared" si="202"/>
        <v>-0.2249374895537829</v>
      </c>
      <c r="W1143" s="4">
        <f t="shared" si="203"/>
        <v>0.95574145997776316</v>
      </c>
      <c r="X1143" s="4">
        <f t="shared" si="204"/>
        <v>-0.33079770160806576</v>
      </c>
      <c r="Y1143" s="3">
        <f t="shared" si="201"/>
        <v>-183.88856238142534</v>
      </c>
      <c r="AA1143" s="3"/>
    </row>
    <row r="1144" spans="19:27" x14ac:dyDescent="0.25">
      <c r="S1144" s="4">
        <v>0.53738680780174808</v>
      </c>
      <c r="T1144" s="4">
        <v>1.2575868938680823</v>
      </c>
      <c r="U1144" s="4">
        <f t="shared" si="202"/>
        <v>1.3244820820239589</v>
      </c>
      <c r="W1144" s="4">
        <f t="shared" si="203"/>
        <v>0.942118511943422</v>
      </c>
      <c r="X1144" s="4">
        <f t="shared" si="204"/>
        <v>2.4009773922495663</v>
      </c>
      <c r="Y1144" s="3">
        <f t="shared" si="201"/>
        <v>91.405712409622538</v>
      </c>
      <c r="AA1144" s="3"/>
    </row>
    <row r="1145" spans="19:27" x14ac:dyDescent="0.25">
      <c r="S1145" s="4">
        <v>1.0598286726092021</v>
      </c>
      <c r="T1145" s="4">
        <v>0.59139335518342617</v>
      </c>
      <c r="U1145" s="4">
        <f t="shared" si="202"/>
        <v>1.1148879982722257</v>
      </c>
      <c r="W1145" s="4">
        <f t="shared" si="203"/>
        <v>1.8305083027640381</v>
      </c>
      <c r="X1145" s="4">
        <f t="shared" si="204"/>
        <v>2.0314429496002679</v>
      </c>
      <c r="Y1145" s="3">
        <f t="shared" si="201"/>
        <v>-81.62059528289592</v>
      </c>
      <c r="AA1145" s="3"/>
    </row>
    <row r="1146" spans="19:27" x14ac:dyDescent="0.25">
      <c r="S1146" s="4">
        <v>0.50425936429287832</v>
      </c>
      <c r="T1146" s="4">
        <v>-1.635690470865941</v>
      </c>
      <c r="U1146" s="4">
        <f t="shared" si="202"/>
        <v>-0.98919102227736755</v>
      </c>
      <c r="W1146" s="4">
        <f t="shared" si="203"/>
        <v>0.88578672731488139</v>
      </c>
      <c r="X1146" s="4">
        <f t="shared" si="204"/>
        <v>-1.6782498729789654</v>
      </c>
      <c r="Y1146" s="3">
        <f t="shared" si="201"/>
        <v>-307.75401982380936</v>
      </c>
      <c r="AA1146" s="3"/>
    </row>
    <row r="1147" spans="19:27" x14ac:dyDescent="0.25">
      <c r="S1147" s="4">
        <v>-1.7511326247873316</v>
      </c>
      <c r="T1147" s="4">
        <v>0.92775171691704716</v>
      </c>
      <c r="U1147" s="4">
        <f t="shared" si="202"/>
        <v>-0.33210813752662971</v>
      </c>
      <c r="W1147" s="4">
        <f t="shared" si="203"/>
        <v>-2.9494097842355709</v>
      </c>
      <c r="X1147" s="4">
        <f t="shared" si="204"/>
        <v>-0.51974981780386742</v>
      </c>
      <c r="Y1147" s="3">
        <f t="shared" si="201"/>
        <v>443.50777455936168</v>
      </c>
      <c r="AA1147" s="3"/>
    </row>
    <row r="1148" spans="19:27" x14ac:dyDescent="0.25">
      <c r="S1148" s="4">
        <v>-0.51293059050839196</v>
      </c>
      <c r="T1148" s="4">
        <v>0.86564599488436145</v>
      </c>
      <c r="U1148" s="4">
        <f t="shared" si="202"/>
        <v>0.37349673896603169</v>
      </c>
      <c r="W1148" s="4">
        <f t="shared" si="203"/>
        <v>-0.84390078825927095</v>
      </c>
      <c r="X1148" s="4">
        <f t="shared" si="204"/>
        <v>0.72429915580265214</v>
      </c>
      <c r="Y1148" s="3">
        <f t="shared" si="201"/>
        <v>209.51493701225081</v>
      </c>
      <c r="AA1148" s="3"/>
    </row>
    <row r="1149" spans="19:27" x14ac:dyDescent="0.25">
      <c r="S1149" s="4">
        <v>0.2209000487160096</v>
      </c>
      <c r="T1149" s="4">
        <v>-0.21962722128059861</v>
      </c>
      <c r="U1149" s="4">
        <f t="shared" si="202"/>
        <v>-3.9431147064304617E-2</v>
      </c>
      <c r="W1149" s="4">
        <f t="shared" si="203"/>
        <v>0.40394646900176995</v>
      </c>
      <c r="X1149" s="4">
        <f t="shared" si="204"/>
        <v>-3.7322537065939687E-3</v>
      </c>
      <c r="Y1149" s="3">
        <f t="shared" si="201"/>
        <v>-64.684875000019474</v>
      </c>
      <c r="AA1149" s="3"/>
    </row>
    <row r="1150" spans="19:27" x14ac:dyDescent="0.25">
      <c r="S1150" s="4">
        <v>-0.11045236599802269</v>
      </c>
      <c r="T1150" s="4">
        <v>1.4944175913950568</v>
      </c>
      <c r="U1150" s="4">
        <f t="shared" si="202"/>
        <v>1.1172786709526403</v>
      </c>
      <c r="W1150" s="4">
        <f t="shared" si="203"/>
        <v>-0.15950397826320045</v>
      </c>
      <c r="X1150" s="4">
        <f t="shared" si="204"/>
        <v>2.0356579344924959</v>
      </c>
      <c r="Y1150" s="3">
        <f t="shared" si="201"/>
        <v>229.19219980601338</v>
      </c>
      <c r="AA1150" s="3"/>
    </row>
    <row r="1151" spans="19:27" x14ac:dyDescent="0.25">
      <c r="S1151" s="4">
        <v>-6.6324877130667204E-2</v>
      </c>
      <c r="T1151" s="4">
        <v>-0.41623437557196352</v>
      </c>
      <c r="U1151" s="4">
        <f t="shared" si="202"/>
        <v>-0.37037879245403843</v>
      </c>
      <c r="W1151" s="4">
        <f t="shared" si="203"/>
        <v>-8.4467092352923975E-2</v>
      </c>
      <c r="X1151" s="4">
        <f t="shared" si="204"/>
        <v>-0.58722464765247795</v>
      </c>
      <c r="Y1151" s="3">
        <f t="shared" si="201"/>
        <v>-45.168126530646532</v>
      </c>
      <c r="AA1151" s="3"/>
    </row>
    <row r="1152" spans="19:27" x14ac:dyDescent="0.25">
      <c r="S1152" s="4">
        <v>0.65966643619779042</v>
      </c>
      <c r="T1152" s="4">
        <v>1.9786278320205191</v>
      </c>
      <c r="U1152" s="4">
        <f t="shared" si="202"/>
        <v>1.9705898687815635</v>
      </c>
      <c r="W1152" s="4">
        <f t="shared" si="203"/>
        <v>1.1500497303430406</v>
      </c>
      <c r="X1152" s="4">
        <f t="shared" si="204"/>
        <v>3.5401272985687551</v>
      </c>
      <c r="Y1152" s="3">
        <f t="shared" si="201"/>
        <v>173.11454768492877</v>
      </c>
      <c r="AA1152" s="3"/>
    </row>
    <row r="1153" spans="19:27" x14ac:dyDescent="0.25">
      <c r="S1153" s="4">
        <v>-1.3412705818439614</v>
      </c>
      <c r="T1153" s="4">
        <v>0.66649345308438634</v>
      </c>
      <c r="U1153" s="4">
        <f t="shared" si="202"/>
        <v>-0.28934443198882043</v>
      </c>
      <c r="W1153" s="4">
        <f t="shared" si="203"/>
        <v>-2.2524571104103859</v>
      </c>
      <c r="X1153" s="4">
        <f t="shared" si="204"/>
        <v>-0.44435330942602835</v>
      </c>
      <c r="Y1153" s="3">
        <f t="shared" si="201"/>
        <v>329.79545742166374</v>
      </c>
      <c r="AA1153" s="3"/>
    </row>
    <row r="1154" spans="19:27" x14ac:dyDescent="0.25">
      <c r="S1154" s="4">
        <v>0.8394528359026282</v>
      </c>
      <c r="T1154" s="4">
        <v>9.8579950429333249E-2</v>
      </c>
      <c r="U1154" s="4">
        <f t="shared" si="202"/>
        <v>0.58989271844749203</v>
      </c>
      <c r="W1154" s="4">
        <f t="shared" si="203"/>
        <v>1.4557687256709464</v>
      </c>
      <c r="X1154" s="4">
        <f t="shared" si="204"/>
        <v>1.1058259920465172</v>
      </c>
      <c r="Y1154" s="3">
        <f t="shared" ref="Y1154:Y1217" si="205">(B$4*EXP(-B$8*B$7)*NORMSDIST((LN(B$4/(B$5+W1154))-B$8*B$7+B$9*B$7+0.5*B$6*B$6*B$7)/(B$6*SQRT(B$7)))-(B$5+W1154)*EXP(-B$9*B$7)*NORMSDIST((LN(B$4/(B$5+W1154))-B$8*B$7+B$9*B$7-0.5*B$6*B$6*B$7)/(B$6*SQRT(B$7))))*400+100*X1154-400*$B$13</f>
        <v>-117.27000922719981</v>
      </c>
      <c r="AA1154" s="3"/>
    </row>
    <row r="1155" spans="19:27" x14ac:dyDescent="0.25">
      <c r="S1155" s="4">
        <v>-1.3358566539064116</v>
      </c>
      <c r="T1155" s="4">
        <v>1.7296794587639941E-2</v>
      </c>
      <c r="U1155" s="4">
        <f t="shared" ref="U1155:U1218" si="206">$B$19*S1155+SQRT(1-$B$19^2)*T1155</f>
        <v>-0.80065699063604323</v>
      </c>
      <c r="W1155" s="4">
        <f t="shared" ref="W1155:W1218" si="207">S1155*SQRT($B$16)+$B$20</f>
        <v>-2.2432509601533992</v>
      </c>
      <c r="X1155" s="4">
        <f t="shared" ref="X1155:X1218" si="208">U1155*SQRT($C$17)+$C$20</f>
        <v>-1.3458463191385492</v>
      </c>
      <c r="Y1155" s="3">
        <f t="shared" si="205"/>
        <v>238.06196882174117</v>
      </c>
      <c r="AA1155" s="3"/>
    </row>
    <row r="1156" spans="19:27" x14ac:dyDescent="0.25">
      <c r="S1156" s="4">
        <v>1.6743933353497449</v>
      </c>
      <c r="T1156" s="4">
        <v>-0.33286420494095176</v>
      </c>
      <c r="U1156" s="4">
        <f t="shared" si="206"/>
        <v>0.75688873740008611</v>
      </c>
      <c r="W1156" s="4">
        <f t="shared" si="207"/>
        <v>2.8755489263347234</v>
      </c>
      <c r="X1156" s="4">
        <f t="shared" si="208"/>
        <v>1.4002559668037995</v>
      </c>
      <c r="Y1156" s="3">
        <f t="shared" si="205"/>
        <v>-299.749803715295</v>
      </c>
      <c r="AA1156" s="3"/>
    </row>
    <row r="1157" spans="19:27" x14ac:dyDescent="0.25">
      <c r="S1157" s="4">
        <v>-0.49060807906293619</v>
      </c>
      <c r="T1157" s="4">
        <v>0.15869825454898895</v>
      </c>
      <c r="U1157" s="4">
        <f t="shared" si="206"/>
        <v>-0.17328679157155349</v>
      </c>
      <c r="W1157" s="4">
        <f t="shared" si="207"/>
        <v>-0.80594232319459247</v>
      </c>
      <c r="X1157" s="4">
        <f t="shared" si="208"/>
        <v>-0.2397325744362567</v>
      </c>
      <c r="Y1157" s="3">
        <f t="shared" si="205"/>
        <v>106.86591797639312</v>
      </c>
      <c r="AA1157" s="3"/>
    </row>
    <row r="1158" spans="19:27" x14ac:dyDescent="0.25">
      <c r="S1158" s="4">
        <v>0.33609888176096264</v>
      </c>
      <c r="T1158" s="4">
        <v>-0.23788531767939911</v>
      </c>
      <c r="U1158" s="4">
        <f t="shared" si="206"/>
        <v>1.6323584562988824E-2</v>
      </c>
      <c r="W1158" s="4">
        <f t="shared" si="207"/>
        <v>0.59983710121460543</v>
      </c>
      <c r="X1158" s="4">
        <f t="shared" si="208"/>
        <v>9.4568677828085909E-2</v>
      </c>
      <c r="Y1158" s="3">
        <f t="shared" si="205"/>
        <v>-85.740095450440549</v>
      </c>
      <c r="AA1158" s="3"/>
    </row>
    <row r="1159" spans="19:27" x14ac:dyDescent="0.25">
      <c r="S1159" s="4">
        <v>-0.39436705765460084</v>
      </c>
      <c r="T1159" s="4">
        <v>0.7591008990075151</v>
      </c>
      <c r="U1159" s="4">
        <f t="shared" si="206"/>
        <v>0.36131826680709711</v>
      </c>
      <c r="W1159" s="4">
        <f t="shared" si="207"/>
        <v>-0.64228862957487398</v>
      </c>
      <c r="X1159" s="4">
        <f t="shared" si="208"/>
        <v>0.70282734304431771</v>
      </c>
      <c r="Y1159" s="3">
        <f t="shared" si="205"/>
        <v>174.27998964021026</v>
      </c>
      <c r="AA1159" s="3"/>
    </row>
    <row r="1160" spans="19:27" x14ac:dyDescent="0.25">
      <c r="S1160" s="4">
        <v>0.52762153004607937</v>
      </c>
      <c r="T1160" s="4">
        <v>-1.7081703591240205</v>
      </c>
      <c r="U1160" s="4">
        <f t="shared" si="206"/>
        <v>-1.0324031537368272</v>
      </c>
      <c r="W1160" s="4">
        <f t="shared" si="207"/>
        <v>0.92551307955553119</v>
      </c>
      <c r="X1160" s="4">
        <f t="shared" si="208"/>
        <v>-1.7544369992027875</v>
      </c>
      <c r="Y1160" s="3">
        <f t="shared" si="205"/>
        <v>-321.55425860917967</v>
      </c>
      <c r="AA1160" s="3"/>
    </row>
    <row r="1161" spans="19:27" x14ac:dyDescent="0.25">
      <c r="S1161" s="4">
        <v>0.37010626916593398</v>
      </c>
      <c r="T1161" s="4">
        <v>0.18719549199183089</v>
      </c>
      <c r="U1161" s="4">
        <f t="shared" si="206"/>
        <v>0.37401341192372139</v>
      </c>
      <c r="W1161" s="4">
        <f t="shared" si="207"/>
        <v>0.65766519237302112</v>
      </c>
      <c r="X1161" s="4">
        <f t="shared" si="208"/>
        <v>0.72521009970924633</v>
      </c>
      <c r="Y1161" s="3">
        <f t="shared" si="205"/>
        <v>-31.75589849456901</v>
      </c>
      <c r="AA1161" s="3"/>
    </row>
    <row r="1162" spans="19:27" x14ac:dyDescent="0.25">
      <c r="S1162" s="4">
        <v>9.1149658518035359E-2</v>
      </c>
      <c r="T1162" s="4">
        <v>-0.8197652156717391</v>
      </c>
      <c r="U1162" s="4">
        <f t="shared" si="206"/>
        <v>-0.59425447831700773</v>
      </c>
      <c r="W1162" s="4">
        <f t="shared" si="207"/>
        <v>0.18331154333524816</v>
      </c>
      <c r="X1162" s="4">
        <f t="shared" si="208"/>
        <v>-0.98193892258447546</v>
      </c>
      <c r="Y1162" s="3">
        <f t="shared" si="205"/>
        <v>-127.48284836812627</v>
      </c>
      <c r="AA1162" s="3"/>
    </row>
    <row r="1163" spans="19:27" x14ac:dyDescent="0.25">
      <c r="S1163" s="4">
        <v>0.13553963101042152</v>
      </c>
      <c r="T1163" s="4">
        <v>0.10321385526742688</v>
      </c>
      <c r="U1163" s="4">
        <f t="shared" si="206"/>
        <v>0.16444478251879346</v>
      </c>
      <c r="W1163" s="4">
        <f t="shared" si="207"/>
        <v>0.25879477129512429</v>
      </c>
      <c r="X1163" s="4">
        <f t="shared" si="208"/>
        <v>0.35572053551114913</v>
      </c>
      <c r="Y1163" s="3">
        <f t="shared" si="205"/>
        <v>-5.7269991984644548</v>
      </c>
      <c r="AA1163" s="3"/>
    </row>
    <row r="1164" spans="19:27" x14ac:dyDescent="0.25">
      <c r="S1164" s="4">
        <v>0.87926911957290477</v>
      </c>
      <c r="T1164" s="4">
        <v>-0.18034520636908727</v>
      </c>
      <c r="U1164" s="4">
        <f t="shared" si="206"/>
        <v>0.39306386767234536</v>
      </c>
      <c r="W1164" s="4">
        <f t="shared" si="207"/>
        <v>1.5234745936417833</v>
      </c>
      <c r="X1164" s="4">
        <f t="shared" si="208"/>
        <v>0.75879787767163198</v>
      </c>
      <c r="Y1164" s="3">
        <f t="shared" si="205"/>
        <v>-162.30770288850727</v>
      </c>
      <c r="AA1164" s="3"/>
    </row>
    <row r="1165" spans="19:27" x14ac:dyDescent="0.25">
      <c r="S1165" s="4">
        <v>1.6990039125121301</v>
      </c>
      <c r="T1165" s="4">
        <v>-0.56470747880002092</v>
      </c>
      <c r="U1165" s="4">
        <f t="shared" si="206"/>
        <v>0.58811158151291654</v>
      </c>
      <c r="W1165" s="4">
        <f t="shared" si="207"/>
        <v>2.9173981481717286</v>
      </c>
      <c r="X1165" s="4">
        <f t="shared" si="208"/>
        <v>1.1026856770499351</v>
      </c>
      <c r="Y1165" s="3">
        <f t="shared" si="205"/>
        <v>-335.60186400828343</v>
      </c>
      <c r="AA1165" s="3"/>
    </row>
    <row r="1166" spans="19:27" x14ac:dyDescent="0.25">
      <c r="S1166" s="4">
        <v>-1.0680151035184613</v>
      </c>
      <c r="T1166" s="4">
        <v>-1.1533546090381972</v>
      </c>
      <c r="U1166" s="4">
        <f t="shared" si="206"/>
        <v>-1.565340830093001</v>
      </c>
      <c r="W1166" s="4">
        <f t="shared" si="207"/>
        <v>-1.7877979902618759</v>
      </c>
      <c r="X1166" s="4">
        <f t="shared" si="208"/>
        <v>-2.6940571624912102</v>
      </c>
      <c r="Y1166" s="3">
        <f t="shared" si="205"/>
        <v>25.431786316120451</v>
      </c>
      <c r="AA1166" s="3"/>
    </row>
    <row r="1167" spans="19:27" x14ac:dyDescent="0.25">
      <c r="S1167" s="4">
        <v>-1.1905892110858725</v>
      </c>
      <c r="T1167" s="4">
        <v>-1.2385887645136553</v>
      </c>
      <c r="U1167" s="4">
        <f t="shared" si="206"/>
        <v>-1.7076291757080535</v>
      </c>
      <c r="W1167" s="4">
        <f t="shared" si="207"/>
        <v>-1.9962299577535487</v>
      </c>
      <c r="X1167" s="4">
        <f t="shared" si="208"/>
        <v>-2.944925142880539</v>
      </c>
      <c r="Y1167" s="3">
        <f t="shared" si="205"/>
        <v>35.816011805097332</v>
      </c>
      <c r="AA1167" s="3"/>
    </row>
    <row r="1168" spans="19:27" x14ac:dyDescent="0.25">
      <c r="S1168" s="4">
        <v>-0.1591010831579508</v>
      </c>
      <c r="T1168" s="4">
        <v>0.84191128909185386</v>
      </c>
      <c r="U1168" s="4">
        <f t="shared" si="206"/>
        <v>0.57038478938528259</v>
      </c>
      <c r="W1168" s="4">
        <f t="shared" si="207"/>
        <v>-0.24222901730142571</v>
      </c>
      <c r="X1168" s="4">
        <f t="shared" si="208"/>
        <v>1.071431644819691</v>
      </c>
      <c r="Y1168" s="3">
        <f t="shared" si="205"/>
        <v>146.11235296969062</v>
      </c>
      <c r="AA1168" s="3"/>
    </row>
    <row r="1169" spans="19:27" x14ac:dyDescent="0.25">
      <c r="S1169" s="4">
        <v>-1.7080017273766122</v>
      </c>
      <c r="T1169" s="4">
        <v>-0.5932872507652085</v>
      </c>
      <c r="U1169" s="4">
        <f t="shared" si="206"/>
        <v>-1.5115300303128687</v>
      </c>
      <c r="W1169" s="4">
        <f t="shared" si="207"/>
        <v>-2.8760675589858078</v>
      </c>
      <c r="X1169" s="4">
        <f t="shared" si="208"/>
        <v>-2.5991835689750014</v>
      </c>
      <c r="Y1169" s="3">
        <f t="shared" si="205"/>
        <v>222.68162222595492</v>
      </c>
      <c r="AA1169" s="3"/>
    </row>
    <row r="1170" spans="19:27" x14ac:dyDescent="0.25">
      <c r="S1170" s="4">
        <v>-0.92440909869988719</v>
      </c>
      <c r="T1170" s="4">
        <v>-1.1242083682540533</v>
      </c>
      <c r="U1170" s="4">
        <f t="shared" si="206"/>
        <v>-1.4546914129878135</v>
      </c>
      <c r="W1170" s="4">
        <f t="shared" si="207"/>
        <v>-1.5436021913123097</v>
      </c>
      <c r="X1170" s="4">
        <f t="shared" si="208"/>
        <v>-2.4989716431505569</v>
      </c>
      <c r="Y1170" s="3">
        <f t="shared" si="205"/>
        <v>3.6767128231645074</v>
      </c>
      <c r="AA1170" s="3"/>
    </row>
    <row r="1171" spans="19:27" x14ac:dyDescent="0.25">
      <c r="S1171" s="4">
        <v>7.8161669179477034E-2</v>
      </c>
      <c r="T1171" s="4">
        <v>0.37613245664121614</v>
      </c>
      <c r="U1171" s="4">
        <f t="shared" si="206"/>
        <v>0.34580629390718748</v>
      </c>
      <c r="W1171" s="4">
        <f t="shared" si="207"/>
        <v>0.16122602931176019</v>
      </c>
      <c r="X1171" s="4">
        <f t="shared" si="208"/>
        <v>0.67547824922758104</v>
      </c>
      <c r="Y1171" s="3">
        <f t="shared" si="205"/>
        <v>41.778435991392143</v>
      </c>
      <c r="AA1171" s="3"/>
    </row>
    <row r="1172" spans="19:27" x14ac:dyDescent="0.25">
      <c r="S1172" s="4">
        <v>-0.33677316235005605</v>
      </c>
      <c r="T1172" s="4">
        <v>0.39241947554517181</v>
      </c>
      <c r="U1172" s="4">
        <f t="shared" si="206"/>
        <v>0.10576335253922217</v>
      </c>
      <c r="W1172" s="4">
        <f t="shared" si="207"/>
        <v>-0.54435270206070707</v>
      </c>
      <c r="X1172" s="4">
        <f t="shared" si="208"/>
        <v>0.25225955448913406</v>
      </c>
      <c r="Y1172" s="3">
        <f t="shared" si="205"/>
        <v>113.22703668300164</v>
      </c>
      <c r="AA1172" s="3"/>
    </row>
    <row r="1173" spans="19:27" x14ac:dyDescent="0.25">
      <c r="S1173" s="4">
        <v>0.21355537871191088</v>
      </c>
      <c r="T1173" s="4">
        <v>-0.72497147893199443</v>
      </c>
      <c r="U1173" s="4">
        <f t="shared" si="206"/>
        <v>-0.44449098162929118</v>
      </c>
      <c r="W1173" s="4">
        <f t="shared" si="207"/>
        <v>0.39145717538248376</v>
      </c>
      <c r="X1173" s="4">
        <f t="shared" si="208"/>
        <v>-0.71789153495277325</v>
      </c>
      <c r="Y1173" s="3">
        <f t="shared" si="205"/>
        <v>-134.12498805855967</v>
      </c>
      <c r="AA1173" s="3"/>
    </row>
    <row r="1174" spans="19:27" x14ac:dyDescent="0.25">
      <c r="S1174" s="4">
        <v>-0.58437100657060159</v>
      </c>
      <c r="T1174" s="4">
        <v>0.41813658587671909</v>
      </c>
      <c r="U1174" s="4">
        <f t="shared" si="206"/>
        <v>-2.4792069554364804E-2</v>
      </c>
      <c r="W1174" s="4">
        <f t="shared" si="207"/>
        <v>-0.96538212533595213</v>
      </c>
      <c r="X1174" s="4">
        <f t="shared" si="208"/>
        <v>2.2077841939728164E-2</v>
      </c>
      <c r="Y1174" s="3">
        <f t="shared" si="205"/>
        <v>159.33263218507182</v>
      </c>
      <c r="AA1174" s="3"/>
    </row>
    <row r="1175" spans="19:27" x14ac:dyDescent="0.25">
      <c r="S1175" s="4">
        <v>-1.5091033586463503</v>
      </c>
      <c r="T1175" s="4">
        <v>0.19712163974063743</v>
      </c>
      <c r="U1175" s="4">
        <f t="shared" si="206"/>
        <v>-0.7637263277406976</v>
      </c>
      <c r="W1175" s="4">
        <f t="shared" si="207"/>
        <v>-2.5378494870938058</v>
      </c>
      <c r="X1175" s="4">
        <f t="shared" si="208"/>
        <v>-1.2807340235745872</v>
      </c>
      <c r="Y1175" s="3">
        <f t="shared" si="205"/>
        <v>295.492717071058</v>
      </c>
      <c r="AA1175" s="3"/>
    </row>
    <row r="1176" spans="19:27" x14ac:dyDescent="0.25">
      <c r="S1176" s="4">
        <v>-0.87072228222275927</v>
      </c>
      <c r="T1176" s="4">
        <v>-0.3730434256588484</v>
      </c>
      <c r="U1176" s="4">
        <f t="shared" si="206"/>
        <v>-0.82652027690844165</v>
      </c>
      <c r="W1176" s="4">
        <f t="shared" si="207"/>
        <v>-1.452310082328053</v>
      </c>
      <c r="X1176" s="4">
        <f t="shared" si="208"/>
        <v>-1.3914457697846412</v>
      </c>
      <c r="Y1176" s="3">
        <f t="shared" si="205"/>
        <v>99.084144561387802</v>
      </c>
      <c r="AA1176" s="3"/>
    </row>
    <row r="1177" spans="19:27" x14ac:dyDescent="0.25">
      <c r="S1177" s="4">
        <v>-0.79094141726551093</v>
      </c>
      <c r="T1177" s="4">
        <v>-1.2718888761927756</v>
      </c>
      <c r="U1177" s="4">
        <f t="shared" si="206"/>
        <v>-1.4903916964700947</v>
      </c>
      <c r="W1177" s="4">
        <f t="shared" si="207"/>
        <v>-1.3166461727043874</v>
      </c>
      <c r="X1177" s="4">
        <f t="shared" si="208"/>
        <v>-2.5619146619748547</v>
      </c>
      <c r="Y1177" s="3">
        <f t="shared" si="205"/>
        <v>-40.684881594198941</v>
      </c>
      <c r="AA1177" s="3"/>
    </row>
    <row r="1178" spans="19:27" x14ac:dyDescent="0.25">
      <c r="S1178" s="4">
        <v>0.16868277634332654</v>
      </c>
      <c r="T1178" s="4">
        <v>-0.10180901810649171</v>
      </c>
      <c r="U1178" s="4">
        <f t="shared" si="206"/>
        <v>2.2129587975127415E-2</v>
      </c>
      <c r="W1178" s="4">
        <f t="shared" si="207"/>
        <v>0.31515325619619239</v>
      </c>
      <c r="X1178" s="4">
        <f t="shared" si="208"/>
        <v>0.10480521788933092</v>
      </c>
      <c r="Y1178" s="3">
        <f t="shared" si="205"/>
        <v>-39.76656928527882</v>
      </c>
      <c r="AA1178" s="3"/>
    </row>
    <row r="1179" spans="19:27" x14ac:dyDescent="0.25">
      <c r="S1179" s="4">
        <v>0.79770701325141058</v>
      </c>
      <c r="T1179" s="4">
        <v>-0.86701514736569496</v>
      </c>
      <c r="U1179" s="4">
        <f t="shared" si="206"/>
        <v>-0.20097599401681326</v>
      </c>
      <c r="W1179" s="4">
        <f t="shared" si="207"/>
        <v>1.384781760132842</v>
      </c>
      <c r="X1179" s="4">
        <f t="shared" si="208"/>
        <v>-0.28855129016457237</v>
      </c>
      <c r="Y1179" s="3">
        <f t="shared" si="205"/>
        <v>-245.84718655546794</v>
      </c>
      <c r="AA1179" s="3"/>
    </row>
    <row r="1180" spans="19:27" x14ac:dyDescent="0.25">
      <c r="S1180" s="4">
        <v>-3.2654008955006697E-2</v>
      </c>
      <c r="T1180" s="4">
        <v>1.0172178350285315</v>
      </c>
      <c r="U1180" s="4">
        <f t="shared" si="206"/>
        <v>0.78643384691985163</v>
      </c>
      <c r="W1180" s="4">
        <f t="shared" si="207"/>
        <v>-2.7211237586484163E-2</v>
      </c>
      <c r="X1180" s="4">
        <f t="shared" si="208"/>
        <v>1.452346824446191</v>
      </c>
      <c r="Y1180" s="3">
        <f t="shared" si="205"/>
        <v>149.59720834423661</v>
      </c>
      <c r="AA1180" s="3"/>
    </row>
    <row r="1181" spans="19:27" x14ac:dyDescent="0.25">
      <c r="S1181" s="4">
        <v>-2.0091182653314976</v>
      </c>
      <c r="T1181" s="4">
        <v>0.42362142280979093</v>
      </c>
      <c r="U1181" s="4">
        <f t="shared" si="206"/>
        <v>-0.88900200078465852</v>
      </c>
      <c r="W1181" s="4">
        <f t="shared" si="207"/>
        <v>-3.3881032057940117</v>
      </c>
      <c r="X1181" s="4">
        <f t="shared" si="208"/>
        <v>-1.5016070329036637</v>
      </c>
      <c r="Y1181" s="3">
        <f t="shared" si="205"/>
        <v>422.98749040706207</v>
      </c>
      <c r="AA1181" s="3"/>
    </row>
    <row r="1182" spans="19:27" x14ac:dyDescent="0.25">
      <c r="S1182" s="4">
        <v>-0.55107746632343102</v>
      </c>
      <c r="T1182" s="4">
        <v>-0.11245486896627024</v>
      </c>
      <c r="U1182" s="4">
        <f t="shared" si="206"/>
        <v>-0.42509119615077018</v>
      </c>
      <c r="W1182" s="4">
        <f t="shared" si="207"/>
        <v>-0.90876790038910094</v>
      </c>
      <c r="X1182" s="4">
        <f t="shared" si="208"/>
        <v>-0.68368785522098818</v>
      </c>
      <c r="Y1182" s="3">
        <f t="shared" si="205"/>
        <v>79.407224220569333</v>
      </c>
      <c r="AA1182" s="3"/>
    </row>
    <row r="1183" spans="19:27" x14ac:dyDescent="0.25">
      <c r="S1183" s="4">
        <v>-0.34987359031220933</v>
      </c>
      <c r="T1183" s="4">
        <v>8.5566680897383021E-2</v>
      </c>
      <c r="U1183" s="4">
        <f t="shared" si="206"/>
        <v>-0.14546272194798909</v>
      </c>
      <c r="W1183" s="4">
        <f t="shared" si="207"/>
        <v>-0.56662941309964188</v>
      </c>
      <c r="X1183" s="4">
        <f t="shared" si="208"/>
        <v>-0.19067607495625113</v>
      </c>
      <c r="Y1183" s="3">
        <f t="shared" si="205"/>
        <v>72.567598447930322</v>
      </c>
      <c r="AA1183" s="3"/>
    </row>
    <row r="1184" spans="19:27" x14ac:dyDescent="0.25">
      <c r="S1184" s="4">
        <v>-0.75965641904700654</v>
      </c>
      <c r="T1184" s="4">
        <v>0.61275934694185752</v>
      </c>
      <c r="U1184" s="4">
        <f t="shared" si="206"/>
        <v>2.2625941457978804E-2</v>
      </c>
      <c r="W1184" s="4">
        <f t="shared" si="207"/>
        <v>-1.2634473865898719</v>
      </c>
      <c r="X1184" s="4">
        <f t="shared" si="208"/>
        <v>0.10568033661577259</v>
      </c>
      <c r="Y1184" s="3">
        <f t="shared" si="205"/>
        <v>217.19096474512662</v>
      </c>
      <c r="AA1184" s="3"/>
    </row>
    <row r="1185" spans="19:27" x14ac:dyDescent="0.25">
      <c r="S1185" s="4">
        <v>-0.50580906756644373</v>
      </c>
      <c r="T1185" s="4">
        <v>1.0531697170519836</v>
      </c>
      <c r="U1185" s="4">
        <f t="shared" si="206"/>
        <v>0.526486736169965</v>
      </c>
      <c r="W1185" s="4">
        <f t="shared" si="207"/>
        <v>-0.831790946566065</v>
      </c>
      <c r="X1185" s="4">
        <f t="shared" si="208"/>
        <v>0.99403517284900977</v>
      </c>
      <c r="Y1185" s="3">
        <f t="shared" si="205"/>
        <v>234.49511425750097</v>
      </c>
      <c r="AA1185" s="3"/>
    </row>
    <row r="1186" spans="19:27" x14ac:dyDescent="0.25">
      <c r="S1186" s="4">
        <v>1.4171969825363442</v>
      </c>
      <c r="T1186" s="4">
        <v>1.1920860180447748</v>
      </c>
      <c r="U1186" s="4">
        <f t="shared" si="206"/>
        <v>1.8089119732389316</v>
      </c>
      <c r="W1186" s="4">
        <f t="shared" si="207"/>
        <v>2.4381976544186936</v>
      </c>
      <c r="X1186" s="4">
        <f t="shared" si="208"/>
        <v>3.2550736847042185</v>
      </c>
      <c r="Y1186" s="3">
        <f t="shared" si="205"/>
        <v>-50.054890906970286</v>
      </c>
      <c r="AA1186" s="3"/>
    </row>
    <row r="1187" spans="19:27" x14ac:dyDescent="0.25">
      <c r="S1187" s="4">
        <v>-0.41932482852374464</v>
      </c>
      <c r="T1187" s="4">
        <v>0.37170612069490488</v>
      </c>
      <c r="U1187" s="4">
        <f t="shared" si="206"/>
        <v>3.9018703883811234E-2</v>
      </c>
      <c r="W1187" s="4">
        <f t="shared" si="207"/>
        <v>-0.68472823929098869</v>
      </c>
      <c r="X1187" s="4">
        <f t="shared" si="208"/>
        <v>0.13458234672063679</v>
      </c>
      <c r="Y1187" s="3">
        <f t="shared" si="205"/>
        <v>124.40283807377182</v>
      </c>
      <c r="AA1187" s="3"/>
    </row>
    <row r="1188" spans="19:27" x14ac:dyDescent="0.25">
      <c r="S1188" s="4">
        <v>0.12000080391398421</v>
      </c>
      <c r="T1188" s="4">
        <v>0.21369488420532923</v>
      </c>
      <c r="U1188" s="4">
        <f t="shared" si="206"/>
        <v>0.24254939670410183</v>
      </c>
      <c r="W1188" s="4">
        <f t="shared" si="207"/>
        <v>0.23237166801091613</v>
      </c>
      <c r="X1188" s="4">
        <f t="shared" si="208"/>
        <v>0.49342645046194611</v>
      </c>
      <c r="Y1188" s="3">
        <f t="shared" si="205"/>
        <v>12.244419268150523</v>
      </c>
      <c r="AA1188" s="3"/>
    </row>
    <row r="1189" spans="19:27" x14ac:dyDescent="0.25">
      <c r="S1189" s="4">
        <v>0.69068019443955841</v>
      </c>
      <c r="T1189" s="4">
        <v>-1.2761319686824337</v>
      </c>
      <c r="U1189" s="4">
        <f t="shared" si="206"/>
        <v>-0.59052556980296245</v>
      </c>
      <c r="W1189" s="4">
        <f t="shared" si="207"/>
        <v>1.2027872846106715</v>
      </c>
      <c r="X1189" s="4">
        <f t="shared" si="208"/>
        <v>-0.97536449975362816</v>
      </c>
      <c r="Y1189" s="3">
        <f t="shared" si="205"/>
        <v>-286.56818560132569</v>
      </c>
      <c r="AA1189" s="3"/>
    </row>
    <row r="1190" spans="19:27" x14ac:dyDescent="0.25">
      <c r="S1190" s="4">
        <v>-0.7837897949464</v>
      </c>
      <c r="T1190" s="4">
        <v>-0.94130432625405736</v>
      </c>
      <c r="U1190" s="4">
        <f t="shared" si="206"/>
        <v>-1.2239801736172096</v>
      </c>
      <c r="W1190" s="4">
        <f t="shared" si="207"/>
        <v>-1.3044851483223836</v>
      </c>
      <c r="X1190" s="4">
        <f t="shared" si="208"/>
        <v>-2.0922056327381093</v>
      </c>
      <c r="Y1190" s="3">
        <f t="shared" si="205"/>
        <v>4.2539378343440148</v>
      </c>
      <c r="AA1190" s="3"/>
    </row>
    <row r="1191" spans="19:27" x14ac:dyDescent="0.25">
      <c r="S1191" s="4">
        <v>0.49691480477529504</v>
      </c>
      <c r="T1191" s="4">
        <v>2.8142308413320474</v>
      </c>
      <c r="U1191" s="4">
        <f t="shared" si="206"/>
        <v>2.5337486794591797</v>
      </c>
      <c r="W1191" s="4">
        <f t="shared" si="207"/>
        <v>0.87329762157313517</v>
      </c>
      <c r="X1191" s="4">
        <f t="shared" si="208"/>
        <v>4.5330302159683677</v>
      </c>
      <c r="Y1191" s="3">
        <f t="shared" si="205"/>
        <v>315.31898799409646</v>
      </c>
      <c r="AA1191" s="3"/>
    </row>
    <row r="1192" spans="19:27" x14ac:dyDescent="0.25">
      <c r="S1192" s="4">
        <v>-0.85409177915354517</v>
      </c>
      <c r="T1192" s="4">
        <v>-1.2189339452210766</v>
      </c>
      <c r="U1192" s="4">
        <f t="shared" si="206"/>
        <v>-1.4869126149338736</v>
      </c>
      <c r="W1192" s="4">
        <f t="shared" si="207"/>
        <v>-1.42403063127689</v>
      </c>
      <c r="X1192" s="4">
        <f t="shared" si="208"/>
        <v>-2.5557807080320432</v>
      </c>
      <c r="Y1192" s="3">
        <f t="shared" si="205"/>
        <v>-22.093855040895505</v>
      </c>
      <c r="AA1192" s="3"/>
    </row>
    <row r="1193" spans="19:27" x14ac:dyDescent="0.25">
      <c r="S1193" s="4">
        <v>-1.0078449799303586</v>
      </c>
      <c r="T1193" s="4">
        <v>0.16801038204173577</v>
      </c>
      <c r="U1193" s="4">
        <f t="shared" si="206"/>
        <v>-0.48122429771128572</v>
      </c>
      <c r="W1193" s="4">
        <f t="shared" si="207"/>
        <v>-1.6854812979964391</v>
      </c>
      <c r="X1193" s="4">
        <f t="shared" si="208"/>
        <v>-0.78265588918473339</v>
      </c>
      <c r="Y1193" s="3">
        <f t="shared" si="205"/>
        <v>199.24416689700229</v>
      </c>
      <c r="AA1193" s="3"/>
    </row>
    <row r="1194" spans="19:27" x14ac:dyDescent="0.25">
      <c r="S1194" s="4">
        <v>0.29801612553237389</v>
      </c>
      <c r="T1194" s="4">
        <v>-1.1144127603645768</v>
      </c>
      <c r="U1194" s="4">
        <f t="shared" si="206"/>
        <v>-0.70170882152902592</v>
      </c>
      <c r="W1194" s="4">
        <f t="shared" si="207"/>
        <v>0.53507902166778853</v>
      </c>
      <c r="X1194" s="4">
        <f t="shared" si="208"/>
        <v>-1.171391220656659</v>
      </c>
      <c r="Y1194" s="3">
        <f t="shared" si="205"/>
        <v>-202.14769928289252</v>
      </c>
      <c r="AA1194" s="3"/>
    </row>
    <row r="1195" spans="19:27" x14ac:dyDescent="0.25">
      <c r="S1195" s="4">
        <v>-0.40818275434242862</v>
      </c>
      <c r="T1195" s="4">
        <v>0.68184716092095676</v>
      </c>
      <c r="U1195" s="4">
        <f t="shared" si="206"/>
        <v>0.29165748823792514</v>
      </c>
      <c r="W1195" s="4">
        <f t="shared" si="207"/>
        <v>-0.66578162414004705</v>
      </c>
      <c r="X1195" s="4">
        <f t="shared" si="208"/>
        <v>0.58000871895773842</v>
      </c>
      <c r="Y1195" s="3">
        <f t="shared" si="205"/>
        <v>165.84275848057041</v>
      </c>
      <c r="AA1195" s="3"/>
    </row>
    <row r="1196" spans="19:27" x14ac:dyDescent="0.25">
      <c r="S1196" s="4">
        <v>-0.75207234621550334</v>
      </c>
      <c r="T1196" s="4">
        <v>0.33658117784241948</v>
      </c>
      <c r="U1196" s="4">
        <f t="shared" si="206"/>
        <v>-0.19167486897973157</v>
      </c>
      <c r="W1196" s="4">
        <f t="shared" si="207"/>
        <v>-1.2505509988188983</v>
      </c>
      <c r="X1196" s="4">
        <f t="shared" si="208"/>
        <v>-0.27215251594792667</v>
      </c>
      <c r="Y1196" s="3">
        <f t="shared" si="205"/>
        <v>177.25636288782971</v>
      </c>
      <c r="AA1196" s="3"/>
    </row>
    <row r="1197" spans="19:27" x14ac:dyDescent="0.25">
      <c r="S1197" s="4">
        <v>1.8729192449559486</v>
      </c>
      <c r="T1197" s="4">
        <v>1.185663970441251</v>
      </c>
      <c r="U1197" s="4">
        <f t="shared" si="206"/>
        <v>2.0816397265375768</v>
      </c>
      <c r="W1197" s="4">
        <f t="shared" si="207"/>
        <v>3.2131336475984535</v>
      </c>
      <c r="X1197" s="4">
        <f t="shared" si="208"/>
        <v>3.7359188331273394</v>
      </c>
      <c r="Y1197" s="3">
        <f t="shared" si="205"/>
        <v>-115.10558822434587</v>
      </c>
      <c r="AA1197" s="3"/>
    </row>
    <row r="1198" spans="19:27" x14ac:dyDescent="0.25">
      <c r="S1198" s="4">
        <v>0.41004410168876859</v>
      </c>
      <c r="T1198" s="4">
        <v>-0.98147308630792007</v>
      </c>
      <c r="U1198" s="4">
        <f t="shared" si="206"/>
        <v>-0.52803384908716722</v>
      </c>
      <c r="W1198" s="4">
        <f t="shared" si="207"/>
        <v>0.72557774890955773</v>
      </c>
      <c r="X1198" s="4">
        <f t="shared" si="208"/>
        <v>-0.86518561124902338</v>
      </c>
      <c r="Y1198" s="3">
        <f t="shared" si="205"/>
        <v>-201.43700368741429</v>
      </c>
      <c r="AA1198" s="3"/>
    </row>
    <row r="1199" spans="19:27" x14ac:dyDescent="0.25">
      <c r="S1199" s="4">
        <v>0.27188346667271512</v>
      </c>
      <c r="T1199" s="4">
        <v>-0.41806336233643082</v>
      </c>
      <c r="U1199" s="4">
        <f t="shared" si="206"/>
        <v>-0.16564926322751855</v>
      </c>
      <c r="W1199" s="4">
        <f t="shared" si="207"/>
        <v>0.49064156574821932</v>
      </c>
      <c r="X1199" s="4">
        <f t="shared" si="208"/>
        <v>-0.2262668805134537</v>
      </c>
      <c r="Y1199" s="3">
        <f t="shared" si="205"/>
        <v>-100.63148949260403</v>
      </c>
      <c r="AA1199" s="3"/>
    </row>
    <row r="1200" spans="19:27" x14ac:dyDescent="0.25">
      <c r="S1200" s="4">
        <v>0.1803077756749589</v>
      </c>
      <c r="T1200" s="4">
        <v>0.84111834546717967</v>
      </c>
      <c r="U1200" s="4">
        <f t="shared" si="206"/>
        <v>0.77666744248770869</v>
      </c>
      <c r="W1200" s="4">
        <f t="shared" si="207"/>
        <v>0.33492106467441396</v>
      </c>
      <c r="X1200" s="4">
        <f t="shared" si="208"/>
        <v>1.4351277180958681</v>
      </c>
      <c r="Y1200" s="3">
        <f t="shared" si="205"/>
        <v>90.131016371812166</v>
      </c>
      <c r="AA1200" s="3"/>
    </row>
    <row r="1201" spans="19:27" x14ac:dyDescent="0.25">
      <c r="S1201" s="4">
        <v>0.81539714294281795</v>
      </c>
      <c r="T1201" s="4">
        <v>-0.70537237917005491</v>
      </c>
      <c r="U1201" s="4">
        <f t="shared" si="206"/>
        <v>-6.2058763989344345E-2</v>
      </c>
      <c r="W1201" s="4">
        <f t="shared" si="207"/>
        <v>1.4148630604167138</v>
      </c>
      <c r="X1201" s="4">
        <f t="shared" si="208"/>
        <v>-4.3626909410620932E-2</v>
      </c>
      <c r="Y1201" s="3">
        <f t="shared" si="205"/>
        <v>-225.96009991063693</v>
      </c>
      <c r="AA1201" s="3"/>
    </row>
    <row r="1202" spans="19:27" x14ac:dyDescent="0.25">
      <c r="S1202" s="4">
        <v>1.7242277214052892</v>
      </c>
      <c r="T1202" s="4">
        <v>-0.88555878667121701</v>
      </c>
      <c r="U1202" s="4">
        <f t="shared" si="206"/>
        <v>0.34915230718823276</v>
      </c>
      <c r="W1202" s="4">
        <f t="shared" si="207"/>
        <v>2.9602901440391571</v>
      </c>
      <c r="X1202" s="4">
        <f t="shared" si="208"/>
        <v>0.6813775910924631</v>
      </c>
      <c r="Y1202" s="3">
        <f t="shared" si="205"/>
        <v>-383.97065448592048</v>
      </c>
      <c r="AA1202" s="3"/>
    </row>
    <row r="1203" spans="19:27" x14ac:dyDescent="0.25">
      <c r="S1203" s="4">
        <v>0.30355043427355766</v>
      </c>
      <c r="T1203" s="4">
        <v>-0.14888171150349727</v>
      </c>
      <c r="U1203" s="4">
        <f t="shared" si="206"/>
        <v>6.7033773030977642E-2</v>
      </c>
      <c r="W1203" s="4">
        <f t="shared" si="207"/>
        <v>0.54448987427380813</v>
      </c>
      <c r="X1203" s="4">
        <f t="shared" si="208"/>
        <v>0.18397559665293162</v>
      </c>
      <c r="Y1203" s="3">
        <f t="shared" si="205"/>
        <v>-68.09296075280281</v>
      </c>
      <c r="AA1203" s="3"/>
    </row>
    <row r="1204" spans="19:27" x14ac:dyDescent="0.25">
      <c r="S1204" s="4">
        <v>-0.96874883086407904</v>
      </c>
      <c r="T1204" s="4">
        <v>0.7374417643601906</v>
      </c>
      <c r="U1204" s="4">
        <f t="shared" si="206"/>
        <v>-6.0067008352803208E-3</v>
      </c>
      <c r="W1204" s="4">
        <f t="shared" si="207"/>
        <v>-1.618999987767435</v>
      </c>
      <c r="X1204" s="4">
        <f t="shared" si="208"/>
        <v>5.5198246081436399E-2</v>
      </c>
      <c r="Y1204" s="3">
        <f t="shared" si="205"/>
        <v>271.80048582416475</v>
      </c>
      <c r="AA1204" s="3"/>
    </row>
    <row r="1205" spans="19:27" x14ac:dyDescent="0.25">
      <c r="S1205" s="4">
        <v>-0.37337508530406177</v>
      </c>
      <c r="T1205" s="4">
        <v>-0.80072772102156087</v>
      </c>
      <c r="U1205" s="4">
        <f t="shared" si="206"/>
        <v>-0.86234825648904545</v>
      </c>
      <c r="W1205" s="4">
        <f t="shared" si="207"/>
        <v>-0.60659268868338234</v>
      </c>
      <c r="X1205" s="4">
        <f t="shared" si="208"/>
        <v>-1.4546139290598401</v>
      </c>
      <c r="Y1205" s="3">
        <f t="shared" si="205"/>
        <v>-47.30026387766884</v>
      </c>
      <c r="AA1205" s="3"/>
    </row>
    <row r="1206" spans="19:27" x14ac:dyDescent="0.25">
      <c r="S1206" s="4">
        <v>0.5789200756633649</v>
      </c>
      <c r="T1206" s="4">
        <v>-0.40893554430779772</v>
      </c>
      <c r="U1206" s="4">
        <f t="shared" si="206"/>
        <v>2.8762652670559885E-2</v>
      </c>
      <c r="W1206" s="4">
        <f t="shared" si="207"/>
        <v>1.0127440372567065</v>
      </c>
      <c r="X1206" s="4">
        <f t="shared" si="208"/>
        <v>0.11649994620135135</v>
      </c>
      <c r="Y1206" s="3">
        <f t="shared" si="205"/>
        <v>-148.00575125038813</v>
      </c>
      <c r="AA1206" s="3"/>
    </row>
    <row r="1207" spans="19:27" x14ac:dyDescent="0.25">
      <c r="S1207" s="4">
        <v>-0.33918646228484506</v>
      </c>
      <c r="T1207" s="4">
        <v>0.62757680985188158</v>
      </c>
      <c r="U1207" s="4">
        <f t="shared" si="206"/>
        <v>0.29069949315385407</v>
      </c>
      <c r="W1207" s="4">
        <f t="shared" si="207"/>
        <v>-0.54845641420300395</v>
      </c>
      <c r="X1207" s="4">
        <f t="shared" si="208"/>
        <v>0.57831968187655669</v>
      </c>
      <c r="Y1207" s="3">
        <f t="shared" si="205"/>
        <v>146.50231645170425</v>
      </c>
      <c r="AA1207" s="3"/>
    </row>
    <row r="1208" spans="19:27" x14ac:dyDescent="0.25">
      <c r="S1208" s="4">
        <v>0.8110713839025574</v>
      </c>
      <c r="T1208" s="4">
        <v>-1.1313188731427768</v>
      </c>
      <c r="U1208" s="4">
        <f t="shared" si="206"/>
        <v>-0.40234022948352854</v>
      </c>
      <c r="W1208" s="4">
        <f t="shared" si="207"/>
        <v>1.4075072942965279</v>
      </c>
      <c r="X1208" s="4">
        <f t="shared" si="208"/>
        <v>-0.64357572210815472</v>
      </c>
      <c r="Y1208" s="3">
        <f t="shared" si="205"/>
        <v>-284.82925874270677</v>
      </c>
      <c r="AA1208" s="3"/>
    </row>
    <row r="1209" spans="19:27" x14ac:dyDescent="0.25">
      <c r="S1209" s="4">
        <v>0.57202633519664703</v>
      </c>
      <c r="T1209" s="4">
        <v>-0.40272553173200643</v>
      </c>
      <c r="U1209" s="4">
        <f t="shared" si="206"/>
        <v>2.9482702076268519E-2</v>
      </c>
      <c r="W1209" s="4">
        <f t="shared" si="207"/>
        <v>1.0010215298089999</v>
      </c>
      <c r="X1209" s="4">
        <f t="shared" si="208"/>
        <v>0.11776946226332988</v>
      </c>
      <c r="Y1209" s="3">
        <f t="shared" si="205"/>
        <v>-146.06078449624601</v>
      </c>
      <c r="AA1209" s="3"/>
    </row>
    <row r="1210" spans="19:27" x14ac:dyDescent="0.25">
      <c r="S1210" s="4">
        <v>-0.13672556981124817</v>
      </c>
      <c r="T1210" s="4">
        <v>0.85989654541948179</v>
      </c>
      <c r="U1210" s="4">
        <f t="shared" si="206"/>
        <v>0.59828217071009759</v>
      </c>
      <c r="W1210" s="4">
        <f t="shared" si="207"/>
        <v>-0.20418042479648327</v>
      </c>
      <c r="X1210" s="4">
        <f t="shared" si="208"/>
        <v>1.1206173998501223</v>
      </c>
      <c r="Y1210" s="3">
        <f t="shared" si="205"/>
        <v>144.88963388981028</v>
      </c>
      <c r="AA1210" s="3"/>
    </row>
    <row r="1211" spans="19:27" x14ac:dyDescent="0.25">
      <c r="S1211" s="4">
        <v>-2.1613527404783466</v>
      </c>
      <c r="T1211" s="4">
        <v>0.95254581315281173</v>
      </c>
      <c r="U1211" s="4">
        <f t="shared" si="206"/>
        <v>-0.56253339061995866</v>
      </c>
      <c r="W1211" s="4">
        <f t="shared" si="207"/>
        <v>-3.6469713452782764</v>
      </c>
      <c r="X1211" s="4">
        <f t="shared" si="208"/>
        <v>-0.92601160702034235</v>
      </c>
      <c r="Y1211" s="3">
        <f t="shared" si="205"/>
        <v>526.86666480134318</v>
      </c>
      <c r="AA1211" s="3"/>
    </row>
    <row r="1212" spans="19:27" x14ac:dyDescent="0.25">
      <c r="S1212" s="4">
        <v>-0.40610367133811542</v>
      </c>
      <c r="T1212" s="4">
        <v>-1.0310388181515002</v>
      </c>
      <c r="U1212" s="4">
        <f t="shared" si="206"/>
        <v>-1.0648661013389698</v>
      </c>
      <c r="W1212" s="4">
        <f t="shared" si="207"/>
        <v>-0.66224623343015199</v>
      </c>
      <c r="X1212" s="4">
        <f t="shared" si="208"/>
        <v>-1.8116722848281239</v>
      </c>
      <c r="Y1212" s="3">
        <f t="shared" si="205"/>
        <v>-73.904093338484472</v>
      </c>
      <c r="AA1212" s="3"/>
    </row>
    <row r="1213" spans="19:27" x14ac:dyDescent="0.25">
      <c r="S1213" s="4">
        <v>-1.7924479293921434</v>
      </c>
      <c r="T1213" s="4">
        <v>0.2724036795646988</v>
      </c>
      <c r="U1213" s="4">
        <f t="shared" si="206"/>
        <v>-0.87678402787176324</v>
      </c>
      <c r="W1213" s="4">
        <f t="shared" si="207"/>
        <v>-3.0196646724595193</v>
      </c>
      <c r="X1213" s="4">
        <f t="shared" si="208"/>
        <v>-1.4800655765330775</v>
      </c>
      <c r="Y1213" s="3">
        <f t="shared" si="205"/>
        <v>359.84392279042822</v>
      </c>
      <c r="AA1213" s="3"/>
    </row>
    <row r="1214" spans="19:27" x14ac:dyDescent="0.25">
      <c r="S1214" s="4">
        <v>-0.30755121680933573</v>
      </c>
      <c r="T1214" s="4">
        <v>0.95221958760598524</v>
      </c>
      <c r="U1214" s="4">
        <f t="shared" si="206"/>
        <v>0.56732678356878319</v>
      </c>
      <c r="W1214" s="4">
        <f t="shared" si="207"/>
        <v>-0.49466204777927858</v>
      </c>
      <c r="X1214" s="4">
        <f t="shared" si="208"/>
        <v>1.0660400876975111</v>
      </c>
      <c r="Y1214" s="3">
        <f t="shared" si="205"/>
        <v>186.508100513508</v>
      </c>
      <c r="AA1214" s="3"/>
    </row>
    <row r="1215" spans="19:27" x14ac:dyDescent="0.25">
      <c r="S1215" s="4">
        <v>-1.2617487652845749</v>
      </c>
      <c r="T1215" s="4">
        <v>0.53920835587148808</v>
      </c>
      <c r="U1215" s="4">
        <f t="shared" si="206"/>
        <v>-0.34176403902575447</v>
      </c>
      <c r="W1215" s="4">
        <f t="shared" si="207"/>
        <v>-2.1172337013811235</v>
      </c>
      <c r="X1215" s="4">
        <f t="shared" si="208"/>
        <v>-0.53677409690032396</v>
      </c>
      <c r="Y1215" s="3">
        <f t="shared" si="205"/>
        <v>297.32979084746239</v>
      </c>
      <c r="AA1215" s="3"/>
    </row>
    <row r="1216" spans="19:27" x14ac:dyDescent="0.25">
      <c r="S1216" s="4">
        <v>0.38287656499576556</v>
      </c>
      <c r="T1216" s="4">
        <v>0.89832146865989415</v>
      </c>
      <c r="U1216" s="4">
        <f t="shared" si="206"/>
        <v>0.94550235535605398</v>
      </c>
      <c r="W1216" s="4">
        <f t="shared" si="207"/>
        <v>0.67938052800211102</v>
      </c>
      <c r="X1216" s="4">
        <f t="shared" si="208"/>
        <v>1.732799838938978</v>
      </c>
      <c r="Y1216" s="3">
        <f t="shared" si="205"/>
        <v>65.597834566659913</v>
      </c>
      <c r="AA1216" s="3"/>
    </row>
    <row r="1217" spans="19:27" x14ac:dyDescent="0.25">
      <c r="S1217" s="4">
        <v>1.0403054268585039</v>
      </c>
      <c r="T1217" s="4">
        <v>1.4724042532147885</v>
      </c>
      <c r="U1217" s="4">
        <f t="shared" si="206"/>
        <v>1.801356499531201</v>
      </c>
      <c r="W1217" s="4">
        <f t="shared" si="207"/>
        <v>1.797309867920011</v>
      </c>
      <c r="X1217" s="4">
        <f t="shared" si="208"/>
        <v>3.2417526609636589</v>
      </c>
      <c r="Y1217" s="3">
        <f t="shared" si="205"/>
        <v>44.423801079115492</v>
      </c>
      <c r="AA1217" s="3"/>
    </row>
    <row r="1218" spans="19:27" x14ac:dyDescent="0.25">
      <c r="S1218" s="4">
        <v>-1.3993601600645222</v>
      </c>
      <c r="T1218" s="4">
        <v>0.68575831165718137</v>
      </c>
      <c r="U1218" s="4">
        <f t="shared" si="206"/>
        <v>-0.30948603532155838</v>
      </c>
      <c r="W1218" s="4">
        <f t="shared" si="207"/>
        <v>-2.3512359252805175</v>
      </c>
      <c r="X1218" s="4">
        <f t="shared" si="208"/>
        <v>-0.47986488507929403</v>
      </c>
      <c r="Y1218" s="3">
        <f t="shared" ref="Y1218:Y1281" si="209">(B$4*EXP(-B$8*B$7)*NORMSDIST((LN(B$4/(B$5+W1218))-B$8*B$7+B$9*B$7+0.5*B$6*B$6*B$7)/(B$6*SQRT(B$7)))-(B$5+W1218)*EXP(-B$9*B$7)*NORMSDIST((LN(B$4/(B$5+W1218))-B$8*B$7+B$9*B$7-0.5*B$6*B$6*B$7)/(B$6*SQRT(B$7))))*400+100*X1218-400*$B$13</f>
        <v>343.27063484626706</v>
      </c>
      <c r="AA1218" s="3"/>
    </row>
    <row r="1219" spans="19:27" x14ac:dyDescent="0.25">
      <c r="S1219" s="4">
        <v>-1.6073485001843748</v>
      </c>
      <c r="T1219" s="4">
        <v>-0.24927056020991292</v>
      </c>
      <c r="U1219" s="4">
        <f t="shared" ref="U1219:U1282" si="210">$B$19*S1219+SQRT(1-$B$19^2)*T1219</f>
        <v>-1.1774702922712068</v>
      </c>
      <c r="W1219" s="4">
        <f t="shared" ref="W1219:W1282" si="211">S1219*SQRT($B$16)+$B$20</f>
        <v>-2.7049111002979362</v>
      </c>
      <c r="X1219" s="4">
        <f t="shared" ref="X1219:X1282" si="212">U1219*SQRT($C$17)+$C$20</f>
        <v>-2.0102042576361367</v>
      </c>
      <c r="Y1219" s="3">
        <f t="shared" si="209"/>
        <v>251.62828275142874</v>
      </c>
      <c r="AA1219" s="3"/>
    </row>
    <row r="1220" spans="19:27" x14ac:dyDescent="0.25">
      <c r="S1220" s="4">
        <v>-0.7613454489631496</v>
      </c>
      <c r="T1220" s="4">
        <v>0.19540370657905301</v>
      </c>
      <c r="U1220" s="4">
        <f t="shared" si="210"/>
        <v>-0.30923821403936902</v>
      </c>
      <c r="W1220" s="4">
        <f t="shared" si="211"/>
        <v>-1.266319508896619</v>
      </c>
      <c r="X1220" s="4">
        <f t="shared" si="212"/>
        <v>-0.47942795242474945</v>
      </c>
      <c r="Y1220" s="3">
        <f t="shared" si="209"/>
        <v>159.1593696160171</v>
      </c>
      <c r="AA1220" s="3"/>
    </row>
    <row r="1221" spans="19:27" x14ac:dyDescent="0.25">
      <c r="S1221" s="4">
        <v>-1.3743663222154372</v>
      </c>
      <c r="T1221" s="4">
        <v>0.6712560160543275</v>
      </c>
      <c r="U1221" s="4">
        <f t="shared" si="210"/>
        <v>-0.30574508809060241</v>
      </c>
      <c r="W1221" s="4">
        <f t="shared" si="211"/>
        <v>-2.3087349852252319</v>
      </c>
      <c r="X1221" s="4">
        <f t="shared" si="212"/>
        <v>-0.47326923683757538</v>
      </c>
      <c r="Y1221" s="3">
        <f t="shared" si="209"/>
        <v>336.59798188213881</v>
      </c>
      <c r="AA1221" s="3"/>
    </row>
    <row r="1222" spans="19:27" x14ac:dyDescent="0.25">
      <c r="S1222" s="4">
        <v>1.2777858877720691</v>
      </c>
      <c r="T1222" s="4">
        <v>0.57971218237274136</v>
      </c>
      <c r="U1222" s="4">
        <f t="shared" si="210"/>
        <v>1.2385000072060124</v>
      </c>
      <c r="W1222" s="4">
        <f t="shared" si="211"/>
        <v>2.2011351185490753</v>
      </c>
      <c r="X1222" s="4">
        <f t="shared" si="212"/>
        <v>2.2493827597726495</v>
      </c>
      <c r="Y1222" s="3">
        <f t="shared" si="209"/>
        <v>-115.42227163879897</v>
      </c>
      <c r="AA1222" s="3"/>
    </row>
    <row r="1223" spans="19:27" x14ac:dyDescent="0.25">
      <c r="S1223" s="4">
        <v>-1.3202095674696628</v>
      </c>
      <c r="T1223" s="4">
        <v>0.25857750677867236</v>
      </c>
      <c r="U1223" s="4">
        <f t="shared" si="210"/>
        <v>-0.59985688275077786</v>
      </c>
      <c r="W1223" s="4">
        <f t="shared" si="211"/>
        <v>-2.2166437665441761</v>
      </c>
      <c r="X1223" s="4">
        <f t="shared" si="212"/>
        <v>-0.99181649814801798</v>
      </c>
      <c r="Y1223" s="3">
        <f t="shared" si="209"/>
        <v>268.8889531825107</v>
      </c>
      <c r="AA1223" s="3"/>
    </row>
    <row r="1224" spans="19:27" x14ac:dyDescent="0.25">
      <c r="S1224" s="4">
        <v>-0.93662503693613475</v>
      </c>
      <c r="T1224" s="4">
        <v>0.64635433746719773</v>
      </c>
      <c r="U1224" s="4">
        <f t="shared" si="210"/>
        <v>-5.8627595639263563E-2</v>
      </c>
      <c r="W1224" s="4">
        <f t="shared" si="211"/>
        <v>-1.5643748658344352</v>
      </c>
      <c r="X1224" s="4">
        <f t="shared" si="212"/>
        <v>-3.7577431003659317E-2</v>
      </c>
      <c r="Y1224" s="3">
        <f t="shared" si="209"/>
        <v>253.3139447214262</v>
      </c>
      <c r="AA1224" s="3"/>
    </row>
    <row r="1225" spans="19:27" x14ac:dyDescent="0.25">
      <c r="S1225" s="4">
        <v>-1.3865332456603547</v>
      </c>
      <c r="T1225" s="4">
        <v>-0.39668292607265282</v>
      </c>
      <c r="U1225" s="4">
        <f t="shared" si="210"/>
        <v>-1.15970899222824</v>
      </c>
      <c r="W1225" s="4">
        <f t="shared" si="211"/>
        <v>-2.3294243122150289</v>
      </c>
      <c r="X1225" s="4">
        <f t="shared" si="212"/>
        <v>-1.9788893846463094</v>
      </c>
      <c r="Y1225" s="3">
        <f t="shared" si="209"/>
        <v>189.60405959776199</v>
      </c>
      <c r="AA1225" s="3"/>
    </row>
    <row r="1226" spans="19:27" x14ac:dyDescent="0.25">
      <c r="S1226" s="4">
        <v>-1.9318624992557595E-2</v>
      </c>
      <c r="T1226" s="4">
        <v>-1.5419879157037559</v>
      </c>
      <c r="U1226" s="4">
        <f t="shared" si="210"/>
        <v>-1.2340985789096797</v>
      </c>
      <c r="W1226" s="4">
        <f t="shared" si="211"/>
        <v>-4.5349940329952494E-3</v>
      </c>
      <c r="X1226" s="4">
        <f t="shared" si="212"/>
        <v>-2.1100453503165961</v>
      </c>
      <c r="Y1226" s="3">
        <f t="shared" si="209"/>
        <v>-210.27774732241642</v>
      </c>
      <c r="AA1226" s="3"/>
    </row>
    <row r="1227" spans="19:27" x14ac:dyDescent="0.25">
      <c r="S1227" s="4">
        <v>0.71456548336389014</v>
      </c>
      <c r="T1227" s="4">
        <v>-0.12261247306269915</v>
      </c>
      <c r="U1227" s="4">
        <f t="shared" si="210"/>
        <v>0.33842113311952793</v>
      </c>
      <c r="W1227" s="4">
        <f t="shared" si="211"/>
        <v>1.2434031851740719</v>
      </c>
      <c r="X1227" s="4">
        <f t="shared" si="212"/>
        <v>0.66245750347611287</v>
      </c>
      <c r="Y1227" s="3">
        <f t="shared" si="209"/>
        <v>-129.0404471638617</v>
      </c>
      <c r="AA1227" s="3"/>
    </row>
    <row r="1228" spans="19:27" x14ac:dyDescent="0.25">
      <c r="S1228" s="4">
        <v>0.21636791773324268</v>
      </c>
      <c r="T1228" s="4">
        <v>-0.39156817634532326</v>
      </c>
      <c r="U1228" s="4">
        <f t="shared" si="210"/>
        <v>-0.1784902580403242</v>
      </c>
      <c r="W1228" s="4">
        <f t="shared" si="211"/>
        <v>0.39623977632078461</v>
      </c>
      <c r="X1228" s="4">
        <f t="shared" si="212"/>
        <v>-0.24890678416089349</v>
      </c>
      <c r="Y1228" s="3">
        <f t="shared" si="209"/>
        <v>-87.983218490528543</v>
      </c>
      <c r="AA1228" s="3"/>
    </row>
    <row r="1229" spans="19:27" x14ac:dyDescent="0.25">
      <c r="S1229" s="4">
        <v>-1.599051930999124</v>
      </c>
      <c r="T1229" s="4">
        <v>0.25590799412505177</v>
      </c>
      <c r="U1229" s="4">
        <f t="shared" si="210"/>
        <v>-0.77196151042320182</v>
      </c>
      <c r="W1229" s="4">
        <f t="shared" si="211"/>
        <v>-2.6908031432992563</v>
      </c>
      <c r="X1229" s="4">
        <f t="shared" si="212"/>
        <v>-1.2952534393339512</v>
      </c>
      <c r="Y1229" s="3">
        <f t="shared" si="209"/>
        <v>320.66160466154543</v>
      </c>
      <c r="AA1229" s="3"/>
    </row>
    <row r="1230" spans="19:27" x14ac:dyDescent="0.25">
      <c r="S1230" s="4">
        <v>-0.83127678307367636</v>
      </c>
      <c r="T1230" s="4">
        <v>1.4660456443574987</v>
      </c>
      <c r="U1230" s="4">
        <f t="shared" si="210"/>
        <v>0.65535780739629257</v>
      </c>
      <c r="W1230" s="4">
        <f t="shared" si="211"/>
        <v>-1.3852347173957582</v>
      </c>
      <c r="X1230" s="4">
        <f t="shared" si="212"/>
        <v>1.2212472135077919</v>
      </c>
      <c r="Y1230" s="3">
        <f t="shared" si="209"/>
        <v>349.10693990354775</v>
      </c>
      <c r="AA1230" s="3"/>
    </row>
    <row r="1231" spans="19:27" x14ac:dyDescent="0.25">
      <c r="S1231" s="4">
        <v>0.25902093738037513</v>
      </c>
      <c r="T1231" s="4">
        <v>-0.49196427178059532</v>
      </c>
      <c r="U1231" s="4">
        <f t="shared" si="210"/>
        <v>-0.23207120917977198</v>
      </c>
      <c r="W1231" s="4">
        <f t="shared" si="211"/>
        <v>0.46876939110605625</v>
      </c>
      <c r="X1231" s="4">
        <f t="shared" si="212"/>
        <v>-0.34337513251078522</v>
      </c>
      <c r="Y1231" s="3">
        <f t="shared" si="209"/>
        <v>-108.89132822095053</v>
      </c>
      <c r="AA1231" s="3"/>
    </row>
    <row r="1232" spans="19:27" x14ac:dyDescent="0.25">
      <c r="S1232" s="4">
        <v>-0.30728513418499831</v>
      </c>
      <c r="T1232" s="4">
        <v>0.9198135359123687</v>
      </c>
      <c r="U1232" s="4">
        <f t="shared" si="210"/>
        <v>0.54180097493049728</v>
      </c>
      <c r="W1232" s="4">
        <f t="shared" si="211"/>
        <v>-0.49420958578704677</v>
      </c>
      <c r="X1232" s="4">
        <f t="shared" si="212"/>
        <v>1.0210356424408655</v>
      </c>
      <c r="Y1232" s="3">
        <f t="shared" si="209"/>
        <v>181.93398738118231</v>
      </c>
      <c r="AA1232" s="3"/>
    </row>
    <row r="1233" spans="19:27" x14ac:dyDescent="0.25">
      <c r="S1233" s="4">
        <v>-1.2655053843060504</v>
      </c>
      <c r="T1233" s="4">
        <v>1.8443998430078952</v>
      </c>
      <c r="U1233" s="4">
        <f t="shared" si="210"/>
        <v>0.69056071724274182</v>
      </c>
      <c r="W1233" s="4">
        <f t="shared" si="211"/>
        <v>-2.1236216695197632</v>
      </c>
      <c r="X1233" s="4">
        <f t="shared" si="212"/>
        <v>1.2833133149782421</v>
      </c>
      <c r="Y1233" s="3">
        <f t="shared" si="209"/>
        <v>480.43341772516305</v>
      </c>
      <c r="AA1233" s="3"/>
    </row>
    <row r="1234" spans="19:27" x14ac:dyDescent="0.25">
      <c r="S1234" s="4">
        <v>-2.0727914048710154</v>
      </c>
      <c r="T1234" s="4">
        <v>0.15969569616411575</v>
      </c>
      <c r="U1234" s="4">
        <f t="shared" si="210"/>
        <v>-1.1370303844185887</v>
      </c>
      <c r="W1234" s="4">
        <f t="shared" si="211"/>
        <v>-3.4963766251480517</v>
      </c>
      <c r="X1234" s="4">
        <f t="shared" si="212"/>
        <v>-1.9389048271292741</v>
      </c>
      <c r="Y1234" s="3">
        <f t="shared" si="209"/>
        <v>398.58686381335338</v>
      </c>
      <c r="AA1234" s="3"/>
    </row>
    <row r="1235" spans="19:27" x14ac:dyDescent="0.25">
      <c r="S1235" s="4">
        <v>0.30356728288339896</v>
      </c>
      <c r="T1235" s="4">
        <v>-1.2077290099942308</v>
      </c>
      <c r="U1235" s="4">
        <f t="shared" si="210"/>
        <v>-0.77229575847004839</v>
      </c>
      <c r="W1235" s="4">
        <f t="shared" si="211"/>
        <v>0.54451852460599015</v>
      </c>
      <c r="X1235" s="4">
        <f t="shared" si="212"/>
        <v>-1.2958427506517476</v>
      </c>
      <c r="Y1235" s="3">
        <f t="shared" si="209"/>
        <v>-216.07930640758923</v>
      </c>
      <c r="AA1235" s="3"/>
    </row>
    <row r="1236" spans="19:27" x14ac:dyDescent="0.25">
      <c r="S1236" s="4">
        <v>-0.8759331306613577</v>
      </c>
      <c r="T1236" s="4">
        <v>-0.45590588286827161</v>
      </c>
      <c r="U1236" s="4">
        <f t="shared" si="210"/>
        <v>-0.89538133487994198</v>
      </c>
      <c r="W1236" s="4">
        <f t="shared" si="211"/>
        <v>-1.461170904682078</v>
      </c>
      <c r="X1236" s="4">
        <f t="shared" si="212"/>
        <v>-1.5128544098676366</v>
      </c>
      <c r="Y1236" s="3">
        <f t="shared" si="209"/>
        <v>88.430750473220996</v>
      </c>
      <c r="AA1236" s="3"/>
    </row>
    <row r="1237" spans="19:27" x14ac:dyDescent="0.25">
      <c r="S1237" s="4">
        <v>-1.3429137573165739</v>
      </c>
      <c r="T1237" s="4">
        <v>1.8494939779417423</v>
      </c>
      <c r="U1237" s="4">
        <f t="shared" si="210"/>
        <v>0.64740892603673461</v>
      </c>
      <c r="W1237" s="4">
        <f t="shared" si="211"/>
        <v>-2.255251259219524</v>
      </c>
      <c r="X1237" s="4">
        <f t="shared" si="212"/>
        <v>1.2072325744000916</v>
      </c>
      <c r="Y1237" s="3">
        <f t="shared" si="209"/>
        <v>495.43495059784436</v>
      </c>
      <c r="AA1237" s="3"/>
    </row>
    <row r="1238" spans="19:27" x14ac:dyDescent="0.25">
      <c r="S1238" s="4">
        <v>-1.0977130049257149</v>
      </c>
      <c r="T1238" s="4">
        <v>0.36973671543495829</v>
      </c>
      <c r="U1238" s="4">
        <f t="shared" si="210"/>
        <v>-0.37610299637985128</v>
      </c>
      <c r="W1238" s="4">
        <f t="shared" si="211"/>
        <v>-1.8382979869049949</v>
      </c>
      <c r="X1238" s="4">
        <f t="shared" si="212"/>
        <v>-0.59731696738532769</v>
      </c>
      <c r="Y1238" s="3">
        <f t="shared" si="209"/>
        <v>243.67868973313489</v>
      </c>
      <c r="AA1238" s="3"/>
    </row>
    <row r="1239" spans="19:27" x14ac:dyDescent="0.25">
      <c r="S1239" s="4">
        <v>0.19986639626601424</v>
      </c>
      <c r="T1239" s="4">
        <v>0.35475125227163978</v>
      </c>
      <c r="U1239" s="4">
        <f t="shared" si="210"/>
        <v>0.4030515009380623</v>
      </c>
      <c r="W1239" s="4">
        <f t="shared" si="211"/>
        <v>0.36817965290419002</v>
      </c>
      <c r="X1239" s="4">
        <f t="shared" si="212"/>
        <v>0.77640703164281022</v>
      </c>
      <c r="Y1239" s="3">
        <f t="shared" si="209"/>
        <v>18.989527794045898</v>
      </c>
      <c r="AA1239" s="3"/>
    </row>
    <row r="1240" spans="19:27" x14ac:dyDescent="0.25">
      <c r="S1240" s="4">
        <v>0.34900459680830326</v>
      </c>
      <c r="T1240" s="4">
        <v>1.1179922842752588</v>
      </c>
      <c r="U1240" s="4">
        <f t="shared" si="210"/>
        <v>1.0989845501348778</v>
      </c>
      <c r="W1240" s="4">
        <f t="shared" si="211"/>
        <v>0.62178271136497676</v>
      </c>
      <c r="X1240" s="4">
        <f t="shared" si="212"/>
        <v>2.0034036474480277</v>
      </c>
      <c r="Y1240" s="3">
        <f t="shared" si="209"/>
        <v>101.69557118417879</v>
      </c>
      <c r="AA1240" s="3"/>
    </row>
    <row r="1241" spans="19:27" x14ac:dyDescent="0.25">
      <c r="S1241" s="4">
        <v>-1.8609114851466997</v>
      </c>
      <c r="T1241" s="4">
        <v>-2.7276541313327605</v>
      </c>
      <c r="U1241" s="4">
        <f t="shared" si="210"/>
        <v>-3.2966428220647899</v>
      </c>
      <c r="W1241" s="4">
        <f t="shared" si="211"/>
        <v>-3.1360839873588753</v>
      </c>
      <c r="X1241" s="4">
        <f t="shared" si="212"/>
        <v>-5.7465083825301173</v>
      </c>
      <c r="Y1241" s="3">
        <f t="shared" si="209"/>
        <v>-46.247050688810305</v>
      </c>
      <c r="AA1241" s="3"/>
    </row>
    <row r="1242" spans="19:27" x14ac:dyDescent="0.25">
      <c r="S1242" s="4">
        <v>-0.64873864020493655</v>
      </c>
      <c r="T1242" s="4">
        <v>-0.56746720471531276</v>
      </c>
      <c r="U1242" s="4">
        <f t="shared" si="210"/>
        <v>-0.84531227381810614</v>
      </c>
      <c r="W1242" s="4">
        <f t="shared" si="211"/>
        <v>-1.074836501855146</v>
      </c>
      <c r="X1242" s="4">
        <f t="shared" si="212"/>
        <v>-1.424577860061129</v>
      </c>
      <c r="Y1242" s="3">
        <f t="shared" si="209"/>
        <v>32.789248606292858</v>
      </c>
      <c r="AA1242" s="3"/>
    </row>
    <row r="1243" spans="19:27" x14ac:dyDescent="0.25">
      <c r="S1243" s="4">
        <v>-3.1292617783703021E-2</v>
      </c>
      <c r="T1243" s="4">
        <v>0.93939244914504705</v>
      </c>
      <c r="U1243" s="4">
        <f t="shared" si="210"/>
        <v>0.72557221909229463</v>
      </c>
      <c r="W1243" s="4">
        <f t="shared" si="211"/>
        <v>-2.489625079202953E-2</v>
      </c>
      <c r="X1243" s="4">
        <f t="shared" si="212"/>
        <v>1.3450419458188652</v>
      </c>
      <c r="Y1243" s="3">
        <f t="shared" si="209"/>
        <v>138.4954310243229</v>
      </c>
      <c r="AA1243" s="3"/>
    </row>
    <row r="1244" spans="19:27" x14ac:dyDescent="0.25">
      <c r="S1244" s="4">
        <v>1.7310713914199789</v>
      </c>
      <c r="T1244" s="4">
        <v>0.50404940042093749</v>
      </c>
      <c r="U1244" s="4">
        <f t="shared" si="210"/>
        <v>1.45485568048542</v>
      </c>
      <c r="W1244" s="4">
        <f t="shared" si="211"/>
        <v>2.9719275088491846</v>
      </c>
      <c r="X1244" s="4">
        <f t="shared" si="212"/>
        <v>2.6308385323221377</v>
      </c>
      <c r="Y1244" s="3">
        <f t="shared" si="209"/>
        <v>-190.71547962064778</v>
      </c>
      <c r="AA1244" s="3"/>
    </row>
    <row r="1245" spans="19:27" x14ac:dyDescent="0.25">
      <c r="S1245" s="4">
        <v>-0.10449109751113132</v>
      </c>
      <c r="T1245" s="4">
        <v>3.740390320838323E-2</v>
      </c>
      <c r="U1245" s="4">
        <f t="shared" si="210"/>
        <v>-3.405032888233403E-2</v>
      </c>
      <c r="W1245" s="4">
        <f t="shared" si="211"/>
        <v>-0.14936709907943371</v>
      </c>
      <c r="X1245" s="4">
        <f t="shared" si="212"/>
        <v>5.7546440735313162E-3</v>
      </c>
      <c r="Y1245" s="3">
        <f t="shared" si="209"/>
        <v>24.569327050263837</v>
      </c>
      <c r="AA1245" s="3"/>
    </row>
    <row r="1246" spans="19:27" x14ac:dyDescent="0.25">
      <c r="S1246" s="4">
        <v>2.3699145196994915</v>
      </c>
      <c r="T1246" s="4">
        <v>0.95489007127629932</v>
      </c>
      <c r="U1246" s="4">
        <f t="shared" si="210"/>
        <v>2.2016865068591898</v>
      </c>
      <c r="W1246" s="4">
        <f t="shared" si="211"/>
        <v>4.0582526128080563</v>
      </c>
      <c r="X1246" s="4">
        <f t="shared" si="212"/>
        <v>3.9475728038116293</v>
      </c>
      <c r="Y1246" s="3">
        <f t="shared" si="209"/>
        <v>-213.98168286243254</v>
      </c>
      <c r="AA1246" s="3"/>
    </row>
    <row r="1247" spans="19:27" x14ac:dyDescent="0.25">
      <c r="S1247" s="4">
        <v>-1.124984337657666</v>
      </c>
      <c r="T1247" s="4">
        <v>0.87517362534915011</v>
      </c>
      <c r="U1247" s="4">
        <f t="shared" si="210"/>
        <v>7.9275952793228521E-3</v>
      </c>
      <c r="W1247" s="4">
        <f t="shared" si="211"/>
        <v>-1.8846717084865656</v>
      </c>
      <c r="X1247" s="4">
        <f t="shared" si="212"/>
        <v>7.9765744630295538E-2</v>
      </c>
      <c r="Y1247" s="3">
        <f t="shared" si="209"/>
        <v>319.27131578169156</v>
      </c>
      <c r="AA1247" s="3"/>
    </row>
    <row r="1248" spans="19:27" x14ac:dyDescent="0.25">
      <c r="S1248" s="4">
        <v>-0.45929212264496311</v>
      </c>
      <c r="T1248" s="4">
        <v>0.88826356684367636</v>
      </c>
      <c r="U1248" s="4">
        <f t="shared" si="210"/>
        <v>0.42412471452914291</v>
      </c>
      <c r="W1248" s="4">
        <f t="shared" si="211"/>
        <v>-0.75269089400109934</v>
      </c>
      <c r="X1248" s="4">
        <f t="shared" si="212"/>
        <v>0.81356112540260228</v>
      </c>
      <c r="Y1248" s="3">
        <f t="shared" si="209"/>
        <v>203.4457916577112</v>
      </c>
      <c r="AA1248" s="3"/>
    </row>
    <row r="1249" spans="19:27" x14ac:dyDescent="0.25">
      <c r="S1249" s="4">
        <v>0.15315195871563572</v>
      </c>
      <c r="T1249" s="4">
        <v>0.35510007842775798</v>
      </c>
      <c r="U1249" s="4">
        <f t="shared" si="210"/>
        <v>0.374849849231631</v>
      </c>
      <c r="W1249" s="4">
        <f t="shared" si="211"/>
        <v>0.28874377266710649</v>
      </c>
      <c r="X1249" s="4">
        <f t="shared" si="212"/>
        <v>0.72668481878936875</v>
      </c>
      <c r="Y1249" s="3">
        <f t="shared" si="209"/>
        <v>26.612390108052296</v>
      </c>
      <c r="AA1249" s="3"/>
    </row>
    <row r="1250" spans="19:27" x14ac:dyDescent="0.25">
      <c r="S1250" s="4">
        <v>-0.49806025561419448</v>
      </c>
      <c r="T1250" s="4">
        <v>-1.2435182335896831</v>
      </c>
      <c r="U1250" s="4">
        <f t="shared" si="210"/>
        <v>-1.2893556236423054</v>
      </c>
      <c r="W1250" s="4">
        <f t="shared" si="211"/>
        <v>-0.81861442704670351</v>
      </c>
      <c r="X1250" s="4">
        <f t="shared" si="212"/>
        <v>-2.2074688121921002</v>
      </c>
      <c r="Y1250" s="3">
        <f t="shared" si="209"/>
        <v>-87.823423719097718</v>
      </c>
      <c r="AA1250" s="3"/>
    </row>
    <row r="1251" spans="19:27" x14ac:dyDescent="0.25">
      <c r="S1251" s="4">
        <v>4.4640282779823438E-2</v>
      </c>
      <c r="T1251" s="4">
        <v>-2.6795774039901321</v>
      </c>
      <c r="U1251" s="4">
        <f t="shared" si="210"/>
        <v>-2.0968659098842282</v>
      </c>
      <c r="W1251" s="4">
        <f t="shared" si="211"/>
        <v>0.10422436183899605</v>
      </c>
      <c r="X1251" s="4">
        <f t="shared" si="212"/>
        <v>-3.6311867827501154</v>
      </c>
      <c r="Y1251" s="3">
        <f t="shared" si="209"/>
        <v>-379.79260426642941</v>
      </c>
      <c r="AA1251" s="3"/>
    </row>
    <row r="1252" spans="19:27" x14ac:dyDescent="0.25">
      <c r="S1252" s="4">
        <v>-0.45646305394002801</v>
      </c>
      <c r="T1252" s="4">
        <v>-0.42839493721300803</v>
      </c>
      <c r="U1252" s="4">
        <f t="shared" si="210"/>
        <v>-0.61785530990143389</v>
      </c>
      <c r="W1252" s="4">
        <f t="shared" si="211"/>
        <v>-0.74788018505088782</v>
      </c>
      <c r="X1252" s="4">
        <f t="shared" si="212"/>
        <v>-1.0235494489385562</v>
      </c>
      <c r="Y1252" s="3">
        <f t="shared" si="209"/>
        <v>18.945039918147813</v>
      </c>
      <c r="AA1252" s="3"/>
    </row>
    <row r="1253" spans="19:27" x14ac:dyDescent="0.25">
      <c r="S1253" s="4">
        <v>1.2629115800959243</v>
      </c>
      <c r="T1253" s="4">
        <v>1.0015565972580049</v>
      </c>
      <c r="U1253" s="4">
        <f t="shared" si="210"/>
        <v>1.563824998287118</v>
      </c>
      <c r="W1253" s="4">
        <f t="shared" si="211"/>
        <v>2.1758420017926645</v>
      </c>
      <c r="X1253" s="4">
        <f t="shared" si="212"/>
        <v>2.8229618756862691</v>
      </c>
      <c r="Y1253" s="3">
        <f t="shared" si="209"/>
        <v>-54.2920654038262</v>
      </c>
      <c r="AA1253" s="3"/>
    </row>
    <row r="1254" spans="19:27" x14ac:dyDescent="0.25">
      <c r="S1254" s="4">
        <v>8.8959069636426649E-2</v>
      </c>
      <c r="T1254" s="4">
        <v>0.9394912604884732</v>
      </c>
      <c r="U1254" s="4">
        <f t="shared" si="210"/>
        <v>0.79895865774491703</v>
      </c>
      <c r="W1254" s="4">
        <f t="shared" si="211"/>
        <v>0.17958654170463884</v>
      </c>
      <c r="X1254" s="4">
        <f t="shared" si="212"/>
        <v>1.4744292654420483</v>
      </c>
      <c r="Y1254" s="3">
        <f t="shared" si="209"/>
        <v>118.74741369759431</v>
      </c>
      <c r="AA1254" s="3"/>
    </row>
    <row r="1255" spans="19:27" x14ac:dyDescent="0.25">
      <c r="S1255" s="4">
        <v>-0.26868377836639867</v>
      </c>
      <c r="T1255" s="4">
        <v>-0.4695409212459169</v>
      </c>
      <c r="U1255" s="4">
        <f t="shared" si="210"/>
        <v>-0.53599696696242782</v>
      </c>
      <c r="W1255" s="4">
        <f t="shared" si="211"/>
        <v>-0.42856965007148801</v>
      </c>
      <c r="X1255" s="4">
        <f t="shared" si="212"/>
        <v>-0.87922535069734997</v>
      </c>
      <c r="Y1255" s="3">
        <f t="shared" si="209"/>
        <v>-18.768122461518942</v>
      </c>
      <c r="AA1255" s="3"/>
    </row>
    <row r="1256" spans="19:27" x14ac:dyDescent="0.25">
      <c r="S1256" s="4">
        <v>-0.18982715584650922</v>
      </c>
      <c r="T1256" s="4">
        <v>-0.83154367340522395</v>
      </c>
      <c r="U1256" s="4">
        <f t="shared" si="210"/>
        <v>-0.77488090290782108</v>
      </c>
      <c r="W1256" s="4">
        <f t="shared" si="211"/>
        <v>-0.29447737473079766</v>
      </c>
      <c r="X1256" s="4">
        <f t="shared" si="212"/>
        <v>-1.3004006078769152</v>
      </c>
      <c r="Y1256" s="3">
        <f t="shared" si="209"/>
        <v>-82.625395359473259</v>
      </c>
      <c r="AA1256" s="3"/>
    </row>
    <row r="1257" spans="19:27" x14ac:dyDescent="0.25">
      <c r="S1257" s="4">
        <v>-1.8216491348021857</v>
      </c>
      <c r="T1257" s="4">
        <v>0.3787921262667463</v>
      </c>
      <c r="U1257" s="4">
        <f t="shared" si="210"/>
        <v>-0.8102524616146245</v>
      </c>
      <c r="W1257" s="4">
        <f t="shared" si="211"/>
        <v>-3.0693200590459258</v>
      </c>
      <c r="X1257" s="4">
        <f t="shared" si="212"/>
        <v>-1.3627640534398078</v>
      </c>
      <c r="Y1257" s="3">
        <f t="shared" si="209"/>
        <v>380.33154196559735</v>
      </c>
      <c r="AA1257" s="3"/>
    </row>
    <row r="1258" spans="19:27" x14ac:dyDescent="0.25">
      <c r="S1258" s="4">
        <v>-1.7681295455873378</v>
      </c>
      <c r="T1258" s="4">
        <v>-0.4941989931964188</v>
      </c>
      <c r="U1258" s="4">
        <f t="shared" si="210"/>
        <v>-1.4696388189117553</v>
      </c>
      <c r="W1258" s="4">
        <f t="shared" si="211"/>
        <v>-2.978312312787101</v>
      </c>
      <c r="X1258" s="4">
        <f t="shared" si="212"/>
        <v>-2.5253253513196263</v>
      </c>
      <c r="Y1258" s="3">
        <f t="shared" si="209"/>
        <v>248.03501496333774</v>
      </c>
      <c r="AA1258" s="3"/>
    </row>
    <row r="1259" spans="19:27" x14ac:dyDescent="0.25">
      <c r="S1259" s="4">
        <v>0.19658911203675009</v>
      </c>
      <c r="T1259" s="4">
        <v>-0.6100673501947611</v>
      </c>
      <c r="U1259" s="4">
        <f t="shared" si="210"/>
        <v>-0.36375041055009133</v>
      </c>
      <c r="W1259" s="4">
        <f t="shared" si="211"/>
        <v>0.36260677284418807</v>
      </c>
      <c r="X1259" s="4">
        <f t="shared" si="212"/>
        <v>-0.57553817555032094</v>
      </c>
      <c r="Y1259" s="3">
        <f t="shared" si="209"/>
        <v>-115.3224342274857</v>
      </c>
      <c r="AA1259" s="3"/>
    </row>
    <row r="1260" spans="19:27" x14ac:dyDescent="0.25">
      <c r="S1260" s="4">
        <v>-4.7275197681823561E-2</v>
      </c>
      <c r="T1260" s="4">
        <v>-0.16978549680880411</v>
      </c>
      <c r="U1260" s="4">
        <f t="shared" si="210"/>
        <v>-0.16340762355616795</v>
      </c>
      <c r="W1260" s="4">
        <f t="shared" si="211"/>
        <v>-5.2073936519221473E-2</v>
      </c>
      <c r="X1260" s="4">
        <f t="shared" si="212"/>
        <v>-0.22231465508921747</v>
      </c>
      <c r="Y1260" s="3">
        <f t="shared" si="209"/>
        <v>-13.879584471901126</v>
      </c>
      <c r="AA1260" s="3"/>
    </row>
    <row r="1261" spans="19:27" x14ac:dyDescent="0.25">
      <c r="S1261" s="4">
        <v>-1.2982741522844066</v>
      </c>
      <c r="T1261" s="4">
        <v>-0.46385010690332984</v>
      </c>
      <c r="U1261" s="4">
        <f t="shared" si="210"/>
        <v>-1.1591471678614869</v>
      </c>
      <c r="W1261" s="4">
        <f t="shared" si="211"/>
        <v>-2.1793435419245908</v>
      </c>
      <c r="X1261" s="4">
        <f t="shared" si="212"/>
        <v>-1.9778988344813493</v>
      </c>
      <c r="Y1261" s="3">
        <f t="shared" si="209"/>
        <v>163.87207092279277</v>
      </c>
      <c r="AA1261" s="3"/>
    </row>
    <row r="1262" spans="19:27" x14ac:dyDescent="0.25">
      <c r="S1262" s="4">
        <v>-0.50031187315308434</v>
      </c>
      <c r="T1262" s="4">
        <v>2.3051628313839339</v>
      </c>
      <c r="U1262" s="4">
        <f t="shared" si="210"/>
        <v>1.52228289803539</v>
      </c>
      <c r="W1262" s="4">
        <f t="shared" si="211"/>
        <v>-0.82244320526898407</v>
      </c>
      <c r="X1262" s="4">
        <f t="shared" si="212"/>
        <v>2.749719174421918</v>
      </c>
      <c r="Y1262" s="3">
        <f t="shared" si="209"/>
        <v>408.52529013594267</v>
      </c>
      <c r="AA1262" s="3"/>
    </row>
    <row r="1263" spans="19:27" x14ac:dyDescent="0.25">
      <c r="S1263" s="4">
        <v>-0.76142719374113332</v>
      </c>
      <c r="T1263" s="4">
        <v>0.54103965352265926</v>
      </c>
      <c r="U1263" s="4">
        <f t="shared" si="210"/>
        <v>-3.5305190879029391E-2</v>
      </c>
      <c r="W1263" s="4">
        <f t="shared" si="211"/>
        <v>-1.2664585123553875</v>
      </c>
      <c r="X1263" s="4">
        <f t="shared" si="212"/>
        <v>3.5422021942086018E-3</v>
      </c>
      <c r="Y1263" s="3">
        <f t="shared" si="209"/>
        <v>207.47957988491817</v>
      </c>
      <c r="AA1263" s="3"/>
    </row>
    <row r="1264" spans="19:27" x14ac:dyDescent="0.25">
      <c r="S1264" s="4">
        <v>-0.17179128364753982</v>
      </c>
      <c r="T1264" s="4">
        <v>-1.0037242889778777</v>
      </c>
      <c r="U1264" s="4">
        <f t="shared" si="210"/>
        <v>-0.90037203258217058</v>
      </c>
      <c r="W1264" s="4">
        <f t="shared" si="211"/>
        <v>-0.26380815426927312</v>
      </c>
      <c r="X1264" s="4">
        <f t="shared" si="212"/>
        <v>-1.5216534878798227</v>
      </c>
      <c r="Y1264" s="3">
        <f t="shared" si="209"/>
        <v>-109.70980538842423</v>
      </c>
      <c r="AA1264" s="3"/>
    </row>
    <row r="1265" spans="19:27" x14ac:dyDescent="0.25">
      <c r="S1265" s="4">
        <v>1.87304567314561</v>
      </c>
      <c r="T1265" s="4">
        <v>-0.13515617812911676</v>
      </c>
      <c r="U1265" s="4">
        <f t="shared" si="210"/>
        <v>1.0347132097563096</v>
      </c>
      <c r="W1265" s="4">
        <f t="shared" si="211"/>
        <v>3.2133486332658223</v>
      </c>
      <c r="X1265" s="4">
        <f t="shared" si="212"/>
        <v>1.8900871190423392</v>
      </c>
      <c r="Y1265" s="3">
        <f t="shared" si="209"/>
        <v>-299.7197372749124</v>
      </c>
      <c r="AA1265" s="3"/>
    </row>
    <row r="1266" spans="19:27" x14ac:dyDescent="0.25">
      <c r="S1266" s="4">
        <v>-4.312722530192014E-2</v>
      </c>
      <c r="T1266" s="4">
        <v>0.42879208294117749</v>
      </c>
      <c r="U1266" s="4">
        <f t="shared" si="210"/>
        <v>0.31360874313964804</v>
      </c>
      <c r="W1266" s="4">
        <f t="shared" si="211"/>
        <v>-4.5020488924109231E-2</v>
      </c>
      <c r="X1266" s="4">
        <f t="shared" si="212"/>
        <v>0.61871088363891946</v>
      </c>
      <c r="Y1266" s="3">
        <f t="shared" si="209"/>
        <v>69.090880424914303</v>
      </c>
      <c r="AA1266" s="3"/>
    </row>
    <row r="1267" spans="19:27" x14ac:dyDescent="0.25">
      <c r="S1267" s="4">
        <v>-1.1105063136668114</v>
      </c>
      <c r="T1267" s="4">
        <v>-1.134010296184226E-2</v>
      </c>
      <c r="U1267" s="4">
        <f t="shared" si="210"/>
        <v>-0.6859786353769427</v>
      </c>
      <c r="W1267" s="4">
        <f t="shared" si="211"/>
        <v>-1.8600524549941766</v>
      </c>
      <c r="X1267" s="4">
        <f t="shared" si="212"/>
        <v>-1.1436573959778806</v>
      </c>
      <c r="Y1267" s="3">
        <f t="shared" si="209"/>
        <v>192.74186724741594</v>
      </c>
      <c r="AA1267" s="3"/>
    </row>
    <row r="1268" spans="19:27" x14ac:dyDescent="0.25">
      <c r="S1268" s="4">
        <v>0.1276175761784322</v>
      </c>
      <c r="T1268" s="4">
        <v>0.14458521170381583</v>
      </c>
      <c r="U1268" s="4">
        <f t="shared" si="210"/>
        <v>0.19241006519732506</v>
      </c>
      <c r="W1268" s="4">
        <f t="shared" si="211"/>
        <v>0.24532365975306925</v>
      </c>
      <c r="X1268" s="4">
        <f t="shared" si="212"/>
        <v>0.40502600713115033</v>
      </c>
      <c r="Y1268" s="3">
        <f t="shared" si="209"/>
        <v>1.3447778206605108</v>
      </c>
      <c r="AA1268" s="3"/>
    </row>
    <row r="1269" spans="19:27" x14ac:dyDescent="0.25">
      <c r="S1269" s="4">
        <v>-0.20479343703334282</v>
      </c>
      <c r="T1269" s="4">
        <v>-0.22545979319745468</v>
      </c>
      <c r="U1269" s="4">
        <f t="shared" si="210"/>
        <v>-0.3035668271960556</v>
      </c>
      <c r="W1269" s="4">
        <f t="shared" si="211"/>
        <v>-0.31992688846345729</v>
      </c>
      <c r="X1269" s="4">
        <f t="shared" si="212"/>
        <v>-0.46942875426668096</v>
      </c>
      <c r="Y1269" s="3">
        <f t="shared" si="209"/>
        <v>4.5906108729559492</v>
      </c>
      <c r="AA1269" s="3"/>
    </row>
    <row r="1270" spans="19:27" x14ac:dyDescent="0.25">
      <c r="S1270" s="4">
        <v>-1.2390039747190159E-2</v>
      </c>
      <c r="T1270" s="4">
        <v>0.52972263121149632</v>
      </c>
      <c r="U1270" s="4">
        <f t="shared" si="210"/>
        <v>0.41235365733847718</v>
      </c>
      <c r="W1270" s="4">
        <f t="shared" si="211"/>
        <v>7.2467654534565384E-3</v>
      </c>
      <c r="X1270" s="4">
        <f t="shared" si="212"/>
        <v>0.79280762425178697</v>
      </c>
      <c r="Y1270" s="3">
        <f t="shared" si="209"/>
        <v>78.119601242024601</v>
      </c>
      <c r="AA1270" s="3"/>
    </row>
    <row r="1271" spans="19:27" x14ac:dyDescent="0.25">
      <c r="S1271" s="4">
        <v>0.24593730209605696</v>
      </c>
      <c r="T1271" s="4">
        <v>-0.24203768747443152</v>
      </c>
      <c r="U1271" s="4">
        <f t="shared" si="210"/>
        <v>-4.1932476468876018E-2</v>
      </c>
      <c r="W1271" s="4">
        <f t="shared" si="211"/>
        <v>0.44652123528934651</v>
      </c>
      <c r="X1271" s="4">
        <f t="shared" si="212"/>
        <v>-8.1423370011943635E-3</v>
      </c>
      <c r="Y1271" s="3">
        <f t="shared" si="209"/>
        <v>-71.855221848184101</v>
      </c>
      <c r="AA1271" s="3"/>
    </row>
    <row r="1272" spans="19:27" x14ac:dyDescent="0.25">
      <c r="S1272" s="4">
        <v>0.87264963732865708</v>
      </c>
      <c r="T1272" s="4">
        <v>-0.57890914285821327</v>
      </c>
      <c r="U1272" s="4">
        <f t="shared" si="210"/>
        <v>7.3090032111200354E-2</v>
      </c>
      <c r="W1272" s="4">
        <f t="shared" si="211"/>
        <v>1.5122184504372655</v>
      </c>
      <c r="X1272" s="4">
        <f t="shared" si="212"/>
        <v>0.19465336142419676</v>
      </c>
      <c r="Y1272" s="3">
        <f t="shared" si="209"/>
        <v>-217.00557507333588</v>
      </c>
      <c r="AA1272" s="3"/>
    </row>
    <row r="1273" spans="19:27" x14ac:dyDescent="0.25">
      <c r="S1273" s="4">
        <v>-1.9643826102398487</v>
      </c>
      <c r="T1273" s="4">
        <v>2.0398143187539373</v>
      </c>
      <c r="U1273" s="4">
        <f t="shared" si="210"/>
        <v>0.41941306237661014</v>
      </c>
      <c r="W1273" s="4">
        <f t="shared" si="211"/>
        <v>-3.3120321595279538</v>
      </c>
      <c r="X1273" s="4">
        <f t="shared" si="212"/>
        <v>0.80525403141894791</v>
      </c>
      <c r="Y1273" s="3">
        <f t="shared" si="209"/>
        <v>640.13136212610698</v>
      </c>
      <c r="AA1273" s="3"/>
    </row>
    <row r="1274" spans="19:27" x14ac:dyDescent="0.25">
      <c r="S1274" s="4">
        <v>-0.7940608440694632</v>
      </c>
      <c r="T1274" s="4">
        <v>-0.29821009493489109</v>
      </c>
      <c r="U1274" s="4">
        <f t="shared" si="210"/>
        <v>-0.72046596973587917</v>
      </c>
      <c r="W1274" s="4">
        <f t="shared" si="211"/>
        <v>-1.3219506230413924</v>
      </c>
      <c r="X1274" s="4">
        <f t="shared" si="212"/>
        <v>-1.2044618693326024</v>
      </c>
      <c r="Y1274" s="3">
        <f t="shared" si="209"/>
        <v>95.947005498656381</v>
      </c>
      <c r="AA1274" s="3"/>
    </row>
    <row r="1275" spans="19:27" x14ac:dyDescent="0.25">
      <c r="S1275" s="4">
        <v>0.53720463358117709</v>
      </c>
      <c r="T1275" s="4">
        <v>-8.3943542669758453E-2</v>
      </c>
      <c r="U1275" s="4">
        <f t="shared" si="210"/>
        <v>0.26095055434616288</v>
      </c>
      <c r="W1275" s="4">
        <f t="shared" si="211"/>
        <v>0.94180873256200581</v>
      </c>
      <c r="X1275" s="4">
        <f t="shared" si="212"/>
        <v>0.52586945367865634</v>
      </c>
      <c r="Y1275" s="3">
        <f t="shared" si="209"/>
        <v>-96.056936223122193</v>
      </c>
      <c r="AA1275" s="3"/>
    </row>
    <row r="1276" spans="19:27" x14ac:dyDescent="0.25">
      <c r="S1276" s="4">
        <v>-0.95239213159051128</v>
      </c>
      <c r="T1276" s="4">
        <v>0.93896022324352169</v>
      </c>
      <c r="U1276" s="4">
        <f t="shared" si="210"/>
        <v>0.1637067820160123</v>
      </c>
      <c r="W1276" s="4">
        <f t="shared" si="211"/>
        <v>-1.5911861282263051</v>
      </c>
      <c r="X1276" s="4">
        <f t="shared" si="212"/>
        <v>0.35441936994584056</v>
      </c>
      <c r="Y1276" s="3">
        <f t="shared" si="209"/>
        <v>297.03162390429407</v>
      </c>
      <c r="AA1276" s="3"/>
    </row>
    <row r="1277" spans="19:27" x14ac:dyDescent="0.25">
      <c r="S1277" s="4">
        <v>1.6466660370601981E-2</v>
      </c>
      <c r="T1277" s="4">
        <v>-1.0835755836246672</v>
      </c>
      <c r="U1277" s="4">
        <f t="shared" si="210"/>
        <v>-0.84890327349361649</v>
      </c>
      <c r="W1277" s="4">
        <f t="shared" si="211"/>
        <v>5.6316335693327634E-2</v>
      </c>
      <c r="X1277" s="4">
        <f t="shared" si="212"/>
        <v>-1.4309091364019983</v>
      </c>
      <c r="Y1277" s="3">
        <f t="shared" si="209"/>
        <v>-152.10743105750771</v>
      </c>
      <c r="AA1277" s="3"/>
    </row>
    <row r="1278" spans="19:27" x14ac:dyDescent="0.25">
      <c r="S1278" s="4">
        <v>0.11707728642379631</v>
      </c>
      <c r="T1278" s="4">
        <v>0.23652194431450502</v>
      </c>
      <c r="U1278" s="4">
        <f t="shared" si="210"/>
        <v>0.25886198357739154</v>
      </c>
      <c r="W1278" s="4">
        <f t="shared" si="211"/>
        <v>0.22740035298713709</v>
      </c>
      <c r="X1278" s="4">
        <f t="shared" si="212"/>
        <v>0.52218710338919994</v>
      </c>
      <c r="Y1278" s="3">
        <f t="shared" si="209"/>
        <v>15.911241565655018</v>
      </c>
      <c r="AA1278" s="3"/>
    </row>
    <row r="1279" spans="19:27" x14ac:dyDescent="0.25">
      <c r="S1279" s="4">
        <v>0.95840857469832774</v>
      </c>
      <c r="T1279" s="4">
        <v>1.6087261802405508</v>
      </c>
      <c r="U1279" s="4">
        <f t="shared" si="210"/>
        <v>1.8594916547436222</v>
      </c>
      <c r="W1279" s="4">
        <f t="shared" si="211"/>
        <v>1.6580478135931431</v>
      </c>
      <c r="X1279" s="4">
        <f t="shared" si="212"/>
        <v>3.3442505072540119</v>
      </c>
      <c r="Y1279" s="3">
        <f t="shared" si="209"/>
        <v>75.764328881539768</v>
      </c>
      <c r="AA1279" s="3"/>
    </row>
    <row r="1280" spans="19:27" x14ac:dyDescent="0.25">
      <c r="S1280" s="4">
        <v>1.1882802805404986</v>
      </c>
      <c r="T1280" s="4">
        <v>0.59668735025245478</v>
      </c>
      <c r="U1280" s="4">
        <f t="shared" si="210"/>
        <v>1.1973914721000889</v>
      </c>
      <c r="W1280" s="4">
        <f t="shared" si="211"/>
        <v>2.0489347053700264</v>
      </c>
      <c r="X1280" s="4">
        <f t="shared" si="212"/>
        <v>2.1769044753832363</v>
      </c>
      <c r="Y1280" s="3">
        <f t="shared" si="209"/>
        <v>-99.922344840773803</v>
      </c>
      <c r="AA1280" s="3"/>
    </row>
    <row r="1281" spans="19:27" x14ac:dyDescent="0.25">
      <c r="S1281" s="4">
        <v>1.2559157235961862</v>
      </c>
      <c r="T1281" s="4">
        <v>-0.35310317960429305</v>
      </c>
      <c r="U1281" s="4">
        <f t="shared" si="210"/>
        <v>0.48573217457692192</v>
      </c>
      <c r="W1281" s="4">
        <f t="shared" si="211"/>
        <v>2.163945850448239</v>
      </c>
      <c r="X1281" s="4">
        <f t="shared" si="212"/>
        <v>0.92218097766313467</v>
      </c>
      <c r="Y1281" s="3">
        <f t="shared" si="209"/>
        <v>-242.59482480510269</v>
      </c>
      <c r="AA1281" s="3"/>
    </row>
    <row r="1282" spans="19:27" x14ac:dyDescent="0.25">
      <c r="S1282" s="4">
        <v>1.1301748487329426</v>
      </c>
      <c r="T1282" s="4">
        <v>-1.1676393448065499</v>
      </c>
      <c r="U1282" s="4">
        <f t="shared" si="210"/>
        <v>-0.23659858554526292</v>
      </c>
      <c r="W1282" s="4">
        <f t="shared" si="211"/>
        <v>1.9501289321610189</v>
      </c>
      <c r="X1282" s="4">
        <f t="shared" si="212"/>
        <v>-0.35135733063364361</v>
      </c>
      <c r="Y1282" s="3">
        <f t="shared" ref="Y1282:Y1345" si="213">(B$4*EXP(-B$8*B$7)*NORMSDIST((LN(B$4/(B$5+W1282))-B$8*B$7+B$9*B$7+0.5*B$6*B$6*B$7)/(B$6*SQRT(B$7)))-(B$5+W1282)*EXP(-B$9*B$7)*NORMSDIST((LN(B$4/(B$5+W1282))-B$8*B$7+B$9*B$7-0.5*B$6*B$6*B$7)/(B$6*SQRT(B$7))))*400+100*X1282-400*$B$13</f>
        <v>-337.91923406603246</v>
      </c>
      <c r="AA1282" s="3"/>
    </row>
    <row r="1283" spans="19:27" x14ac:dyDescent="0.25">
      <c r="S1283" s="4">
        <v>-0.58118078678437823</v>
      </c>
      <c r="T1283" s="4">
        <v>1.3642598570590099</v>
      </c>
      <c r="U1283" s="4">
        <f t="shared" ref="U1283:U1346" si="214">$B$19*S1283+SQRT(1-$B$19^2)*T1283</f>
        <v>0.72713712560639354</v>
      </c>
      <c r="W1283" s="4">
        <f t="shared" ref="W1283:W1346" si="215">S1283*SQRT($B$16)+$B$20</f>
        <v>-0.95995729459502499</v>
      </c>
      <c r="X1283" s="4">
        <f t="shared" ref="X1283:X1346" si="216">U1283*SQRT($C$17)+$C$20</f>
        <v>1.3478010258755846</v>
      </c>
      <c r="Y1283" s="3">
        <f t="shared" si="213"/>
        <v>291.00840691886879</v>
      </c>
      <c r="AA1283" s="3"/>
    </row>
    <row r="1284" spans="19:27" x14ac:dyDescent="0.25">
      <c r="S1284" s="4">
        <v>0.56563681642959274</v>
      </c>
      <c r="T1284" s="4">
        <v>0.47400629937516725</v>
      </c>
      <c r="U1284" s="4">
        <f t="shared" si="214"/>
        <v>0.72056583414294806</v>
      </c>
      <c r="W1284" s="4">
        <f t="shared" si="215"/>
        <v>0.99015642954947181</v>
      </c>
      <c r="X1284" s="4">
        <f t="shared" si="216"/>
        <v>1.3362152096876296</v>
      </c>
      <c r="Y1284" s="3">
        <f t="shared" si="213"/>
        <v>-22.530543925122402</v>
      </c>
      <c r="AA1284" s="3"/>
    </row>
    <row r="1285" spans="19:27" x14ac:dyDescent="0.25">
      <c r="S1285" s="4">
        <v>-0.62389746444044625</v>
      </c>
      <c r="T1285" s="4">
        <v>-1.317809193065935</v>
      </c>
      <c r="U1285" s="4">
        <f t="shared" si="214"/>
        <v>-1.4249586444603195</v>
      </c>
      <c r="W1285" s="4">
        <f t="shared" si="215"/>
        <v>-1.0325951570707133</v>
      </c>
      <c r="X1285" s="4">
        <f t="shared" si="216"/>
        <v>-2.4465499247052853</v>
      </c>
      <c r="Y1285" s="3">
        <f t="shared" si="213"/>
        <v>-76.409250185892233</v>
      </c>
      <c r="AA1285" s="3"/>
    </row>
    <row r="1286" spans="19:27" x14ac:dyDescent="0.25">
      <c r="S1286" s="4">
        <v>1.6498237066120089</v>
      </c>
      <c r="T1286" s="4">
        <v>1.4661505003584925</v>
      </c>
      <c r="U1286" s="4">
        <f t="shared" si="214"/>
        <v>2.1679751423737104</v>
      </c>
      <c r="W1286" s="4">
        <f t="shared" si="215"/>
        <v>2.8337693355224478</v>
      </c>
      <c r="X1286" s="4">
        <f t="shared" si="216"/>
        <v>3.8881364396590752</v>
      </c>
      <c r="Y1286" s="3">
        <f t="shared" si="213"/>
        <v>-44.868283086520023</v>
      </c>
      <c r="AA1286" s="3"/>
    </row>
    <row r="1287" spans="19:27" x14ac:dyDescent="0.25">
      <c r="S1287" s="4">
        <v>1.7044957734612927</v>
      </c>
      <c r="T1287" s="4">
        <v>-1.7625664470769111</v>
      </c>
      <c r="U1287" s="4">
        <f t="shared" si="214"/>
        <v>-0.35807370148736073</v>
      </c>
      <c r="W1287" s="4">
        <f t="shared" si="215"/>
        <v>2.9267368201436632</v>
      </c>
      <c r="X1287" s="4">
        <f t="shared" si="216"/>
        <v>-0.56552959380970669</v>
      </c>
      <c r="Y1287" s="3">
        <f t="shared" si="213"/>
        <v>-503.78232635237237</v>
      </c>
      <c r="AA1287" s="3"/>
    </row>
    <row r="1288" spans="19:27" x14ac:dyDescent="0.25">
      <c r="S1288" s="4">
        <v>-0.39025813526278469</v>
      </c>
      <c r="T1288" s="4">
        <v>-0.77935642518043624</v>
      </c>
      <c r="U1288" s="4">
        <f t="shared" si="214"/>
        <v>-0.85569968478835556</v>
      </c>
      <c r="W1288" s="4">
        <f t="shared" si="215"/>
        <v>-0.63530158479524279</v>
      </c>
      <c r="X1288" s="4">
        <f t="shared" si="216"/>
        <v>-1.4428918604124323</v>
      </c>
      <c r="Y1288" s="3">
        <f t="shared" si="213"/>
        <v>-41.43480504831723</v>
      </c>
      <c r="AA1288" s="3"/>
    </row>
    <row r="1289" spans="19:27" x14ac:dyDescent="0.25">
      <c r="S1289" s="4">
        <v>-1.4621058643628337</v>
      </c>
      <c r="T1289" s="4">
        <v>5.6336083328674361E-2</v>
      </c>
      <c r="U1289" s="4">
        <f t="shared" si="214"/>
        <v>-0.84667519357402643</v>
      </c>
      <c r="W1289" s="4">
        <f t="shared" si="215"/>
        <v>-2.457932281126757</v>
      </c>
      <c r="X1289" s="4">
        <f t="shared" si="216"/>
        <v>-1.4269808181187444</v>
      </c>
      <c r="Y1289" s="3">
        <f t="shared" si="213"/>
        <v>267.00884459481586</v>
      </c>
      <c r="AA1289" s="3"/>
    </row>
    <row r="1290" spans="19:27" x14ac:dyDescent="0.25">
      <c r="S1290" s="4">
        <v>0.20612426604480544</v>
      </c>
      <c r="T1290" s="4">
        <v>7.0526980019054775E-2</v>
      </c>
      <c r="U1290" s="4">
        <f t="shared" si="214"/>
        <v>0.1815641257763054</v>
      </c>
      <c r="W1290" s="4">
        <f t="shared" si="215"/>
        <v>0.37882088975417311</v>
      </c>
      <c r="X1290" s="4">
        <f t="shared" si="216"/>
        <v>0.38590357720749846</v>
      </c>
      <c r="Y1290" s="3">
        <f t="shared" si="213"/>
        <v>-21.745591999399494</v>
      </c>
      <c r="AA1290" s="3"/>
    </row>
    <row r="1291" spans="19:27" x14ac:dyDescent="0.25">
      <c r="S1291" s="4">
        <v>-1.1254453478215569</v>
      </c>
      <c r="T1291" s="4">
        <v>-0.53200646586719069</v>
      </c>
      <c r="U1291" s="4">
        <f t="shared" si="214"/>
        <v>-1.1078138743206645</v>
      </c>
      <c r="W1291" s="4">
        <f t="shared" si="215"/>
        <v>-1.8854556363274484</v>
      </c>
      <c r="X1291" s="4">
        <f t="shared" si="216"/>
        <v>-1.8873933217378212</v>
      </c>
      <c r="Y1291" s="3">
        <f t="shared" si="213"/>
        <v>122.6887891414458</v>
      </c>
      <c r="AA1291" s="3"/>
    </row>
    <row r="1292" spans="19:27" x14ac:dyDescent="0.25">
      <c r="S1292" s="4">
        <v>-1.75179986656845</v>
      </c>
      <c r="T1292" s="4">
        <v>0.15411290270744615</v>
      </c>
      <c r="U1292" s="4">
        <f t="shared" si="214"/>
        <v>-0.94577221656975508</v>
      </c>
      <c r="W1292" s="4">
        <f t="shared" si="215"/>
        <v>-2.9505444000201866</v>
      </c>
      <c r="X1292" s="4">
        <f t="shared" si="216"/>
        <v>-1.6016983602622901</v>
      </c>
      <c r="Y1292" s="3">
        <f t="shared" si="213"/>
        <v>335.51244706220496</v>
      </c>
      <c r="AA1292" s="3"/>
    </row>
    <row r="1293" spans="19:27" x14ac:dyDescent="0.25">
      <c r="S1293" s="4">
        <v>0.9989560023159455</v>
      </c>
      <c r="T1293" s="4">
        <v>-0.10153161118305118</v>
      </c>
      <c r="U1293" s="4">
        <f t="shared" si="214"/>
        <v>0.52850256971657894</v>
      </c>
      <c r="W1293" s="4">
        <f t="shared" si="215"/>
        <v>1.7269969602179172</v>
      </c>
      <c r="X1293" s="4">
        <f t="shared" si="216"/>
        <v>0.99758928044969997</v>
      </c>
      <c r="Y1293" s="3">
        <f t="shared" si="213"/>
        <v>-169.35606374133113</v>
      </c>
      <c r="AA1293" s="3"/>
    </row>
    <row r="1294" spans="19:27" x14ac:dyDescent="0.25">
      <c r="S1294" s="4">
        <v>-0.12852852106038001</v>
      </c>
      <c r="T1294" s="4">
        <v>0.22061144008482231</v>
      </c>
      <c r="U1294" s="4">
        <f t="shared" si="214"/>
        <v>9.6523073694139802E-2</v>
      </c>
      <c r="W1294" s="4">
        <f t="shared" si="215"/>
        <v>-0.1902416979913219</v>
      </c>
      <c r="X1294" s="4">
        <f t="shared" si="216"/>
        <v>0.2359680579362721</v>
      </c>
      <c r="Y1294" s="3">
        <f t="shared" si="213"/>
        <v>54.176776879719455</v>
      </c>
      <c r="AA1294" s="3"/>
    </row>
    <row r="1295" spans="19:27" x14ac:dyDescent="0.25">
      <c r="S1295" s="4">
        <v>-1.0396249404519127</v>
      </c>
      <c r="T1295" s="4">
        <v>3.7176114738738109E-2</v>
      </c>
      <c r="U1295" s="4">
        <f t="shared" si="214"/>
        <v>-0.60430935020995369</v>
      </c>
      <c r="W1295" s="4">
        <f t="shared" si="215"/>
        <v>-1.7395217460957433</v>
      </c>
      <c r="X1295" s="4">
        <f t="shared" si="216"/>
        <v>-0.99966662469495637</v>
      </c>
      <c r="Y1295" s="3">
        <f t="shared" si="213"/>
        <v>186.68813393149139</v>
      </c>
      <c r="AA1295" s="3"/>
    </row>
    <row r="1296" spans="19:27" x14ac:dyDescent="0.25">
      <c r="S1296" s="4">
        <v>-1.4122652170597219</v>
      </c>
      <c r="T1296" s="4">
        <v>-0.70564481984585159</v>
      </c>
      <c r="U1296" s="4">
        <f t="shared" si="214"/>
        <v>-1.4203074034717849</v>
      </c>
      <c r="W1296" s="4">
        <f t="shared" si="215"/>
        <v>-2.3731804164416896</v>
      </c>
      <c r="X1296" s="4">
        <f t="shared" si="216"/>
        <v>-2.4383493413893857</v>
      </c>
      <c r="Y1296" s="3">
        <f t="shared" si="213"/>
        <v>151.21181825473832</v>
      </c>
      <c r="AA1296" s="3"/>
    </row>
    <row r="1297" spans="19:27" x14ac:dyDescent="0.25">
      <c r="S1297" s="4">
        <v>-0.12532612024251055</v>
      </c>
      <c r="T1297" s="4">
        <v>0.10729025774086158</v>
      </c>
      <c r="U1297" s="4">
        <f t="shared" si="214"/>
        <v>8.6465318633373173E-3</v>
      </c>
      <c r="W1297" s="4">
        <f t="shared" si="215"/>
        <v>-0.18479615393301918</v>
      </c>
      <c r="X1297" s="4">
        <f t="shared" si="216"/>
        <v>8.1033298681051413E-2</v>
      </c>
      <c r="Y1297" s="3">
        <f t="shared" si="213"/>
        <v>37.805362314780723</v>
      </c>
      <c r="AA1297" s="3"/>
    </row>
    <row r="1298" spans="19:27" x14ac:dyDescent="0.25">
      <c r="S1298" s="4">
        <v>-0.41400745218737539</v>
      </c>
      <c r="T1298" s="4">
        <v>-1.7927972601187949</v>
      </c>
      <c r="U1298" s="4">
        <f t="shared" si="214"/>
        <v>-1.6735242598001221</v>
      </c>
      <c r="W1298" s="4">
        <f t="shared" si="215"/>
        <v>-0.67568627085508903</v>
      </c>
      <c r="X1298" s="4">
        <f t="shared" si="216"/>
        <v>-2.8847949098794636</v>
      </c>
      <c r="Y1298" s="3">
        <f t="shared" si="213"/>
        <v>-179.01584351648899</v>
      </c>
      <c r="AA1298" s="3"/>
    </row>
    <row r="1299" spans="19:27" x14ac:dyDescent="0.25">
      <c r="S1299" s="4">
        <v>-0.79841650598622915</v>
      </c>
      <c r="T1299" s="4">
        <v>-1.9336238641115224</v>
      </c>
      <c r="U1299" s="4">
        <f t="shared" si="214"/>
        <v>-2.0195007209137024</v>
      </c>
      <c r="W1299" s="4">
        <f t="shared" si="215"/>
        <v>-1.3293572377095089</v>
      </c>
      <c r="X1299" s="4">
        <f t="shared" si="216"/>
        <v>-3.494784545268331</v>
      </c>
      <c r="Y1299" s="3">
        <f t="shared" si="213"/>
        <v>-131.84704130297723</v>
      </c>
      <c r="AA1299" s="3"/>
    </row>
    <row r="1300" spans="19:27" x14ac:dyDescent="0.25">
      <c r="S1300" s="4">
        <v>0.55586673413130705</v>
      </c>
      <c r="T1300" s="4">
        <v>1.6701628901426742E-3</v>
      </c>
      <c r="U1300" s="4">
        <f t="shared" si="214"/>
        <v>0.34019268833676042</v>
      </c>
      <c r="W1300" s="4">
        <f t="shared" si="215"/>
        <v>0.97354282724470032</v>
      </c>
      <c r="X1300" s="4">
        <f t="shared" si="216"/>
        <v>0.66558092498737043</v>
      </c>
      <c r="Y1300" s="3">
        <f t="shared" si="213"/>
        <v>-87.015294511457796</v>
      </c>
      <c r="AA1300" s="3"/>
    </row>
    <row r="1301" spans="19:27" x14ac:dyDescent="0.25">
      <c r="S1301" s="4">
        <v>-1.6201697231502235</v>
      </c>
      <c r="T1301" s="4">
        <v>1.2378979322199912</v>
      </c>
      <c r="U1301" s="4">
        <f t="shared" si="214"/>
        <v>-6.41980108860285E-3</v>
      </c>
      <c r="W1301" s="4">
        <f t="shared" si="215"/>
        <v>-2.726713035318769</v>
      </c>
      <c r="X1301" s="4">
        <f t="shared" si="216"/>
        <v>5.4469910771883262E-2</v>
      </c>
      <c r="Y1301" s="3">
        <f t="shared" si="213"/>
        <v>461.90212349014382</v>
      </c>
      <c r="AA1301" s="3"/>
    </row>
    <row r="1302" spans="19:27" x14ac:dyDescent="0.25">
      <c r="S1302" s="4">
        <v>0.37160621268876193</v>
      </c>
      <c r="T1302" s="4">
        <v>0.45695595376969439</v>
      </c>
      <c r="U1302" s="4">
        <f t="shared" si="214"/>
        <v>0.58876477603856814</v>
      </c>
      <c r="W1302" s="4">
        <f t="shared" si="215"/>
        <v>0.66021578144761406</v>
      </c>
      <c r="X1302" s="4">
        <f t="shared" si="216"/>
        <v>1.1038373215556272</v>
      </c>
      <c r="Y1302" s="3">
        <f t="shared" si="213"/>
        <v>5.7067338976876272</v>
      </c>
      <c r="AA1302" s="3"/>
    </row>
    <row r="1303" spans="19:27" x14ac:dyDescent="0.25">
      <c r="S1303" s="4">
        <v>0.23021565338038744</v>
      </c>
      <c r="T1303" s="4">
        <v>9.6507149111175139E-2</v>
      </c>
      <c r="U1303" s="4">
        <f t="shared" si="214"/>
        <v>0.2168450457096025</v>
      </c>
      <c r="W1303" s="4">
        <f t="shared" si="215"/>
        <v>0.41978725175030457</v>
      </c>
      <c r="X1303" s="4">
        <f t="shared" si="216"/>
        <v>0.44810721793215058</v>
      </c>
      <c r="Y1303" s="3">
        <f t="shared" si="213"/>
        <v>-22.0057983679676</v>
      </c>
      <c r="AA1303" s="3"/>
    </row>
    <row r="1304" spans="19:27" x14ac:dyDescent="0.25">
      <c r="S1304" s="4">
        <v>-0.17068707279308265</v>
      </c>
      <c r="T1304" s="4">
        <v>1.71284025088944</v>
      </c>
      <c r="U1304" s="4">
        <f t="shared" si="214"/>
        <v>1.2537001486792265</v>
      </c>
      <c r="W1304" s="4">
        <f t="shared" si="215"/>
        <v>-0.26193049147826653</v>
      </c>
      <c r="X1304" s="4">
        <f t="shared" si="216"/>
        <v>2.2761820649197739</v>
      </c>
      <c r="Y1304" s="3">
        <f t="shared" si="213"/>
        <v>269.77029608301382</v>
      </c>
      <c r="AA1304" s="3"/>
    </row>
    <row r="1305" spans="19:27" x14ac:dyDescent="0.25">
      <c r="S1305" s="4">
        <v>0.41871628520539772</v>
      </c>
      <c r="T1305" s="4">
        <v>-1.432509773722602</v>
      </c>
      <c r="U1305" s="4">
        <f t="shared" si="214"/>
        <v>-0.88028027488558114</v>
      </c>
      <c r="W1305" s="4">
        <f t="shared" si="215"/>
        <v>0.74032442183006641</v>
      </c>
      <c r="X1305" s="4">
        <f t="shared" si="216"/>
        <v>-1.4862297948568439</v>
      </c>
      <c r="Y1305" s="3">
        <f t="shared" si="213"/>
        <v>-265.84903238419247</v>
      </c>
      <c r="AA1305" s="3"/>
    </row>
    <row r="1306" spans="19:27" x14ac:dyDescent="0.25">
      <c r="S1306" s="4">
        <v>-0.72050944876355516</v>
      </c>
      <c r="T1306" s="4">
        <v>0.91819708638563158</v>
      </c>
      <c r="U1306" s="4">
        <f t="shared" si="214"/>
        <v>0.28860886632430033</v>
      </c>
      <c r="W1306" s="4">
        <f t="shared" si="215"/>
        <v>-1.1968796570795395</v>
      </c>
      <c r="X1306" s="4">
        <f t="shared" si="216"/>
        <v>0.57463370655503043</v>
      </c>
      <c r="Y1306" s="3">
        <f t="shared" si="213"/>
        <v>252.99119487467851</v>
      </c>
      <c r="AA1306" s="3"/>
    </row>
    <row r="1307" spans="19:27" x14ac:dyDescent="0.25">
      <c r="S1307" s="4">
        <v>-1.0366559942367131</v>
      </c>
      <c r="T1307" s="4">
        <v>-0.12340487030248164</v>
      </c>
      <c r="U1307" s="4">
        <f t="shared" si="214"/>
        <v>-0.72979067959013266</v>
      </c>
      <c r="W1307" s="4">
        <f t="shared" si="215"/>
        <v>-1.7344731814902805</v>
      </c>
      <c r="X1307" s="4">
        <f t="shared" si="216"/>
        <v>-1.220902225840659</v>
      </c>
      <c r="Y1307" s="3">
        <f t="shared" si="213"/>
        <v>163.70956950289383</v>
      </c>
      <c r="AA1307" s="3"/>
    </row>
    <row r="1308" spans="19:27" x14ac:dyDescent="0.25">
      <c r="S1308" s="4">
        <v>4.1801009389237614E-2</v>
      </c>
      <c r="T1308" s="4">
        <v>-0.20469077312224576</v>
      </c>
      <c r="U1308" s="4">
        <f t="shared" si="214"/>
        <v>-0.13677391422294491</v>
      </c>
      <c r="W1308" s="4">
        <f t="shared" si="215"/>
        <v>9.9396300262279372E-2</v>
      </c>
      <c r="X1308" s="4">
        <f t="shared" si="216"/>
        <v>-0.17535687480285189</v>
      </c>
      <c r="Y1308" s="3">
        <f t="shared" si="213"/>
        <v>-33.438454278016252</v>
      </c>
      <c r="AA1308" s="3"/>
    </row>
    <row r="1309" spans="19:27" x14ac:dyDescent="0.25">
      <c r="S1309" s="4">
        <v>-0.37178344442004396</v>
      </c>
      <c r="T1309" s="4">
        <v>-3.175100392726829E-2</v>
      </c>
      <c r="U1309" s="4">
        <f t="shared" si="214"/>
        <v>-0.25181625030256249</v>
      </c>
      <c r="W1309" s="4">
        <f t="shared" si="215"/>
        <v>-0.60388617221281715</v>
      </c>
      <c r="X1309" s="4">
        <f t="shared" si="216"/>
        <v>-0.37818753100882985</v>
      </c>
      <c r="Y1309" s="3">
        <f t="shared" si="213"/>
        <v>59.900144006285245</v>
      </c>
      <c r="AA1309" s="3"/>
    </row>
    <row r="1310" spans="19:27" x14ac:dyDescent="0.25">
      <c r="S1310" s="4">
        <v>0.68392423003794034</v>
      </c>
      <c r="T1310" s="4">
        <v>-1.9942798942187792</v>
      </c>
      <c r="U1310" s="4">
        <f t="shared" si="214"/>
        <v>-1.1639142854310665</v>
      </c>
      <c r="W1310" s="4">
        <f t="shared" si="215"/>
        <v>1.1912990594016197</v>
      </c>
      <c r="X1310" s="4">
        <f t="shared" si="216"/>
        <v>-1.986303719307225</v>
      </c>
      <c r="Y1310" s="3">
        <f t="shared" si="213"/>
        <v>-385.89151421659335</v>
      </c>
      <c r="AA1310" s="3"/>
    </row>
    <row r="1311" spans="19:27" x14ac:dyDescent="0.25">
      <c r="S1311" s="4">
        <v>0.39883995026377023</v>
      </c>
      <c r="T1311" s="4">
        <v>-0.8141741953078353</v>
      </c>
      <c r="U1311" s="4">
        <f t="shared" si="214"/>
        <v>-0.40224765410799146</v>
      </c>
      <c r="W1311" s="4">
        <f t="shared" si="215"/>
        <v>0.70652557409113037</v>
      </c>
      <c r="X1311" s="4">
        <f t="shared" si="216"/>
        <v>-0.64341250285506424</v>
      </c>
      <c r="Y1311" s="3">
        <f t="shared" si="213"/>
        <v>-176.27669790317168</v>
      </c>
      <c r="AA1311" s="3"/>
    </row>
    <row r="1312" spans="19:27" x14ac:dyDescent="0.25">
      <c r="S1312" s="4">
        <v>1.2015577609709349</v>
      </c>
      <c r="T1312" s="4">
        <v>0.36206840434653786</v>
      </c>
      <c r="U1312" s="4">
        <f t="shared" si="214"/>
        <v>1.0195051545040021</v>
      </c>
      <c r="W1312" s="4">
        <f t="shared" si="215"/>
        <v>2.0715124864721735</v>
      </c>
      <c r="X1312" s="4">
        <f t="shared" si="216"/>
        <v>1.8632738611447639</v>
      </c>
      <c r="Y1312" s="3">
        <f t="shared" si="213"/>
        <v>-134.66715782094798</v>
      </c>
      <c r="AA1312" s="3"/>
    </row>
    <row r="1313" spans="19:27" x14ac:dyDescent="0.25">
      <c r="S1313" s="4">
        <v>0.66260113195053016</v>
      </c>
      <c r="T1313" s="4">
        <v>0.26972009272646769</v>
      </c>
      <c r="U1313" s="4">
        <f t="shared" si="214"/>
        <v>0.61774139874818634</v>
      </c>
      <c r="W1313" s="4">
        <f t="shared" si="215"/>
        <v>1.1550400535187291</v>
      </c>
      <c r="X1313" s="4">
        <f t="shared" si="216"/>
        <v>1.1549258825072872</v>
      </c>
      <c r="Y1313" s="3">
        <f t="shared" si="213"/>
        <v>-66.175840314622292</v>
      </c>
      <c r="AA1313" s="3"/>
    </row>
    <row r="1314" spans="19:27" x14ac:dyDescent="0.25">
      <c r="S1314" s="4">
        <v>0.13625316920130995</v>
      </c>
      <c r="T1314" s="4">
        <v>-0.39892739756745377</v>
      </c>
      <c r="U1314" s="4">
        <f t="shared" si="214"/>
        <v>-0.23316359218229349</v>
      </c>
      <c r="W1314" s="4">
        <f t="shared" si="215"/>
        <v>0.26000811212181996</v>
      </c>
      <c r="X1314" s="4">
        <f t="shared" si="216"/>
        <v>-0.34530110836263472</v>
      </c>
      <c r="Y1314" s="3">
        <f t="shared" si="213"/>
        <v>-76.021977939931276</v>
      </c>
      <c r="AA1314" s="3"/>
    </row>
    <row r="1315" spans="19:27" x14ac:dyDescent="0.25">
      <c r="S1315" s="4">
        <v>-0.5208810292049163</v>
      </c>
      <c r="T1315" s="4">
        <v>-0.31117668647035651</v>
      </c>
      <c r="U1315" s="4">
        <f t="shared" si="214"/>
        <v>-0.56420797306954018</v>
      </c>
      <c r="W1315" s="4">
        <f t="shared" si="215"/>
        <v>-0.85742016533511178</v>
      </c>
      <c r="X1315" s="4">
        <f t="shared" si="216"/>
        <v>-0.92896405625507072</v>
      </c>
      <c r="Y1315" s="3">
        <f t="shared" si="213"/>
        <v>46.414974535735382</v>
      </c>
      <c r="AA1315" s="3"/>
    </row>
    <row r="1316" spans="19:27" x14ac:dyDescent="0.25">
      <c r="S1316" s="4">
        <v>0.61658779350693138</v>
      </c>
      <c r="T1316" s="4">
        <v>3.117954529317981E-2</v>
      </c>
      <c r="U1316" s="4">
        <f t="shared" si="214"/>
        <v>0.40060145284623228</v>
      </c>
      <c r="W1316" s="4">
        <f t="shared" si="215"/>
        <v>1.076796361983916</v>
      </c>
      <c r="X1316" s="4">
        <f t="shared" si="216"/>
        <v>0.77208736221382568</v>
      </c>
      <c r="Y1316" s="3">
        <f t="shared" si="213"/>
        <v>-92.368396734997077</v>
      </c>
      <c r="AA1316" s="3"/>
    </row>
    <row r="1317" spans="19:27" x14ac:dyDescent="0.25">
      <c r="S1317" s="4">
        <v>0.51754059624104765</v>
      </c>
      <c r="T1317" s="4">
        <v>-1.9681529955727433</v>
      </c>
      <c r="U1317" s="4">
        <f t="shared" si="214"/>
        <v>-1.2446348768845041</v>
      </c>
      <c r="W1317" s="4">
        <f t="shared" si="215"/>
        <v>0.90837088771064667</v>
      </c>
      <c r="X1317" s="4">
        <f t="shared" si="216"/>
        <v>-2.1286218527159941</v>
      </c>
      <c r="Y1317" s="3">
        <f t="shared" si="213"/>
        <v>-356.30635904575865</v>
      </c>
      <c r="AA1317" s="3"/>
    </row>
    <row r="1318" spans="19:27" x14ac:dyDescent="0.25">
      <c r="S1318" s="4">
        <v>0.51107804494826725</v>
      </c>
      <c r="T1318" s="4">
        <v>-0.83081153181036027</v>
      </c>
      <c r="U1318" s="4">
        <f t="shared" si="214"/>
        <v>-0.34701309121039647</v>
      </c>
      <c r="W1318" s="4">
        <f t="shared" si="215"/>
        <v>0.89738159880043156</v>
      </c>
      <c r="X1318" s="4">
        <f t="shared" si="216"/>
        <v>-0.54602867860782278</v>
      </c>
      <c r="Y1318" s="3">
        <f t="shared" si="213"/>
        <v>-196.3369238549999</v>
      </c>
      <c r="AA1318" s="3"/>
    </row>
    <row r="1319" spans="19:27" x14ac:dyDescent="0.25">
      <c r="S1319" s="4">
        <v>-2.1671407270633987</v>
      </c>
      <c r="T1319" s="4">
        <v>0.62528803133686461</v>
      </c>
      <c r="U1319" s="4">
        <f t="shared" si="214"/>
        <v>-0.82547650816433737</v>
      </c>
      <c r="W1319" s="4">
        <f t="shared" si="215"/>
        <v>-3.6568135660839576</v>
      </c>
      <c r="X1319" s="4">
        <f t="shared" si="216"/>
        <v>-1.389605505526208</v>
      </c>
      <c r="Y1319" s="3">
        <f t="shared" si="213"/>
        <v>482.27555680387741</v>
      </c>
      <c r="AA1319" s="3"/>
    </row>
    <row r="1320" spans="19:27" x14ac:dyDescent="0.25">
      <c r="S1320" s="4">
        <v>-0.73600459649964989</v>
      </c>
      <c r="T1320" s="4">
        <v>-1.0914658832411148</v>
      </c>
      <c r="U1320" s="4">
        <f t="shared" si="214"/>
        <v>-1.3138811182429433</v>
      </c>
      <c r="W1320" s="4">
        <f t="shared" si="215"/>
        <v>-1.223228485501008</v>
      </c>
      <c r="X1320" s="4">
        <f t="shared" si="216"/>
        <v>-2.2507096079994873</v>
      </c>
      <c r="Y1320" s="3">
        <f t="shared" si="213"/>
        <v>-25.154266247421219</v>
      </c>
      <c r="AA1320" s="3"/>
    </row>
    <row r="1321" spans="19:27" x14ac:dyDescent="0.25">
      <c r="S1321" s="4">
        <v>-0.52242420009726998</v>
      </c>
      <c r="T1321" s="4">
        <v>-0.67918230029740756</v>
      </c>
      <c r="U1321" s="4">
        <f t="shared" si="214"/>
        <v>-0.85686383748224459</v>
      </c>
      <c r="W1321" s="4">
        <f t="shared" si="215"/>
        <v>-0.86004426068161277</v>
      </c>
      <c r="X1321" s="4">
        <f t="shared" si="216"/>
        <v>-1.4449443731036042</v>
      </c>
      <c r="Y1321" s="3">
        <f t="shared" si="213"/>
        <v>-4.7508124933651743</v>
      </c>
      <c r="AA1321" s="3"/>
    </row>
    <row r="1322" spans="19:27" x14ac:dyDescent="0.25">
      <c r="S1322" s="4">
        <v>3.1273059486586812</v>
      </c>
      <c r="T1322" s="4">
        <v>-0.40204898693069591</v>
      </c>
      <c r="U1322" s="4">
        <f t="shared" si="214"/>
        <v>1.587774459130797</v>
      </c>
      <c r="W1322" s="4">
        <f t="shared" si="215"/>
        <v>5.3461639737981717</v>
      </c>
      <c r="X1322" s="4">
        <f t="shared" si="216"/>
        <v>2.8651870688129186</v>
      </c>
      <c r="Y1322" s="3">
        <f t="shared" si="213"/>
        <v>-498.58322050912238</v>
      </c>
      <c r="AA1322" s="3"/>
    </row>
    <row r="1323" spans="19:27" x14ac:dyDescent="0.25">
      <c r="S1323" s="4">
        <v>0.37461328926830245</v>
      </c>
      <c r="T1323" s="4">
        <v>-8.0791776108387198E-2</v>
      </c>
      <c r="U1323" s="4">
        <f t="shared" si="214"/>
        <v>0.16432962333758888</v>
      </c>
      <c r="W1323" s="4">
        <f t="shared" si="215"/>
        <v>0.66532918508815908</v>
      </c>
      <c r="X1323" s="4">
        <f t="shared" si="216"/>
        <v>0.35551749884579742</v>
      </c>
      <c r="Y1323" s="3">
        <f t="shared" si="213"/>
        <v>-69.927245462891278</v>
      </c>
      <c r="AA1323" s="3"/>
    </row>
    <row r="1324" spans="19:27" x14ac:dyDescent="0.25">
      <c r="S1324" s="4">
        <v>-4.5965763291853111E-2</v>
      </c>
      <c r="T1324" s="4">
        <v>0.71444517003803543</v>
      </c>
      <c r="U1324" s="4">
        <f t="shared" si="214"/>
        <v>0.53831322937511961</v>
      </c>
      <c r="W1324" s="4">
        <f t="shared" si="215"/>
        <v>-4.9847299983828405E-2</v>
      </c>
      <c r="X1324" s="4">
        <f t="shared" si="216"/>
        <v>1.0148864130025208</v>
      </c>
      <c r="Y1324" s="3">
        <f t="shared" si="213"/>
        <v>109.48311600694069</v>
      </c>
      <c r="AA1324" s="3"/>
    </row>
    <row r="1325" spans="19:27" x14ac:dyDescent="0.25">
      <c r="S1325" s="4">
        <v>0.30944611056410931</v>
      </c>
      <c r="T1325" s="4">
        <v>0.66797408105147238</v>
      </c>
      <c r="U1325" s="4">
        <f t="shared" si="214"/>
        <v>0.71814297622418199</v>
      </c>
      <c r="W1325" s="4">
        <f t="shared" si="215"/>
        <v>0.55451521676514848</v>
      </c>
      <c r="X1325" s="4">
        <f t="shared" si="216"/>
        <v>1.3319434791377818</v>
      </c>
      <c r="Y1325" s="3">
        <f t="shared" si="213"/>
        <v>45.125618740436948</v>
      </c>
      <c r="AA1325" s="3"/>
    </row>
    <row r="1326" spans="19:27" x14ac:dyDescent="0.25">
      <c r="S1326" s="4">
        <v>-0.93174746620479865</v>
      </c>
      <c r="T1326" s="4">
        <v>1.4249341157235956E-2</v>
      </c>
      <c r="U1326" s="4">
        <f t="shared" si="214"/>
        <v>-0.55671870540063939</v>
      </c>
      <c r="W1326" s="4">
        <f t="shared" si="215"/>
        <v>-1.5560807678043675</v>
      </c>
      <c r="X1326" s="4">
        <f t="shared" si="216"/>
        <v>-0.91575976010157412</v>
      </c>
      <c r="Y1326" s="3">
        <f t="shared" si="213"/>
        <v>164.09883443540366</v>
      </c>
      <c r="AA1326" s="3"/>
    </row>
    <row r="1327" spans="19:27" x14ac:dyDescent="0.25">
      <c r="S1327" s="4">
        <v>0.64378652595043273</v>
      </c>
      <c r="T1327" s="4">
        <v>0.60213182531713694</v>
      </c>
      <c r="U1327" s="4">
        <f t="shared" si="214"/>
        <v>0.86977172256835444</v>
      </c>
      <c r="W1327" s="4">
        <f t="shared" si="215"/>
        <v>1.1230466299155899</v>
      </c>
      <c r="X1327" s="4">
        <f t="shared" si="216"/>
        <v>1.5992794805502846</v>
      </c>
      <c r="Y1327" s="3">
        <f t="shared" si="213"/>
        <v>-16.800168839491562</v>
      </c>
      <c r="AA1327" s="3"/>
    </row>
    <row r="1328" spans="19:27" x14ac:dyDescent="0.25">
      <c r="S1328" s="4">
        <v>2.0349523867595396</v>
      </c>
      <c r="T1328" s="4">
        <v>0.99737009806346566</v>
      </c>
      <c r="U1328" s="4">
        <f t="shared" si="214"/>
        <v>2.0311596951915911</v>
      </c>
      <c r="W1328" s="4">
        <f t="shared" si="215"/>
        <v>3.4886639958525154</v>
      </c>
      <c r="X1328" s="4">
        <f t="shared" si="216"/>
        <v>3.646917703350919</v>
      </c>
      <c r="Y1328" s="3">
        <f t="shared" si="213"/>
        <v>-163.5225180616053</v>
      </c>
      <c r="AA1328" s="3"/>
    </row>
    <row r="1329" spans="19:27" x14ac:dyDescent="0.25">
      <c r="S1329" s="4">
        <v>-0.55456803181831904</v>
      </c>
      <c r="T1329" s="4">
        <v>0.2887473424470588</v>
      </c>
      <c r="U1329" s="4">
        <f t="shared" si="214"/>
        <v>-0.10918933178911869</v>
      </c>
      <c r="W1329" s="4">
        <f t="shared" si="215"/>
        <v>-0.91470345601497349</v>
      </c>
      <c r="X1329" s="4">
        <f t="shared" si="216"/>
        <v>-0.12672261417423669</v>
      </c>
      <c r="Y1329" s="3">
        <f t="shared" si="213"/>
        <v>136.08311113723403</v>
      </c>
      <c r="AA1329" s="3"/>
    </row>
    <row r="1330" spans="19:27" x14ac:dyDescent="0.25">
      <c r="S1330" s="4">
        <v>-1.046219196667457</v>
      </c>
      <c r="T1330" s="4">
        <v>-1.1414052911031156</v>
      </c>
      <c r="U1330" s="4">
        <f t="shared" si="214"/>
        <v>-1.542581430010642</v>
      </c>
      <c r="W1330" s="4">
        <f t="shared" si="215"/>
        <v>-1.7507349935297023</v>
      </c>
      <c r="X1330" s="4">
        <f t="shared" si="216"/>
        <v>-2.6539301604598498</v>
      </c>
      <c r="Y1330" s="3">
        <f t="shared" si="213"/>
        <v>23.161294507656748</v>
      </c>
      <c r="AA1330" s="3"/>
    </row>
    <row r="1331" spans="19:27" x14ac:dyDescent="0.25">
      <c r="S1331" s="4">
        <v>-1.1835175487270619</v>
      </c>
      <c r="T1331" s="4">
        <v>-1.411008191264169</v>
      </c>
      <c r="U1331" s="4">
        <f t="shared" si="214"/>
        <v>-1.8399936360475275</v>
      </c>
      <c r="W1331" s="4">
        <f t="shared" si="215"/>
        <v>-1.9842049018250518</v>
      </c>
      <c r="X1331" s="4">
        <f t="shared" si="216"/>
        <v>-3.1782963631105003</v>
      </c>
      <c r="Y1331" s="3">
        <f t="shared" si="213"/>
        <v>10.426172547757687</v>
      </c>
      <c r="AA1331" s="3"/>
    </row>
    <row r="1332" spans="19:27" x14ac:dyDescent="0.25">
      <c r="S1332" s="4">
        <v>1.084202024531819E-2</v>
      </c>
      <c r="T1332" s="4">
        <v>-1.6968599573041006</v>
      </c>
      <c r="U1332" s="4">
        <f t="shared" si="214"/>
        <v>-1.3384778079662782</v>
      </c>
      <c r="W1332" s="4">
        <f t="shared" si="215"/>
        <v>4.6751878476286451E-2</v>
      </c>
      <c r="X1332" s="4">
        <f t="shared" si="216"/>
        <v>-2.2940759276266038</v>
      </c>
      <c r="Y1332" s="3">
        <f t="shared" si="213"/>
        <v>-236.89394978199471</v>
      </c>
      <c r="AA1332" s="3"/>
    </row>
    <row r="1333" spans="19:27" x14ac:dyDescent="0.25">
      <c r="S1333" s="4">
        <v>-0.6110649473497759</v>
      </c>
      <c r="T1333" s="4">
        <v>0.37929487534547307</v>
      </c>
      <c r="U1333" s="4">
        <f t="shared" si="214"/>
        <v>-7.1854805384723774E-2</v>
      </c>
      <c r="W1333" s="4">
        <f t="shared" si="215"/>
        <v>-1.0107740168791932</v>
      </c>
      <c r="X1333" s="4">
        <f t="shared" si="216"/>
        <v>-6.0898268565485691E-2</v>
      </c>
      <c r="Y1333" s="3">
        <f t="shared" si="213"/>
        <v>158.54284424150683</v>
      </c>
      <c r="AA1333" s="3"/>
    </row>
    <row r="1334" spans="19:27" x14ac:dyDescent="0.25">
      <c r="S1334" s="4">
        <v>7.6426212359164719E-2</v>
      </c>
      <c r="T1334" s="4">
        <v>-2.2733109669749772E-4</v>
      </c>
      <c r="U1334" s="4">
        <f t="shared" si="214"/>
        <v>4.6410920718568616E-2</v>
      </c>
      <c r="W1334" s="4">
        <f t="shared" si="215"/>
        <v>0.15827496006285213</v>
      </c>
      <c r="X1334" s="4">
        <f t="shared" si="216"/>
        <v>0.14761553295890167</v>
      </c>
      <c r="Y1334" s="3">
        <f t="shared" si="213"/>
        <v>-10.53736011944784</v>
      </c>
      <c r="AA1334" s="3"/>
    </row>
    <row r="1335" spans="19:27" x14ac:dyDescent="0.25">
      <c r="S1335" s="4">
        <v>-0.39505755033500695</v>
      </c>
      <c r="T1335" s="4">
        <v>-0.16545085611322499</v>
      </c>
      <c r="U1335" s="4">
        <f t="shared" si="214"/>
        <v>-0.37198747031798923</v>
      </c>
      <c r="W1335" s="4">
        <f t="shared" si="215"/>
        <v>-0.64346278250791888</v>
      </c>
      <c r="X1335" s="4">
        <f t="shared" si="216"/>
        <v>-0.59006090079100382</v>
      </c>
      <c r="Y1335" s="3">
        <f t="shared" si="213"/>
        <v>45.183247057715562</v>
      </c>
      <c r="AA1335" s="3"/>
    </row>
    <row r="1336" spans="19:27" x14ac:dyDescent="0.25">
      <c r="S1336" s="4">
        <v>0.13930152748249819</v>
      </c>
      <c r="T1336" s="4">
        <v>0.47566002814450398</v>
      </c>
      <c r="U1336" s="4">
        <f t="shared" si="214"/>
        <v>0.46197322726736284</v>
      </c>
      <c r="W1336" s="4">
        <f t="shared" si="215"/>
        <v>0.26519171351021403</v>
      </c>
      <c r="X1336" s="4">
        <f t="shared" si="216"/>
        <v>0.88029167814277387</v>
      </c>
      <c r="Y1336" s="3">
        <f t="shared" si="213"/>
        <v>45.713649877526223</v>
      </c>
      <c r="AA1336" s="3"/>
    </row>
    <row r="1337" spans="19:27" x14ac:dyDescent="0.25">
      <c r="S1337" s="4">
        <v>-0.60877596782988974</v>
      </c>
      <c r="T1337" s="4">
        <v>0.79130131977862295</v>
      </c>
      <c r="U1337" s="4">
        <f t="shared" si="214"/>
        <v>0.25613482785587116</v>
      </c>
      <c r="W1337" s="4">
        <f t="shared" si="215"/>
        <v>-1.0068817062244684</v>
      </c>
      <c r="X1337" s="4">
        <f t="shared" si="216"/>
        <v>0.51737886667024946</v>
      </c>
      <c r="Y1337" s="3">
        <f t="shared" si="213"/>
        <v>215.72634497793024</v>
      </c>
      <c r="AA1337" s="3"/>
    </row>
    <row r="1338" spans="19:27" x14ac:dyDescent="0.25">
      <c r="S1338" s="4">
        <v>1.031891598913387</v>
      </c>
      <c r="T1338" s="4">
        <v>1.062860745084625</v>
      </c>
      <c r="U1338" s="4">
        <f t="shared" si="214"/>
        <v>1.4715853719844008</v>
      </c>
      <c r="W1338" s="4">
        <f t="shared" si="215"/>
        <v>1.7830025174726691</v>
      </c>
      <c r="X1338" s="4">
        <f t="shared" si="216"/>
        <v>2.6603345806509324</v>
      </c>
      <c r="Y1338" s="3">
        <f t="shared" si="213"/>
        <v>-11.555694712787954</v>
      </c>
      <c r="AA1338" s="3"/>
    </row>
    <row r="1339" spans="19:27" x14ac:dyDescent="0.25">
      <c r="S1339" s="4">
        <v>7.6117312326702061E-2</v>
      </c>
      <c r="T1339" s="4">
        <v>0.41200825568772736</v>
      </c>
      <c r="U1339" s="4">
        <f t="shared" si="214"/>
        <v>0.37299846793360125</v>
      </c>
      <c r="W1339" s="4">
        <f t="shared" si="215"/>
        <v>0.15774968892033922</v>
      </c>
      <c r="X1339" s="4">
        <f t="shared" si="216"/>
        <v>0.72342065625265739</v>
      </c>
      <c r="Y1339" s="3">
        <f t="shared" si="213"/>
        <v>47.126898501998767</v>
      </c>
      <c r="AA1339" s="3"/>
    </row>
    <row r="1340" spans="19:27" x14ac:dyDescent="0.25">
      <c r="S1340" s="4">
        <v>-0.25860330006275584</v>
      </c>
      <c r="T1340" s="4">
        <v>0.91868909226351636</v>
      </c>
      <c r="U1340" s="4">
        <f t="shared" si="214"/>
        <v>0.57058716968715995</v>
      </c>
      <c r="W1340" s="4">
        <f t="shared" si="215"/>
        <v>-0.41142823278701079</v>
      </c>
      <c r="X1340" s="4">
        <f t="shared" si="216"/>
        <v>1.071788460674026</v>
      </c>
      <c r="Y1340" s="3">
        <f t="shared" si="213"/>
        <v>173.54898702547962</v>
      </c>
      <c r="AA1340" s="3"/>
    </row>
    <row r="1341" spans="19:27" x14ac:dyDescent="0.25">
      <c r="S1341" s="4">
        <v>-1.0974871934049941</v>
      </c>
      <c r="T1341" s="4">
        <v>0.74978119873648597</v>
      </c>
      <c r="U1341" s="4">
        <f t="shared" si="214"/>
        <v>-7.4707107883348223E-2</v>
      </c>
      <c r="W1341" s="4">
        <f t="shared" si="215"/>
        <v>-1.8379140041823776</v>
      </c>
      <c r="X1341" s="4">
        <f t="shared" si="216"/>
        <v>-6.5927151037878828E-2</v>
      </c>
      <c r="Y1341" s="3">
        <f t="shared" si="213"/>
        <v>296.75243525878341</v>
      </c>
      <c r="AA1341" s="3"/>
    </row>
    <row r="1342" spans="19:27" x14ac:dyDescent="0.25">
      <c r="S1342" s="4">
        <v>-0.30735120761516471</v>
      </c>
      <c r="T1342" s="4">
        <v>-0.67466365151071317</v>
      </c>
      <c r="U1342" s="4">
        <f t="shared" si="214"/>
        <v>-0.72216864575851358</v>
      </c>
      <c r="W1342" s="4">
        <f t="shared" si="215"/>
        <v>-0.49432194079677771</v>
      </c>
      <c r="X1342" s="4">
        <f t="shared" si="216"/>
        <v>-1.2074638502271673</v>
      </c>
      <c r="Y1342" s="3">
        <f t="shared" si="213"/>
        <v>-40.897668654143217</v>
      </c>
      <c r="AA1342" s="3"/>
    </row>
    <row r="1343" spans="19:27" x14ac:dyDescent="0.25">
      <c r="S1343" s="4">
        <v>-4.2945908536625263E-2</v>
      </c>
      <c r="T1343" s="4">
        <v>0.61031697529648332</v>
      </c>
      <c r="U1343" s="4">
        <f t="shared" si="214"/>
        <v>0.4576126112942312</v>
      </c>
      <c r="W1343" s="4">
        <f t="shared" si="215"/>
        <v>-4.4712167608297465E-2</v>
      </c>
      <c r="X1343" s="4">
        <f t="shared" si="216"/>
        <v>0.87260349456242259</v>
      </c>
      <c r="Y1343" s="3">
        <f t="shared" si="213"/>
        <v>94.430661353858341</v>
      </c>
      <c r="AA1343" s="3"/>
    </row>
    <row r="1344" spans="19:27" x14ac:dyDescent="0.25">
      <c r="S1344" s="4">
        <v>-1.0928606852343188</v>
      </c>
      <c r="T1344" s="4">
        <v>6.1547119357814969E-2</v>
      </c>
      <c r="U1344" s="4">
        <f t="shared" si="214"/>
        <v>-0.61744434716234531</v>
      </c>
      <c r="W1344" s="4">
        <f t="shared" si="215"/>
        <v>-1.8300468271760117</v>
      </c>
      <c r="X1344" s="4">
        <f t="shared" si="216"/>
        <v>-1.0228248822713089</v>
      </c>
      <c r="Y1344" s="3">
        <f t="shared" si="213"/>
        <v>199.72625375626922</v>
      </c>
      <c r="AA1344" s="3"/>
    </row>
    <row r="1345" spans="19:27" x14ac:dyDescent="0.25">
      <c r="S1345" s="4">
        <v>1.3134375082149721</v>
      </c>
      <c r="T1345" s="4">
        <v>1.2228819566570579</v>
      </c>
      <c r="U1345" s="4">
        <f t="shared" si="214"/>
        <v>1.7700695773801791</v>
      </c>
      <c r="W1345" s="4">
        <f t="shared" si="215"/>
        <v>2.2617591568607054</v>
      </c>
      <c r="X1345" s="4">
        <f t="shared" si="216"/>
        <v>3.1865908208375573</v>
      </c>
      <c r="Y1345" s="3">
        <f t="shared" si="213"/>
        <v>-30.730168227236391</v>
      </c>
      <c r="AA1345" s="3"/>
    </row>
    <row r="1346" spans="19:27" x14ac:dyDescent="0.25">
      <c r="S1346" s="4">
        <v>-0.90254738757407149</v>
      </c>
      <c r="T1346" s="4">
        <v>3.1032486464650217</v>
      </c>
      <c r="U1346" s="4">
        <f t="shared" si="214"/>
        <v>1.9097074098684024</v>
      </c>
      <c r="W1346" s="4">
        <f t="shared" si="215"/>
        <v>-1.5064272972574431</v>
      </c>
      <c r="X1346" s="4">
        <f t="shared" si="216"/>
        <v>3.4327856927424993</v>
      </c>
      <c r="Y1346" s="3">
        <f t="shared" ref="Y1346:Y1409" si="217">(B$4*EXP(-B$8*B$7)*NORMSDIST((LN(B$4/(B$5+W1346))-B$8*B$7+B$9*B$7+0.5*B$6*B$6*B$7)/(B$6*SQRT(B$7)))-(B$5+W1346)*EXP(-B$9*B$7)*NORMSDIST((LN(B$4/(B$5+W1346))-B$8*B$7+B$9*B$7-0.5*B$6*B$6*B$7)/(B$6*SQRT(B$7))))*400+100*X1346-400*$B$13</f>
        <v>590.59844918192812</v>
      </c>
      <c r="AA1346" s="3"/>
    </row>
    <row r="1347" spans="19:27" x14ac:dyDescent="0.25">
      <c r="S1347" s="4">
        <v>0.4557221050632741</v>
      </c>
      <c r="T1347" s="4">
        <v>0.58156060773839691</v>
      </c>
      <c r="U1347" s="4">
        <f t="shared" ref="U1347:U1410" si="218">$B$19*S1347+SQRT(1-$B$19^2)*T1347</f>
        <v>0.73881681553525158</v>
      </c>
      <c r="W1347" s="4">
        <f t="shared" ref="W1347:W1410" si="219">S1347*SQRT($B$16)+$B$20</f>
        <v>0.80325121766561935</v>
      </c>
      <c r="X1347" s="4">
        <f t="shared" ref="X1347:X1410" si="220">U1347*SQRT($C$17)+$C$20</f>
        <v>1.3683934377935163</v>
      </c>
      <c r="Y1347" s="3">
        <f t="shared" si="217"/>
        <v>9.7787661105230654</v>
      </c>
      <c r="AA1347" s="3"/>
    </row>
    <row r="1348" spans="19:27" x14ac:dyDescent="0.25">
      <c r="S1348" s="4">
        <v>0.21175771979516889</v>
      </c>
      <c r="T1348" s="4">
        <v>0.31369718783577144</v>
      </c>
      <c r="U1348" s="4">
        <f t="shared" si="218"/>
        <v>0.3777574878555493</v>
      </c>
      <c r="W1348" s="4">
        <f t="shared" si="219"/>
        <v>0.38840033415939412</v>
      </c>
      <c r="X1348" s="4">
        <f t="shared" si="220"/>
        <v>0.73181126415024045</v>
      </c>
      <c r="Y1348" s="3">
        <f t="shared" si="217"/>
        <v>11.329008352898654</v>
      </c>
      <c r="AA1348" s="3"/>
    </row>
    <row r="1349" spans="19:27" x14ac:dyDescent="0.25">
      <c r="S1349" s="4">
        <v>-0.30791152969124869</v>
      </c>
      <c r="T1349" s="4">
        <v>-2.7153886250234289</v>
      </c>
      <c r="U1349" s="4">
        <f t="shared" si="218"/>
        <v>-2.34017662995246</v>
      </c>
      <c r="W1349" s="4">
        <f t="shared" si="219"/>
        <v>-0.49527474424821605</v>
      </c>
      <c r="X1349" s="4">
        <f t="shared" si="220"/>
        <v>-4.0601668842949428</v>
      </c>
      <c r="Y1349" s="3">
        <f t="shared" si="217"/>
        <v>-326.01283744524517</v>
      </c>
      <c r="AA1349" s="3"/>
    </row>
    <row r="1350" spans="19:27" x14ac:dyDescent="0.25">
      <c r="S1350" s="4">
        <v>0.23937467062265766</v>
      </c>
      <c r="T1350" s="4">
        <v>0.1900638881543292</v>
      </c>
      <c r="U1350" s="4">
        <f t="shared" si="218"/>
        <v>0.2965902673326748</v>
      </c>
      <c r="W1350" s="4">
        <f t="shared" si="219"/>
        <v>0.43536176436135204</v>
      </c>
      <c r="X1350" s="4">
        <f t="shared" si="220"/>
        <v>0.58870568091802722</v>
      </c>
      <c r="Y1350" s="3">
        <f t="shared" si="217"/>
        <v>-10.407461651604081</v>
      </c>
      <c r="AA1350" s="3"/>
    </row>
    <row r="1351" spans="19:27" x14ac:dyDescent="0.25">
      <c r="S1351" s="4">
        <v>-1.8012488535807645</v>
      </c>
      <c r="T1351" s="4">
        <v>1.1175286216233205</v>
      </c>
      <c r="U1351" s="4">
        <f t="shared" si="218"/>
        <v>-0.21222547104529565</v>
      </c>
      <c r="W1351" s="4">
        <f t="shared" si="219"/>
        <v>-3.0346302633235642</v>
      </c>
      <c r="X1351" s="4">
        <f t="shared" si="220"/>
        <v>-0.30838519553730426</v>
      </c>
      <c r="Y1351" s="3">
        <f t="shared" si="217"/>
        <v>479.64996185315977</v>
      </c>
      <c r="AA1351" s="3"/>
    </row>
    <row r="1352" spans="19:27" x14ac:dyDescent="0.25">
      <c r="S1352" s="4">
        <v>-0.15482469844983326</v>
      </c>
      <c r="T1352" s="4">
        <v>-0.28014996210698412</v>
      </c>
      <c r="U1352" s="4">
        <f t="shared" si="218"/>
        <v>-0.31645722966943862</v>
      </c>
      <c r="W1352" s="4">
        <f t="shared" si="219"/>
        <v>-0.23495721009716736</v>
      </c>
      <c r="X1352" s="4">
        <f t="shared" si="220"/>
        <v>-0.4921557683515303</v>
      </c>
      <c r="Y1352" s="3">
        <f t="shared" si="217"/>
        <v>-11.420686892765843</v>
      </c>
      <c r="AA1352" s="3"/>
    </row>
    <row r="1353" spans="19:27" x14ac:dyDescent="0.25">
      <c r="S1353" s="4">
        <v>-0.86470142058505994</v>
      </c>
      <c r="T1353" s="4">
        <v>1.1885796041674099</v>
      </c>
      <c r="U1353" s="4">
        <f t="shared" si="218"/>
        <v>0.41503628701825135</v>
      </c>
      <c r="W1353" s="4">
        <f t="shared" si="219"/>
        <v>-1.4420718675692741</v>
      </c>
      <c r="X1353" s="4">
        <f t="shared" si="220"/>
        <v>0.79753735729484387</v>
      </c>
      <c r="Y1353" s="3">
        <f t="shared" si="217"/>
        <v>316.26428103987655</v>
      </c>
      <c r="AA1353" s="3"/>
    </row>
    <row r="1354" spans="19:27" x14ac:dyDescent="0.25">
      <c r="S1354" s="4">
        <v>1.3427814334905239</v>
      </c>
      <c r="T1354" s="4">
        <v>-0.84721459997098136</v>
      </c>
      <c r="U1354" s="4">
        <f t="shared" si="218"/>
        <v>0.14700927007182474</v>
      </c>
      <c r="W1354" s="4">
        <f t="shared" si="219"/>
        <v>2.3116572324044999</v>
      </c>
      <c r="X1354" s="4">
        <f t="shared" si="220"/>
        <v>0.32498005725400836</v>
      </c>
      <c r="Y1354" s="3">
        <f t="shared" si="217"/>
        <v>-324.30882952748743</v>
      </c>
      <c r="AA1354" s="3"/>
    </row>
    <row r="1355" spans="19:27" x14ac:dyDescent="0.25">
      <c r="S1355" s="4">
        <v>-0.53815555126060333</v>
      </c>
      <c r="T1355" s="4">
        <v>2.2848234360312536</v>
      </c>
      <c r="U1355" s="4">
        <f t="shared" si="218"/>
        <v>1.483089671132326</v>
      </c>
      <c r="W1355" s="4">
        <f t="shared" si="219"/>
        <v>-0.88679474281318937</v>
      </c>
      <c r="X1355" s="4">
        <f t="shared" si="220"/>
        <v>2.6806177618247626</v>
      </c>
      <c r="Y1355" s="3">
        <f t="shared" si="217"/>
        <v>412.21383760951448</v>
      </c>
      <c r="AA1355" s="3"/>
    </row>
    <row r="1356" spans="19:27" x14ac:dyDescent="0.25">
      <c r="S1356" s="4">
        <v>-1.2505848276447793</v>
      </c>
      <c r="T1356" s="4">
        <v>0.78925531183817621</v>
      </c>
      <c r="U1356" s="4">
        <f t="shared" si="218"/>
        <v>-0.13674802719742718</v>
      </c>
      <c r="W1356" s="4">
        <f t="shared" si="219"/>
        <v>-2.0982499083648278</v>
      </c>
      <c r="X1356" s="4">
        <f t="shared" si="220"/>
        <v>-0.17531123349764277</v>
      </c>
      <c r="Y1356" s="3">
        <f t="shared" si="217"/>
        <v>330.22357691820616</v>
      </c>
      <c r="AA1356" s="3"/>
    </row>
    <row r="1357" spans="19:27" x14ac:dyDescent="0.25">
      <c r="S1357" s="4">
        <v>0.5036544320547014</v>
      </c>
      <c r="T1357" s="4">
        <v>-1.4682090390973745</v>
      </c>
      <c r="U1357" s="4">
        <f t="shared" si="218"/>
        <v>-0.85679860818337605</v>
      </c>
      <c r="W1357" s="4">
        <f t="shared" si="219"/>
        <v>0.88475806621259268</v>
      </c>
      <c r="X1357" s="4">
        <f t="shared" si="220"/>
        <v>-1.4448293676026362</v>
      </c>
      <c r="Y1357" s="3">
        <f t="shared" si="217"/>
        <v>-284.25180011806515</v>
      </c>
      <c r="AA1357" s="3"/>
    </row>
    <row r="1358" spans="19:27" x14ac:dyDescent="0.25">
      <c r="S1358" s="4">
        <v>-0.58911161462936146</v>
      </c>
      <c r="T1358" s="4">
        <v>-1.3135598418172352</v>
      </c>
      <c r="U1358" s="4">
        <f t="shared" si="218"/>
        <v>-1.4003839874581916</v>
      </c>
      <c r="W1358" s="4">
        <f t="shared" si="219"/>
        <v>-0.97344332426616487</v>
      </c>
      <c r="X1358" s="4">
        <f t="shared" si="220"/>
        <v>-2.4032224508757483</v>
      </c>
      <c r="Y1358" s="3">
        <f t="shared" si="217"/>
        <v>-81.864864267910889</v>
      </c>
      <c r="AA1358" s="3"/>
    </row>
    <row r="1359" spans="19:27" x14ac:dyDescent="0.25">
      <c r="S1359" s="4">
        <v>-9.7900738973085211E-2</v>
      </c>
      <c r="T1359" s="4">
        <v>-0.80783358400895144</v>
      </c>
      <c r="U1359" s="4">
        <f t="shared" si="218"/>
        <v>-0.70004570950029055</v>
      </c>
      <c r="W1359" s="4">
        <f t="shared" si="219"/>
        <v>-0.13816047947745094</v>
      </c>
      <c r="X1359" s="4">
        <f t="shared" si="220"/>
        <v>-1.168458994872414</v>
      </c>
      <c r="Y1359" s="3">
        <f t="shared" si="217"/>
        <v>-94.656242291573562</v>
      </c>
      <c r="AA1359" s="3"/>
    </row>
    <row r="1360" spans="19:27" x14ac:dyDescent="0.25">
      <c r="S1360" s="4">
        <v>-7.698828797524827E-3</v>
      </c>
      <c r="T1360" s="4">
        <v>1.4515282757129513</v>
      </c>
      <c r="U1360" s="4">
        <f t="shared" si="218"/>
        <v>1.1459215016129096</v>
      </c>
      <c r="W1360" s="4">
        <f t="shared" si="219"/>
        <v>1.5223966736520914E-2</v>
      </c>
      <c r="X1360" s="4">
        <f t="shared" si="220"/>
        <v>2.0861579880936194</v>
      </c>
      <c r="Y1360" s="3">
        <f t="shared" si="217"/>
        <v>206.17675144467012</v>
      </c>
      <c r="AA1360" s="3"/>
    </row>
    <row r="1361" spans="19:27" x14ac:dyDescent="0.25">
      <c r="S1361" s="4">
        <v>-0.17829304399935503</v>
      </c>
      <c r="T1361" s="4">
        <v>-0.9129822922702503</v>
      </c>
      <c r="U1361" s="4">
        <f t="shared" si="218"/>
        <v>-0.83240519418616732</v>
      </c>
      <c r="W1361" s="4">
        <f t="shared" si="219"/>
        <v>-0.27486411648823439</v>
      </c>
      <c r="X1361" s="4">
        <f t="shared" si="220"/>
        <v>-1.4018214425485609</v>
      </c>
      <c r="Y1361" s="3">
        <f t="shared" si="217"/>
        <v>-95.939447687419033</v>
      </c>
      <c r="AA1361" s="3"/>
    </row>
    <row r="1362" spans="19:27" x14ac:dyDescent="0.25">
      <c r="S1362" s="4">
        <v>4.2024093029983327E-2</v>
      </c>
      <c r="T1362" s="4">
        <v>6.0254267681638163E-2</v>
      </c>
      <c r="U1362" s="4">
        <f t="shared" si="218"/>
        <v>7.3381901844765618E-2</v>
      </c>
      <c r="W1362" s="4">
        <f t="shared" si="219"/>
        <v>9.9775644343004261E-2</v>
      </c>
      <c r="X1362" s="4">
        <f t="shared" si="220"/>
        <v>0.19516795571707288</v>
      </c>
      <c r="Y1362" s="3">
        <f t="shared" si="217"/>
        <v>3.5534339160030868</v>
      </c>
      <c r="AA1362" s="3"/>
    </row>
    <row r="1363" spans="19:27" x14ac:dyDescent="0.25">
      <c r="S1363" s="4">
        <v>-1.988961609129948</v>
      </c>
      <c r="T1363" s="4">
        <v>0.66670862314243584</v>
      </c>
      <c r="U1363" s="4">
        <f t="shared" si="218"/>
        <v>-0.68402076982174642</v>
      </c>
      <c r="W1363" s="4">
        <f t="shared" si="219"/>
        <v>-3.35382768387898</v>
      </c>
      <c r="X1363" s="4">
        <f t="shared" si="220"/>
        <v>-1.1402054914977011</v>
      </c>
      <c r="Y1363" s="3">
        <f t="shared" si="217"/>
        <v>453.02199650730108</v>
      </c>
      <c r="AA1363" s="3"/>
    </row>
    <row r="1364" spans="19:27" x14ac:dyDescent="0.25">
      <c r="S1364" s="4">
        <v>0.42400248205870839</v>
      </c>
      <c r="T1364" s="4">
        <v>1.1792051654071043</v>
      </c>
      <c r="U1364" s="4">
        <f t="shared" si="218"/>
        <v>1.1932278966548517</v>
      </c>
      <c r="W1364" s="4">
        <f t="shared" si="219"/>
        <v>0.74931337090381656</v>
      </c>
      <c r="X1364" s="4">
        <f t="shared" si="220"/>
        <v>2.1695636931242941</v>
      </c>
      <c r="Y1364" s="3">
        <f t="shared" si="217"/>
        <v>98.324239441194095</v>
      </c>
      <c r="AA1364" s="3"/>
    </row>
    <row r="1365" spans="19:27" x14ac:dyDescent="0.25">
      <c r="S1365" s="4">
        <v>-1.0552784373735007</v>
      </c>
      <c r="T1365" s="4">
        <v>0.25542458799103052</v>
      </c>
      <c r="U1365" s="4">
        <f t="shared" si="218"/>
        <v>-0.44084824829900371</v>
      </c>
      <c r="W1365" s="4">
        <f t="shared" si="219"/>
        <v>-1.7661398404571245</v>
      </c>
      <c r="X1365" s="4">
        <f t="shared" si="220"/>
        <v>-0.71146904722395787</v>
      </c>
      <c r="Y1365" s="3">
        <f t="shared" si="217"/>
        <v>220.01806241874419</v>
      </c>
      <c r="AA1365" s="3"/>
    </row>
    <row r="1366" spans="19:27" x14ac:dyDescent="0.25">
      <c r="S1366" s="4">
        <v>-0.51589897184058997</v>
      </c>
      <c r="T1366" s="4">
        <v>0.176802486589931</v>
      </c>
      <c r="U1366" s="4">
        <f t="shared" si="218"/>
        <v>-0.17435360384761026</v>
      </c>
      <c r="W1366" s="4">
        <f t="shared" si="219"/>
        <v>-0.84894839230562569</v>
      </c>
      <c r="X1366" s="4">
        <f t="shared" si="220"/>
        <v>-0.24161346664841962</v>
      </c>
      <c r="Y1366" s="3">
        <f t="shared" si="217"/>
        <v>113.75479755244442</v>
      </c>
      <c r="AA1366" s="3"/>
    </row>
    <row r="1367" spans="19:27" x14ac:dyDescent="0.25">
      <c r="S1367" s="4">
        <v>-1.1247615938375308</v>
      </c>
      <c r="T1367" s="4">
        <v>-1.4353225286200322</v>
      </c>
      <c r="U1367" s="4">
        <f t="shared" si="218"/>
        <v>-1.8234484761604302</v>
      </c>
      <c r="W1367" s="4">
        <f t="shared" si="219"/>
        <v>-1.8842929422560886</v>
      </c>
      <c r="X1367" s="4">
        <f t="shared" si="220"/>
        <v>-3.149125661686198</v>
      </c>
      <c r="Y1367" s="3">
        <f t="shared" si="217"/>
        <v>-3.6822681789049057</v>
      </c>
      <c r="AA1367" s="3"/>
    </row>
    <row r="1368" spans="19:27" x14ac:dyDescent="0.25">
      <c r="S1368" s="4">
        <v>-0.88290504786570256</v>
      </c>
      <c r="T1368" s="4">
        <v>0.35096943284280435</v>
      </c>
      <c r="U1368" s="4">
        <f t="shared" si="218"/>
        <v>-0.26002794812045105</v>
      </c>
      <c r="W1368" s="4">
        <f t="shared" si="219"/>
        <v>-1.4730263482902759</v>
      </c>
      <c r="X1368" s="4">
        <f t="shared" si="220"/>
        <v>-0.39266554070271187</v>
      </c>
      <c r="Y1368" s="3">
        <f t="shared" si="217"/>
        <v>202.44046523428551</v>
      </c>
      <c r="AA1368" s="3"/>
    </row>
    <row r="1369" spans="19:27" x14ac:dyDescent="0.25">
      <c r="S1369" s="4">
        <v>-0.6373347787530228</v>
      </c>
      <c r="T1369" s="4">
        <v>-0.30703583006807422</v>
      </c>
      <c r="U1369" s="4">
        <f t="shared" si="218"/>
        <v>-0.63191835327136558</v>
      </c>
      <c r="W1369" s="4">
        <f t="shared" si="219"/>
        <v>-1.0554447287751945</v>
      </c>
      <c r="X1369" s="4">
        <f t="shared" si="220"/>
        <v>-1.0483439412287883</v>
      </c>
      <c r="Y1369" s="3">
        <f t="shared" si="217"/>
        <v>67.197385958308587</v>
      </c>
      <c r="AA1369" s="3"/>
    </row>
    <row r="1370" spans="19:27" x14ac:dyDescent="0.25">
      <c r="S1370" s="4">
        <v>1.6661115196109653</v>
      </c>
      <c r="T1370" s="4">
        <v>-0.22586579566477641</v>
      </c>
      <c r="U1370" s="4">
        <f t="shared" si="218"/>
        <v>0.83665674281554103</v>
      </c>
      <c r="W1370" s="4">
        <f t="shared" si="219"/>
        <v>2.8614660569335491</v>
      </c>
      <c r="X1370" s="4">
        <f t="shared" si="220"/>
        <v>1.5408945997976689</v>
      </c>
      <c r="Y1370" s="3">
        <f t="shared" si="217"/>
        <v>-283.63293940544145</v>
      </c>
      <c r="AA1370" s="3"/>
    </row>
    <row r="1371" spans="19:27" x14ac:dyDescent="0.25">
      <c r="S1371" s="4">
        <v>-0.75440204373521036</v>
      </c>
      <c r="T1371" s="4">
        <v>0.2814989981746458</v>
      </c>
      <c r="U1371" s="4">
        <f t="shared" si="218"/>
        <v>-0.23675830877606305</v>
      </c>
      <c r="W1371" s="4">
        <f t="shared" si="219"/>
        <v>-1.2545125486709008</v>
      </c>
      <c r="X1371" s="4">
        <f t="shared" si="220"/>
        <v>-0.35163893798636725</v>
      </c>
      <c r="Y1371" s="3">
        <f t="shared" si="217"/>
        <v>169.96847503166373</v>
      </c>
      <c r="AA1371" s="3"/>
    </row>
    <row r="1372" spans="19:27" x14ac:dyDescent="0.25">
      <c r="S1372" s="4">
        <v>-2.2985084023294626</v>
      </c>
      <c r="T1372" s="4">
        <v>1.5104261999757356E-2</v>
      </c>
      <c r="U1372" s="4">
        <f t="shared" si="218"/>
        <v>-1.3892489781029076</v>
      </c>
      <c r="W1372" s="4">
        <f t="shared" si="219"/>
        <v>-3.8801986150467185</v>
      </c>
      <c r="X1372" s="4">
        <f t="shared" si="220"/>
        <v>-2.3835903629735267</v>
      </c>
      <c r="Y1372" s="3">
        <f t="shared" si="217"/>
        <v>423.15319746050864</v>
      </c>
      <c r="AA1372" s="3"/>
    </row>
    <row r="1373" spans="19:27" x14ac:dyDescent="0.25">
      <c r="S1373" s="4">
        <v>0.7526171674133123</v>
      </c>
      <c r="T1373" s="4">
        <v>1.0160990914743464</v>
      </c>
      <c r="U1373" s="4">
        <f t="shared" si="218"/>
        <v>1.2642658578025447</v>
      </c>
      <c r="W1373" s="4">
        <f t="shared" si="219"/>
        <v>1.3081084278243658</v>
      </c>
      <c r="X1373" s="4">
        <f t="shared" si="220"/>
        <v>2.2948104219906957</v>
      </c>
      <c r="Y1373" s="3">
        <f t="shared" si="217"/>
        <v>24.24810200039974</v>
      </c>
      <c r="AA1373" s="3"/>
    </row>
    <row r="1374" spans="19:27" x14ac:dyDescent="0.25">
      <c r="S1374" s="4">
        <v>4.9208346963600942E-2</v>
      </c>
      <c r="T1374" s="4">
        <v>0.58201048671444988</v>
      </c>
      <c r="U1374" s="4">
        <f t="shared" si="218"/>
        <v>0.49135357399620266</v>
      </c>
      <c r="W1374" s="4">
        <f t="shared" si="219"/>
        <v>0.11199215737386749</v>
      </c>
      <c r="X1374" s="4">
        <f t="shared" si="220"/>
        <v>0.93209204320529759</v>
      </c>
      <c r="Y1374" s="3">
        <f t="shared" si="217"/>
        <v>75.29482444080304</v>
      </c>
      <c r="AA1374" s="3"/>
    </row>
    <row r="1375" spans="19:27" x14ac:dyDescent="0.25">
      <c r="S1375" s="4">
        <v>-0.56219257703272196</v>
      </c>
      <c r="T1375" s="4">
        <v>0.6655414606259038</v>
      </c>
      <c r="U1375" s="4">
        <f t="shared" si="218"/>
        <v>0.18484426559425537</v>
      </c>
      <c r="W1375" s="4">
        <f t="shared" si="219"/>
        <v>-0.92766866532227532</v>
      </c>
      <c r="X1375" s="4">
        <f t="shared" si="220"/>
        <v>0.39168677784818873</v>
      </c>
      <c r="Y1375" s="3">
        <f t="shared" si="217"/>
        <v>190.06394427192481</v>
      </c>
      <c r="AA1375" s="3"/>
    </row>
    <row r="1376" spans="19:27" x14ac:dyDescent="0.25">
      <c r="S1376" s="4">
        <v>-1.3770067424143713</v>
      </c>
      <c r="T1376" s="4">
        <v>1.5118033277616414</v>
      </c>
      <c r="U1376" s="4">
        <f t="shared" si="218"/>
        <v>0.35894039837510106</v>
      </c>
      <c r="W1376" s="4">
        <f t="shared" si="219"/>
        <v>-2.3132249055517242</v>
      </c>
      <c r="X1376" s="4">
        <f t="shared" si="220"/>
        <v>0.69863493326832493</v>
      </c>
      <c r="Y1376" s="3">
        <f t="shared" si="217"/>
        <v>454.56253821268456</v>
      </c>
      <c r="AA1376" s="3"/>
    </row>
    <row r="1377" spans="19:27" x14ac:dyDescent="0.25">
      <c r="S1377" s="4">
        <v>0.68594322271964669</v>
      </c>
      <c r="T1377" s="4">
        <v>0.54941947867626262</v>
      </c>
      <c r="U1377" s="4">
        <f t="shared" si="218"/>
        <v>0.85368672903109089</v>
      </c>
      <c r="W1377" s="4">
        <f t="shared" si="219"/>
        <v>1.1947322691173659</v>
      </c>
      <c r="X1377" s="4">
        <f t="shared" si="220"/>
        <v>1.5709200964712429</v>
      </c>
      <c r="Y1377" s="3">
        <f t="shared" si="217"/>
        <v>-30.698337371095022</v>
      </c>
      <c r="AA1377" s="3"/>
    </row>
    <row r="1378" spans="19:27" x14ac:dyDescent="0.25">
      <c r="S1378" s="4">
        <v>0.34361012634911259</v>
      </c>
      <c r="T1378" s="4">
        <v>0.78797858346097882</v>
      </c>
      <c r="U1378" s="4">
        <f t="shared" si="218"/>
        <v>0.83409673380607541</v>
      </c>
      <c r="W1378" s="4">
        <f t="shared" si="219"/>
        <v>0.61260964770822979</v>
      </c>
      <c r="X1378" s="4">
        <f t="shared" si="220"/>
        <v>1.5363810587398468</v>
      </c>
      <c r="Y1378" s="3">
        <f t="shared" si="217"/>
        <v>56.434173910425216</v>
      </c>
      <c r="AA1378" s="3"/>
    </row>
    <row r="1379" spans="19:27" x14ac:dyDescent="0.25">
      <c r="S1379" s="4">
        <v>-0.2495971040922543</v>
      </c>
      <c r="T1379" s="4">
        <v>2.0790415799908293</v>
      </c>
      <c r="U1379" s="4">
        <f t="shared" si="218"/>
        <v>1.4958797038740133</v>
      </c>
      <c r="W1379" s="4">
        <f t="shared" si="219"/>
        <v>-0.3961135861377188</v>
      </c>
      <c r="X1379" s="4">
        <f t="shared" si="220"/>
        <v>2.7031678144601421</v>
      </c>
      <c r="Y1379" s="3">
        <f t="shared" si="217"/>
        <v>334.20066580927778</v>
      </c>
      <c r="AA1379" s="3"/>
    </row>
    <row r="1380" spans="19:27" x14ac:dyDescent="0.25">
      <c r="S1380" s="4">
        <v>-0.63697539740333209</v>
      </c>
      <c r="T1380" s="4">
        <v>0.48230832733647044</v>
      </c>
      <c r="U1380" s="4">
        <f t="shared" si="218"/>
        <v>-5.9924526108339204E-3</v>
      </c>
      <c r="W1380" s="4">
        <f t="shared" si="219"/>
        <v>-1.0548336163365037</v>
      </c>
      <c r="X1380" s="4">
        <f t="shared" si="220"/>
        <v>5.5223367065699386E-2</v>
      </c>
      <c r="Y1380" s="3">
        <f t="shared" si="217"/>
        <v>177.45282337783647</v>
      </c>
      <c r="AA1380" s="3"/>
    </row>
    <row r="1381" spans="19:27" x14ac:dyDescent="0.25">
      <c r="S1381" s="4">
        <v>-0.60865201651139955</v>
      </c>
      <c r="T1381" s="4">
        <v>-1.7448214297352806</v>
      </c>
      <c r="U1381" s="4">
        <f t="shared" si="218"/>
        <v>-1.7541538712459739</v>
      </c>
      <c r="W1381" s="4">
        <f t="shared" si="219"/>
        <v>-1.0066709323693792</v>
      </c>
      <c r="X1381" s="4">
        <f t="shared" si="220"/>
        <v>-3.0269526368216293</v>
      </c>
      <c r="Y1381" s="3">
        <f t="shared" si="217"/>
        <v>-138.74168808796776</v>
      </c>
      <c r="AA1381" s="3"/>
    </row>
    <row r="1382" spans="19:27" x14ac:dyDescent="0.25">
      <c r="S1382" s="4">
        <v>-0.83526705728246009</v>
      </c>
      <c r="T1382" s="4">
        <v>1.1339456237587271</v>
      </c>
      <c r="U1382" s="4">
        <f t="shared" si="218"/>
        <v>0.38967221138983621</v>
      </c>
      <c r="W1382" s="4">
        <f t="shared" si="219"/>
        <v>-1.3920200060727381</v>
      </c>
      <c r="X1382" s="4">
        <f t="shared" si="220"/>
        <v>0.75281806282390185</v>
      </c>
      <c r="Y1382" s="3">
        <f t="shared" si="217"/>
        <v>303.40063062484387</v>
      </c>
      <c r="AA1382" s="3"/>
    </row>
    <row r="1383" spans="19:27" x14ac:dyDescent="0.25">
      <c r="S1383" s="4">
        <v>-1.0498236826984293</v>
      </c>
      <c r="T1383" s="4">
        <v>-0.247802228676126</v>
      </c>
      <c r="U1383" s="4">
        <f t="shared" si="218"/>
        <v>-0.8364267894319013</v>
      </c>
      <c r="W1383" s="4">
        <f t="shared" si="219"/>
        <v>-1.7568642660991038</v>
      </c>
      <c r="X1383" s="4">
        <f t="shared" si="220"/>
        <v>-1.4089119001182207</v>
      </c>
      <c r="Y1383" s="3">
        <f t="shared" si="217"/>
        <v>148.70169621224613</v>
      </c>
      <c r="AA1383" s="3"/>
    </row>
    <row r="1384" spans="19:27" x14ac:dyDescent="0.25">
      <c r="S1384" s="4">
        <v>-1.1832226462187352</v>
      </c>
      <c r="T1384" s="4">
        <v>-0.15133332483982984</v>
      </c>
      <c r="U1384" s="4">
        <f t="shared" si="218"/>
        <v>-0.84127964382507359</v>
      </c>
      <c r="W1384" s="4">
        <f t="shared" si="219"/>
        <v>-1.9837034328668139</v>
      </c>
      <c r="X1384" s="4">
        <f t="shared" si="220"/>
        <v>-1.4174679471751752</v>
      </c>
      <c r="Y1384" s="3">
        <f t="shared" si="217"/>
        <v>186.42342845694111</v>
      </c>
      <c r="AA1384" s="3"/>
    </row>
    <row r="1385" spans="19:27" x14ac:dyDescent="0.25">
      <c r="S1385" s="4">
        <v>-0.971738363136876</v>
      </c>
      <c r="T1385" s="4">
        <v>0.30165094789662067</v>
      </c>
      <c r="U1385" s="4">
        <f t="shared" si="218"/>
        <v>-0.35327708854868745</v>
      </c>
      <c r="W1385" s="4">
        <f t="shared" si="219"/>
        <v>-1.6240835580733111</v>
      </c>
      <c r="X1385" s="4">
        <f t="shared" si="220"/>
        <v>-0.55707270582332336</v>
      </c>
      <c r="Y1385" s="3">
        <f t="shared" si="217"/>
        <v>211.43120858528164</v>
      </c>
      <c r="AA1385" s="3"/>
    </row>
    <row r="1386" spans="19:27" x14ac:dyDescent="0.25">
      <c r="S1386" s="4">
        <v>0.47640079812351954</v>
      </c>
      <c r="T1386" s="4">
        <v>-2.528214218173181</v>
      </c>
      <c r="U1386" s="4">
        <f t="shared" si="218"/>
        <v>-1.7136706769950854</v>
      </c>
      <c r="W1386" s="4">
        <f t="shared" si="219"/>
        <v>0.8384144406760986</v>
      </c>
      <c r="X1386" s="4">
        <f t="shared" si="220"/>
        <v>-2.955576888249043</v>
      </c>
      <c r="Y1386" s="3">
        <f t="shared" si="217"/>
        <v>-428.10495712923148</v>
      </c>
      <c r="AA1386" s="3"/>
    </row>
    <row r="1387" spans="19:27" x14ac:dyDescent="0.25">
      <c r="S1387" s="4">
        <v>1.12424109221179</v>
      </c>
      <c r="T1387" s="4">
        <v>1.9087276033375449</v>
      </c>
      <c r="U1387" s="4">
        <f t="shared" si="218"/>
        <v>2.1983955912101667</v>
      </c>
      <c r="W1387" s="4">
        <f t="shared" si="219"/>
        <v>1.9400388358848524</v>
      </c>
      <c r="X1387" s="4">
        <f t="shared" si="220"/>
        <v>3.941770604348747</v>
      </c>
      <c r="Y1387" s="3">
        <f t="shared" si="217"/>
        <v>92.91067917309465</v>
      </c>
      <c r="AA1387" s="3"/>
    </row>
    <row r="1388" spans="19:27" x14ac:dyDescent="0.25">
      <c r="S1388" s="4">
        <v>0.65339397737074434</v>
      </c>
      <c r="T1388" s="4">
        <v>-0.30951208164514293</v>
      </c>
      <c r="U1388" s="4">
        <f t="shared" si="218"/>
        <v>0.15297579015018009</v>
      </c>
      <c r="W1388" s="4">
        <f t="shared" si="219"/>
        <v>1.1393836854476069</v>
      </c>
      <c r="X1388" s="4">
        <f t="shared" si="220"/>
        <v>0.33549960357060449</v>
      </c>
      <c r="Y1388" s="3">
        <f t="shared" si="217"/>
        <v>-145.70151570941107</v>
      </c>
      <c r="AA1388" s="3"/>
    </row>
    <row r="1389" spans="19:27" x14ac:dyDescent="0.25">
      <c r="S1389" s="4">
        <v>-0.54242357803434116</v>
      </c>
      <c r="T1389" s="4">
        <v>0.45681147185405951</v>
      </c>
      <c r="U1389" s="4">
        <f t="shared" si="218"/>
        <v>3.1437292253849392E-2</v>
      </c>
      <c r="W1389" s="4">
        <f t="shared" si="219"/>
        <v>-0.89405233771159054</v>
      </c>
      <c r="X1389" s="4">
        <f t="shared" si="220"/>
        <v>0.12121559193908782</v>
      </c>
      <c r="Y1389" s="3">
        <f t="shared" si="217"/>
        <v>157.47030773970073</v>
      </c>
      <c r="AA1389" s="3"/>
    </row>
    <row r="1390" spans="19:27" x14ac:dyDescent="0.25">
      <c r="S1390" s="4">
        <v>0.5743397901926921</v>
      </c>
      <c r="T1390" s="4">
        <v>-1.2591334222932113</v>
      </c>
      <c r="U1390" s="4">
        <f t="shared" si="218"/>
        <v>-0.64797466394555947</v>
      </c>
      <c r="W1390" s="4">
        <f t="shared" si="219"/>
        <v>1.0049554599521495</v>
      </c>
      <c r="X1390" s="4">
        <f t="shared" si="220"/>
        <v>-1.0766527546732572</v>
      </c>
      <c r="Y1390" s="3">
        <f t="shared" si="217"/>
        <v>-266.11318772347295</v>
      </c>
      <c r="AA1390" s="3"/>
    </row>
    <row r="1391" spans="19:27" x14ac:dyDescent="0.25">
      <c r="S1391" s="4">
        <v>0.84089095170009964</v>
      </c>
      <c r="T1391" s="4">
        <v>1.2310110632514608</v>
      </c>
      <c r="U1391" s="4">
        <f t="shared" si="218"/>
        <v>1.4884385310578079</v>
      </c>
      <c r="W1391" s="4">
        <f t="shared" si="219"/>
        <v>1.4582141793731729</v>
      </c>
      <c r="X1391" s="4">
        <f t="shared" si="220"/>
        <v>2.6900483141380302</v>
      </c>
      <c r="Y1391" s="3">
        <f t="shared" si="217"/>
        <v>40.778537287314066</v>
      </c>
      <c r="AA1391" s="3"/>
    </row>
    <row r="1392" spans="19:27" x14ac:dyDescent="0.25">
      <c r="S1392" s="4">
        <v>2.4103405396239128</v>
      </c>
      <c r="T1392" s="4">
        <v>-0.67489280292770515</v>
      </c>
      <c r="U1392" s="4">
        <f t="shared" si="218"/>
        <v>0.93441523359835466</v>
      </c>
      <c r="W1392" s="4">
        <f t="shared" si="219"/>
        <v>4.1269953109025188</v>
      </c>
      <c r="X1392" s="4">
        <f t="shared" si="220"/>
        <v>1.7132521814575323</v>
      </c>
      <c r="Y1392" s="3">
        <f t="shared" si="217"/>
        <v>-447.02646460963524</v>
      </c>
      <c r="AA1392" s="3"/>
    </row>
    <row r="1393" spans="19:27" x14ac:dyDescent="0.25">
      <c r="S1393" s="4">
        <v>1.2504786529994685</v>
      </c>
      <c r="T1393" s="4">
        <v>1.6346147050009305</v>
      </c>
      <c r="U1393" s="4">
        <f t="shared" si="218"/>
        <v>2.0580657180603854</v>
      </c>
      <c r="W1393" s="4">
        <f t="shared" si="219"/>
        <v>2.1547003471004644</v>
      </c>
      <c r="X1393" s="4">
        <f t="shared" si="220"/>
        <v>3.6943555984801844</v>
      </c>
      <c r="Y1393" s="3">
        <f t="shared" si="217"/>
        <v>36.002883026931158</v>
      </c>
      <c r="AA1393" s="3"/>
    </row>
    <row r="1394" spans="19:27" x14ac:dyDescent="0.25">
      <c r="S1394" s="4">
        <v>1.7334877120097649</v>
      </c>
      <c r="T1394" s="4">
        <v>-0.60762430456384942</v>
      </c>
      <c r="U1394" s="4">
        <f t="shared" si="218"/>
        <v>0.57511384982293245</v>
      </c>
      <c r="W1394" s="4">
        <f t="shared" si="219"/>
        <v>2.9760363574846336</v>
      </c>
      <c r="X1394" s="4">
        <f t="shared" si="220"/>
        <v>1.0797694312772121</v>
      </c>
      <c r="Y1394" s="3">
        <f t="shared" si="217"/>
        <v>-346.41925036340535</v>
      </c>
      <c r="AA1394" s="3"/>
    </row>
    <row r="1395" spans="19:27" x14ac:dyDescent="0.25">
      <c r="S1395" s="4">
        <v>-1.4873524328455405</v>
      </c>
      <c r="T1395" s="4">
        <v>7.8171196712025159E-2</v>
      </c>
      <c r="U1395" s="4">
        <f t="shared" si="218"/>
        <v>-0.8447575449071878</v>
      </c>
      <c r="W1395" s="4">
        <f t="shared" si="219"/>
        <v>-2.5008629786916554</v>
      </c>
      <c r="X1395" s="4">
        <f t="shared" si="220"/>
        <v>-1.4235998198643434</v>
      </c>
      <c r="Y1395" s="3">
        <f t="shared" si="217"/>
        <v>274.78769720179571</v>
      </c>
      <c r="AA1395" s="3"/>
    </row>
    <row r="1396" spans="19:27" x14ac:dyDescent="0.25">
      <c r="S1396" s="4">
        <v>-2.5903642606519721</v>
      </c>
      <c r="T1396" s="4">
        <v>-0.51829791802388925</v>
      </c>
      <c r="U1396" s="4">
        <f t="shared" si="218"/>
        <v>-1.9899944721711789</v>
      </c>
      <c r="W1396" s="4">
        <f t="shared" si="219"/>
        <v>-4.3764868767473075</v>
      </c>
      <c r="X1396" s="4">
        <f t="shared" si="220"/>
        <v>-3.4427622028979452</v>
      </c>
      <c r="Y1396" s="3">
        <f t="shared" si="217"/>
        <v>407.69355652585818</v>
      </c>
      <c r="AA1396" s="3"/>
    </row>
    <row r="1397" spans="19:27" x14ac:dyDescent="0.25">
      <c r="S1397" s="4">
        <v>1.0146316707536425</v>
      </c>
      <c r="T1397" s="4">
        <v>2.0417335714633476</v>
      </c>
      <c r="U1397" s="4">
        <f t="shared" si="218"/>
        <v>2.2370080117046363</v>
      </c>
      <c r="W1397" s="4">
        <f t="shared" si="219"/>
        <v>1.7536527562833251</v>
      </c>
      <c r="X1397" s="4">
        <f t="shared" si="220"/>
        <v>4.0098479996232514</v>
      </c>
      <c r="Y1397" s="3">
        <f t="shared" si="217"/>
        <v>127.83457622373999</v>
      </c>
      <c r="AA1397" s="3"/>
    </row>
    <row r="1398" spans="19:27" x14ac:dyDescent="0.25">
      <c r="S1398" s="4">
        <v>0.61793812090608435</v>
      </c>
      <c r="T1398" s="4">
        <v>-1.0518381385842208</v>
      </c>
      <c r="U1398" s="4">
        <f t="shared" si="218"/>
        <v>-0.45707483182315506</v>
      </c>
      <c r="W1398" s="4">
        <f t="shared" si="219"/>
        <v>1.0790925353124357</v>
      </c>
      <c r="X1398" s="4">
        <f t="shared" si="220"/>
        <v>-0.74007806801007048</v>
      </c>
      <c r="Y1398" s="3">
        <f t="shared" si="217"/>
        <v>-243.94021869133348</v>
      </c>
      <c r="AA1398" s="3"/>
    </row>
    <row r="1399" spans="19:27" x14ac:dyDescent="0.25">
      <c r="S1399" s="4">
        <v>-0.2261227593324458</v>
      </c>
      <c r="T1399" s="4">
        <v>-1.6565780107617174</v>
      </c>
      <c r="U1399" s="4">
        <f t="shared" si="218"/>
        <v>-1.451005647188754</v>
      </c>
      <c r="W1399" s="4">
        <f t="shared" si="219"/>
        <v>-0.35619647834907864</v>
      </c>
      <c r="X1399" s="4">
        <f t="shared" si="220"/>
        <v>-2.4924732850580424</v>
      </c>
      <c r="Y1399" s="3">
        <f t="shared" si="217"/>
        <v>-191.83805200552933</v>
      </c>
      <c r="AA1399" s="3"/>
    </row>
    <row r="1400" spans="19:27" x14ac:dyDescent="0.25">
      <c r="S1400" s="4">
        <v>0.17776432983948445</v>
      </c>
      <c r="T1400" s="4">
        <v>-1.7825129648547551</v>
      </c>
      <c r="U1400" s="4">
        <f t="shared" si="218"/>
        <v>-1.3046146991751961</v>
      </c>
      <c r="W1400" s="4">
        <f t="shared" si="219"/>
        <v>0.33059604505797591</v>
      </c>
      <c r="X1400" s="4">
        <f t="shared" si="220"/>
        <v>-2.2343720237305971</v>
      </c>
      <c r="Y1400" s="3">
        <f t="shared" si="217"/>
        <v>-276.13329304396075</v>
      </c>
      <c r="AA1400" s="3"/>
    </row>
    <row r="1401" spans="19:27" x14ac:dyDescent="0.25">
      <c r="S1401" s="4">
        <v>-0.10052698651308095</v>
      </c>
      <c r="T1401" s="4">
        <v>0.94384147245801531</v>
      </c>
      <c r="U1401" s="4">
        <f t="shared" si="218"/>
        <v>0.68689210844006121</v>
      </c>
      <c r="W1401" s="4">
        <f t="shared" si="219"/>
        <v>-0.14262629981051297</v>
      </c>
      <c r="X1401" s="4">
        <f t="shared" si="220"/>
        <v>1.2768452063134828</v>
      </c>
      <c r="Y1401" s="3">
        <f t="shared" si="217"/>
        <v>150.59307285832256</v>
      </c>
      <c r="AA1401" s="3"/>
    </row>
    <row r="1402" spans="19:27" x14ac:dyDescent="0.25">
      <c r="S1402" s="4">
        <v>-0.72390362203512626</v>
      </c>
      <c r="T1402" s="4">
        <v>1.0141319297699969</v>
      </c>
      <c r="U1402" s="4">
        <f t="shared" si="218"/>
        <v>0.36258648725667508</v>
      </c>
      <c r="W1402" s="4">
        <f t="shared" si="219"/>
        <v>-1.2026513018994875</v>
      </c>
      <c r="X1402" s="4">
        <f t="shared" si="220"/>
        <v>0.70506333715542235</v>
      </c>
      <c r="Y1402" s="3">
        <f t="shared" si="217"/>
        <v>266.99521604380152</v>
      </c>
      <c r="AA1402" s="3"/>
    </row>
    <row r="1403" spans="19:27" x14ac:dyDescent="0.25">
      <c r="S1403" s="4">
        <v>1.3686613492412623</v>
      </c>
      <c r="T1403" s="4">
        <v>0.75632604376078527</v>
      </c>
      <c r="U1403" s="4">
        <f t="shared" si="218"/>
        <v>1.43390011447402</v>
      </c>
      <c r="W1403" s="4">
        <f t="shared" si="219"/>
        <v>2.3556649096007503</v>
      </c>
      <c r="X1403" s="4">
        <f t="shared" si="220"/>
        <v>2.5938918625125269</v>
      </c>
      <c r="Y1403" s="3">
        <f t="shared" si="217"/>
        <v>-103.94933726133695</v>
      </c>
      <c r="AA1403" s="3"/>
    </row>
    <row r="1404" spans="19:27" x14ac:dyDescent="0.25">
      <c r="S1404" s="4">
        <v>0.6592314601271162</v>
      </c>
      <c r="T1404" s="4">
        <v>-1.8308282902056883</v>
      </c>
      <c r="U1404" s="4">
        <f t="shared" si="218"/>
        <v>-1.0494007669260863</v>
      </c>
      <c r="W1404" s="4">
        <f t="shared" si="219"/>
        <v>1.1493100723514653</v>
      </c>
      <c r="X1404" s="4">
        <f t="shared" si="220"/>
        <v>-1.78440541913062</v>
      </c>
      <c r="Y1404" s="3">
        <f t="shared" si="217"/>
        <v>-359.22454860866537</v>
      </c>
      <c r="AA1404" s="3"/>
    </row>
    <row r="1405" spans="19:27" x14ac:dyDescent="0.25">
      <c r="S1405" s="4">
        <v>0.52246318570774852</v>
      </c>
      <c r="T1405" s="4">
        <v>0.12173797245258688</v>
      </c>
      <c r="U1405" s="4">
        <f t="shared" si="218"/>
        <v>0.41500593429441651</v>
      </c>
      <c r="W1405" s="4">
        <f t="shared" si="219"/>
        <v>0.91674153815273918</v>
      </c>
      <c r="X1405" s="4">
        <f t="shared" si="220"/>
        <v>0.79748384253581817</v>
      </c>
      <c r="Y1405" s="3">
        <f t="shared" si="217"/>
        <v>-64.997990577473956</v>
      </c>
      <c r="AA1405" s="3"/>
    </row>
    <row r="1406" spans="19:27" x14ac:dyDescent="0.25">
      <c r="S1406" s="4">
        <v>1.017405464223601</v>
      </c>
      <c r="T1406" s="4">
        <v>-0.5622813396824119</v>
      </c>
      <c r="U1406" s="4">
        <f t="shared" si="218"/>
        <v>0.1745171408270762</v>
      </c>
      <c r="W1406" s="4">
        <f t="shared" si="219"/>
        <v>1.7583694720876073</v>
      </c>
      <c r="X1406" s="4">
        <f t="shared" si="220"/>
        <v>0.37347906784655671</v>
      </c>
      <c r="Y1406" s="3">
        <f t="shared" si="217"/>
        <v>-236.51597587675496</v>
      </c>
      <c r="AA1406" s="3"/>
    </row>
    <row r="1407" spans="19:27" x14ac:dyDescent="0.25">
      <c r="S1407" s="4">
        <v>-0.12388043268433911</v>
      </c>
      <c r="T1407" s="4">
        <v>0.16178117328743749</v>
      </c>
      <c r="U1407" s="4">
        <f t="shared" si="218"/>
        <v>5.2722369113257297E-2</v>
      </c>
      <c r="W1407" s="4">
        <f t="shared" si="219"/>
        <v>-0.18233782477926877</v>
      </c>
      <c r="X1407" s="4">
        <f t="shared" si="220"/>
        <v>0.15874322093125748</v>
      </c>
      <c r="Y1407" s="3">
        <f t="shared" si="217"/>
        <v>45.180069476529752</v>
      </c>
      <c r="AA1407" s="3"/>
    </row>
    <row r="1408" spans="19:27" x14ac:dyDescent="0.25">
      <c r="S1408" s="4">
        <v>-0.32969378460020021</v>
      </c>
      <c r="T1408" s="4">
        <v>-0.38118911105429476</v>
      </c>
      <c r="U1408" s="4">
        <f t="shared" si="218"/>
        <v>-0.50315425321107832</v>
      </c>
      <c r="W1408" s="4">
        <f t="shared" si="219"/>
        <v>-0.53231452644349753</v>
      </c>
      <c r="X1408" s="4">
        <f t="shared" si="220"/>
        <v>-0.8213205009804504</v>
      </c>
      <c r="Y1408" s="3">
        <f t="shared" si="217"/>
        <v>3.9062535106977521</v>
      </c>
      <c r="AA1408" s="3"/>
    </row>
    <row r="1409" spans="19:27" x14ac:dyDescent="0.25">
      <c r="S1409" s="4">
        <v>-1.3612620482001285</v>
      </c>
      <c r="T1409" s="4">
        <v>-0.78204618532391357</v>
      </c>
      <c r="U1409" s="4">
        <f t="shared" si="218"/>
        <v>-1.4497774864103183</v>
      </c>
      <c r="W1409" s="4">
        <f t="shared" si="219"/>
        <v>-2.2864517341392827</v>
      </c>
      <c r="X1409" s="4">
        <f t="shared" si="220"/>
        <v>-2.4903079199837088</v>
      </c>
      <c r="Y1409" s="3">
        <f t="shared" si="217"/>
        <v>131.05369585500739</v>
      </c>
      <c r="AA1409" s="3"/>
    </row>
    <row r="1410" spans="19:27" x14ac:dyDescent="0.25">
      <c r="S1410" s="4">
        <v>1.2003498004464686</v>
      </c>
      <c r="T1410" s="4">
        <v>1.9195715028140545</v>
      </c>
      <c r="U1410" s="4">
        <f t="shared" si="218"/>
        <v>2.2533890304455655</v>
      </c>
      <c r="W1410" s="4">
        <f t="shared" si="219"/>
        <v>2.0694584018554174</v>
      </c>
      <c r="X1410" s="4">
        <f t="shared" si="220"/>
        <v>4.038729304486929</v>
      </c>
      <c r="Y1410" s="3">
        <f t="shared" ref="Y1410:Y1473" si="221">(B$4*EXP(-B$8*B$7)*NORMSDIST((LN(B$4/(B$5+W1410))-B$8*B$7+B$9*B$7+0.5*B$6*B$6*B$7)/(B$6*SQRT(B$7)))-(B$5+W1410)*EXP(-B$9*B$7)*NORMSDIST((LN(B$4/(B$5+W1410))-B$8*B$7+B$9*B$7-0.5*B$6*B$6*B$7)/(B$6*SQRT(B$7))))*400+100*X1410-400*$B$13</f>
        <v>83.185946838525524</v>
      </c>
      <c r="AA1410" s="3"/>
    </row>
    <row r="1411" spans="19:27" x14ac:dyDescent="0.25">
      <c r="S1411" s="4">
        <v>-0.41850411406687749</v>
      </c>
      <c r="T1411" s="4">
        <v>0.40090757260401505</v>
      </c>
      <c r="U1411" s="4">
        <f t="shared" ref="U1411:U1474" si="222">$B$19*S1411+SQRT(1-$B$19^2)*T1411</f>
        <v>6.2666787598182228E-2</v>
      </c>
      <c r="W1411" s="4">
        <f t="shared" ref="W1411:W1474" si="223">S1411*SQRT($B$16)+$B$20</f>
        <v>-0.68333264986032849</v>
      </c>
      <c r="X1411" s="4">
        <f t="shared" ref="X1411:X1474" si="224">U1411*SQRT($C$17)+$C$20</f>
        <v>0.17627618310518489</v>
      </c>
      <c r="Y1411" s="3">
        <f t="shared" si="221"/>
        <v>128.343614562109</v>
      </c>
      <c r="AA1411" s="3"/>
    </row>
    <row r="1412" spans="19:27" x14ac:dyDescent="0.25">
      <c r="S1412" s="4">
        <v>0.33498372092768991</v>
      </c>
      <c r="T1412" s="4">
        <v>0.15098916706994417</v>
      </c>
      <c r="U1412" s="4">
        <f t="shared" si="222"/>
        <v>0.32390145806782894</v>
      </c>
      <c r="W1412" s="4">
        <f t="shared" si="223"/>
        <v>0.59794081845830749</v>
      </c>
      <c r="X1412" s="4">
        <f t="shared" si="224"/>
        <v>0.63685792579893941</v>
      </c>
      <c r="Y1412" s="3">
        <f t="shared" si="221"/>
        <v>-31.213133801316872</v>
      </c>
      <c r="AA1412" s="3"/>
    </row>
    <row r="1413" spans="19:27" x14ac:dyDescent="0.25">
      <c r="S1413" s="4">
        <v>-1.1464158669481297</v>
      </c>
      <c r="T1413" s="4">
        <v>1.247217543285259</v>
      </c>
      <c r="U1413" s="4">
        <f t="shared" si="222"/>
        <v>0.28977870128974603</v>
      </c>
      <c r="W1413" s="4">
        <f t="shared" si="223"/>
        <v>-1.9211150969396291</v>
      </c>
      <c r="X1413" s="4">
        <f t="shared" si="224"/>
        <v>0.57669623763515232</v>
      </c>
      <c r="Y1413" s="3">
        <f t="shared" si="221"/>
        <v>375.16841927570567</v>
      </c>
      <c r="AA1413" s="3"/>
    </row>
    <row r="1414" spans="19:27" x14ac:dyDescent="0.25">
      <c r="S1414" s="4">
        <v>-0.72089180840950828</v>
      </c>
      <c r="T1414" s="4">
        <v>-0.48271959498782285</v>
      </c>
      <c r="U1414" s="4">
        <f t="shared" si="222"/>
        <v>-0.82211970117130884</v>
      </c>
      <c r="W1414" s="4">
        <f t="shared" si="223"/>
        <v>-1.1975298431170074</v>
      </c>
      <c r="X1414" s="4">
        <f t="shared" si="224"/>
        <v>-1.3836871333133769</v>
      </c>
      <c r="Y1414" s="3">
        <f t="shared" si="221"/>
        <v>57.26736701739901</v>
      </c>
      <c r="AA1414" s="3"/>
    </row>
    <row r="1415" spans="19:27" x14ac:dyDescent="0.25">
      <c r="S1415" s="4">
        <v>7.0775629356398279E-2</v>
      </c>
      <c r="T1415" s="4">
        <v>0.36134122127286517</v>
      </c>
      <c r="U1415" s="4">
        <f t="shared" si="222"/>
        <v>0.32957870500805142</v>
      </c>
      <c r="W1415" s="4">
        <f t="shared" si="223"/>
        <v>0.14866638810491323</v>
      </c>
      <c r="X1415" s="4">
        <f t="shared" si="224"/>
        <v>0.64686745586908478</v>
      </c>
      <c r="Y1415" s="3">
        <f t="shared" si="221"/>
        <v>40.919994194947776</v>
      </c>
      <c r="AA1415" s="3"/>
    </row>
    <row r="1416" spans="19:27" x14ac:dyDescent="0.25">
      <c r="S1416" s="4">
        <v>-1.5654190742101779</v>
      </c>
      <c r="T1416" s="4">
        <v>0.30525029539562026</v>
      </c>
      <c r="U1416" s="4">
        <f t="shared" si="222"/>
        <v>-0.71234492209999722</v>
      </c>
      <c r="W1416" s="4">
        <f t="shared" si="223"/>
        <v>-2.6336119252515915</v>
      </c>
      <c r="X1416" s="4">
        <f t="shared" si="224"/>
        <v>-1.1901436845912392</v>
      </c>
      <c r="Y1416" s="3">
        <f t="shared" si="221"/>
        <v>321.2040040890297</v>
      </c>
      <c r="AA1416" s="3"/>
    </row>
    <row r="1417" spans="19:27" x14ac:dyDescent="0.25">
      <c r="S1417" s="4">
        <v>0.90924251511249332</v>
      </c>
      <c r="T1417" s="4">
        <v>-1.7908498818631314E-2</v>
      </c>
      <c r="U1417" s="4">
        <f t="shared" si="222"/>
        <v>0.54009860001337473</v>
      </c>
      <c r="W1417" s="4">
        <f t="shared" si="223"/>
        <v>1.5744430561393523</v>
      </c>
      <c r="X1417" s="4">
        <f t="shared" si="224"/>
        <v>1.0180341924241554</v>
      </c>
      <c r="Y1417" s="3">
        <f t="shared" si="221"/>
        <v>-144.14885503916776</v>
      </c>
      <c r="AA1417" s="3"/>
    </row>
    <row r="1418" spans="19:27" x14ac:dyDescent="0.25">
      <c r="S1418" s="4">
        <v>0.27461046158025343</v>
      </c>
      <c r="T1418" s="4">
        <v>0.49961140388927178</v>
      </c>
      <c r="U1418" s="4">
        <f t="shared" si="222"/>
        <v>0.56344663688193286</v>
      </c>
      <c r="W1418" s="4">
        <f t="shared" si="223"/>
        <v>0.49527870262156254</v>
      </c>
      <c r="X1418" s="4">
        <f t="shared" si="224"/>
        <v>1.0591990174838062</v>
      </c>
      <c r="Y1418" s="3">
        <f t="shared" si="221"/>
        <v>27.183769227481662</v>
      </c>
      <c r="AA1418" s="3"/>
    </row>
    <row r="1419" spans="19:27" x14ac:dyDescent="0.25">
      <c r="S1419" s="4">
        <v>1.1669025637042856</v>
      </c>
      <c r="T1419" s="4">
        <v>0.45890409584456382</v>
      </c>
      <c r="U1419" s="4">
        <f t="shared" si="222"/>
        <v>1.0751394528275746</v>
      </c>
      <c r="W1419" s="4">
        <f t="shared" si="223"/>
        <v>2.0125828226675462</v>
      </c>
      <c r="X1419" s="4">
        <f t="shared" si="224"/>
        <v>1.9613624572309889</v>
      </c>
      <c r="Y1419" s="3">
        <f t="shared" si="221"/>
        <v>-116.02633352695193</v>
      </c>
      <c r="AA1419" s="3"/>
    </row>
    <row r="1420" spans="19:27" x14ac:dyDescent="0.25">
      <c r="S1420" s="4">
        <v>-0.7553199239643138</v>
      </c>
      <c r="T1420" s="4">
        <v>3.4999327992518889</v>
      </c>
      <c r="U1420" s="4">
        <f t="shared" si="222"/>
        <v>2.3139089185564874</v>
      </c>
      <c r="W1420" s="4">
        <f t="shared" si="223"/>
        <v>-1.2560733642939599</v>
      </c>
      <c r="X1420" s="4">
        <f t="shared" si="224"/>
        <v>4.1454316632651373</v>
      </c>
      <c r="Y1420" s="3">
        <f t="shared" si="221"/>
        <v>619.93588925634867</v>
      </c>
      <c r="AA1420" s="3"/>
    </row>
    <row r="1421" spans="19:27" x14ac:dyDescent="0.25">
      <c r="S1421" s="4">
        <v>0.11965203503995291</v>
      </c>
      <c r="T1421" s="4">
        <v>-0.36061713793597161</v>
      </c>
      <c r="U1421" s="4">
        <f t="shared" si="222"/>
        <v>-0.21291577691573987</v>
      </c>
      <c r="W1421" s="4">
        <f t="shared" si="223"/>
        <v>0.23177860162799982</v>
      </c>
      <c r="X1421" s="4">
        <f t="shared" si="224"/>
        <v>-0.30960227089804926</v>
      </c>
      <c r="Y1421" s="3">
        <f t="shared" si="221"/>
        <v>-67.964124074016127</v>
      </c>
      <c r="AA1421" s="3"/>
    </row>
    <row r="1422" spans="19:27" x14ac:dyDescent="0.25">
      <c r="S1422" s="4">
        <v>0.38814356249198317</v>
      </c>
      <c r="T1422" s="4">
        <v>-0.74765599029879282</v>
      </c>
      <c r="U1422" s="4">
        <f t="shared" si="222"/>
        <v>-0.35603996052504117</v>
      </c>
      <c r="W1422" s="4">
        <f t="shared" si="223"/>
        <v>0.68833682939966834</v>
      </c>
      <c r="X1422" s="4">
        <f t="shared" si="224"/>
        <v>-0.56194391372011976</v>
      </c>
      <c r="Y1422" s="3">
        <f t="shared" si="221"/>
        <v>-165.28030043602985</v>
      </c>
      <c r="AA1422" s="3"/>
    </row>
    <row r="1423" spans="19:27" x14ac:dyDescent="0.25">
      <c r="S1423" s="4">
        <v>1.3041156291768865</v>
      </c>
      <c r="T1423" s="4">
        <v>1.2476253139200637</v>
      </c>
      <c r="U1423" s="4">
        <f t="shared" si="222"/>
        <v>1.7840006137543249</v>
      </c>
      <c r="W1423" s="4">
        <f t="shared" si="223"/>
        <v>2.2459077048111036</v>
      </c>
      <c r="X1423" s="4">
        <f t="shared" si="224"/>
        <v>3.2111525721518022</v>
      </c>
      <c r="Y1423" s="3">
        <f t="shared" si="221"/>
        <v>-25.915010184383391</v>
      </c>
      <c r="AA1423" s="3"/>
    </row>
    <row r="1424" spans="19:27" x14ac:dyDescent="0.25">
      <c r="S1424" s="4">
        <v>0.1423368930996651</v>
      </c>
      <c r="T1424" s="4">
        <v>-8.2553182217603188E-2</v>
      </c>
      <c r="U1424" s="4">
        <f t="shared" si="222"/>
        <v>2.1332497151447416E-2</v>
      </c>
      <c r="W1424" s="4">
        <f t="shared" si="223"/>
        <v>0.27035322143548879</v>
      </c>
      <c r="X1424" s="4">
        <f t="shared" si="224"/>
        <v>0.10339987042914994</v>
      </c>
      <c r="Y1424" s="3">
        <f t="shared" si="221"/>
        <v>-32.79553372876444</v>
      </c>
      <c r="AA1424" s="3"/>
    </row>
    <row r="1425" spans="19:27" x14ac:dyDescent="0.25">
      <c r="S1425" s="4">
        <v>0.65075278908098322</v>
      </c>
      <c r="T1425" s="4">
        <v>0.47523222919593378</v>
      </c>
      <c r="U1425" s="4">
        <f t="shared" si="222"/>
        <v>0.77342621495102426</v>
      </c>
      <c r="W1425" s="4">
        <f t="shared" si="223"/>
        <v>1.13489245901589</v>
      </c>
      <c r="X1425" s="4">
        <f t="shared" si="224"/>
        <v>1.4294131235337098</v>
      </c>
      <c r="Y1425" s="3">
        <f t="shared" si="221"/>
        <v>-35.616600977221879</v>
      </c>
      <c r="AA1425" s="3"/>
    </row>
    <row r="1426" spans="19:27" x14ac:dyDescent="0.25">
      <c r="S1426" s="4">
        <v>-0.86286074980737659</v>
      </c>
      <c r="T1426" s="4">
        <v>0.98184571107894469</v>
      </c>
      <c r="U1426" s="4">
        <f t="shared" si="222"/>
        <v>0.25228209389753531</v>
      </c>
      <c r="W1426" s="4">
        <f t="shared" si="223"/>
        <v>-1.4389418865373016</v>
      </c>
      <c r="X1426" s="4">
        <f t="shared" si="224"/>
        <v>0.51058612772225476</v>
      </c>
      <c r="Y1426" s="3">
        <f t="shared" si="221"/>
        <v>287.04399560632737</v>
      </c>
      <c r="AA1426" s="3"/>
    </row>
    <row r="1427" spans="19:27" x14ac:dyDescent="0.25">
      <c r="S1427" s="4">
        <v>-0.34570652183925948</v>
      </c>
      <c r="T1427" s="4">
        <v>0.65373037975979897</v>
      </c>
      <c r="U1427" s="4">
        <f t="shared" si="222"/>
        <v>0.30745644550766005</v>
      </c>
      <c r="W1427" s="4">
        <f t="shared" si="223"/>
        <v>-0.55954349342438103</v>
      </c>
      <c r="X1427" s="4">
        <f t="shared" si="224"/>
        <v>0.60786379370320232</v>
      </c>
      <c r="Y1427" s="3">
        <f t="shared" si="221"/>
        <v>151.26533873755488</v>
      </c>
      <c r="AA1427" s="3"/>
    </row>
    <row r="1428" spans="19:27" x14ac:dyDescent="0.25">
      <c r="S1428" s="4">
        <v>0.3115425200250535</v>
      </c>
      <c r="T1428" s="4">
        <v>-1.1629831288706853</v>
      </c>
      <c r="U1428" s="4">
        <f t="shared" si="222"/>
        <v>-0.73196417311911444</v>
      </c>
      <c r="W1428" s="4">
        <f t="shared" si="223"/>
        <v>0.55808007036502016</v>
      </c>
      <c r="X1428" s="4">
        <f t="shared" si="224"/>
        <v>-1.2247343030894877</v>
      </c>
      <c r="Y1428" s="3">
        <f t="shared" si="221"/>
        <v>-211.10322150503271</v>
      </c>
      <c r="AA1428" s="3"/>
    </row>
    <row r="1429" spans="19:27" x14ac:dyDescent="0.25">
      <c r="S1429" s="4">
        <v>-1.1558863464448714</v>
      </c>
      <c r="T1429" s="4">
        <v>4.242707375764955E-2</v>
      </c>
      <c r="U1429" s="4">
        <f t="shared" si="222"/>
        <v>-0.67102250400461394</v>
      </c>
      <c r="W1429" s="4">
        <f t="shared" si="223"/>
        <v>-1.9372192376408766</v>
      </c>
      <c r="X1429" s="4">
        <f t="shared" si="224"/>
        <v>-1.1172883040076618</v>
      </c>
      <c r="Y1429" s="3">
        <f t="shared" si="221"/>
        <v>208.51375697351796</v>
      </c>
      <c r="AA1429" s="3"/>
    </row>
    <row r="1430" spans="19:27" x14ac:dyDescent="0.25">
      <c r="S1430" s="4">
        <v>-1.4257706106951971</v>
      </c>
      <c r="T1430" s="4">
        <v>-0.24836453629900643</v>
      </c>
      <c r="U1430" s="4">
        <f t="shared" si="222"/>
        <v>-1.0660581615762452</v>
      </c>
      <c r="W1430" s="4">
        <f t="shared" si="223"/>
        <v>-2.3961457540897202</v>
      </c>
      <c r="X1430" s="4">
        <f t="shared" si="224"/>
        <v>-1.813774001191014</v>
      </c>
      <c r="Y1430" s="3">
        <f t="shared" si="221"/>
        <v>217.63803681171157</v>
      </c>
      <c r="AA1430" s="3"/>
    </row>
    <row r="1431" spans="19:27" x14ac:dyDescent="0.25">
      <c r="S1431" s="4">
        <v>-1.1777099176368087</v>
      </c>
      <c r="T1431" s="4">
        <v>-0.58426771217391216</v>
      </c>
      <c r="U1431" s="4">
        <f t="shared" si="222"/>
        <v>-1.1811025950466334</v>
      </c>
      <c r="W1431" s="4">
        <f t="shared" si="223"/>
        <v>-1.9743292763880762</v>
      </c>
      <c r="X1431" s="4">
        <f t="shared" si="224"/>
        <v>-2.0166083552977896</v>
      </c>
      <c r="Y1431" s="3">
        <f t="shared" si="221"/>
        <v>124.90974750291161</v>
      </c>
      <c r="AA1431" s="3"/>
    </row>
    <row r="1432" spans="19:27" x14ac:dyDescent="0.25">
      <c r="S1432" s="4">
        <v>-0.86452506130184958</v>
      </c>
      <c r="T1432" s="4">
        <v>-0.26472482321200652</v>
      </c>
      <c r="U1432" s="4">
        <f t="shared" si="222"/>
        <v>-0.73687902110125347</v>
      </c>
      <c r="W1432" s="4">
        <f t="shared" si="223"/>
        <v>-1.4417719762372916</v>
      </c>
      <c r="X1432" s="4">
        <f t="shared" si="224"/>
        <v>-1.233399650780967</v>
      </c>
      <c r="Y1432" s="3">
        <f t="shared" si="221"/>
        <v>113.12026085429625</v>
      </c>
      <c r="AA1432" s="3"/>
    </row>
    <row r="1433" spans="19:27" x14ac:dyDescent="0.25">
      <c r="S1433" s="4">
        <v>-0.81399069500509047</v>
      </c>
      <c r="T1433" s="4">
        <v>-0.23456608891722996</v>
      </c>
      <c r="U1433" s="4">
        <f t="shared" si="222"/>
        <v>-0.68216555591459316</v>
      </c>
      <c r="W1433" s="4">
        <f t="shared" si="223"/>
        <v>-1.3558404724130797</v>
      </c>
      <c r="X1433" s="4">
        <f t="shared" si="224"/>
        <v>-1.1369345717040529</v>
      </c>
      <c r="Y1433" s="3">
        <f t="shared" si="221"/>
        <v>108.36773172523499</v>
      </c>
      <c r="AA1433" s="3"/>
    </row>
    <row r="1434" spans="19:27" x14ac:dyDescent="0.25">
      <c r="S1434" s="4">
        <v>-0.1390296800240928</v>
      </c>
      <c r="T1434" s="4">
        <v>0.84805529559164161</v>
      </c>
      <c r="U1434" s="4">
        <f t="shared" si="222"/>
        <v>0.58749106948257823</v>
      </c>
      <c r="W1434" s="4">
        <f t="shared" si="223"/>
        <v>-0.2080984645400461</v>
      </c>
      <c r="X1434" s="4">
        <f t="shared" si="224"/>
        <v>1.1015916549135094</v>
      </c>
      <c r="Y1434" s="3">
        <f t="shared" si="221"/>
        <v>143.61910998122858</v>
      </c>
      <c r="AA1434" s="3"/>
    </row>
    <row r="1435" spans="19:27" x14ac:dyDescent="0.25">
      <c r="S1435" s="4">
        <v>0.17709327964435398</v>
      </c>
      <c r="T1435" s="4">
        <v>0.28354679632813384</v>
      </c>
      <c r="U1435" s="4">
        <f t="shared" si="222"/>
        <v>0.3327252969956998</v>
      </c>
      <c r="W1435" s="4">
        <f t="shared" si="223"/>
        <v>0.32945495323008073</v>
      </c>
      <c r="X1435" s="4">
        <f t="shared" si="224"/>
        <v>0.65241519889496957</v>
      </c>
      <c r="Y1435" s="3">
        <f t="shared" si="221"/>
        <v>12.72634766399915</v>
      </c>
      <c r="AA1435" s="3"/>
    </row>
    <row r="1436" spans="19:27" x14ac:dyDescent="0.25">
      <c r="S1436" s="4">
        <v>-0.85689079296667414</v>
      </c>
      <c r="T1436" s="4">
        <v>0.27071414046220393</v>
      </c>
      <c r="U1436" s="4">
        <f t="shared" si="222"/>
        <v>-0.30778680765554417</v>
      </c>
      <c r="W1436" s="4">
        <f t="shared" si="223"/>
        <v>-1.4287902331837281</v>
      </c>
      <c r="X1436" s="4">
        <f t="shared" si="224"/>
        <v>-0.4768689839677025</v>
      </c>
      <c r="Y1436" s="3">
        <f t="shared" si="221"/>
        <v>186.59555028297018</v>
      </c>
      <c r="AA1436" s="3"/>
    </row>
    <row r="1437" spans="19:27" x14ac:dyDescent="0.25">
      <c r="S1437" s="4">
        <v>0.42135251158984616</v>
      </c>
      <c r="T1437" s="4">
        <v>-0.27098206191009921</v>
      </c>
      <c r="U1437" s="4">
        <f t="shared" si="222"/>
        <v>4.2060574468583772E-2</v>
      </c>
      <c r="W1437" s="4">
        <f t="shared" si="223"/>
        <v>0.74480721075644596</v>
      </c>
      <c r="X1437" s="4">
        <f t="shared" si="224"/>
        <v>0.13994545588399798</v>
      </c>
      <c r="Y1437" s="3">
        <f t="shared" si="221"/>
        <v>-103.93276947830327</v>
      </c>
      <c r="AA1437" s="3"/>
    </row>
    <row r="1438" spans="19:27" x14ac:dyDescent="0.25">
      <c r="S1438" s="4">
        <v>-0.32647169544044324</v>
      </c>
      <c r="T1438" s="4">
        <v>0.68877542210180764</v>
      </c>
      <c r="U1438" s="4">
        <f t="shared" si="222"/>
        <v>0.34696235021291688</v>
      </c>
      <c r="W1438" s="4">
        <f t="shared" si="223"/>
        <v>-0.52683550321151207</v>
      </c>
      <c r="X1438" s="4">
        <f t="shared" si="224"/>
        <v>0.67751648721102975</v>
      </c>
      <c r="Y1438" s="3">
        <f t="shared" si="221"/>
        <v>152.89686921861448</v>
      </c>
      <c r="AA1438" s="3"/>
    </row>
    <row r="1439" spans="19:27" x14ac:dyDescent="0.25">
      <c r="S1439" s="4">
        <v>1.0598492891131353</v>
      </c>
      <c r="T1439" s="4">
        <v>1.7366411418285024</v>
      </c>
      <c r="U1439" s="4">
        <f t="shared" si="222"/>
        <v>2.0227293467349696</v>
      </c>
      <c r="W1439" s="4">
        <f t="shared" si="223"/>
        <v>1.8305433602371282</v>
      </c>
      <c r="X1439" s="4">
        <f t="shared" si="224"/>
        <v>3.6320541916406022</v>
      </c>
      <c r="Y1439" s="3">
        <f t="shared" si="221"/>
        <v>78.435237674355449</v>
      </c>
      <c r="AA1439" s="3"/>
    </row>
    <row r="1440" spans="19:27" x14ac:dyDescent="0.25">
      <c r="S1440" s="4">
        <v>0.56659482638121572</v>
      </c>
      <c r="T1440" s="4">
        <v>9.1461443374161774E-2</v>
      </c>
      <c r="U1440" s="4">
        <f t="shared" si="222"/>
        <v>0.41790960414598566</v>
      </c>
      <c r="W1440" s="4">
        <f t="shared" si="223"/>
        <v>0.9917854840297059</v>
      </c>
      <c r="X1440" s="4">
        <f t="shared" si="224"/>
        <v>0.8026032905709457</v>
      </c>
      <c r="Y1440" s="3">
        <f t="shared" si="221"/>
        <v>-76.144513724667831</v>
      </c>
      <c r="AA1440" s="3"/>
    </row>
    <row r="1441" spans="19:27" x14ac:dyDescent="0.25">
      <c r="S1441" s="4">
        <v>-0.42256236581416495</v>
      </c>
      <c r="T1441" s="4">
        <v>-0.98717682972984566</v>
      </c>
      <c r="U1441" s="4">
        <f t="shared" si="222"/>
        <v>-1.0401306405588717</v>
      </c>
      <c r="W1441" s="4">
        <f t="shared" si="223"/>
        <v>-0.69023353140089738</v>
      </c>
      <c r="X1441" s="4">
        <f t="shared" si="224"/>
        <v>-1.7680612985377175</v>
      </c>
      <c r="Y1441" s="3">
        <f t="shared" si="221"/>
        <v>-64.959622423744349</v>
      </c>
      <c r="AA1441" s="3"/>
    </row>
    <row r="1442" spans="19:27" x14ac:dyDescent="0.25">
      <c r="S1442" s="4">
        <v>0.22543973676785131</v>
      </c>
      <c r="T1442" s="4">
        <v>0.53308250761964626</v>
      </c>
      <c r="U1442" s="4">
        <f t="shared" si="222"/>
        <v>0.56000334273847074</v>
      </c>
      <c r="W1442" s="4">
        <f t="shared" si="223"/>
        <v>0.41166601215180609</v>
      </c>
      <c r="X1442" s="4">
        <f t="shared" si="224"/>
        <v>1.0531281601418161</v>
      </c>
      <c r="Y1442" s="3">
        <f t="shared" si="221"/>
        <v>39.780329856485878</v>
      </c>
      <c r="AA1442" s="3"/>
    </row>
    <row r="1443" spans="19:27" x14ac:dyDescent="0.25">
      <c r="S1443" s="4">
        <v>-0.29059868267251315</v>
      </c>
      <c r="T1443" s="4">
        <v>-1.1509671698842683</v>
      </c>
      <c r="U1443" s="4">
        <f t="shared" si="222"/>
        <v>-1.0895179303812308</v>
      </c>
      <c r="W1443" s="4">
        <f t="shared" si="223"/>
        <v>-0.46583499682837198</v>
      </c>
      <c r="X1443" s="4">
        <f t="shared" si="224"/>
        <v>-1.8551358203552444</v>
      </c>
      <c r="Y1443" s="3">
        <f t="shared" si="221"/>
        <v>-110.30089949046123</v>
      </c>
      <c r="AA1443" s="3"/>
    </row>
    <row r="1444" spans="19:27" x14ac:dyDescent="0.25">
      <c r="S1444" s="4">
        <v>-0.72482091228901502</v>
      </c>
      <c r="T1444" s="4">
        <v>-0.18208512152223247</v>
      </c>
      <c r="U1444" s="4">
        <f t="shared" si="222"/>
        <v>-0.58620442282752061</v>
      </c>
      <c r="W1444" s="4">
        <f t="shared" si="223"/>
        <v>-1.2042111142952159</v>
      </c>
      <c r="X1444" s="4">
        <f t="shared" si="224"/>
        <v>-0.96774590379618197</v>
      </c>
      <c r="Y1444" s="3">
        <f t="shared" si="221"/>
        <v>99.974052258733082</v>
      </c>
      <c r="AA1444" s="3"/>
    </row>
    <row r="1445" spans="19:27" x14ac:dyDescent="0.25">
      <c r="S1445" s="4">
        <v>-0.86701612202403189</v>
      </c>
      <c r="T1445" s="4">
        <v>-0.40184158420447696</v>
      </c>
      <c r="U1445" s="4">
        <f t="shared" si="222"/>
        <v>-0.84708898939927602</v>
      </c>
      <c r="W1445" s="4">
        <f t="shared" si="223"/>
        <v>-1.4460079172347011</v>
      </c>
      <c r="X1445" s="4">
        <f t="shared" si="224"/>
        <v>-1.4277103797882205</v>
      </c>
      <c r="Y1445" s="3">
        <f t="shared" si="221"/>
        <v>94.399989217024995</v>
      </c>
      <c r="AA1445" s="3"/>
    </row>
    <row r="1446" spans="19:27" x14ac:dyDescent="0.25">
      <c r="S1446" s="4">
        <v>0.26317656326058886</v>
      </c>
      <c r="T1446" s="4">
        <v>-0.50132786955561748</v>
      </c>
      <c r="U1446" s="4">
        <f t="shared" si="222"/>
        <v>-0.23696029614830103</v>
      </c>
      <c r="W1446" s="4">
        <f t="shared" si="223"/>
        <v>0.47583585314736382</v>
      </c>
      <c r="X1446" s="4">
        <f t="shared" si="224"/>
        <v>-0.35199506106811695</v>
      </c>
      <c r="Y1446" s="3">
        <f t="shared" si="221"/>
        <v>-110.86853411583434</v>
      </c>
      <c r="AA1446" s="3"/>
    </row>
    <row r="1447" spans="19:27" x14ac:dyDescent="0.25">
      <c r="S1447" s="4">
        <v>5.1343477567779142E-2</v>
      </c>
      <c r="T1447" s="4">
        <v>0.3747134419685349</v>
      </c>
      <c r="U1447" s="4">
        <f t="shared" si="222"/>
        <v>0.32833248433134937</v>
      </c>
      <c r="W1447" s="4">
        <f t="shared" si="223"/>
        <v>0.11562285460277283</v>
      </c>
      <c r="X1447" s="4">
        <f t="shared" si="224"/>
        <v>0.64467024946449647</v>
      </c>
      <c r="Y1447" s="3">
        <f t="shared" si="221"/>
        <v>45.972958992871554</v>
      </c>
      <c r="AA1447" s="3"/>
    </row>
    <row r="1448" spans="19:27" x14ac:dyDescent="0.25">
      <c r="S1448" s="4">
        <v>-0.7756374471217784</v>
      </c>
      <c r="T1448" s="4">
        <v>-4.6274487840541986E-2</v>
      </c>
      <c r="U1448" s="4">
        <f t="shared" si="222"/>
        <v>-0.50952731086601377</v>
      </c>
      <c r="W1448" s="4">
        <f t="shared" si="223"/>
        <v>-1.2906224335085896</v>
      </c>
      <c r="X1448" s="4">
        <f t="shared" si="224"/>
        <v>-0.8325568119789899</v>
      </c>
      <c r="Y1448" s="3">
        <f t="shared" si="221"/>
        <v>127.9033392164979</v>
      </c>
      <c r="AA1448" s="3"/>
    </row>
    <row r="1449" spans="19:27" x14ac:dyDescent="0.25">
      <c r="S1449" s="4">
        <v>-0.6243438329590979</v>
      </c>
      <c r="T1449" s="4">
        <v>0.33391163755817327</v>
      </c>
      <c r="U1449" s="4">
        <f t="shared" si="222"/>
        <v>-0.11592484071634984</v>
      </c>
      <c r="W1449" s="4">
        <f t="shared" si="223"/>
        <v>-1.0333541874272487</v>
      </c>
      <c r="X1449" s="4">
        <f t="shared" si="224"/>
        <v>-0.13859796147808517</v>
      </c>
      <c r="Y1449" s="3">
        <f t="shared" si="221"/>
        <v>154.51166887237014</v>
      </c>
      <c r="AA1449" s="3"/>
    </row>
    <row r="1450" spans="19:27" x14ac:dyDescent="0.25">
      <c r="S1450" s="4">
        <v>-2.0503995504339083</v>
      </c>
      <c r="T1450" s="4">
        <v>-1.3344037832997242</v>
      </c>
      <c r="U1450" s="4">
        <f t="shared" si="222"/>
        <v>-2.3077405432229652</v>
      </c>
      <c r="W1450" s="4">
        <f t="shared" si="223"/>
        <v>-3.4583002453257747</v>
      </c>
      <c r="X1450" s="4">
        <f t="shared" si="224"/>
        <v>-4.0029789569605718</v>
      </c>
      <c r="Y1450" s="3">
        <f t="shared" si="221"/>
        <v>185.37472579422956</v>
      </c>
      <c r="AA1450" s="3"/>
    </row>
    <row r="1451" spans="19:27" x14ac:dyDescent="0.25">
      <c r="S1451" s="4">
        <v>0.66144052349597404</v>
      </c>
      <c r="T1451" s="4">
        <v>0.45177027650195478</v>
      </c>
      <c r="U1451" s="4">
        <f t="shared" si="222"/>
        <v>0.76134359366430504</v>
      </c>
      <c r="W1451" s="4">
        <f t="shared" si="223"/>
        <v>1.153066489048455</v>
      </c>
      <c r="X1451" s="4">
        <f t="shared" si="224"/>
        <v>1.4081103050428065</v>
      </c>
      <c r="Y1451" s="3">
        <f t="shared" si="221"/>
        <v>-40.552797430647388</v>
      </c>
      <c r="AA1451" s="3"/>
    </row>
    <row r="1452" spans="19:27" x14ac:dyDescent="0.25">
      <c r="S1452" s="4">
        <v>-2.2545323302727058</v>
      </c>
      <c r="T1452" s="4">
        <v>-1.468535270804046E-2</v>
      </c>
      <c r="U1452" s="4">
        <f t="shared" si="222"/>
        <v>-1.386054173215606</v>
      </c>
      <c r="W1452" s="4">
        <f t="shared" si="223"/>
        <v>-3.8054192068727337</v>
      </c>
      <c r="X1452" s="4">
        <f t="shared" si="224"/>
        <v>-2.3779576159881648</v>
      </c>
      <c r="Y1452" s="3">
        <f t="shared" si="221"/>
        <v>410.20347709156431</v>
      </c>
      <c r="AA1452" s="3"/>
    </row>
    <row r="1453" spans="19:27" x14ac:dyDescent="0.25">
      <c r="S1453" s="4">
        <v>-3.3633575506796954E-3</v>
      </c>
      <c r="T1453" s="4">
        <v>0.89062995114441279</v>
      </c>
      <c r="U1453" s="4">
        <f t="shared" si="222"/>
        <v>0.70394487629523217</v>
      </c>
      <c r="W1453" s="4">
        <f t="shared" si="223"/>
        <v>2.2596248043864162E-2</v>
      </c>
      <c r="X1453" s="4">
        <f t="shared" si="224"/>
        <v>1.3069108691995248</v>
      </c>
      <c r="Y1453" s="3">
        <f t="shared" si="221"/>
        <v>127.07134938212857</v>
      </c>
      <c r="AA1453" s="3"/>
    </row>
    <row r="1454" spans="19:27" x14ac:dyDescent="0.25">
      <c r="S1454" s="4">
        <v>-0.20969203876194495</v>
      </c>
      <c r="T1454" s="4">
        <v>0.12695396075134921</v>
      </c>
      <c r="U1454" s="4">
        <f t="shared" si="222"/>
        <v>-2.7197553986884032E-2</v>
      </c>
      <c r="W1454" s="4">
        <f t="shared" si="223"/>
        <v>-0.32825674879459715</v>
      </c>
      <c r="X1454" s="4">
        <f t="shared" si="224"/>
        <v>1.7836742510006276E-2</v>
      </c>
      <c r="Y1454" s="3">
        <f t="shared" si="221"/>
        <v>54.666019743362085</v>
      </c>
      <c r="AA1454" s="3"/>
    </row>
    <row r="1455" spans="19:27" x14ac:dyDescent="0.25">
      <c r="S1455" s="4">
        <v>-1.098435057988554</v>
      </c>
      <c r="T1455" s="4">
        <v>-0.66241623345090628</v>
      </c>
      <c r="U1455" s="4">
        <f t="shared" si="222"/>
        <v>-1.1947225809442421</v>
      </c>
      <c r="W1455" s="4">
        <f t="shared" si="223"/>
        <v>-1.8395258069030984</v>
      </c>
      <c r="X1455" s="4">
        <f t="shared" si="224"/>
        <v>-2.0406216948323439</v>
      </c>
      <c r="Y1455" s="3">
        <f t="shared" si="221"/>
        <v>99.556820698134288</v>
      </c>
      <c r="AA1455" s="3"/>
    </row>
    <row r="1456" spans="19:27" x14ac:dyDescent="0.25">
      <c r="S1456" s="4">
        <v>0.1752358401481858</v>
      </c>
      <c r="T1456" s="4">
        <v>-1.1700881314816249</v>
      </c>
      <c r="U1456" s="4">
        <f t="shared" si="222"/>
        <v>-0.82069184529092232</v>
      </c>
      <c r="W1456" s="4">
        <f t="shared" si="223"/>
        <v>0.32629645771772176</v>
      </c>
      <c r="X1456" s="4">
        <f t="shared" si="224"/>
        <v>-1.3811696866493424</v>
      </c>
      <c r="Y1456" s="3">
        <f t="shared" si="221"/>
        <v>-190.13133111291108</v>
      </c>
      <c r="AA1456" s="3"/>
    </row>
    <row r="1457" spans="19:27" x14ac:dyDescent="0.25">
      <c r="S1457" s="4">
        <v>1.4749410852608169</v>
      </c>
      <c r="T1457" s="4">
        <v>0.60987425348108226</v>
      </c>
      <c r="U1457" s="4">
        <f t="shared" si="222"/>
        <v>1.3825994475352514</v>
      </c>
      <c r="W1457" s="4">
        <f t="shared" si="223"/>
        <v>2.536389003152633</v>
      </c>
      <c r="X1457" s="4">
        <f t="shared" si="224"/>
        <v>2.5034438735930955</v>
      </c>
      <c r="Y1457" s="3">
        <f t="shared" si="221"/>
        <v>-139.71681592934601</v>
      </c>
      <c r="AA1457" s="3"/>
    </row>
    <row r="1458" spans="19:27" x14ac:dyDescent="0.25">
      <c r="S1458" s="4">
        <v>0.81943730868479048</v>
      </c>
      <c r="T1458" s="4">
        <v>-0.38767587129680525</v>
      </c>
      <c r="U1458" s="4">
        <f t="shared" si="222"/>
        <v>0.19223969742669827</v>
      </c>
      <c r="W1458" s="4">
        <f t="shared" si="223"/>
        <v>1.421733187487626</v>
      </c>
      <c r="X1458" s="4">
        <f t="shared" si="224"/>
        <v>0.40472563243527604</v>
      </c>
      <c r="Y1458" s="3">
        <f t="shared" si="221"/>
        <v>-182.17599957516313</v>
      </c>
      <c r="AA1458" s="3"/>
    </row>
    <row r="1459" spans="19:27" x14ac:dyDescent="0.25">
      <c r="S1459" s="4">
        <v>-0.19451592912153676</v>
      </c>
      <c r="T1459" s="4">
        <v>-1.2287490942450285</v>
      </c>
      <c r="U1459" s="4">
        <f t="shared" si="222"/>
        <v>-1.0926008506908127</v>
      </c>
      <c r="W1459" s="4">
        <f t="shared" si="223"/>
        <v>-0.30245043085359169</v>
      </c>
      <c r="X1459" s="4">
        <f t="shared" si="224"/>
        <v>-1.86057130411481</v>
      </c>
      <c r="Y1459" s="3">
        <f t="shared" si="221"/>
        <v>-137.35244519172875</v>
      </c>
      <c r="AA1459" s="3"/>
    </row>
    <row r="1460" spans="19:27" x14ac:dyDescent="0.25">
      <c r="S1460" s="4">
        <v>-2.355379720500371</v>
      </c>
      <c r="T1460" s="4">
        <v>-0.91286262591758238</v>
      </c>
      <c r="U1460" s="4">
        <f t="shared" si="222"/>
        <v>-2.1595109484568189</v>
      </c>
      <c r="W1460" s="4">
        <f t="shared" si="223"/>
        <v>-3.9769058314030623</v>
      </c>
      <c r="X1460" s="4">
        <f t="shared" si="224"/>
        <v>-3.7416359853196259</v>
      </c>
      <c r="Y1460" s="3">
        <f t="shared" si="221"/>
        <v>304.86941801300873</v>
      </c>
      <c r="AA1460" s="3"/>
    </row>
    <row r="1461" spans="19:27" x14ac:dyDescent="0.25">
      <c r="S1461" s="4">
        <v>-0.82587703145852021</v>
      </c>
      <c r="T1461" s="4">
        <v>0.27416010963721432</v>
      </c>
      <c r="U1461" s="4">
        <f t="shared" si="222"/>
        <v>-0.28614853440313648</v>
      </c>
      <c r="W1461" s="4">
        <f t="shared" si="223"/>
        <v>-1.3760526733617491</v>
      </c>
      <c r="X1461" s="4">
        <f t="shared" si="224"/>
        <v>-0.43871863590876981</v>
      </c>
      <c r="Y1461" s="3">
        <f t="shared" si="221"/>
        <v>181.57265528904827</v>
      </c>
      <c r="AA1461" s="3"/>
    </row>
    <row r="1462" spans="19:27" x14ac:dyDescent="0.25">
      <c r="S1462" s="4">
        <v>0.2178414284511036</v>
      </c>
      <c r="T1462" s="4">
        <v>-0.36785856058876526</v>
      </c>
      <c r="U1462" s="4">
        <f t="shared" si="222"/>
        <v>-0.15879754984760988</v>
      </c>
      <c r="W1462" s="4">
        <f t="shared" si="223"/>
        <v>0.3987454175539864</v>
      </c>
      <c r="X1462" s="4">
        <f t="shared" si="224"/>
        <v>-0.21418665363054032</v>
      </c>
      <c r="Y1462" s="3">
        <f t="shared" si="221"/>
        <v>-84.907602340779704</v>
      </c>
      <c r="AA1462" s="3"/>
    </row>
    <row r="1463" spans="19:27" x14ac:dyDescent="0.25">
      <c r="S1463" s="4">
        <v>-1.2946395042426369</v>
      </c>
      <c r="T1463" s="4">
        <v>0.24333141218779125</v>
      </c>
      <c r="U1463" s="4">
        <f t="shared" si="222"/>
        <v>-0.59635425919427765</v>
      </c>
      <c r="W1463" s="4">
        <f t="shared" si="223"/>
        <v>-2.1731629801606047</v>
      </c>
      <c r="X1463" s="4">
        <f t="shared" si="224"/>
        <v>-0.98564103736881603</v>
      </c>
      <c r="Y1463" s="3">
        <f t="shared" si="221"/>
        <v>262.03667055896221</v>
      </c>
      <c r="AA1463" s="3"/>
    </row>
    <row r="1464" spans="19:27" x14ac:dyDescent="0.25">
      <c r="S1464" s="4">
        <v>-1.794620991152277</v>
      </c>
      <c r="T1464" s="4">
        <v>-0.90595846903851329</v>
      </c>
      <c r="U1464" s="4">
        <f t="shared" si="222"/>
        <v>-1.8121870454242257</v>
      </c>
      <c r="W1464" s="4">
        <f t="shared" si="223"/>
        <v>-3.0233598699782647</v>
      </c>
      <c r="X1464" s="4">
        <f t="shared" si="224"/>
        <v>-3.1292706807819357</v>
      </c>
      <c r="Y1464" s="3">
        <f t="shared" si="221"/>
        <v>195.57465625396344</v>
      </c>
      <c r="AA1464" s="3"/>
    </row>
    <row r="1465" spans="19:27" x14ac:dyDescent="0.25">
      <c r="S1465" s="4">
        <v>-0.55903538275306996</v>
      </c>
      <c r="T1465" s="4">
        <v>-1.4105519384240968</v>
      </c>
      <c r="U1465" s="4">
        <f t="shared" si="222"/>
        <v>-1.4589337063304255</v>
      </c>
      <c r="W1465" s="4">
        <f t="shared" si="223"/>
        <v>-0.92229999302662424</v>
      </c>
      <c r="X1465" s="4">
        <f t="shared" si="224"/>
        <v>-2.5064512126014482</v>
      </c>
      <c r="Y1465" s="3">
        <f t="shared" si="221"/>
        <v>-100.63605538837146</v>
      </c>
      <c r="AA1465" s="3"/>
    </row>
    <row r="1466" spans="19:27" x14ac:dyDescent="0.25">
      <c r="S1466" s="4">
        <v>-5.9135504364828756E-2</v>
      </c>
      <c r="T1466" s="4">
        <v>1.0101460775853701</v>
      </c>
      <c r="U1466" s="4">
        <f t="shared" si="222"/>
        <v>0.76468441078171423</v>
      </c>
      <c r="W1466" s="4">
        <f t="shared" si="223"/>
        <v>-7.2241874969304523E-2</v>
      </c>
      <c r="X1466" s="4">
        <f t="shared" si="224"/>
        <v>1.4140004855735575</v>
      </c>
      <c r="Y1466" s="3">
        <f t="shared" si="221"/>
        <v>152.99033479815898</v>
      </c>
      <c r="AA1466" s="3"/>
    </row>
    <row r="1467" spans="19:27" x14ac:dyDescent="0.25">
      <c r="S1467" s="4">
        <v>-1.672568833810464E-2</v>
      </c>
      <c r="T1467" s="4">
        <v>-3.9999099758872815E-2</v>
      </c>
      <c r="U1467" s="4">
        <f t="shared" si="222"/>
        <v>-4.1903319935644397E-2</v>
      </c>
      <c r="W1467" s="4">
        <f t="shared" si="223"/>
        <v>-1.2581741980492375E-4</v>
      </c>
      <c r="X1467" s="4">
        <f t="shared" si="224"/>
        <v>-8.0909312407622391E-3</v>
      </c>
      <c r="Y1467" s="3">
        <f t="shared" si="221"/>
        <v>-0.78893079326053339</v>
      </c>
      <c r="AA1467" s="3"/>
    </row>
    <row r="1468" spans="19:27" x14ac:dyDescent="0.25">
      <c r="S1468" s="4">
        <v>0.3408457043729059</v>
      </c>
      <c r="T1468" s="4">
        <v>0.63529807835070617</v>
      </c>
      <c r="U1468" s="4">
        <f t="shared" si="222"/>
        <v>0.71138286264140138</v>
      </c>
      <c r="W1468" s="4">
        <f t="shared" si="223"/>
        <v>0.60790886772367148</v>
      </c>
      <c r="X1468" s="4">
        <f t="shared" si="224"/>
        <v>1.3200247514697918</v>
      </c>
      <c r="Y1468" s="3">
        <f t="shared" si="221"/>
        <v>35.537086439467657</v>
      </c>
      <c r="AA1468" s="3"/>
    </row>
    <row r="1469" spans="19:27" x14ac:dyDescent="0.25">
      <c r="S1469" s="4">
        <v>-1.0186040572985431</v>
      </c>
      <c r="T1469" s="4">
        <v>-0.44044639798957996</v>
      </c>
      <c r="U1469" s="4">
        <f t="shared" si="222"/>
        <v>-0.97010210473048275</v>
      </c>
      <c r="W1469" s="4">
        <f t="shared" si="223"/>
        <v>-1.7037766436346891</v>
      </c>
      <c r="X1469" s="4">
        <f t="shared" si="224"/>
        <v>-1.6445942831827285</v>
      </c>
      <c r="Y1469" s="3">
        <f t="shared" si="221"/>
        <v>116.14463679859136</v>
      </c>
      <c r="AA1469" s="3"/>
    </row>
    <row r="1470" spans="19:27" x14ac:dyDescent="0.25">
      <c r="S1470" s="4">
        <v>-5.7087231967721808E-2</v>
      </c>
      <c r="T1470" s="4">
        <v>1.0220130021175153</v>
      </c>
      <c r="U1470" s="4">
        <f t="shared" si="222"/>
        <v>0.77533989970173534</v>
      </c>
      <c r="W1470" s="4">
        <f t="shared" si="223"/>
        <v>-6.8758876364129334E-2</v>
      </c>
      <c r="X1470" s="4">
        <f t="shared" si="224"/>
        <v>1.4327871330243502</v>
      </c>
      <c r="Y1470" s="3">
        <f t="shared" si="221"/>
        <v>154.30957726304496</v>
      </c>
      <c r="AA1470" s="3"/>
    </row>
    <row r="1471" spans="19:27" x14ac:dyDescent="0.25">
      <c r="S1471" s="4">
        <v>-0.65302461843753801</v>
      </c>
      <c r="T1471" s="4">
        <v>-1.0770670838057832</v>
      </c>
      <c r="U1471" s="4">
        <f t="shared" si="222"/>
        <v>-1.2518808587844894</v>
      </c>
      <c r="W1471" s="4">
        <f t="shared" si="223"/>
        <v>-1.0821246224327836</v>
      </c>
      <c r="X1471" s="4">
        <f t="shared" si="224"/>
        <v>-2.1413972127592178</v>
      </c>
      <c r="Y1471" s="3">
        <f t="shared" si="221"/>
        <v>-37.683767939995505</v>
      </c>
      <c r="AA1471" s="3"/>
    </row>
    <row r="1472" spans="19:27" x14ac:dyDescent="0.25">
      <c r="S1472" s="4">
        <v>-6.4151324264118195E-2</v>
      </c>
      <c r="T1472" s="4">
        <v>-0.13708349150262658</v>
      </c>
      <c r="U1472" s="4">
        <f t="shared" si="222"/>
        <v>-0.14777306824886169</v>
      </c>
      <c r="W1472" s="4">
        <f t="shared" si="223"/>
        <v>-8.0771059728963646E-2</v>
      </c>
      <c r="X1472" s="4">
        <f t="shared" si="224"/>
        <v>-0.19474943674842413</v>
      </c>
      <c r="Y1472" s="3">
        <f t="shared" si="221"/>
        <v>-6.5144760990424402</v>
      </c>
      <c r="AA1472" s="3"/>
    </row>
    <row r="1473" spans="19:27" x14ac:dyDescent="0.25">
      <c r="S1473" s="4">
        <v>-0.21418981709278465</v>
      </c>
      <c r="T1473" s="4">
        <v>0.95158679131010937</v>
      </c>
      <c r="U1473" s="4">
        <f t="shared" si="222"/>
        <v>0.62374036332848226</v>
      </c>
      <c r="W1473" s="4">
        <f t="shared" si="223"/>
        <v>-0.33590502627703978</v>
      </c>
      <c r="X1473" s="4">
        <f t="shared" si="224"/>
        <v>1.1655026315880408</v>
      </c>
      <c r="Y1473" s="3">
        <f t="shared" si="221"/>
        <v>170.67141635738881</v>
      </c>
      <c r="AA1473" s="3"/>
    </row>
    <row r="1474" spans="19:27" x14ac:dyDescent="0.25">
      <c r="S1474" s="4">
        <v>-0.38345497975267229</v>
      </c>
      <c r="T1474" s="4">
        <v>-0.32017841831080551</v>
      </c>
      <c r="U1474" s="4">
        <f t="shared" si="222"/>
        <v>-0.4875655880801707</v>
      </c>
      <c r="W1474" s="4">
        <f t="shared" si="223"/>
        <v>-0.62373311314763402</v>
      </c>
      <c r="X1474" s="4">
        <f t="shared" si="224"/>
        <v>-0.79383619141558714</v>
      </c>
      <c r="Y1474" s="3">
        <f t="shared" ref="Y1474:Y1537" si="225">(B$4*EXP(-B$8*B$7)*NORMSDIST((LN(B$4/(B$5+W1474))-B$8*B$7+B$9*B$7+0.5*B$6*B$6*B$7)/(B$6*SQRT(B$7)))-(B$5+W1474)*EXP(-B$9*B$7)*NORMSDIST((LN(B$4/(B$5+W1474))-B$8*B$7+B$9*B$7-0.5*B$6*B$6*B$7)/(B$6*SQRT(B$7))))*400+100*X1474-400*$B$13</f>
        <v>21.579061903530601</v>
      </c>
      <c r="AA1474" s="3"/>
    </row>
    <row r="1475" spans="19:27" x14ac:dyDescent="0.25">
      <c r="S1475" s="4">
        <v>4.7067769238830853E-2</v>
      </c>
      <c r="T1475" s="4">
        <v>-2.0890037663056349</v>
      </c>
      <c r="U1475" s="4">
        <f t="shared" ref="U1475:U1538" si="226">$B$19*S1475+SQRT(1-$B$19^2)*T1475</f>
        <v>-1.6272430507883853</v>
      </c>
      <c r="W1475" s="4">
        <f t="shared" ref="W1475:W1538" si="227">S1475*SQRT($B$16)+$B$20</f>
        <v>0.10835219755203232</v>
      </c>
      <c r="X1475" s="4">
        <f t="shared" ref="X1475:X1538" si="228">U1475*SQRT($C$17)+$C$20</f>
        <v>-2.8031967060029364</v>
      </c>
      <c r="Y1475" s="3">
        <f t="shared" si="225"/>
        <v>-297.65281722205145</v>
      </c>
      <c r="AA1475" s="3"/>
    </row>
    <row r="1476" spans="19:27" x14ac:dyDescent="0.25">
      <c r="S1476" s="4">
        <v>-1.1492256223122959</v>
      </c>
      <c r="T1476" s="4">
        <v>0.30503902507919978</v>
      </c>
      <c r="U1476" s="4">
        <f t="shared" si="226"/>
        <v>-0.45879158006951248</v>
      </c>
      <c r="W1476" s="4">
        <f t="shared" si="227"/>
        <v>-1.9258929643893379</v>
      </c>
      <c r="X1476" s="4">
        <f t="shared" si="228"/>
        <v>-0.74310485958276729</v>
      </c>
      <c r="Y1476" s="3">
        <f t="shared" si="225"/>
        <v>244.00220911383258</v>
      </c>
      <c r="AA1476" s="3"/>
    </row>
    <row r="1477" spans="19:27" x14ac:dyDescent="0.25">
      <c r="S1477" s="4">
        <v>-0.53836403896028306</v>
      </c>
      <c r="T1477" s="4">
        <v>-0.14573126524487121</v>
      </c>
      <c r="U1477" s="4">
        <f t="shared" si="226"/>
        <v>-0.44371874091919322</v>
      </c>
      <c r="W1477" s="4">
        <f t="shared" si="227"/>
        <v>-0.88714926712753661</v>
      </c>
      <c r="X1477" s="4">
        <f t="shared" si="228"/>
        <v>-0.71653000062275285</v>
      </c>
      <c r="Y1477" s="3">
        <f t="shared" si="225"/>
        <v>72.55751159690135</v>
      </c>
      <c r="AA1477" s="3"/>
    </row>
    <row r="1478" spans="19:27" x14ac:dyDescent="0.25">
      <c r="S1478" s="4">
        <v>-8.882007076256325E-2</v>
      </c>
      <c r="T1478" s="4">
        <v>-1.5079478222414182</v>
      </c>
      <c r="U1478" s="4">
        <f t="shared" si="226"/>
        <v>-1.2494849005455724</v>
      </c>
      <c r="W1478" s="4">
        <f t="shared" si="227"/>
        <v>-0.12271919600559482</v>
      </c>
      <c r="X1478" s="4">
        <f t="shared" si="228"/>
        <v>-2.1371729089211478</v>
      </c>
      <c r="Y1478" s="3">
        <f t="shared" si="225"/>
        <v>-194.01253104913121</v>
      </c>
      <c r="AA1478" s="3"/>
    </row>
    <row r="1479" spans="19:27" x14ac:dyDescent="0.25">
      <c r="S1479" s="4">
        <v>1.5720290653943449</v>
      </c>
      <c r="T1479" s="4">
        <v>-0.37738625678594317</v>
      </c>
      <c r="U1479" s="4">
        <f t="shared" si="226"/>
        <v>0.65919291933436419</v>
      </c>
      <c r="W1479" s="4">
        <f t="shared" si="227"/>
        <v>2.7014829134460001</v>
      </c>
      <c r="X1479" s="4">
        <f t="shared" si="228"/>
        <v>1.2280088831463856</v>
      </c>
      <c r="Y1479" s="3">
        <f t="shared" si="225"/>
        <v>-291.53067259015188</v>
      </c>
      <c r="AA1479" s="3"/>
    </row>
    <row r="1480" spans="19:27" x14ac:dyDescent="0.25">
      <c r="S1480" s="4">
        <v>-1.2812428967972873</v>
      </c>
      <c r="T1480" s="4">
        <v>-4.7418485445070616E-2</v>
      </c>
      <c r="U1480" s="4">
        <f t="shared" si="226"/>
        <v>-0.81866251175356985</v>
      </c>
      <c r="W1480" s="4">
        <f t="shared" si="227"/>
        <v>-2.1503826287229071</v>
      </c>
      <c r="X1480" s="4">
        <f t="shared" si="228"/>
        <v>-1.3775917772720752</v>
      </c>
      <c r="Y1480" s="3">
        <f t="shared" si="225"/>
        <v>218.93205562481944</v>
      </c>
      <c r="AA1480" s="3"/>
    </row>
    <row r="1481" spans="19:27" x14ac:dyDescent="0.25">
      <c r="S1481" s="4">
        <v>-0.28933408351461815</v>
      </c>
      <c r="T1481" s="4">
        <v>-0.75258301861173416</v>
      </c>
      <c r="U1481" s="4">
        <f t="shared" si="226"/>
        <v>-0.77295106533320745</v>
      </c>
      <c r="W1481" s="4">
        <f t="shared" si="227"/>
        <v>-0.4636846006655983</v>
      </c>
      <c r="X1481" s="4">
        <f t="shared" si="228"/>
        <v>-1.2969981194107654</v>
      </c>
      <c r="Y1481" s="3">
        <f t="shared" si="225"/>
        <v>-54.836918406330824</v>
      </c>
      <c r="AA1481" s="3"/>
    </row>
    <row r="1482" spans="19:27" x14ac:dyDescent="0.25">
      <c r="S1482" s="4">
        <v>-5.1840822518758413E-2</v>
      </c>
      <c r="T1482" s="4">
        <v>0.27287944018129967</v>
      </c>
      <c r="U1482" s="4">
        <f t="shared" si="226"/>
        <v>0.18470603229220353</v>
      </c>
      <c r="W1482" s="4">
        <f t="shared" si="227"/>
        <v>-5.9837584050310547E-2</v>
      </c>
      <c r="X1482" s="4">
        <f t="shared" si="228"/>
        <v>0.39144305929795609</v>
      </c>
      <c r="Y1482" s="3">
        <f t="shared" si="225"/>
        <v>48.742561763609501</v>
      </c>
      <c r="AA1482" s="3"/>
    </row>
    <row r="1483" spans="19:27" x14ac:dyDescent="0.25">
      <c r="S1483" s="4">
        <v>-1.8132040555916678</v>
      </c>
      <c r="T1483" s="4">
        <v>-2.0425770379187269</v>
      </c>
      <c r="U1483" s="4">
        <f t="shared" si="226"/>
        <v>-2.7245041642591383</v>
      </c>
      <c r="W1483" s="4">
        <f t="shared" si="227"/>
        <v>-3.054959567173666</v>
      </c>
      <c r="X1483" s="4">
        <f t="shared" si="228"/>
        <v>-4.7377731346365533</v>
      </c>
      <c r="Y1483" s="3">
        <f t="shared" si="225"/>
        <v>40.296576552102124</v>
      </c>
      <c r="AA1483" s="3"/>
    </row>
    <row r="1484" spans="19:27" x14ac:dyDescent="0.25">
      <c r="S1484" s="4">
        <v>-0.52735014106715716</v>
      </c>
      <c r="T1484" s="4">
        <v>-1.5215294611032073</v>
      </c>
      <c r="U1484" s="4">
        <f t="shared" si="226"/>
        <v>-1.5275886725516667</v>
      </c>
      <c r="W1484" s="4">
        <f t="shared" si="227"/>
        <v>-0.86842061020989114</v>
      </c>
      <c r="X1484" s="4">
        <f t="shared" si="228"/>
        <v>-2.6274964931911633</v>
      </c>
      <c r="Y1484" s="3">
        <f t="shared" si="225"/>
        <v>-121.62601897866261</v>
      </c>
      <c r="AA1484" s="3"/>
    </row>
    <row r="1485" spans="19:27" x14ac:dyDescent="0.25">
      <c r="S1485" s="4">
        <v>0.68621747662763588</v>
      </c>
      <c r="T1485" s="4">
        <v>-9.6060577559539412E-4</v>
      </c>
      <c r="U1485" s="4">
        <f t="shared" si="226"/>
        <v>0.41757202000414617</v>
      </c>
      <c r="W1485" s="4">
        <f t="shared" si="227"/>
        <v>1.1951986260239664</v>
      </c>
      <c r="X1485" s="4">
        <f t="shared" si="228"/>
        <v>0.80200809739817625</v>
      </c>
      <c r="Y1485" s="3">
        <f t="shared" si="225"/>
        <v>-107.66141825383602</v>
      </c>
      <c r="AA1485" s="3"/>
    </row>
    <row r="1486" spans="19:27" x14ac:dyDescent="0.25">
      <c r="S1486" s="4">
        <v>-0.42468061174280991</v>
      </c>
      <c r="T1486" s="4">
        <v>-1.2777967842630118</v>
      </c>
      <c r="U1486" s="4">
        <f t="shared" si="226"/>
        <v>-1.2717940890420367</v>
      </c>
      <c r="W1486" s="4">
        <f t="shared" si="227"/>
        <v>-0.69383551696947166</v>
      </c>
      <c r="X1486" s="4">
        <f t="shared" si="228"/>
        <v>-2.1765061448094483</v>
      </c>
      <c r="Y1486" s="3">
        <f t="shared" si="225"/>
        <v>-105.21392630900527</v>
      </c>
      <c r="AA1486" s="3"/>
    </row>
    <row r="1487" spans="19:27" x14ac:dyDescent="0.25">
      <c r="S1487" s="4">
        <v>0.16924167492592693</v>
      </c>
      <c r="T1487" s="4">
        <v>0.31963926697104778</v>
      </c>
      <c r="U1487" s="4">
        <f t="shared" si="226"/>
        <v>0.35654899699794956</v>
      </c>
      <c r="W1487" s="4">
        <f t="shared" si="227"/>
        <v>0.31610363905854072</v>
      </c>
      <c r="X1487" s="4">
        <f t="shared" si="228"/>
        <v>0.69441866361396198</v>
      </c>
      <c r="Y1487" s="3">
        <f t="shared" si="225"/>
        <v>19.044023096833371</v>
      </c>
      <c r="AA1487" s="3"/>
    </row>
    <row r="1488" spans="19:27" x14ac:dyDescent="0.25">
      <c r="S1488" s="4">
        <v>-0.31188267915598983</v>
      </c>
      <c r="T1488" s="4">
        <v>-2.1926440294381462</v>
      </c>
      <c r="U1488" s="4">
        <f t="shared" si="226"/>
        <v>-1.9282220624055346</v>
      </c>
      <c r="W1488" s="4">
        <f t="shared" si="227"/>
        <v>-0.50202751212526786</v>
      </c>
      <c r="X1488" s="4">
        <f t="shared" si="228"/>
        <v>-3.3338515284874486</v>
      </c>
      <c r="Y1488" s="3">
        <f t="shared" si="225"/>
        <v>-252.28168656106118</v>
      </c>
      <c r="AA1488" s="3"/>
    </row>
    <row r="1489" spans="19:27" x14ac:dyDescent="0.25">
      <c r="S1489" s="4">
        <v>-0.10496574378071835</v>
      </c>
      <c r="T1489" s="4">
        <v>-1.2377439435252713</v>
      </c>
      <c r="U1489" s="4">
        <f t="shared" si="226"/>
        <v>-1.0451392049124748</v>
      </c>
      <c r="W1489" s="4">
        <f t="shared" si="227"/>
        <v>-0.15017421452816906</v>
      </c>
      <c r="X1489" s="4">
        <f t="shared" si="228"/>
        <v>-1.7768918771673807</v>
      </c>
      <c r="Y1489" s="3">
        <f t="shared" si="225"/>
        <v>-153.56535870163634</v>
      </c>
      <c r="AA1489" s="3"/>
    </row>
    <row r="1490" spans="19:27" x14ac:dyDescent="0.25">
      <c r="S1490" s="4">
        <v>-4.7924786827407626E-2</v>
      </c>
      <c r="T1490" s="4">
        <v>-1.8072328573865677</v>
      </c>
      <c r="U1490" s="4">
        <f t="shared" si="226"/>
        <v>-1.4617950817567893</v>
      </c>
      <c r="W1490" s="4">
        <f t="shared" si="227"/>
        <v>-5.3178534760745355E-2</v>
      </c>
      <c r="X1490" s="4">
        <f t="shared" si="228"/>
        <v>-2.5114960915143674</v>
      </c>
      <c r="Y1490" s="3">
        <f t="shared" si="225"/>
        <v>-242.62041511418556</v>
      </c>
      <c r="AA1490" s="3"/>
    </row>
    <row r="1491" spans="19:27" x14ac:dyDescent="0.25">
      <c r="S1491" s="4">
        <v>1.2425221621090301</v>
      </c>
      <c r="T1491" s="4">
        <v>1.2063139268147296</v>
      </c>
      <c r="U1491" s="4">
        <f t="shared" si="226"/>
        <v>1.7137046551156361</v>
      </c>
      <c r="W1491" s="4">
        <f t="shared" si="227"/>
        <v>2.1411706785306843</v>
      </c>
      <c r="X1491" s="4">
        <f t="shared" si="228"/>
        <v>3.0872140647709552</v>
      </c>
      <c r="Y1491" s="3">
        <f t="shared" si="225"/>
        <v>-22.690681394650255</v>
      </c>
      <c r="AA1491" s="3"/>
    </row>
    <row r="1492" spans="19:27" x14ac:dyDescent="0.25">
      <c r="S1492" s="4">
        <v>0.68703298642759481</v>
      </c>
      <c r="T1492" s="4">
        <v>1.8478456653419058</v>
      </c>
      <c r="U1492" s="4">
        <f t="shared" si="226"/>
        <v>1.8836031486543199</v>
      </c>
      <c r="W1492" s="4">
        <f t="shared" si="227"/>
        <v>1.1965853651607021</v>
      </c>
      <c r="X1492" s="4">
        <f t="shared" si="228"/>
        <v>3.3867613801958534</v>
      </c>
      <c r="Y1492" s="3">
        <f t="shared" si="225"/>
        <v>150.60017431366941</v>
      </c>
      <c r="AA1492" s="3"/>
    </row>
    <row r="1493" spans="19:27" x14ac:dyDescent="0.25">
      <c r="S1493" s="4">
        <v>0.52350098987731497</v>
      </c>
      <c r="T1493" s="4">
        <v>-0.76963233527032171</v>
      </c>
      <c r="U1493" s="4">
        <f t="shared" si="226"/>
        <v>-0.29094352598029111</v>
      </c>
      <c r="W1493" s="4">
        <f t="shared" si="227"/>
        <v>0.91850627924877237</v>
      </c>
      <c r="X1493" s="4">
        <f t="shared" si="228"/>
        <v>-0.4471726652795166</v>
      </c>
      <c r="Y1493" s="3">
        <f t="shared" si="225"/>
        <v>-189.73813215989776</v>
      </c>
      <c r="AA1493" s="3"/>
    </row>
    <row r="1494" spans="19:27" x14ac:dyDescent="0.25">
      <c r="S1494" s="4">
        <v>1.693642796750146</v>
      </c>
      <c r="T1494" s="4">
        <v>-0.91195934860146133</v>
      </c>
      <c r="U1494" s="4">
        <f t="shared" si="226"/>
        <v>0.30957953997447951</v>
      </c>
      <c r="W1494" s="4">
        <f t="shared" si="227"/>
        <v>2.9082818027346926</v>
      </c>
      <c r="X1494" s="4">
        <f t="shared" si="228"/>
        <v>0.61160701257868</v>
      </c>
      <c r="Y1494" s="3">
        <f t="shared" si="225"/>
        <v>-383.38273451055011</v>
      </c>
      <c r="AA1494" s="3"/>
    </row>
    <row r="1495" spans="19:27" x14ac:dyDescent="0.25">
      <c r="S1495" s="4">
        <v>-0.86372197462359512</v>
      </c>
      <c r="T1495" s="4">
        <v>5.1701783751736632E-2</v>
      </c>
      <c r="U1495" s="4">
        <f t="shared" si="226"/>
        <v>-0.48556059562349635</v>
      </c>
      <c r="W1495" s="4">
        <f t="shared" si="227"/>
        <v>-1.4404063620816032</v>
      </c>
      <c r="X1495" s="4">
        <f t="shared" si="228"/>
        <v>-0.7903011976947204</v>
      </c>
      <c r="Y1495" s="3">
        <f t="shared" si="225"/>
        <v>157.20097299360532</v>
      </c>
      <c r="AA1495" s="3"/>
    </row>
    <row r="1496" spans="19:27" x14ac:dyDescent="0.25">
      <c r="S1496" s="4">
        <v>0.62314174407466671</v>
      </c>
      <c r="T1496" s="4">
        <v>-0.83583866290075948</v>
      </c>
      <c r="U1496" s="4">
        <f t="shared" si="226"/>
        <v>-0.28268152656766282</v>
      </c>
      <c r="W1496" s="4">
        <f t="shared" si="227"/>
        <v>1.0879410714073559</v>
      </c>
      <c r="X1496" s="4">
        <f t="shared" si="228"/>
        <v>-0.43260596905668414</v>
      </c>
      <c r="Y1496" s="3">
        <f t="shared" si="225"/>
        <v>-214.56186175166795</v>
      </c>
      <c r="AA1496" s="3"/>
    </row>
    <row r="1497" spans="19:27" x14ac:dyDescent="0.25">
      <c r="S1497" s="4">
        <v>0.13119361815640893</v>
      </c>
      <c r="T1497" s="4">
        <v>-0.34225681706093058</v>
      </c>
      <c r="U1497" s="4">
        <f t="shared" si="226"/>
        <v>-0.19132569051102241</v>
      </c>
      <c r="W1497" s="4">
        <f t="shared" si="227"/>
        <v>0.25140456444081161</v>
      </c>
      <c r="X1497" s="4">
        <f t="shared" si="228"/>
        <v>-0.27153688086648786</v>
      </c>
      <c r="Y1497" s="3">
        <f t="shared" si="225"/>
        <v>-67.278184982206767</v>
      </c>
      <c r="AA1497" s="3"/>
    </row>
    <row r="1498" spans="19:27" x14ac:dyDescent="0.25">
      <c r="S1498" s="4">
        <v>0.58009894520620153</v>
      </c>
      <c r="T1498" s="4">
        <v>-0.26721328130250382</v>
      </c>
      <c r="U1498" s="4">
        <f t="shared" si="226"/>
        <v>0.14182342463701247</v>
      </c>
      <c r="W1498" s="4">
        <f t="shared" si="227"/>
        <v>1.0147486539176462</v>
      </c>
      <c r="X1498" s="4">
        <f t="shared" si="228"/>
        <v>0.31583691509982093</v>
      </c>
      <c r="Y1498" s="3">
        <f t="shared" si="225"/>
        <v>-128.3828755366103</v>
      </c>
      <c r="AA1498" s="3"/>
    </row>
    <row r="1499" spans="19:27" x14ac:dyDescent="0.25">
      <c r="S1499" s="4">
        <v>-1.3113101388110047</v>
      </c>
      <c r="T1499" s="4">
        <v>-0.10161836030895943</v>
      </c>
      <c r="U1499" s="4">
        <f t="shared" si="226"/>
        <v>-0.87995598157315913</v>
      </c>
      <c r="W1499" s="4">
        <f t="shared" si="227"/>
        <v>-2.2015106730900325</v>
      </c>
      <c r="X1499" s="4">
        <f t="shared" si="228"/>
        <v>-1.485658034689211</v>
      </c>
      <c r="Y1499" s="3">
        <f t="shared" si="225"/>
        <v>216.90384659081246</v>
      </c>
      <c r="AA1499" s="3"/>
    </row>
    <row r="1500" spans="19:27" x14ac:dyDescent="0.25">
      <c r="S1500" s="4">
        <v>0.55137525899082562</v>
      </c>
      <c r="T1500" s="4">
        <v>-0.90791179507132114</v>
      </c>
      <c r="U1500" s="4">
        <f t="shared" si="226"/>
        <v>-0.38356377376964534</v>
      </c>
      <c r="W1500" s="4">
        <f t="shared" si="227"/>
        <v>0.9659052680647926</v>
      </c>
      <c r="X1500" s="4">
        <f t="shared" si="228"/>
        <v>-0.6104710324482221</v>
      </c>
      <c r="Y1500" s="3">
        <f t="shared" si="225"/>
        <v>-213.43455655931712</v>
      </c>
      <c r="AA1500" s="3"/>
    </row>
    <row r="1501" spans="19:27" x14ac:dyDescent="0.25">
      <c r="S1501" s="4">
        <v>1.48812470610111</v>
      </c>
      <c r="T1501" s="4">
        <v>1.6852948481273977</v>
      </c>
      <c r="U1501" s="4">
        <f t="shared" si="226"/>
        <v>2.2431137993300703</v>
      </c>
      <c r="W1501" s="4">
        <f t="shared" si="227"/>
        <v>2.5588071800820087</v>
      </c>
      <c r="X1501" s="4">
        <f t="shared" si="228"/>
        <v>4.0206130879631123</v>
      </c>
      <c r="Y1501" s="3">
        <f t="shared" si="225"/>
        <v>8.6965237084054934</v>
      </c>
      <c r="AA1501" s="3"/>
    </row>
    <row r="1502" spans="19:27" x14ac:dyDescent="0.25">
      <c r="S1502" s="4">
        <v>8.178201630355611E-2</v>
      </c>
      <c r="T1502" s="4">
        <v>1.8057925195364926</v>
      </c>
      <c r="U1502" s="4">
        <f t="shared" si="226"/>
        <v>1.4812934599446517</v>
      </c>
      <c r="W1502" s="4">
        <f t="shared" si="227"/>
        <v>0.16738227298385563</v>
      </c>
      <c r="X1502" s="4">
        <f t="shared" si="228"/>
        <v>2.677450869476294</v>
      </c>
      <c r="Y1502" s="3">
        <f t="shared" si="225"/>
        <v>240.99438072166959</v>
      </c>
      <c r="AA1502" s="3"/>
    </row>
    <row r="1503" spans="19:27" x14ac:dyDescent="0.25">
      <c r="S1503" s="4">
        <v>-1.5866504411473192</v>
      </c>
      <c r="T1503" s="4">
        <v>-1.1481471141601192</v>
      </c>
      <c r="U1503" s="4">
        <f t="shared" si="226"/>
        <v>-1.877384563998548</v>
      </c>
      <c r="W1503" s="4">
        <f t="shared" si="227"/>
        <v>-2.6697149462816432</v>
      </c>
      <c r="X1503" s="4">
        <f t="shared" si="228"/>
        <v>-3.2442201500475738</v>
      </c>
      <c r="Y1503" s="3">
        <f t="shared" si="225"/>
        <v>122.08715829714265</v>
      </c>
      <c r="AA1503" s="3"/>
    </row>
    <row r="1504" spans="19:27" x14ac:dyDescent="0.25">
      <c r="S1504" s="4">
        <v>1.2113393243812667</v>
      </c>
      <c r="T1504" s="4">
        <v>-2.4780332756429276E-2</v>
      </c>
      <c r="U1504" s="4">
        <f t="shared" si="226"/>
        <v>0.71881630736530766</v>
      </c>
      <c r="W1504" s="4">
        <f t="shared" si="227"/>
        <v>2.0881456119113184</v>
      </c>
      <c r="X1504" s="4">
        <f t="shared" si="228"/>
        <v>1.3331306264250546</v>
      </c>
      <c r="Y1504" s="3">
        <f t="shared" si="225"/>
        <v>-190.17120215127989</v>
      </c>
      <c r="AA1504" s="3"/>
    </row>
    <row r="1505" spans="19:27" x14ac:dyDescent="0.25">
      <c r="S1505" s="4">
        <v>0.45359246229599914</v>
      </c>
      <c r="T1505" s="4">
        <v>0.60405492029160934</v>
      </c>
      <c r="U1505" s="4">
        <f t="shared" si="226"/>
        <v>0.75534959982051153</v>
      </c>
      <c r="W1505" s="4">
        <f t="shared" si="227"/>
        <v>0.79962985226596994</v>
      </c>
      <c r="X1505" s="4">
        <f t="shared" si="228"/>
        <v>1.3975423198465582</v>
      </c>
      <c r="Y1505" s="3">
        <f t="shared" si="225"/>
        <v>13.25907197462675</v>
      </c>
      <c r="AA1505" s="3"/>
    </row>
    <row r="1506" spans="19:27" x14ac:dyDescent="0.25">
      <c r="S1506" s="4">
        <v>2.4028828629550199E-2</v>
      </c>
      <c r="T1506" s="4">
        <v>-1.232607971865779</v>
      </c>
      <c r="U1506" s="4">
        <f t="shared" si="226"/>
        <v>-0.96242999171923171</v>
      </c>
      <c r="W1506" s="4">
        <f t="shared" si="227"/>
        <v>6.917547568624012E-2</v>
      </c>
      <c r="X1506" s="4">
        <f t="shared" si="228"/>
        <v>-1.6310676131794219</v>
      </c>
      <c r="Y1506" s="3">
        <f t="shared" si="225"/>
        <v>-174.17979097408488</v>
      </c>
      <c r="AA1506" s="3"/>
    </row>
    <row r="1507" spans="19:27" x14ac:dyDescent="0.25">
      <c r="S1507" s="4">
        <v>-2.3215892443937255E-3</v>
      </c>
      <c r="T1507" s="4">
        <v>-1.3361535335819705</v>
      </c>
      <c r="U1507" s="4">
        <f t="shared" si="226"/>
        <v>-1.0605735347509004</v>
      </c>
      <c r="W1507" s="4">
        <f t="shared" si="227"/>
        <v>2.4367729982904464E-2</v>
      </c>
      <c r="X1507" s="4">
        <f t="shared" si="228"/>
        <v>-1.8041040788307823</v>
      </c>
      <c r="Y1507" s="3">
        <f t="shared" si="225"/>
        <v>-184.3138110327709</v>
      </c>
      <c r="AA1507" s="3"/>
    </row>
    <row r="1508" spans="19:27" x14ac:dyDescent="0.25">
      <c r="S1508" s="4">
        <v>1.0865142020726857</v>
      </c>
      <c r="T1508" s="4">
        <v>0.24962779949465452</v>
      </c>
      <c r="U1508" s="4">
        <f t="shared" si="226"/>
        <v>0.86024126409378687</v>
      </c>
      <c r="W1508" s="4">
        <f t="shared" si="227"/>
        <v>1.8758858912288117</v>
      </c>
      <c r="X1508" s="4">
        <f t="shared" si="228"/>
        <v>1.5824763695199024</v>
      </c>
      <c r="Y1508" s="3">
        <f t="shared" si="225"/>
        <v>-133.36096905688237</v>
      </c>
      <c r="AA1508" s="3"/>
    </row>
    <row r="1509" spans="19:27" x14ac:dyDescent="0.25">
      <c r="S1509" s="4">
        <v>-0.87558853891483301</v>
      </c>
      <c r="T1509" s="4">
        <v>-1.4285625327795746</v>
      </c>
      <c r="U1509" s="4">
        <f t="shared" si="226"/>
        <v>-1.6661884276161345</v>
      </c>
      <c r="W1509" s="4">
        <f t="shared" si="227"/>
        <v>-1.4605849413237886</v>
      </c>
      <c r="X1509" s="4">
        <f t="shared" si="228"/>
        <v>-2.8718611351805095</v>
      </c>
      <c r="Y1509" s="3">
        <f t="shared" si="225"/>
        <v>-47.568300794019251</v>
      </c>
      <c r="AA1509" s="3"/>
    </row>
    <row r="1510" spans="19:27" x14ac:dyDescent="0.25">
      <c r="S1510" s="4">
        <v>-0.4042537537376294</v>
      </c>
      <c r="T1510" s="4">
        <v>0.27414903798365459</v>
      </c>
      <c r="U1510" s="4">
        <f t="shared" si="226"/>
        <v>-2.9126353519216885E-2</v>
      </c>
      <c r="W1510" s="4">
        <f t="shared" si="227"/>
        <v>-0.6591005285760112</v>
      </c>
      <c r="X1510" s="4">
        <f t="shared" si="228"/>
        <v>1.443608421181157E-2</v>
      </c>
      <c r="Y1510" s="3">
        <f t="shared" si="225"/>
        <v>108.19183949451508</v>
      </c>
      <c r="AA1510" s="3"/>
    </row>
    <row r="1511" spans="19:27" x14ac:dyDescent="0.25">
      <c r="S1511" s="4">
        <v>-0.42849784334572194</v>
      </c>
      <c r="T1511" s="4">
        <v>0.56523857018062951</v>
      </c>
      <c r="U1511" s="4">
        <f t="shared" si="226"/>
        <v>0.18683825749456606</v>
      </c>
      <c r="W1511" s="4">
        <f t="shared" si="227"/>
        <v>-0.70032655418080747</v>
      </c>
      <c r="X1511" s="4">
        <f t="shared" si="228"/>
        <v>0.39520237653465418</v>
      </c>
      <c r="Y1511" s="3">
        <f t="shared" si="225"/>
        <v>153.02064526507911</v>
      </c>
      <c r="AA1511" s="3"/>
    </row>
    <row r="1512" spans="19:27" x14ac:dyDescent="0.25">
      <c r="S1512" s="4">
        <v>-1.1923980879770404</v>
      </c>
      <c r="T1512" s="4">
        <v>-0.25931315524219878</v>
      </c>
      <c r="U1512" s="4">
        <f t="shared" si="226"/>
        <v>-0.9324679476084704</v>
      </c>
      <c r="W1512" s="4">
        <f t="shared" si="227"/>
        <v>-1.9993058746568717</v>
      </c>
      <c r="X1512" s="4">
        <f t="shared" si="228"/>
        <v>-1.5782416599229416</v>
      </c>
      <c r="Y1512" s="3">
        <f t="shared" si="225"/>
        <v>173.00955320795129</v>
      </c>
      <c r="AA1512" s="3"/>
    </row>
    <row r="1513" spans="19:27" x14ac:dyDescent="0.25">
      <c r="S1513" s="4">
        <v>1.1566209414824535</v>
      </c>
      <c r="T1513" s="4">
        <v>-1.9305465424512256</v>
      </c>
      <c r="U1513" s="4">
        <f t="shared" si="226"/>
        <v>-0.82522690410843913</v>
      </c>
      <c r="W1513" s="4">
        <f t="shared" si="227"/>
        <v>1.995099368851462</v>
      </c>
      <c r="X1513" s="4">
        <f t="shared" si="228"/>
        <v>-1.3891654296708771</v>
      </c>
      <c r="Y1513" s="3">
        <f t="shared" si="225"/>
        <v>-448.45549019610553</v>
      </c>
      <c r="AA1513" s="3"/>
    </row>
    <row r="1514" spans="19:27" x14ac:dyDescent="0.25">
      <c r="S1514" s="4">
        <v>-0.38966422854834892</v>
      </c>
      <c r="T1514" s="4">
        <v>0.32345899741289769</v>
      </c>
      <c r="U1514" s="4">
        <f t="shared" si="226"/>
        <v>1.8855357849316134E-2</v>
      </c>
      <c r="W1514" s="4">
        <f t="shared" si="227"/>
        <v>-0.6342916721191233</v>
      </c>
      <c r="X1514" s="4">
        <f t="shared" si="228"/>
        <v>9.9032436601857149E-2</v>
      </c>
      <c r="Y1514" s="3">
        <f t="shared" si="225"/>
        <v>112.59245383542202</v>
      </c>
      <c r="AA1514" s="3"/>
    </row>
    <row r="1515" spans="19:27" x14ac:dyDescent="0.25">
      <c r="S1515" s="4">
        <v>0.9548888527999605</v>
      </c>
      <c r="T1515" s="4">
        <v>-4.5626254596819599E-2</v>
      </c>
      <c r="U1515" s="4">
        <f t="shared" si="226"/>
        <v>0.54595398213374957</v>
      </c>
      <c r="W1515" s="4">
        <f t="shared" si="227"/>
        <v>1.6520626787644295</v>
      </c>
      <c r="X1515" s="4">
        <f t="shared" si="228"/>
        <v>1.0283577918770597</v>
      </c>
      <c r="Y1515" s="3">
        <f t="shared" si="225"/>
        <v>-154.91633259042555</v>
      </c>
      <c r="AA1515" s="3"/>
    </row>
    <row r="1516" spans="19:27" x14ac:dyDescent="0.25">
      <c r="S1516" s="4">
        <v>-0.76315541023412725</v>
      </c>
      <c r="T1516" s="4">
        <v>-0.22327980775525363</v>
      </c>
      <c r="U1516" s="4">
        <f t="shared" si="226"/>
        <v>-0.64222868708819425</v>
      </c>
      <c r="W1516" s="4">
        <f t="shared" si="227"/>
        <v>-1.2693972697408995</v>
      </c>
      <c r="X1516" s="4">
        <f t="shared" si="228"/>
        <v>-1.0665220471768695</v>
      </c>
      <c r="Y1516" s="3">
        <f t="shared" si="225"/>
        <v>100.96355444434357</v>
      </c>
      <c r="AA1516" s="3"/>
    </row>
    <row r="1517" spans="19:27" x14ac:dyDescent="0.25">
      <c r="S1517" s="4">
        <v>1.0222686602815674</v>
      </c>
      <c r="T1517" s="4">
        <v>-0.68457836855142651</v>
      </c>
      <c r="U1517" s="4">
        <f t="shared" si="226"/>
        <v>8.0537974926418121E-2</v>
      </c>
      <c r="W1517" s="4">
        <f t="shared" si="227"/>
        <v>1.7666391266074433</v>
      </c>
      <c r="X1517" s="4">
        <f t="shared" si="228"/>
        <v>0.20778479790293555</v>
      </c>
      <c r="Y1517" s="3">
        <f t="shared" si="225"/>
        <v>-254.33636699228055</v>
      </c>
      <c r="AA1517" s="3"/>
    </row>
    <row r="1518" spans="19:27" x14ac:dyDescent="0.25">
      <c r="S1518" s="4">
        <v>-0.85096834245098141</v>
      </c>
      <c r="T1518" s="4">
        <v>0.68446218270398707</v>
      </c>
      <c r="U1518" s="4">
        <f t="shared" si="226"/>
        <v>2.379842125667242E-2</v>
      </c>
      <c r="W1518" s="4">
        <f t="shared" si="227"/>
        <v>-1.4187193622807601</v>
      </c>
      <c r="X1518" s="4">
        <f t="shared" si="228"/>
        <v>0.10774753079020846</v>
      </c>
      <c r="Y1518" s="3">
        <f t="shared" si="225"/>
        <v>243.36835722509295</v>
      </c>
      <c r="AA1518" s="3"/>
    </row>
    <row r="1519" spans="19:27" x14ac:dyDescent="0.25">
      <c r="S1519" s="4">
        <v>-0.6028936454198659</v>
      </c>
      <c r="T1519" s="4">
        <v>0.68632560570290391</v>
      </c>
      <c r="U1519" s="4">
        <f t="shared" si="226"/>
        <v>0.17650741211221316</v>
      </c>
      <c r="W1519" s="4">
        <f t="shared" si="227"/>
        <v>-0.99687907142929078</v>
      </c>
      <c r="X1519" s="4">
        <f t="shared" si="228"/>
        <v>0.37698810673214456</v>
      </c>
      <c r="Y1519" s="3">
        <f t="shared" si="225"/>
        <v>200.03210711238899</v>
      </c>
      <c r="AA1519" s="3"/>
    </row>
    <row r="1520" spans="19:27" x14ac:dyDescent="0.25">
      <c r="S1520" s="4">
        <v>-1.4574753785043153</v>
      </c>
      <c r="T1520" s="4">
        <v>0.46710176837794326</v>
      </c>
      <c r="U1520" s="4">
        <f t="shared" si="226"/>
        <v>-0.51824166588708265</v>
      </c>
      <c r="W1520" s="4">
        <f t="shared" si="227"/>
        <v>-2.4500583402342846</v>
      </c>
      <c r="X1520" s="4">
        <f t="shared" si="228"/>
        <v>-0.84792105446196586</v>
      </c>
      <c r="Y1520" s="3">
        <f t="shared" si="225"/>
        <v>323.55118218455482</v>
      </c>
      <c r="AA1520" s="3"/>
    </row>
    <row r="1521" spans="19:27" x14ac:dyDescent="0.25">
      <c r="S1521" s="4">
        <v>0.97243082708617012</v>
      </c>
      <c r="T1521" s="4">
        <v>-1.8116141014266243</v>
      </c>
      <c r="U1521" s="4">
        <f t="shared" si="226"/>
        <v>-0.84323651067398397</v>
      </c>
      <c r="W1521" s="4">
        <f t="shared" si="227"/>
        <v>1.681892047190809</v>
      </c>
      <c r="X1521" s="4">
        <f t="shared" si="228"/>
        <v>-1.4209180908405257</v>
      </c>
      <c r="Y1521" s="3">
        <f t="shared" si="225"/>
        <v>-404.37056387025314</v>
      </c>
      <c r="AA1521" s="3"/>
    </row>
    <row r="1522" spans="19:27" x14ac:dyDescent="0.25">
      <c r="S1522" s="4">
        <v>0.57613226830924003</v>
      </c>
      <c r="T1522" s="4">
        <v>0.11336192479065867</v>
      </c>
      <c r="U1522" s="4">
        <f t="shared" si="226"/>
        <v>0.4410841783731087</v>
      </c>
      <c r="W1522" s="4">
        <f t="shared" si="227"/>
        <v>1.0080034914486251</v>
      </c>
      <c r="X1522" s="4">
        <f t="shared" si="228"/>
        <v>0.84346228438108894</v>
      </c>
      <c r="Y1522" s="3">
        <f t="shared" si="225"/>
        <v>-74.574401852011306</v>
      </c>
      <c r="AA1522" s="3"/>
    </row>
    <row r="1523" spans="19:27" x14ac:dyDescent="0.25">
      <c r="S1523" s="4">
        <v>-0.37365056147729159</v>
      </c>
      <c r="T1523" s="4">
        <v>1.6505677887789203</v>
      </c>
      <c r="U1523" s="4">
        <f t="shared" si="226"/>
        <v>1.0806061937710321</v>
      </c>
      <c r="W1523" s="4">
        <f t="shared" si="227"/>
        <v>-0.60706112399915069</v>
      </c>
      <c r="X1523" s="4">
        <f t="shared" si="228"/>
        <v>1.9710008450685079</v>
      </c>
      <c r="Y1523" s="3">
        <f t="shared" si="225"/>
        <v>295.33775752088786</v>
      </c>
      <c r="AA1523" s="3"/>
    </row>
    <row r="1524" spans="19:27" x14ac:dyDescent="0.25">
      <c r="S1524" s="4">
        <v>-0.26103183805452723</v>
      </c>
      <c r="T1524" s="4">
        <v>-0.65829256389308766</v>
      </c>
      <c r="U1524" s="4">
        <f t="shared" si="226"/>
        <v>-0.68095409410752006</v>
      </c>
      <c r="W1524" s="4">
        <f t="shared" si="227"/>
        <v>-0.41555785658602401</v>
      </c>
      <c r="X1524" s="4">
        <f t="shared" si="228"/>
        <v>-1.1347986485155055</v>
      </c>
      <c r="Y1524" s="3">
        <f t="shared" si="225"/>
        <v>-46.439091072555129</v>
      </c>
      <c r="AA1524" s="3"/>
    </row>
    <row r="1525" spans="19:27" x14ac:dyDescent="0.25">
      <c r="S1525" s="4">
        <v>-2.3588419056479348</v>
      </c>
      <c r="T1525" s="4">
        <v>6.0735685915961138E-3</v>
      </c>
      <c r="U1525" s="4">
        <f t="shared" si="226"/>
        <v>-1.4331881864682585</v>
      </c>
      <c r="W1525" s="4">
        <f t="shared" si="227"/>
        <v>-3.9827931274760138</v>
      </c>
      <c r="X1525" s="4">
        <f t="shared" si="228"/>
        <v>-2.4610593954151785</v>
      </c>
      <c r="Y1525" s="3">
        <f t="shared" si="225"/>
        <v>433.99535100221965</v>
      </c>
      <c r="AA1525" s="3"/>
    </row>
    <row r="1526" spans="19:27" x14ac:dyDescent="0.25">
      <c r="S1526" s="4">
        <v>1.762525171446381</v>
      </c>
      <c r="T1526" s="4">
        <v>-1.1381459558511056</v>
      </c>
      <c r="U1526" s="4">
        <f t="shared" si="226"/>
        <v>0.1722754541248861</v>
      </c>
      <c r="W1526" s="4">
        <f t="shared" si="227"/>
        <v>3.025413301126707</v>
      </c>
      <c r="X1526" s="4">
        <f t="shared" si="228"/>
        <v>0.36952675950244629</v>
      </c>
      <c r="Y1526" s="3">
        <f t="shared" si="225"/>
        <v>-424.60965057164412</v>
      </c>
      <c r="AA1526" s="3"/>
    </row>
    <row r="1527" spans="19:27" x14ac:dyDescent="0.25">
      <c r="S1527" s="4">
        <v>-1.0550547721499961</v>
      </c>
      <c r="T1527" s="4">
        <v>1.3406864194084398</v>
      </c>
      <c r="U1527" s="4">
        <f t="shared" si="226"/>
        <v>0.41956649523613621</v>
      </c>
      <c r="W1527" s="4">
        <f t="shared" si="227"/>
        <v>-1.7657595074200767</v>
      </c>
      <c r="X1527" s="4">
        <f t="shared" si="228"/>
        <v>0.80552454824468145</v>
      </c>
      <c r="Y1527" s="3">
        <f t="shared" si="225"/>
        <v>371.65295181467081</v>
      </c>
      <c r="AA1527" s="3"/>
    </row>
    <row r="1528" spans="19:27" x14ac:dyDescent="0.25">
      <c r="S1528" s="4">
        <v>1.27609160067673</v>
      </c>
      <c r="T1528" s="4">
        <v>0.51662786967653596</v>
      </c>
      <c r="U1528" s="4">
        <f t="shared" si="226"/>
        <v>1.1874607007954276</v>
      </c>
      <c r="W1528" s="4">
        <f t="shared" si="227"/>
        <v>2.1982540566365252</v>
      </c>
      <c r="X1528" s="4">
        <f t="shared" si="228"/>
        <v>2.1593955744951154</v>
      </c>
      <c r="Y1528" s="3">
        <f t="shared" si="225"/>
        <v>-123.9914602490835</v>
      </c>
      <c r="AA1528" s="3"/>
    </row>
    <row r="1529" spans="19:27" x14ac:dyDescent="0.25">
      <c r="S1529" s="4">
        <v>-0.48871552603785562</v>
      </c>
      <c r="T1529" s="4">
        <v>-1.2038693586757709</v>
      </c>
      <c r="U1529" s="4">
        <f t="shared" si="226"/>
        <v>-1.2522295212901366</v>
      </c>
      <c r="W1529" s="4">
        <f t="shared" si="227"/>
        <v>-0.80272411864529225</v>
      </c>
      <c r="X1529" s="4">
        <f t="shared" si="228"/>
        <v>-2.142011938148364</v>
      </c>
      <c r="Y1529" s="3">
        <f t="shared" si="225"/>
        <v>-83.891208261068186</v>
      </c>
      <c r="AA1529" s="3"/>
    </row>
    <row r="1530" spans="19:27" x14ac:dyDescent="0.25">
      <c r="S1530" s="4">
        <v>-5.8683374573925716E-2</v>
      </c>
      <c r="T1530" s="4">
        <v>-0.21958509306848625</v>
      </c>
      <c r="U1530" s="4">
        <f t="shared" si="226"/>
        <v>-0.20983804522863289</v>
      </c>
      <c r="W1530" s="4">
        <f t="shared" si="227"/>
        <v>-7.1473047818532143E-2</v>
      </c>
      <c r="X1530" s="4">
        <f t="shared" si="228"/>
        <v>-0.30417593517682562</v>
      </c>
      <c r="Y1530" s="3">
        <f t="shared" si="225"/>
        <v>-18.950797952251378</v>
      </c>
      <c r="AA1530" s="3"/>
    </row>
    <row r="1531" spans="19:27" x14ac:dyDescent="0.25">
      <c r="S1531" s="4">
        <v>-0.27026285485419865</v>
      </c>
      <c r="T1531" s="4">
        <v>-1.0401963973930921</v>
      </c>
      <c r="U1531" s="4">
        <f t="shared" si="226"/>
        <v>-0.98931364872763627</v>
      </c>
      <c r="W1531" s="4">
        <f t="shared" si="227"/>
        <v>-0.43125480132980726</v>
      </c>
      <c r="X1531" s="4">
        <f t="shared" si="228"/>
        <v>-1.6784660751548237</v>
      </c>
      <c r="Y1531" s="3">
        <f t="shared" si="225"/>
        <v>-98.255908578741128</v>
      </c>
      <c r="AA1531" s="3"/>
    </row>
    <row r="1532" spans="19:27" x14ac:dyDescent="0.25">
      <c r="S1532" s="4">
        <v>0.93984298454183768</v>
      </c>
      <c r="T1532" s="4">
        <v>-2.7171523213040878</v>
      </c>
      <c r="U1532" s="4">
        <f t="shared" si="226"/>
        <v>-1.5809157063259325</v>
      </c>
      <c r="W1532" s="4">
        <f t="shared" si="227"/>
        <v>1.6264778306598953</v>
      </c>
      <c r="X1532" s="4">
        <f t="shared" si="228"/>
        <v>-2.7215171609083675</v>
      </c>
      <c r="Y1532" s="3">
        <f t="shared" si="225"/>
        <v>-526.01773317630796</v>
      </c>
      <c r="AA1532" s="3"/>
    </row>
    <row r="1533" spans="19:27" x14ac:dyDescent="0.25">
      <c r="S1533" s="4">
        <v>-0.92765538112841761</v>
      </c>
      <c r="T1533" s="4">
        <v>-0.90335476018408667</v>
      </c>
      <c r="U1533" s="4">
        <f t="shared" si="226"/>
        <v>-1.2816015267157146</v>
      </c>
      <c r="W1533" s="4">
        <f t="shared" si="227"/>
        <v>-1.5491223541512693</v>
      </c>
      <c r="X1533" s="4">
        <f t="shared" si="228"/>
        <v>-2.1937975966943837</v>
      </c>
      <c r="Y1533" s="3">
        <f t="shared" si="225"/>
        <v>35.12340812387265</v>
      </c>
      <c r="AA1533" s="3"/>
    </row>
    <row r="1534" spans="19:27" x14ac:dyDescent="0.25">
      <c r="S1534" s="4">
        <v>-0.30090059888056864</v>
      </c>
      <c r="T1534" s="4">
        <v>2.0024960829735718</v>
      </c>
      <c r="U1534" s="4">
        <f t="shared" si="226"/>
        <v>1.403926944203657</v>
      </c>
      <c r="W1534" s="4">
        <f t="shared" si="227"/>
        <v>-0.48335295969013259</v>
      </c>
      <c r="X1534" s="4">
        <f t="shared" si="228"/>
        <v>2.5410462927711075</v>
      </c>
      <c r="Y1534" s="3">
        <f t="shared" si="225"/>
        <v>332.16772660848892</v>
      </c>
      <c r="AA1534" s="3"/>
    </row>
    <row r="1535" spans="19:27" x14ac:dyDescent="0.25">
      <c r="S1535" s="4">
        <v>0.32911724284859645</v>
      </c>
      <c r="T1535" s="4">
        <v>-0.92033796500531784</v>
      </c>
      <c r="U1535" s="4">
        <f t="shared" si="226"/>
        <v>-0.52890734513084492</v>
      </c>
      <c r="W1535" s="4">
        <f t="shared" si="227"/>
        <v>0.587965126262468</v>
      </c>
      <c r="X1535" s="4">
        <f t="shared" si="228"/>
        <v>-0.86672566842944998</v>
      </c>
      <c r="Y1535" s="3">
        <f t="shared" si="225"/>
        <v>-180.0033205551822</v>
      </c>
      <c r="AA1535" s="3"/>
    </row>
    <row r="1536" spans="19:27" x14ac:dyDescent="0.25">
      <c r="S1536" s="4">
        <v>-0.68823760927715061</v>
      </c>
      <c r="T1536" s="4">
        <v>0.30348503378850827</v>
      </c>
      <c r="U1536" s="4">
        <f t="shared" si="226"/>
        <v>-0.17899483832004756</v>
      </c>
      <c r="W1536" s="4">
        <f t="shared" si="227"/>
        <v>-1.1420027900786727</v>
      </c>
      <c r="X1536" s="4">
        <f t="shared" si="228"/>
        <v>-0.24979640751810747</v>
      </c>
      <c r="Y1536" s="3">
        <f t="shared" si="225"/>
        <v>161.41919764727209</v>
      </c>
      <c r="AA1536" s="3"/>
    </row>
    <row r="1537" spans="19:27" x14ac:dyDescent="0.25">
      <c r="S1537" s="4">
        <v>-1.4596608684151773</v>
      </c>
      <c r="T1537" s="4">
        <v>-1.4026867268696255</v>
      </c>
      <c r="U1537" s="4">
        <f t="shared" si="226"/>
        <v>-2.0017404065871673</v>
      </c>
      <c r="W1537" s="4">
        <f t="shared" si="227"/>
        <v>-2.4537746712857151</v>
      </c>
      <c r="X1537" s="4">
        <f t="shared" si="228"/>
        <v>-3.4634714101909765</v>
      </c>
      <c r="Y1537" s="3">
        <f t="shared" si="225"/>
        <v>62.639713384942297</v>
      </c>
      <c r="AA1537" s="3"/>
    </row>
    <row r="1538" spans="19:27" x14ac:dyDescent="0.25">
      <c r="S1538" s="4">
        <v>-1.8265760953211512</v>
      </c>
      <c r="T1538" s="4">
        <v>-1.4550228653934389</v>
      </c>
      <c r="U1538" s="4">
        <f t="shared" si="226"/>
        <v>-2.2669065547776803</v>
      </c>
      <c r="W1538" s="4">
        <f t="shared" si="227"/>
        <v>-3.0776981422733072</v>
      </c>
      <c r="X1538" s="4">
        <f t="shared" si="228"/>
        <v>-3.9309847246274203</v>
      </c>
      <c r="Y1538" s="3">
        <f t="shared" ref="Y1538:Y1601" si="229">(B$4*EXP(-B$8*B$7)*NORMSDIST((LN(B$4/(B$5+W1538))-B$8*B$7+B$9*B$7+0.5*B$6*B$6*B$7)/(B$6*SQRT(B$7)))-(B$5+W1538)*EXP(-B$9*B$7)*NORMSDIST((LN(B$4/(B$5+W1538))-B$8*B$7+B$9*B$7-0.5*B$6*B$6*B$7)/(B$6*SQRT(B$7))))*400+100*X1538-400*$B$13</f>
        <v>124.98838959483646</v>
      </c>
      <c r="AA1538" s="3"/>
    </row>
    <row r="1539" spans="19:27" x14ac:dyDescent="0.25">
      <c r="S1539" s="4">
        <v>0.87893335985028409</v>
      </c>
      <c r="T1539" s="4">
        <v>-0.3791519834005353</v>
      </c>
      <c r="U1539" s="4">
        <f t="shared" ref="U1539:U1602" si="230">$B$19*S1539+SQRT(1-$B$19^2)*T1539</f>
        <v>0.23526663559005295</v>
      </c>
      <c r="W1539" s="4">
        <f t="shared" ref="W1539:W1602" si="231">S1539*SQRT($B$16)+$B$20</f>
        <v>1.5229036487580787</v>
      </c>
      <c r="X1539" s="4">
        <f t="shared" ref="X1539:X1602" si="232">U1539*SQRT($C$17)+$C$20</f>
        <v>0.48058624514195325</v>
      </c>
      <c r="Y1539" s="3">
        <f t="shared" si="229"/>
        <v>-190.04181152161209</v>
      </c>
      <c r="AA1539" s="3"/>
    </row>
    <row r="1540" spans="19:27" x14ac:dyDescent="0.25">
      <c r="S1540" s="4">
        <v>-2.8723889522857609</v>
      </c>
      <c r="T1540" s="4">
        <v>-2.0762433553940491</v>
      </c>
      <c r="U1540" s="4">
        <f t="shared" si="230"/>
        <v>-3.3968939308315624</v>
      </c>
      <c r="W1540" s="4">
        <f t="shared" si="231"/>
        <v>-4.8560576647796365</v>
      </c>
      <c r="X1540" s="4">
        <f t="shared" si="232"/>
        <v>-5.9232606884157413</v>
      </c>
      <c r="Y1540" s="3">
        <f t="shared" si="229"/>
        <v>248.34070859153144</v>
      </c>
      <c r="AA1540" s="3"/>
    </row>
    <row r="1541" spans="19:27" x14ac:dyDescent="0.25">
      <c r="S1541" s="4">
        <v>0.39244021609528151</v>
      </c>
      <c r="T1541" s="4">
        <v>-0.81656737928591661</v>
      </c>
      <c r="U1541" s="4">
        <f t="shared" si="230"/>
        <v>-0.40804613268631096</v>
      </c>
      <c r="W1541" s="4">
        <f t="shared" si="231"/>
        <v>0.69564310298337062</v>
      </c>
      <c r="X1541" s="4">
        <f t="shared" si="232"/>
        <v>-0.65363577591362676</v>
      </c>
      <c r="Y1541" s="3">
        <f t="shared" si="229"/>
        <v>-175.59432673571791</v>
      </c>
      <c r="AA1541" s="3"/>
    </row>
    <row r="1542" spans="19:27" x14ac:dyDescent="0.25">
      <c r="S1542" s="4">
        <v>0.30320592277966185</v>
      </c>
      <c r="T1542" s="4">
        <v>1.0778677949818531</v>
      </c>
      <c r="U1542" s="4">
        <f t="shared" si="230"/>
        <v>1.0392582941668107</v>
      </c>
      <c r="W1542" s="4">
        <f t="shared" si="231"/>
        <v>0.54390404738164244</v>
      </c>
      <c r="X1542" s="4">
        <f t="shared" si="232"/>
        <v>1.898100538144464</v>
      </c>
      <c r="Y1542" s="3">
        <f t="shared" si="229"/>
        <v>103.41177132159783</v>
      </c>
      <c r="AA1542" s="3"/>
    </row>
    <row r="1543" spans="19:27" x14ac:dyDescent="0.25">
      <c r="S1543" s="4">
        <v>-5.8766343324832708E-2</v>
      </c>
      <c r="T1543" s="4">
        <v>-0.83772726103319384</v>
      </c>
      <c r="U1543" s="4">
        <f t="shared" si="230"/>
        <v>-0.69988498794610421</v>
      </c>
      <c r="W1543" s="4">
        <f t="shared" si="231"/>
        <v>-7.1614132590308771E-2</v>
      </c>
      <c r="X1543" s="4">
        <f t="shared" si="232"/>
        <v>-1.1681756273799502</v>
      </c>
      <c r="Y1543" s="3">
        <f t="shared" si="229"/>
        <v>-105.32810606142948</v>
      </c>
      <c r="AA1543" s="3"/>
    </row>
    <row r="1544" spans="19:27" x14ac:dyDescent="0.25">
      <c r="S1544" s="4">
        <v>-7.0661816766400445E-2</v>
      </c>
      <c r="T1544" s="4">
        <v>1.4602052763904356</v>
      </c>
      <c r="U1544" s="4">
        <f t="shared" si="230"/>
        <v>1.1144160485115151</v>
      </c>
      <c r="W1544" s="4">
        <f t="shared" si="231"/>
        <v>-9.1841870592050498E-2</v>
      </c>
      <c r="X1544" s="4">
        <f t="shared" si="232"/>
        <v>2.0306108569731247</v>
      </c>
      <c r="Y1544" s="3">
        <f t="shared" si="229"/>
        <v>217.80059898590753</v>
      </c>
      <c r="AA1544" s="3"/>
    </row>
    <row r="1545" spans="19:27" x14ac:dyDescent="0.25">
      <c r="S1545" s="4">
        <v>-1.8279605212755452</v>
      </c>
      <c r="T1545" s="4">
        <v>-8.9111637013726777E-2</v>
      </c>
      <c r="U1545" s="4">
        <f t="shared" si="230"/>
        <v>-1.1850036024118131</v>
      </c>
      <c r="W1545" s="4">
        <f t="shared" si="231"/>
        <v>-3.0800522987199463</v>
      </c>
      <c r="X1545" s="4">
        <f t="shared" si="232"/>
        <v>-2.0234862048852333</v>
      </c>
      <c r="Y1545" s="3">
        <f t="shared" si="229"/>
        <v>316.15386997058977</v>
      </c>
      <c r="AA1545" s="3"/>
    </row>
    <row r="1546" spans="19:27" x14ac:dyDescent="0.25">
      <c r="S1546" s="4">
        <v>-1.1541996640604481E-2</v>
      </c>
      <c r="T1546" s="4">
        <v>0.33013214196709362</v>
      </c>
      <c r="U1546" s="4">
        <f t="shared" si="230"/>
        <v>0.25465685545734912</v>
      </c>
      <c r="W1546" s="4">
        <f t="shared" si="231"/>
        <v>8.6888260707544615E-3</v>
      </c>
      <c r="X1546" s="4">
        <f t="shared" si="232"/>
        <v>0.51477305978504262</v>
      </c>
      <c r="Y1546" s="3">
        <f t="shared" si="229"/>
        <v>50.085113435007315</v>
      </c>
      <c r="AA1546" s="3"/>
    </row>
    <row r="1547" spans="19:27" x14ac:dyDescent="0.25">
      <c r="S1547" s="4">
        <v>-2.119270570222944E-2</v>
      </c>
      <c r="T1547" s="4">
        <v>-1.9276400986220719</v>
      </c>
      <c r="U1547" s="4">
        <f t="shared" si="230"/>
        <v>-1.5409444678105471</v>
      </c>
      <c r="W1547" s="4">
        <f t="shared" si="231"/>
        <v>-7.7217872090358554E-3</v>
      </c>
      <c r="X1547" s="4">
        <f t="shared" si="232"/>
        <v>-2.6510440393278878</v>
      </c>
      <c r="Y1547" s="3">
        <f t="shared" si="229"/>
        <v>-263.86683040325806</v>
      </c>
      <c r="AA1547" s="3"/>
    </row>
    <row r="1548" spans="19:27" x14ac:dyDescent="0.25">
      <c r="S1548" s="4">
        <v>1.9179943189601643</v>
      </c>
      <c r="T1548" s="4">
        <v>-0.61767132332827168</v>
      </c>
      <c r="U1548" s="4">
        <f t="shared" si="230"/>
        <v>0.67962900251552893</v>
      </c>
      <c r="W1548" s="4">
        <f t="shared" si="231"/>
        <v>3.2897818610424263</v>
      </c>
      <c r="X1548" s="4">
        <f t="shared" si="232"/>
        <v>1.264039654975001</v>
      </c>
      <c r="Y1548" s="3">
        <f t="shared" si="229"/>
        <v>-373.32358325272389</v>
      </c>
      <c r="AA1548" s="3"/>
    </row>
    <row r="1549" spans="19:27" x14ac:dyDescent="0.25">
      <c r="S1549" s="4">
        <v>1.5734486244261869</v>
      </c>
      <c r="T1549" s="4">
        <v>0.23886743034593749</v>
      </c>
      <c r="U1549" s="4">
        <f t="shared" si="230"/>
        <v>1.148557693624797</v>
      </c>
      <c r="W1549" s="4">
        <f t="shared" si="231"/>
        <v>2.7038968121710196</v>
      </c>
      <c r="X1549" s="4">
        <f t="shared" si="232"/>
        <v>2.0908058470808188</v>
      </c>
      <c r="Y1549" s="3">
        <f t="shared" si="229"/>
        <v>-205.6048443708446</v>
      </c>
      <c r="AA1549" s="3"/>
    </row>
    <row r="1550" spans="19:27" x14ac:dyDescent="0.25">
      <c r="S1550" s="4">
        <v>0.11932718636671387</v>
      </c>
      <c r="T1550" s="4">
        <v>-0.76882572819976536</v>
      </c>
      <c r="U1550" s="4">
        <f t="shared" si="230"/>
        <v>-0.53669750347967404</v>
      </c>
      <c r="W1550" s="4">
        <f t="shared" si="231"/>
        <v>0.23122621051176809</v>
      </c>
      <c r="X1550" s="4">
        <f t="shared" si="232"/>
        <v>-0.88046046366820419</v>
      </c>
      <c r="Y1550" s="3">
        <f t="shared" si="229"/>
        <v>-124.96208243748197</v>
      </c>
      <c r="AA1550" s="3"/>
    </row>
    <row r="1551" spans="19:27" x14ac:dyDescent="0.25">
      <c r="S1551" s="4">
        <v>-0.73755343568234255</v>
      </c>
      <c r="T1551" s="4">
        <v>-0.54677872826805507</v>
      </c>
      <c r="U1551" s="4">
        <f t="shared" si="230"/>
        <v>-0.88305616460004743</v>
      </c>
      <c r="W1551" s="4">
        <f t="shared" si="231"/>
        <v>-1.2258622195300264</v>
      </c>
      <c r="X1551" s="4">
        <f t="shared" si="232"/>
        <v>-1.491123954272652</v>
      </c>
      <c r="Y1551" s="3">
        <f t="shared" si="229"/>
        <v>51.243195957711578</v>
      </c>
      <c r="AA1551" s="3"/>
    </row>
    <row r="1552" spans="19:27" x14ac:dyDescent="0.25">
      <c r="S1552" s="4">
        <v>0.24182814957218079</v>
      </c>
      <c r="T1552" s="4">
        <v>-0.25146817208772415</v>
      </c>
      <c r="U1552" s="4">
        <f t="shared" si="230"/>
        <v>-5.1912977417929912E-2</v>
      </c>
      <c r="W1552" s="4">
        <f t="shared" si="231"/>
        <v>0.43953379918010255</v>
      </c>
      <c r="X1552" s="4">
        <f t="shared" si="232"/>
        <v>-2.5738916015027938E-2</v>
      </c>
      <c r="Y1552" s="3">
        <f t="shared" si="229"/>
        <v>-72.51108868767642</v>
      </c>
      <c r="AA1552" s="3"/>
    </row>
    <row r="1553" spans="19:27" x14ac:dyDescent="0.25">
      <c r="S1553" s="4">
        <v>-9.3729952574646835E-2</v>
      </c>
      <c r="T1553" s="4">
        <v>0.55464503991748082</v>
      </c>
      <c r="U1553" s="4">
        <f t="shared" si="230"/>
        <v>0.38252282610865357</v>
      </c>
      <c r="W1553" s="4">
        <f t="shared" si="231"/>
        <v>-0.13106823763073042</v>
      </c>
      <c r="X1553" s="4">
        <f t="shared" si="232"/>
        <v>0.7402130118707636</v>
      </c>
      <c r="Y1553" s="3">
        <f t="shared" si="229"/>
        <v>95.06948190315552</v>
      </c>
      <c r="AA1553" s="3"/>
    </row>
    <row r="1554" spans="19:27" x14ac:dyDescent="0.25">
      <c r="S1554" s="4">
        <v>0.52995436834051057</v>
      </c>
      <c r="T1554" s="4">
        <v>-1.3443302128514689</v>
      </c>
      <c r="U1554" s="4">
        <f t="shared" si="230"/>
        <v>-0.74256782334247706</v>
      </c>
      <c r="W1554" s="4">
        <f t="shared" si="231"/>
        <v>0.92947997015908546</v>
      </c>
      <c r="X1554" s="4">
        <f t="shared" si="232"/>
        <v>-1.2434295539534379</v>
      </c>
      <c r="Y1554" s="3">
        <f t="shared" si="229"/>
        <v>-271.07033153941757</v>
      </c>
      <c r="AA1554" s="3"/>
    </row>
    <row r="1555" spans="19:27" x14ac:dyDescent="0.25">
      <c r="S1555" s="4">
        <v>0.20339804894383728</v>
      </c>
      <c r="T1555" s="4">
        <v>1.2391171686054658</v>
      </c>
      <c r="U1555" s="4">
        <f t="shared" si="230"/>
        <v>1.106234278908333</v>
      </c>
      <c r="W1555" s="4">
        <f t="shared" si="231"/>
        <v>0.37418507550725533</v>
      </c>
      <c r="X1555" s="4">
        <f t="shared" si="232"/>
        <v>2.0161856135880196</v>
      </c>
      <c r="Y1555" s="3">
        <f t="shared" si="229"/>
        <v>142.01650562528084</v>
      </c>
      <c r="AA1555" s="3"/>
    </row>
    <row r="1556" spans="19:27" x14ac:dyDescent="0.25">
      <c r="S1556" s="4">
        <v>0.45472065521794436</v>
      </c>
      <c r="T1556" s="4">
        <v>0.90180293799310807</v>
      </c>
      <c r="U1556" s="4">
        <f t="shared" si="230"/>
        <v>0.99205984868491059</v>
      </c>
      <c r="W1556" s="4">
        <f t="shared" si="231"/>
        <v>0.80154829552530094</v>
      </c>
      <c r="X1556" s="4">
        <f t="shared" si="232"/>
        <v>1.81488515852656</v>
      </c>
      <c r="Y1556" s="3">
        <f t="shared" si="229"/>
        <v>54.693813610445432</v>
      </c>
      <c r="AA1556" s="3"/>
    </row>
    <row r="1557" spans="19:27" x14ac:dyDescent="0.25">
      <c r="S1557" s="4">
        <v>-1.1780077179016131</v>
      </c>
      <c r="T1557" s="4">
        <v>-0.21042429948823974</v>
      </c>
      <c r="U1557" s="4">
        <f t="shared" si="230"/>
        <v>-0.88494145116340595</v>
      </c>
      <c r="W1557" s="4">
        <f t="shared" si="231"/>
        <v>-1.9748356728558505</v>
      </c>
      <c r="X1557" s="4">
        <f t="shared" si="232"/>
        <v>-1.4944478950392728</v>
      </c>
      <c r="Y1557" s="3">
        <f t="shared" si="229"/>
        <v>177.21219489589112</v>
      </c>
      <c r="AA1557" s="3"/>
    </row>
    <row r="1558" spans="19:27" x14ac:dyDescent="0.25">
      <c r="S1558" s="4">
        <v>1.7868175553551167</v>
      </c>
      <c r="T1558" s="4">
        <v>-1.0525970106981299</v>
      </c>
      <c r="U1558" s="4">
        <f t="shared" si="230"/>
        <v>0.25489859941523241</v>
      </c>
      <c r="W1558" s="4">
        <f t="shared" si="231"/>
        <v>3.0667214491005867</v>
      </c>
      <c r="X1558" s="4">
        <f t="shared" si="232"/>
        <v>0.51519927753480532</v>
      </c>
      <c r="Y1558" s="3">
        <f t="shared" si="229"/>
        <v>-416.02832165645759</v>
      </c>
      <c r="AA1558" s="3"/>
    </row>
    <row r="1559" spans="19:27" x14ac:dyDescent="0.25">
      <c r="S1559" s="4">
        <v>-2.3224055754830228</v>
      </c>
      <c r="T1559" s="4">
        <v>-0.93244004414948511</v>
      </c>
      <c r="U1559" s="4">
        <f t="shared" si="230"/>
        <v>-2.1549280371238351</v>
      </c>
      <c r="W1559" s="4">
        <f t="shared" si="231"/>
        <v>-3.9208347242278228</v>
      </c>
      <c r="X1559" s="4">
        <f t="shared" si="232"/>
        <v>-3.7335558737304488</v>
      </c>
      <c r="Y1559" s="3">
        <f t="shared" si="229"/>
        <v>295.51260095083126</v>
      </c>
      <c r="AA1559" s="3"/>
    </row>
    <row r="1560" spans="19:27" x14ac:dyDescent="0.25">
      <c r="S1560" s="4">
        <v>-1.1473873047330492</v>
      </c>
      <c r="T1560" s="4">
        <v>1.2546781725330762</v>
      </c>
      <c r="U1560" s="4">
        <f t="shared" si="230"/>
        <v>0.29510047240249493</v>
      </c>
      <c r="W1560" s="4">
        <f t="shared" si="231"/>
        <v>-1.9227669848695099</v>
      </c>
      <c r="X1560" s="4">
        <f t="shared" si="232"/>
        <v>0.58607902977725423</v>
      </c>
      <c r="Y1560" s="3">
        <f t="shared" si="229"/>
        <v>376.38808033563782</v>
      </c>
      <c r="AA1560" s="3"/>
    </row>
    <row r="1561" spans="19:27" x14ac:dyDescent="0.25">
      <c r="S1561" s="4">
        <v>6.6325638064250708E-2</v>
      </c>
      <c r="T1561" s="4">
        <v>1.5919385003703646</v>
      </c>
      <c r="U1561" s="4">
        <f t="shared" si="230"/>
        <v>1.3023505326983531</v>
      </c>
      <c r="W1561" s="4">
        <f t="shared" si="231"/>
        <v>0.14109937041454965</v>
      </c>
      <c r="X1561" s="4">
        <f t="shared" si="232"/>
        <v>2.3619573512321366</v>
      </c>
      <c r="Y1561" s="3">
        <f t="shared" si="229"/>
        <v>213.63593913428576</v>
      </c>
      <c r="AA1561" s="3"/>
    </row>
    <row r="1562" spans="19:27" x14ac:dyDescent="0.25">
      <c r="S1562" s="4">
        <v>-1.4289316769174967</v>
      </c>
      <c r="T1562" s="4">
        <v>0.64013754393409916</v>
      </c>
      <c r="U1562" s="4">
        <f t="shared" si="230"/>
        <v>-0.36367671026246551</v>
      </c>
      <c r="W1562" s="4">
        <f t="shared" si="231"/>
        <v>-2.4015210104563471</v>
      </c>
      <c r="X1562" s="4">
        <f t="shared" si="232"/>
        <v>-0.57540823488490045</v>
      </c>
      <c r="Y1562" s="3">
        <f t="shared" si="229"/>
        <v>342.4039302545325</v>
      </c>
      <c r="AA1562" s="3"/>
    </row>
    <row r="1563" spans="19:27" x14ac:dyDescent="0.25">
      <c r="S1563" s="4">
        <v>0.3601620005882345</v>
      </c>
      <c r="T1563" s="4">
        <v>0.81802848137369</v>
      </c>
      <c r="U1563" s="4">
        <f t="shared" si="230"/>
        <v>0.86800743989059248</v>
      </c>
      <c r="W1563" s="4">
        <f t="shared" si="231"/>
        <v>0.6407553938352214</v>
      </c>
      <c r="X1563" s="4">
        <f t="shared" si="232"/>
        <v>1.5961688812226107</v>
      </c>
      <c r="Y1563" s="3">
        <f t="shared" si="229"/>
        <v>57.993321315680987</v>
      </c>
      <c r="AA1563" s="3"/>
    </row>
    <row r="1564" spans="19:27" x14ac:dyDescent="0.25">
      <c r="S1564" s="4">
        <v>0.57032787419939246</v>
      </c>
      <c r="T1564" s="4">
        <v>-0.86780986611564481</v>
      </c>
      <c r="U1564" s="4">
        <f t="shared" si="230"/>
        <v>-0.3402213576432816</v>
      </c>
      <c r="W1564" s="4">
        <f t="shared" si="231"/>
        <v>0.99813337035680116</v>
      </c>
      <c r="X1564" s="4">
        <f t="shared" si="232"/>
        <v>-0.53405420187918007</v>
      </c>
      <c r="Y1564" s="3">
        <f t="shared" si="229"/>
        <v>-210.79512602411296</v>
      </c>
      <c r="AA1564" s="3"/>
    </row>
    <row r="1565" spans="19:27" x14ac:dyDescent="0.25">
      <c r="S1565" s="4">
        <v>-1.0951359256054987</v>
      </c>
      <c r="T1565" s="4">
        <v>0.20532991687587243</v>
      </c>
      <c r="U1565" s="4">
        <f t="shared" si="230"/>
        <v>-0.50485590840405292</v>
      </c>
      <c r="W1565" s="4">
        <f t="shared" si="231"/>
        <v>-1.8339157750027026</v>
      </c>
      <c r="X1565" s="4">
        <f t="shared" si="232"/>
        <v>-0.82432068205455933</v>
      </c>
      <c r="Y1565" s="3">
        <f t="shared" si="229"/>
        <v>220.23385622655314</v>
      </c>
      <c r="AA1565" s="3"/>
    </row>
    <row r="1566" spans="19:27" x14ac:dyDescent="0.25">
      <c r="S1566" s="4">
        <v>0.12951071299114456</v>
      </c>
      <c r="T1566" s="4">
        <v>5.9947807883233062E-2</v>
      </c>
      <c r="U1566" s="4">
        <f t="shared" si="230"/>
        <v>0.12647276912538935</v>
      </c>
      <c r="W1566" s="4">
        <f t="shared" si="231"/>
        <v>0.24854285700798331</v>
      </c>
      <c r="X1566" s="4">
        <f t="shared" si="232"/>
        <v>0.28877223928813012</v>
      </c>
      <c r="Y1566" s="3">
        <f t="shared" si="229"/>
        <v>-10.792374545826988</v>
      </c>
      <c r="AA1566" s="3"/>
    </row>
    <row r="1567" spans="19:27" x14ac:dyDescent="0.25">
      <c r="S1567" s="4">
        <v>-0.21623128746085279</v>
      </c>
      <c r="T1567" s="4">
        <v>0.15003332344483711</v>
      </c>
      <c r="U1567" s="4">
        <f t="shared" si="230"/>
        <v>-1.2889199287151806E-2</v>
      </c>
      <c r="W1567" s="4">
        <f t="shared" si="231"/>
        <v>-0.3393764583260831</v>
      </c>
      <c r="X1567" s="4">
        <f t="shared" si="232"/>
        <v>4.3063742168341301E-2</v>
      </c>
      <c r="Y1567" s="3">
        <f t="shared" si="229"/>
        <v>58.989902958223865</v>
      </c>
      <c r="AA1567" s="3"/>
    </row>
    <row r="1568" spans="19:27" x14ac:dyDescent="0.25">
      <c r="S1568" s="4">
        <v>-0.16614256769430683</v>
      </c>
      <c r="T1568" s="4">
        <v>1.9022183409408704</v>
      </c>
      <c r="U1568" s="4">
        <f t="shared" si="230"/>
        <v>1.4065890809295909</v>
      </c>
      <c r="W1568" s="4">
        <f t="shared" si="231"/>
        <v>-0.25420275714829926</v>
      </c>
      <c r="X1568" s="4">
        <f t="shared" si="232"/>
        <v>2.5457398947739169</v>
      </c>
      <c r="Y1568" s="3">
        <f t="shared" si="229"/>
        <v>295.47737319429507</v>
      </c>
      <c r="AA1568" s="3"/>
    </row>
    <row r="1569" spans="19:27" x14ac:dyDescent="0.25">
      <c r="S1569" s="4">
        <v>-3.152170734755249E-2</v>
      </c>
      <c r="T1569" s="4">
        <v>-2.1754658143124077</v>
      </c>
      <c r="U1569" s="4">
        <f t="shared" si="230"/>
        <v>-1.7436907245884625</v>
      </c>
      <c r="W1569" s="4">
        <f t="shared" si="231"/>
        <v>-2.5285807685182463E-2</v>
      </c>
      <c r="X1569" s="4">
        <f t="shared" si="232"/>
        <v>-3.0085051072004152</v>
      </c>
      <c r="Y1569" s="3">
        <f t="shared" si="229"/>
        <v>-296.79679708479216</v>
      </c>
      <c r="AA1569" s="3"/>
    </row>
    <row r="1570" spans="19:27" x14ac:dyDescent="0.25">
      <c r="S1570" s="4">
        <v>-0.45026589998263827</v>
      </c>
      <c r="T1570" s="4">
        <v>0.35624463083958341</v>
      </c>
      <c r="U1570" s="4">
        <f t="shared" si="230"/>
        <v>7.9001367605944228E-3</v>
      </c>
      <c r="W1570" s="4">
        <f t="shared" si="231"/>
        <v>-0.7373421928286954</v>
      </c>
      <c r="X1570" s="4">
        <f t="shared" si="232"/>
        <v>7.9717332632052759E-2</v>
      </c>
      <c r="Y1570" s="3">
        <f t="shared" si="229"/>
        <v>127.54229383715028</v>
      </c>
      <c r="AA1570" s="3"/>
    </row>
    <row r="1571" spans="19:27" x14ac:dyDescent="0.25">
      <c r="S1571" s="4">
        <v>-1.325078570587751</v>
      </c>
      <c r="T1571" s="4">
        <v>-1.1451193858392714</v>
      </c>
      <c r="U1571" s="4">
        <f t="shared" si="230"/>
        <v>-1.7155244594768044</v>
      </c>
      <c r="W1571" s="4">
        <f t="shared" si="231"/>
        <v>-2.2249232957185416</v>
      </c>
      <c r="X1571" s="4">
        <f t="shared" si="232"/>
        <v>-2.9588452843025617</v>
      </c>
      <c r="Y1571" s="3">
        <f t="shared" si="229"/>
        <v>73.60961097695872</v>
      </c>
      <c r="AA1571" s="3"/>
    </row>
    <row r="1572" spans="19:27" x14ac:dyDescent="0.25">
      <c r="S1572" s="4">
        <v>-0.16979934427835941</v>
      </c>
      <c r="T1572" s="4">
        <v>-0.10924793029705647</v>
      </c>
      <c r="U1572" s="4">
        <f t="shared" si="230"/>
        <v>-0.19011343124229241</v>
      </c>
      <c r="W1572" s="4">
        <f t="shared" si="231"/>
        <v>-0.26042094754117961</v>
      </c>
      <c r="X1572" s="4">
        <f t="shared" si="232"/>
        <v>-0.26939955167666585</v>
      </c>
      <c r="Y1572" s="3">
        <f t="shared" si="229"/>
        <v>14.968186504730511</v>
      </c>
      <c r="AA1572" s="3"/>
    </row>
    <row r="1573" spans="19:27" x14ac:dyDescent="0.25">
      <c r="S1573" s="4">
        <v>1.1346353696724929</v>
      </c>
      <c r="T1573" s="4">
        <v>-0.88674421044302831</v>
      </c>
      <c r="U1573" s="4">
        <f t="shared" si="230"/>
        <v>-1.12160212890553E-2</v>
      </c>
      <c r="W1573" s="4">
        <f t="shared" si="231"/>
        <v>1.9577138550612894</v>
      </c>
      <c r="X1573" s="4">
        <f t="shared" si="232"/>
        <v>4.6013715220596163E-2</v>
      </c>
      <c r="Y1573" s="3">
        <f t="shared" si="229"/>
        <v>-299.32224299213885</v>
      </c>
      <c r="AA1573" s="3"/>
    </row>
    <row r="1574" spans="19:27" x14ac:dyDescent="0.25">
      <c r="S1574" s="4">
        <v>-1.2334939391787085</v>
      </c>
      <c r="T1574" s="4">
        <v>-5.0701628536418811E-2</v>
      </c>
      <c r="U1574" s="4">
        <f t="shared" si="230"/>
        <v>-0.79215620314710022</v>
      </c>
      <c r="W1574" s="4">
        <f t="shared" si="231"/>
        <v>-2.069187591862097</v>
      </c>
      <c r="X1574" s="4">
        <f t="shared" si="232"/>
        <v>-1.3308586166682466</v>
      </c>
      <c r="Y1574" s="3">
        <f t="shared" si="229"/>
        <v>209.69330852608437</v>
      </c>
      <c r="AA1574" s="3"/>
    </row>
    <row r="1575" spans="19:27" x14ac:dyDescent="0.25">
      <c r="S1575" s="4">
        <v>7.0271484392062003E-2</v>
      </c>
      <c r="T1575" s="4">
        <v>0.81728417305147227</v>
      </c>
      <c r="U1575" s="4">
        <f t="shared" si="230"/>
        <v>0.69069370595611213</v>
      </c>
      <c r="W1575" s="4">
        <f t="shared" si="231"/>
        <v>0.14780911140183922</v>
      </c>
      <c r="X1575" s="4">
        <f t="shared" si="232"/>
        <v>1.2835477868163507</v>
      </c>
      <c r="Y1575" s="3">
        <f t="shared" si="229"/>
        <v>104.72474991002036</v>
      </c>
      <c r="AA1575" s="3"/>
    </row>
    <row r="1576" spans="19:27" x14ac:dyDescent="0.25">
      <c r="S1576" s="4">
        <v>-1.7663752677234421</v>
      </c>
      <c r="T1576" s="4">
        <v>0.27911679506009685</v>
      </c>
      <c r="U1576" s="4">
        <f t="shared" si="230"/>
        <v>-0.85556811851370074</v>
      </c>
      <c r="W1576" s="4">
        <f t="shared" si="231"/>
        <v>-2.9753292391677579</v>
      </c>
      <c r="X1576" s="4">
        <f t="shared" si="232"/>
        <v>-1.4426598964700073</v>
      </c>
      <c r="Y1576" s="3">
        <f t="shared" si="229"/>
        <v>355.77654232796613</v>
      </c>
      <c r="AA1576" s="3"/>
    </row>
    <row r="1577" spans="19:27" x14ac:dyDescent="0.25">
      <c r="S1577" s="4">
        <v>0.60462246030972044</v>
      </c>
      <c r="T1577" s="4">
        <v>-0.62135161673445061</v>
      </c>
      <c r="U1577" s="4">
        <f t="shared" si="230"/>
        <v>-0.12394912548832215</v>
      </c>
      <c r="W1577" s="4">
        <f t="shared" si="231"/>
        <v>1.0564498304897625</v>
      </c>
      <c r="X1577" s="4">
        <f t="shared" si="232"/>
        <v>-0.15274554402331778</v>
      </c>
      <c r="Y1577" s="3">
        <f t="shared" si="229"/>
        <v>-181.70236938513699</v>
      </c>
      <c r="AA1577" s="3"/>
    </row>
    <row r="1578" spans="19:27" x14ac:dyDescent="0.25">
      <c r="S1578" s="4">
        <v>-2.2335824737444856</v>
      </c>
      <c r="T1578" s="4">
        <v>0.55552007091441646</v>
      </c>
      <c r="U1578" s="4">
        <f t="shared" si="230"/>
        <v>-0.92128538478420452</v>
      </c>
      <c r="W1578" s="4">
        <f t="shared" si="231"/>
        <v>-3.769794882115209</v>
      </c>
      <c r="X1578" s="4">
        <f t="shared" si="232"/>
        <v>-1.558525730700671</v>
      </c>
      <c r="Y1578" s="3">
        <f t="shared" si="229"/>
        <v>485.71992153587144</v>
      </c>
      <c r="AA1578" s="3"/>
    </row>
    <row r="1579" spans="19:27" x14ac:dyDescent="0.25">
      <c r="S1579" s="4">
        <v>1.3283726097211954</v>
      </c>
      <c r="T1579" s="4">
        <v>-0.16441184658422697</v>
      </c>
      <c r="U1579" s="4">
        <f t="shared" si="230"/>
        <v>0.67947762273424095</v>
      </c>
      <c r="W1579" s="4">
        <f t="shared" si="231"/>
        <v>2.2871556508952873</v>
      </c>
      <c r="X1579" s="4">
        <f t="shared" si="232"/>
        <v>1.2637727579228262</v>
      </c>
      <c r="Y1579" s="3">
        <f t="shared" si="229"/>
        <v>-226.78882918235377</v>
      </c>
      <c r="AA1579" s="3"/>
    </row>
    <row r="1580" spans="19:27" x14ac:dyDescent="0.25">
      <c r="S1580" s="4">
        <v>-1.1573343553106117</v>
      </c>
      <c r="T1580" s="4">
        <v>2.1086773909938961E-2</v>
      </c>
      <c r="U1580" s="4">
        <f t="shared" si="230"/>
        <v>-0.68882152788799156</v>
      </c>
      <c r="W1580" s="4">
        <f t="shared" si="231"/>
        <v>-1.9396815140777304</v>
      </c>
      <c r="X1580" s="4">
        <f t="shared" si="232"/>
        <v>-1.1486696877409759</v>
      </c>
      <c r="Y1580" s="3">
        <f t="shared" si="229"/>
        <v>205.79525817413196</v>
      </c>
      <c r="AA1580" s="3"/>
    </row>
    <row r="1581" spans="19:27" x14ac:dyDescent="0.25">
      <c r="S1581" s="4">
        <v>0.1981956572563596</v>
      </c>
      <c r="T1581" s="4">
        <v>-0.10381099469615084</v>
      </c>
      <c r="U1581" s="4">
        <f t="shared" si="230"/>
        <v>3.8534347802051797E-2</v>
      </c>
      <c r="W1581" s="4">
        <f t="shared" si="231"/>
        <v>0.36533863349268103</v>
      </c>
      <c r="X1581" s="4">
        <f t="shared" si="232"/>
        <v>0.13372838056132103</v>
      </c>
      <c r="Y1581" s="3">
        <f t="shared" si="229"/>
        <v>-44.828434352787554</v>
      </c>
      <c r="AA1581" s="3"/>
    </row>
    <row r="1582" spans="19:27" x14ac:dyDescent="0.25">
      <c r="S1582" s="4">
        <v>-1.4269103267938725</v>
      </c>
      <c r="T1582" s="4">
        <v>-9.8564694774181255E-2</v>
      </c>
      <c r="U1582" s="4">
        <f t="shared" si="230"/>
        <v>-0.94800781912400933</v>
      </c>
      <c r="W1582" s="4">
        <f t="shared" si="231"/>
        <v>-2.3980837920126006</v>
      </c>
      <c r="X1582" s="4">
        <f t="shared" si="232"/>
        <v>-1.6056399416709057</v>
      </c>
      <c r="Y1582" s="3">
        <f t="shared" si="229"/>
        <v>238.78648822228661</v>
      </c>
      <c r="AA1582" s="3"/>
    </row>
    <row r="1583" spans="19:27" x14ac:dyDescent="0.25">
      <c r="S1583" s="4">
        <v>-0.97282073179580619</v>
      </c>
      <c r="T1583" s="4">
        <v>1.200047430931461</v>
      </c>
      <c r="U1583" s="4">
        <f t="shared" si="230"/>
        <v>0.35821479731242745</v>
      </c>
      <c r="W1583" s="4">
        <f t="shared" si="231"/>
        <v>-1.6259240791556944</v>
      </c>
      <c r="X1583" s="4">
        <f t="shared" si="232"/>
        <v>0.69735562910343041</v>
      </c>
      <c r="Y1583" s="3">
        <f t="shared" si="229"/>
        <v>337.18465129400829</v>
      </c>
      <c r="AA1583" s="3"/>
    </row>
    <row r="1584" spans="19:27" x14ac:dyDescent="0.25">
      <c r="S1584" s="4">
        <v>-5.9507852137699033E-2</v>
      </c>
      <c r="T1584" s="4">
        <v>-0.34970793464119143</v>
      </c>
      <c r="U1584" s="4">
        <f t="shared" si="230"/>
        <v>-0.31348800314357506</v>
      </c>
      <c r="W1584" s="4">
        <f t="shared" si="231"/>
        <v>-7.2875036249698197E-2</v>
      </c>
      <c r="X1584" s="4">
        <f t="shared" si="232"/>
        <v>-0.48692073762120591</v>
      </c>
      <c r="Y1584" s="3">
        <f t="shared" si="229"/>
        <v>-37.000085493003098</v>
      </c>
      <c r="AA1584" s="3"/>
    </row>
    <row r="1585" spans="19:27" x14ac:dyDescent="0.25">
      <c r="S1585" s="4">
        <v>0.84434878017640436</v>
      </c>
      <c r="T1585" s="4">
        <v>-1.0810702258092377</v>
      </c>
      <c r="U1585" s="4">
        <f t="shared" si="230"/>
        <v>-0.34222188453079683</v>
      </c>
      <c r="W1585" s="4">
        <f t="shared" si="231"/>
        <v>1.4640940671151135</v>
      </c>
      <c r="X1585" s="4">
        <f t="shared" si="232"/>
        <v>-0.53758132237394818</v>
      </c>
      <c r="Y1585" s="3">
        <f t="shared" si="229"/>
        <v>-282.88279874260616</v>
      </c>
      <c r="AA1585" s="3"/>
    </row>
    <row r="1586" spans="19:27" x14ac:dyDescent="0.25">
      <c r="S1586" s="4">
        <v>-0.28597853422636876</v>
      </c>
      <c r="T1586" s="4">
        <v>-0.31295807514245433</v>
      </c>
      <c r="U1586" s="4">
        <f t="shared" si="230"/>
        <v>-0.4224182636036351</v>
      </c>
      <c r="W1586" s="4">
        <f t="shared" si="231"/>
        <v>-0.45797863425845597</v>
      </c>
      <c r="X1586" s="4">
        <f t="shared" si="232"/>
        <v>-0.67897521915147629</v>
      </c>
      <c r="Y1586" s="3">
        <f t="shared" si="229"/>
        <v>6.037341106574786</v>
      </c>
      <c r="AA1586" s="3"/>
    </row>
    <row r="1587" spans="19:27" x14ac:dyDescent="0.25">
      <c r="S1587" s="4">
        <v>-0.51548914480193075</v>
      </c>
      <c r="T1587" s="4">
        <v>-0.81545304993736223</v>
      </c>
      <c r="U1587" s="4">
        <f t="shared" si="230"/>
        <v>-0.96065680869479775</v>
      </c>
      <c r="W1587" s="4">
        <f t="shared" si="231"/>
        <v>-0.84825149915507148</v>
      </c>
      <c r="X1587" s="4">
        <f t="shared" si="232"/>
        <v>-1.6279413216881717</v>
      </c>
      <c r="Y1587" s="3">
        <f t="shared" si="229"/>
        <v>-24.992744155666969</v>
      </c>
      <c r="AA1587" s="3"/>
    </row>
    <row r="1588" spans="19:27" x14ac:dyDescent="0.25">
      <c r="S1588" s="4">
        <v>1.1336698078933791</v>
      </c>
      <c r="T1588" s="4">
        <v>0.68729142840726987</v>
      </c>
      <c r="U1588" s="4">
        <f t="shared" si="230"/>
        <v>1.2359208391502703</v>
      </c>
      <c r="W1588" s="4">
        <f t="shared" si="231"/>
        <v>1.9560719590250912</v>
      </c>
      <c r="X1588" s="4">
        <f t="shared" si="232"/>
        <v>2.2448354394813643</v>
      </c>
      <c r="Y1588" s="3">
        <f t="shared" si="229"/>
        <v>-79.193296419376111</v>
      </c>
      <c r="AA1588" s="3"/>
    </row>
    <row r="1589" spans="19:27" x14ac:dyDescent="0.25">
      <c r="S1589" s="4">
        <v>0.81490292835653833</v>
      </c>
      <c r="T1589" s="4">
        <v>-1.0590716285419646</v>
      </c>
      <c r="U1589" s="4">
        <f t="shared" si="230"/>
        <v>-0.34273462031007329</v>
      </c>
      <c r="W1589" s="4">
        <f t="shared" si="231"/>
        <v>1.4140226698919474</v>
      </c>
      <c r="X1589" s="4">
        <f t="shared" si="232"/>
        <v>-0.53848532465793297</v>
      </c>
      <c r="Y1589" s="3">
        <f t="shared" si="229"/>
        <v>-275.31734234671649</v>
      </c>
      <c r="AA1589" s="3"/>
    </row>
    <row r="1590" spans="19:27" x14ac:dyDescent="0.25">
      <c r="S1590" s="4">
        <v>1.3924757074717502</v>
      </c>
      <c r="T1590" s="4">
        <v>-0.78673703761906477</v>
      </c>
      <c r="U1590" s="4">
        <f t="shared" si="230"/>
        <v>0.22524408926342088</v>
      </c>
      <c r="W1590" s="4">
        <f t="shared" si="231"/>
        <v>2.3961601955876564</v>
      </c>
      <c r="X1590" s="4">
        <f t="shared" si="232"/>
        <v>0.46291553610072955</v>
      </c>
      <c r="Y1590" s="3">
        <f t="shared" si="229"/>
        <v>-323.04885396406962</v>
      </c>
      <c r="AA1590" s="3"/>
    </row>
    <row r="1591" spans="19:27" x14ac:dyDescent="0.25">
      <c r="S1591" s="4">
        <v>-1.8141237525662437</v>
      </c>
      <c r="T1591" s="4">
        <v>1.9016283746631406</v>
      </c>
      <c r="U1591" s="4">
        <f t="shared" si="230"/>
        <v>0.40147531955758642</v>
      </c>
      <c r="W1591" s="4">
        <f t="shared" si="231"/>
        <v>-3.0565234720938106</v>
      </c>
      <c r="X1591" s="4">
        <f t="shared" si="232"/>
        <v>0.77362807291686508</v>
      </c>
      <c r="Y1591" s="3">
        <f t="shared" si="229"/>
        <v>591.71261037321256</v>
      </c>
      <c r="AA1591" s="3"/>
    </row>
    <row r="1592" spans="19:27" x14ac:dyDescent="0.25">
      <c r="S1592" s="4">
        <v>-8.4521390999225982E-2</v>
      </c>
      <c r="T1592" s="4">
        <v>2.2811995113941799</v>
      </c>
      <c r="U1592" s="4">
        <f t="shared" si="230"/>
        <v>1.7567625205094042</v>
      </c>
      <c r="W1592" s="4">
        <f t="shared" si="231"/>
        <v>-0.1154094770243959</v>
      </c>
      <c r="X1592" s="4">
        <f t="shared" si="232"/>
        <v>3.163129205146777</v>
      </c>
      <c r="Y1592" s="3">
        <f t="shared" si="229"/>
        <v>334.8417904932594</v>
      </c>
      <c r="AA1592" s="3"/>
    </row>
    <row r="1593" spans="19:27" x14ac:dyDescent="0.25">
      <c r="S1593" s="4">
        <v>-1.7566739160073965</v>
      </c>
      <c r="T1593" s="4">
        <v>-0.28493481971491397</v>
      </c>
      <c r="U1593" s="4">
        <f t="shared" si="230"/>
        <v>-1.2967731713546877</v>
      </c>
      <c r="W1593" s="4">
        <f t="shared" si="231"/>
        <v>-2.9588325102448731</v>
      </c>
      <c r="X1593" s="4">
        <f t="shared" si="232"/>
        <v>-2.2205466591935767</v>
      </c>
      <c r="Y1593" s="3">
        <f t="shared" si="229"/>
        <v>275.08532561912853</v>
      </c>
      <c r="AA1593" s="3"/>
    </row>
    <row r="1594" spans="19:27" x14ac:dyDescent="0.25">
      <c r="S1594" s="4">
        <v>-3.3506364623184686</v>
      </c>
      <c r="T1594" s="4">
        <v>0.22087341722819176</v>
      </c>
      <c r="U1594" s="4">
        <f t="shared" si="230"/>
        <v>-1.8675381513054747</v>
      </c>
      <c r="W1594" s="4">
        <f t="shared" si="231"/>
        <v>-5.6692968671070068</v>
      </c>
      <c r="X1594" s="4">
        <f t="shared" si="232"/>
        <v>-3.226859981470775</v>
      </c>
      <c r="Y1594" s="3">
        <f t="shared" si="229"/>
        <v>671.29974830559149</v>
      </c>
      <c r="AA1594" s="3"/>
    </row>
    <row r="1595" spans="19:27" x14ac:dyDescent="0.25">
      <c r="S1595" s="4">
        <v>-0.13545263660132154</v>
      </c>
      <c r="T1595" s="4">
        <v>-0.33220143583788114</v>
      </c>
      <c r="U1595" s="4">
        <f t="shared" si="230"/>
        <v>-0.34590837634051935</v>
      </c>
      <c r="W1595" s="4">
        <f t="shared" si="231"/>
        <v>-0.20201585693875213</v>
      </c>
      <c r="X1595" s="4">
        <f t="shared" si="232"/>
        <v>-0.54408096049279253</v>
      </c>
      <c r="Y1595" s="3">
        <f t="shared" si="229"/>
        <v>-21.92935188730462</v>
      </c>
      <c r="AA1595" s="3"/>
    </row>
    <row r="1596" spans="19:27" x14ac:dyDescent="0.25">
      <c r="S1596" s="4">
        <v>-0.75458628939080175</v>
      </c>
      <c r="T1596" s="4">
        <v>-0.57046206282655176</v>
      </c>
      <c r="U1596" s="4">
        <f t="shared" si="230"/>
        <v>-0.91221336254165575</v>
      </c>
      <c r="W1596" s="4">
        <f t="shared" si="231"/>
        <v>-1.254825850437961</v>
      </c>
      <c r="X1596" s="4">
        <f t="shared" si="232"/>
        <v>-1.5425308866521468</v>
      </c>
      <c r="Y1596" s="3">
        <f t="shared" si="229"/>
        <v>50.931539887286817</v>
      </c>
      <c r="AA1596" s="3"/>
    </row>
    <row r="1597" spans="19:27" x14ac:dyDescent="0.25">
      <c r="S1597" s="4">
        <v>0.24140851376729189</v>
      </c>
      <c r="T1597" s="4">
        <v>1.055202774260307</v>
      </c>
      <c r="U1597" s="4">
        <f t="shared" si="230"/>
        <v>0.98361883378307857</v>
      </c>
      <c r="W1597" s="4">
        <f t="shared" si="231"/>
        <v>0.43882022664689163</v>
      </c>
      <c r="X1597" s="4">
        <f t="shared" si="232"/>
        <v>1.800002840851803</v>
      </c>
      <c r="Y1597" s="3">
        <f t="shared" si="229"/>
        <v>110.17582270341791</v>
      </c>
      <c r="AA1597" s="3"/>
    </row>
    <row r="1598" spans="19:27" x14ac:dyDescent="0.25">
      <c r="S1598" s="4">
        <v>0.50191918532452828</v>
      </c>
      <c r="T1598" s="4">
        <v>-1.132478145102604</v>
      </c>
      <c r="U1598" s="4">
        <f t="shared" si="230"/>
        <v>-0.59172525312550162</v>
      </c>
      <c r="W1598" s="4">
        <f t="shared" si="231"/>
        <v>0.88180735421287804</v>
      </c>
      <c r="X1598" s="4">
        <f t="shared" si="232"/>
        <v>-0.97747965634590717</v>
      </c>
      <c r="Y1598" s="3">
        <f t="shared" si="229"/>
        <v>-237.05735419312941</v>
      </c>
      <c r="AA1598" s="3"/>
    </row>
    <row r="1599" spans="19:27" x14ac:dyDescent="0.25">
      <c r="S1599" s="4">
        <v>-2.5386597686788424</v>
      </c>
      <c r="T1599" s="4">
        <v>0.24172889791347138</v>
      </c>
      <c r="U1599" s="4">
        <f t="shared" si="230"/>
        <v>-1.3560070690675958</v>
      </c>
      <c r="W1599" s="4">
        <f t="shared" si="231"/>
        <v>-4.2885656248288306</v>
      </c>
      <c r="X1599" s="4">
        <f t="shared" si="232"/>
        <v>-2.3249816937397463</v>
      </c>
      <c r="Y1599" s="3">
        <f t="shared" si="229"/>
        <v>503.34788054652199</v>
      </c>
      <c r="AA1599" s="3"/>
    </row>
    <row r="1600" spans="19:27" x14ac:dyDescent="0.25">
      <c r="S1600" s="4">
        <v>-0.58226508627631179</v>
      </c>
      <c r="T1600" s="4">
        <v>1.2898196281559764</v>
      </c>
      <c r="U1600" s="4">
        <f t="shared" si="230"/>
        <v>0.66746793710389785</v>
      </c>
      <c r="W1600" s="4">
        <f t="shared" si="231"/>
        <v>-0.96180109897540478</v>
      </c>
      <c r="X1600" s="4">
        <f t="shared" si="232"/>
        <v>1.242598531979221</v>
      </c>
      <c r="Y1600" s="3">
        <f t="shared" si="229"/>
        <v>280.79285958873243</v>
      </c>
      <c r="AA1600" s="3"/>
    </row>
    <row r="1601" spans="19:27" x14ac:dyDescent="0.25">
      <c r="S1601" s="4">
        <v>1.149859272738877</v>
      </c>
      <c r="T1601" s="4">
        <v>0.2814363402824771</v>
      </c>
      <c r="U1601" s="4">
        <f t="shared" si="230"/>
        <v>0.92407220893444086</v>
      </c>
      <c r="W1601" s="4">
        <f t="shared" si="231"/>
        <v>1.9836014436556737</v>
      </c>
      <c r="X1601" s="4">
        <f t="shared" si="232"/>
        <v>1.6950164384152113</v>
      </c>
      <c r="Y1601" s="3">
        <f t="shared" si="229"/>
        <v>-138.31104984060812</v>
      </c>
      <c r="AA1601" s="3"/>
    </row>
    <row r="1602" spans="19:27" x14ac:dyDescent="0.25">
      <c r="S1602" s="4">
        <v>0.77006694259814545</v>
      </c>
      <c r="T1602" s="4">
        <v>1.0827832597513447</v>
      </c>
      <c r="U1602" s="4">
        <f t="shared" si="230"/>
        <v>1.3277636380748525</v>
      </c>
      <c r="W1602" s="4">
        <f t="shared" si="231"/>
        <v>1.3377810156672907</v>
      </c>
      <c r="X1602" s="4">
        <f t="shared" si="232"/>
        <v>2.4067630898445702</v>
      </c>
      <c r="Y1602" s="3">
        <f t="shared" ref="Y1602:Y1665" si="233">(B$4*EXP(-B$8*B$7)*NORMSDIST((LN(B$4/(B$5+W1602))-B$8*B$7+B$9*B$7+0.5*B$6*B$6*B$7)/(B$6*SQRT(B$7)))-(B$5+W1602)*EXP(-B$9*B$7)*NORMSDIST((LN(B$4/(B$5+W1602))-B$8*B$7+B$9*B$7-0.5*B$6*B$6*B$7)/(B$6*SQRT(B$7))))*400+100*X1602-400*$B$13</f>
        <v>30.889064997303649</v>
      </c>
      <c r="AA1602" s="3"/>
    </row>
    <row r="1603" spans="19:27" x14ac:dyDescent="0.25">
      <c r="S1603" s="4">
        <v>-0.17580182504676822</v>
      </c>
      <c r="T1603" s="4">
        <v>-0.91102492381924338</v>
      </c>
      <c r="U1603" s="4">
        <f t="shared" ref="U1603:U1666" si="234">$B$19*S1603+SQRT(1-$B$19^2)*T1603</f>
        <v>-0.8293349011797212</v>
      </c>
      <c r="W1603" s="4">
        <f t="shared" ref="W1603:W1666" si="235">S1603*SQRT($B$16)+$B$20</f>
        <v>-0.2706279064268669</v>
      </c>
      <c r="X1603" s="4">
        <f t="shared" ref="X1603:X1666" si="236">U1603*SQRT($C$17)+$C$20</f>
        <v>-1.3964082219337508</v>
      </c>
      <c r="Y1603" s="3">
        <f t="shared" si="233"/>
        <v>-96.082967476742397</v>
      </c>
      <c r="AA1603" s="3"/>
    </row>
    <row r="1604" spans="19:27" x14ac:dyDescent="0.25">
      <c r="S1604" s="4">
        <v>-0.10398109347617596</v>
      </c>
      <c r="T1604" s="4">
        <v>-0.68390664048814209</v>
      </c>
      <c r="U1604" s="4">
        <f t="shared" si="234"/>
        <v>-0.60551653020881013</v>
      </c>
      <c r="W1604" s="4">
        <f t="shared" si="235"/>
        <v>-0.14849985928022916</v>
      </c>
      <c r="X1604" s="4">
        <f t="shared" si="236"/>
        <v>-1.0017949986455454</v>
      </c>
      <c r="Y1604" s="3">
        <f t="shared" si="233"/>
        <v>-76.325281399334017</v>
      </c>
      <c r="AA1604" s="3"/>
    </row>
    <row r="1605" spans="19:27" x14ac:dyDescent="0.25">
      <c r="S1605" s="4">
        <v>-0.20743594316746292</v>
      </c>
      <c r="T1605" s="4">
        <v>1.7947982697267992</v>
      </c>
      <c r="U1605" s="4">
        <f t="shared" si="234"/>
        <v>1.2962646847840906</v>
      </c>
      <c r="W1605" s="4">
        <f t="shared" si="235"/>
        <v>-0.32442035583249818</v>
      </c>
      <c r="X1605" s="4">
        <f t="shared" si="236"/>
        <v>2.3512274185127131</v>
      </c>
      <c r="Y1605" s="3">
        <f t="shared" si="233"/>
        <v>287.38381316756022</v>
      </c>
      <c r="AA1605" s="3"/>
    </row>
    <row r="1606" spans="19:27" x14ac:dyDescent="0.25">
      <c r="S1606" s="4">
        <v>2.6688526734343179</v>
      </c>
      <c r="T1606" s="4">
        <v>-1.2214811916898702</v>
      </c>
      <c r="U1606" s="4">
        <f t="shared" si="234"/>
        <v>0.65873374483705749</v>
      </c>
      <c r="W1606" s="4">
        <f t="shared" si="235"/>
        <v>4.5665840114846548</v>
      </c>
      <c r="X1606" s="4">
        <f t="shared" si="236"/>
        <v>1.2271993145321207</v>
      </c>
      <c r="Y1606" s="3">
        <f t="shared" si="233"/>
        <v>-556.56797111108517</v>
      </c>
      <c r="AA1606" s="3"/>
    </row>
    <row r="1607" spans="19:27" x14ac:dyDescent="0.25">
      <c r="S1607" s="4">
        <v>-0.83234013961989073</v>
      </c>
      <c r="T1607" s="4">
        <v>0.43837915165868768</v>
      </c>
      <c r="U1607" s="4">
        <f t="shared" si="234"/>
        <v>-0.1599134653738768</v>
      </c>
      <c r="W1607" s="4">
        <f t="shared" si="235"/>
        <v>-1.3870429092029122</v>
      </c>
      <c r="X1607" s="4">
        <f t="shared" si="236"/>
        <v>-0.21615411957548178</v>
      </c>
      <c r="Y1607" s="3">
        <f t="shared" si="233"/>
        <v>205.6696735824471</v>
      </c>
      <c r="AA1607" s="3"/>
    </row>
    <row r="1608" spans="19:27" x14ac:dyDescent="0.25">
      <c r="S1608" s="4">
        <v>-0.81141403911262822</v>
      </c>
      <c r="T1608" s="4">
        <v>-0.57414061646145054</v>
      </c>
      <c r="U1608" s="4">
        <f t="shared" si="234"/>
        <v>-0.94977278681211663</v>
      </c>
      <c r="W1608" s="4">
        <f t="shared" si="235"/>
        <v>-1.3514589805313659</v>
      </c>
      <c r="X1608" s="4">
        <f t="shared" si="236"/>
        <v>-1.6087517487374225</v>
      </c>
      <c r="Y1608" s="3">
        <f t="shared" si="233"/>
        <v>60.452878589116153</v>
      </c>
      <c r="AA1608" s="3"/>
    </row>
    <row r="1609" spans="19:27" x14ac:dyDescent="0.25">
      <c r="S1609" s="4">
        <v>-2.0720769985661587</v>
      </c>
      <c r="T1609" s="4">
        <v>2.269922474657784</v>
      </c>
      <c r="U1609" s="4">
        <f t="shared" si="234"/>
        <v>0.53616505906942957</v>
      </c>
      <c r="W1609" s="4">
        <f t="shared" si="235"/>
        <v>-3.4951618081311064</v>
      </c>
      <c r="X1609" s="4">
        <f t="shared" si="236"/>
        <v>1.0110989830215811</v>
      </c>
      <c r="Y1609" s="3">
        <f t="shared" si="233"/>
        <v>693.37002005972863</v>
      </c>
      <c r="AA1609" s="3"/>
    </row>
    <row r="1610" spans="19:27" x14ac:dyDescent="0.25">
      <c r="S1610" s="4">
        <v>0.35371159057378326</v>
      </c>
      <c r="T1610" s="4">
        <v>-0.64656242267898456</v>
      </c>
      <c r="U1610" s="4">
        <f t="shared" si="234"/>
        <v>-0.29689439462911171</v>
      </c>
      <c r="W1610" s="4">
        <f t="shared" si="235"/>
        <v>0.62978675064358602</v>
      </c>
      <c r="X1610" s="4">
        <f t="shared" si="236"/>
        <v>-0.45766461662689295</v>
      </c>
      <c r="Y1610" s="3">
        <f t="shared" si="233"/>
        <v>-145.66814019159528</v>
      </c>
      <c r="AA1610" s="3"/>
    </row>
    <row r="1611" spans="19:27" x14ac:dyDescent="0.25">
      <c r="S1611" s="4">
        <v>0.91399623402654151</v>
      </c>
      <c r="T1611" s="4">
        <v>-0.94669898486429016</v>
      </c>
      <c r="U1611" s="4">
        <f t="shared" si="234"/>
        <v>-0.19324823242789857</v>
      </c>
      <c r="W1611" s="4">
        <f t="shared" si="235"/>
        <v>1.582526549511821</v>
      </c>
      <c r="X1611" s="4">
        <f t="shared" si="236"/>
        <v>-0.27492650638933558</v>
      </c>
      <c r="Y1611" s="3">
        <f t="shared" si="233"/>
        <v>-274.67520206883182</v>
      </c>
      <c r="AA1611" s="3"/>
    </row>
    <row r="1612" spans="19:27" x14ac:dyDescent="0.25">
      <c r="S1612" s="4">
        <v>-0.24367084048895687</v>
      </c>
      <c r="T1612" s="4">
        <v>-1.5779425689060356</v>
      </c>
      <c r="U1612" s="4">
        <f t="shared" si="234"/>
        <v>-1.3993696618271749</v>
      </c>
      <c r="W1612" s="4">
        <f t="shared" si="235"/>
        <v>-0.3860362312442292</v>
      </c>
      <c r="X1612" s="4">
        <f t="shared" si="236"/>
        <v>-2.4014340976454793</v>
      </c>
      <c r="Y1612" s="3">
        <f t="shared" si="233"/>
        <v>-177.89486795281573</v>
      </c>
      <c r="AA1612" s="3"/>
    </row>
    <row r="1613" spans="19:27" x14ac:dyDescent="0.25">
      <c r="S1613" s="4">
        <v>-0.65349101150620181</v>
      </c>
      <c r="T1613" s="4">
        <v>-0.41465987552411249</v>
      </c>
      <c r="U1613" s="4">
        <f t="shared" si="234"/>
        <v>-0.7270802751122063</v>
      </c>
      <c r="W1613" s="4">
        <f t="shared" si="235"/>
        <v>-1.0829177036703737</v>
      </c>
      <c r="X1613" s="4">
        <f t="shared" si="236"/>
        <v>-1.2161235231684449</v>
      </c>
      <c r="Y1613" s="3">
        <f t="shared" si="233"/>
        <v>54.975170411615181</v>
      </c>
      <c r="AA1613" s="3"/>
    </row>
    <row r="1614" spans="19:27" x14ac:dyDescent="0.25">
      <c r="S1614" s="4">
        <v>-0.20660292173163794</v>
      </c>
      <c r="T1614" s="4">
        <v>0.53093702802547538</v>
      </c>
      <c r="U1614" s="4">
        <f t="shared" si="234"/>
        <v>0.29491979389371259</v>
      </c>
      <c r="W1614" s="4">
        <f t="shared" si="235"/>
        <v>-0.32300383891650714</v>
      </c>
      <c r="X1614" s="4">
        <f t="shared" si="236"/>
        <v>0.58576047626254402</v>
      </c>
      <c r="Y1614" s="3">
        <f t="shared" si="233"/>
        <v>110.60774431967047</v>
      </c>
      <c r="AA1614" s="3"/>
    </row>
    <row r="1615" spans="19:27" x14ac:dyDescent="0.25">
      <c r="S1615" s="4">
        <v>-1.0031179823363872</v>
      </c>
      <c r="T1615" s="4">
        <v>2.6618714582619654</v>
      </c>
      <c r="U1615" s="4">
        <f t="shared" si="234"/>
        <v>1.4985211569543218</v>
      </c>
      <c r="W1615" s="4">
        <f t="shared" si="235"/>
        <v>-1.6774432430728248</v>
      </c>
      <c r="X1615" s="4">
        <f t="shared" si="236"/>
        <v>2.7078249492148245</v>
      </c>
      <c r="Y1615" s="3">
        <f t="shared" si="233"/>
        <v>546.93332855903009</v>
      </c>
      <c r="AA1615" s="3"/>
    </row>
    <row r="1616" spans="19:27" x14ac:dyDescent="0.25">
      <c r="S1616" s="4">
        <v>4.2254330891554365E-2</v>
      </c>
      <c r="T1616" s="4">
        <v>-0.80477939262156151</v>
      </c>
      <c r="U1616" s="4">
        <f t="shared" si="234"/>
        <v>-0.61218301865436375</v>
      </c>
      <c r="W1616" s="4">
        <f t="shared" si="235"/>
        <v>0.10016715386675858</v>
      </c>
      <c r="X1616" s="4">
        <f t="shared" si="236"/>
        <v>-1.0135486562300491</v>
      </c>
      <c r="Y1616" s="3">
        <f t="shared" si="233"/>
        <v>-117.38076461537275</v>
      </c>
      <c r="AA1616" s="3"/>
    </row>
    <row r="1617" spans="19:27" x14ac:dyDescent="0.25">
      <c r="S1617" s="4">
        <v>-1.4223611422744831</v>
      </c>
      <c r="T1617" s="4">
        <v>1.3042490146654189</v>
      </c>
      <c r="U1617" s="4">
        <f t="shared" si="234"/>
        <v>0.16676469679176975</v>
      </c>
      <c r="W1617" s="4">
        <f t="shared" si="235"/>
        <v>-2.3903481005303067</v>
      </c>
      <c r="X1617" s="4">
        <f t="shared" si="236"/>
        <v>0.3598107665544733</v>
      </c>
      <c r="Y1617" s="3">
        <f t="shared" si="233"/>
        <v>433.99434305292925</v>
      </c>
      <c r="AA1617" s="3"/>
    </row>
    <row r="1618" spans="19:27" x14ac:dyDescent="0.25">
      <c r="S1618" s="4">
        <v>0.92507882537313479</v>
      </c>
      <c r="T1618" s="4">
        <v>8.6488783131681471E-2</v>
      </c>
      <c r="U1618" s="4">
        <f t="shared" si="234"/>
        <v>0.63250766028670624</v>
      </c>
      <c r="W1618" s="4">
        <f t="shared" si="235"/>
        <v>1.6013720166754815</v>
      </c>
      <c r="X1618" s="4">
        <f t="shared" si="236"/>
        <v>1.1809602157765133</v>
      </c>
      <c r="Y1618" s="3">
        <f t="shared" si="233"/>
        <v>-131.95346189472684</v>
      </c>
      <c r="AA1618" s="3"/>
    </row>
    <row r="1619" spans="19:27" x14ac:dyDescent="0.25">
      <c r="S1619" s="4">
        <v>0.15794247932880479</v>
      </c>
      <c r="T1619" s="4">
        <v>1.2075964074790035</v>
      </c>
      <c r="U1619" s="4">
        <f t="shared" si="234"/>
        <v>1.0535372936971601</v>
      </c>
      <c r="W1619" s="4">
        <f t="shared" si="235"/>
        <v>0.29688984573692756</v>
      </c>
      <c r="X1619" s="4">
        <f t="shared" si="236"/>
        <v>1.9232757818278088</v>
      </c>
      <c r="Y1619" s="3">
        <f t="shared" si="233"/>
        <v>144.97837916930166</v>
      </c>
      <c r="AA1619" s="3"/>
    </row>
    <row r="1620" spans="19:27" x14ac:dyDescent="0.25">
      <c r="S1620" s="4">
        <v>-1.9016346605667165</v>
      </c>
      <c r="T1620" s="4">
        <v>-1.6595366627655008</v>
      </c>
      <c r="U1620" s="4">
        <f t="shared" si="234"/>
        <v>-2.4747803857869584</v>
      </c>
      <c r="W1620" s="4">
        <f t="shared" si="235"/>
        <v>-3.2053319855189644</v>
      </c>
      <c r="X1620" s="4">
        <f t="shared" si="236"/>
        <v>-4.2974861969417733</v>
      </c>
      <c r="Y1620" s="3">
        <f t="shared" si="233"/>
        <v>110.91539386858949</v>
      </c>
      <c r="AA1620" s="3"/>
    </row>
    <row r="1621" spans="19:27" x14ac:dyDescent="0.25">
      <c r="S1621" s="4">
        <v>-1.2092237151861254</v>
      </c>
      <c r="T1621" s="4">
        <v>-2.2552161333405145</v>
      </c>
      <c r="U1621" s="4">
        <f t="shared" si="234"/>
        <v>-2.524861586682646</v>
      </c>
      <c r="W1621" s="4">
        <f t="shared" si="235"/>
        <v>-2.0279171258670203</v>
      </c>
      <c r="X1621" s="4">
        <f t="shared" si="236"/>
        <v>-4.3857841504380035</v>
      </c>
      <c r="Y1621" s="3">
        <f t="shared" si="233"/>
        <v>-102.85709088451677</v>
      </c>
      <c r="AA1621" s="3"/>
    </row>
    <row r="1622" spans="19:27" x14ac:dyDescent="0.25">
      <c r="S1622" s="4">
        <v>0.48613979941061197</v>
      </c>
      <c r="T1622" s="4">
        <v>5.9045507904040437E-2</v>
      </c>
      <c r="U1622" s="4">
        <f t="shared" si="234"/>
        <v>0.34316657127032396</v>
      </c>
      <c r="W1622" s="4">
        <f t="shared" si="235"/>
        <v>0.85497519106586772</v>
      </c>
      <c r="X1622" s="4">
        <f t="shared" si="236"/>
        <v>0.67082416541041778</v>
      </c>
      <c r="Y1622" s="3">
        <f t="shared" si="233"/>
        <v>-68.046723198317977</v>
      </c>
      <c r="AA1622" s="3"/>
    </row>
    <row r="1623" spans="19:27" x14ac:dyDescent="0.25">
      <c r="S1623" s="4">
        <v>-0.66587019990148988</v>
      </c>
      <c r="T1623" s="4">
        <v>-1.5028258366098135</v>
      </c>
      <c r="U1623" s="4">
        <f t="shared" si="234"/>
        <v>-1.5972073771951347</v>
      </c>
      <c r="W1623" s="4">
        <f t="shared" si="235"/>
        <v>-1.1039679780259177</v>
      </c>
      <c r="X1623" s="4">
        <f t="shared" si="236"/>
        <v>-2.7502409369172724</v>
      </c>
      <c r="Y1623" s="3">
        <f t="shared" si="233"/>
        <v>-94.943194960121218</v>
      </c>
      <c r="AA1623" s="3"/>
    </row>
    <row r="1624" spans="19:27" x14ac:dyDescent="0.25">
      <c r="S1624" s="4">
        <v>1.2516635421203803</v>
      </c>
      <c r="T1624" s="4">
        <v>0.66720494447528655</v>
      </c>
      <c r="U1624" s="4">
        <f t="shared" si="234"/>
        <v>1.2919300566924823</v>
      </c>
      <c r="W1624" s="4">
        <f t="shared" si="235"/>
        <v>2.1567151997935206</v>
      </c>
      <c r="X1624" s="4">
        <f t="shared" si="236"/>
        <v>2.3435850540563679</v>
      </c>
      <c r="Y1624" s="3">
        <f t="shared" si="233"/>
        <v>-99.37500168362385</v>
      </c>
      <c r="AA1624" s="3"/>
    </row>
    <row r="1625" spans="19:27" x14ac:dyDescent="0.25">
      <c r="S1625" s="4">
        <v>-2.9067903778579097E-3</v>
      </c>
      <c r="T1625" s="4">
        <v>-0.33877741570481362</v>
      </c>
      <c r="U1625" s="4">
        <f t="shared" si="234"/>
        <v>-0.27031819789645861</v>
      </c>
      <c r="W1625" s="4">
        <f t="shared" si="235"/>
        <v>2.3372620770632898E-2</v>
      </c>
      <c r="X1625" s="4">
        <f t="shared" si="236"/>
        <v>-0.41080823656336052</v>
      </c>
      <c r="Y1625" s="3">
        <f t="shared" si="233"/>
        <v>-44.824882970579893</v>
      </c>
      <c r="AA1625" s="3"/>
    </row>
    <row r="1626" spans="19:27" x14ac:dyDescent="0.25">
      <c r="S1626" s="4">
        <v>1.4733179462509671</v>
      </c>
      <c r="T1626" s="4">
        <v>0.36314944594804244</v>
      </c>
      <c r="U1626" s="4">
        <f t="shared" si="234"/>
        <v>1.1860331599737237</v>
      </c>
      <c r="W1626" s="4">
        <f t="shared" si="235"/>
        <v>2.5336289254816666</v>
      </c>
      <c r="X1626" s="4">
        <f t="shared" si="236"/>
        <v>2.1568786833097118</v>
      </c>
      <c r="Y1626" s="3">
        <f t="shared" si="233"/>
        <v>-173.96643327992388</v>
      </c>
      <c r="AA1626" s="3"/>
    </row>
    <row r="1627" spans="19:27" x14ac:dyDescent="0.25">
      <c r="S1627" s="4">
        <v>0.91293713330754234</v>
      </c>
      <c r="T1627" s="4">
        <v>-2.489148479614672E-2</v>
      </c>
      <c r="U1627" s="4">
        <f t="shared" si="234"/>
        <v>0.53681556444611089</v>
      </c>
      <c r="W1627" s="4">
        <f t="shared" si="235"/>
        <v>1.5807255945547438</v>
      </c>
      <c r="X1627" s="4">
        <f t="shared" si="236"/>
        <v>1.0122458863000965</v>
      </c>
      <c r="Y1627" s="3">
        <f t="shared" si="233"/>
        <v>-145.68389273144612</v>
      </c>
      <c r="AA1627" s="3"/>
    </row>
    <row r="1628" spans="19:27" x14ac:dyDescent="0.25">
      <c r="S1628" s="4">
        <v>0.33696009487021916</v>
      </c>
      <c r="T1628" s="4">
        <v>6.2149552953782369E-2</v>
      </c>
      <c r="U1628" s="4">
        <f t="shared" si="234"/>
        <v>0.2546838466441923</v>
      </c>
      <c r="W1628" s="4">
        <f t="shared" si="235"/>
        <v>0.60130155685172471</v>
      </c>
      <c r="X1628" s="4">
        <f t="shared" si="236"/>
        <v>0.51482064783241488</v>
      </c>
      <c r="Y1628" s="3">
        <f t="shared" si="233"/>
        <v>-43.945052870565632</v>
      </c>
      <c r="AA1628" s="3"/>
    </row>
    <row r="1629" spans="19:27" x14ac:dyDescent="0.25">
      <c r="S1629" s="4">
        <v>0.50446674826308835</v>
      </c>
      <c r="T1629" s="4">
        <v>-1.0309430757566698</v>
      </c>
      <c r="U1629" s="4">
        <f t="shared" si="234"/>
        <v>-0.50968616280429002</v>
      </c>
      <c r="W1629" s="4">
        <f t="shared" si="235"/>
        <v>0.88613937478501159</v>
      </c>
      <c r="X1629" s="4">
        <f t="shared" si="236"/>
        <v>-0.83283688315954962</v>
      </c>
      <c r="Y1629" s="3">
        <f t="shared" si="233"/>
        <v>-223.26762908663704</v>
      </c>
      <c r="AA1629" s="3"/>
    </row>
    <row r="1630" spans="19:27" x14ac:dyDescent="0.25">
      <c r="S1630" s="4">
        <v>0.60304661282965899</v>
      </c>
      <c r="T1630" s="4">
        <v>-0.98171490136038142</v>
      </c>
      <c r="U1630" s="4">
        <f t="shared" si="234"/>
        <v>-0.41056689691413045</v>
      </c>
      <c r="W1630" s="4">
        <f t="shared" si="235"/>
        <v>1.0537701700194191</v>
      </c>
      <c r="X1630" s="4">
        <f t="shared" si="236"/>
        <v>-0.65808012466290222</v>
      </c>
      <c r="Y1630" s="3">
        <f t="shared" si="233"/>
        <v>-231.82090213692982</v>
      </c>
      <c r="AA1630" s="3"/>
    </row>
    <row r="1631" spans="19:27" x14ac:dyDescent="0.25">
      <c r="S1631" s="4">
        <v>-1.3751992485302995</v>
      </c>
      <c r="T1631" s="4">
        <v>-0.39692455785016201</v>
      </c>
      <c r="U1631" s="4">
        <f t="shared" si="234"/>
        <v>-1.1529910742768319</v>
      </c>
      <c r="W1631" s="4">
        <f t="shared" si="235"/>
        <v>-2.310151340392141</v>
      </c>
      <c r="X1631" s="4">
        <f t="shared" si="236"/>
        <v>-1.9670450519175391</v>
      </c>
      <c r="Y1631" s="3">
        <f t="shared" si="233"/>
        <v>187.46459265647536</v>
      </c>
      <c r="AA1631" s="3"/>
    </row>
    <row r="1632" spans="19:27" x14ac:dyDescent="0.25">
      <c r="S1632" s="4">
        <v>-1.7582800011495077</v>
      </c>
      <c r="T1632" s="4">
        <v>0.77575247335231412</v>
      </c>
      <c r="U1632" s="4">
        <f t="shared" si="234"/>
        <v>-0.45695392488686581</v>
      </c>
      <c r="W1632" s="4">
        <f t="shared" si="235"/>
        <v>-2.9615635885514826</v>
      </c>
      <c r="X1632" s="4">
        <f t="shared" si="236"/>
        <v>-0.73986489750203743</v>
      </c>
      <c r="Y1632" s="3">
        <f t="shared" si="233"/>
        <v>423.63392368653422</v>
      </c>
      <c r="AA1632" s="3"/>
    </row>
    <row r="1633" spans="19:27" x14ac:dyDescent="0.25">
      <c r="S1633" s="4">
        <v>-1.0207552443824324</v>
      </c>
      <c r="T1633" s="4">
        <v>1.3429388696809355</v>
      </c>
      <c r="U1633" s="4">
        <f t="shared" si="234"/>
        <v>0.44226175200333717</v>
      </c>
      <c r="W1633" s="4">
        <f t="shared" si="235"/>
        <v>-1.7074346442127568</v>
      </c>
      <c r="X1633" s="4">
        <f t="shared" si="236"/>
        <v>0.84553845946836115</v>
      </c>
      <c r="Y1633" s="3">
        <f t="shared" si="233"/>
        <v>365.77680534804676</v>
      </c>
      <c r="AA1633" s="3"/>
    </row>
    <row r="1634" spans="19:27" x14ac:dyDescent="0.25">
      <c r="S1634" s="4">
        <v>-1.2898718627948467</v>
      </c>
      <c r="T1634" s="4">
        <v>1.5857032323202136</v>
      </c>
      <c r="U1634" s="4">
        <f t="shared" si="234"/>
        <v>0.47063962967579465</v>
      </c>
      <c r="W1634" s="4">
        <f t="shared" si="235"/>
        <v>-2.165055812121782</v>
      </c>
      <c r="X1634" s="4">
        <f t="shared" si="236"/>
        <v>0.89557137557721012</v>
      </c>
      <c r="Y1634" s="3">
        <f t="shared" si="233"/>
        <v>448.7662499995613</v>
      </c>
      <c r="AA1634" s="3"/>
    </row>
    <row r="1635" spans="19:27" x14ac:dyDescent="0.25">
      <c r="S1635" s="4">
        <v>2.1387545661603973</v>
      </c>
      <c r="T1635" s="4">
        <v>0.32172035796664361</v>
      </c>
      <c r="U1635" s="4">
        <f t="shared" si="234"/>
        <v>1.5588576631998821</v>
      </c>
      <c r="W1635" s="4">
        <f t="shared" si="235"/>
        <v>3.6651751115507922</v>
      </c>
      <c r="X1635" s="4">
        <f t="shared" si="236"/>
        <v>2.8142039882017715</v>
      </c>
      <c r="Y1635" s="3">
        <f t="shared" si="233"/>
        <v>-271.91546080890976</v>
      </c>
      <c r="AA1635" s="3"/>
    </row>
    <row r="1636" spans="19:27" x14ac:dyDescent="0.25">
      <c r="S1636" s="4">
        <v>-0.16004360529453635</v>
      </c>
      <c r="T1636" s="4">
        <v>-5.2678369163004168E-2</v>
      </c>
      <c r="U1636" s="4">
        <f t="shared" si="234"/>
        <v>-0.13932387546325087</v>
      </c>
      <c r="W1636" s="4">
        <f t="shared" si="235"/>
        <v>-0.24383173542217518</v>
      </c>
      <c r="X1636" s="4">
        <f t="shared" si="236"/>
        <v>-0.17985270068136258</v>
      </c>
      <c r="Y1636" s="3">
        <f t="shared" si="233"/>
        <v>21.242772642783621</v>
      </c>
      <c r="AA1636" s="3"/>
    </row>
    <row r="1637" spans="19:27" x14ac:dyDescent="0.25">
      <c r="S1637" s="4">
        <v>-0.82753736123662081</v>
      </c>
      <c r="T1637" s="4">
        <v>-0.30100095431044283</v>
      </c>
      <c r="U1637" s="4">
        <f t="shared" si="234"/>
        <v>-0.74308629347709809</v>
      </c>
      <c r="W1637" s="4">
        <f t="shared" si="235"/>
        <v>-1.3788759923252929</v>
      </c>
      <c r="X1637" s="4">
        <f t="shared" si="236"/>
        <v>-1.2443436664550791</v>
      </c>
      <c r="Y1637" s="3">
        <f t="shared" si="233"/>
        <v>101.4829207328321</v>
      </c>
      <c r="AA1637" s="3"/>
    </row>
    <row r="1638" spans="19:27" x14ac:dyDescent="0.25">
      <c r="S1638" s="4">
        <v>-7.2634822045552036E-2</v>
      </c>
      <c r="T1638" s="4">
        <v>0.37660034689412902</v>
      </c>
      <c r="U1638" s="4">
        <f t="shared" si="234"/>
        <v>0.25424828117645837</v>
      </c>
      <c r="W1638" s="4">
        <f t="shared" si="235"/>
        <v>-9.519688071911879E-2</v>
      </c>
      <c r="X1638" s="4">
        <f t="shared" si="236"/>
        <v>0.5140527041983427</v>
      </c>
      <c r="Y1638" s="3">
        <f t="shared" si="233"/>
        <v>66.684048965958482</v>
      </c>
      <c r="AA1638" s="3"/>
    </row>
    <row r="1639" spans="19:27" x14ac:dyDescent="0.25">
      <c r="S1639" s="4">
        <v>-2.4695218228246296</v>
      </c>
      <c r="T1639" s="4">
        <v>1.9323072192477082</v>
      </c>
      <c r="U1639" s="4">
        <f t="shared" si="234"/>
        <v>2.6248908035023222E-2</v>
      </c>
      <c r="W1639" s="4">
        <f t="shared" si="235"/>
        <v>-4.170999538738414</v>
      </c>
      <c r="X1639" s="4">
        <f t="shared" si="236"/>
        <v>0.11206797366554248</v>
      </c>
      <c r="Y1639" s="3">
        <f t="shared" si="233"/>
        <v>725.55894654376243</v>
      </c>
      <c r="AA1639" s="3"/>
    </row>
    <row r="1640" spans="19:27" x14ac:dyDescent="0.25">
      <c r="S1640" s="4">
        <v>0.56736822401118914</v>
      </c>
      <c r="T1640" s="4">
        <v>-1.8065497287835794</v>
      </c>
      <c r="U1640" s="4">
        <f t="shared" si="234"/>
        <v>-1.0861572234307502</v>
      </c>
      <c r="W1640" s="4">
        <f t="shared" si="235"/>
        <v>0.99310061324310928</v>
      </c>
      <c r="X1640" s="4">
        <f t="shared" si="236"/>
        <v>-1.8492105721439231</v>
      </c>
      <c r="Y1640" s="3">
        <f t="shared" si="233"/>
        <v>-341.52995673670648</v>
      </c>
      <c r="AA1640" s="3"/>
    </row>
    <row r="1641" spans="19:27" x14ac:dyDescent="0.25">
      <c r="S1641" s="4">
        <v>0.37698114397492305</v>
      </c>
      <c r="T1641" s="4">
        <v>2.0734558713725835</v>
      </c>
      <c r="U1641" s="4">
        <f t="shared" si="234"/>
        <v>1.873428037375847</v>
      </c>
      <c r="W1641" s="4">
        <f t="shared" si="235"/>
        <v>0.66935561958586842</v>
      </c>
      <c r="X1641" s="4">
        <f t="shared" si="236"/>
        <v>3.3688216845332652</v>
      </c>
      <c r="Y1641" s="3">
        <f t="shared" si="233"/>
        <v>230.77175265978076</v>
      </c>
      <c r="AA1641" s="3"/>
    </row>
    <row r="1642" spans="19:27" x14ac:dyDescent="0.25">
      <c r="S1642" s="4">
        <v>0.99268124310198258</v>
      </c>
      <c r="T1642" s="4">
        <v>-1.2829535360173925</v>
      </c>
      <c r="U1642" s="4">
        <f t="shared" si="234"/>
        <v>-0.41182639431836676</v>
      </c>
      <c r="W1642" s="4">
        <f t="shared" si="235"/>
        <v>1.7163270036140437</v>
      </c>
      <c r="X1642" s="4">
        <f t="shared" si="236"/>
        <v>-0.66030073920965637</v>
      </c>
      <c r="Y1642" s="3">
        <f t="shared" si="233"/>
        <v>-333.5288172275209</v>
      </c>
      <c r="AA1642" s="3"/>
    </row>
    <row r="1643" spans="19:27" x14ac:dyDescent="0.25">
      <c r="S1643" s="4">
        <v>0.46512131126352613</v>
      </c>
      <c r="T1643" s="4">
        <v>1.2900664670112283</v>
      </c>
      <c r="U1643" s="4">
        <f t="shared" si="234"/>
        <v>1.3061737213662501</v>
      </c>
      <c r="W1643" s="4">
        <f t="shared" si="235"/>
        <v>0.81923416120939374</v>
      </c>
      <c r="X1643" s="4">
        <f t="shared" si="236"/>
        <v>2.3686979990035115</v>
      </c>
      <c r="Y1643" s="3">
        <f t="shared" si="233"/>
        <v>107.31454319978957</v>
      </c>
      <c r="AA1643" s="3"/>
    </row>
    <row r="1644" spans="19:27" x14ac:dyDescent="0.25">
      <c r="S1644" s="4">
        <v>0.36220639381494507</v>
      </c>
      <c r="T1644" s="4">
        <v>-0.16959485677383956</v>
      </c>
      <c r="U1644" s="4">
        <f t="shared" si="234"/>
        <v>8.6372609747626228E-2</v>
      </c>
      <c r="W1644" s="4">
        <f t="shared" si="235"/>
        <v>0.64423179607894632</v>
      </c>
      <c r="X1644" s="4">
        <f t="shared" si="236"/>
        <v>0.21807181788042332</v>
      </c>
      <c r="Y1644" s="3">
        <f t="shared" si="233"/>
        <v>-80.361991908649088</v>
      </c>
      <c r="AA1644" s="3"/>
    </row>
    <row r="1645" spans="19:27" x14ac:dyDescent="0.25">
      <c r="S1645" s="4">
        <v>-0.81012115193472889</v>
      </c>
      <c r="T1645" s="4">
        <v>1.513537463141811</v>
      </c>
      <c r="U1645" s="4">
        <f t="shared" si="234"/>
        <v>0.70590113787518793</v>
      </c>
      <c r="W1645" s="4">
        <f t="shared" si="235"/>
        <v>-1.3492604818142848</v>
      </c>
      <c r="X1645" s="4">
        <f t="shared" si="236"/>
        <v>1.3103599457177411</v>
      </c>
      <c r="Y1645" s="3">
        <f t="shared" si="233"/>
        <v>351.99622128110241</v>
      </c>
      <c r="AA1645" s="3"/>
    </row>
    <row r="1646" spans="19:27" x14ac:dyDescent="0.25">
      <c r="S1646" s="4">
        <v>-0.80590088493579937</v>
      </c>
      <c r="T1646" s="4">
        <v>0.43145154842065558</v>
      </c>
      <c r="U1646" s="4">
        <f t="shared" si="234"/>
        <v>-0.14928696160685467</v>
      </c>
      <c r="W1646" s="4">
        <f t="shared" si="235"/>
        <v>-1.3420841003469077</v>
      </c>
      <c r="X1646" s="4">
        <f t="shared" si="236"/>
        <v>-0.19741857572535762</v>
      </c>
      <c r="Y1646" s="3">
        <f t="shared" si="233"/>
        <v>200.0178796746377</v>
      </c>
      <c r="AA1646" s="3"/>
    </row>
    <row r="1647" spans="19:27" x14ac:dyDescent="0.25">
      <c r="S1647" s="4">
        <v>0.14050289824730883</v>
      </c>
      <c r="T1647" s="4">
        <v>-0.49567275989215603</v>
      </c>
      <c r="U1647" s="4">
        <f t="shared" si="234"/>
        <v>-0.3072621391207469</v>
      </c>
      <c r="W1647" s="4">
        <f t="shared" si="235"/>
        <v>0.26723459252574139</v>
      </c>
      <c r="X1647" s="4">
        <f t="shared" si="236"/>
        <v>-0.47594394309292476</v>
      </c>
      <c r="Y1647" s="3">
        <f t="shared" si="233"/>
        <v>-90.23447848731621</v>
      </c>
      <c r="AA1647" s="3"/>
    </row>
    <row r="1648" spans="19:27" x14ac:dyDescent="0.25">
      <c r="S1648" s="4">
        <v>0.99417258980672585</v>
      </c>
      <c r="T1648" s="4">
        <v>0.69623057511437492</v>
      </c>
      <c r="U1648" s="4">
        <f t="shared" si="234"/>
        <v>1.1579662128140487</v>
      </c>
      <c r="W1648" s="4">
        <f t="shared" si="235"/>
        <v>1.7188629741713728</v>
      </c>
      <c r="X1648" s="4">
        <f t="shared" si="236"/>
        <v>2.1073939674729649</v>
      </c>
      <c r="Y1648" s="3">
        <f t="shared" si="233"/>
        <v>-57.14353846699214</v>
      </c>
      <c r="AA1648" s="3"/>
    </row>
    <row r="1649" spans="19:27" x14ac:dyDescent="0.25">
      <c r="S1649" s="4">
        <v>-0.56777770588328658</v>
      </c>
      <c r="T1649" s="4">
        <v>-0.6818003970292621</v>
      </c>
      <c r="U1649" s="4">
        <f t="shared" si="234"/>
        <v>-0.88658769091431688</v>
      </c>
      <c r="W1649" s="4">
        <f t="shared" si="235"/>
        <v>-0.93716593532587267</v>
      </c>
      <c r="X1649" s="4">
        <f t="shared" si="236"/>
        <v>-1.4973503733818416</v>
      </c>
      <c r="Y1649" s="3">
        <f t="shared" si="233"/>
        <v>2.7283031202150596</v>
      </c>
      <c r="AA1649" s="3"/>
    </row>
    <row r="1650" spans="19:27" x14ac:dyDescent="0.25">
      <c r="S1650" s="4">
        <v>-0.65891407691706572</v>
      </c>
      <c r="T1650" s="4">
        <v>1.5467824223430391</v>
      </c>
      <c r="U1650" s="4">
        <f t="shared" si="234"/>
        <v>0.82443335834480669</v>
      </c>
      <c r="W1650" s="4">
        <f t="shared" si="235"/>
        <v>-1.0921393918054536</v>
      </c>
      <c r="X1650" s="4">
        <f t="shared" si="236"/>
        <v>1.519343602332343</v>
      </c>
      <c r="Y1650" s="3">
        <f t="shared" si="233"/>
        <v>330.05197153797417</v>
      </c>
      <c r="AA1650" s="3"/>
    </row>
    <row r="1651" spans="19:27" x14ac:dyDescent="0.25">
      <c r="S1651" s="4">
        <v>1.208182429595517</v>
      </c>
      <c r="T1651" s="4">
        <v>-0.44174618478061278</v>
      </c>
      <c r="U1651" s="4">
        <f t="shared" si="234"/>
        <v>0.3863662907977628</v>
      </c>
      <c r="W1651" s="4">
        <f t="shared" si="235"/>
        <v>2.0827774488920925</v>
      </c>
      <c r="X1651" s="4">
        <f t="shared" si="236"/>
        <v>0.74698940820938642</v>
      </c>
      <c r="Y1651" s="3">
        <f t="shared" si="233"/>
        <v>-247.98194403065963</v>
      </c>
      <c r="AA1651" s="3"/>
    </row>
    <row r="1652" spans="19:27" x14ac:dyDescent="0.25">
      <c r="S1652" s="4">
        <v>-2.2128444648437768</v>
      </c>
      <c r="T1652" s="4">
        <v>4.972982565196263E-3</v>
      </c>
      <c r="U1652" s="4">
        <f t="shared" si="234"/>
        <v>-1.345057314839861</v>
      </c>
      <c r="W1652" s="4">
        <f t="shared" si="235"/>
        <v>-3.7345307950839626</v>
      </c>
      <c r="X1652" s="4">
        <f t="shared" si="236"/>
        <v>-2.3056762283694274</v>
      </c>
      <c r="Y1652" s="3">
        <f t="shared" si="233"/>
        <v>404.64993854448676</v>
      </c>
      <c r="AA1652" s="3"/>
    </row>
    <row r="1653" spans="19:27" x14ac:dyDescent="0.25">
      <c r="S1653" s="4">
        <v>0.87194222116770526</v>
      </c>
      <c r="T1653" s="4">
        <v>0.40613389921536147</v>
      </c>
      <c r="U1653" s="4">
        <f t="shared" si="234"/>
        <v>0.85349453319956359</v>
      </c>
      <c r="W1653" s="4">
        <f t="shared" si="235"/>
        <v>1.5110155198576447</v>
      </c>
      <c r="X1653" s="4">
        <f t="shared" si="236"/>
        <v>1.5705812368135099</v>
      </c>
      <c r="Y1653" s="3">
        <f t="shared" si="233"/>
        <v>-79.229300983736721</v>
      </c>
      <c r="AA1653" s="3"/>
    </row>
    <row r="1654" spans="19:27" x14ac:dyDescent="0.25">
      <c r="S1654" s="4">
        <v>-0.68050993042665675</v>
      </c>
      <c r="T1654" s="4">
        <v>0.2107173207842799</v>
      </c>
      <c r="U1654" s="4">
        <f t="shared" si="234"/>
        <v>-0.24782009858769455</v>
      </c>
      <c r="W1654" s="4">
        <f t="shared" si="235"/>
        <v>-1.1288622064846507</v>
      </c>
      <c r="X1654" s="4">
        <f t="shared" si="236"/>
        <v>-0.37114193282083452</v>
      </c>
      <c r="Y1654" s="3">
        <f t="shared" si="233"/>
        <v>147.10100983456687</v>
      </c>
      <c r="AA1654" s="3"/>
    </row>
    <row r="1655" spans="19:27" x14ac:dyDescent="0.25">
      <c r="S1655" s="4">
        <v>0.51631497453438602</v>
      </c>
      <c r="T1655" s="4">
        <v>-0.15283835459423151</v>
      </c>
      <c r="U1655" s="4">
        <f t="shared" si="234"/>
        <v>0.19360338454534878</v>
      </c>
      <c r="W1655" s="4">
        <f t="shared" si="235"/>
        <v>0.90628677101757193</v>
      </c>
      <c r="X1655" s="4">
        <f t="shared" si="236"/>
        <v>0.4071299434268757</v>
      </c>
      <c r="Y1655" s="3">
        <f t="shared" si="233"/>
        <v>-102.40690315722168</v>
      </c>
      <c r="AA1655" s="3"/>
    </row>
    <row r="1656" spans="19:27" x14ac:dyDescent="0.25">
      <c r="S1656" s="4">
        <v>-0.69523665658402012</v>
      </c>
      <c r="T1656" s="4">
        <v>0.23458925608133896</v>
      </c>
      <c r="U1656" s="4">
        <f t="shared" si="234"/>
        <v>-0.23787474684715079</v>
      </c>
      <c r="W1656" s="4">
        <f t="shared" si="235"/>
        <v>-1.1539043672525944</v>
      </c>
      <c r="X1656" s="4">
        <f t="shared" si="236"/>
        <v>-0.35360732522787242</v>
      </c>
      <c r="Y1656" s="3">
        <f t="shared" si="233"/>
        <v>153.01663391557759</v>
      </c>
      <c r="AA1656" s="3"/>
    </row>
    <row r="1657" spans="19:27" x14ac:dyDescent="0.25">
      <c r="S1657" s="4">
        <v>-0.27394520503867037</v>
      </c>
      <c r="T1657" s="4">
        <v>-0.73845096106025976</v>
      </c>
      <c r="U1657" s="4">
        <f t="shared" si="234"/>
        <v>-0.75236729242762135</v>
      </c>
      <c r="W1657" s="4">
        <f t="shared" si="235"/>
        <v>-0.43751647852391334</v>
      </c>
      <c r="X1657" s="4">
        <f t="shared" si="236"/>
        <v>-1.2607069564536308</v>
      </c>
      <c r="Y1657" s="3">
        <f t="shared" si="233"/>
        <v>-55.462446662910679</v>
      </c>
      <c r="AA1657" s="3"/>
    </row>
    <row r="1658" spans="19:27" x14ac:dyDescent="0.25">
      <c r="S1658" s="4">
        <v>0.37164187812502053</v>
      </c>
      <c r="T1658" s="4">
        <v>0.74277211541600685</v>
      </c>
      <c r="U1658" s="4">
        <f t="shared" si="234"/>
        <v>0.8153507087052958</v>
      </c>
      <c r="W1658" s="4">
        <f t="shared" si="235"/>
        <v>0.66027642897912264</v>
      </c>
      <c r="X1658" s="4">
        <f t="shared" si="236"/>
        <v>1.5033300211651801</v>
      </c>
      <c r="Y1658" s="3">
        <f t="shared" si="233"/>
        <v>45.646490987420748</v>
      </c>
      <c r="AA1658" s="3"/>
    </row>
    <row r="1659" spans="19:27" x14ac:dyDescent="0.25">
      <c r="S1659" s="4">
        <v>0.47666336478638116</v>
      </c>
      <c r="T1659" s="4">
        <v>-0.96549596456465647</v>
      </c>
      <c r="U1659" s="4">
        <f t="shared" si="234"/>
        <v>-0.47475632301213055</v>
      </c>
      <c r="W1659" s="4">
        <f t="shared" si="235"/>
        <v>0.83886092392793765</v>
      </c>
      <c r="X1659" s="4">
        <f t="shared" si="236"/>
        <v>-0.77125223034695234</v>
      </c>
      <c r="Y1659" s="3">
        <f t="shared" si="233"/>
        <v>-209.74211777765049</v>
      </c>
      <c r="AA1659" s="3"/>
    </row>
    <row r="1660" spans="19:27" x14ac:dyDescent="0.25">
      <c r="S1660" s="4">
        <v>-0.19115444003712312</v>
      </c>
      <c r="T1660" s="4">
        <v>-0.83454689106752744</v>
      </c>
      <c r="U1660" s="4">
        <f t="shared" si="234"/>
        <v>-0.77807067163663612</v>
      </c>
      <c r="W1660" s="4">
        <f t="shared" si="235"/>
        <v>-0.29673436408002135</v>
      </c>
      <c r="X1660" s="4">
        <f t="shared" si="236"/>
        <v>-1.3060244756325483</v>
      </c>
      <c r="Y1660" s="3">
        <f t="shared" si="233"/>
        <v>-82.822640630246951</v>
      </c>
      <c r="AA1660" s="3"/>
    </row>
    <row r="1661" spans="19:27" x14ac:dyDescent="0.25">
      <c r="S1661" s="4">
        <v>0.33535205460935924</v>
      </c>
      <c r="T1661" s="4">
        <v>0.59936227726932056</v>
      </c>
      <c r="U1661" s="4">
        <f t="shared" si="234"/>
        <v>0.67954778846061581</v>
      </c>
      <c r="W1661" s="4">
        <f t="shared" si="235"/>
        <v>0.59856715395025928</v>
      </c>
      <c r="X1661" s="4">
        <f t="shared" si="236"/>
        <v>1.2638964668182535</v>
      </c>
      <c r="Y1661" s="3">
        <f t="shared" si="233"/>
        <v>31.392277745776482</v>
      </c>
      <c r="AA1661" s="3"/>
    </row>
    <row r="1662" spans="19:27" x14ac:dyDescent="0.25">
      <c r="S1662" s="4">
        <v>-0.53984094893899714</v>
      </c>
      <c r="T1662" s="4">
        <v>-0.30074220326230949</v>
      </c>
      <c r="U1662" s="4">
        <f t="shared" si="234"/>
        <v>-0.56749503160960202</v>
      </c>
      <c r="W1662" s="4">
        <f t="shared" si="235"/>
        <v>-0.88966068865677073</v>
      </c>
      <c r="X1662" s="4">
        <f t="shared" si="236"/>
        <v>-0.9347594552654559</v>
      </c>
      <c r="Y1662" s="3">
        <f t="shared" si="233"/>
        <v>51.1486417159349</v>
      </c>
      <c r="AA1662" s="3"/>
    </row>
    <row r="1663" spans="19:27" x14ac:dyDescent="0.25">
      <c r="S1663" s="4">
        <v>-0.32033738453429911</v>
      </c>
      <c r="T1663" s="4">
        <v>0.65069628802723878</v>
      </c>
      <c r="U1663" s="4">
        <f t="shared" si="234"/>
        <v>0.32051693734009978</v>
      </c>
      <c r="W1663" s="4">
        <f t="shared" si="235"/>
        <v>-0.51640437287943863</v>
      </c>
      <c r="X1663" s="4">
        <f t="shared" si="236"/>
        <v>0.6308906916176642</v>
      </c>
      <c r="Y1663" s="3">
        <f t="shared" si="233"/>
        <v>146.5344436973237</v>
      </c>
      <c r="AA1663" s="3"/>
    </row>
    <row r="1664" spans="19:27" x14ac:dyDescent="0.25">
      <c r="S1664" s="4">
        <v>3.7914741158021403E-2</v>
      </c>
      <c r="T1664" s="4">
        <v>0.13797725126318894</v>
      </c>
      <c r="U1664" s="4">
        <f t="shared" si="234"/>
        <v>0.13248713802964165</v>
      </c>
      <c r="W1664" s="4">
        <f t="shared" si="235"/>
        <v>9.2787869250964064E-2</v>
      </c>
      <c r="X1664" s="4">
        <f t="shared" si="236"/>
        <v>0.29937614766730336</v>
      </c>
      <c r="Y1664" s="3">
        <f t="shared" si="233"/>
        <v>15.090570663961898</v>
      </c>
      <c r="AA1664" s="3"/>
    </row>
    <row r="1665" spans="19:27" x14ac:dyDescent="0.25">
      <c r="S1665" s="4">
        <v>-0.98991351418374107</v>
      </c>
      <c r="T1665" s="4">
        <v>-1.1414568881777627</v>
      </c>
      <c r="U1665" s="4">
        <f t="shared" si="234"/>
        <v>-1.5082971302737205</v>
      </c>
      <c r="W1665" s="4">
        <f t="shared" si="235"/>
        <v>-1.6549896161906259</v>
      </c>
      <c r="X1665" s="4">
        <f t="shared" si="236"/>
        <v>-2.5934836565885302</v>
      </c>
      <c r="Y1665" s="3">
        <f t="shared" si="233"/>
        <v>13.008250278410742</v>
      </c>
      <c r="AA1665" s="3"/>
    </row>
    <row r="1666" spans="19:27" x14ac:dyDescent="0.25">
      <c r="S1666" s="4">
        <v>-2.0810788680499752</v>
      </c>
      <c r="T1666" s="4">
        <v>-8.0206247316423618E-2</v>
      </c>
      <c r="U1666" s="4">
        <f t="shared" si="234"/>
        <v>-1.3322509628063006</v>
      </c>
      <c r="W1666" s="4">
        <f t="shared" si="235"/>
        <v>-3.5104690977769497</v>
      </c>
      <c r="X1666" s="4">
        <f t="shared" si="236"/>
        <v>-2.2830974032595641</v>
      </c>
      <c r="Y1666" s="3">
        <f t="shared" ref="Y1666:Y1729" si="237">(B$4*EXP(-B$8*B$7)*NORMSDIST((LN(B$4/(B$5+W1666))-B$8*B$7+B$9*B$7+0.5*B$6*B$6*B$7)/(B$6*SQRT(B$7)))-(B$5+W1666)*EXP(-B$9*B$7)*NORMSDIST((LN(B$4/(B$5+W1666))-B$8*B$7+B$9*B$7-0.5*B$6*B$6*B$7)/(B$6*SQRT(B$7))))*400+100*X1666-400*$B$13</f>
        <v>366.68810673998996</v>
      </c>
      <c r="AA1666" s="3"/>
    </row>
    <row r="1667" spans="19:27" x14ac:dyDescent="0.25">
      <c r="S1667" s="4">
        <v>8.3882718799395545E-2</v>
      </c>
      <c r="T1667" s="4">
        <v>-1.2169542713185839</v>
      </c>
      <c r="U1667" s="4">
        <f t="shared" ref="U1667:U1730" si="238">$B$19*S1667+SQRT(1-$B$19^2)*T1667</f>
        <v>-0.91353316132984896</v>
      </c>
      <c r="W1667" s="4">
        <f t="shared" ref="W1667:W1730" si="239">S1667*SQRT($B$16)+$B$20</f>
        <v>0.17095442670385461</v>
      </c>
      <c r="X1667" s="4">
        <f t="shared" ref="X1667:X1730" si="240">U1667*SQRT($C$17)+$C$20</f>
        <v>-1.5448578183139292</v>
      </c>
      <c r="Y1667" s="3">
        <f t="shared" si="237"/>
        <v>-181.80580675503825</v>
      </c>
      <c r="AA1667" s="3"/>
    </row>
    <row r="1668" spans="19:27" x14ac:dyDescent="0.25">
      <c r="S1668" s="4">
        <v>-0.27291345491320124</v>
      </c>
      <c r="T1668" s="4">
        <v>-0.60973735947066909</v>
      </c>
      <c r="U1668" s="4">
        <f t="shared" si="238"/>
        <v>-0.64970806982182017</v>
      </c>
      <c r="W1668" s="4">
        <f t="shared" si="239"/>
        <v>-0.43576203206797609</v>
      </c>
      <c r="X1668" s="4">
        <f t="shared" si="240"/>
        <v>-1.0797089152427881</v>
      </c>
      <c r="Y1668" s="3">
        <f t="shared" si="237"/>
        <v>-37.647768384656956</v>
      </c>
      <c r="AA1668" s="3"/>
    </row>
    <row r="1669" spans="19:27" x14ac:dyDescent="0.25">
      <c r="S1669" s="4">
        <v>-1.1849980146852093</v>
      </c>
      <c r="T1669" s="4">
        <v>1.0108992773977719</v>
      </c>
      <c r="U1669" s="4">
        <f t="shared" si="238"/>
        <v>7.8930559891315366E-2</v>
      </c>
      <c r="W1669" s="4">
        <f t="shared" si="239"/>
        <v>-1.9867223701434844</v>
      </c>
      <c r="X1669" s="4">
        <f t="shared" si="240"/>
        <v>0.20495077125261085</v>
      </c>
      <c r="Y1669" s="3">
        <f t="shared" si="237"/>
        <v>349.18056244354921</v>
      </c>
      <c r="AA1669" s="3"/>
    </row>
    <row r="1670" spans="19:27" x14ac:dyDescent="0.25">
      <c r="S1670" s="4">
        <v>-1.1953675894944633</v>
      </c>
      <c r="T1670" s="4">
        <v>9.9713042827098752E-2</v>
      </c>
      <c r="U1670" s="4">
        <f t="shared" si="238"/>
        <v>-0.64968102018876306</v>
      </c>
      <c r="W1670" s="4">
        <f t="shared" si="239"/>
        <v>-2.004355383529743</v>
      </c>
      <c r="X1670" s="4">
        <f t="shared" si="240"/>
        <v>-1.0796612241491432</v>
      </c>
      <c r="Y1670" s="3">
        <f t="shared" si="237"/>
        <v>223.72987745410137</v>
      </c>
      <c r="AA1670" s="3"/>
    </row>
    <row r="1671" spans="19:27" x14ac:dyDescent="0.25">
      <c r="S1671" s="4">
        <v>-0.50615873844309034</v>
      </c>
      <c r="T1671" s="4">
        <v>1.5750783155277837E-2</v>
      </c>
      <c r="U1671" s="4">
        <f t="shared" si="238"/>
        <v>-0.29608014019513623</v>
      </c>
      <c r="W1671" s="4">
        <f t="shared" si="239"/>
        <v>-0.83238554676540899</v>
      </c>
      <c r="X1671" s="4">
        <f t="shared" si="240"/>
        <v>-0.45622900807798816</v>
      </c>
      <c r="Y1671" s="3">
        <f t="shared" si="237"/>
        <v>89.566556514399508</v>
      </c>
      <c r="AA1671" s="3"/>
    </row>
    <row r="1672" spans="19:27" x14ac:dyDescent="0.25">
      <c r="S1672" s="4">
        <v>1.7672892111362188</v>
      </c>
      <c r="T1672" s="4">
        <v>-0.65635614265921227</v>
      </c>
      <c r="U1672" s="4">
        <f t="shared" si="238"/>
        <v>0.55709065873804742</v>
      </c>
      <c r="W1672" s="4">
        <f t="shared" si="239"/>
        <v>3.0335143445319406</v>
      </c>
      <c r="X1672" s="4">
        <f t="shared" si="240"/>
        <v>1.0479928192989663</v>
      </c>
      <c r="Y1672" s="3">
        <f t="shared" si="237"/>
        <v>-357.93761752652017</v>
      </c>
      <c r="AA1672" s="3"/>
    </row>
    <row r="1673" spans="19:27" x14ac:dyDescent="0.25">
      <c r="S1673" s="4">
        <v>-0.52188841012605791</v>
      </c>
      <c r="T1673" s="4">
        <v>8.1477422592594023E-2</v>
      </c>
      <c r="U1673" s="4">
        <f t="shared" si="238"/>
        <v>-0.25356831649750822</v>
      </c>
      <c r="W1673" s="4">
        <f t="shared" si="239"/>
        <v>-0.85913317301327607</v>
      </c>
      <c r="X1673" s="4">
        <f t="shared" si="240"/>
        <v>-0.3812765915073163</v>
      </c>
      <c r="Y1673" s="3">
        <f t="shared" si="237"/>
        <v>101.46588594072864</v>
      </c>
      <c r="AA1673" s="3"/>
    </row>
    <row r="1674" spans="19:27" x14ac:dyDescent="0.25">
      <c r="S1674" s="4">
        <v>0.71259248001543374</v>
      </c>
      <c r="T1674" s="4">
        <v>0.81431158869135634</v>
      </c>
      <c r="U1674" s="4">
        <f t="shared" si="238"/>
        <v>1.0799105723619915</v>
      </c>
      <c r="W1674" s="4">
        <f t="shared" si="239"/>
        <v>1.2400481783300672</v>
      </c>
      <c r="X1674" s="4">
        <f t="shared" si="240"/>
        <v>1.9697743979041442</v>
      </c>
      <c r="Y1674" s="3">
        <f t="shared" si="237"/>
        <v>2.2075648514442037</v>
      </c>
      <c r="AA1674" s="3"/>
    </row>
    <row r="1675" spans="19:27" x14ac:dyDescent="0.25">
      <c r="S1675" s="4">
        <v>1.9907407057716893</v>
      </c>
      <c r="T1675" s="4">
        <v>0.29531843672969599</v>
      </c>
      <c r="U1675" s="4">
        <f t="shared" si="238"/>
        <v>1.4476965191941971</v>
      </c>
      <c r="W1675" s="4">
        <f t="shared" si="239"/>
        <v>3.4134839448834002</v>
      </c>
      <c r="X1675" s="4">
        <f t="shared" si="240"/>
        <v>2.6182162453270421</v>
      </c>
      <c r="Y1675" s="3">
        <f t="shared" si="237"/>
        <v>-255.64691939771274</v>
      </c>
      <c r="AA1675" s="3"/>
    </row>
    <row r="1676" spans="19:27" x14ac:dyDescent="0.25">
      <c r="S1676" s="4">
        <v>-1.3345391911910454</v>
      </c>
      <c r="T1676" s="4">
        <v>-0.70538425896179557</v>
      </c>
      <c r="U1676" s="4">
        <f t="shared" si="238"/>
        <v>-1.3727173393573215</v>
      </c>
      <c r="W1676" s="4">
        <f t="shared" si="239"/>
        <v>-2.2410106717979672</v>
      </c>
      <c r="X1676" s="4">
        <f t="shared" si="240"/>
        <v>-2.3544435006166395</v>
      </c>
      <c r="Y1676" s="3">
        <f t="shared" si="237"/>
        <v>136.81681208334203</v>
      </c>
      <c r="AA1676" s="3"/>
    </row>
    <row r="1677" spans="19:27" x14ac:dyDescent="0.25">
      <c r="S1677" s="4">
        <v>0.99923207613311171</v>
      </c>
      <c r="T1677" s="4">
        <v>0.30081805471243955</v>
      </c>
      <c r="U1677" s="4">
        <f t="shared" si="238"/>
        <v>0.84761023945366831</v>
      </c>
      <c r="W1677" s="4">
        <f t="shared" si="239"/>
        <v>1.7274664118013459</v>
      </c>
      <c r="X1677" s="4">
        <f t="shared" si="240"/>
        <v>1.5602066633959233</v>
      </c>
      <c r="Y1677" s="3">
        <f t="shared" si="237"/>
        <v>-113.16542323978001</v>
      </c>
      <c r="AA1677" s="3"/>
    </row>
    <row r="1678" spans="19:27" x14ac:dyDescent="0.25">
      <c r="S1678" s="4">
        <v>-2.058566925550716</v>
      </c>
      <c r="T1678" s="4">
        <v>-0.69742516167537716</v>
      </c>
      <c r="U1678" s="4">
        <f t="shared" si="238"/>
        <v>-1.8077916877265889</v>
      </c>
      <c r="W1678" s="4">
        <f t="shared" si="239"/>
        <v>-3.4721885133998662</v>
      </c>
      <c r="X1678" s="4">
        <f t="shared" si="240"/>
        <v>-3.1215212442140388</v>
      </c>
      <c r="Y1678" s="3">
        <f t="shared" si="237"/>
        <v>276.0015906813569</v>
      </c>
      <c r="AA1678" s="3"/>
    </row>
    <row r="1679" spans="19:27" x14ac:dyDescent="0.25">
      <c r="S1679" s="4">
        <v>-0.21662382993097351</v>
      </c>
      <c r="T1679" s="4">
        <v>0.30569767589208235</v>
      </c>
      <c r="U1679" s="4">
        <f t="shared" si="238"/>
        <v>0.1102653878830667</v>
      </c>
      <c r="W1679" s="4">
        <f t="shared" si="239"/>
        <v>-0.3400439598155498</v>
      </c>
      <c r="X1679" s="4">
        <f t="shared" si="240"/>
        <v>0.26019707396389957</v>
      </c>
      <c r="Y1679" s="3">
        <f t="shared" si="237"/>
        <v>80.811379243750252</v>
      </c>
      <c r="AA1679" s="3"/>
    </row>
    <row r="1680" spans="19:27" x14ac:dyDescent="0.25">
      <c r="S1680" s="4">
        <v>-0.72867174368608545</v>
      </c>
      <c r="T1680" s="4">
        <v>1.5047943580032901</v>
      </c>
      <c r="U1680" s="4">
        <f t="shared" si="238"/>
        <v>0.74862392476674433</v>
      </c>
      <c r="W1680" s="4">
        <f t="shared" si="239"/>
        <v>-1.2107592865030263</v>
      </c>
      <c r="X1680" s="4">
        <f t="shared" si="240"/>
        <v>1.3856843106034247</v>
      </c>
      <c r="Y1680" s="3">
        <f t="shared" si="237"/>
        <v>336.40770065668949</v>
      </c>
      <c r="AA1680" s="3"/>
    </row>
    <row r="1681" spans="19:27" x14ac:dyDescent="0.25">
      <c r="S1681" s="4">
        <v>-0.78129932055942075</v>
      </c>
      <c r="T1681" s="4">
        <v>0.86638718480544241</v>
      </c>
      <c r="U1681" s="4">
        <f t="shared" si="238"/>
        <v>0.21048070865817586</v>
      </c>
      <c r="W1681" s="4">
        <f t="shared" si="239"/>
        <v>-1.3002502043626227</v>
      </c>
      <c r="X1681" s="4">
        <f t="shared" si="240"/>
        <v>0.43688628219277637</v>
      </c>
      <c r="Y1681" s="3">
        <f t="shared" si="237"/>
        <v>256.45566167170546</v>
      </c>
      <c r="AA1681" s="3"/>
    </row>
    <row r="1682" spans="19:27" x14ac:dyDescent="0.25">
      <c r="S1682" s="4">
        <v>2.1710811145484605</v>
      </c>
      <c r="T1682" s="4">
        <v>0.16622395375667132</v>
      </c>
      <c r="U1682" s="4">
        <f t="shared" si="238"/>
        <v>1.4553038897713746</v>
      </c>
      <c r="W1682" s="4">
        <f t="shared" si="239"/>
        <v>3.7201450086722803</v>
      </c>
      <c r="X1682" s="4">
        <f t="shared" si="240"/>
        <v>2.6316287682186417</v>
      </c>
      <c r="Y1682" s="3">
        <f t="shared" si="237"/>
        <v>-297.96565159496913</v>
      </c>
      <c r="AA1682" s="3"/>
    </row>
    <row r="1683" spans="19:27" x14ac:dyDescent="0.25">
      <c r="S1683" s="4">
        <v>-0.58002174151676933</v>
      </c>
      <c r="T1683" s="4">
        <v>-1.392782299747545</v>
      </c>
      <c r="U1683" s="4">
        <f t="shared" si="238"/>
        <v>-1.4576416081189871</v>
      </c>
      <c r="W1683" s="4">
        <f t="shared" si="239"/>
        <v>-0.95798638825653282</v>
      </c>
      <c r="X1683" s="4">
        <f t="shared" si="240"/>
        <v>-2.504173119709391</v>
      </c>
      <c r="Y1683" s="3">
        <f t="shared" si="237"/>
        <v>-94.514694484429583</v>
      </c>
      <c r="AA1683" s="3"/>
    </row>
    <row r="1684" spans="19:27" x14ac:dyDescent="0.25">
      <c r="S1684" s="4">
        <v>1.5834597295208748</v>
      </c>
      <c r="T1684" s="4">
        <v>-1.2362551414550946</v>
      </c>
      <c r="U1684" s="4">
        <f t="shared" si="238"/>
        <v>-1.4657202967715555E-2</v>
      </c>
      <c r="W1684" s="4">
        <f t="shared" si="239"/>
        <v>2.7209202633146807</v>
      </c>
      <c r="X1684" s="4">
        <f t="shared" si="240"/>
        <v>3.9946582356364363E-2</v>
      </c>
      <c r="Y1684" s="3">
        <f t="shared" si="237"/>
        <v>-413.18552718481214</v>
      </c>
      <c r="AA1684" s="3"/>
    </row>
    <row r="1685" spans="19:27" x14ac:dyDescent="0.25">
      <c r="S1685" s="4">
        <v>0.68748242254939063</v>
      </c>
      <c r="T1685" s="4">
        <v>1.1572117958531787</v>
      </c>
      <c r="U1685" s="4">
        <f t="shared" si="238"/>
        <v>1.3364171785887358</v>
      </c>
      <c r="W1685" s="4">
        <f t="shared" si="239"/>
        <v>1.1973496118436828</v>
      </c>
      <c r="X1685" s="4">
        <f t="shared" si="240"/>
        <v>2.4220201105271233</v>
      </c>
      <c r="Y1685" s="3">
        <f t="shared" si="237"/>
        <v>54.008259487919076</v>
      </c>
      <c r="AA1685" s="3"/>
    </row>
    <row r="1686" spans="19:27" x14ac:dyDescent="0.25">
      <c r="S1686" s="4">
        <v>-2.3784112324332005</v>
      </c>
      <c r="T1686" s="4">
        <v>-0.40313383541433451</v>
      </c>
      <c r="U1686" s="4">
        <f t="shared" si="238"/>
        <v>-1.769493527951054</v>
      </c>
      <c r="W1686" s="4">
        <f t="shared" si="239"/>
        <v>-4.0160699211259061</v>
      </c>
      <c r="X1686" s="4">
        <f t="shared" si="240"/>
        <v>-3.0539979206840204</v>
      </c>
      <c r="Y1686" s="3">
        <f t="shared" si="237"/>
        <v>380.74327571065714</v>
      </c>
      <c r="AA1686" s="3"/>
    </row>
    <row r="1687" spans="19:27" x14ac:dyDescent="0.25">
      <c r="S1687" s="4">
        <v>0.68738162775492495</v>
      </c>
      <c r="T1687" s="4">
        <v>-1.2455813487837697</v>
      </c>
      <c r="U1687" s="4">
        <f t="shared" si="238"/>
        <v>-0.56831921708371813</v>
      </c>
      <c r="W1687" s="4">
        <f t="shared" si="239"/>
        <v>1.1971782146559706</v>
      </c>
      <c r="X1687" s="4">
        <f t="shared" si="240"/>
        <v>-0.93621257318923234</v>
      </c>
      <c r="Y1687" s="3">
        <f t="shared" si="237"/>
        <v>-281.78859292213428</v>
      </c>
      <c r="AA1687" s="3"/>
    </row>
    <row r="1688" spans="19:27" x14ac:dyDescent="0.25">
      <c r="S1688" s="4">
        <v>-1.1188769517258463</v>
      </c>
      <c r="T1688" s="4">
        <v>-0.8759172540227339</v>
      </c>
      <c r="U1688" s="4">
        <f t="shared" si="238"/>
        <v>-1.3764249705058047</v>
      </c>
      <c r="W1688" s="4">
        <f t="shared" si="239"/>
        <v>-1.8742863629085851</v>
      </c>
      <c r="X1688" s="4">
        <f t="shared" si="240"/>
        <v>-2.3609804094142501</v>
      </c>
      <c r="Y1688" s="3">
        <f t="shared" si="237"/>
        <v>73.430013077032527</v>
      </c>
      <c r="AA1688" s="3"/>
    </row>
    <row r="1689" spans="19:27" x14ac:dyDescent="0.25">
      <c r="S1689" s="4">
        <v>-0.93020832451465241</v>
      </c>
      <c r="T1689" s="4">
        <v>-0.18220663659516773</v>
      </c>
      <c r="U1689" s="4">
        <f t="shared" si="238"/>
        <v>-0.7115094959225563</v>
      </c>
      <c r="W1689" s="4">
        <f t="shared" si="239"/>
        <v>-1.5534635239419212</v>
      </c>
      <c r="X1689" s="4">
        <f t="shared" si="240"/>
        <v>-1.18867074823097</v>
      </c>
      <c r="Y1689" s="3">
        <f t="shared" si="237"/>
        <v>136.36701966474993</v>
      </c>
      <c r="AA1689" s="3"/>
    </row>
    <row r="1690" spans="19:27" x14ac:dyDescent="0.25">
      <c r="S1690" s="4">
        <v>-0.23830609162831934</v>
      </c>
      <c r="T1690" s="4">
        <v>0.72769206206917203</v>
      </c>
      <c r="U1690" s="4">
        <f t="shared" si="238"/>
        <v>0.43155897934087811</v>
      </c>
      <c r="W1690" s="4">
        <f t="shared" si="239"/>
        <v>-0.37691370788009676</v>
      </c>
      <c r="X1690" s="4">
        <f t="shared" si="240"/>
        <v>0.8266684462512478</v>
      </c>
      <c r="Y1690" s="3">
        <f t="shared" si="237"/>
        <v>143.43544860519614</v>
      </c>
      <c r="AA1690" s="3"/>
    </row>
    <row r="1691" spans="19:27" x14ac:dyDescent="0.25">
      <c r="S1691" s="4">
        <v>-0.98828511352018877</v>
      </c>
      <c r="T1691" s="4">
        <v>-0.93605858471489045</v>
      </c>
      <c r="U1691" s="4">
        <f t="shared" si="238"/>
        <v>-1.344486825037801</v>
      </c>
      <c r="W1691" s="4">
        <f t="shared" si="239"/>
        <v>-1.6522205913051518</v>
      </c>
      <c r="X1691" s="4">
        <f t="shared" si="240"/>
        <v>-2.3046704002121259</v>
      </c>
      <c r="Y1691" s="3">
        <f t="shared" si="237"/>
        <v>41.421850894636918</v>
      </c>
      <c r="AA1691" s="3"/>
    </row>
    <row r="1692" spans="19:27" x14ac:dyDescent="0.25">
      <c r="S1692" s="4">
        <v>1.3455135719140678</v>
      </c>
      <c r="T1692" s="4">
        <v>-1.2386075129447116</v>
      </c>
      <c r="U1692" s="4">
        <f t="shared" si="238"/>
        <v>-0.1615791957699636</v>
      </c>
      <c r="W1692" s="4">
        <f t="shared" si="239"/>
        <v>2.3163031156043075</v>
      </c>
      <c r="X1692" s="4">
        <f t="shared" si="240"/>
        <v>-0.21909096179213064</v>
      </c>
      <c r="Y1692" s="3">
        <f t="shared" si="237"/>
        <v>-379.40593459086767</v>
      </c>
      <c r="AA1692" s="3"/>
    </row>
    <row r="1693" spans="19:27" x14ac:dyDescent="0.25">
      <c r="S1693" s="4">
        <v>-0.76818368301193163</v>
      </c>
      <c r="T1693" s="4">
        <v>3.5376373736772354E-2</v>
      </c>
      <c r="U1693" s="4">
        <f t="shared" si="238"/>
        <v>-0.44025934364547004</v>
      </c>
      <c r="W1693" s="4">
        <f t="shared" si="239"/>
        <v>-1.2779476300817749</v>
      </c>
      <c r="X1693" s="4">
        <f t="shared" si="240"/>
        <v>-0.7104307519199029</v>
      </c>
      <c r="Y1693" s="3">
        <f t="shared" si="237"/>
        <v>137.99976803054051</v>
      </c>
      <c r="AA1693" s="3"/>
    </row>
    <row r="1694" spans="19:27" x14ac:dyDescent="0.25">
      <c r="S1694" s="4">
        <v>-3.8599322791665044E-2</v>
      </c>
      <c r="T1694" s="4">
        <v>0.83272604993357513</v>
      </c>
      <c r="U1694" s="4">
        <f t="shared" si="238"/>
        <v>0.63656428534933762</v>
      </c>
      <c r="W1694" s="4">
        <f t="shared" si="239"/>
        <v>-3.7320986577710991E-2</v>
      </c>
      <c r="X1694" s="4">
        <f t="shared" si="240"/>
        <v>1.1881124342681972</v>
      </c>
      <c r="Y1694" s="3">
        <f t="shared" si="237"/>
        <v>124.7955476367456</v>
      </c>
      <c r="AA1694" s="3"/>
    </row>
    <row r="1695" spans="19:27" x14ac:dyDescent="0.25">
      <c r="S1695" s="4">
        <v>0.45006549316784561</v>
      </c>
      <c r="T1695" s="4">
        <v>-1.5568981227091601</v>
      </c>
      <c r="U1695" s="4">
        <f t="shared" si="238"/>
        <v>-0.95977074974348264</v>
      </c>
      <c r="W1695" s="4">
        <f t="shared" si="239"/>
        <v>0.79363239383651218</v>
      </c>
      <c r="X1695" s="4">
        <f t="shared" si="240"/>
        <v>-1.6263791148984206</v>
      </c>
      <c r="Y1695" s="3">
        <f t="shared" si="237"/>
        <v>-288.19651816670103</v>
      </c>
      <c r="AA1695" s="3"/>
    </row>
    <row r="1696" spans="19:27" x14ac:dyDescent="0.25">
      <c r="S1696" s="4">
        <v>-0.3200313565421018</v>
      </c>
      <c r="T1696" s="4">
        <v>-0.26969643762217399</v>
      </c>
      <c r="U1696" s="4">
        <f t="shared" si="238"/>
        <v>-0.40888446908028825</v>
      </c>
      <c r="W1696" s="4">
        <f t="shared" si="239"/>
        <v>-0.51588398551715553</v>
      </c>
      <c r="X1696" s="4">
        <f t="shared" si="240"/>
        <v>-0.6551138432643635</v>
      </c>
      <c r="Y1696" s="3">
        <f t="shared" si="237"/>
        <v>17.849203292891161</v>
      </c>
      <c r="AA1696" s="3"/>
    </row>
    <row r="1697" spans="19:27" x14ac:dyDescent="0.25">
      <c r="S1697" s="4">
        <v>0.48046737457140287</v>
      </c>
      <c r="T1697" s="4">
        <v>0.47236054167286479</v>
      </c>
      <c r="U1697" s="4">
        <f t="shared" si="238"/>
        <v>0.66734006310238791</v>
      </c>
      <c r="W1697" s="4">
        <f t="shared" si="239"/>
        <v>0.84532947800991298</v>
      </c>
      <c r="X1697" s="4">
        <f t="shared" si="240"/>
        <v>1.2423730778679622</v>
      </c>
      <c r="Y1697" s="3">
        <f t="shared" si="237"/>
        <v>-9.3882059175348331</v>
      </c>
      <c r="AA1697" s="3"/>
    </row>
    <row r="1698" spans="19:27" x14ac:dyDescent="0.25">
      <c r="S1698" s="4">
        <v>2.0411427106634372</v>
      </c>
      <c r="T1698" s="4">
        <v>-1.7889955616547963</v>
      </c>
      <c r="U1698" s="4">
        <f t="shared" si="238"/>
        <v>-0.17379636554542421</v>
      </c>
      <c r="W1698" s="4">
        <f t="shared" si="239"/>
        <v>3.4991903738642054</v>
      </c>
      <c r="X1698" s="4">
        <f t="shared" si="240"/>
        <v>-0.24063100215450259</v>
      </c>
      <c r="Y1698" s="3">
        <f t="shared" si="237"/>
        <v>-553.77976923496544</v>
      </c>
      <c r="AA1698" s="3"/>
    </row>
    <row r="1699" spans="19:27" x14ac:dyDescent="0.25">
      <c r="S1699" s="4">
        <v>0.74136690750725287</v>
      </c>
      <c r="T1699" s="4">
        <v>-0.10788023582332533</v>
      </c>
      <c r="U1699" s="4">
        <f t="shared" si="238"/>
        <v>0.36643800614754135</v>
      </c>
      <c r="W1699" s="4">
        <f t="shared" si="239"/>
        <v>1.2889778475284983</v>
      </c>
      <c r="X1699" s="4">
        <f t="shared" si="240"/>
        <v>0.71185393382310014</v>
      </c>
      <c r="Y1699" s="3">
        <f t="shared" si="237"/>
        <v>-131.10892487835417</v>
      </c>
      <c r="AA1699" s="3"/>
    </row>
    <row r="1700" spans="19:27" x14ac:dyDescent="0.25">
      <c r="S1700" s="4">
        <v>-1.1369839122374665</v>
      </c>
      <c r="T1700" s="4">
        <v>-1.7396365544690258</v>
      </c>
      <c r="U1700" s="4">
        <f t="shared" si="238"/>
        <v>-2.0721267737015241</v>
      </c>
      <c r="W1700" s="4">
        <f t="shared" si="239"/>
        <v>-1.9050764659705668</v>
      </c>
      <c r="X1700" s="4">
        <f t="shared" si="240"/>
        <v>-3.5875693163729183</v>
      </c>
      <c r="Y1700" s="3">
        <f t="shared" si="237"/>
        <v>-43.989393835409828</v>
      </c>
      <c r="AA1700" s="3"/>
    </row>
    <row r="1701" spans="19:27" x14ac:dyDescent="0.25">
      <c r="S1701" s="4">
        <v>-2.0048846876492901</v>
      </c>
      <c r="T1701" s="4">
        <v>-1.4971511961040807</v>
      </c>
      <c r="U1701" s="4">
        <f t="shared" si="238"/>
        <v>-2.4090022425816295</v>
      </c>
      <c r="W1701" s="4">
        <f t="shared" si="239"/>
        <v>-3.3809041900855261</v>
      </c>
      <c r="X1701" s="4">
        <f t="shared" si="240"/>
        <v>-4.1815130308447799</v>
      </c>
      <c r="Y1701" s="3">
        <f t="shared" si="237"/>
        <v>153.71396920688403</v>
      </c>
      <c r="AA1701" s="3"/>
    </row>
    <row r="1702" spans="19:27" x14ac:dyDescent="0.25">
      <c r="S1702" s="4">
        <v>-0.76854666183555431</v>
      </c>
      <c r="T1702" s="4">
        <v>-0.94351643088975656</v>
      </c>
      <c r="U1702" s="4">
        <f t="shared" si="238"/>
        <v>-1.2164411372600681</v>
      </c>
      <c r="W1702" s="4">
        <f t="shared" si="239"/>
        <v>-1.2785648598692638</v>
      </c>
      <c r="X1702" s="4">
        <f t="shared" si="240"/>
        <v>-2.0789135896208566</v>
      </c>
      <c r="Y1702" s="3">
        <f t="shared" si="237"/>
        <v>1.2545169246645855</v>
      </c>
      <c r="AA1702" s="3"/>
    </row>
    <row r="1703" spans="19:27" x14ac:dyDescent="0.25">
      <c r="S1703" s="4">
        <v>3.3728434396195855E-2</v>
      </c>
      <c r="T1703" s="4">
        <v>-0.34993776789346931</v>
      </c>
      <c r="U1703" s="4">
        <f t="shared" si="238"/>
        <v>-0.25683126958294239</v>
      </c>
      <c r="W1703" s="4">
        <f t="shared" si="239"/>
        <v>8.5669235697698201E-2</v>
      </c>
      <c r="X1703" s="4">
        <f t="shared" si="240"/>
        <v>-0.38702949029259393</v>
      </c>
      <c r="Y1703" s="3">
        <f t="shared" si="237"/>
        <v>-52.412511333306156</v>
      </c>
      <c r="AA1703" s="3"/>
    </row>
    <row r="1704" spans="19:27" x14ac:dyDescent="0.25">
      <c r="S1704" s="4">
        <v>-0.58231871855928641</v>
      </c>
      <c r="T1704" s="4">
        <v>0.64935182946482994</v>
      </c>
      <c r="U1704" s="4">
        <f t="shared" si="238"/>
        <v>0.1597415292571851</v>
      </c>
      <c r="W1704" s="4">
        <f t="shared" si="239"/>
        <v>-0.9618922983525271</v>
      </c>
      <c r="X1704" s="4">
        <f t="shared" si="240"/>
        <v>0.34742824957656304</v>
      </c>
      <c r="Y1704" s="3">
        <f t="shared" si="237"/>
        <v>191.29090317087048</v>
      </c>
      <c r="AA1704" s="3"/>
    </row>
    <row r="1705" spans="19:27" x14ac:dyDescent="0.25">
      <c r="S1705" s="4">
        <v>0.56470084788529751</v>
      </c>
      <c r="T1705" s="4">
        <v>-1.672321615161368</v>
      </c>
      <c r="U1705" s="4">
        <f t="shared" si="238"/>
        <v>-0.98138176104553465</v>
      </c>
      <c r="W1705" s="4">
        <f t="shared" si="239"/>
        <v>0.9885648555289106</v>
      </c>
      <c r="X1705" s="4">
        <f t="shared" si="240"/>
        <v>-1.6644813975279771</v>
      </c>
      <c r="Y1705" s="3">
        <f t="shared" si="237"/>
        <v>-322.35322951129456</v>
      </c>
      <c r="AA1705" s="3"/>
    </row>
    <row r="1706" spans="19:27" x14ac:dyDescent="0.25">
      <c r="S1706" s="4">
        <v>-0.46595271096275703</v>
      </c>
      <c r="T1706" s="4">
        <v>0.68674308513917171</v>
      </c>
      <c r="U1706" s="4">
        <f t="shared" si="238"/>
        <v>0.26032059378049427</v>
      </c>
      <c r="W1706" s="4">
        <f t="shared" si="239"/>
        <v>-0.76401693630547707</v>
      </c>
      <c r="X1706" s="4">
        <f t="shared" si="240"/>
        <v>0.52475877286954942</v>
      </c>
      <c r="Y1706" s="3">
        <f t="shared" si="237"/>
        <v>176.42524317623702</v>
      </c>
      <c r="AA1706" s="3"/>
    </row>
    <row r="1707" spans="19:27" x14ac:dyDescent="0.25">
      <c r="S1707" s="4">
        <v>-8.1077110778280698E-2</v>
      </c>
      <c r="T1707" s="4">
        <v>-0.8506180781206929</v>
      </c>
      <c r="U1707" s="4">
        <f t="shared" si="238"/>
        <v>-0.72370457740316685</v>
      </c>
      <c r="W1707" s="4">
        <f t="shared" si="239"/>
        <v>-0.1095526275046108</v>
      </c>
      <c r="X1707" s="4">
        <f t="shared" si="240"/>
        <v>-1.2101718448141072</v>
      </c>
      <c r="Y1707" s="3">
        <f t="shared" si="237"/>
        <v>-103.43028640634157</v>
      </c>
      <c r="AA1707" s="3"/>
    </row>
    <row r="1708" spans="19:27" x14ac:dyDescent="0.25">
      <c r="S1708" s="4">
        <v>-0.83402182191619711</v>
      </c>
      <c r="T1708" s="4">
        <v>0.60777857100349919</v>
      </c>
      <c r="U1708" s="4">
        <f t="shared" si="238"/>
        <v>-2.6657088695495434E-2</v>
      </c>
      <c r="W1708" s="4">
        <f t="shared" si="239"/>
        <v>-1.3899025371999776</v>
      </c>
      <c r="X1708" s="4">
        <f t="shared" si="240"/>
        <v>1.8789634579522645E-2</v>
      </c>
      <c r="Y1708" s="3">
        <f t="shared" si="237"/>
        <v>229.64306382469385</v>
      </c>
      <c r="AA1708" s="3"/>
    </row>
    <row r="1709" spans="19:27" x14ac:dyDescent="0.25">
      <c r="S1709" s="4">
        <v>1.4206118291133285</v>
      </c>
      <c r="T1709" s="4">
        <v>0.63519516098707818</v>
      </c>
      <c r="U1709" s="4">
        <f t="shared" si="238"/>
        <v>1.3695508020936693</v>
      </c>
      <c r="W1709" s="4">
        <f t="shared" si="239"/>
        <v>2.4440044533001912</v>
      </c>
      <c r="X1709" s="4">
        <f t="shared" si="240"/>
        <v>2.4804378620002541</v>
      </c>
      <c r="Y1709" s="3">
        <f t="shared" si="237"/>
        <v>-128.3772336136426</v>
      </c>
      <c r="AA1709" s="3"/>
    </row>
    <row r="1710" spans="19:27" x14ac:dyDescent="0.25">
      <c r="S1710" s="4">
        <v>1.4201202086528175</v>
      </c>
      <c r="T1710" s="4">
        <v>-1.4998349395877166</v>
      </c>
      <c r="U1710" s="4">
        <f t="shared" si="238"/>
        <v>-0.3231702216297716</v>
      </c>
      <c r="W1710" s="4">
        <f t="shared" si="239"/>
        <v>2.4431684739740755</v>
      </c>
      <c r="X1710" s="4">
        <f t="shared" si="240"/>
        <v>-0.50399141608626907</v>
      </c>
      <c r="Y1710" s="3">
        <f t="shared" si="237"/>
        <v>-426.69653974736457</v>
      </c>
      <c r="AA1710" s="3"/>
    </row>
    <row r="1711" spans="19:27" x14ac:dyDescent="0.25">
      <c r="S1711" s="4">
        <v>0.70830611064013227</v>
      </c>
      <c r="T1711" s="4">
        <v>-1.000369787632035</v>
      </c>
      <c r="U1711" s="4">
        <f t="shared" si="238"/>
        <v>-0.36118593797617132</v>
      </c>
      <c r="W1711" s="4">
        <f t="shared" si="239"/>
        <v>1.2327593926311888</v>
      </c>
      <c r="X1711" s="4">
        <f t="shared" si="240"/>
        <v>-0.57101676480088648</v>
      </c>
      <c r="Y1711" s="3">
        <f t="shared" si="237"/>
        <v>-250.74963909970211</v>
      </c>
      <c r="AA1711" s="3"/>
    </row>
    <row r="1712" spans="19:27" x14ac:dyDescent="0.25">
      <c r="S1712" s="4">
        <v>1.2503259744328865</v>
      </c>
      <c r="T1712" s="4">
        <v>1.1829122622416732</v>
      </c>
      <c r="U1712" s="4">
        <f t="shared" si="238"/>
        <v>1.699911720488807</v>
      </c>
      <c r="W1712" s="4">
        <f t="shared" si="239"/>
        <v>2.1544407238027055</v>
      </c>
      <c r="X1712" s="4">
        <f t="shared" si="240"/>
        <v>3.0628958000633459</v>
      </c>
      <c r="Y1712" s="3">
        <f t="shared" si="237"/>
        <v>-27.104331941650344</v>
      </c>
      <c r="AA1712" s="3"/>
    </row>
    <row r="1713" spans="19:27" x14ac:dyDescent="0.25">
      <c r="S1713" s="4">
        <v>-0.8105132813712228</v>
      </c>
      <c r="T1713" s="4">
        <v>1.9101546580549609</v>
      </c>
      <c r="U1713" s="4">
        <f t="shared" si="238"/>
        <v>1.020057372003488</v>
      </c>
      <c r="W1713" s="4">
        <f t="shared" si="239"/>
        <v>-1.3499272809579366</v>
      </c>
      <c r="X1713" s="4">
        <f t="shared" si="240"/>
        <v>1.8642474734826742</v>
      </c>
      <c r="Y1713" s="3">
        <f t="shared" si="237"/>
        <v>407.49653229193336</v>
      </c>
      <c r="AA1713" s="3"/>
    </row>
    <row r="1714" spans="19:27" x14ac:dyDescent="0.25">
      <c r="S1714" s="4">
        <v>0.6735820903709604</v>
      </c>
      <c r="T1714" s="4">
        <v>0.51026391156624185</v>
      </c>
      <c r="U1714" s="4">
        <f t="shared" si="238"/>
        <v>0.81511280140638853</v>
      </c>
      <c r="W1714" s="4">
        <f t="shared" si="239"/>
        <v>1.1737126982879824</v>
      </c>
      <c r="X1714" s="4">
        <f t="shared" si="240"/>
        <v>1.5029105678126322</v>
      </c>
      <c r="Y1714" s="3">
        <f t="shared" si="237"/>
        <v>-34.258336993282683</v>
      </c>
      <c r="AA1714" s="3"/>
    </row>
    <row r="1715" spans="19:27" x14ac:dyDescent="0.25">
      <c r="S1715" s="4">
        <v>-1.4264710832913254</v>
      </c>
      <c r="T1715" s="4">
        <v>-0.41750260739183093</v>
      </c>
      <c r="U1715" s="4">
        <f t="shared" si="238"/>
        <v>-1.2005595843538313</v>
      </c>
      <c r="W1715" s="4">
        <f t="shared" si="239"/>
        <v>-2.3973368774377302</v>
      </c>
      <c r="X1715" s="4">
        <f t="shared" si="240"/>
        <v>-2.050912890857989</v>
      </c>
      <c r="Y1715" s="3">
        <f t="shared" si="237"/>
        <v>194.1300653048911</v>
      </c>
      <c r="AA1715" s="3"/>
    </row>
    <row r="1716" spans="19:27" x14ac:dyDescent="0.25">
      <c r="S1716" s="4">
        <v>-0.34304008681367615</v>
      </c>
      <c r="T1716" s="4">
        <v>0.22428481343441964</v>
      </c>
      <c r="U1716" s="4">
        <f t="shared" si="238"/>
        <v>-3.1336109202822399E-2</v>
      </c>
      <c r="W1716" s="4">
        <f t="shared" si="239"/>
        <v>-0.55500933601054558</v>
      </c>
      <c r="X1716" s="4">
        <f t="shared" si="240"/>
        <v>1.0540073311525219E-2</v>
      </c>
      <c r="Y1716" s="3">
        <f t="shared" si="237"/>
        <v>90.793241964412118</v>
      </c>
      <c r="AA1716" s="3"/>
    </row>
    <row r="1717" spans="19:27" x14ac:dyDescent="0.25">
      <c r="S1717" s="4">
        <v>-0.32711582215774526</v>
      </c>
      <c r="T1717" s="4">
        <v>-1.642879577453964</v>
      </c>
      <c r="U1717" s="4">
        <f t="shared" si="238"/>
        <v>-1.501714632874414</v>
      </c>
      <c r="W1717" s="4">
        <f t="shared" si="239"/>
        <v>-0.52793081283004117</v>
      </c>
      <c r="X1717" s="4">
        <f t="shared" si="240"/>
        <v>-2.5818780832624508</v>
      </c>
      <c r="Y1717" s="3">
        <f t="shared" si="237"/>
        <v>-172.86406441595091</v>
      </c>
      <c r="AA1717" s="3"/>
    </row>
    <row r="1718" spans="19:27" x14ac:dyDescent="0.25">
      <c r="S1718" s="4">
        <v>1.1321704686050187</v>
      </c>
      <c r="T1718" s="4">
        <v>0.54882775717877441</v>
      </c>
      <c r="U1718" s="4">
        <f t="shared" si="238"/>
        <v>1.1252477613711234</v>
      </c>
      <c r="W1718" s="4">
        <f t="shared" si="239"/>
        <v>1.9535223974250717</v>
      </c>
      <c r="X1718" s="4">
        <f t="shared" si="240"/>
        <v>2.0497082041065191</v>
      </c>
      <c r="Y1718" s="3">
        <f t="shared" si="237"/>
        <v>-98.32279853116188</v>
      </c>
      <c r="AA1718" s="3"/>
    </row>
    <row r="1719" spans="19:27" x14ac:dyDescent="0.25">
      <c r="S1719" s="4">
        <v>-0.33432828285544208</v>
      </c>
      <c r="T1719" s="4">
        <v>3.8341728286956173E-2</v>
      </c>
      <c r="U1719" s="4">
        <f t="shared" si="238"/>
        <v>-0.17342079870681865</v>
      </c>
      <c r="W1719" s="4">
        <f t="shared" si="239"/>
        <v>-0.54019529024302626</v>
      </c>
      <c r="X1719" s="4">
        <f t="shared" si="240"/>
        <v>-0.23996884184970094</v>
      </c>
      <c r="Y1719" s="3">
        <f t="shared" si="237"/>
        <v>63.326261809774678</v>
      </c>
      <c r="AA1719" s="3"/>
    </row>
    <row r="1720" spans="19:27" x14ac:dyDescent="0.25">
      <c r="S1720" s="4">
        <v>0.19113672755538866</v>
      </c>
      <c r="T1720" s="4">
        <v>0.73640543840244799</v>
      </c>
      <c r="U1720" s="4">
        <f t="shared" si="238"/>
        <v>0.70026392745781185</v>
      </c>
      <c r="W1720" s="4">
        <f t="shared" si="239"/>
        <v>0.35333522889803926</v>
      </c>
      <c r="X1720" s="4">
        <f t="shared" si="240"/>
        <v>1.3004210038717041</v>
      </c>
      <c r="Y1720" s="3">
        <f t="shared" si="237"/>
        <v>73.742141360786263</v>
      </c>
      <c r="AA1720" s="3"/>
    </row>
    <row r="1721" spans="19:27" x14ac:dyDescent="0.25">
      <c r="S1721" s="4">
        <v>1.5226844877715564</v>
      </c>
      <c r="T1721" s="4">
        <v>-0.11923659102925113</v>
      </c>
      <c r="U1721" s="4">
        <f t="shared" si="238"/>
        <v>0.83374454358383132</v>
      </c>
      <c r="W1721" s="4">
        <f t="shared" si="239"/>
        <v>2.6175745937928707</v>
      </c>
      <c r="X1721" s="4">
        <f t="shared" si="240"/>
        <v>1.535760113648488</v>
      </c>
      <c r="Y1721" s="3">
        <f t="shared" si="237"/>
        <v>-248.437054066982</v>
      </c>
      <c r="AA1721" s="3"/>
    </row>
    <row r="1722" spans="19:27" x14ac:dyDescent="0.25">
      <c r="S1722" s="4">
        <v>-0.7416884448014478</v>
      </c>
      <c r="T1722" s="4">
        <v>0.53938270197565785</v>
      </c>
      <c r="U1722" s="4">
        <f t="shared" si="238"/>
        <v>-2.458546138440626E-2</v>
      </c>
      <c r="W1722" s="4">
        <f t="shared" si="239"/>
        <v>-1.2328936236609283</v>
      </c>
      <c r="X1722" s="4">
        <f t="shared" si="240"/>
        <v>2.2442111930396691E-2</v>
      </c>
      <c r="Y1722" s="3">
        <f t="shared" si="237"/>
        <v>203.77172530354619</v>
      </c>
      <c r="AA1722" s="3"/>
    </row>
    <row r="1723" spans="19:27" x14ac:dyDescent="0.25">
      <c r="S1723" s="4">
        <v>0.21589370450832909</v>
      </c>
      <c r="T1723" s="4">
        <v>-0.67476868553995617</v>
      </c>
      <c r="U1723" s="4">
        <f t="shared" si="238"/>
        <v>-0.40327013240106324</v>
      </c>
      <c r="W1723" s="4">
        <f t="shared" si="239"/>
        <v>0.39543339724578336</v>
      </c>
      <c r="X1723" s="4">
        <f t="shared" si="240"/>
        <v>-0.64521523000932324</v>
      </c>
      <c r="Y1723" s="3">
        <f t="shared" si="237"/>
        <v>-127.48648561066102</v>
      </c>
      <c r="AA1723" s="3"/>
    </row>
    <row r="1724" spans="19:27" x14ac:dyDescent="0.25">
      <c r="S1724" s="4">
        <v>1.5050968066067902</v>
      </c>
      <c r="T1724" s="4">
        <v>-0.45941391701577489</v>
      </c>
      <c r="U1724" s="4">
        <f t="shared" si="238"/>
        <v>0.5533668493982502</v>
      </c>
      <c r="W1724" s="4">
        <f t="shared" si="239"/>
        <v>2.5876675027967373</v>
      </c>
      <c r="X1724" s="4">
        <f t="shared" si="240"/>
        <v>1.0414273868006703</v>
      </c>
      <c r="Y1724" s="3">
        <f t="shared" si="237"/>
        <v>-293.47129674491498</v>
      </c>
      <c r="AA1724" s="3"/>
    </row>
    <row r="1725" spans="19:27" x14ac:dyDescent="0.25">
      <c r="S1725" s="4">
        <v>0.35139306009675836</v>
      </c>
      <c r="T1725" s="4">
        <v>2.061767207485016</v>
      </c>
      <c r="U1725" s="4">
        <f t="shared" si="238"/>
        <v>1.8485634599504028</v>
      </c>
      <c r="W1725" s="4">
        <f t="shared" si="239"/>
        <v>0.62584418986459012</v>
      </c>
      <c r="X1725" s="4">
        <f t="shared" si="240"/>
        <v>3.3249830532315081</v>
      </c>
      <c r="Y1725" s="3">
        <f t="shared" si="237"/>
        <v>233.21569140526663</v>
      </c>
      <c r="AA1725" s="3"/>
    </row>
    <row r="1726" spans="19:27" x14ac:dyDescent="0.25">
      <c r="S1726" s="4">
        <v>0.38032781269024596</v>
      </c>
      <c r="T1726" s="4">
        <v>0.4220076556126795</v>
      </c>
      <c r="U1726" s="4">
        <f t="shared" si="238"/>
        <v>0.56637842096993962</v>
      </c>
      <c r="W1726" s="4">
        <f t="shared" si="239"/>
        <v>0.67504648496291353</v>
      </c>
      <c r="X1726" s="4">
        <f t="shared" si="240"/>
        <v>1.0643680336102963</v>
      </c>
      <c r="Y1726" s="3">
        <f t="shared" si="237"/>
        <v>-0.56590547647192579</v>
      </c>
      <c r="AA1726" s="3"/>
    </row>
    <row r="1727" spans="19:27" x14ac:dyDescent="0.25">
      <c r="S1727" s="4">
        <v>-0.62129392508871195</v>
      </c>
      <c r="T1727" s="4">
        <v>-0.52242103651141192</v>
      </c>
      <c r="U1727" s="4">
        <f t="shared" si="238"/>
        <v>-0.79287362512175164</v>
      </c>
      <c r="W1727" s="4">
        <f t="shared" si="239"/>
        <v>-1.0281679510294575</v>
      </c>
      <c r="X1727" s="4">
        <f t="shared" si="240"/>
        <v>-1.3321235003176399</v>
      </c>
      <c r="Y1727" s="3">
        <f t="shared" si="237"/>
        <v>34.300147987607488</v>
      </c>
      <c r="AA1727" s="3"/>
    </row>
    <row r="1728" spans="19:27" x14ac:dyDescent="0.25">
      <c r="S1728" s="4">
        <v>0.9110940994632325</v>
      </c>
      <c r="T1728" s="4">
        <v>0.11858121166603762</v>
      </c>
      <c r="U1728" s="4">
        <f t="shared" si="238"/>
        <v>0.64942167131445627</v>
      </c>
      <c r="W1728" s="4">
        <f t="shared" si="239"/>
        <v>1.5775915952301967</v>
      </c>
      <c r="X1728" s="4">
        <f t="shared" si="240"/>
        <v>1.2107812370869586</v>
      </c>
      <c r="Y1728" s="3">
        <f t="shared" si="237"/>
        <v>-125.35338542520867</v>
      </c>
      <c r="AA1728" s="3"/>
    </row>
    <row r="1729" spans="19:27" x14ac:dyDescent="0.25">
      <c r="S1729" s="4">
        <v>9.6197004774148928E-2</v>
      </c>
      <c r="T1729" s="4">
        <v>0.84501005675694196</v>
      </c>
      <c r="U1729" s="4">
        <f t="shared" si="238"/>
        <v>0.72847656835881436</v>
      </c>
      <c r="W1729" s="4">
        <f t="shared" si="239"/>
        <v>0.19189433730088973</v>
      </c>
      <c r="X1729" s="4">
        <f t="shared" si="240"/>
        <v>1.3501625917276188</v>
      </c>
      <c r="Y1729" s="3">
        <f t="shared" si="237"/>
        <v>104.36021989542951</v>
      </c>
      <c r="AA1729" s="3"/>
    </row>
    <row r="1730" spans="19:27" x14ac:dyDescent="0.25">
      <c r="S1730" s="4">
        <v>-0.2799799289120502</v>
      </c>
      <c r="T1730" s="4">
        <v>1.2195699923657233</v>
      </c>
      <c r="U1730" s="4">
        <f t="shared" si="238"/>
        <v>0.79606138795084991</v>
      </c>
      <c r="W1730" s="4">
        <f t="shared" si="239"/>
        <v>-0.44777826541480109</v>
      </c>
      <c r="X1730" s="4">
        <f t="shared" si="240"/>
        <v>1.4693211013212355</v>
      </c>
      <c r="Y1730" s="3">
        <f t="shared" ref="Y1730:Y1793" si="241">(B$4*EXP(-B$8*B$7)*NORMSDIST((LN(B$4/(B$5+W1730))-B$8*B$7+B$9*B$7+0.5*B$6*B$6*B$7)/(B$6*SQRT(B$7)))-(B$5+W1730)*EXP(-B$9*B$7)*NORMSDIST((LN(B$4/(B$5+W1730))-B$8*B$7+B$9*B$7-0.5*B$6*B$6*B$7)/(B$6*SQRT(B$7))))*400+100*X1730-400*$B$13</f>
        <v>219.20838604201253</v>
      </c>
      <c r="AA1730" s="3"/>
    </row>
    <row r="1731" spans="19:27" x14ac:dyDescent="0.25">
      <c r="S1731" s="4">
        <v>0.73939553505504696</v>
      </c>
      <c r="T1731" s="4">
        <v>-0.22663517971636948</v>
      </c>
      <c r="U1731" s="4">
        <f t="shared" ref="U1731:U1794" si="242">$B$19*S1731+SQRT(1-$B$19^2)*T1731</f>
        <v>0.27110011728205119</v>
      </c>
      <c r="W1731" s="4">
        <f t="shared" ref="W1731:W1794" si="243">S1731*SQRT($B$16)+$B$20</f>
        <v>1.2856256139530169</v>
      </c>
      <c r="X1731" s="4">
        <f t="shared" ref="X1731:X1794" si="244">U1731*SQRT($C$17)+$C$20</f>
        <v>0.54376410516648221</v>
      </c>
      <c r="Y1731" s="3">
        <f t="shared" si="241"/>
        <v>-147.40278517504839</v>
      </c>
      <c r="AA1731" s="3"/>
    </row>
    <row r="1732" spans="19:27" x14ac:dyDescent="0.25">
      <c r="S1732" s="4">
        <v>0.96240057178209193</v>
      </c>
      <c r="T1732" s="4">
        <v>-0.2127603659266831</v>
      </c>
      <c r="U1732" s="4">
        <f t="shared" si="242"/>
        <v>0.41804741748185936</v>
      </c>
      <c r="W1732" s="4">
        <f t="shared" si="243"/>
        <v>1.6648360319444975</v>
      </c>
      <c r="X1732" s="4">
        <f t="shared" si="244"/>
        <v>0.80284626868058573</v>
      </c>
      <c r="Y1732" s="3">
        <f t="shared" si="241"/>
        <v>-179.40640417902432</v>
      </c>
      <c r="AA1732" s="3"/>
    </row>
    <row r="1733" spans="19:27" x14ac:dyDescent="0.25">
      <c r="S1733" s="4">
        <v>-0.30935086963689723</v>
      </c>
      <c r="T1733" s="4">
        <v>0.15681465856304222</v>
      </c>
      <c r="U1733" s="4">
        <f t="shared" si="242"/>
        <v>-6.428146402615903E-2</v>
      </c>
      <c r="W1733" s="4">
        <f t="shared" si="243"/>
        <v>-0.49772227956146231</v>
      </c>
      <c r="X1733" s="4">
        <f t="shared" si="244"/>
        <v>-4.7545742445306224E-2</v>
      </c>
      <c r="Y1733" s="3">
        <f t="shared" si="241"/>
        <v>75.64780396464721</v>
      </c>
      <c r="AA1733" s="3"/>
    </row>
    <row r="1734" spans="19:27" x14ac:dyDescent="0.25">
      <c r="S1734" s="4">
        <v>6.6898429681745308E-2</v>
      </c>
      <c r="T1734" s="4">
        <v>-0.61694855188556574</v>
      </c>
      <c r="U1734" s="4">
        <f t="shared" si="242"/>
        <v>-0.44826741781418367</v>
      </c>
      <c r="W1734" s="4">
        <f t="shared" si="243"/>
        <v>0.14207337778173751</v>
      </c>
      <c r="X1734" s="4">
        <f t="shared" si="244"/>
        <v>-0.7245497536190878</v>
      </c>
      <c r="Y1734" s="3">
        <f t="shared" si="241"/>
        <v>-95.170144158917992</v>
      </c>
      <c r="AA1734" s="3"/>
    </row>
    <row r="1735" spans="19:27" x14ac:dyDescent="0.25">
      <c r="S1735" s="4">
        <v>5.2265648145912669E-2</v>
      </c>
      <c r="T1735" s="4">
        <v>0.30044426555206449</v>
      </c>
      <c r="U1735" s="4">
        <f t="shared" si="242"/>
        <v>0.27002207669255052</v>
      </c>
      <c r="W1735" s="4">
        <f t="shared" si="243"/>
        <v>0.11719096577876158</v>
      </c>
      <c r="X1735" s="4">
        <f t="shared" si="244"/>
        <v>0.54186341636237301</v>
      </c>
      <c r="Y1735" s="3">
        <f t="shared" si="241"/>
        <v>35.441928221855505</v>
      </c>
      <c r="AA1735" s="3"/>
    </row>
    <row r="1736" spans="19:27" x14ac:dyDescent="0.25">
      <c r="S1736" s="4">
        <v>5.4799150374153019E-2</v>
      </c>
      <c r="T1736" s="4">
        <v>-1.1183937256388699</v>
      </c>
      <c r="U1736" s="4">
        <f t="shared" si="242"/>
        <v>-0.85313499560753092</v>
      </c>
      <c r="W1736" s="4">
        <f t="shared" si="243"/>
        <v>0.12149907672124802</v>
      </c>
      <c r="X1736" s="4">
        <f t="shared" si="244"/>
        <v>-1.4383700677642803</v>
      </c>
      <c r="Y1736" s="3">
        <f t="shared" si="241"/>
        <v>-163.26914069080658</v>
      </c>
      <c r="AA1736" s="3"/>
    </row>
    <row r="1737" spans="19:27" x14ac:dyDescent="0.25">
      <c r="S1737" s="4">
        <v>1.1444992879794984</v>
      </c>
      <c r="T1737" s="4">
        <v>1.0734475693665415</v>
      </c>
      <c r="U1737" s="4">
        <f t="shared" si="242"/>
        <v>1.5486256228395225</v>
      </c>
      <c r="W1737" s="4">
        <f t="shared" si="243"/>
        <v>1.9744870214396419</v>
      </c>
      <c r="X1737" s="4">
        <f t="shared" si="244"/>
        <v>2.7961639211156735</v>
      </c>
      <c r="Y1737" s="3">
        <f t="shared" si="241"/>
        <v>-26.827428558009615</v>
      </c>
      <c r="AA1737" s="3"/>
    </row>
    <row r="1738" spans="19:27" x14ac:dyDescent="0.25">
      <c r="S1738" s="4">
        <v>-1.1683957599821879</v>
      </c>
      <c r="T1738" s="4">
        <v>0.36140594993267</v>
      </c>
      <c r="U1738" s="4">
        <f t="shared" si="242"/>
        <v>-0.4257965122508543</v>
      </c>
      <c r="W1738" s="4">
        <f t="shared" si="243"/>
        <v>-1.9584909542170377</v>
      </c>
      <c r="X1738" s="4">
        <f t="shared" si="244"/>
        <v>-0.68493139505413014</v>
      </c>
      <c r="Y1738" s="3">
        <f t="shared" si="241"/>
        <v>255.37579873879895</v>
      </c>
      <c r="AA1738" s="3"/>
    </row>
    <row r="1739" spans="19:27" x14ac:dyDescent="0.25">
      <c r="S1739" s="4">
        <v>-0.49558207863056747</v>
      </c>
      <c r="T1739" s="4">
        <v>-2.5002613595229271</v>
      </c>
      <c r="U1739" s="4">
        <f t="shared" si="242"/>
        <v>-2.2840551174450283</v>
      </c>
      <c r="W1739" s="4">
        <f t="shared" si="243"/>
        <v>-0.81440039428937039</v>
      </c>
      <c r="X1739" s="4">
        <f t="shared" si="244"/>
        <v>-3.961219282941677</v>
      </c>
      <c r="Y1739" s="3">
        <f t="shared" si="241"/>
        <v>-263.89167975197051</v>
      </c>
      <c r="AA1739" s="3"/>
    </row>
    <row r="1740" spans="19:27" x14ac:dyDescent="0.25">
      <c r="S1740" s="4">
        <v>-1.7965202239623699</v>
      </c>
      <c r="T1740" s="4">
        <v>0.56487999866133476</v>
      </c>
      <c r="U1740" s="4">
        <f t="shared" si="242"/>
        <v>-0.64742294562543601</v>
      </c>
      <c r="W1740" s="4">
        <f t="shared" si="243"/>
        <v>-3.0265894332130179</v>
      </c>
      <c r="X1740" s="4">
        <f t="shared" si="244"/>
        <v>-1.0756800224363696</v>
      </c>
      <c r="Y1740" s="3">
        <f t="shared" si="241"/>
        <v>401.50296276390145</v>
      </c>
      <c r="AA1740" s="3"/>
    </row>
    <row r="1741" spans="19:27" x14ac:dyDescent="0.25">
      <c r="S1741" s="4">
        <v>0.77343743528881304</v>
      </c>
      <c r="T1741" s="4">
        <v>-0.518899426257035</v>
      </c>
      <c r="U1741" s="4">
        <f t="shared" si="242"/>
        <v>6.0177283548213611E-2</v>
      </c>
      <c r="W1741" s="4">
        <f t="shared" si="243"/>
        <v>1.3435123926838093</v>
      </c>
      <c r="X1741" s="4">
        <f t="shared" si="244"/>
        <v>0.17188694904327298</v>
      </c>
      <c r="Y1741" s="3">
        <f t="shared" si="241"/>
        <v>-193.4777178985637</v>
      </c>
      <c r="AA1741" s="3"/>
    </row>
    <row r="1742" spans="19:27" x14ac:dyDescent="0.25">
      <c r="S1742" s="4">
        <v>0.19788741584019282</v>
      </c>
      <c r="T1742" s="4">
        <v>0.97663352682228366</v>
      </c>
      <c r="U1742" s="4">
        <f t="shared" si="242"/>
        <v>0.89480618607214835</v>
      </c>
      <c r="W1742" s="4">
        <f t="shared" si="243"/>
        <v>0.36481448229868824</v>
      </c>
      <c r="X1742" s="4">
        <f t="shared" si="244"/>
        <v>1.6434176372782996</v>
      </c>
      <c r="Y1742" s="3">
        <f t="shared" si="241"/>
        <v>106.22350027367065</v>
      </c>
      <c r="AA1742" s="3"/>
    </row>
    <row r="1743" spans="19:27" x14ac:dyDescent="0.25">
      <c r="S1743" s="4">
        <v>-0.48360027087424223</v>
      </c>
      <c r="T1743" s="4">
        <v>-0.42082621259247682</v>
      </c>
      <c r="U1743" s="4">
        <f t="shared" si="242"/>
        <v>-0.62839909522588355</v>
      </c>
      <c r="W1743" s="4">
        <f t="shared" si="243"/>
        <v>-0.79402584852011493</v>
      </c>
      <c r="X1743" s="4">
        <f t="shared" si="244"/>
        <v>-1.0421391522524128</v>
      </c>
      <c r="Y1743" s="3">
        <f t="shared" si="241"/>
        <v>24.666029807258838</v>
      </c>
      <c r="AA1743" s="3"/>
    </row>
    <row r="1744" spans="19:27" x14ac:dyDescent="0.25">
      <c r="S1744" s="4">
        <v>0.99320494023895034</v>
      </c>
      <c r="T1744" s="4">
        <v>1.3383655003574009</v>
      </c>
      <c r="U1744" s="4">
        <f t="shared" si="242"/>
        <v>1.6663915423700906</v>
      </c>
      <c r="W1744" s="4">
        <f t="shared" si="243"/>
        <v>1.717217527940871</v>
      </c>
      <c r="X1744" s="4">
        <f t="shared" si="244"/>
        <v>3.0037965157854676</v>
      </c>
      <c r="Y1744" s="3">
        <f t="shared" si="241"/>
        <v>32.745992838345956</v>
      </c>
      <c r="AA1744" s="3"/>
    </row>
    <row r="1745" spans="19:27" x14ac:dyDescent="0.25">
      <c r="S1745" s="4">
        <v>0.50532705201518968</v>
      </c>
      <c r="T1745" s="4">
        <v>0.49685507939617624</v>
      </c>
      <c r="U1745" s="4">
        <f t="shared" si="242"/>
        <v>0.70191170169848149</v>
      </c>
      <c r="W1745" s="4">
        <f t="shared" si="243"/>
        <v>0.88760228409962627</v>
      </c>
      <c r="X1745" s="4">
        <f t="shared" si="244"/>
        <v>1.3033261876666771</v>
      </c>
      <c r="Y1745" s="3">
        <f t="shared" si="241"/>
        <v>-9.8790945071068563</v>
      </c>
      <c r="AA1745" s="3"/>
    </row>
    <row r="1746" spans="19:27" x14ac:dyDescent="0.25">
      <c r="S1746" s="4">
        <v>1.0660997262419774</v>
      </c>
      <c r="T1746" s="4">
        <v>0.21568175455471555</v>
      </c>
      <c r="U1746" s="4">
        <f t="shared" si="242"/>
        <v>0.82088738524413984</v>
      </c>
      <c r="W1746" s="4">
        <f t="shared" si="243"/>
        <v>1.8411719581874013</v>
      </c>
      <c r="X1746" s="4">
        <f t="shared" si="244"/>
        <v>1.5130917121551544</v>
      </c>
      <c r="Y1746" s="3">
        <f t="shared" si="241"/>
        <v>-135.06490745216161</v>
      </c>
      <c r="AA1746" s="3"/>
    </row>
    <row r="1747" spans="19:27" x14ac:dyDescent="0.25">
      <c r="S1747" s="4">
        <v>-0.43831487863111268</v>
      </c>
      <c r="T1747" s="4">
        <v>2.7184318650768651</v>
      </c>
      <c r="U1747" s="4">
        <f t="shared" si="242"/>
        <v>1.8876727138471492</v>
      </c>
      <c r="W1747" s="4">
        <f t="shared" si="243"/>
        <v>-0.71701999800901439</v>
      </c>
      <c r="X1747" s="4">
        <f t="shared" si="244"/>
        <v>3.3939364133763625</v>
      </c>
      <c r="Y1747" s="3">
        <f t="shared" si="241"/>
        <v>455.6307008308122</v>
      </c>
      <c r="AA1747" s="3"/>
    </row>
    <row r="1748" spans="19:27" x14ac:dyDescent="0.25">
      <c r="S1748" s="4">
        <v>1.0288428666305995</v>
      </c>
      <c r="T1748" s="4">
        <v>-1.055455745009066</v>
      </c>
      <c r="U1748" s="4">
        <f t="shared" si="242"/>
        <v>-0.209445778523765</v>
      </c>
      <c r="W1748" s="4">
        <f t="shared" si="243"/>
        <v>1.7778182801107345</v>
      </c>
      <c r="X1748" s="4">
        <f t="shared" si="244"/>
        <v>-0.30348433140844377</v>
      </c>
      <c r="Y1748" s="3">
        <f t="shared" si="241"/>
        <v>-307.15382344743057</v>
      </c>
      <c r="AA1748" s="3"/>
    </row>
    <row r="1749" spans="19:27" x14ac:dyDescent="0.25">
      <c r="S1749" s="4">
        <v>-0.3782280521311574</v>
      </c>
      <c r="T1749" s="4">
        <v>0.70752170623037647</v>
      </c>
      <c r="U1749" s="4">
        <f t="shared" si="242"/>
        <v>0.33027055020751817</v>
      </c>
      <c r="W1749" s="4">
        <f t="shared" si="243"/>
        <v>-0.61484494883862806</v>
      </c>
      <c r="X1749" s="4">
        <f t="shared" si="244"/>
        <v>0.64808724521431926</v>
      </c>
      <c r="Y1749" s="3">
        <f t="shared" si="241"/>
        <v>164.31846971644518</v>
      </c>
      <c r="AA1749" s="3"/>
    </row>
    <row r="1750" spans="19:27" x14ac:dyDescent="0.25">
      <c r="S1750" s="4">
        <v>-9.0528039403396085E-2</v>
      </c>
      <c r="T1750" s="4">
        <v>2.2942043055703683</v>
      </c>
      <c r="U1750" s="4">
        <f t="shared" si="242"/>
        <v>1.7634095301741832</v>
      </c>
      <c r="W1750" s="4">
        <f t="shared" si="243"/>
        <v>-0.12562352279440775</v>
      </c>
      <c r="X1750" s="4">
        <f t="shared" si="244"/>
        <v>3.1748485197752765</v>
      </c>
      <c r="Y1750" s="3">
        <f t="shared" si="241"/>
        <v>337.65689793178444</v>
      </c>
      <c r="AA1750" s="3"/>
    </row>
    <row r="1751" spans="19:27" x14ac:dyDescent="0.25">
      <c r="S1751" s="4">
        <v>-0.11177427195518515</v>
      </c>
      <c r="T1751" s="4">
        <v>-1.482813126912953</v>
      </c>
      <c r="U1751" s="4">
        <f t="shared" si="242"/>
        <v>-1.2435542213580055</v>
      </c>
      <c r="W1751" s="4">
        <f t="shared" si="243"/>
        <v>-0.16175182215909667</v>
      </c>
      <c r="X1751" s="4">
        <f t="shared" si="244"/>
        <v>-2.126716553527523</v>
      </c>
      <c r="Y1751" s="3">
        <f t="shared" si="241"/>
        <v>-186.68316172952382</v>
      </c>
      <c r="AA1751" s="3"/>
    </row>
    <row r="1752" spans="19:27" x14ac:dyDescent="0.25">
      <c r="S1752" s="4">
        <v>0.49546090235657181</v>
      </c>
      <c r="T1752" s="4">
        <v>-0.46259165725836926</v>
      </c>
      <c r="U1752" s="4">
        <f t="shared" si="242"/>
        <v>-6.4648694009331376E-2</v>
      </c>
      <c r="W1752" s="4">
        <f t="shared" si="243"/>
        <v>0.87082532340438268</v>
      </c>
      <c r="X1752" s="4">
        <f t="shared" si="244"/>
        <v>-4.8193204075551707E-2</v>
      </c>
      <c r="Y1752" s="3">
        <f t="shared" si="241"/>
        <v>-142.41823483042754</v>
      </c>
      <c r="AA1752" s="3"/>
    </row>
    <row r="1753" spans="19:27" x14ac:dyDescent="0.25">
      <c r="S1753" s="4">
        <v>0.21342711683997473</v>
      </c>
      <c r="T1753" s="4">
        <v>-1.9238486695683352</v>
      </c>
      <c r="U1753" s="4">
        <f t="shared" si="242"/>
        <v>-1.3949095536345077</v>
      </c>
      <c r="W1753" s="4">
        <f t="shared" si="243"/>
        <v>0.39123907161772969</v>
      </c>
      <c r="X1753" s="4">
        <f t="shared" si="244"/>
        <v>-2.3935704997536367</v>
      </c>
      <c r="Y1753" s="3">
        <f t="shared" si="241"/>
        <v>-301.65837325045732</v>
      </c>
      <c r="AA1753" s="3"/>
    </row>
    <row r="1754" spans="19:27" x14ac:dyDescent="0.25">
      <c r="S1754" s="4">
        <v>-1.8924527292460853</v>
      </c>
      <c r="T1754" s="4">
        <v>-1.9555640898054412</v>
      </c>
      <c r="U1754" s="4">
        <f t="shared" si="242"/>
        <v>-2.7038414543898246</v>
      </c>
      <c r="W1754" s="4">
        <f t="shared" si="243"/>
        <v>-3.1897185085089026</v>
      </c>
      <c r="X1754" s="4">
        <f t="shared" si="244"/>
        <v>-4.7013427982525098</v>
      </c>
      <c r="Y1754" s="3">
        <f t="shared" si="241"/>
        <v>67.763128913861692</v>
      </c>
      <c r="AA1754" s="3"/>
    </row>
    <row r="1755" spans="19:27" x14ac:dyDescent="0.25">
      <c r="S1755" s="4">
        <v>0.29361080571306458</v>
      </c>
      <c r="T1755" s="4">
        <v>2.0798651955906675</v>
      </c>
      <c r="U1755" s="4">
        <f t="shared" si="242"/>
        <v>1.8276842391791419</v>
      </c>
      <c r="W1755" s="4">
        <f t="shared" si="243"/>
        <v>0.5275879658845456</v>
      </c>
      <c r="X1755" s="4">
        <f t="shared" si="244"/>
        <v>3.2881709873919078</v>
      </c>
      <c r="Y1755" s="3">
        <f t="shared" si="241"/>
        <v>244.98847544325599</v>
      </c>
      <c r="AA1755" s="3"/>
    </row>
    <row r="1756" spans="19:27" x14ac:dyDescent="0.25">
      <c r="S1756" s="4">
        <v>0.64009983502542145</v>
      </c>
      <c r="T1756" s="4">
        <v>0.2081823588433909</v>
      </c>
      <c r="U1756" s="4">
        <f t="shared" si="242"/>
        <v>0.55524363558425371</v>
      </c>
      <c r="W1756" s="4">
        <f t="shared" si="243"/>
        <v>1.1167775714799721</v>
      </c>
      <c r="X1756" s="4">
        <f t="shared" si="244"/>
        <v>1.044736340587926</v>
      </c>
      <c r="Y1756" s="3">
        <f t="shared" si="241"/>
        <v>-71.285828543593652</v>
      </c>
      <c r="AA1756" s="3"/>
    </row>
    <row r="1757" spans="19:27" x14ac:dyDescent="0.25">
      <c r="S1757" s="4">
        <v>2.0930873448843514</v>
      </c>
      <c r="T1757" s="4">
        <v>-1.8686706695798365</v>
      </c>
      <c r="U1757" s="4">
        <f t="shared" si="242"/>
        <v>-0.20528757970364331</v>
      </c>
      <c r="W1757" s="4">
        <f t="shared" si="243"/>
        <v>3.5875199772867394</v>
      </c>
      <c r="X1757" s="4">
        <f t="shared" si="244"/>
        <v>-0.29615302865450366</v>
      </c>
      <c r="Y1757" s="3">
        <f t="shared" si="241"/>
        <v>-571.91766102233578</v>
      </c>
      <c r="AA1757" s="3"/>
    </row>
    <row r="1758" spans="19:27" x14ac:dyDescent="0.25">
      <c r="S1758" s="4">
        <v>0.695259785525151</v>
      </c>
      <c r="T1758" s="4">
        <v>-0.74060287844335715</v>
      </c>
      <c r="U1758" s="4">
        <f t="shared" si="242"/>
        <v>-0.1632241131554456</v>
      </c>
      <c r="W1758" s="4">
        <f t="shared" si="243"/>
        <v>1.2105746811434379</v>
      </c>
      <c r="X1758" s="4">
        <f t="shared" si="244"/>
        <v>-0.22199110867780439</v>
      </c>
      <c r="Y1758" s="3">
        <f t="shared" si="241"/>
        <v>-212.43067881882553</v>
      </c>
      <c r="AA1758" s="3"/>
    </row>
    <row r="1759" spans="19:27" x14ac:dyDescent="0.25">
      <c r="S1759" s="4">
        <v>-0.21372852632018194</v>
      </c>
      <c r="T1759" s="4">
        <v>-0.66770006962674922</v>
      </c>
      <c r="U1759" s="4">
        <f t="shared" si="242"/>
        <v>-0.65957419456291932</v>
      </c>
      <c r="W1759" s="4">
        <f t="shared" si="243"/>
        <v>-0.33512062127318154</v>
      </c>
      <c r="X1759" s="4">
        <f t="shared" si="244"/>
        <v>-1.0971038380480955</v>
      </c>
      <c r="Y1759" s="3">
        <f t="shared" si="241"/>
        <v>-55.716296341341604</v>
      </c>
      <c r="AA1759" s="3"/>
    </row>
    <row r="1760" spans="19:27" x14ac:dyDescent="0.25">
      <c r="S1760" s="4">
        <v>1.1834245628519043E-2</v>
      </c>
      <c r="T1760" s="4">
        <v>-0.99264518418526337</v>
      </c>
      <c r="U1760" s="4">
        <f t="shared" si="242"/>
        <v>-0.77964749496353003</v>
      </c>
      <c r="W1760" s="4">
        <f t="shared" si="243"/>
        <v>4.8439114817795142E-2</v>
      </c>
      <c r="X1760" s="4">
        <f t="shared" si="244"/>
        <v>-1.3088045661715082</v>
      </c>
      <c r="Y1760" s="3">
        <f t="shared" si="241"/>
        <v>-138.63677883669743</v>
      </c>
      <c r="AA1760" s="3"/>
    </row>
    <row r="1761" spans="19:27" x14ac:dyDescent="0.25">
      <c r="S1761" s="4">
        <v>-0.11713648575566339</v>
      </c>
      <c r="T1761" s="4">
        <v>0.11069387856463998</v>
      </c>
      <c r="U1761" s="4">
        <f t="shared" si="242"/>
        <v>1.6337138834948015E-2</v>
      </c>
      <c r="W1761" s="4">
        <f t="shared" si="243"/>
        <v>-0.17087003476309226</v>
      </c>
      <c r="X1761" s="4">
        <f t="shared" si="244"/>
        <v>9.4592575307653554E-2</v>
      </c>
      <c r="Y1761" s="3">
        <f t="shared" si="241"/>
        <v>36.916800042662089</v>
      </c>
      <c r="AA1761" s="3"/>
    </row>
    <row r="1762" spans="19:27" x14ac:dyDescent="0.25">
      <c r="S1762" s="4">
        <v>-0.24151783928449624</v>
      </c>
      <c r="T1762" s="4">
        <v>-0.37982405392218554</v>
      </c>
      <c r="U1762" s="4">
        <f t="shared" si="242"/>
        <v>-0.44831815968385791</v>
      </c>
      <c r="W1762" s="4">
        <f t="shared" si="243"/>
        <v>-0.3823751458326069</v>
      </c>
      <c r="X1762" s="4">
        <f t="shared" si="244"/>
        <v>-0.72463921639491347</v>
      </c>
      <c r="Y1762" s="3">
        <f t="shared" si="241"/>
        <v>-10.809366062020672</v>
      </c>
      <c r="AA1762" s="3"/>
    </row>
    <row r="1763" spans="19:27" x14ac:dyDescent="0.25">
      <c r="S1763" s="4">
        <v>-1.7655344160788458</v>
      </c>
      <c r="T1763" s="4">
        <v>0.46938975012917927</v>
      </c>
      <c r="U1763" s="4">
        <f t="shared" si="242"/>
        <v>-0.70422766368685497</v>
      </c>
      <c r="W1763" s="4">
        <f t="shared" si="243"/>
        <v>-2.9738994073204776</v>
      </c>
      <c r="X1763" s="4">
        <f t="shared" si="244"/>
        <v>-1.1758321806124632</v>
      </c>
      <c r="Y1763" s="3">
        <f t="shared" si="241"/>
        <v>382.20768191569732</v>
      </c>
      <c r="AA1763" s="3"/>
    </row>
    <row r="1764" spans="19:27" x14ac:dyDescent="0.25">
      <c r="S1764" s="4">
        <v>1.0115392167469341</v>
      </c>
      <c r="T1764" s="4">
        <v>0.64286533466393481</v>
      </c>
      <c r="U1764" s="4">
        <f t="shared" si="242"/>
        <v>1.1262510958845664</v>
      </c>
      <c r="W1764" s="4">
        <f t="shared" si="243"/>
        <v>1.7483941720212186</v>
      </c>
      <c r="X1764" s="4">
        <f t="shared" si="244"/>
        <v>2.0514771789438773</v>
      </c>
      <c r="Y1764" s="3">
        <f t="shared" si="241"/>
        <v>-67.206728363169532</v>
      </c>
      <c r="AA1764" s="3"/>
    </row>
    <row r="1765" spans="19:27" x14ac:dyDescent="0.25">
      <c r="S1765" s="4">
        <v>0.82442525755807627</v>
      </c>
      <c r="T1765" s="4">
        <v>-2.5475826194584688</v>
      </c>
      <c r="U1765" s="4">
        <f t="shared" si="242"/>
        <v>-1.5168603785716008</v>
      </c>
      <c r="W1765" s="4">
        <f t="shared" si="243"/>
        <v>1.4302149787732372</v>
      </c>
      <c r="X1765" s="4">
        <f t="shared" si="244"/>
        <v>-2.6085814834469119</v>
      </c>
      <c r="Y1765" s="3">
        <f t="shared" si="241"/>
        <v>-484.80412678826633</v>
      </c>
      <c r="AA1765" s="3"/>
    </row>
    <row r="1766" spans="19:27" x14ac:dyDescent="0.25">
      <c r="S1766" s="4">
        <v>0.39377321635819845</v>
      </c>
      <c r="T1766" s="4">
        <v>0.21545121293909755</v>
      </c>
      <c r="U1766" s="4">
        <f t="shared" si="242"/>
        <v>0.41083939546986392</v>
      </c>
      <c r="W1766" s="4">
        <f t="shared" si="243"/>
        <v>0.69790981226627435</v>
      </c>
      <c r="X1766" s="4">
        <f t="shared" si="244"/>
        <v>0.79013783555533734</v>
      </c>
      <c r="Y1766" s="3">
        <f t="shared" si="241"/>
        <v>-31.572087039824055</v>
      </c>
      <c r="AA1766" s="3"/>
    </row>
    <row r="1767" spans="19:27" x14ac:dyDescent="0.25">
      <c r="S1767" s="4">
        <v>0.37926494160576685</v>
      </c>
      <c r="T1767" s="4">
        <v>-8.5111291022621442E-3</v>
      </c>
      <c r="U1767" s="4">
        <f t="shared" si="242"/>
        <v>0.22446166639504722</v>
      </c>
      <c r="W1767" s="4">
        <f t="shared" si="243"/>
        <v>0.67323911866243968</v>
      </c>
      <c r="X1767" s="4">
        <f t="shared" si="244"/>
        <v>0.46153604965051553</v>
      </c>
      <c r="Y1767" s="3">
        <f t="shared" si="241"/>
        <v>-60.56573778404163</v>
      </c>
      <c r="AA1767" s="3"/>
    </row>
    <row r="1768" spans="19:27" x14ac:dyDescent="0.25">
      <c r="S1768" s="4">
        <v>-0.75878886497316644</v>
      </c>
      <c r="T1768" s="4">
        <v>1.9356738522112413</v>
      </c>
      <c r="U1768" s="4">
        <f t="shared" si="242"/>
        <v>1.0718185918447856</v>
      </c>
      <c r="W1768" s="4">
        <f t="shared" si="243"/>
        <v>-1.2619721484167816</v>
      </c>
      <c r="X1768" s="4">
        <f t="shared" si="244"/>
        <v>1.9555074612767884</v>
      </c>
      <c r="Y1768" s="3">
        <f t="shared" si="241"/>
        <v>401.92754027617048</v>
      </c>
      <c r="AA1768" s="3"/>
    </row>
    <row r="1769" spans="19:27" x14ac:dyDescent="0.25">
      <c r="S1769" s="4">
        <v>0.82829390958293847</v>
      </c>
      <c r="T1769" s="4">
        <v>-1.8929979676564571E-2</v>
      </c>
      <c r="U1769" s="4">
        <f t="shared" si="242"/>
        <v>0.48994080424557146</v>
      </c>
      <c r="W1769" s="4">
        <f t="shared" si="243"/>
        <v>1.4367934541877061</v>
      </c>
      <c r="X1769" s="4">
        <f t="shared" si="244"/>
        <v>0.92960119483283266</v>
      </c>
      <c r="Y1769" s="3">
        <f t="shared" si="241"/>
        <v>-131.99188425866123</v>
      </c>
      <c r="AA1769" s="3"/>
    </row>
    <row r="1770" spans="19:27" x14ac:dyDescent="0.25">
      <c r="S1770" s="4">
        <v>0.60733931898558913</v>
      </c>
      <c r="T1770" s="4">
        <v>1.4138975141497816</v>
      </c>
      <c r="U1770" s="4">
        <f t="shared" si="242"/>
        <v>1.4910328747846122</v>
      </c>
      <c r="W1770" s="4">
        <f t="shared" si="243"/>
        <v>1.0610697311396342</v>
      </c>
      <c r="X1770" s="4">
        <f t="shared" si="244"/>
        <v>2.6946223905907845</v>
      </c>
      <c r="Y1770" s="3">
        <f t="shared" si="241"/>
        <v>102.31915277935332</v>
      </c>
      <c r="AA1770" s="3"/>
    </row>
    <row r="1771" spans="19:27" x14ac:dyDescent="0.25">
      <c r="S1771" s="4">
        <v>-0.94032503014885893</v>
      </c>
      <c r="T1771" s="4">
        <v>0.54780889438167368</v>
      </c>
      <c r="U1771" s="4">
        <f t="shared" si="242"/>
        <v>-0.13899938029222092</v>
      </c>
      <c r="W1771" s="4">
        <f t="shared" si="243"/>
        <v>-1.570666544234866</v>
      </c>
      <c r="X1771" s="4">
        <f t="shared" si="244"/>
        <v>-0.17928058461767168</v>
      </c>
      <c r="Y1771" s="3">
        <f t="shared" si="241"/>
        <v>240.20350584425069</v>
      </c>
      <c r="AA1771" s="3"/>
    </row>
    <row r="1772" spans="19:27" x14ac:dyDescent="0.25">
      <c r="S1772" s="4">
        <v>2.0460940452846565</v>
      </c>
      <c r="T1772" s="4">
        <v>-0.1761072939121387</v>
      </c>
      <c r="U1772" s="4">
        <f t="shared" si="242"/>
        <v>1.1077457357942693</v>
      </c>
      <c r="W1772" s="4">
        <f t="shared" si="243"/>
        <v>3.5076099041980715</v>
      </c>
      <c r="X1772" s="4">
        <f t="shared" si="244"/>
        <v>2.0188504568313741</v>
      </c>
      <c r="Y1772" s="3">
        <f t="shared" si="241"/>
        <v>-329.03291631191541</v>
      </c>
      <c r="AA1772" s="3"/>
    </row>
    <row r="1773" spans="19:27" x14ac:dyDescent="0.25">
      <c r="S1773" s="4">
        <v>2.2116440855476145</v>
      </c>
      <c r="T1773" s="4">
        <v>0.58090541051048594</v>
      </c>
      <c r="U1773" s="4">
        <f t="shared" si="242"/>
        <v>1.8087466630985669</v>
      </c>
      <c r="W1773" s="4">
        <f t="shared" si="243"/>
        <v>3.7891205861449664</v>
      </c>
      <c r="X1773" s="4">
        <f t="shared" si="244"/>
        <v>3.2547822270948696</v>
      </c>
      <c r="Y1773" s="3">
        <f t="shared" si="241"/>
        <v>-245.40779826469861</v>
      </c>
      <c r="AA1773" s="3"/>
    </row>
    <row r="1774" spans="19:27" x14ac:dyDescent="0.25">
      <c r="S1774" s="4">
        <v>2.2790869126915738</v>
      </c>
      <c r="T1774" s="4">
        <v>-0.66618763455517882</v>
      </c>
      <c r="U1774" s="4">
        <f t="shared" si="242"/>
        <v>0.86130061160117311</v>
      </c>
      <c r="W1774" s="4">
        <f t="shared" si="243"/>
        <v>3.9038041961976462</v>
      </c>
      <c r="X1774" s="4">
        <f t="shared" si="244"/>
        <v>1.5843441006299923</v>
      </c>
      <c r="Y1774" s="3">
        <f t="shared" si="241"/>
        <v>-428.62428934701757</v>
      </c>
      <c r="AA1774" s="3"/>
    </row>
    <row r="1775" spans="19:27" x14ac:dyDescent="0.25">
      <c r="S1775" s="4">
        <v>-1.4340221136049711</v>
      </c>
      <c r="T1775" s="4">
        <v>-7.7666369231686294E-2</v>
      </c>
      <c r="U1775" s="4">
        <f t="shared" si="242"/>
        <v>-0.93577738717445813</v>
      </c>
      <c r="W1775" s="4">
        <f t="shared" si="243"/>
        <v>-2.4101770778364715</v>
      </c>
      <c r="X1775" s="4">
        <f t="shared" si="244"/>
        <v>-1.5840765188254831</v>
      </c>
      <c r="Y1775" s="3">
        <f t="shared" si="241"/>
        <v>243.03395682863538</v>
      </c>
      <c r="AA1775" s="3"/>
    </row>
    <row r="1776" spans="19:27" x14ac:dyDescent="0.25">
      <c r="S1776" s="4">
        <v>1.1322076647979733</v>
      </c>
      <c r="T1776" s="4">
        <v>-0.30376344343870482</v>
      </c>
      <c r="U1776" s="4">
        <f t="shared" si="242"/>
        <v>0.44942819685253804</v>
      </c>
      <c r="W1776" s="4">
        <f t="shared" si="243"/>
        <v>1.953585647942123</v>
      </c>
      <c r="X1776" s="4">
        <f t="shared" si="244"/>
        <v>0.85817358807372413</v>
      </c>
      <c r="Y1776" s="3">
        <f t="shared" si="241"/>
        <v>-217.48576763385199</v>
      </c>
      <c r="AA1776" s="3"/>
    </row>
    <row r="1777" spans="19:27" x14ac:dyDescent="0.25">
      <c r="S1777" s="4">
        <v>1.4082353582735407</v>
      </c>
      <c r="T1777" s="4">
        <v>1.2204758463344954</v>
      </c>
      <c r="U1777" s="4">
        <f t="shared" si="242"/>
        <v>1.8259531574422128</v>
      </c>
      <c r="W1777" s="4">
        <f t="shared" si="243"/>
        <v>2.4229588000302171</v>
      </c>
      <c r="X1777" s="4">
        <f t="shared" si="244"/>
        <v>3.2851189245026031</v>
      </c>
      <c r="Y1777" s="3">
        <f t="shared" si="241"/>
        <v>-44.795916794637378</v>
      </c>
      <c r="AA1777" s="3"/>
    </row>
    <row r="1778" spans="19:27" x14ac:dyDescent="0.25">
      <c r="S1778" s="4">
        <v>1.0840028515430911</v>
      </c>
      <c r="T1778" s="4">
        <v>-0.28388899400235096</v>
      </c>
      <c r="U1778" s="4">
        <f t="shared" si="242"/>
        <v>0.43579578460266416</v>
      </c>
      <c r="W1778" s="4">
        <f t="shared" si="243"/>
        <v>1.8716154482916132</v>
      </c>
      <c r="X1778" s="4">
        <f t="shared" si="244"/>
        <v>0.83413833969004469</v>
      </c>
      <c r="Y1778" s="3">
        <f t="shared" si="241"/>
        <v>-207.55115577424567</v>
      </c>
      <c r="AA1778" s="3"/>
    </row>
    <row r="1779" spans="19:27" x14ac:dyDescent="0.25">
      <c r="S1779" s="4">
        <v>-1.2194517418167647</v>
      </c>
      <c r="T1779" s="4">
        <v>1.1559905135674198</v>
      </c>
      <c r="U1779" s="4">
        <f t="shared" si="242"/>
        <v>0.172939464035198</v>
      </c>
      <c r="W1779" s="4">
        <f t="shared" si="243"/>
        <v>-2.0453094426987701</v>
      </c>
      <c r="X1779" s="4">
        <f t="shared" si="244"/>
        <v>0.37069747256709251</v>
      </c>
      <c r="Y1779" s="3">
        <f t="shared" si="241"/>
        <v>375.76430106894622</v>
      </c>
      <c r="AA1779" s="3"/>
    </row>
    <row r="1780" spans="19:27" x14ac:dyDescent="0.25">
      <c r="S1780" s="4">
        <v>0.31302019636275991</v>
      </c>
      <c r="T1780" s="4">
        <v>-0.16217522413695518</v>
      </c>
      <c r="U1780" s="4">
        <f t="shared" si="242"/>
        <v>6.2269089920280241E-2</v>
      </c>
      <c r="W1780" s="4">
        <f t="shared" si="243"/>
        <v>0.56059279505456894</v>
      </c>
      <c r="X1780" s="4">
        <f t="shared" si="244"/>
        <v>0.17557500401121529</v>
      </c>
      <c r="Y1780" s="3">
        <f t="shared" si="241"/>
        <v>-71.467722166847125</v>
      </c>
      <c r="AA1780" s="3"/>
    </row>
    <row r="1781" spans="19:27" x14ac:dyDescent="0.25">
      <c r="S1781" s="4">
        <v>0.83120756234807258</v>
      </c>
      <c r="T1781" s="4">
        <v>-1.0277694802130573</v>
      </c>
      <c r="U1781" s="4">
        <f t="shared" si="242"/>
        <v>-0.30798198848624114</v>
      </c>
      <c r="W1781" s="4">
        <f t="shared" si="243"/>
        <v>1.4417479946732688</v>
      </c>
      <c r="X1781" s="4">
        <f t="shared" si="244"/>
        <v>-0.47721310646484727</v>
      </c>
      <c r="Y1781" s="3">
        <f t="shared" si="241"/>
        <v>-273.43085233638249</v>
      </c>
      <c r="AA1781" s="3"/>
    </row>
    <row r="1782" spans="19:27" x14ac:dyDescent="0.25">
      <c r="S1782" s="4">
        <v>1.5849518457760465</v>
      </c>
      <c r="T1782" s="4">
        <v>-1.1516039968565663</v>
      </c>
      <c r="U1782" s="4">
        <f t="shared" si="242"/>
        <v>5.3354711110683239E-2</v>
      </c>
      <c r="W1782" s="4">
        <f t="shared" si="243"/>
        <v>2.723457542459224</v>
      </c>
      <c r="X1782" s="4">
        <f t="shared" si="244"/>
        <v>0.15985810043262416</v>
      </c>
      <c r="Y1782" s="3">
        <f t="shared" si="241"/>
        <v>-401.56608680668933</v>
      </c>
      <c r="AA1782" s="3"/>
    </row>
    <row r="1783" spans="19:27" x14ac:dyDescent="0.25">
      <c r="S1783" s="4">
        <v>0.31675631077678024</v>
      </c>
      <c r="T1783" s="4">
        <v>-0.20579886909841999</v>
      </c>
      <c r="U1783" s="4">
        <f t="shared" si="242"/>
        <v>2.9966593428689403E-2</v>
      </c>
      <c r="W1783" s="4">
        <f t="shared" si="243"/>
        <v>0.56694589599523848</v>
      </c>
      <c r="X1783" s="4">
        <f t="shared" si="244"/>
        <v>0.11862260906031426</v>
      </c>
      <c r="Y1783" s="3">
        <f t="shared" si="241"/>
        <v>-78.162614718797613</v>
      </c>
      <c r="AA1783" s="3"/>
    </row>
    <row r="1784" spans="19:27" x14ac:dyDescent="0.25">
      <c r="S1784" s="4">
        <v>-0.69894071745243258</v>
      </c>
      <c r="T1784" s="4">
        <v>0.47199071683739596</v>
      </c>
      <c r="U1784" s="4">
        <f t="shared" si="242"/>
        <v>-5.1946581771035116E-2</v>
      </c>
      <c r="W1784" s="4">
        <f t="shared" si="243"/>
        <v>-1.1602029625255603</v>
      </c>
      <c r="X1784" s="4">
        <f t="shared" si="244"/>
        <v>-2.5798163707868499E-2</v>
      </c>
      <c r="Y1784" s="3">
        <f t="shared" si="241"/>
        <v>186.84493556224788</v>
      </c>
      <c r="AA1784" s="3"/>
    </row>
    <row r="1785" spans="19:27" x14ac:dyDescent="0.25">
      <c r="S1785" s="4">
        <v>-1.2265240975449478</v>
      </c>
      <c r="T1785" s="4">
        <v>-0.77443821811361113</v>
      </c>
      <c r="U1785" s="4">
        <f t="shared" si="242"/>
        <v>-1.3616074505495828</v>
      </c>
      <c r="W1785" s="4">
        <f t="shared" si="243"/>
        <v>-2.0573356776718903</v>
      </c>
      <c r="X1785" s="4">
        <f t="shared" si="244"/>
        <v>-2.3348557026455552</v>
      </c>
      <c r="Y1785" s="3">
        <f t="shared" si="241"/>
        <v>107.26582119331033</v>
      </c>
      <c r="AA1785" s="3"/>
    </row>
    <row r="1786" spans="19:27" x14ac:dyDescent="0.25">
      <c r="S1786" s="4">
        <v>-0.51853150234827916</v>
      </c>
      <c r="T1786" s="4">
        <v>-0.16862997011489597</v>
      </c>
      <c r="U1786" s="4">
        <f t="shared" si="242"/>
        <v>-0.44978000469439539</v>
      </c>
      <c r="W1786" s="4">
        <f t="shared" si="243"/>
        <v>-0.85342489655345588</v>
      </c>
      <c r="X1786" s="4">
        <f t="shared" si="244"/>
        <v>-0.72721658915057052</v>
      </c>
      <c r="Y1786" s="3">
        <f t="shared" si="241"/>
        <v>65.931684295770992</v>
      </c>
      <c r="AA1786" s="3"/>
    </row>
    <row r="1787" spans="19:27" x14ac:dyDescent="0.25">
      <c r="S1787" s="4">
        <v>0.47545698386190366</v>
      </c>
      <c r="T1787" s="4">
        <v>-0.16557847439687776</v>
      </c>
      <c r="U1787" s="4">
        <f t="shared" si="242"/>
        <v>0.15859645052601987</v>
      </c>
      <c r="W1787" s="4">
        <f t="shared" si="243"/>
        <v>0.83680952535263109</v>
      </c>
      <c r="X1787" s="4">
        <f t="shared" si="244"/>
        <v>0.34540936610840212</v>
      </c>
      <c r="Y1787" s="3">
        <f t="shared" si="241"/>
        <v>-97.756046189676908</v>
      </c>
      <c r="AA1787" s="3"/>
    </row>
    <row r="1788" spans="19:27" x14ac:dyDescent="0.25">
      <c r="S1788" s="4">
        <v>0.16742871830368522</v>
      </c>
      <c r="T1788" s="4">
        <v>0.53785591181044545</v>
      </c>
      <c r="U1788" s="4">
        <f t="shared" si="242"/>
        <v>0.52842237095460731</v>
      </c>
      <c r="W1788" s="4">
        <f t="shared" si="243"/>
        <v>0.31302078474901146</v>
      </c>
      <c r="X1788" s="4">
        <f t="shared" si="244"/>
        <v>0.99744788235164372</v>
      </c>
      <c r="Y1788" s="3">
        <f t="shared" si="241"/>
        <v>49.835972211604258</v>
      </c>
      <c r="AA1788" s="3"/>
    </row>
    <row r="1789" spans="19:27" x14ac:dyDescent="0.25">
      <c r="S1789" s="4">
        <v>0.57362070452022573</v>
      </c>
      <c r="T1789" s="4">
        <v>0.93307659596165171</v>
      </c>
      <c r="U1789" s="4">
        <f t="shared" si="242"/>
        <v>1.0893343506947424</v>
      </c>
      <c r="W1789" s="4">
        <f t="shared" si="243"/>
        <v>1.0037326858730089</v>
      </c>
      <c r="X1789" s="4">
        <f t="shared" si="244"/>
        <v>1.9863894216276601</v>
      </c>
      <c r="Y1789" s="3">
        <f t="shared" si="241"/>
        <v>40.380682743330908</v>
      </c>
      <c r="AA1789" s="3"/>
    </row>
    <row r="1790" spans="19:27" x14ac:dyDescent="0.25">
      <c r="S1790" s="4">
        <v>-0.8357276357428578</v>
      </c>
      <c r="T1790" s="4">
        <v>0.98167826463363506</v>
      </c>
      <c r="U1790" s="4">
        <f t="shared" si="242"/>
        <v>0.26869031216052708</v>
      </c>
      <c r="W1790" s="4">
        <f t="shared" si="243"/>
        <v>-1.3928031998205057</v>
      </c>
      <c r="X1790" s="4">
        <f t="shared" si="244"/>
        <v>0.53951538794824883</v>
      </c>
      <c r="Y1790" s="3">
        <f t="shared" si="241"/>
        <v>282.20157182410549</v>
      </c>
      <c r="AA1790" s="3"/>
    </row>
    <row r="1791" spans="19:27" x14ac:dyDescent="0.25">
      <c r="S1791" s="4">
        <v>-0.26526096301920016</v>
      </c>
      <c r="T1791" s="4">
        <v>0.19638743012428295</v>
      </c>
      <c r="U1791" s="4">
        <f t="shared" si="242"/>
        <v>-6.0342530405658179E-3</v>
      </c>
      <c r="W1791" s="4">
        <f t="shared" si="243"/>
        <v>-0.4227493006409615</v>
      </c>
      <c r="X1791" s="4">
        <f t="shared" si="244"/>
        <v>5.5149668904821078E-2</v>
      </c>
      <c r="Y1791" s="3">
        <f t="shared" si="241"/>
        <v>73.723811598145858</v>
      </c>
      <c r="AA1791" s="3"/>
    </row>
    <row r="1792" spans="19:27" x14ac:dyDescent="0.25">
      <c r="S1792" s="4">
        <v>1.6262958973444905</v>
      </c>
      <c r="T1792" s="4">
        <v>-0.29208984422319523</v>
      </c>
      <c r="U1792" s="4">
        <f t="shared" si="242"/>
        <v>0.75988897636744268</v>
      </c>
      <c r="W1792" s="4">
        <f t="shared" si="243"/>
        <v>2.7937613136512653</v>
      </c>
      <c r="X1792" s="4">
        <f t="shared" si="244"/>
        <v>1.4055456754385627</v>
      </c>
      <c r="Y1792" s="3">
        <f t="shared" si="241"/>
        <v>-287.28422140518433</v>
      </c>
      <c r="AA1792" s="3"/>
    </row>
    <row r="1793" spans="19:27" x14ac:dyDescent="0.25">
      <c r="S1793" s="4">
        <v>-0.52720415474094873</v>
      </c>
      <c r="T1793" s="4">
        <v>0.71640995638914795</v>
      </c>
      <c r="U1793" s="4">
        <f t="shared" si="242"/>
        <v>0.24649703908685577</v>
      </c>
      <c r="W1793" s="4">
        <f t="shared" si="243"/>
        <v>-0.86817236677738829</v>
      </c>
      <c r="X1793" s="4">
        <f t="shared" si="244"/>
        <v>0.50038652205164658</v>
      </c>
      <c r="Y1793" s="3">
        <f t="shared" si="241"/>
        <v>191.12137909373723</v>
      </c>
      <c r="AA1793" s="3"/>
    </row>
    <row r="1794" spans="19:27" x14ac:dyDescent="0.25">
      <c r="S1794" s="4">
        <v>0.34539070709715536</v>
      </c>
      <c r="T1794" s="4">
        <v>0.39122605084147993</v>
      </c>
      <c r="U1794" s="4">
        <f t="shared" si="242"/>
        <v>0.520679649456533</v>
      </c>
      <c r="W1794" s="4">
        <f t="shared" si="243"/>
        <v>0.61563744824422995</v>
      </c>
      <c r="X1794" s="4">
        <f t="shared" si="244"/>
        <v>0.98379672282383579</v>
      </c>
      <c r="Y1794" s="3">
        <f t="shared" ref="Y1794:Y1857" si="245">(B$4*EXP(-B$8*B$7)*NORMSDIST((LN(B$4/(B$5+W1794))-B$8*B$7+B$9*B$7+0.5*B$6*B$6*B$7)/(B$6*SQRT(B$7)))-(B$5+W1794)*EXP(-B$9*B$7)*NORMSDIST((LN(B$4/(B$5+W1794))-B$8*B$7+B$9*B$7-0.5*B$6*B$6*B$7)/(B$6*SQRT(B$7))))*400+100*X1794-400*$B$13</f>
        <v>0.70010007060363932</v>
      </c>
      <c r="AA1794" s="3"/>
    </row>
    <row r="1795" spans="19:27" x14ac:dyDescent="0.25">
      <c r="S1795" s="4">
        <v>1.0362190849195043</v>
      </c>
      <c r="T1795" s="4">
        <v>-1.8855044743316702</v>
      </c>
      <c r="U1795" s="4">
        <f t="shared" ref="U1795:U1858" si="246">$B$19*S1795+SQRT(1-$B$19^2)*T1795</f>
        <v>-0.86292207434284973</v>
      </c>
      <c r="W1795" s="4">
        <f t="shared" ref="W1795:W1858" si="247">S1795*SQRT($B$16)+$B$20</f>
        <v>1.7903612202235877</v>
      </c>
      <c r="X1795" s="4">
        <f t="shared" ref="X1795:X1858" si="248">U1795*SQRT($C$17)+$C$20</f>
        <v>-1.455625624891097</v>
      </c>
      <c r="Y1795" s="3">
        <f t="shared" si="245"/>
        <v>-424.26398598356309</v>
      </c>
      <c r="AA1795" s="3"/>
    </row>
    <row r="1796" spans="19:27" x14ac:dyDescent="0.25">
      <c r="S1796" s="4">
        <v>1.6461686303126901</v>
      </c>
      <c r="T1796" s="4">
        <v>0.17017754504407812</v>
      </c>
      <c r="U1796" s="4">
        <f t="shared" si="246"/>
        <v>1.1384395078706353</v>
      </c>
      <c r="W1796" s="4">
        <f t="shared" si="247"/>
        <v>2.8275540363902048</v>
      </c>
      <c r="X1796" s="4">
        <f t="shared" si="248"/>
        <v>2.0729665165693949</v>
      </c>
      <c r="Y1796" s="3">
        <f t="shared" si="245"/>
        <v>-225.47805268724642</v>
      </c>
      <c r="AA1796" s="3"/>
    </row>
    <row r="1797" spans="19:27" x14ac:dyDescent="0.25">
      <c r="S1797" s="4">
        <v>0.96047657296429712</v>
      </c>
      <c r="T1797" s="4">
        <v>-1.2384233565068719</v>
      </c>
      <c r="U1797" s="4">
        <f t="shared" si="246"/>
        <v>-0.39616036188022874</v>
      </c>
      <c r="W1797" s="4">
        <f t="shared" si="247"/>
        <v>1.6615643551849986</v>
      </c>
      <c r="X1797" s="4">
        <f t="shared" si="248"/>
        <v>-0.63268002367261633</v>
      </c>
      <c r="Y1797" s="3">
        <f t="shared" si="245"/>
        <v>-322.4624903938784</v>
      </c>
      <c r="AA1797" s="3"/>
    </row>
    <row r="1798" spans="19:27" x14ac:dyDescent="0.25">
      <c r="S1798" s="4">
        <v>-0.1327572349520125</v>
      </c>
      <c r="T1798" s="4">
        <v>0.10124914127746525</v>
      </c>
      <c r="U1798" s="4">
        <f t="shared" si="246"/>
        <v>-6.7238627153531905E-4</v>
      </c>
      <c r="W1798" s="4">
        <f t="shared" si="247"/>
        <v>-0.19743244303433671</v>
      </c>
      <c r="X1798" s="4">
        <f t="shared" si="248"/>
        <v>6.4603153528940832E-2</v>
      </c>
      <c r="Y1798" s="3">
        <f t="shared" si="245"/>
        <v>38.199824599991643</v>
      </c>
      <c r="AA1798" s="3"/>
    </row>
    <row r="1799" spans="19:27" x14ac:dyDescent="0.25">
      <c r="S1799" s="4">
        <v>1.3213375115764561</v>
      </c>
      <c r="T1799" s="4">
        <v>1.5052398766545476</v>
      </c>
      <c r="U1799" s="4">
        <f t="shared" si="246"/>
        <v>1.9987084653594909</v>
      </c>
      <c r="W1799" s="4">
        <f t="shared" si="247"/>
        <v>2.2751927708310893</v>
      </c>
      <c r="X1799" s="4">
        <f t="shared" si="248"/>
        <v>3.5897030772763876</v>
      </c>
      <c r="Y1799" s="3">
        <f t="shared" si="245"/>
        <v>7.5828702658009206</v>
      </c>
      <c r="AA1799" s="3"/>
    </row>
    <row r="1800" spans="19:27" x14ac:dyDescent="0.25">
      <c r="S1800" s="4">
        <v>0.86808906696324817</v>
      </c>
      <c r="T1800" s="4">
        <v>-1.7477891641957737</v>
      </c>
      <c r="U1800" s="4">
        <f t="shared" si="246"/>
        <v>-0.85625205735072629</v>
      </c>
      <c r="W1800" s="4">
        <f t="shared" si="247"/>
        <v>1.5044633978163553</v>
      </c>
      <c r="X1800" s="4">
        <f t="shared" si="248"/>
        <v>-1.4438657461410591</v>
      </c>
      <c r="Y1800" s="3">
        <f t="shared" si="245"/>
        <v>-379.67445675145973</v>
      </c>
      <c r="AA1800" s="3"/>
    </row>
    <row r="1801" spans="19:27" x14ac:dyDescent="0.25">
      <c r="S1801" s="4">
        <v>1.1267995121924397</v>
      </c>
      <c r="T1801" s="4">
        <v>-1.9023766119429344</v>
      </c>
      <c r="U1801" s="4">
        <f t="shared" si="246"/>
        <v>-0.82107663368697448</v>
      </c>
      <c r="W1801" s="4">
        <f t="shared" si="247"/>
        <v>1.944389318387395</v>
      </c>
      <c r="X1801" s="4">
        <f t="shared" si="248"/>
        <v>-1.3818481054430785</v>
      </c>
      <c r="Y1801" s="3">
        <f t="shared" si="245"/>
        <v>-440.10538107430602</v>
      </c>
      <c r="AA1801" s="3"/>
    </row>
    <row r="1802" spans="19:27" x14ac:dyDescent="0.25">
      <c r="S1802" s="4">
        <v>0.62137428935621219</v>
      </c>
      <c r="T1802" s="4">
        <v>1.5963996597733658</v>
      </c>
      <c r="U1802" s="4">
        <f t="shared" si="246"/>
        <v>1.644256900143936</v>
      </c>
      <c r="W1802" s="4">
        <f t="shared" si="247"/>
        <v>1.0849355911168523</v>
      </c>
      <c r="X1802" s="4">
        <f t="shared" si="248"/>
        <v>2.9647710216881613</v>
      </c>
      <c r="Y1802" s="3">
        <f t="shared" si="245"/>
        <v>125.64073525424783</v>
      </c>
      <c r="AA1802" s="3"/>
    </row>
    <row r="1803" spans="19:27" x14ac:dyDescent="0.25">
      <c r="S1803" s="4">
        <v>1.4052493292585306</v>
      </c>
      <c r="T1803" s="4">
        <v>0.99348831253343639</v>
      </c>
      <c r="U1803" s="4">
        <f t="shared" si="246"/>
        <v>1.6442016010879077</v>
      </c>
      <c r="W1803" s="4">
        <f t="shared" si="247"/>
        <v>2.4178811868626604</v>
      </c>
      <c r="X1803" s="4">
        <f t="shared" si="248"/>
        <v>2.964673524156348</v>
      </c>
      <c r="Y1803" s="3">
        <f t="shared" si="245"/>
        <v>-76.089014482583025</v>
      </c>
      <c r="AA1803" s="3"/>
    </row>
    <row r="1804" spans="19:27" x14ac:dyDescent="0.25">
      <c r="S1804" s="4">
        <v>1.2937776948532809</v>
      </c>
      <c r="T1804" s="4">
        <v>-0.50129946661313018</v>
      </c>
      <c r="U1804" s="4">
        <f t="shared" si="246"/>
        <v>0.391339663077583</v>
      </c>
      <c r="W1804" s="4">
        <f t="shared" si="247"/>
        <v>2.2283284947019553</v>
      </c>
      <c r="X1804" s="4">
        <f t="shared" si="248"/>
        <v>0.75575793984259676</v>
      </c>
      <c r="Y1804" s="3">
        <f t="shared" si="245"/>
        <v>-268.83690788226886</v>
      </c>
      <c r="AA1804" s="3"/>
    </row>
    <row r="1805" spans="19:27" x14ac:dyDescent="0.25">
      <c r="S1805" s="4">
        <v>-1.1336377891764127</v>
      </c>
      <c r="T1805" s="4">
        <v>0.76980220299320878</v>
      </c>
      <c r="U1805" s="4">
        <f t="shared" si="246"/>
        <v>-8.0874827366928193E-2</v>
      </c>
      <c r="W1805" s="4">
        <f t="shared" si="247"/>
        <v>-1.8993865284550018</v>
      </c>
      <c r="X1805" s="4">
        <f t="shared" si="248"/>
        <v>-7.6801431174915835E-2</v>
      </c>
      <c r="Y1805" s="3">
        <f t="shared" si="245"/>
        <v>306.11877045399979</v>
      </c>
      <c r="AA1805" s="3"/>
    </row>
    <row r="1806" spans="19:27" x14ac:dyDescent="0.25">
      <c r="S1806" s="4">
        <v>-0.80364262294052657</v>
      </c>
      <c r="T1806" s="4">
        <v>1.4977475114176386</v>
      </c>
      <c r="U1806" s="4">
        <f t="shared" si="246"/>
        <v>0.69733402498684627</v>
      </c>
      <c r="W1806" s="4">
        <f t="shared" si="247"/>
        <v>-1.3382440235139801</v>
      </c>
      <c r="X1806" s="4">
        <f t="shared" si="248"/>
        <v>1.2952553052162614</v>
      </c>
      <c r="Y1806" s="3">
        <f t="shared" si="245"/>
        <v>348.64299837170893</v>
      </c>
      <c r="AA1806" s="3"/>
    </row>
    <row r="1807" spans="19:27" x14ac:dyDescent="0.25">
      <c r="S1807" s="4">
        <v>0.90131726702551462</v>
      </c>
      <c r="T1807" s="4">
        <v>-0.15929012102196224</v>
      </c>
      <c r="U1807" s="4">
        <f t="shared" si="246"/>
        <v>0.42319510840724672</v>
      </c>
      <c r="W1807" s="4">
        <f t="shared" si="247"/>
        <v>1.5609665146053247</v>
      </c>
      <c r="X1807" s="4">
        <f t="shared" si="248"/>
        <v>0.81192214078056879</v>
      </c>
      <c r="Y1807" s="3">
        <f t="shared" si="245"/>
        <v>-162.70825028368654</v>
      </c>
      <c r="AA1807" s="3"/>
    </row>
    <row r="1808" spans="19:27" x14ac:dyDescent="0.25">
      <c r="S1808" s="4">
        <v>-0.36074229501658261</v>
      </c>
      <c r="T1808" s="4">
        <v>-1.0091355189427877</v>
      </c>
      <c r="U1808" s="4">
        <f t="shared" si="246"/>
        <v>-1.0198502237657985</v>
      </c>
      <c r="W1808" s="4">
        <f t="shared" si="247"/>
        <v>-0.58511117528071788</v>
      </c>
      <c r="X1808" s="4">
        <f t="shared" si="248"/>
        <v>-1.7323049814596034</v>
      </c>
      <c r="Y1808" s="3">
        <f t="shared" si="245"/>
        <v>-78.578293482092704</v>
      </c>
      <c r="AA1808" s="3"/>
    </row>
    <row r="1809" spans="19:27" x14ac:dyDescent="0.25">
      <c r="S1809" s="4">
        <v>0.14092447895321816</v>
      </c>
      <c r="T1809" s="4">
        <v>-0.55982315172574693</v>
      </c>
      <c r="U1809" s="4">
        <f t="shared" si="246"/>
        <v>-0.35785663773452231</v>
      </c>
      <c r="W1809" s="4">
        <f t="shared" si="247"/>
        <v>0.26795147227900318</v>
      </c>
      <c r="X1809" s="4">
        <f t="shared" si="248"/>
        <v>-0.56514688962508131</v>
      </c>
      <c r="Y1809" s="3">
        <f t="shared" si="245"/>
        <v>-99.268663665560325</v>
      </c>
      <c r="AA1809" s="3"/>
    </row>
    <row r="1810" spans="19:27" x14ac:dyDescent="0.25">
      <c r="S1810" s="4">
        <v>7.458956557414248E-2</v>
      </c>
      <c r="T1810" s="4">
        <v>1.1996803881985116</v>
      </c>
      <c r="U1810" s="4">
        <f t="shared" si="246"/>
        <v>0.9964485324089235</v>
      </c>
      <c r="W1810" s="4">
        <f t="shared" si="247"/>
        <v>0.15515182165632604</v>
      </c>
      <c r="X1810" s="4">
        <f t="shared" si="248"/>
        <v>1.8226228282397861</v>
      </c>
      <c r="Y1810" s="3">
        <f t="shared" si="245"/>
        <v>157.46132604446029</v>
      </c>
      <c r="AA1810" s="3"/>
    </row>
    <row r="1811" spans="19:27" x14ac:dyDescent="0.25">
      <c r="S1811" s="4">
        <v>-0.83138578617476167</v>
      </c>
      <c r="T1811" s="4">
        <v>-1.9551774695073192</v>
      </c>
      <c r="U1811" s="4">
        <f t="shared" si="246"/>
        <v>-2.056684900698996</v>
      </c>
      <c r="W1811" s="4">
        <f t="shared" si="247"/>
        <v>-1.3854200724537946</v>
      </c>
      <c r="X1811" s="4">
        <f t="shared" si="248"/>
        <v>-3.5603438153887894</v>
      </c>
      <c r="Y1811" s="3">
        <f t="shared" si="245"/>
        <v>-129.02111733554557</v>
      </c>
      <c r="AA1811" s="3"/>
    </row>
    <row r="1812" spans="19:27" x14ac:dyDescent="0.25">
      <c r="S1812" s="4">
        <v>0.16261958390712755</v>
      </c>
      <c r="T1812" s="4">
        <v>-0.34232768816062292</v>
      </c>
      <c r="U1812" s="4">
        <f t="shared" si="246"/>
        <v>-0.17222389957294942</v>
      </c>
      <c r="W1812" s="4">
        <f t="shared" si="247"/>
        <v>0.30484305974575071</v>
      </c>
      <c r="X1812" s="4">
        <f t="shared" si="248"/>
        <v>-0.23785859404869095</v>
      </c>
      <c r="Y1812" s="3">
        <f t="shared" si="245"/>
        <v>-72.397221807908409</v>
      </c>
      <c r="AA1812" s="3"/>
    </row>
    <row r="1813" spans="19:27" x14ac:dyDescent="0.25">
      <c r="S1813" s="4">
        <v>5.10716110113901E-2</v>
      </c>
      <c r="T1813" s="4">
        <v>2.0757103379787862</v>
      </c>
      <c r="U1813" s="4">
        <f t="shared" si="246"/>
        <v>1.6765334121213247</v>
      </c>
      <c r="W1813" s="4">
        <f t="shared" si="247"/>
        <v>0.11516055728429397</v>
      </c>
      <c r="X1813" s="4">
        <f t="shared" si="248"/>
        <v>3.0216776034519657</v>
      </c>
      <c r="Y1813" s="3">
        <f t="shared" si="245"/>
        <v>283.74750214184405</v>
      </c>
      <c r="AA1813" s="3"/>
    </row>
    <row r="1814" spans="19:27" x14ac:dyDescent="0.25">
      <c r="S1814" s="4">
        <v>-1.1408801606649617</v>
      </c>
      <c r="T1814" s="4">
        <v>6.8924817133232757E-2</v>
      </c>
      <c r="U1814" s="4">
        <f t="shared" si="246"/>
        <v>-0.64086984864362861</v>
      </c>
      <c r="W1814" s="4">
        <f t="shared" si="247"/>
        <v>-1.9117018678739215</v>
      </c>
      <c r="X1814" s="4">
        <f t="shared" si="248"/>
        <v>-1.064126284862043</v>
      </c>
      <c r="Y1814" s="3">
        <f t="shared" si="245"/>
        <v>209.48299916875203</v>
      </c>
      <c r="AA1814" s="3"/>
    </row>
    <row r="1815" spans="19:27" x14ac:dyDescent="0.25">
      <c r="S1815" s="4">
        <v>1.4950890559282386</v>
      </c>
      <c r="T1815" s="4">
        <v>0.33652136769168295</v>
      </c>
      <c r="U1815" s="4">
        <f t="shared" si="246"/>
        <v>1.1781974490732725</v>
      </c>
      <c r="W1815" s="4">
        <f t="shared" si="247"/>
        <v>2.5706497556926071</v>
      </c>
      <c r="X1815" s="4">
        <f t="shared" si="248"/>
        <v>2.143063574559843</v>
      </c>
      <c r="Y1815" s="3">
        <f t="shared" si="245"/>
        <v>-180.8025674962073</v>
      </c>
      <c r="AA1815" s="3"/>
    </row>
    <row r="1816" spans="19:27" x14ac:dyDescent="0.25">
      <c r="S1816" s="4">
        <v>-0.64481634120323594</v>
      </c>
      <c r="T1816" s="4">
        <v>0.4689716610333079</v>
      </c>
      <c r="U1816" s="4">
        <f t="shared" si="246"/>
        <v>-2.1344335835021822E-2</v>
      </c>
      <c r="W1816" s="4">
        <f t="shared" si="247"/>
        <v>-1.0681668020772752</v>
      </c>
      <c r="X1816" s="4">
        <f t="shared" si="248"/>
        <v>2.8156526679177854E-2</v>
      </c>
      <c r="Y1816" s="3">
        <f t="shared" si="245"/>
        <v>176.95659405845072</v>
      </c>
      <c r="AA1816" s="3"/>
    </row>
    <row r="1817" spans="19:27" x14ac:dyDescent="0.25">
      <c r="S1817" s="4">
        <v>1.4989144201628133</v>
      </c>
      <c r="T1817" s="4">
        <v>-5.7567823394301235E-2</v>
      </c>
      <c r="U1817" s="4">
        <f t="shared" si="246"/>
        <v>0.86813811993735679</v>
      </c>
      <c r="W1817" s="4">
        <f t="shared" si="247"/>
        <v>2.5771546220922761</v>
      </c>
      <c r="X1817" s="4">
        <f t="shared" si="248"/>
        <v>1.5963992826603901</v>
      </c>
      <c r="Y1817" s="3">
        <f t="shared" si="245"/>
        <v>-236.42671946272822</v>
      </c>
      <c r="AA1817" s="3"/>
    </row>
    <row r="1818" spans="19:27" x14ac:dyDescent="0.25">
      <c r="S1818" s="4">
        <v>-0.66872413104393025</v>
      </c>
      <c r="T1818" s="4">
        <v>0.26226712544529818</v>
      </c>
      <c r="U1818" s="4">
        <f t="shared" si="246"/>
        <v>-0.199772093588267</v>
      </c>
      <c r="W1818" s="4">
        <f t="shared" si="247"/>
        <v>-1.1088209644755842</v>
      </c>
      <c r="X1818" s="4">
        <f t="shared" si="248"/>
        <v>-0.2864286984105272</v>
      </c>
      <c r="Y1818" s="3">
        <f t="shared" si="245"/>
        <v>152.24373180709881</v>
      </c>
      <c r="AA1818" s="3"/>
    </row>
    <row r="1819" spans="19:27" x14ac:dyDescent="0.25">
      <c r="S1819" s="4">
        <v>-0.36915568560323886</v>
      </c>
      <c r="T1819" s="4">
        <v>0.58450466582408611</v>
      </c>
      <c r="U1819" s="4">
        <f t="shared" si="246"/>
        <v>0.23828664114059359</v>
      </c>
      <c r="W1819" s="4">
        <f t="shared" si="247"/>
        <v>-0.59941778201891704</v>
      </c>
      <c r="X1819" s="4">
        <f t="shared" si="248"/>
        <v>0.48591080415593157</v>
      </c>
      <c r="Y1819" s="3">
        <f t="shared" si="245"/>
        <v>145.57994750672879</v>
      </c>
      <c r="AA1819" s="3"/>
    </row>
    <row r="1820" spans="19:27" x14ac:dyDescent="0.25">
      <c r="S1820" s="4">
        <v>-0.62833476717605941</v>
      </c>
      <c r="T1820" s="4">
        <v>-0.38319339702299743</v>
      </c>
      <c r="U1820" s="4">
        <f t="shared" si="246"/>
        <v>-0.68680124091414818</v>
      </c>
      <c r="W1820" s="4">
        <f t="shared" si="247"/>
        <v>-1.0401405984195837</v>
      </c>
      <c r="X1820" s="4">
        <f t="shared" si="248"/>
        <v>-1.1451077283215718</v>
      </c>
      <c r="Y1820" s="3">
        <f t="shared" si="245"/>
        <v>54.984900584025127</v>
      </c>
      <c r="AA1820" s="3"/>
    </row>
    <row r="1821" spans="19:27" x14ac:dyDescent="0.25">
      <c r="S1821" s="4">
        <v>1.2823702832485739</v>
      </c>
      <c r="T1821" s="4">
        <v>-0.40399609151069737</v>
      </c>
      <c r="U1821" s="4">
        <f t="shared" si="246"/>
        <v>0.4615170593024589</v>
      </c>
      <c r="W1821" s="4">
        <f t="shared" si="247"/>
        <v>2.2089306847407548</v>
      </c>
      <c r="X1821" s="4">
        <f t="shared" si="248"/>
        <v>0.87948741033307309</v>
      </c>
      <c r="Y1821" s="3">
        <f t="shared" si="245"/>
        <v>-253.57381990378053</v>
      </c>
      <c r="AA1821" s="3"/>
    </row>
    <row r="1822" spans="19:27" x14ac:dyDescent="0.25">
      <c r="S1822" s="4">
        <v>-0.58354440870362934</v>
      </c>
      <c r="T1822" s="4">
        <v>-1.1044728932265482</v>
      </c>
      <c r="U1822" s="4">
        <f t="shared" si="246"/>
        <v>-1.2312485390988828</v>
      </c>
      <c r="W1822" s="4">
        <f t="shared" si="247"/>
        <v>-0.96397653142091833</v>
      </c>
      <c r="X1822" s="4">
        <f t="shared" si="248"/>
        <v>-2.1050204571795423</v>
      </c>
      <c r="Y1822" s="3">
        <f t="shared" si="245"/>
        <v>-53.609510369597956</v>
      </c>
      <c r="AA1822" s="3"/>
    </row>
    <row r="1823" spans="19:27" x14ac:dyDescent="0.25">
      <c r="S1823" s="4">
        <v>0.45127719835080693</v>
      </c>
      <c r="T1823" s="4">
        <v>1.3633007736182097</v>
      </c>
      <c r="U1823" s="4">
        <f t="shared" si="246"/>
        <v>1.3557862916067815</v>
      </c>
      <c r="W1823" s="4">
        <f t="shared" si="247"/>
        <v>0.79569284608304869</v>
      </c>
      <c r="X1823" s="4">
        <f t="shared" si="248"/>
        <v>2.4561697117735641</v>
      </c>
      <c r="Y1823" s="3">
        <f t="shared" si="245"/>
        <v>119.73658694136111</v>
      </c>
      <c r="AA1823" s="3"/>
    </row>
    <row r="1824" spans="19:27" x14ac:dyDescent="0.25">
      <c r="S1824" s="4">
        <v>0.55571783616046266</v>
      </c>
      <c r="T1824" s="4">
        <v>-1.1052462185824083</v>
      </c>
      <c r="U1824" s="4">
        <f t="shared" si="246"/>
        <v>-0.53734186441540366</v>
      </c>
      <c r="W1824" s="4">
        <f t="shared" si="247"/>
        <v>0.97328963268644875</v>
      </c>
      <c r="X1824" s="4">
        <f t="shared" si="248"/>
        <v>-0.88159653370886371</v>
      </c>
      <c r="Y1824" s="3">
        <f t="shared" si="245"/>
        <v>-241.69372996380525</v>
      </c>
      <c r="AA1824" s="3"/>
    </row>
    <row r="1825" spans="19:27" x14ac:dyDescent="0.25">
      <c r="S1825" s="4">
        <v>0.16586869346751293</v>
      </c>
      <c r="T1825" s="4">
        <v>-2.4117579768306472</v>
      </c>
      <c r="U1825" s="4">
        <f t="shared" si="246"/>
        <v>-1.8106640434721732</v>
      </c>
      <c r="W1825" s="4">
        <f t="shared" si="247"/>
        <v>0.31036803000013075</v>
      </c>
      <c r="X1825" s="4">
        <f t="shared" si="248"/>
        <v>-3.1265854824813379</v>
      </c>
      <c r="Y1825" s="3">
        <f t="shared" si="245"/>
        <v>-362.14652376169943</v>
      </c>
      <c r="AA1825" s="3"/>
    </row>
    <row r="1826" spans="19:27" x14ac:dyDescent="0.25">
      <c r="S1826" s="4">
        <v>0.95262870294901614</v>
      </c>
      <c r="T1826" s="4">
        <v>-1.9943350273581377</v>
      </c>
      <c r="U1826" s="4">
        <f t="shared" si="246"/>
        <v>-1.00014974704927</v>
      </c>
      <c r="W1826" s="4">
        <f t="shared" si="247"/>
        <v>1.6482193917145991</v>
      </c>
      <c r="X1826" s="4">
        <f t="shared" si="248"/>
        <v>-1.6975711542777681</v>
      </c>
      <c r="Y1826" s="3">
        <f t="shared" si="245"/>
        <v>-426.9256785409425</v>
      </c>
      <c r="AA1826" s="3"/>
    </row>
    <row r="1827" spans="19:27" x14ac:dyDescent="0.25">
      <c r="S1827" s="4">
        <v>0.61347825609331841</v>
      </c>
      <c r="T1827" s="4">
        <v>0.52027472409814135</v>
      </c>
      <c r="U1827" s="4">
        <f t="shared" si="246"/>
        <v>0.78640765419994951</v>
      </c>
      <c r="W1827" s="4">
        <f t="shared" si="247"/>
        <v>1.0715087281273785</v>
      </c>
      <c r="X1827" s="4">
        <f t="shared" si="248"/>
        <v>1.4523006441725057</v>
      </c>
      <c r="Y1827" s="3">
        <f t="shared" si="245"/>
        <v>-23.528829487264829</v>
      </c>
      <c r="AA1827" s="3"/>
    </row>
    <row r="1828" spans="19:27" x14ac:dyDescent="0.25">
      <c r="S1828" s="4">
        <v>0.58395644318112983</v>
      </c>
      <c r="T1828" s="4">
        <v>1.0980478342808349</v>
      </c>
      <c r="U1828" s="4">
        <f t="shared" si="246"/>
        <v>1.2264066315621356</v>
      </c>
      <c r="W1828" s="4">
        <f t="shared" si="247"/>
        <v>1.0213081623527149</v>
      </c>
      <c r="X1828" s="4">
        <f t="shared" si="248"/>
        <v>2.2280609803201239</v>
      </c>
      <c r="Y1828" s="3">
        <f t="shared" si="245"/>
        <v>61.8226044237731</v>
      </c>
      <c r="AA1828" s="3"/>
    </row>
    <row r="1829" spans="19:27" x14ac:dyDescent="0.25">
      <c r="S1829" s="4">
        <v>-0.85741679013429728</v>
      </c>
      <c r="T1829" s="4">
        <v>1.3069829224850245</v>
      </c>
      <c r="U1829" s="4">
        <f t="shared" si="246"/>
        <v>0.51333452572099592</v>
      </c>
      <c r="W1829" s="4">
        <f t="shared" si="247"/>
        <v>-1.4296846686131881</v>
      </c>
      <c r="X1829" s="4">
        <f t="shared" si="248"/>
        <v>0.9708465662296405</v>
      </c>
      <c r="Y1829" s="3">
        <f t="shared" si="245"/>
        <v>331.51712445325757</v>
      </c>
      <c r="AA1829" s="3"/>
    </row>
    <row r="1830" spans="19:27" x14ac:dyDescent="0.25">
      <c r="S1830" s="4">
        <v>0.40082011335512663</v>
      </c>
      <c r="T1830" s="4">
        <v>-2.0118298620534047E-2</v>
      </c>
      <c r="U1830" s="4">
        <f t="shared" si="246"/>
        <v>0.22840126938966993</v>
      </c>
      <c r="W1830" s="4">
        <f t="shared" si="247"/>
        <v>0.70989275576821353</v>
      </c>
      <c r="X1830" s="4">
        <f t="shared" si="248"/>
        <v>0.46848194702900192</v>
      </c>
      <c r="Y1830" s="3">
        <f t="shared" si="245"/>
        <v>-65.614586755868004</v>
      </c>
      <c r="AA1830" s="3"/>
    </row>
    <row r="1831" spans="19:27" x14ac:dyDescent="0.25">
      <c r="S1831" s="4">
        <v>0.91838502978765846</v>
      </c>
      <c r="T1831" s="4">
        <v>1.3343326640995627</v>
      </c>
      <c r="U1831" s="4">
        <f t="shared" si="246"/>
        <v>1.6175828584728458</v>
      </c>
      <c r="W1831" s="4">
        <f t="shared" si="247"/>
        <v>1.5899895068489212</v>
      </c>
      <c r="X1831" s="4">
        <f t="shared" si="248"/>
        <v>2.9177421316274752</v>
      </c>
      <c r="Y1831" s="3">
        <f t="shared" si="245"/>
        <v>43.456119759536705</v>
      </c>
      <c r="AA1831" s="3"/>
    </row>
    <row r="1832" spans="19:27" x14ac:dyDescent="0.25">
      <c r="S1832" s="4">
        <v>-1.1788596100345274</v>
      </c>
      <c r="T1832" s="4">
        <v>9.2507361383650205E-2</v>
      </c>
      <c r="U1832" s="4">
        <f t="shared" si="246"/>
        <v>-0.64532927375761573</v>
      </c>
      <c r="W1832" s="4">
        <f t="shared" si="247"/>
        <v>-1.9762842785759156</v>
      </c>
      <c r="X1832" s="4">
        <f t="shared" si="248"/>
        <v>-1.0719886784207537</v>
      </c>
      <c r="Y1832" s="3">
        <f t="shared" si="245"/>
        <v>219.70528521774759</v>
      </c>
      <c r="AA1832" s="3"/>
    </row>
    <row r="1833" spans="19:27" x14ac:dyDescent="0.25">
      <c r="S1833" s="4">
        <v>-0.40983766416804102</v>
      </c>
      <c r="T1833" s="4">
        <v>1.0441551795647348</v>
      </c>
      <c r="U1833" s="4">
        <f t="shared" si="246"/>
        <v>0.57784729306091998</v>
      </c>
      <c r="W1833" s="4">
        <f t="shared" si="247"/>
        <v>-0.66859572670884604</v>
      </c>
      <c r="X1833" s="4">
        <f t="shared" si="248"/>
        <v>1.0845887534898548</v>
      </c>
      <c r="Y1833" s="3">
        <f t="shared" si="245"/>
        <v>216.76148356757312</v>
      </c>
      <c r="AA1833" s="3"/>
    </row>
    <row r="1834" spans="19:27" x14ac:dyDescent="0.25">
      <c r="S1834" s="4">
        <v>-0.23202362881115635</v>
      </c>
      <c r="T1834" s="4">
        <v>0.93762154058575309</v>
      </c>
      <c r="U1834" s="4">
        <f t="shared" si="246"/>
        <v>0.60179833100788405</v>
      </c>
      <c r="W1834" s="4">
        <f t="shared" si="247"/>
        <v>-0.36623065163223134</v>
      </c>
      <c r="X1834" s="4">
        <f t="shared" si="248"/>
        <v>1.1268167272006366</v>
      </c>
      <c r="Y1834" s="3">
        <f t="shared" si="245"/>
        <v>171.7177255388151</v>
      </c>
      <c r="AA1834" s="3"/>
    </row>
    <row r="1835" spans="19:27" x14ac:dyDescent="0.25">
      <c r="S1835" s="4">
        <v>0.597044511218501</v>
      </c>
      <c r="T1835" s="4">
        <v>-0.3681519152249858</v>
      </c>
      <c r="U1835" s="4">
        <f t="shared" si="246"/>
        <v>7.2140570252059943E-2</v>
      </c>
      <c r="W1835" s="4">
        <f t="shared" si="247"/>
        <v>1.0435638558742348</v>
      </c>
      <c r="X1835" s="4">
        <f t="shared" si="248"/>
        <v>0.19297936923580172</v>
      </c>
      <c r="Y1835" s="3">
        <f t="shared" si="245"/>
        <v>-145.134247559919</v>
      </c>
      <c r="AA1835" s="3"/>
    </row>
    <row r="1836" spans="19:27" x14ac:dyDescent="0.25">
      <c r="S1836" s="4">
        <v>-0.86480432016399944</v>
      </c>
      <c r="T1836" s="4">
        <v>0.21909402242146198</v>
      </c>
      <c r="U1836" s="4">
        <f t="shared" si="246"/>
        <v>-0.35352992598811422</v>
      </c>
      <c r="W1836" s="4">
        <f t="shared" si="247"/>
        <v>-1.4422468438519334</v>
      </c>
      <c r="X1836" s="4">
        <f t="shared" si="248"/>
        <v>-0.5575184824434789</v>
      </c>
      <c r="Y1836" s="3">
        <f t="shared" si="245"/>
        <v>180.78805691295656</v>
      </c>
      <c r="AA1836" s="3"/>
    </row>
    <row r="1837" spans="19:27" x14ac:dyDescent="0.25">
      <c r="S1837" s="4">
        <v>-1.0897930697087541</v>
      </c>
      <c r="T1837" s="4">
        <v>-0.14608484580589814</v>
      </c>
      <c r="U1837" s="4">
        <f t="shared" si="246"/>
        <v>-0.78016246195582328</v>
      </c>
      <c r="W1837" s="4">
        <f t="shared" si="247"/>
        <v>-1.8248304796766037</v>
      </c>
      <c r="X1837" s="4">
        <f t="shared" si="248"/>
        <v>-1.3097125022977267</v>
      </c>
      <c r="Y1837" s="3">
        <f t="shared" si="245"/>
        <v>170.15156499037585</v>
      </c>
      <c r="AA1837" s="3"/>
    </row>
    <row r="1838" spans="19:27" x14ac:dyDescent="0.25">
      <c r="S1838" s="4">
        <v>1.1537707680167129</v>
      </c>
      <c r="T1838" s="4">
        <v>1.0780412241627002</v>
      </c>
      <c r="U1838" s="4">
        <f t="shared" si="246"/>
        <v>1.5579190774287892</v>
      </c>
      <c r="W1838" s="4">
        <f t="shared" si="247"/>
        <v>1.9902527721684702</v>
      </c>
      <c r="X1838" s="4">
        <f t="shared" si="248"/>
        <v>2.8125491715982163</v>
      </c>
      <c r="Y1838" s="3">
        <f t="shared" si="245"/>
        <v>-27.55646150367329</v>
      </c>
      <c r="AA1838" s="3"/>
    </row>
    <row r="1839" spans="19:27" x14ac:dyDescent="0.25">
      <c r="S1839" s="4">
        <v>1.6900465007124992</v>
      </c>
      <c r="T1839" s="4">
        <v>1.2079083801296406</v>
      </c>
      <c r="U1839" s="4">
        <f t="shared" si="246"/>
        <v>1.9877893874429589</v>
      </c>
      <c r="W1839" s="4">
        <f t="shared" si="247"/>
        <v>2.9021664568946504</v>
      </c>
      <c r="X1839" s="4">
        <f t="shared" si="248"/>
        <v>3.5704516971806144</v>
      </c>
      <c r="Y1839" s="3">
        <f t="shared" si="245"/>
        <v>-86.607873745633697</v>
      </c>
      <c r="AA1839" s="3"/>
    </row>
    <row r="1840" spans="19:27" x14ac:dyDescent="0.25">
      <c r="S1840" s="4">
        <v>-1.4248255614983967</v>
      </c>
      <c r="T1840" s="4">
        <v>-0.93464478312654653</v>
      </c>
      <c r="U1840" s="4">
        <f t="shared" si="246"/>
        <v>-1.6094909129162627</v>
      </c>
      <c r="W1840" s="4">
        <f t="shared" si="247"/>
        <v>-2.3945387388123933</v>
      </c>
      <c r="X1840" s="4">
        <f t="shared" si="248"/>
        <v>-2.771897986797776</v>
      </c>
      <c r="Y1840" s="3">
        <f t="shared" si="245"/>
        <v>121.54783482570747</v>
      </c>
      <c r="AA1840" s="3"/>
    </row>
    <row r="1841" spans="19:27" x14ac:dyDescent="0.25">
      <c r="S1841" s="4">
        <v>0.42964991768749689</v>
      </c>
      <c r="T1841" s="4">
        <v>9.6102800571874675E-2</v>
      </c>
      <c r="U1841" s="4">
        <f t="shared" si="246"/>
        <v>0.33810409911927108</v>
      </c>
      <c r="W1841" s="4">
        <f t="shared" si="247"/>
        <v>0.75891659088845809</v>
      </c>
      <c r="X1841" s="4">
        <f t="shared" si="248"/>
        <v>0.66189854217105737</v>
      </c>
      <c r="Y1841" s="3">
        <f t="shared" si="245"/>
        <v>-53.943982777454494</v>
      </c>
      <c r="AA1841" s="3"/>
    </row>
    <row r="1842" spans="19:27" x14ac:dyDescent="0.25">
      <c r="S1842" s="4">
        <v>-1.1569128988073472E-2</v>
      </c>
      <c r="T1842" s="4">
        <v>-0.57917458553839196</v>
      </c>
      <c r="U1842" s="4">
        <f t="shared" si="246"/>
        <v>-0.46615987068885217</v>
      </c>
      <c r="W1842" s="4">
        <f t="shared" si="247"/>
        <v>8.6426886876001981E-3</v>
      </c>
      <c r="X1842" s="4">
        <f t="shared" si="248"/>
        <v>-0.75609586161181774</v>
      </c>
      <c r="Y1842" s="3">
        <f t="shared" si="245"/>
        <v>-76.994387238480613</v>
      </c>
      <c r="AA1842" s="3"/>
    </row>
    <row r="1843" spans="19:27" x14ac:dyDescent="0.25">
      <c r="S1843" s="4">
        <v>-9.8169886893120811E-2</v>
      </c>
      <c r="T1843" s="4">
        <v>2.2395715379887791</v>
      </c>
      <c r="U1843" s="4">
        <f t="shared" si="246"/>
        <v>1.7154439306061522</v>
      </c>
      <c r="W1843" s="4">
        <f t="shared" si="247"/>
        <v>-0.13861815387241613</v>
      </c>
      <c r="X1843" s="4">
        <f t="shared" si="248"/>
        <v>3.0902805740325561</v>
      </c>
      <c r="Y1843" s="3">
        <f t="shared" si="245"/>
        <v>331.2913849653678</v>
      </c>
      <c r="AA1843" s="3"/>
    </row>
    <row r="1844" spans="19:27" x14ac:dyDescent="0.25">
      <c r="S1844" s="4">
        <v>0.40867150657129003</v>
      </c>
      <c r="T1844" s="4">
        <v>-0.28365847231626479</v>
      </c>
      <c r="U1844" s="4">
        <f t="shared" si="246"/>
        <v>2.4281461514777475E-2</v>
      </c>
      <c r="W1844" s="4">
        <f t="shared" si="247"/>
        <v>0.72324371028930368</v>
      </c>
      <c r="X1844" s="4">
        <f t="shared" si="248"/>
        <v>0.10859917702640404</v>
      </c>
      <c r="Y1844" s="3">
        <f t="shared" si="245"/>
        <v>-103.69318461016837</v>
      </c>
      <c r="AA1844" s="3"/>
    </row>
    <row r="1845" spans="19:27" x14ac:dyDescent="0.25">
      <c r="S1845" s="4">
        <v>-0.29198536920045742</v>
      </c>
      <c r="T1845" s="4">
        <v>0.23870180179328632</v>
      </c>
      <c r="U1845" s="4">
        <f t="shared" si="246"/>
        <v>1.1216217388781008E-2</v>
      </c>
      <c r="W1845" s="4">
        <f t="shared" si="247"/>
        <v>-0.46819299728254349</v>
      </c>
      <c r="X1845" s="4">
        <f t="shared" si="248"/>
        <v>8.5563900363270662E-2</v>
      </c>
      <c r="Y1845" s="3">
        <f t="shared" si="245"/>
        <v>84.152658735053137</v>
      </c>
      <c r="AA1845" s="3"/>
    </row>
    <row r="1846" spans="19:27" x14ac:dyDescent="0.25">
      <c r="S1846" s="4">
        <v>0.1306575968255676</v>
      </c>
      <c r="T1846" s="4">
        <v>1.1585619132096747</v>
      </c>
      <c r="U1846" s="4">
        <f t="shared" si="246"/>
        <v>0.99803456828685044</v>
      </c>
      <c r="W1846" s="4">
        <f t="shared" si="247"/>
        <v>0.25049308335543374</v>
      </c>
      <c r="X1846" s="4">
        <f t="shared" si="248"/>
        <v>1.8254191613885107</v>
      </c>
      <c r="Y1846" s="3">
        <f t="shared" si="245"/>
        <v>142.56230414806942</v>
      </c>
      <c r="AA1846" s="3"/>
    </row>
    <row r="1847" spans="19:27" x14ac:dyDescent="0.25">
      <c r="S1847" s="4">
        <v>-1.1114568198806405</v>
      </c>
      <c r="T1847" s="4">
        <v>-1.5832909066526959</v>
      </c>
      <c r="U1847" s="4">
        <f t="shared" si="246"/>
        <v>-1.9326309414240976</v>
      </c>
      <c r="W1847" s="4">
        <f t="shared" si="247"/>
        <v>-1.8616687496928959</v>
      </c>
      <c r="X1847" s="4">
        <f t="shared" si="248"/>
        <v>-3.3416248044390864</v>
      </c>
      <c r="Y1847" s="3">
        <f t="shared" si="245"/>
        <v>-26.780080223762525</v>
      </c>
      <c r="AA1847" s="3"/>
    </row>
    <row r="1848" spans="19:27" x14ac:dyDescent="0.25">
      <c r="S1848" s="4">
        <v>-0.25188608109297911</v>
      </c>
      <c r="T1848" s="4">
        <v>1.887219989580226</v>
      </c>
      <c r="U1848" s="4">
        <f t="shared" si="246"/>
        <v>1.3424288486442397</v>
      </c>
      <c r="W1848" s="4">
        <f t="shared" si="247"/>
        <v>-0.40000589250871865</v>
      </c>
      <c r="X1848" s="4">
        <f t="shared" si="248"/>
        <v>2.4326192605774821</v>
      </c>
      <c r="Y1848" s="3">
        <f t="shared" si="245"/>
        <v>307.77759127868921</v>
      </c>
      <c r="AA1848" s="3"/>
    </row>
    <row r="1849" spans="19:27" x14ac:dyDescent="0.25">
      <c r="S1849" s="4">
        <v>-0.47652953880169258</v>
      </c>
      <c r="T1849" s="4">
        <v>-0.34025611601327366</v>
      </c>
      <c r="U1849" s="4">
        <f t="shared" si="246"/>
        <v>-0.56022134666978274</v>
      </c>
      <c r="W1849" s="4">
        <f t="shared" si="247"/>
        <v>-0.78200237450316168</v>
      </c>
      <c r="X1849" s="4">
        <f t="shared" si="248"/>
        <v>-0.92193525210986227</v>
      </c>
      <c r="Y1849" s="3">
        <f t="shared" si="245"/>
        <v>34.710350941291836</v>
      </c>
      <c r="AA1849" s="3"/>
    </row>
    <row r="1850" spans="19:27" x14ac:dyDescent="0.25">
      <c r="S1850" s="4">
        <v>-1.2238575185944891</v>
      </c>
      <c r="T1850" s="4">
        <v>-0.31075911271604539</v>
      </c>
      <c r="U1850" s="4">
        <f t="shared" si="246"/>
        <v>-0.99242711832729635</v>
      </c>
      <c r="W1850" s="4">
        <f t="shared" si="247"/>
        <v>-2.05280127552003</v>
      </c>
      <c r="X1850" s="4">
        <f t="shared" si="248"/>
        <v>-1.6839554202385272</v>
      </c>
      <c r="Y1850" s="3">
        <f t="shared" si="245"/>
        <v>171.58024352246775</v>
      </c>
      <c r="AA1850" s="3"/>
    </row>
    <row r="1851" spans="19:27" x14ac:dyDescent="0.25">
      <c r="S1851" s="4">
        <v>1.249738247718978</v>
      </c>
      <c r="T1851" s="4">
        <v>-2.6834342036160544E-2</v>
      </c>
      <c r="U1851" s="4">
        <f t="shared" si="246"/>
        <v>0.74059695102024581</v>
      </c>
      <c r="W1851" s="4">
        <f t="shared" si="247"/>
        <v>2.1534413199501423</v>
      </c>
      <c r="X1851" s="4">
        <f t="shared" si="248"/>
        <v>1.3715319871385769</v>
      </c>
      <c r="Y1851" s="3">
        <f t="shared" si="245"/>
        <v>-196.09148711560101</v>
      </c>
      <c r="AA1851" s="3"/>
    </row>
    <row r="1852" spans="19:27" x14ac:dyDescent="0.25">
      <c r="S1852" s="4">
        <v>-0.82862324586758884</v>
      </c>
      <c r="T1852" s="4">
        <v>1.8744961827325619</v>
      </c>
      <c r="U1852" s="4">
        <f t="shared" si="246"/>
        <v>0.9807509447840087</v>
      </c>
      <c r="W1852" s="4">
        <f t="shared" si="247"/>
        <v>-1.3807224921660293</v>
      </c>
      <c r="X1852" s="4">
        <f t="shared" si="248"/>
        <v>1.7949464778863928</v>
      </c>
      <c r="Y1852" s="3">
        <f t="shared" si="245"/>
        <v>405.72115678900082</v>
      </c>
      <c r="AA1852" s="3"/>
    </row>
    <row r="1853" spans="19:27" x14ac:dyDescent="0.25">
      <c r="S1853" s="4">
        <v>-0.12291219573677047</v>
      </c>
      <c r="T1853" s="4">
        <v>0.10342461936438131</v>
      </c>
      <c r="U1853" s="4">
        <f t="shared" si="246"/>
        <v>7.0538534120225954E-3</v>
      </c>
      <c r="W1853" s="4">
        <f t="shared" si="247"/>
        <v>-0.1806913797348382</v>
      </c>
      <c r="X1853" s="4">
        <f t="shared" si="248"/>
        <v>7.8225254039279574E-2</v>
      </c>
      <c r="Y1853" s="3">
        <f t="shared" si="245"/>
        <v>36.862881760849632</v>
      </c>
      <c r="AA1853" s="3"/>
    </row>
    <row r="1854" spans="19:27" x14ac:dyDescent="0.25">
      <c r="S1854" s="4">
        <v>-0.75001842022331877</v>
      </c>
      <c r="T1854" s="4">
        <v>-0.29205960922238677</v>
      </c>
      <c r="U1854" s="4">
        <f t="shared" si="246"/>
        <v>-0.68874128455426908</v>
      </c>
      <c r="W1854" s="4">
        <f t="shared" si="247"/>
        <v>-1.2470583865198621</v>
      </c>
      <c r="X1854" s="4">
        <f t="shared" si="248"/>
        <v>-1.1485282110586541</v>
      </c>
      <c r="Y1854" s="3">
        <f t="shared" si="245"/>
        <v>89.036322649100839</v>
      </c>
      <c r="AA1854" s="3"/>
    </row>
    <row r="1855" spans="19:27" x14ac:dyDescent="0.25">
      <c r="S1855" s="4">
        <v>2.5633602614795376E-2</v>
      </c>
      <c r="T1855" s="4">
        <v>-1.1125017295329604</v>
      </c>
      <c r="U1855" s="4">
        <f t="shared" si="246"/>
        <v>-0.86624442597027707</v>
      </c>
      <c r="W1855" s="4">
        <f t="shared" si="247"/>
        <v>7.1904324427318242E-2</v>
      </c>
      <c r="X1855" s="4">
        <f t="shared" si="248"/>
        <v>-1.4614832489945551</v>
      </c>
      <c r="Y1855" s="3">
        <f t="shared" si="245"/>
        <v>-157.65765886430518</v>
      </c>
      <c r="AA1855" s="3"/>
    </row>
    <row r="1856" spans="19:27" x14ac:dyDescent="0.25">
      <c r="S1856" s="4">
        <v>-2.5504436144430969</v>
      </c>
      <c r="T1856" s="4">
        <v>-1.448900505018154</v>
      </c>
      <c r="U1856" s="4">
        <f t="shared" si="246"/>
        <v>-2.703339199053679</v>
      </c>
      <c r="W1856" s="4">
        <f t="shared" si="247"/>
        <v>-4.308603544794197</v>
      </c>
      <c r="X1856" s="4">
        <f t="shared" si="248"/>
        <v>-4.7004572739934849</v>
      </c>
      <c r="Y1856" s="3">
        <f t="shared" si="245"/>
        <v>269.4713047670466</v>
      </c>
      <c r="AA1856" s="3"/>
    </row>
    <row r="1857" spans="19:27" x14ac:dyDescent="0.25">
      <c r="S1857" s="4">
        <v>-0.54283053234257395</v>
      </c>
      <c r="T1857" s="4">
        <v>-0.41600183735793655</v>
      </c>
      <c r="U1857" s="4">
        <f t="shared" si="246"/>
        <v>-0.66068294040908671</v>
      </c>
      <c r="W1857" s="4">
        <f t="shared" si="247"/>
        <v>-0.89474434590832586</v>
      </c>
      <c r="X1857" s="4">
        <f t="shared" si="248"/>
        <v>-1.0990586631603756</v>
      </c>
      <c r="Y1857" s="3">
        <f t="shared" si="245"/>
        <v>35.557000198827154</v>
      </c>
      <c r="AA1857" s="3"/>
    </row>
    <row r="1858" spans="19:27" x14ac:dyDescent="0.25">
      <c r="S1858" s="4">
        <v>0.97009429775077027</v>
      </c>
      <c r="T1858" s="4">
        <v>-0.63004573882669057</v>
      </c>
      <c r="U1858" s="4">
        <f t="shared" si="246"/>
        <v>9.1958899775520908E-2</v>
      </c>
      <c r="W1858" s="4">
        <f t="shared" si="247"/>
        <v>1.6779188801317582</v>
      </c>
      <c r="X1858" s="4">
        <f t="shared" si="248"/>
        <v>0.22792098220311774</v>
      </c>
      <c r="Y1858" s="3">
        <f t="shared" ref="Y1858:Y1921" si="249">(B$4*EXP(-B$8*B$7)*NORMSDIST((LN(B$4/(B$5+W1858))-B$8*B$7+B$9*B$7+0.5*B$6*B$6*B$7)/(B$6*SQRT(B$7)))-(B$5+W1858)*EXP(-B$9*B$7)*NORMSDIST((LN(B$4/(B$5+W1858))-B$8*B$7+B$9*B$7-0.5*B$6*B$6*B$7)/(B$6*SQRT(B$7))))*400+100*X1858-400*$B$13</f>
        <v>-238.88398170457049</v>
      </c>
      <c r="AA1858" s="3"/>
    </row>
    <row r="1859" spans="19:27" x14ac:dyDescent="0.25">
      <c r="S1859" s="4">
        <v>-0.42651094717587251</v>
      </c>
      <c r="T1859" s="4">
        <v>-0.67298832421899635</v>
      </c>
      <c r="U1859" s="4">
        <f t="shared" ref="U1859:U1922" si="250">$B$19*S1859+SQRT(1-$B$19^2)*T1859</f>
        <v>-0.79348306309608152</v>
      </c>
      <c r="W1859" s="4">
        <f t="shared" ref="W1859:W1922" si="251">S1859*SQRT($B$16)+$B$20</f>
        <v>-0.69694792319501286</v>
      </c>
      <c r="X1859" s="4">
        <f t="shared" ref="X1859:X1922" si="252">U1859*SQRT($C$17)+$C$20</f>
        <v>-1.3331979978327515</v>
      </c>
      <c r="Y1859" s="3">
        <f t="shared" si="249"/>
        <v>-20.373093189040446</v>
      </c>
      <c r="AA1859" s="3"/>
    </row>
    <row r="1860" spans="19:27" x14ac:dyDescent="0.25">
      <c r="S1860" s="4">
        <v>0.93779349967985348</v>
      </c>
      <c r="T1860" s="4">
        <v>1.4883885260768595</v>
      </c>
      <c r="U1860" s="4">
        <f t="shared" si="250"/>
        <v>1.7515335470183442</v>
      </c>
      <c r="W1860" s="4">
        <f t="shared" si="251"/>
        <v>1.6229927703106461</v>
      </c>
      <c r="X1860" s="4">
        <f t="shared" si="252"/>
        <v>3.1539100240990163</v>
      </c>
      <c r="Y1860" s="3">
        <f t="shared" si="249"/>
        <v>62.054587472019193</v>
      </c>
      <c r="AA1860" s="3"/>
    </row>
    <row r="1861" spans="19:27" x14ac:dyDescent="0.25">
      <c r="S1861" s="4">
        <v>-0.20990382495817442</v>
      </c>
      <c r="T1861" s="4">
        <v>1.2448751014745589</v>
      </c>
      <c r="U1861" s="4">
        <f t="shared" si="250"/>
        <v>0.85884050247785004</v>
      </c>
      <c r="W1861" s="4">
        <f t="shared" si="251"/>
        <v>-0.32861688205963774</v>
      </c>
      <c r="X1861" s="4">
        <f t="shared" si="252"/>
        <v>1.5800066926389325</v>
      </c>
      <c r="Y1861" s="3">
        <f t="shared" si="249"/>
        <v>210.94133948188028</v>
      </c>
      <c r="AA1861" s="3"/>
    </row>
    <row r="1862" spans="19:27" x14ac:dyDescent="0.25">
      <c r="S1862" s="4">
        <v>-1.6435501399724055</v>
      </c>
      <c r="T1862" s="4">
        <v>-0.75902170492071286</v>
      </c>
      <c r="U1862" s="4">
        <f t="shared" si="250"/>
        <v>-1.6036152836693103</v>
      </c>
      <c r="W1862" s="4">
        <f t="shared" si="251"/>
        <v>-2.7664704227126986</v>
      </c>
      <c r="X1862" s="4">
        <f t="shared" si="252"/>
        <v>-2.7615386897216321</v>
      </c>
      <c r="Y1862" s="3">
        <f t="shared" si="249"/>
        <v>187.24914059632374</v>
      </c>
      <c r="AA1862" s="3"/>
    </row>
    <row r="1863" spans="19:27" x14ac:dyDescent="0.25">
      <c r="S1863" s="4">
        <v>-0.5359287548296362</v>
      </c>
      <c r="T1863" s="4">
        <v>-0.94598786701015991</v>
      </c>
      <c r="U1863" s="4">
        <f t="shared" si="250"/>
        <v>-1.0765911587006309</v>
      </c>
      <c r="W1863" s="4">
        <f t="shared" si="251"/>
        <v>-0.88300817181119651</v>
      </c>
      <c r="X1863" s="4">
        <f t="shared" si="252"/>
        <v>-1.8323446838749633</v>
      </c>
      <c r="Y1863" s="3">
        <f t="shared" si="249"/>
        <v>-39.706655760832291</v>
      </c>
      <c r="AA1863" s="3"/>
    </row>
    <row r="1864" spans="19:27" x14ac:dyDescent="0.25">
      <c r="S1864" s="4">
        <v>4.8437324319537791E-3</v>
      </c>
      <c r="T1864" s="4">
        <v>0.1729427155154098</v>
      </c>
      <c r="U1864" s="4">
        <f t="shared" si="250"/>
        <v>0.14004315768599723</v>
      </c>
      <c r="W1864" s="4">
        <f t="shared" si="251"/>
        <v>3.6552049529269354E-2</v>
      </c>
      <c r="X1864" s="4">
        <f t="shared" si="252"/>
        <v>0.31269813396757468</v>
      </c>
      <c r="Y1864" s="3">
        <f t="shared" si="249"/>
        <v>25.415786896108784</v>
      </c>
      <c r="AA1864" s="3"/>
    </row>
    <row r="1865" spans="19:27" x14ac:dyDescent="0.25">
      <c r="S1865" s="4">
        <v>-0.20162216099286578</v>
      </c>
      <c r="T1865" s="4">
        <v>-0.37066822057878107</v>
      </c>
      <c r="U1865" s="4">
        <f t="shared" si="250"/>
        <v>-0.41673910803270353</v>
      </c>
      <c r="W1865" s="4">
        <f t="shared" si="251"/>
        <v>-0.31453427074268536</v>
      </c>
      <c r="X1865" s="4">
        <f t="shared" si="252"/>
        <v>-0.66896232398259958</v>
      </c>
      <c r="Y1865" s="3">
        <f t="shared" si="249"/>
        <v>-16.235783551350778</v>
      </c>
      <c r="AA1865" s="3"/>
    </row>
    <row r="1866" spans="19:27" x14ac:dyDescent="0.25">
      <c r="S1866" s="4">
        <v>0.83246004326505574</v>
      </c>
      <c r="T1866" s="4">
        <v>-1.3802557401030968</v>
      </c>
      <c r="U1866" s="4">
        <f t="shared" si="250"/>
        <v>-0.5866314931748311</v>
      </c>
      <c r="W1866" s="4">
        <f t="shared" si="251"/>
        <v>1.4438777842915942</v>
      </c>
      <c r="X1866" s="4">
        <f t="shared" si="252"/>
        <v>-0.96849886971936305</v>
      </c>
      <c r="Y1866" s="3">
        <f t="shared" si="249"/>
        <v>-322.88503057963089</v>
      </c>
      <c r="AA1866" s="3"/>
    </row>
    <row r="1867" spans="19:27" x14ac:dyDescent="0.25">
      <c r="S1867" s="4">
        <v>0.96525930392828796</v>
      </c>
      <c r="T1867" s="4">
        <v>-0.49182923152011876</v>
      </c>
      <c r="U1867" s="4">
        <f t="shared" si="250"/>
        <v>0.19857450189130899</v>
      </c>
      <c r="W1867" s="4">
        <f t="shared" si="251"/>
        <v>1.6696971822933639</v>
      </c>
      <c r="X1867" s="4">
        <f t="shared" si="252"/>
        <v>0.41589449939573409</v>
      </c>
      <c r="Y1867" s="3">
        <f t="shared" si="249"/>
        <v>-218.83925951570109</v>
      </c>
      <c r="AA1867" s="3"/>
    </row>
    <row r="1868" spans="19:27" x14ac:dyDescent="0.25">
      <c r="S1868" s="4">
        <v>1.6485563704529416</v>
      </c>
      <c r="T1868" s="4">
        <v>0.15064339621467779</v>
      </c>
      <c r="U1868" s="4">
        <f t="shared" si="250"/>
        <v>1.1244105636611934</v>
      </c>
      <c r="W1868" s="4">
        <f t="shared" si="251"/>
        <v>2.8316142852075803</v>
      </c>
      <c r="X1868" s="4">
        <f t="shared" si="252"/>
        <v>2.0482321443648104</v>
      </c>
      <c r="Y1868" s="3">
        <f t="shared" si="249"/>
        <v>-228.54416993217001</v>
      </c>
      <c r="AA1868" s="3"/>
    </row>
    <row r="1869" spans="19:27" x14ac:dyDescent="0.25">
      <c r="S1869" s="4">
        <v>-5.6338007950447487E-2</v>
      </c>
      <c r="T1869" s="4">
        <v>-0.30954865577008728</v>
      </c>
      <c r="U1869" s="4">
        <f t="shared" si="250"/>
        <v>-0.27972165555442874</v>
      </c>
      <c r="W1869" s="4">
        <f t="shared" si="251"/>
        <v>-6.7484853333395725E-2</v>
      </c>
      <c r="X1869" s="4">
        <f t="shared" si="252"/>
        <v>-0.42738743299111048</v>
      </c>
      <c r="Y1869" s="3">
        <f t="shared" si="249"/>
        <v>-31.912491029075227</v>
      </c>
      <c r="AA1869" s="3"/>
    </row>
    <row r="1870" spans="19:27" x14ac:dyDescent="0.25">
      <c r="S1870" s="4">
        <v>1.0891995597473907</v>
      </c>
      <c r="T1870" s="4">
        <v>0.63635526250560304</v>
      </c>
      <c r="U1870" s="4">
        <f t="shared" si="250"/>
        <v>1.1684340914811857</v>
      </c>
      <c r="W1870" s="4">
        <f t="shared" si="251"/>
        <v>1.8804522257889047</v>
      </c>
      <c r="X1870" s="4">
        <f t="shared" si="252"/>
        <v>2.1258498400803374</v>
      </c>
      <c r="Y1870" s="3">
        <f t="shared" si="249"/>
        <v>-79.711732331371422</v>
      </c>
      <c r="AA1870" s="3"/>
    </row>
    <row r="1871" spans="19:27" x14ac:dyDescent="0.25">
      <c r="S1871" s="4">
        <v>-0.34625394434869466</v>
      </c>
      <c r="T1871" s="4">
        <v>0.55567481161518673</v>
      </c>
      <c r="U1871" s="4">
        <f t="shared" si="250"/>
        <v>0.22939485825106179</v>
      </c>
      <c r="W1871" s="4">
        <f t="shared" si="251"/>
        <v>-0.56047436172075471</v>
      </c>
      <c r="X1871" s="4">
        <f t="shared" si="252"/>
        <v>0.47023373934844503</v>
      </c>
      <c r="Y1871" s="3">
        <f t="shared" si="249"/>
        <v>137.65421300361595</v>
      </c>
      <c r="AA1871" s="3"/>
    </row>
    <row r="1872" spans="19:27" x14ac:dyDescent="0.25">
      <c r="S1872" s="4">
        <v>0.57675873716874426</v>
      </c>
      <c r="T1872" s="4">
        <v>1.7782295811980233</v>
      </c>
      <c r="U1872" s="4">
        <f t="shared" si="250"/>
        <v>1.7611933915925708</v>
      </c>
      <c r="W1872" s="4">
        <f t="shared" si="251"/>
        <v>1.0090687746438294</v>
      </c>
      <c r="X1872" s="4">
        <f t="shared" si="252"/>
        <v>3.1709412552145086</v>
      </c>
      <c r="Y1872" s="3">
        <f t="shared" si="249"/>
        <v>158.00829200772296</v>
      </c>
      <c r="AA1872" s="3"/>
    </row>
    <row r="1873" spans="19:27" x14ac:dyDescent="0.25">
      <c r="S1873" s="4">
        <v>-0.54356734318420508</v>
      </c>
      <c r="T1873" s="4">
        <v>-0.40403131952346782</v>
      </c>
      <c r="U1873" s="4">
        <f t="shared" si="250"/>
        <v>-0.65164318278780131</v>
      </c>
      <c r="W1873" s="4">
        <f t="shared" si="251"/>
        <v>-0.89599726087085918</v>
      </c>
      <c r="X1873" s="4">
        <f t="shared" si="252"/>
        <v>-1.0831207047291476</v>
      </c>
      <c r="Y1873" s="3">
        <f t="shared" si="249"/>
        <v>37.357418642311586</v>
      </c>
      <c r="AA1873" s="3"/>
    </row>
    <row r="1874" spans="19:27" x14ac:dyDescent="0.25">
      <c r="S1874" s="4">
        <v>0.79096939945166078</v>
      </c>
      <c r="T1874" s="4">
        <v>0.51485943762211284</v>
      </c>
      <c r="U1874" s="4">
        <f t="shared" si="250"/>
        <v>0.89031756097770964</v>
      </c>
      <c r="W1874" s="4">
        <f t="shared" si="251"/>
        <v>1.3733247393284396</v>
      </c>
      <c r="X1874" s="4">
        <f t="shared" si="252"/>
        <v>1.6355037613575469</v>
      </c>
      <c r="Y1874" s="3">
        <f t="shared" si="249"/>
        <v>-51.686446384806004</v>
      </c>
      <c r="AA1874" s="3"/>
    </row>
    <row r="1875" spans="19:27" x14ac:dyDescent="0.25">
      <c r="S1875" s="4">
        <v>-0.49225881134711563</v>
      </c>
      <c r="T1875" s="4">
        <v>0.28015794846235331</v>
      </c>
      <c r="U1875" s="4">
        <f t="shared" si="250"/>
        <v>-7.8012984814898018E-2</v>
      </c>
      <c r="W1875" s="4">
        <f t="shared" si="251"/>
        <v>-0.80874932203490069</v>
      </c>
      <c r="X1875" s="4">
        <f t="shared" si="252"/>
        <v>-7.1755728674709779E-2</v>
      </c>
      <c r="Y1875" s="3">
        <f t="shared" si="249"/>
        <v>124.12521953632631</v>
      </c>
      <c r="AA1875" s="3"/>
    </row>
    <row r="1876" spans="19:27" x14ac:dyDescent="0.25">
      <c r="S1876" s="4">
        <v>-0.14132576483889128</v>
      </c>
      <c r="T1876" s="4">
        <v>0.54804597157725932</v>
      </c>
      <c r="U1876" s="4">
        <f t="shared" si="250"/>
        <v>0.34827632819586252</v>
      </c>
      <c r="W1876" s="4">
        <f t="shared" si="251"/>
        <v>-0.21200285744140174</v>
      </c>
      <c r="X1876" s="4">
        <f t="shared" si="252"/>
        <v>0.67983315623569751</v>
      </c>
      <c r="Y1876" s="3">
        <f t="shared" si="249"/>
        <v>102.07318844534802</v>
      </c>
      <c r="AA1876" s="3"/>
    </row>
    <row r="1877" spans="19:27" x14ac:dyDescent="0.25">
      <c r="S1877" s="4">
        <v>4.9866347335046676E-2</v>
      </c>
      <c r="T1877" s="4">
        <v>-0.23240761318461448</v>
      </c>
      <c r="U1877" s="4">
        <f t="shared" si="250"/>
        <v>-0.15382802216621239</v>
      </c>
      <c r="W1877" s="4">
        <f t="shared" si="251"/>
        <v>0.11311105854110837</v>
      </c>
      <c r="X1877" s="4">
        <f t="shared" si="252"/>
        <v>-0.20542490039254943</v>
      </c>
      <c r="Y1877" s="3">
        <f t="shared" si="249"/>
        <v>-38.63552369135914</v>
      </c>
      <c r="AA1877" s="3"/>
    </row>
    <row r="1878" spans="19:27" x14ac:dyDescent="0.25">
      <c r="S1878" s="4">
        <v>0.43400026117261514</v>
      </c>
      <c r="T1878" s="4">
        <v>0.66421645020537035</v>
      </c>
      <c r="U1878" s="4">
        <f t="shared" si="250"/>
        <v>0.79109532148722406</v>
      </c>
      <c r="W1878" s="4">
        <f t="shared" si="251"/>
        <v>0.76631416179362744</v>
      </c>
      <c r="X1878" s="4">
        <f t="shared" si="252"/>
        <v>1.4605654505416596</v>
      </c>
      <c r="Y1878" s="3">
        <f t="shared" si="249"/>
        <v>24.766231186069945</v>
      </c>
      <c r="AA1878" s="3"/>
    </row>
    <row r="1879" spans="19:27" x14ac:dyDescent="0.25">
      <c r="S1879" s="4">
        <v>-0.84450289353442642</v>
      </c>
      <c r="T1879" s="4">
        <v>-1.4667766546341214</v>
      </c>
      <c r="U1879" s="4">
        <f t="shared" si="250"/>
        <v>-1.6775299540187723</v>
      </c>
      <c r="W1879" s="4">
        <f t="shared" si="251"/>
        <v>-1.4077251460866644</v>
      </c>
      <c r="X1879" s="4">
        <f t="shared" si="252"/>
        <v>-2.8918573324155203</v>
      </c>
      <c r="Y1879" s="3">
        <f t="shared" si="249"/>
        <v>-58.435202751240467</v>
      </c>
      <c r="AA1879" s="3"/>
    </row>
    <row r="1880" spans="19:27" x14ac:dyDescent="0.25">
      <c r="S1880" s="4">
        <v>0.10084505453762589</v>
      </c>
      <c r="T1880" s="4">
        <v>-0.73350185410669411</v>
      </c>
      <c r="U1880" s="4">
        <f t="shared" si="250"/>
        <v>-0.51996367034168844</v>
      </c>
      <c r="W1880" s="4">
        <f t="shared" si="251"/>
        <v>0.1997981448539482</v>
      </c>
      <c r="X1880" s="4">
        <f t="shared" si="252"/>
        <v>-0.85095711323319589</v>
      </c>
      <c r="Y1880" s="3">
        <f t="shared" si="249"/>
        <v>-117.01034773692527</v>
      </c>
      <c r="AA1880" s="3"/>
    </row>
    <row r="1881" spans="19:27" x14ac:dyDescent="0.25">
      <c r="S1881" s="4">
        <v>0.45565345172764332</v>
      </c>
      <c r="T1881" s="4">
        <v>0.78472121579312515</v>
      </c>
      <c r="U1881" s="4">
        <f t="shared" si="250"/>
        <v>0.89981875549799561</v>
      </c>
      <c r="W1881" s="4">
        <f t="shared" si="251"/>
        <v>0.80313447563825013</v>
      </c>
      <c r="X1881" s="4">
        <f t="shared" si="252"/>
        <v>1.6522552772338981</v>
      </c>
      <c r="Y1881" s="3">
        <f t="shared" si="249"/>
        <v>38.183176391060442</v>
      </c>
      <c r="AA1881" s="3"/>
    </row>
    <row r="1882" spans="19:27" x14ac:dyDescent="0.25">
      <c r="S1882" s="4">
        <v>-0.3825063825982285</v>
      </c>
      <c r="T1882" s="4">
        <v>-0.96426481395597907</v>
      </c>
      <c r="U1882" s="4">
        <f t="shared" si="250"/>
        <v>-0.99754944742545404</v>
      </c>
      <c r="W1882" s="4">
        <f t="shared" si="251"/>
        <v>-0.62212006472181558</v>
      </c>
      <c r="X1882" s="4">
        <f t="shared" si="252"/>
        <v>-1.6929865770081816</v>
      </c>
      <c r="Y1882" s="3">
        <f t="shared" si="249"/>
        <v>-68.599690079721768</v>
      </c>
      <c r="AA1882" s="3"/>
    </row>
    <row r="1883" spans="19:27" x14ac:dyDescent="0.25">
      <c r="S1883" s="4">
        <v>0.2468573106304689</v>
      </c>
      <c r="T1883" s="4">
        <v>-0.64959881125056185</v>
      </c>
      <c r="U1883" s="4">
        <f t="shared" si="250"/>
        <v>-0.36444206878665308</v>
      </c>
      <c r="W1883" s="4">
        <f t="shared" si="251"/>
        <v>0.44808567000351446</v>
      </c>
      <c r="X1883" s="4">
        <f t="shared" si="252"/>
        <v>-0.57675763526204826</v>
      </c>
      <c r="Y1883" s="3">
        <f t="shared" si="249"/>
        <v>-128.96384790710908</v>
      </c>
      <c r="AA1883" s="3"/>
    </row>
    <row r="1884" spans="19:27" x14ac:dyDescent="0.25">
      <c r="S1884" s="4">
        <v>-1.7073807683371958</v>
      </c>
      <c r="T1884" s="4">
        <v>0.33444706338524866</v>
      </c>
      <c r="U1884" s="4">
        <f t="shared" si="250"/>
        <v>-0.77574389330409277</v>
      </c>
      <c r="W1884" s="4">
        <f t="shared" si="251"/>
        <v>-2.8750116450013139</v>
      </c>
      <c r="X1884" s="4">
        <f t="shared" si="252"/>
        <v>-1.3019221425948309</v>
      </c>
      <c r="Y1884" s="3">
        <f t="shared" si="249"/>
        <v>352.22250250569414</v>
      </c>
      <c r="AA1884" s="3"/>
    </row>
    <row r="1885" spans="19:27" x14ac:dyDescent="0.25">
      <c r="S1885" s="4">
        <v>-8.2738744261431273E-5</v>
      </c>
      <c r="T1885" s="4">
        <v>1.0645520414536422</v>
      </c>
      <c r="U1885" s="4">
        <f t="shared" si="250"/>
        <v>0.84381146762175274</v>
      </c>
      <c r="W1885" s="4">
        <f t="shared" si="251"/>
        <v>2.8174798408066366E-2</v>
      </c>
      <c r="X1885" s="4">
        <f t="shared" si="252"/>
        <v>1.553509064844804</v>
      </c>
      <c r="Y1885" s="3">
        <f t="shared" si="249"/>
        <v>150.83793620209144</v>
      </c>
      <c r="AA1885" s="3"/>
    </row>
    <row r="1886" spans="19:27" x14ac:dyDescent="0.25">
      <c r="S1886" s="4">
        <v>1.0662958805862244</v>
      </c>
      <c r="T1886" s="4">
        <v>2.4496476836724953E-2</v>
      </c>
      <c r="U1886" s="4">
        <f t="shared" si="250"/>
        <v>0.66945592152313094</v>
      </c>
      <c r="W1886" s="4">
        <f t="shared" si="251"/>
        <v>1.8415055101643631</v>
      </c>
      <c r="X1886" s="4">
        <f t="shared" si="252"/>
        <v>1.2461035389012052</v>
      </c>
      <c r="Y1886" s="3">
        <f t="shared" si="249"/>
        <v>-161.81404992298258</v>
      </c>
      <c r="AA1886" s="3"/>
    </row>
    <row r="1887" spans="19:27" x14ac:dyDescent="0.25">
      <c r="S1887" s="4">
        <v>0.30546237972126267</v>
      </c>
      <c r="T1887" s="4">
        <v>1.5064617443239894</v>
      </c>
      <c r="U1887" s="4">
        <f t="shared" si="250"/>
        <v>1.3803768836735211</v>
      </c>
      <c r="W1887" s="4">
        <f t="shared" si="251"/>
        <v>0.54774105479888546</v>
      </c>
      <c r="X1887" s="4">
        <f t="shared" si="252"/>
        <v>2.4995252806481254</v>
      </c>
      <c r="Y1887" s="3">
        <f t="shared" si="249"/>
        <v>162.95014411370994</v>
      </c>
      <c r="AA1887" s="3"/>
    </row>
    <row r="1888" spans="19:27" x14ac:dyDescent="0.25">
      <c r="S1888" s="4">
        <v>-0.16767907735425563</v>
      </c>
      <c r="T1888" s="4">
        <v>1.580364288608286</v>
      </c>
      <c r="U1888" s="4">
        <f t="shared" si="250"/>
        <v>1.150521251811055</v>
      </c>
      <c r="W1888" s="4">
        <f t="shared" si="251"/>
        <v>-0.25681552535725366</v>
      </c>
      <c r="X1888" s="4">
        <f t="shared" si="252"/>
        <v>2.094267788214748</v>
      </c>
      <c r="Y1888" s="3">
        <f t="shared" si="249"/>
        <v>250.75231872926634</v>
      </c>
      <c r="AA1888" s="3"/>
    </row>
    <row r="1889" spans="19:27" x14ac:dyDescent="0.25">
      <c r="S1889" s="4">
        <v>-1.1271207577120079</v>
      </c>
      <c r="T1889" s="4">
        <v>-1.0657791166911559</v>
      </c>
      <c r="U1889" s="4">
        <f t="shared" si="250"/>
        <v>-1.5319525618078487</v>
      </c>
      <c r="W1889" s="4">
        <f t="shared" si="251"/>
        <v>-1.8883045983696942</v>
      </c>
      <c r="X1889" s="4">
        <f t="shared" si="252"/>
        <v>-2.635190447883017</v>
      </c>
      <c r="Y1889" s="3">
        <f t="shared" si="249"/>
        <v>48.393835610019778</v>
      </c>
      <c r="AA1889" s="3"/>
    </row>
    <row r="1890" spans="19:27" x14ac:dyDescent="0.25">
      <c r="S1890" s="4">
        <v>0.21468526357060677</v>
      </c>
      <c r="T1890" s="4">
        <v>-0.25875456540227221</v>
      </c>
      <c r="U1890" s="4">
        <f t="shared" si="250"/>
        <v>-7.4235752159875407E-2</v>
      </c>
      <c r="W1890" s="4">
        <f t="shared" si="251"/>
        <v>0.39337849570706795</v>
      </c>
      <c r="X1890" s="4">
        <f t="shared" si="252"/>
        <v>-6.5096105755277217E-2</v>
      </c>
      <c r="Y1890" s="3">
        <f t="shared" si="249"/>
        <v>-69.149451521549963</v>
      </c>
      <c r="AA1890" s="3"/>
    </row>
    <row r="1891" spans="19:27" x14ac:dyDescent="0.25">
      <c r="S1891" s="4">
        <v>0.59558480922740242</v>
      </c>
      <c r="T1891" s="4">
        <v>1.4058677498776593</v>
      </c>
      <c r="U1891" s="4">
        <f t="shared" si="250"/>
        <v>1.4775019333186465</v>
      </c>
      <c r="W1891" s="4">
        <f t="shared" si="251"/>
        <v>1.0410816957835416</v>
      </c>
      <c r="X1891" s="4">
        <f t="shared" si="252"/>
        <v>2.670766044917074</v>
      </c>
      <c r="Y1891" s="3">
        <f t="shared" si="249"/>
        <v>103.02892510850779</v>
      </c>
      <c r="AA1891" s="3"/>
    </row>
    <row r="1892" spans="19:27" x14ac:dyDescent="0.25">
      <c r="S1892" s="4">
        <v>-0.86673515419706193</v>
      </c>
      <c r="T1892" s="4">
        <v>-0.29089151710792061</v>
      </c>
      <c r="U1892" s="4">
        <f t="shared" si="250"/>
        <v>-0.75896847245477339</v>
      </c>
      <c r="W1892" s="4">
        <f t="shared" si="251"/>
        <v>-1.4455301435993109</v>
      </c>
      <c r="X1892" s="4">
        <f t="shared" si="252"/>
        <v>-1.2723454690418523</v>
      </c>
      <c r="Y1892" s="3">
        <f t="shared" si="249"/>
        <v>109.85630395868202</v>
      </c>
      <c r="AA1892" s="3"/>
    </row>
    <row r="1893" spans="19:27" x14ac:dyDescent="0.25">
      <c r="S1893" s="4">
        <v>0.82271893194911472</v>
      </c>
      <c r="T1893" s="4">
        <v>-0.13582340566840986</v>
      </c>
      <c r="U1893" s="4">
        <f t="shared" si="250"/>
        <v>0.39388168764165099</v>
      </c>
      <c r="W1893" s="4">
        <f t="shared" si="251"/>
        <v>1.4273134458890455</v>
      </c>
      <c r="X1893" s="4">
        <f t="shared" si="252"/>
        <v>0.760239772600798</v>
      </c>
      <c r="Y1893" s="3">
        <f t="shared" si="249"/>
        <v>-147.47820959999126</v>
      </c>
      <c r="AA1893" s="3"/>
    </row>
    <row r="1894" spans="19:27" x14ac:dyDescent="0.25">
      <c r="S1894" s="4">
        <v>-0.2696416387707814</v>
      </c>
      <c r="T1894" s="4">
        <v>-1.091412811922587</v>
      </c>
      <c r="U1894" s="4">
        <f t="shared" si="250"/>
        <v>-1.029533784578943</v>
      </c>
      <c r="W1894" s="4">
        <f t="shared" si="251"/>
        <v>-0.43019845025310927</v>
      </c>
      <c r="X1894" s="4">
        <f t="shared" si="252"/>
        <v>-1.7493780265756316</v>
      </c>
      <c r="Y1894" s="3">
        <f t="shared" si="249"/>
        <v>-105.51874528441022</v>
      </c>
      <c r="AA1894" s="3"/>
    </row>
    <row r="1895" spans="19:27" x14ac:dyDescent="0.25">
      <c r="S1895" s="4">
        <v>0.13982003198864681</v>
      </c>
      <c r="T1895" s="4">
        <v>-0.2489582277231534</v>
      </c>
      <c r="U1895" s="4">
        <f t="shared" si="250"/>
        <v>-0.11210978902121885</v>
      </c>
      <c r="W1895" s="4">
        <f t="shared" si="251"/>
        <v>0.26607340799296131</v>
      </c>
      <c r="X1895" s="4">
        <f t="shared" si="252"/>
        <v>-0.13187165996898145</v>
      </c>
      <c r="Y1895" s="3">
        <f t="shared" si="249"/>
        <v>-55.642767436247141</v>
      </c>
      <c r="AA1895" s="3"/>
    </row>
    <row r="1896" spans="19:27" x14ac:dyDescent="0.25">
      <c r="S1896" s="4">
        <v>0.22758548978530474</v>
      </c>
      <c r="T1896" s="4">
        <v>-2.2044969452388603E-2</v>
      </c>
      <c r="U1896" s="4">
        <f t="shared" si="250"/>
        <v>0.12126632108448132</v>
      </c>
      <c r="W1896" s="4">
        <f t="shared" si="251"/>
        <v>0.4153147723349716</v>
      </c>
      <c r="X1896" s="4">
        <f t="shared" si="252"/>
        <v>0.27959277276626759</v>
      </c>
      <c r="Y1896" s="3">
        <f t="shared" si="249"/>
        <v>-38.15014943039705</v>
      </c>
      <c r="AA1896" s="3"/>
    </row>
    <row r="1897" spans="19:27" x14ac:dyDescent="0.25">
      <c r="S1897" s="4">
        <v>0.40588492370425355</v>
      </c>
      <c r="T1897" s="4">
        <v>0.43822046270526716</v>
      </c>
      <c r="U1897" s="4">
        <f t="shared" si="250"/>
        <v>0.5948103688574915</v>
      </c>
      <c r="W1897" s="4">
        <f t="shared" si="251"/>
        <v>0.71850524666854609</v>
      </c>
      <c r="X1897" s="4">
        <f t="shared" si="252"/>
        <v>1.1144962806867051</v>
      </c>
      <c r="Y1897" s="3">
        <f t="shared" si="249"/>
        <v>-2.3616907672753769</v>
      </c>
      <c r="AA1897" s="3"/>
    </row>
    <row r="1898" spans="19:27" x14ac:dyDescent="0.25">
      <c r="S1898" s="4">
        <v>0.53764817562738698</v>
      </c>
      <c r="T1898" s="4">
        <v>-0.41750854559226608</v>
      </c>
      <c r="U1898" s="4">
        <f t="shared" si="250"/>
        <v>-3.1933681405053038E-3</v>
      </c>
      <c r="W1898" s="4">
        <f t="shared" si="251"/>
        <v>0.94256295662442424</v>
      </c>
      <c r="X1898" s="4">
        <f t="shared" si="252"/>
        <v>6.0158421057473321E-2</v>
      </c>
      <c r="Y1898" s="3">
        <f t="shared" si="249"/>
        <v>-142.74525846308052</v>
      </c>
      <c r="AA1898" s="3"/>
    </row>
    <row r="1899" spans="19:27" x14ac:dyDescent="0.25">
      <c r="S1899" s="4">
        <v>0.23361800899150742</v>
      </c>
      <c r="T1899" s="4">
        <v>-0.53054846264655919</v>
      </c>
      <c r="U1899" s="4">
        <f t="shared" si="250"/>
        <v>-0.27814278126873193</v>
      </c>
      <c r="W1899" s="4">
        <f t="shared" si="251"/>
        <v>0.42557281028469618</v>
      </c>
      <c r="X1899" s="4">
        <f t="shared" si="252"/>
        <v>-0.42460372641535915</v>
      </c>
      <c r="Y1899" s="3">
        <f t="shared" si="249"/>
        <v>-110.19143006559943</v>
      </c>
      <c r="AA1899" s="3"/>
    </row>
    <row r="1900" spans="19:27" x14ac:dyDescent="0.25">
      <c r="S1900" s="4">
        <v>1.7021114328604126</v>
      </c>
      <c r="T1900" s="4">
        <v>-0.69193497423744821</v>
      </c>
      <c r="U1900" s="4">
        <f t="shared" si="250"/>
        <v>0.48915377502882651</v>
      </c>
      <c r="W1900" s="4">
        <f t="shared" si="251"/>
        <v>2.922682352095928</v>
      </c>
      <c r="X1900" s="4">
        <f t="shared" si="252"/>
        <v>0.92821358694928635</v>
      </c>
      <c r="Y1900" s="3">
        <f t="shared" si="249"/>
        <v>-353.81806695178511</v>
      </c>
      <c r="AA1900" s="3"/>
    </row>
    <row r="1901" spans="19:27" x14ac:dyDescent="0.25">
      <c r="S1901" s="4">
        <v>-0.85417571070763632</v>
      </c>
      <c r="T1901" s="4">
        <v>0.88698080678262448</v>
      </c>
      <c r="U1901" s="4">
        <f t="shared" si="250"/>
        <v>0.18237803499887917</v>
      </c>
      <c r="W1901" s="4">
        <f t="shared" si="251"/>
        <v>-1.4241733532538314</v>
      </c>
      <c r="X1901" s="4">
        <f t="shared" si="252"/>
        <v>0.38733857711564079</v>
      </c>
      <c r="Y1901" s="3">
        <f t="shared" si="249"/>
        <v>272.24200763715362</v>
      </c>
      <c r="AA1901" s="3"/>
    </row>
    <row r="1902" spans="19:27" x14ac:dyDescent="0.25">
      <c r="S1902" s="4">
        <v>0.16371382189127301</v>
      </c>
      <c r="T1902" s="4">
        <v>0.90839544252393911</v>
      </c>
      <c r="U1902" s="4">
        <f t="shared" si="250"/>
        <v>0.81988141591364039</v>
      </c>
      <c r="W1902" s="4">
        <f t="shared" si="251"/>
        <v>0.30670376410220807</v>
      </c>
      <c r="X1902" s="4">
        <f t="shared" si="252"/>
        <v>1.5113180918829869</v>
      </c>
      <c r="Y1902" s="3">
        <f t="shared" si="249"/>
        <v>102.22520271043322</v>
      </c>
      <c r="AA1902" s="3"/>
    </row>
    <row r="1903" spans="19:27" x14ac:dyDescent="0.25">
      <c r="S1903" s="4">
        <v>0.50639068353199346</v>
      </c>
      <c r="T1903" s="4">
        <v>0.21807440269759179</v>
      </c>
      <c r="U1903" s="4">
        <f t="shared" si="250"/>
        <v>0.48157289774912748</v>
      </c>
      <c r="W1903" s="4">
        <f t="shared" si="251"/>
        <v>0.88941094348237271</v>
      </c>
      <c r="X1903" s="4">
        <f t="shared" si="252"/>
        <v>0.9148477742784259</v>
      </c>
      <c r="Y1903" s="3">
        <f t="shared" si="249"/>
        <v>-49.008525977558293</v>
      </c>
      <c r="AA1903" s="3"/>
    </row>
    <row r="1904" spans="19:27" x14ac:dyDescent="0.25">
      <c r="S1904" s="4">
        <v>-0.48689042219102924</v>
      </c>
      <c r="T1904" s="4">
        <v>-0.84936087820352557</v>
      </c>
      <c r="U1904" s="4">
        <f t="shared" si="250"/>
        <v>-0.97010085414685854</v>
      </c>
      <c r="W1904" s="4">
        <f t="shared" si="251"/>
        <v>-0.79962060850583283</v>
      </c>
      <c r="X1904" s="4">
        <f t="shared" si="252"/>
        <v>-1.6445920782840295</v>
      </c>
      <c r="Y1904" s="3">
        <f t="shared" si="249"/>
        <v>-34.659500832111462</v>
      </c>
      <c r="AA1904" s="3"/>
    </row>
    <row r="1905" spans="19:27" x14ac:dyDescent="0.25">
      <c r="S1905" s="4">
        <v>2.2696883123183635</v>
      </c>
      <c r="T1905" s="4">
        <v>0.12938510566568834</v>
      </c>
      <c r="U1905" s="4">
        <f t="shared" si="250"/>
        <v>1.4862151767725729</v>
      </c>
      <c r="W1905" s="4">
        <f t="shared" si="251"/>
        <v>3.8878222828365487</v>
      </c>
      <c r="X1905" s="4">
        <f t="shared" si="252"/>
        <v>2.6861283276007222</v>
      </c>
      <c r="Y1905" s="3">
        <f t="shared" si="249"/>
        <v>-316.1958988462975</v>
      </c>
      <c r="AA1905" s="3"/>
    </row>
    <row r="1906" spans="19:27" x14ac:dyDescent="0.25">
      <c r="S1906" s="4">
        <v>-0.77449908707407944</v>
      </c>
      <c r="T1906" s="4">
        <v>-2.0186119529868409</v>
      </c>
      <c r="U1906" s="4">
        <f t="shared" si="250"/>
        <v>-2.0722895084593227</v>
      </c>
      <c r="W1906" s="4">
        <f t="shared" si="251"/>
        <v>-1.2886867014917334</v>
      </c>
      <c r="X1906" s="4">
        <f t="shared" si="252"/>
        <v>-3.587856233336157</v>
      </c>
      <c r="Y1906" s="3">
        <f t="shared" si="249"/>
        <v>-147.9498463563018</v>
      </c>
      <c r="AA1906" s="3"/>
    </row>
    <row r="1907" spans="19:27" x14ac:dyDescent="0.25">
      <c r="S1907" s="4">
        <v>0.59330494637328113</v>
      </c>
      <c r="T1907" s="4">
        <v>0.44182419110287924</v>
      </c>
      <c r="U1907" s="4">
        <f t="shared" si="250"/>
        <v>0.71192244310377673</v>
      </c>
      <c r="W1907" s="4">
        <f t="shared" si="251"/>
        <v>1.0372048876245725</v>
      </c>
      <c r="X1907" s="4">
        <f t="shared" si="252"/>
        <v>1.3209760835010171</v>
      </c>
      <c r="Y1907" s="3">
        <f t="shared" si="249"/>
        <v>-31.349461924733987</v>
      </c>
      <c r="AA1907" s="3"/>
    </row>
    <row r="1908" spans="19:27" x14ac:dyDescent="0.25">
      <c r="S1908" s="4">
        <v>-0.84491216828952598</v>
      </c>
      <c r="T1908" s="4">
        <v>-0.57369024668932478</v>
      </c>
      <c r="U1908" s="4">
        <f t="shared" si="250"/>
        <v>-0.96983698923975825</v>
      </c>
      <c r="W1908" s="4">
        <f t="shared" si="251"/>
        <v>-1.4084211001029168</v>
      </c>
      <c r="X1908" s="4">
        <f t="shared" si="252"/>
        <v>-1.644126859182256</v>
      </c>
      <c r="Y1908" s="3">
        <f t="shared" si="249"/>
        <v>66.454495566497371</v>
      </c>
      <c r="AA1908" s="3"/>
    </row>
    <row r="1909" spans="19:27" x14ac:dyDescent="0.25">
      <c r="S1909" s="4">
        <v>0.51318625071308821</v>
      </c>
      <c r="T1909" s="4">
        <v>-0.96445925093065887</v>
      </c>
      <c r="U1909" s="4">
        <f t="shared" si="250"/>
        <v>-0.45166936223434484</v>
      </c>
      <c r="W1909" s="4">
        <f t="shared" si="251"/>
        <v>0.90096651150475004</v>
      </c>
      <c r="X1909" s="4">
        <f t="shared" si="252"/>
        <v>-0.73054770743880171</v>
      </c>
      <c r="Y1909" s="3">
        <f t="shared" si="249"/>
        <v>-215.34676691142886</v>
      </c>
      <c r="AA1909" s="3"/>
    </row>
    <row r="1910" spans="19:27" x14ac:dyDescent="0.25">
      <c r="S1910" s="4">
        <v>0.36777113303387454</v>
      </c>
      <c r="T1910" s="4">
        <v>0.64089794437822378</v>
      </c>
      <c r="U1910" s="4">
        <f t="shared" si="250"/>
        <v>0.73223617381648431</v>
      </c>
      <c r="W1910" s="4">
        <f t="shared" si="251"/>
        <v>0.65369439439598209</v>
      </c>
      <c r="X1910" s="4">
        <f t="shared" si="252"/>
        <v>1.3567911362099476</v>
      </c>
      <c r="Y1910" s="3">
        <f t="shared" si="249"/>
        <v>32.025137579165857</v>
      </c>
      <c r="AA1910" s="3"/>
    </row>
    <row r="1911" spans="19:27" x14ac:dyDescent="0.25">
      <c r="S1911" s="4">
        <v>0.72216929066122082</v>
      </c>
      <c r="T1911" s="4">
        <v>-0.49724506495265225</v>
      </c>
      <c r="U1911" s="4">
        <f t="shared" si="250"/>
        <v>4.6088318077138368E-2</v>
      </c>
      <c r="W1911" s="4">
        <f t="shared" si="251"/>
        <v>1.2563331305504928</v>
      </c>
      <c r="X1911" s="4">
        <f t="shared" si="252"/>
        <v>0.14704675360614416</v>
      </c>
      <c r="Y1911" s="3">
        <f t="shared" si="249"/>
        <v>-182.57085773145582</v>
      </c>
      <c r="AA1911" s="3"/>
    </row>
    <row r="1912" spans="19:27" x14ac:dyDescent="0.25">
      <c r="S1912" s="4">
        <v>0.39995046750269669</v>
      </c>
      <c r="T1912" s="4">
        <v>0.61953332467573596</v>
      </c>
      <c r="U1912" s="4">
        <f t="shared" si="250"/>
        <v>0.73491785056342018</v>
      </c>
      <c r="W1912" s="4">
        <f t="shared" si="251"/>
        <v>0.7084139606161195</v>
      </c>
      <c r="X1912" s="4">
        <f t="shared" si="252"/>
        <v>1.3615191891411476</v>
      </c>
      <c r="Y1912" s="3">
        <f t="shared" si="249"/>
        <v>23.920724217927727</v>
      </c>
      <c r="AA1912" s="3"/>
    </row>
    <row r="1913" spans="19:27" x14ac:dyDescent="0.25">
      <c r="S1913" s="4">
        <v>-1.5949279540043615</v>
      </c>
      <c r="T1913" s="4">
        <v>0.66508427393666059</v>
      </c>
      <c r="U1913" s="4">
        <f t="shared" si="250"/>
        <v>-0.44509667068750924</v>
      </c>
      <c r="W1913" s="4">
        <f t="shared" si="251"/>
        <v>-2.6837904988185608</v>
      </c>
      <c r="X1913" s="4">
        <f t="shared" si="252"/>
        <v>-0.7189594227697429</v>
      </c>
      <c r="Y1913" s="3">
        <f t="shared" si="249"/>
        <v>377.06773756848543</v>
      </c>
      <c r="AA1913" s="3"/>
    </row>
    <row r="1914" spans="19:27" x14ac:dyDescent="0.25">
      <c r="S1914" s="4">
        <v>-2.553384483094808</v>
      </c>
      <c r="T1914" s="4">
        <v>1.0384118637953728</v>
      </c>
      <c r="U1914" s="4">
        <f t="shared" si="250"/>
        <v>-0.73345935483141067</v>
      </c>
      <c r="W1914" s="4">
        <f t="shared" si="251"/>
        <v>-4.3136043647175537</v>
      </c>
      <c r="X1914" s="4">
        <f t="shared" si="252"/>
        <v>-1.2273704516430284</v>
      </c>
      <c r="Y1914" s="3">
        <f t="shared" si="249"/>
        <v>617.69648997548029</v>
      </c>
      <c r="AA1914" s="3"/>
    </row>
    <row r="1915" spans="19:27" x14ac:dyDescent="0.25">
      <c r="S1915" s="4">
        <v>-1.3932336822990068</v>
      </c>
      <c r="T1915" s="4">
        <v>2.1588618574400971</v>
      </c>
      <c r="U1915" s="4">
        <f t="shared" si="250"/>
        <v>0.86196622603132123</v>
      </c>
      <c r="W1915" s="4">
        <f t="shared" si="251"/>
        <v>-2.3408181148652298</v>
      </c>
      <c r="X1915" s="4">
        <f t="shared" si="252"/>
        <v>1.5855176426167761</v>
      </c>
      <c r="Y1915" s="3">
        <f t="shared" si="249"/>
        <v>548.01072264438153</v>
      </c>
      <c r="AA1915" s="3"/>
    </row>
    <row r="1916" spans="19:27" x14ac:dyDescent="0.25">
      <c r="S1916" s="4">
        <v>-0.632001240550358</v>
      </c>
      <c r="T1916" s="4">
        <v>-2.1057440484843628</v>
      </c>
      <c r="U1916" s="4">
        <f t="shared" si="250"/>
        <v>-2.0544885585218102</v>
      </c>
      <c r="W1916" s="4">
        <f t="shared" si="251"/>
        <v>-1.0463752777848043</v>
      </c>
      <c r="X1916" s="4">
        <f t="shared" si="252"/>
        <v>-3.5564714537849431</v>
      </c>
      <c r="Y1916" s="3">
        <f t="shared" si="249"/>
        <v>-185.11844774844758</v>
      </c>
      <c r="AA1916" s="3"/>
    </row>
    <row r="1917" spans="19:27" x14ac:dyDescent="0.25">
      <c r="S1917" s="4">
        <v>-0.2308028030965362</v>
      </c>
      <c r="T1917" s="4">
        <v>-1.6372808268667027</v>
      </c>
      <c r="U1917" s="4">
        <f t="shared" si="250"/>
        <v>-1.4385619826262024</v>
      </c>
      <c r="W1917" s="4">
        <f t="shared" si="251"/>
        <v>-0.36415469031615355</v>
      </c>
      <c r="X1917" s="4">
        <f t="shared" si="252"/>
        <v>-2.4705339126944401</v>
      </c>
      <c r="Y1917" s="3">
        <f t="shared" si="249"/>
        <v>-188.3539437407826</v>
      </c>
      <c r="AA1917" s="3"/>
    </row>
    <row r="1918" spans="19:27" x14ac:dyDescent="0.25">
      <c r="S1918" s="4">
        <v>-0.40989857432326665</v>
      </c>
      <c r="T1918" s="4">
        <v>-0.59492743609507837</v>
      </c>
      <c r="U1918" s="4">
        <f t="shared" si="250"/>
        <v>-0.72147754694513089</v>
      </c>
      <c r="W1918" s="4">
        <f t="shared" si="251"/>
        <v>-0.66869930179289805</v>
      </c>
      <c r="X1918" s="4">
        <f t="shared" si="252"/>
        <v>-1.2062453768320809</v>
      </c>
      <c r="Y1918" s="3">
        <f t="shared" si="249"/>
        <v>-12.304971481373741</v>
      </c>
      <c r="AA1918" s="3"/>
    </row>
    <row r="1919" spans="19:27" x14ac:dyDescent="0.25">
      <c r="S1919" s="4">
        <v>-3.302837362024829E-2</v>
      </c>
      <c r="T1919" s="4">
        <v>0.24155902992349659</v>
      </c>
      <c r="U1919" s="4">
        <f t="shared" si="250"/>
        <v>0.17134708164005458</v>
      </c>
      <c r="W1919" s="4">
        <f t="shared" si="251"/>
        <v>-2.7847828505106625E-2</v>
      </c>
      <c r="X1919" s="4">
        <f t="shared" si="252"/>
        <v>0.36788994990070423</v>
      </c>
      <c r="Y1919" s="3">
        <f t="shared" si="249"/>
        <v>41.253625466575613</v>
      </c>
      <c r="AA1919" s="3"/>
    </row>
    <row r="1920" spans="19:27" x14ac:dyDescent="0.25">
      <c r="S1920" s="4">
        <v>-1.0017303246683731</v>
      </c>
      <c r="T1920" s="4">
        <v>2.3576924663393828</v>
      </c>
      <c r="U1920" s="4">
        <f t="shared" si="250"/>
        <v>1.2582468448037907</v>
      </c>
      <c r="W1920" s="4">
        <f t="shared" si="251"/>
        <v>-1.675083591236975</v>
      </c>
      <c r="X1920" s="4">
        <f t="shared" si="252"/>
        <v>2.2841983256281475</v>
      </c>
      <c r="Y1920" s="3">
        <f t="shared" si="249"/>
        <v>504.1718060355488</v>
      </c>
      <c r="AA1920" s="3"/>
    </row>
    <row r="1921" spans="19:27" x14ac:dyDescent="0.25">
      <c r="S1921" s="4">
        <v>-0.29257068872166303</v>
      </c>
      <c r="T1921" s="4">
        <v>0.32270787452418093</v>
      </c>
      <c r="U1921" s="4">
        <f t="shared" si="250"/>
        <v>7.7450336945342285E-2</v>
      </c>
      <c r="W1921" s="4">
        <f t="shared" si="251"/>
        <v>-0.46918830780804799</v>
      </c>
      <c r="X1921" s="4">
        <f t="shared" si="252"/>
        <v>0.20234099643671105</v>
      </c>
      <c r="Y1921" s="3">
        <f t="shared" si="249"/>
        <v>95.992288513466519</v>
      </c>
      <c r="AA1921" s="3"/>
    </row>
    <row r="1922" spans="19:27" x14ac:dyDescent="0.25">
      <c r="S1922" s="4">
        <v>0.73858369322523909</v>
      </c>
      <c r="T1922" s="4">
        <v>-0.72339404002124785</v>
      </c>
      <c r="U1922" s="4">
        <f t="shared" si="250"/>
        <v>-0.12317158351237362</v>
      </c>
      <c r="W1922" s="4">
        <f t="shared" si="251"/>
        <v>1.2842451120408505</v>
      </c>
      <c r="X1922" s="4">
        <f t="shared" si="252"/>
        <v>-0.15137466305389632</v>
      </c>
      <c r="Y1922" s="3">
        <f t="shared" ref="Y1922:Y1985" si="253">(B$4*EXP(-B$8*B$7)*NORMSDIST((LN(B$4/(B$5+W1922))-B$8*B$7+B$9*B$7+0.5*B$6*B$6*B$7)/(B$6*SQRT(B$7)))-(B$5+W1922)*EXP(-B$9*B$7)*NORMSDIST((LN(B$4/(B$5+W1922))-B$8*B$7+B$9*B$7-0.5*B$6*B$6*B$7)/(B$6*SQRT(B$7))))*400+100*X1922-400*$B$13</f>
        <v>-216.70450998685419</v>
      </c>
      <c r="AA1922" s="3"/>
    </row>
    <row r="1923" spans="19:27" x14ac:dyDescent="0.25">
      <c r="S1923" s="4">
        <v>-0.11840749565500287</v>
      </c>
      <c r="T1923" s="4">
        <v>0.91352350933219084</v>
      </c>
      <c r="U1923" s="4">
        <f t="shared" ref="U1923:U1986" si="254">$B$19*S1923+SQRT(1-$B$19^2)*T1923</f>
        <v>0.65195894371950014</v>
      </c>
      <c r="W1923" s="4">
        <f t="shared" ref="W1923:W1986" si="255">S1923*SQRT($B$16)+$B$20</f>
        <v>-0.17303133211437036</v>
      </c>
      <c r="X1923" s="4">
        <f t="shared" ref="X1923:X1986" si="256">U1923*SQRT($C$17)+$C$20</f>
        <v>1.2152546913336824</v>
      </c>
      <c r="Y1923" s="3">
        <f t="shared" si="253"/>
        <v>149.33128469827989</v>
      </c>
      <c r="AA1923" s="3"/>
    </row>
    <row r="1924" spans="19:27" x14ac:dyDescent="0.25">
      <c r="S1924" s="4">
        <v>0.84710767437155654</v>
      </c>
      <c r="T1924" s="4">
        <v>1.8285108039285847</v>
      </c>
      <c r="U1924" s="4">
        <f t="shared" si="254"/>
        <v>1.9658616596582519</v>
      </c>
      <c r="W1924" s="4">
        <f t="shared" si="255"/>
        <v>1.4687854473471145</v>
      </c>
      <c r="X1924" s="4">
        <f t="shared" si="256"/>
        <v>3.531791013059943</v>
      </c>
      <c r="Y1924" s="3">
        <f t="shared" si="253"/>
        <v>123.33777636957529</v>
      </c>
      <c r="AA1924" s="3"/>
    </row>
    <row r="1925" spans="19:27" x14ac:dyDescent="0.25">
      <c r="S1925" s="4">
        <v>0.41749231664349468</v>
      </c>
      <c r="T1925" s="4">
        <v>1.1465952282176162</v>
      </c>
      <c r="U1925" s="4">
        <f t="shared" si="254"/>
        <v>1.1634095176156489</v>
      </c>
      <c r="W1925" s="4">
        <f t="shared" si="255"/>
        <v>0.73824311623814032</v>
      </c>
      <c r="X1925" s="4">
        <f t="shared" si="256"/>
        <v>2.1169910351478913</v>
      </c>
      <c r="Y1925" s="3">
        <f t="shared" si="253"/>
        <v>94.798673187881377</v>
      </c>
      <c r="AA1925" s="3"/>
    </row>
    <row r="1926" spans="19:27" x14ac:dyDescent="0.25">
      <c r="S1926" s="4">
        <v>-0.6036649374676144</v>
      </c>
      <c r="T1926" s="4">
        <v>1.9951704145192615</v>
      </c>
      <c r="U1926" s="4">
        <f t="shared" si="254"/>
        <v>1.2135480492503872</v>
      </c>
      <c r="W1926" s="4">
        <f t="shared" si="255"/>
        <v>-0.99819062019120608</v>
      </c>
      <c r="X1926" s="4">
        <f t="shared" si="256"/>
        <v>2.205390068227679</v>
      </c>
      <c r="Y1926" s="3">
        <f t="shared" si="253"/>
        <v>383.08929868988253</v>
      </c>
      <c r="AA1926" s="3"/>
    </row>
    <row r="1927" spans="19:27" x14ac:dyDescent="0.25">
      <c r="S1927" s="4">
        <v>-0.14760234701134253</v>
      </c>
      <c r="T1927" s="4">
        <v>0.23772909525542468</v>
      </c>
      <c r="U1927" s="4">
        <f t="shared" si="254"/>
        <v>9.8464272458727548E-2</v>
      </c>
      <c r="W1927" s="4">
        <f t="shared" si="255"/>
        <v>-0.22267591390732533</v>
      </c>
      <c r="X1927" s="4">
        <f t="shared" si="256"/>
        <v>0.2393905772684167</v>
      </c>
      <c r="Y1927" s="3">
        <f t="shared" si="253"/>
        <v>59.751307579905188</v>
      </c>
      <c r="AA1927" s="3"/>
    </row>
    <row r="1928" spans="19:27" x14ac:dyDescent="0.25">
      <c r="S1928" s="4">
        <v>0.47085882766374326</v>
      </c>
      <c r="T1928" s="4">
        <v>1.4150604638969748</v>
      </c>
      <c r="U1928" s="4">
        <f t="shared" si="254"/>
        <v>1.4087531831251561</v>
      </c>
      <c r="W1928" s="4">
        <f t="shared" si="255"/>
        <v>0.82899055964905033</v>
      </c>
      <c r="X1928" s="4">
        <f t="shared" si="256"/>
        <v>2.549555414202517</v>
      </c>
      <c r="Y1928" s="3">
        <f t="shared" si="253"/>
        <v>123.87810910458802</v>
      </c>
      <c r="AA1928" s="3"/>
    </row>
    <row r="1929" spans="19:27" x14ac:dyDescent="0.25">
      <c r="S1929" s="4">
        <v>-0.8577623665948626</v>
      </c>
      <c r="T1929" s="4">
        <v>3.515826391466767E-2</v>
      </c>
      <c r="U1929" s="4">
        <f t="shared" si="254"/>
        <v>-0.49504140173929734</v>
      </c>
      <c r="W1929" s="4">
        <f t="shared" si="255"/>
        <v>-1.4302723064351059</v>
      </c>
      <c r="X1929" s="4">
        <f t="shared" si="256"/>
        <v>-0.8070167668613506</v>
      </c>
      <c r="Y1929" s="3">
        <f t="shared" si="253"/>
        <v>153.82935497938797</v>
      </c>
      <c r="AA1929" s="3"/>
    </row>
    <row r="1930" spans="19:27" x14ac:dyDescent="0.25">
      <c r="S1930" s="4">
        <v>1.2716047761616722</v>
      </c>
      <c r="T1930" s="4">
        <v>0.10507929344429706</v>
      </c>
      <c r="U1930" s="4">
        <f t="shared" si="254"/>
        <v>0.85849416067636963</v>
      </c>
      <c r="W1930" s="4">
        <f t="shared" si="255"/>
        <v>2.1906244056439692</v>
      </c>
      <c r="X1930" s="4">
        <f t="shared" si="256"/>
        <v>1.5793960588734879</v>
      </c>
      <c r="Y1930" s="3">
        <f t="shared" si="253"/>
        <v>-180.85372774314237</v>
      </c>
      <c r="AA1930" s="3"/>
    </row>
    <row r="1931" spans="19:27" x14ac:dyDescent="0.25">
      <c r="S1931" s="4">
        <v>0.19717063517185968</v>
      </c>
      <c r="T1931" s="4">
        <v>1.2052914218374733</v>
      </c>
      <c r="U1931" s="4">
        <f t="shared" si="254"/>
        <v>1.0756245090301291</v>
      </c>
      <c r="W1931" s="4">
        <f t="shared" si="255"/>
        <v>0.36359562777936399</v>
      </c>
      <c r="X1931" s="4">
        <f t="shared" si="256"/>
        <v>1.9622176577703174</v>
      </c>
      <c r="Y1931" s="3">
        <f t="shared" si="253"/>
        <v>138.29653574993063</v>
      </c>
      <c r="AA1931" s="3"/>
    </row>
    <row r="1932" spans="19:27" x14ac:dyDescent="0.25">
      <c r="S1932" s="4">
        <v>2.8570894888311709</v>
      </c>
      <c r="T1932" s="4">
        <v>-0.71680720779395712</v>
      </c>
      <c r="U1932" s="4">
        <f t="shared" si="254"/>
        <v>1.173538146615984</v>
      </c>
      <c r="W1932" s="4">
        <f t="shared" si="255"/>
        <v>4.8866725731407561</v>
      </c>
      <c r="X1932" s="4">
        <f t="shared" si="256"/>
        <v>2.134848778102477</v>
      </c>
      <c r="Y1932" s="3">
        <f t="shared" si="253"/>
        <v>-509.595988609286</v>
      </c>
      <c r="AA1932" s="3"/>
    </row>
    <row r="1933" spans="19:27" x14ac:dyDescent="0.25">
      <c r="S1933" s="4">
        <v>1.5428593113812701</v>
      </c>
      <c r="T1933" s="4">
        <v>-0.7074865009014718</v>
      </c>
      <c r="U1933" s="4">
        <f t="shared" si="254"/>
        <v>0.37974255749628505</v>
      </c>
      <c r="W1933" s="4">
        <f t="shared" si="255"/>
        <v>2.6518810085995823</v>
      </c>
      <c r="X1933" s="4">
        <f t="shared" si="256"/>
        <v>0.73531113203858323</v>
      </c>
      <c r="Y1933" s="3">
        <f t="shared" si="253"/>
        <v>-333.5226399916005</v>
      </c>
      <c r="AA1933" s="3"/>
    </row>
    <row r="1934" spans="19:27" x14ac:dyDescent="0.25">
      <c r="S1934" s="4">
        <v>-0.53398855188157157</v>
      </c>
      <c r="T1934" s="4">
        <v>1.9845941437541228</v>
      </c>
      <c r="U1934" s="4">
        <f t="shared" si="254"/>
        <v>1.2476406030872544</v>
      </c>
      <c r="W1934" s="4">
        <f t="shared" si="255"/>
        <v>-0.87970894062914728</v>
      </c>
      <c r="X1934" s="4">
        <f t="shared" si="256"/>
        <v>2.2654985057135426</v>
      </c>
      <c r="Y1934" s="3">
        <f t="shared" si="253"/>
        <v>369.53381785319561</v>
      </c>
      <c r="AA1934" s="3"/>
    </row>
    <row r="1935" spans="19:27" x14ac:dyDescent="0.25">
      <c r="S1935" s="4">
        <v>1.7246558394170188</v>
      </c>
      <c r="T1935" s="4">
        <v>-1.50191706471352E-2</v>
      </c>
      <c r="U1935" s="4">
        <f t="shared" si="254"/>
        <v>1.0394831032734448</v>
      </c>
      <c r="W1935" s="4">
        <f t="shared" si="255"/>
        <v>2.9610181401981692</v>
      </c>
      <c r="X1935" s="4">
        <f t="shared" si="256"/>
        <v>1.8984968981296102</v>
      </c>
      <c r="Y1935" s="3">
        <f t="shared" si="253"/>
        <v>-262.36452173606722</v>
      </c>
      <c r="AA1935" s="3"/>
    </row>
    <row r="1936" spans="19:27" x14ac:dyDescent="0.25">
      <c r="S1936" s="4">
        <v>0.66959690428810326</v>
      </c>
      <c r="T1936" s="4">
        <v>0.91089739430746353</v>
      </c>
      <c r="U1936" s="4">
        <f t="shared" si="254"/>
        <v>1.1302623073423903</v>
      </c>
      <c r="W1936" s="4">
        <f t="shared" si="255"/>
        <v>1.1669360617490339</v>
      </c>
      <c r="X1936" s="4">
        <f t="shared" si="256"/>
        <v>2.058549328900988</v>
      </c>
      <c r="Y1936" s="3">
        <f t="shared" si="253"/>
        <v>22.35088853702473</v>
      </c>
      <c r="AA1936" s="3"/>
    </row>
    <row r="1937" spans="19:27" x14ac:dyDescent="0.25">
      <c r="S1937" s="4">
        <v>0.88850007962552391</v>
      </c>
      <c r="T1937" s="4">
        <v>0.8951810252645902</v>
      </c>
      <c r="U1937" s="4">
        <f t="shared" si="254"/>
        <v>1.2512523268565978</v>
      </c>
      <c r="W1937" s="4">
        <f t="shared" si="255"/>
        <v>1.5391714418896589</v>
      </c>
      <c r="X1937" s="4">
        <f t="shared" si="256"/>
        <v>2.2718663206166028</v>
      </c>
      <c r="Y1937" s="3">
        <f t="shared" si="253"/>
        <v>-13.393586860279811</v>
      </c>
      <c r="AA1937" s="3"/>
    </row>
    <row r="1938" spans="19:27" x14ac:dyDescent="0.25">
      <c r="S1938" s="4">
        <v>-0.73462257204926473</v>
      </c>
      <c r="T1938" s="4">
        <v>2.0584034409885676</v>
      </c>
      <c r="U1938" s="4">
        <f t="shared" si="254"/>
        <v>1.1838376687175192</v>
      </c>
      <c r="W1938" s="4">
        <f t="shared" si="255"/>
        <v>-1.2208784127080494</v>
      </c>
      <c r="X1938" s="4">
        <f t="shared" si="256"/>
        <v>2.1530078219610491</v>
      </c>
      <c r="Y1938" s="3">
        <f t="shared" si="253"/>
        <v>414.82588132025194</v>
      </c>
      <c r="AA1938" s="3"/>
    </row>
    <row r="1939" spans="19:27" x14ac:dyDescent="0.25">
      <c r="S1939" s="4">
        <v>0.56141269040229524</v>
      </c>
      <c r="T1939" s="4">
        <v>0.9673175282149068</v>
      </c>
      <c r="U1939" s="4">
        <f t="shared" si="254"/>
        <v>1.1090345866232447</v>
      </c>
      <c r="W1939" s="4">
        <f t="shared" si="255"/>
        <v>0.98297348597129253</v>
      </c>
      <c r="X1939" s="4">
        <f t="shared" si="256"/>
        <v>2.0211228242771448</v>
      </c>
      <c r="Y1939" s="3">
        <f t="shared" si="253"/>
        <v>47.074944825658349</v>
      </c>
      <c r="AA1939" s="3"/>
    </row>
    <row r="1940" spans="19:27" x14ac:dyDescent="0.25">
      <c r="S1940" s="4">
        <v>0.67835773289058099</v>
      </c>
      <c r="T1940" s="4">
        <v>1.2056279965293744</v>
      </c>
      <c r="U1940" s="4">
        <f t="shared" si="254"/>
        <v>1.3692337000473942</v>
      </c>
      <c r="W1940" s="4">
        <f t="shared" si="255"/>
        <v>1.181833471803335</v>
      </c>
      <c r="X1940" s="4">
        <f t="shared" si="256"/>
        <v>2.4798787807235514</v>
      </c>
      <c r="Y1940" s="3">
        <f t="shared" si="253"/>
        <v>62.186097803207304</v>
      </c>
      <c r="AA1940" s="3"/>
    </row>
    <row r="1941" spans="19:27" x14ac:dyDescent="0.25">
      <c r="S1941" s="4">
        <v>-0.87095265489120333</v>
      </c>
      <c r="T1941" s="4">
        <v>1.662737114308819</v>
      </c>
      <c r="U1941" s="4">
        <f t="shared" si="254"/>
        <v>0.78708626911803781</v>
      </c>
      <c r="W1941" s="4">
        <f t="shared" si="255"/>
        <v>-1.4527018210850633</v>
      </c>
      <c r="X1941" s="4">
        <f t="shared" si="256"/>
        <v>1.453497107264595</v>
      </c>
      <c r="Y1941" s="3">
        <f t="shared" si="253"/>
        <v>383.64418483941245</v>
      </c>
      <c r="AA1941" s="3"/>
    </row>
    <row r="1942" spans="19:27" x14ac:dyDescent="0.25">
      <c r="S1942" s="4">
        <v>0.60272091273383932</v>
      </c>
      <c r="T1942" s="4">
        <v>2.7047249498288122</v>
      </c>
      <c r="U1942" s="4">
        <f t="shared" si="254"/>
        <v>2.5114459973795609</v>
      </c>
      <c r="W1942" s="4">
        <f t="shared" si="255"/>
        <v>1.0532163310959206</v>
      </c>
      <c r="X1942" s="4">
        <f t="shared" si="256"/>
        <v>4.493708451516091</v>
      </c>
      <c r="Y1942" s="3">
        <f t="shared" si="253"/>
        <v>283.44371782984126</v>
      </c>
      <c r="AA1942" s="3"/>
    </row>
    <row r="1943" spans="19:27" x14ac:dyDescent="0.25">
      <c r="S1943" s="4">
        <v>-0.63247703543140965</v>
      </c>
      <c r="T1943" s="4">
        <v>-2.7664795678429593E-2</v>
      </c>
      <c r="U1943" s="4">
        <f t="shared" si="254"/>
        <v>-0.40750177527364345</v>
      </c>
      <c r="W1943" s="4">
        <f t="shared" si="255"/>
        <v>-1.0471843463976476</v>
      </c>
      <c r="X1943" s="4">
        <f t="shared" si="256"/>
        <v>-0.65267602166154404</v>
      </c>
      <c r="Y1943" s="3">
        <f t="shared" si="253"/>
        <v>105.39516504603762</v>
      </c>
      <c r="AA1943" s="3"/>
    </row>
    <row r="1944" spans="19:27" x14ac:dyDescent="0.25">
      <c r="S1944" s="4">
        <v>-0.28962867819363031</v>
      </c>
      <c r="T1944" s="4">
        <v>0.85923563536806913</v>
      </c>
      <c r="U1944" s="4">
        <f t="shared" si="254"/>
        <v>0.50454512616549763</v>
      </c>
      <c r="W1944" s="4">
        <f t="shared" si="255"/>
        <v>-0.46418554617340313</v>
      </c>
      <c r="X1944" s="4">
        <f t="shared" si="256"/>
        <v>0.95535001304538969</v>
      </c>
      <c r="Y1944" s="3">
        <f t="shared" si="253"/>
        <v>170.47937778096002</v>
      </c>
      <c r="AA1944" s="3"/>
    </row>
    <row r="1945" spans="19:27" x14ac:dyDescent="0.25">
      <c r="S1945" s="4">
        <v>4.7764424317783714E-3</v>
      </c>
      <c r="T1945" s="4">
        <v>0.35945775182150236</v>
      </c>
      <c r="U1945" s="4">
        <f t="shared" si="254"/>
        <v>0.28785111689262111</v>
      </c>
      <c r="W1945" s="4">
        <f t="shared" si="255"/>
        <v>3.6437625794865564E-2</v>
      </c>
      <c r="X1945" s="4">
        <f t="shared" si="256"/>
        <v>0.57329772173670368</v>
      </c>
      <c r="Y1945" s="3">
        <f t="shared" si="253"/>
        <v>51.494060534607797</v>
      </c>
      <c r="AA1945" s="3"/>
    </row>
    <row r="1946" spans="19:27" x14ac:dyDescent="0.25">
      <c r="S1946" s="4">
        <v>-0.77897785235789385</v>
      </c>
      <c r="T1946" s="4">
        <v>0.9771700775754566</v>
      </c>
      <c r="U1946" s="4">
        <f t="shared" si="254"/>
        <v>0.29971264240393164</v>
      </c>
      <c r="W1946" s="4">
        <f t="shared" si="255"/>
        <v>-1.296302648110194</v>
      </c>
      <c r="X1946" s="4">
        <f t="shared" si="256"/>
        <v>0.59421072720104007</v>
      </c>
      <c r="Y1946" s="3">
        <f t="shared" si="253"/>
        <v>271.52873323844869</v>
      </c>
      <c r="AA1946" s="3"/>
    </row>
    <row r="1947" spans="19:27" x14ac:dyDescent="0.25">
      <c r="S1947" s="4">
        <v>1.0429301811671516</v>
      </c>
      <c r="T1947" s="4">
        <v>-1.3636849084331213</v>
      </c>
      <c r="U1947" s="4">
        <f t="shared" si="254"/>
        <v>-0.44518863511891038</v>
      </c>
      <c r="W1947" s="4">
        <f t="shared" si="255"/>
        <v>1.8017731490777613</v>
      </c>
      <c r="X1947" s="4">
        <f t="shared" si="256"/>
        <v>-0.71912156486981116</v>
      </c>
      <c r="Y1947" s="3">
        <f t="shared" si="253"/>
        <v>-352.33796040148627</v>
      </c>
      <c r="AA1947" s="3"/>
    </row>
    <row r="1948" spans="19:27" x14ac:dyDescent="0.25">
      <c r="S1948" s="4">
        <v>-1.3546513440617549</v>
      </c>
      <c r="T1948" s="4">
        <v>-1.2012839481769462</v>
      </c>
      <c r="U1948" s="4">
        <f t="shared" si="254"/>
        <v>-1.7780738823222557</v>
      </c>
      <c r="W1948" s="4">
        <f t="shared" si="255"/>
        <v>-2.2752105177240725</v>
      </c>
      <c r="X1948" s="4">
        <f t="shared" si="256"/>
        <v>-3.0691259071879298</v>
      </c>
      <c r="Y1948" s="3">
        <f t="shared" si="253"/>
        <v>71.235532980247172</v>
      </c>
      <c r="AA1948" s="3"/>
    </row>
    <row r="1949" spans="19:27" x14ac:dyDescent="0.25">
      <c r="S1949" s="4">
        <v>1.3865639730705515</v>
      </c>
      <c r="T1949" s="4">
        <v>0.29948474649394757</v>
      </c>
      <c r="U1949" s="4">
        <f t="shared" si="254"/>
        <v>1.08267950313557</v>
      </c>
      <c r="W1949" s="4">
        <f t="shared" si="255"/>
        <v>2.3861075469738178</v>
      </c>
      <c r="X1949" s="4">
        <f t="shared" si="256"/>
        <v>1.9746562880407037</v>
      </c>
      <c r="Y1949" s="3">
        <f t="shared" si="253"/>
        <v>-170.38561530329162</v>
      </c>
      <c r="AA1949" s="3"/>
    </row>
    <row r="1950" spans="19:27" x14ac:dyDescent="0.25">
      <c r="S1950" s="4">
        <v>0.8251798974904323</v>
      </c>
      <c r="T1950" s="4">
        <v>2.6245607052409161</v>
      </c>
      <c r="U1950" s="4">
        <f t="shared" si="254"/>
        <v>2.5835164010702325</v>
      </c>
      <c r="W1950" s="4">
        <f t="shared" si="255"/>
        <v>1.4314982113332806</v>
      </c>
      <c r="X1950" s="4">
        <f t="shared" si="256"/>
        <v>4.6207754754636214</v>
      </c>
      <c r="Y1950" s="3">
        <f t="shared" si="253"/>
        <v>237.93531129009534</v>
      </c>
      <c r="AA1950" s="3"/>
    </row>
    <row r="1951" spans="19:27" x14ac:dyDescent="0.25">
      <c r="S1951" s="4">
        <v>-0.80356394907554374</v>
      </c>
      <c r="T1951" s="4">
        <v>-0.57942642119196419</v>
      </c>
      <c r="U1951" s="4">
        <f t="shared" si="254"/>
        <v>-0.94917721199900551</v>
      </c>
      <c r="W1951" s="4">
        <f t="shared" si="255"/>
        <v>-1.3381102420099253</v>
      </c>
      <c r="X1951" s="4">
        <f t="shared" si="256"/>
        <v>-1.607701693303226</v>
      </c>
      <c r="Y1951" s="3">
        <f t="shared" si="253"/>
        <v>58.324924390333763</v>
      </c>
      <c r="AA1951" s="3"/>
    </row>
    <row r="1952" spans="19:27" x14ac:dyDescent="0.25">
      <c r="S1952" s="4">
        <v>-0.42653878903086417</v>
      </c>
      <c r="T1952" s="4">
        <v>-1.9249126169964843</v>
      </c>
      <c r="U1952" s="4">
        <f t="shared" si="254"/>
        <v>-1.7858904313135806</v>
      </c>
      <c r="W1952" s="4">
        <f t="shared" si="255"/>
        <v>-0.6969952670650168</v>
      </c>
      <c r="X1952" s="4">
        <f t="shared" si="256"/>
        <v>-3.0829072316568573</v>
      </c>
      <c r="Y1952" s="3">
        <f t="shared" si="253"/>
        <v>-195.33625811662569</v>
      </c>
      <c r="AA1952" s="3"/>
    </row>
    <row r="1953" spans="19:27" x14ac:dyDescent="0.25">
      <c r="S1953" s="4">
        <v>7.3180855506137815E-2</v>
      </c>
      <c r="T1953" s="4">
        <v>-0.81973777635317413</v>
      </c>
      <c r="U1953" s="4">
        <f t="shared" si="254"/>
        <v>-0.60518691062152385</v>
      </c>
      <c r="W1953" s="4">
        <f t="shared" si="255"/>
        <v>0.15275637112499699</v>
      </c>
      <c r="X1953" s="4">
        <f t="shared" si="256"/>
        <v>-1.0012138477452253</v>
      </c>
      <c r="Y1953" s="3">
        <f t="shared" si="253"/>
        <v>-124.5403741864443</v>
      </c>
      <c r="AA1953" s="3"/>
    </row>
    <row r="1954" spans="19:27" x14ac:dyDescent="0.25">
      <c r="S1954" s="4">
        <v>-0.24999908436938253</v>
      </c>
      <c r="T1954" s="4">
        <v>-0.51393117278599976</v>
      </c>
      <c r="U1954" s="4">
        <f t="shared" si="254"/>
        <v>-0.55979415872624838</v>
      </c>
      <c r="W1954" s="4">
        <f t="shared" si="255"/>
        <v>-0.39679713620973223</v>
      </c>
      <c r="X1954" s="4">
        <f t="shared" si="256"/>
        <v>-0.92118207885327619</v>
      </c>
      <c r="Y1954" s="3">
        <f t="shared" si="253"/>
        <v>-28.123378597435021</v>
      </c>
      <c r="AA1954" s="3"/>
    </row>
    <row r="1955" spans="19:27" x14ac:dyDescent="0.25">
      <c r="S1955" s="4">
        <v>-0.71715717938891099</v>
      </c>
      <c r="T1955" s="4">
        <v>-1.6427260194587583</v>
      </c>
      <c r="U1955" s="4">
        <f t="shared" si="254"/>
        <v>-1.7393708225907929</v>
      </c>
      <c r="W1955" s="4">
        <f t="shared" si="255"/>
        <v>-1.1911792680235971</v>
      </c>
      <c r="X1955" s="4">
        <f t="shared" si="256"/>
        <v>-3.0008887062580141</v>
      </c>
      <c r="Y1955" s="3">
        <f t="shared" si="253"/>
        <v>-105.5100671685027</v>
      </c>
      <c r="AA1955" s="3"/>
    </row>
    <row r="1956" spans="19:27" x14ac:dyDescent="0.25">
      <c r="S1956" s="4">
        <v>-0.4706532890835885</v>
      </c>
      <c r="T1956" s="4">
        <v>-0.20245497369904261</v>
      </c>
      <c r="U1956" s="4">
        <f t="shared" si="254"/>
        <v>-0.44740518801833529</v>
      </c>
      <c r="W1956" s="4">
        <f t="shared" si="255"/>
        <v>-0.77201006605789546</v>
      </c>
      <c r="X1956" s="4">
        <f t="shared" si="256"/>
        <v>-0.7230295599125619</v>
      </c>
      <c r="Y1956" s="3">
        <f t="shared" si="253"/>
        <v>52.959251081557795</v>
      </c>
      <c r="AA1956" s="3"/>
    </row>
    <row r="1957" spans="19:27" x14ac:dyDescent="0.25">
      <c r="S1957" s="4">
        <v>0.9058983094071037</v>
      </c>
      <c r="T1957" s="4">
        <v>0.92129369128062</v>
      </c>
      <c r="U1957" s="4">
        <f t="shared" si="254"/>
        <v>1.2825579778623433</v>
      </c>
      <c r="W1957" s="4">
        <f t="shared" si="255"/>
        <v>1.5687563790041514</v>
      </c>
      <c r="X1957" s="4">
        <f t="shared" si="256"/>
        <v>2.3270611815072599</v>
      </c>
      <c r="Y1957" s="3">
        <f t="shared" si="253"/>
        <v>-12.380468298290907</v>
      </c>
      <c r="AA1957" s="3"/>
    </row>
    <row r="1958" spans="19:27" x14ac:dyDescent="0.25">
      <c r="S1958" s="4">
        <v>-0.57018936609188919</v>
      </c>
      <c r="T1958" s="4">
        <v>-0.88431552882156494</v>
      </c>
      <c r="U1958" s="4">
        <f t="shared" si="254"/>
        <v>-1.0485900214723776</v>
      </c>
      <c r="W1958" s="4">
        <f t="shared" si="255"/>
        <v>-0.94126685918472253</v>
      </c>
      <c r="X1958" s="4">
        <f t="shared" si="256"/>
        <v>-1.7829759972499835</v>
      </c>
      <c r="Y1958" s="3">
        <f t="shared" si="253"/>
        <v>-25.157018155614878</v>
      </c>
      <c r="AA1958" s="3"/>
    </row>
    <row r="1959" spans="19:27" x14ac:dyDescent="0.25">
      <c r="S1959" s="4">
        <v>-0.64310337053194455</v>
      </c>
      <c r="T1959" s="4">
        <v>-0.57117672652908247</v>
      </c>
      <c r="U1959" s="4">
        <f t="shared" si="254"/>
        <v>-0.84481739602799855</v>
      </c>
      <c r="W1959" s="4">
        <f t="shared" si="255"/>
        <v>-1.06525396955205</v>
      </c>
      <c r="X1959" s="4">
        <f t="shared" si="256"/>
        <v>-1.423705343122323</v>
      </c>
      <c r="Y1959" s="3">
        <f t="shared" si="253"/>
        <v>31.287420600707719</v>
      </c>
      <c r="AA1959" s="3"/>
    </row>
    <row r="1960" spans="19:27" x14ac:dyDescent="0.25">
      <c r="S1960" s="4">
        <v>-1.3584835628772036</v>
      </c>
      <c r="T1960" s="4">
        <v>0.56103619454609555</v>
      </c>
      <c r="U1960" s="4">
        <f t="shared" si="254"/>
        <v>-0.38343297646275853</v>
      </c>
      <c r="W1960" s="4">
        <f t="shared" si="255"/>
        <v>-2.2817270400419956</v>
      </c>
      <c r="X1960" s="4">
        <f t="shared" si="256"/>
        <v>-0.61024042426961667</v>
      </c>
      <c r="Y1960" s="3">
        <f t="shared" si="253"/>
        <v>318.24650730327267</v>
      </c>
      <c r="AA1960" s="3"/>
    </row>
    <row r="1961" spans="19:27" x14ac:dyDescent="0.25">
      <c r="S1961" s="4">
        <v>0.87596132160021001</v>
      </c>
      <c r="T1961" s="4">
        <v>-0.30544994479481496</v>
      </c>
      <c r="U1961" s="4">
        <f t="shared" si="254"/>
        <v>0.29187783254346977</v>
      </c>
      <c r="W1961" s="4">
        <f t="shared" si="255"/>
        <v>1.51784982628107</v>
      </c>
      <c r="X1961" s="4">
        <f t="shared" si="256"/>
        <v>0.58039720707096598</v>
      </c>
      <c r="Y1961" s="3">
        <f t="shared" si="253"/>
        <v>-179.29006392346128</v>
      </c>
      <c r="AA1961" s="3"/>
    </row>
    <row r="1962" spans="19:27" x14ac:dyDescent="0.25">
      <c r="S1962" s="4">
        <v>-1.3174861103226754</v>
      </c>
      <c r="T1962" s="4">
        <v>0.58410604192854265</v>
      </c>
      <c r="U1962" s="4">
        <f t="shared" si="254"/>
        <v>-0.34015273075815156</v>
      </c>
      <c r="W1962" s="4">
        <f t="shared" si="255"/>
        <v>-2.2120126454796099</v>
      </c>
      <c r="X1962" s="4">
        <f t="shared" si="256"/>
        <v>-0.53393320610824346</v>
      </c>
      <c r="Y1962" s="3">
        <f t="shared" si="253"/>
        <v>313.88119295066463</v>
      </c>
      <c r="AA1962" s="3"/>
    </row>
    <row r="1963" spans="19:27" x14ac:dyDescent="0.25">
      <c r="S1963" s="4">
        <v>0.49464896050823542</v>
      </c>
      <c r="T1963" s="4">
        <v>-0.22049800474422354</v>
      </c>
      <c r="U1963" s="4">
        <f t="shared" si="254"/>
        <v>0.1267620343079294</v>
      </c>
      <c r="W1963" s="4">
        <f t="shared" si="255"/>
        <v>0.86944465141503535</v>
      </c>
      <c r="X1963" s="4">
        <f t="shared" si="256"/>
        <v>0.28928224150810883</v>
      </c>
      <c r="Y1963" s="3">
        <f t="shared" si="253"/>
        <v>-108.45560425226586</v>
      </c>
      <c r="AA1963" s="3"/>
    </row>
    <row r="1964" spans="19:27" x14ac:dyDescent="0.25">
      <c r="S1964" s="4">
        <v>0.47073716918970721</v>
      </c>
      <c r="T1964" s="4">
        <v>0.76820044770321538</v>
      </c>
      <c r="U1964" s="4">
        <f t="shared" si="254"/>
        <v>0.89591824519693364</v>
      </c>
      <c r="W1964" s="4">
        <f t="shared" si="255"/>
        <v>0.82878368467676944</v>
      </c>
      <c r="X1964" s="4">
        <f t="shared" si="256"/>
        <v>1.6453783040180983</v>
      </c>
      <c r="Y1964" s="3">
        <f t="shared" si="253"/>
        <v>33.492669307338929</v>
      </c>
      <c r="AA1964" s="3"/>
    </row>
    <row r="1965" spans="19:27" x14ac:dyDescent="0.25">
      <c r="S1965" s="4">
        <v>0.62119704649734453</v>
      </c>
      <c r="T1965" s="4">
        <v>-0.28537438582699043</v>
      </c>
      <c r="U1965" s="4">
        <f t="shared" si="254"/>
        <v>0.15248158154720512</v>
      </c>
      <c r="W1965" s="4">
        <f t="shared" si="255"/>
        <v>1.084634197302687</v>
      </c>
      <c r="X1965" s="4">
        <f t="shared" si="256"/>
        <v>0.33462826647280186</v>
      </c>
      <c r="Y1965" s="3">
        <f t="shared" si="253"/>
        <v>-137.32691711530333</v>
      </c>
      <c r="AA1965" s="3"/>
    </row>
    <row r="1966" spans="19:27" x14ac:dyDescent="0.25">
      <c r="S1966" s="4">
        <v>-2.1286720626319973</v>
      </c>
      <c r="T1966" s="4">
        <v>-0.13538225006220794</v>
      </c>
      <c r="U1966" s="4">
        <f t="shared" si="254"/>
        <v>-1.4050024131294523</v>
      </c>
      <c r="W1966" s="4">
        <f t="shared" si="255"/>
        <v>-3.5913992663322403</v>
      </c>
      <c r="X1966" s="4">
        <f t="shared" si="256"/>
        <v>-2.4113651776445444</v>
      </c>
      <c r="Y1966" s="3">
        <f t="shared" si="253"/>
        <v>368.35697198149501</v>
      </c>
      <c r="AA1966" s="3"/>
    </row>
    <row r="1967" spans="19:27" x14ac:dyDescent="0.25">
      <c r="S1967" s="4">
        <v>-0.94578475054927047</v>
      </c>
      <c r="T1967" s="4">
        <v>0.70806607832300106</v>
      </c>
      <c r="U1967" s="4">
        <f t="shared" si="254"/>
        <v>-1.5293156976743827E-2</v>
      </c>
      <c r="W1967" s="4">
        <f t="shared" si="255"/>
        <v>-1.5799505625940153</v>
      </c>
      <c r="X1967" s="4">
        <f t="shared" si="256"/>
        <v>3.8825334532617495E-2</v>
      </c>
      <c r="Y1967" s="3">
        <f t="shared" si="253"/>
        <v>263.57843758306717</v>
      </c>
      <c r="AA1967" s="3"/>
    </row>
    <row r="1968" spans="19:27" x14ac:dyDescent="0.25">
      <c r="S1968" s="4">
        <v>-0.34240601874668952</v>
      </c>
      <c r="T1968" s="4">
        <v>1.460126164519902</v>
      </c>
      <c r="U1968" s="4">
        <f t="shared" si="254"/>
        <v>0.94869200851921298</v>
      </c>
      <c r="W1968" s="4">
        <f t="shared" si="255"/>
        <v>-0.55393113069175115</v>
      </c>
      <c r="X1968" s="4">
        <f t="shared" si="256"/>
        <v>1.7384235029412916</v>
      </c>
      <c r="Y1968" s="3">
        <f t="shared" si="253"/>
        <v>263.40569699551725</v>
      </c>
      <c r="AA1968" s="3"/>
    </row>
    <row r="1969" spans="19:27" x14ac:dyDescent="0.25">
      <c r="S1969" s="4">
        <v>0.27521232280088037</v>
      </c>
      <c r="T1969" s="4">
        <v>-0.12416061720646</v>
      </c>
      <c r="U1969" s="4">
        <f t="shared" si="254"/>
        <v>6.9354442150168616E-2</v>
      </c>
      <c r="W1969" s="4">
        <f t="shared" si="255"/>
        <v>0.49630214159135655</v>
      </c>
      <c r="X1969" s="4">
        <f t="shared" si="256"/>
        <v>0.18806715856242462</v>
      </c>
      <c r="Y1969" s="3">
        <f t="shared" si="253"/>
        <v>-60.090810184187376</v>
      </c>
      <c r="AA1969" s="3"/>
    </row>
    <row r="1970" spans="19:27" x14ac:dyDescent="0.25">
      <c r="S1970" s="4">
        <v>-0.22661718495397368</v>
      </c>
      <c r="T1970" s="4">
        <v>-1.7387070459891683</v>
      </c>
      <c r="U1970" s="4">
        <f t="shared" si="254"/>
        <v>-1.5164100908272102</v>
      </c>
      <c r="W1970" s="4">
        <f t="shared" si="255"/>
        <v>-0.3570372277301555</v>
      </c>
      <c r="X1970" s="4">
        <f t="shared" si="256"/>
        <v>-2.6077875830291295</v>
      </c>
      <c r="Y1970" s="3">
        <f t="shared" si="253"/>
        <v>-203.23319658413311</v>
      </c>
      <c r="AA1970" s="3"/>
    </row>
    <row r="1971" spans="19:27" x14ac:dyDescent="0.25">
      <c r="S1971" s="4">
        <v>2.6731318785997587E-2</v>
      </c>
      <c r="T1971" s="4">
        <v>1.2698294919343156</v>
      </c>
      <c r="U1971" s="4">
        <f t="shared" si="254"/>
        <v>1.0228797120278414</v>
      </c>
      <c r="W1971" s="4">
        <f t="shared" si="255"/>
        <v>7.3770943290402943E-2</v>
      </c>
      <c r="X1971" s="4">
        <f t="shared" si="256"/>
        <v>1.8692235292433972</v>
      </c>
      <c r="Y1971" s="3">
        <f t="shared" si="253"/>
        <v>175.11459516149898</v>
      </c>
      <c r="AA1971" s="3"/>
    </row>
    <row r="1972" spans="19:27" x14ac:dyDescent="0.25">
      <c r="S1972" s="4">
        <v>-1.1500129444438412</v>
      </c>
      <c r="T1972" s="4">
        <v>-0.87707272963736771</v>
      </c>
      <c r="U1972" s="4">
        <f t="shared" si="254"/>
        <v>-1.3963221026661927</v>
      </c>
      <c r="W1972" s="4">
        <f t="shared" si="255"/>
        <v>-1.9272317716153051</v>
      </c>
      <c r="X1972" s="4">
        <f t="shared" si="256"/>
        <v>-2.3960609589774609</v>
      </c>
      <c r="Y1972" s="3">
        <f t="shared" si="253"/>
        <v>78.934683945097277</v>
      </c>
      <c r="AA1972" s="3"/>
    </row>
    <row r="1973" spans="19:27" x14ac:dyDescent="0.25">
      <c r="S1973" s="4">
        <v>-0.69236121776198034</v>
      </c>
      <c r="T1973" s="4">
        <v>8.8731366905926951E-2</v>
      </c>
      <c r="U1973" s="4">
        <f t="shared" si="254"/>
        <v>-0.35174219983361266</v>
      </c>
      <c r="W1973" s="4">
        <f t="shared" si="255"/>
        <v>-1.1490148079241687</v>
      </c>
      <c r="X1973" s="4">
        <f t="shared" si="256"/>
        <v>-0.55436655002111235</v>
      </c>
      <c r="Y1973" s="3">
        <f t="shared" si="253"/>
        <v>132.12777678721795</v>
      </c>
      <c r="AA1973" s="3"/>
    </row>
    <row r="1974" spans="19:27" x14ac:dyDescent="0.25">
      <c r="S1974" s="4">
        <v>-7.1108649902685464E-2</v>
      </c>
      <c r="T1974" s="4">
        <v>5.1862564728734593E-2</v>
      </c>
      <c r="U1974" s="4">
        <f t="shared" si="254"/>
        <v>-2.2383784042213084E-3</v>
      </c>
      <c r="W1974" s="4">
        <f t="shared" si="255"/>
        <v>-9.2601691010772633E-2</v>
      </c>
      <c r="X1974" s="4">
        <f t="shared" si="256"/>
        <v>6.1842159422681779E-2</v>
      </c>
      <c r="Y1974" s="3">
        <f t="shared" si="253"/>
        <v>21.045853340287067</v>
      </c>
      <c r="AA1974" s="3"/>
    </row>
    <row r="1975" spans="19:27" x14ac:dyDescent="0.25">
      <c r="S1975" s="4">
        <v>0.28410051252992102</v>
      </c>
      <c r="T1975" s="4">
        <v>-1.4648621034900886</v>
      </c>
      <c r="U1975" s="4">
        <f t="shared" si="254"/>
        <v>-0.98799048703670311</v>
      </c>
      <c r="W1975" s="4">
        <f t="shared" si="255"/>
        <v>0.51141612373186995</v>
      </c>
      <c r="X1975" s="4">
        <f t="shared" si="256"/>
        <v>-1.6761332143734426</v>
      </c>
      <c r="Y1975" s="3">
        <f t="shared" si="253"/>
        <v>-248.89365567436062</v>
      </c>
      <c r="AA1975" s="3"/>
    </row>
    <row r="1976" spans="19:27" x14ac:dyDescent="0.25">
      <c r="S1976" s="4">
        <v>1.6627905092297994</v>
      </c>
      <c r="T1976" s="4">
        <v>0.81099753460895385</v>
      </c>
      <c r="U1976" s="4">
        <f t="shared" si="254"/>
        <v>1.6565454674285518</v>
      </c>
      <c r="W1976" s="4">
        <f t="shared" si="255"/>
        <v>2.8558188224437853</v>
      </c>
      <c r="X1976" s="4">
        <f t="shared" si="256"/>
        <v>2.986436942696971</v>
      </c>
      <c r="Y1976" s="3">
        <f t="shared" si="253"/>
        <v>-138.25517737380687</v>
      </c>
      <c r="AA1976" s="3"/>
    </row>
    <row r="1977" spans="19:27" x14ac:dyDescent="0.25">
      <c r="S1977" s="4">
        <v>-1.3434509141809854</v>
      </c>
      <c r="T1977" s="4">
        <v>0.70349808609719144</v>
      </c>
      <c r="U1977" s="4">
        <f t="shared" si="254"/>
        <v>-0.26134033397568057</v>
      </c>
      <c r="W1977" s="4">
        <f t="shared" si="255"/>
        <v>-2.256164671230616</v>
      </c>
      <c r="X1977" s="4">
        <f t="shared" si="256"/>
        <v>-0.39497940265373677</v>
      </c>
      <c r="Y1977" s="3">
        <f t="shared" si="253"/>
        <v>335.3709705499723</v>
      </c>
      <c r="AA1977" s="3"/>
    </row>
    <row r="1978" spans="19:27" x14ac:dyDescent="0.25">
      <c r="S1978" s="4">
        <v>0.11320950004738103</v>
      </c>
      <c r="T1978" s="4">
        <v>-0.5482556827223003</v>
      </c>
      <c r="U1978" s="4">
        <f t="shared" si="254"/>
        <v>-0.36558286688969638</v>
      </c>
      <c r="W1978" s="4">
        <f t="shared" si="255"/>
        <v>0.22082334957040523</v>
      </c>
      <c r="X1978" s="4">
        <f t="shared" si="256"/>
        <v>-0.57876897157287099</v>
      </c>
      <c r="Y1978" s="3">
        <f t="shared" si="253"/>
        <v>-93.138006152788876</v>
      </c>
      <c r="AA1978" s="3"/>
    </row>
    <row r="1979" spans="19:27" x14ac:dyDescent="0.25">
      <c r="S1979" s="4">
        <v>1.5769814425838036</v>
      </c>
      <c r="T1979" s="4">
        <v>-1.3224275333101285</v>
      </c>
      <c r="U1979" s="4">
        <f t="shared" si="254"/>
        <v>-8.6914678503574483E-2</v>
      </c>
      <c r="W1979" s="4">
        <f t="shared" si="255"/>
        <v>2.7099042166220566</v>
      </c>
      <c r="X1979" s="4">
        <f t="shared" si="256"/>
        <v>-8.7450267170253698E-2</v>
      </c>
      <c r="Y1979" s="3">
        <f t="shared" si="253"/>
        <v>-424.31099326327876</v>
      </c>
      <c r="AA1979" s="3"/>
    </row>
    <row r="1980" spans="19:27" x14ac:dyDescent="0.25">
      <c r="S1980" s="4">
        <v>0.43233518972737905</v>
      </c>
      <c r="T1980" s="4">
        <v>0.99389439573751881</v>
      </c>
      <c r="U1980" s="4">
        <f t="shared" si="254"/>
        <v>1.0514133330271629</v>
      </c>
      <c r="W1980" s="4">
        <f t="shared" si="255"/>
        <v>0.76348277983023927</v>
      </c>
      <c r="X1980" s="4">
        <f t="shared" si="256"/>
        <v>1.9195310357531719</v>
      </c>
      <c r="Y1980" s="3">
        <f t="shared" si="253"/>
        <v>71.105392241766822</v>
      </c>
      <c r="AA1980" s="3"/>
    </row>
    <row r="1981" spans="19:27" x14ac:dyDescent="0.25">
      <c r="S1981" s="4">
        <v>-0.62118090240459523</v>
      </c>
      <c r="T1981" s="4">
        <v>0.71051176754322132</v>
      </c>
      <c r="U1981" s="4">
        <f t="shared" si="254"/>
        <v>0.18453126969133343</v>
      </c>
      <c r="W1981" s="4">
        <f t="shared" si="255"/>
        <v>-1.0279757608443592</v>
      </c>
      <c r="X1981" s="4">
        <f t="shared" si="256"/>
        <v>0.39113493609546646</v>
      </c>
      <c r="Y1981" s="3">
        <f t="shared" si="253"/>
        <v>206.59416297193729</v>
      </c>
      <c r="AA1981" s="3"/>
    </row>
    <row r="1982" spans="19:27" x14ac:dyDescent="0.25">
      <c r="S1982" s="4">
        <v>-0.91067712689346469</v>
      </c>
      <c r="T1982" s="4">
        <v>0.37637382258187774</v>
      </c>
      <c r="U1982" s="4">
        <f t="shared" si="254"/>
        <v>-0.25682057015012705</v>
      </c>
      <c r="W1982" s="4">
        <f t="shared" si="255"/>
        <v>-1.5202515672861163</v>
      </c>
      <c r="X1982" s="4">
        <f t="shared" si="256"/>
        <v>-0.3870106261678472</v>
      </c>
      <c r="Y1982" s="3">
        <f t="shared" si="253"/>
        <v>210.94364374124689</v>
      </c>
      <c r="AA1982" s="3"/>
    </row>
    <row r="1983" spans="19:27" x14ac:dyDescent="0.25">
      <c r="S1983" s="4">
        <v>-0.73675059029192802</v>
      </c>
      <c r="T1983" s="4">
        <v>0.95459930840822005</v>
      </c>
      <c r="U1983" s="4">
        <f t="shared" si="254"/>
        <v>0.30756365494761695</v>
      </c>
      <c r="W1983" s="4">
        <f t="shared" si="255"/>
        <v>-1.2244970156738719</v>
      </c>
      <c r="X1983" s="4">
        <f t="shared" si="256"/>
        <v>0.6080528142133812</v>
      </c>
      <c r="Y1983" s="3">
        <f t="shared" si="253"/>
        <v>260.93336476532113</v>
      </c>
      <c r="AA1983" s="3"/>
    </row>
    <row r="1984" spans="19:27" x14ac:dyDescent="0.25">
      <c r="S1984" s="4">
        <v>-1.0657188960187123</v>
      </c>
      <c r="T1984" s="4">
        <v>-0.83797720515794949</v>
      </c>
      <c r="U1984" s="4">
        <f t="shared" si="254"/>
        <v>-1.3139438597587021</v>
      </c>
      <c r="W1984" s="4">
        <f t="shared" si="255"/>
        <v>-1.7838933887400692</v>
      </c>
      <c r="X1984" s="4">
        <f t="shared" si="256"/>
        <v>-2.2508202273005757</v>
      </c>
      <c r="Y1984" s="3">
        <f t="shared" si="253"/>
        <v>69.093199024624482</v>
      </c>
      <c r="AA1984" s="3"/>
    </row>
    <row r="1985" spans="19:27" x14ac:dyDescent="0.25">
      <c r="S1985" s="4">
        <v>-1.2374340127448056</v>
      </c>
      <c r="T1985" s="4">
        <v>0.44831517215298144</v>
      </c>
      <c r="U1985" s="4">
        <f t="shared" si="254"/>
        <v>-0.39899152468000554</v>
      </c>
      <c r="W1985" s="4">
        <f t="shared" si="255"/>
        <v>-2.075887516517815</v>
      </c>
      <c r="X1985" s="4">
        <f t="shared" si="256"/>
        <v>-0.63767163483137501</v>
      </c>
      <c r="Y1985" s="3">
        <f t="shared" si="253"/>
        <v>280.15864812035124</v>
      </c>
      <c r="AA1985" s="3"/>
    </row>
    <row r="1986" spans="19:27" x14ac:dyDescent="0.25">
      <c r="S1986" s="4">
        <v>1.5477940244232309</v>
      </c>
      <c r="T1986" s="4">
        <v>-1.4844414255577867</v>
      </c>
      <c r="U1986" s="4">
        <f t="shared" si="254"/>
        <v>-0.23313509918173048</v>
      </c>
      <c r="W1986" s="4">
        <f t="shared" si="255"/>
        <v>2.6602722746569514</v>
      </c>
      <c r="X1986" s="4">
        <f t="shared" si="256"/>
        <v>-0.34525087247384445</v>
      </c>
      <c r="Y1986" s="3">
        <f t="shared" ref="Y1986:Y2049" si="257">(B$4*EXP(-B$8*B$7)*NORMSDIST((LN(B$4/(B$5+W1986))-B$8*B$7+B$9*B$7+0.5*B$6*B$6*B$7)/(B$6*SQRT(B$7)))-(B$5+W1986)*EXP(-B$9*B$7)*NORMSDIST((LN(B$4/(B$5+W1986))-B$8*B$7+B$9*B$7-0.5*B$6*B$6*B$7)/(B$6*SQRT(B$7))))*400+100*X1986-400*$B$13</f>
        <v>-442.81089640557684</v>
      </c>
      <c r="AA1986" s="3"/>
    </row>
    <row r="1987" spans="19:27" x14ac:dyDescent="0.25">
      <c r="S1987" s="4">
        <v>-0.25942993223796929</v>
      </c>
      <c r="T1987" s="4">
        <v>1.8121033266741176</v>
      </c>
      <c r="U1987" s="4">
        <f t="shared" ref="U1987:U2050" si="258">$B$19*S1987+SQRT(1-$B$19^2)*T1987</f>
        <v>1.2782855694938955</v>
      </c>
      <c r="W1987" s="4">
        <f t="shared" ref="W1987:W2050" si="259">S1987*SQRT($B$16)+$B$20</f>
        <v>-0.41283388504172458</v>
      </c>
      <c r="X1987" s="4">
        <f t="shared" ref="X1987:X2050" si="260">U1987*SQRT($C$17)+$C$20</f>
        <v>2.3195285163816797</v>
      </c>
      <c r="Y1987" s="3">
        <f t="shared" si="257"/>
        <v>298.55125440145002</v>
      </c>
      <c r="AA1987" s="3"/>
    </row>
    <row r="1988" spans="19:27" x14ac:dyDescent="0.25">
      <c r="S1988" s="4">
        <v>-2.2362217026201674</v>
      </c>
      <c r="T1988" s="4">
        <v>0.41663771748388284</v>
      </c>
      <c r="U1988" s="4">
        <f t="shared" si="258"/>
        <v>-1.0329852507288595</v>
      </c>
      <c r="W1988" s="4">
        <f t="shared" si="259"/>
        <v>-3.7742827766480462</v>
      </c>
      <c r="X1988" s="4">
        <f t="shared" si="260"/>
        <v>-1.7554632919476405</v>
      </c>
      <c r="Y1988" s="3">
        <f t="shared" si="257"/>
        <v>466.83541473583773</v>
      </c>
      <c r="AA1988" s="3"/>
    </row>
    <row r="1989" spans="19:27" x14ac:dyDescent="0.25">
      <c r="S1989" s="4">
        <v>0.55250047619100584</v>
      </c>
      <c r="T1989" s="4">
        <v>1.3475988564836059</v>
      </c>
      <c r="U1989" s="4">
        <f t="shared" si="258"/>
        <v>1.4050474758624287</v>
      </c>
      <c r="W1989" s="4">
        <f t="shared" si="259"/>
        <v>0.96781865123798883</v>
      </c>
      <c r="X1989" s="4">
        <f t="shared" si="260"/>
        <v>2.5430218973997456</v>
      </c>
      <c r="Y1989" s="3">
        <f t="shared" si="257"/>
        <v>101.6176050655763</v>
      </c>
      <c r="AA1989" s="3"/>
    </row>
    <row r="1990" spans="19:27" x14ac:dyDescent="0.25">
      <c r="S1990" s="4">
        <v>0.39706475018671178</v>
      </c>
      <c r="T1990" s="4">
        <v>0.80233834615947408</v>
      </c>
      <c r="U1990" s="4">
        <f t="shared" si="258"/>
        <v>0.8780667344541615</v>
      </c>
      <c r="W1990" s="4">
        <f t="shared" si="259"/>
        <v>0.70350692315337693</v>
      </c>
      <c r="X1990" s="4">
        <f t="shared" si="260"/>
        <v>1.6139043809249627</v>
      </c>
      <c r="Y1990" s="3">
        <f t="shared" si="257"/>
        <v>49.92779021882825</v>
      </c>
      <c r="AA1990" s="3"/>
    </row>
    <row r="1991" spans="19:27" x14ac:dyDescent="0.25">
      <c r="S1991" s="4">
        <v>-0.47973804419910776</v>
      </c>
      <c r="T1991" s="4">
        <v>1.5308277462930311</v>
      </c>
      <c r="U1991" s="4">
        <f t="shared" si="258"/>
        <v>0.92101592126940235</v>
      </c>
      <c r="W1991" s="4">
        <f t="shared" si="259"/>
        <v>-0.78745829913490428</v>
      </c>
      <c r="X1991" s="4">
        <f t="shared" si="260"/>
        <v>1.6896279105586056</v>
      </c>
      <c r="Y1991" s="3">
        <f t="shared" si="257"/>
        <v>296.76325956918845</v>
      </c>
      <c r="AA1991" s="3"/>
    </row>
    <row r="1992" spans="19:27" x14ac:dyDescent="0.25">
      <c r="S1992" s="4">
        <v>9.3281292694082502E-2</v>
      </c>
      <c r="T1992" s="4">
        <v>0.6038186244928847</v>
      </c>
      <c r="U1992" s="4">
        <f t="shared" si="258"/>
        <v>0.53550856182750295</v>
      </c>
      <c r="W1992" s="4">
        <f t="shared" si="259"/>
        <v>0.18693629503936843</v>
      </c>
      <c r="X1992" s="4">
        <f t="shared" si="260"/>
        <v>1.0099415155107923</v>
      </c>
      <c r="Y1992" s="3">
        <f t="shared" si="257"/>
        <v>71.127792020205106</v>
      </c>
      <c r="AA1992" s="3"/>
    </row>
    <row r="1993" spans="19:27" x14ac:dyDescent="0.25">
      <c r="S1993" s="4">
        <v>-0.8397249420690176</v>
      </c>
      <c r="T1993" s="4">
        <v>-1.1998869102311447</v>
      </c>
      <c r="U1993" s="4">
        <f t="shared" si="258"/>
        <v>-1.4630558378754006</v>
      </c>
      <c r="W1993" s="4">
        <f t="shared" si="259"/>
        <v>-1.3996004463088816</v>
      </c>
      <c r="X1993" s="4">
        <f t="shared" si="260"/>
        <v>-2.5137189252951129</v>
      </c>
      <c r="Y1993" s="3">
        <f t="shared" si="257"/>
        <v>-21.982978578043458</v>
      </c>
      <c r="AA1993" s="3"/>
    </row>
    <row r="1994" spans="19:27" x14ac:dyDescent="0.25">
      <c r="S1994" s="4">
        <v>1.1805502707193041</v>
      </c>
      <c r="T1994" s="4">
        <v>0.63620359303436302</v>
      </c>
      <c r="U1994" s="4">
        <f t="shared" si="258"/>
        <v>1.2240032959139482</v>
      </c>
      <c r="W1994" s="4">
        <f t="shared" si="259"/>
        <v>2.0357901580611633</v>
      </c>
      <c r="X1994" s="4">
        <f t="shared" si="260"/>
        <v>2.2238236694029698</v>
      </c>
      <c r="Y1994" s="3">
        <f t="shared" si="257"/>
        <v>-93.260433697100325</v>
      </c>
      <c r="AA1994" s="3"/>
    </row>
    <row r="1995" spans="19:27" x14ac:dyDescent="0.25">
      <c r="S1995" s="4">
        <v>-0.43660940169908996</v>
      </c>
      <c r="T1995" s="4">
        <v>0.41583362815704894</v>
      </c>
      <c r="U1995" s="4">
        <f t="shared" si="258"/>
        <v>6.3461165406206888E-2</v>
      </c>
      <c r="W1995" s="4">
        <f t="shared" si="259"/>
        <v>-0.71411990826324445</v>
      </c>
      <c r="X1995" s="4">
        <f t="shared" si="260"/>
        <v>0.17767674725893778</v>
      </c>
      <c r="Y1995" s="3">
        <f t="shared" si="257"/>
        <v>133.52920129200584</v>
      </c>
      <c r="AA1995" s="3"/>
    </row>
    <row r="1996" spans="19:27" x14ac:dyDescent="0.25">
      <c r="S1996" s="4">
        <v>-1.4665767533565555</v>
      </c>
      <c r="T1996" s="4">
        <v>1.7015738045911935</v>
      </c>
      <c r="U1996" s="4">
        <f t="shared" si="258"/>
        <v>0.45476606364498506</v>
      </c>
      <c r="W1996" s="4">
        <f t="shared" si="259"/>
        <v>-2.4655348344546351</v>
      </c>
      <c r="X1996" s="4">
        <f t="shared" si="260"/>
        <v>0.8675847584406301</v>
      </c>
      <c r="Y1996" s="3">
        <f t="shared" si="257"/>
        <v>497.78235678389683</v>
      </c>
      <c r="AA1996" s="3"/>
    </row>
    <row r="1997" spans="19:27" x14ac:dyDescent="0.25">
      <c r="S1997" s="4">
        <v>-0.29891389565887511</v>
      </c>
      <c r="T1997" s="4">
        <v>-0.344986681901091</v>
      </c>
      <c r="U1997" s="4">
        <f t="shared" si="258"/>
        <v>-0.45569276950010706</v>
      </c>
      <c r="W1997" s="4">
        <f t="shared" si="259"/>
        <v>-0.47997465680433027</v>
      </c>
      <c r="X1997" s="4">
        <f t="shared" si="260"/>
        <v>-0.73764135977330991</v>
      </c>
      <c r="Y1997" s="3">
        <f t="shared" si="257"/>
        <v>3.7491403124672615</v>
      </c>
      <c r="AA1997" s="3"/>
    </row>
    <row r="1998" spans="19:27" x14ac:dyDescent="0.25">
      <c r="S1998" s="4">
        <v>-0.82603961787564018</v>
      </c>
      <c r="T1998" s="4">
        <v>-0.76500686396602968</v>
      </c>
      <c r="U1998" s="4">
        <f t="shared" si="258"/>
        <v>-1.1099870170316719</v>
      </c>
      <c r="W1998" s="4">
        <f t="shared" si="259"/>
        <v>-1.3763291445307446</v>
      </c>
      <c r="X1998" s="4">
        <f t="shared" si="260"/>
        <v>-1.891224780460963</v>
      </c>
      <c r="Y1998" s="3">
        <f t="shared" si="257"/>
        <v>36.368334437040176</v>
      </c>
      <c r="AA1998" s="3"/>
    </row>
    <row r="1999" spans="19:27" x14ac:dyDescent="0.25">
      <c r="S1999" s="4">
        <v>2.1731249176010121</v>
      </c>
      <c r="T1999" s="4">
        <v>1.0015056424916735</v>
      </c>
      <c r="U1999" s="4">
        <f t="shared" si="258"/>
        <v>2.1186709659399878</v>
      </c>
      <c r="W1999" s="4">
        <f t="shared" si="259"/>
        <v>3.7236204073503782</v>
      </c>
      <c r="X1999" s="4">
        <f t="shared" si="260"/>
        <v>3.8012084547055509</v>
      </c>
      <c r="Y1999" s="3">
        <f t="shared" si="257"/>
        <v>-181.49987308852315</v>
      </c>
      <c r="AA1999" s="3"/>
    </row>
    <row r="2000" spans="19:27" x14ac:dyDescent="0.25">
      <c r="S2000" s="4">
        <v>0.12150401990784651</v>
      </c>
      <c r="T2000" s="4">
        <v>-1.1479620287726684</v>
      </c>
      <c r="U2000" s="4">
        <f t="shared" si="258"/>
        <v>-0.83590877673828767</v>
      </c>
      <c r="W2000" s="4">
        <f t="shared" si="259"/>
        <v>0.23492782178093935</v>
      </c>
      <c r="X2000" s="4">
        <f t="shared" si="260"/>
        <v>-1.4079985941288851</v>
      </c>
      <c r="Y2000" s="3">
        <f t="shared" si="257"/>
        <v>-178.30462755006238</v>
      </c>
      <c r="AA2000" s="3"/>
    </row>
    <row r="2001" spans="19:27" x14ac:dyDescent="0.25">
      <c r="S2001" s="4">
        <v>-1.1200527592485596</v>
      </c>
      <c r="T2001" s="4">
        <v>0.63721511019150456</v>
      </c>
      <c r="U2001" s="4">
        <f t="shared" si="258"/>
        <v>-0.17769382029404912</v>
      </c>
      <c r="W2001" s="4">
        <f t="shared" si="259"/>
        <v>-1.8762857727367648</v>
      </c>
      <c r="X2001" s="4">
        <f t="shared" si="260"/>
        <v>-0.24750258813872314</v>
      </c>
      <c r="Y2001" s="3">
        <f t="shared" si="257"/>
        <v>285.11787715360788</v>
      </c>
      <c r="AA2001" s="3"/>
    </row>
    <row r="2002" spans="19:27" x14ac:dyDescent="0.25">
      <c r="S2002" s="4">
        <v>1.5038373293112939</v>
      </c>
      <c r="T2002" s="4">
        <v>-0.2070238402072366</v>
      </c>
      <c r="U2002" s="4">
        <f t="shared" si="258"/>
        <v>0.75266664348335932</v>
      </c>
      <c r="W2002" s="4">
        <f t="shared" si="259"/>
        <v>2.5855258161394059</v>
      </c>
      <c r="X2002" s="4">
        <f t="shared" si="260"/>
        <v>1.3928120108752595</v>
      </c>
      <c r="Y2002" s="3">
        <f t="shared" si="257"/>
        <v>-258.01764442148442</v>
      </c>
      <c r="AA2002" s="3"/>
    </row>
    <row r="2003" spans="19:27" x14ac:dyDescent="0.25">
      <c r="S2003" s="4">
        <v>-0.56962159172074167</v>
      </c>
      <c r="T2003" s="4">
        <v>-0.82914937362170682</v>
      </c>
      <c r="U2003" s="4">
        <f t="shared" si="258"/>
        <v>-1.0045141226051091</v>
      </c>
      <c r="W2003" s="4">
        <f t="shared" si="259"/>
        <v>-0.94030138342790703</v>
      </c>
      <c r="X2003" s="4">
        <f t="shared" si="260"/>
        <v>-1.7052659663624907</v>
      </c>
      <c r="Y2003" s="3">
        <f t="shared" si="257"/>
        <v>-17.545465101598438</v>
      </c>
      <c r="AA2003" s="3"/>
    </row>
    <row r="2004" spans="19:27" x14ac:dyDescent="0.25">
      <c r="S2004" s="4">
        <v>1.3176837831498058</v>
      </c>
      <c r="T2004" s="4">
        <v>-1.4084858696671032</v>
      </c>
      <c r="U2004" s="4">
        <f t="shared" si="258"/>
        <v>-0.31320607349925711</v>
      </c>
      <c r="W2004" s="4">
        <f t="shared" si="259"/>
        <v>2.2689797636980114</v>
      </c>
      <c r="X2004" s="4">
        <f t="shared" si="260"/>
        <v>-0.48642366865764319</v>
      </c>
      <c r="Y2004" s="3">
        <f t="shared" si="257"/>
        <v>-399.10576009604938</v>
      </c>
      <c r="AA2004" s="3"/>
    </row>
    <row r="2005" spans="19:27" x14ac:dyDescent="0.25">
      <c r="S2005" s="4">
        <v>0.84320831106338223</v>
      </c>
      <c r="T2005" s="4">
        <v>-0.64729335343939731</v>
      </c>
      <c r="U2005" s="4">
        <f t="shared" si="258"/>
        <v>9.3432478014010556E-4</v>
      </c>
      <c r="W2005" s="4">
        <f t="shared" si="259"/>
        <v>1.4621547487239113</v>
      </c>
      <c r="X2005" s="4">
        <f t="shared" si="260"/>
        <v>6.7435938989062083E-2</v>
      </c>
      <c r="Y2005" s="3">
        <f t="shared" si="257"/>
        <v>-222.08478858775334</v>
      </c>
      <c r="AA2005" s="3"/>
    </row>
    <row r="2006" spans="19:27" x14ac:dyDescent="0.25">
      <c r="S2006" s="4">
        <v>1.0827110257078423</v>
      </c>
      <c r="T2006" s="4">
        <v>-7.1893018477305462E-2</v>
      </c>
      <c r="U2006" s="4">
        <f t="shared" si="258"/>
        <v>0.60305577659651599</v>
      </c>
      <c r="W2006" s="4">
        <f t="shared" si="259"/>
        <v>1.8694187543417968</v>
      </c>
      <c r="X2006" s="4">
        <f t="shared" si="260"/>
        <v>1.1290337241999762</v>
      </c>
      <c r="Y2006" s="3">
        <f t="shared" si="257"/>
        <v>-177.73050885724979</v>
      </c>
      <c r="AA2006" s="3"/>
    </row>
    <row r="2007" spans="19:27" x14ac:dyDescent="0.25">
      <c r="S2007" s="4">
        <v>-1.5788159223534133</v>
      </c>
      <c r="T2007" s="4">
        <v>0.36388836000344876</v>
      </c>
      <c r="U2007" s="4">
        <f t="shared" si="258"/>
        <v>-0.67403001381592409</v>
      </c>
      <c r="W2007" s="4">
        <f t="shared" si="259"/>
        <v>-2.6563926859856322</v>
      </c>
      <c r="X2007" s="4">
        <f t="shared" si="260"/>
        <v>-1.1225908318366498</v>
      </c>
      <c r="Y2007" s="3">
        <f t="shared" si="257"/>
        <v>331.92792542474126</v>
      </c>
      <c r="AA2007" s="3"/>
    </row>
    <row r="2008" spans="19:27" x14ac:dyDescent="0.25">
      <c r="S2008" s="4">
        <v>-1.0050963920283205</v>
      </c>
      <c r="T2008" s="4">
        <v>1.802928973421617</v>
      </c>
      <c r="U2008" s="4">
        <f t="shared" si="258"/>
        <v>0.81643822180292014</v>
      </c>
      <c r="W2008" s="4">
        <f t="shared" si="259"/>
        <v>-1.6808074431700391</v>
      </c>
      <c r="X2008" s="4">
        <f t="shared" si="260"/>
        <v>1.5052474109083012</v>
      </c>
      <c r="Y2008" s="3">
        <f t="shared" si="257"/>
        <v>427.2442882776686</v>
      </c>
      <c r="AA2008" s="3"/>
    </row>
    <row r="2009" spans="19:27" x14ac:dyDescent="0.25">
      <c r="S2009" s="4">
        <v>0.5482630513812341</v>
      </c>
      <c r="T2009" s="4">
        <v>0.86905288758375487</v>
      </c>
      <c r="U2009" s="4">
        <f t="shared" si="258"/>
        <v>1.0231246769108946</v>
      </c>
      <c r="W2009" s="4">
        <f t="shared" si="259"/>
        <v>0.9606130936555034</v>
      </c>
      <c r="X2009" s="4">
        <f t="shared" si="260"/>
        <v>1.8696554257927049</v>
      </c>
      <c r="Y2009" s="3">
        <f t="shared" si="257"/>
        <v>35.400013800612214</v>
      </c>
      <c r="AA2009" s="3"/>
    </row>
    <row r="2010" spans="19:27" x14ac:dyDescent="0.25">
      <c r="S2010" s="4">
        <v>-0.125449224023927</v>
      </c>
      <c r="T2010" s="4">
        <v>0.55934938608430196</v>
      </c>
      <c r="U2010" s="4">
        <f t="shared" si="258"/>
        <v>0.36691514817821308</v>
      </c>
      <c r="W2010" s="4">
        <f t="shared" si="259"/>
        <v>-0.18500548658797802</v>
      </c>
      <c r="X2010" s="4">
        <f t="shared" si="260"/>
        <v>0.71269518091945272</v>
      </c>
      <c r="Y2010" s="3">
        <f t="shared" si="257"/>
        <v>101.00529661534529</v>
      </c>
      <c r="AA2010" s="3"/>
    </row>
    <row r="2011" spans="19:27" x14ac:dyDescent="0.25">
      <c r="S2011" s="4">
        <v>-1.483665463380649</v>
      </c>
      <c r="T2011" s="4">
        <v>0.59952668962570121</v>
      </c>
      <c r="U2011" s="4">
        <f t="shared" si="258"/>
        <v>-0.4292355477952034</v>
      </c>
      <c r="W2011" s="4">
        <f t="shared" si="259"/>
        <v>-2.4945934466110207</v>
      </c>
      <c r="X2011" s="4">
        <f t="shared" si="260"/>
        <v>-0.69099474407803441</v>
      </c>
      <c r="Y2011" s="3">
        <f t="shared" si="257"/>
        <v>346.96095195610633</v>
      </c>
      <c r="AA2011" s="3"/>
    </row>
    <row r="2012" spans="19:27" x14ac:dyDescent="0.25">
      <c r="S2012" s="4">
        <v>0.23460380843698614</v>
      </c>
      <c r="T2012" s="4">
        <v>0.14808303474443807</v>
      </c>
      <c r="U2012" s="4">
        <f t="shared" si="258"/>
        <v>0.26040395585121279</v>
      </c>
      <c r="W2012" s="4">
        <f t="shared" si="259"/>
        <v>0.42724911959708767</v>
      </c>
      <c r="X2012" s="4">
        <f t="shared" si="260"/>
        <v>0.52490574818387914</v>
      </c>
      <c r="Y2012" s="3">
        <f t="shared" si="257"/>
        <v>-15.505428770094113</v>
      </c>
      <c r="AA2012" s="3"/>
    </row>
    <row r="2013" spans="19:27" x14ac:dyDescent="0.25">
      <c r="S2013" s="4">
        <v>2.2887593060050273</v>
      </c>
      <c r="T2013" s="4">
        <v>-0.18190008053008161</v>
      </c>
      <c r="U2013" s="4">
        <f t="shared" si="258"/>
        <v>1.2510879973216169</v>
      </c>
      <c r="W2013" s="4">
        <f t="shared" si="259"/>
        <v>3.9202516826096332</v>
      </c>
      <c r="X2013" s="4">
        <f t="shared" si="260"/>
        <v>2.2715765919084592</v>
      </c>
      <c r="Y2013" s="3">
        <f t="shared" si="257"/>
        <v>-362.21526827123944</v>
      </c>
      <c r="AA2013" s="3"/>
    </row>
    <row r="2014" spans="19:27" x14ac:dyDescent="0.25">
      <c r="S2014" s="4">
        <v>-1.1792053046642159</v>
      </c>
      <c r="T2014" s="4">
        <v>0.59339623058189572</v>
      </c>
      <c r="U2014" s="4">
        <f t="shared" si="258"/>
        <v>-0.24848940792776103</v>
      </c>
      <c r="W2014" s="4">
        <f t="shared" si="259"/>
        <v>-1.9768721173393156</v>
      </c>
      <c r="X2014" s="4">
        <f t="shared" si="260"/>
        <v>-0.3723219892876688</v>
      </c>
      <c r="Y2014" s="3">
        <f t="shared" si="257"/>
        <v>289.77225743558301</v>
      </c>
      <c r="AA2014" s="3"/>
    </row>
    <row r="2015" spans="19:27" x14ac:dyDescent="0.25">
      <c r="S2015" s="4">
        <v>-0.45906150709600491</v>
      </c>
      <c r="T2015" s="4">
        <v>1.8302545190238528</v>
      </c>
      <c r="U2015" s="4">
        <f t="shared" si="258"/>
        <v>1.1709740126199202</v>
      </c>
      <c r="W2015" s="4">
        <f t="shared" si="259"/>
        <v>-0.75229874223628157</v>
      </c>
      <c r="X2015" s="4">
        <f t="shared" si="260"/>
        <v>2.1303279642982291</v>
      </c>
      <c r="Y2015" s="3">
        <f t="shared" si="257"/>
        <v>335.05809796186531</v>
      </c>
      <c r="AA2015" s="3"/>
    </row>
    <row r="2016" spans="19:27" x14ac:dyDescent="0.25">
      <c r="S2016" s="4">
        <v>0.33985885253896098</v>
      </c>
      <c r="T2016" s="4">
        <v>1.4368680915531888</v>
      </c>
      <c r="U2016" s="4">
        <f t="shared" si="258"/>
        <v>1.3461794078319651</v>
      </c>
      <c r="W2016" s="4">
        <f t="shared" si="259"/>
        <v>0.60623076887021843</v>
      </c>
      <c r="X2016" s="4">
        <f t="shared" si="260"/>
        <v>2.4392318556195303</v>
      </c>
      <c r="Y2016" s="3">
        <f t="shared" si="257"/>
        <v>147.72147168612446</v>
      </c>
      <c r="AA2016" s="3"/>
    </row>
    <row r="2017" spans="19:27" x14ac:dyDescent="0.25">
      <c r="S2017" s="4">
        <v>-2.0982033415627752</v>
      </c>
      <c r="T2017" s="4">
        <v>-0.16115898042097535</v>
      </c>
      <c r="U2017" s="4">
        <f t="shared" si="258"/>
        <v>-1.4068610093817795</v>
      </c>
      <c r="W2017" s="4">
        <f t="shared" si="259"/>
        <v>-3.5395885241987899</v>
      </c>
      <c r="X2017" s="4">
        <f t="shared" si="260"/>
        <v>-2.4146420608366639</v>
      </c>
      <c r="Y2017" s="3">
        <f t="shared" si="257"/>
        <v>358.7452015555773</v>
      </c>
      <c r="AA2017" s="3"/>
    </row>
    <row r="2018" spans="19:27" x14ac:dyDescent="0.25">
      <c r="S2018" s="4">
        <v>0.24664639749443321</v>
      </c>
      <c r="T2018" s="4">
        <v>1.320111230039529</v>
      </c>
      <c r="U2018" s="4">
        <f t="shared" si="258"/>
        <v>1.1968027832158772</v>
      </c>
      <c r="W2018" s="4">
        <f t="shared" si="259"/>
        <v>0.44772702133956571</v>
      </c>
      <c r="X2018" s="4">
        <f t="shared" si="260"/>
        <v>2.1758665605011607</v>
      </c>
      <c r="Y2018" s="3">
        <f t="shared" si="257"/>
        <v>146.35521768760191</v>
      </c>
      <c r="AA2018" s="3"/>
    </row>
    <row r="2019" spans="19:27" x14ac:dyDescent="0.25">
      <c r="S2019" s="4">
        <v>-0.47263010972175912</v>
      </c>
      <c r="T2019" s="4">
        <v>0.46817909059435836</v>
      </c>
      <c r="U2019" s="4">
        <f t="shared" si="258"/>
        <v>8.2995968408603349E-2</v>
      </c>
      <c r="W2019" s="4">
        <f t="shared" si="259"/>
        <v>-0.77537156403792717</v>
      </c>
      <c r="X2019" s="4">
        <f t="shared" si="260"/>
        <v>0.21211847581605275</v>
      </c>
      <c r="Y2019" s="3">
        <f t="shared" si="257"/>
        <v>147.02626782207062</v>
      </c>
      <c r="AA2019" s="3"/>
    </row>
    <row r="2020" spans="19:27" x14ac:dyDescent="0.25">
      <c r="S2020" s="4">
        <v>-2.7873457400996917E-2</v>
      </c>
      <c r="T2020" s="4">
        <v>-1.756859415629392</v>
      </c>
      <c r="U2020" s="4">
        <f t="shared" si="258"/>
        <v>-1.4096407187086915</v>
      </c>
      <c r="W2020" s="4">
        <f t="shared" si="259"/>
        <v>-1.9082116470512434E-2</v>
      </c>
      <c r="X2020" s="4">
        <f t="shared" si="260"/>
        <v>-2.4195429545950211</v>
      </c>
      <c r="Y2020" s="3">
        <f t="shared" si="257"/>
        <v>-238.89543746277059</v>
      </c>
      <c r="AA2020" s="3"/>
    </row>
    <row r="2021" spans="19:27" x14ac:dyDescent="0.25">
      <c r="S2021" s="4">
        <v>0.8627767836765704</v>
      </c>
      <c r="T2021" s="4">
        <v>0.51065805256419361</v>
      </c>
      <c r="U2021" s="4">
        <f t="shared" si="258"/>
        <v>0.93076254015312476</v>
      </c>
      <c r="W2021" s="4">
        <f t="shared" si="259"/>
        <v>1.4954300898911361</v>
      </c>
      <c r="X2021" s="4">
        <f t="shared" si="260"/>
        <v>1.7068121330921853</v>
      </c>
      <c r="Y2021" s="3">
        <f t="shared" si="257"/>
        <v>-63.228260468803001</v>
      </c>
      <c r="AA2021" s="3"/>
    </row>
    <row r="2022" spans="19:27" x14ac:dyDescent="0.25">
      <c r="S2022" s="4">
        <v>0.53873200349002659</v>
      </c>
      <c r="T2022" s="4">
        <v>0.32650459772921503</v>
      </c>
      <c r="U2022" s="4">
        <f t="shared" si="258"/>
        <v>0.58724063820397476</v>
      </c>
      <c r="W2022" s="4">
        <f t="shared" si="259"/>
        <v>0.94440595901959179</v>
      </c>
      <c r="X2022" s="4">
        <f t="shared" si="260"/>
        <v>1.1011501205853254</v>
      </c>
      <c r="Y2022" s="3">
        <f t="shared" si="257"/>
        <v>-38.932509589638812</v>
      </c>
      <c r="AA2022" s="3"/>
    </row>
    <row r="2023" spans="19:27" x14ac:dyDescent="0.25">
      <c r="S2023" s="4">
        <v>-0.87749791531619015</v>
      </c>
      <c r="T2023" s="4">
        <v>-0.58445801287060872</v>
      </c>
      <c r="U2023" s="4">
        <f t="shared" si="258"/>
        <v>-0.99823750998932992</v>
      </c>
      <c r="W2023" s="4">
        <f t="shared" si="259"/>
        <v>-1.4638317532966856</v>
      </c>
      <c r="X2023" s="4">
        <f t="shared" si="260"/>
        <v>-1.6941996972046032</v>
      </c>
      <c r="Y2023" s="3">
        <f t="shared" si="257"/>
        <v>70.742980584235738</v>
      </c>
      <c r="AA2023" s="3"/>
    </row>
    <row r="2024" spans="19:27" x14ac:dyDescent="0.25">
      <c r="S2024" s="4">
        <v>0.4292674978928937</v>
      </c>
      <c r="T2024" s="4">
        <v>0.53167208675833189</v>
      </c>
      <c r="U2024" s="4">
        <f t="shared" si="258"/>
        <v>0.68314326433527084</v>
      </c>
      <c r="W2024" s="4">
        <f t="shared" si="259"/>
        <v>0.75826630257081262</v>
      </c>
      <c r="X2024" s="4">
        <f t="shared" si="260"/>
        <v>1.270235635126904</v>
      </c>
      <c r="Y2024" s="3">
        <f t="shared" si="257"/>
        <v>6.9914007345601021</v>
      </c>
      <c r="AA2024" s="3"/>
    </row>
    <row r="2025" spans="19:27" x14ac:dyDescent="0.25">
      <c r="S2025" s="4">
        <v>0.99553902783691051</v>
      </c>
      <c r="T2025" s="4">
        <v>-0.41456224726095625</v>
      </c>
      <c r="U2025" s="4">
        <f t="shared" si="258"/>
        <v>0.27828261893254075</v>
      </c>
      <c r="W2025" s="4">
        <f t="shared" si="259"/>
        <v>1.7211865429310329</v>
      </c>
      <c r="X2025" s="4">
        <f t="shared" si="260"/>
        <v>0.55642754345029011</v>
      </c>
      <c r="Y2025" s="3">
        <f t="shared" si="257"/>
        <v>-212.59216620193865</v>
      </c>
      <c r="AA2025" s="3"/>
    </row>
    <row r="2026" spans="19:27" x14ac:dyDescent="0.25">
      <c r="S2026" s="4">
        <v>0.7220376815300813</v>
      </c>
      <c r="T2026" s="4">
        <v>0.1165672006271285</v>
      </c>
      <c r="U2026" s="4">
        <f t="shared" si="258"/>
        <v>0.53257217026676429</v>
      </c>
      <c r="W2026" s="4">
        <f t="shared" si="259"/>
        <v>1.2561093349162624</v>
      </c>
      <c r="X2026" s="4">
        <f t="shared" si="260"/>
        <v>1.0047643759686142</v>
      </c>
      <c r="Y2026" s="3">
        <f t="shared" si="257"/>
        <v>-96.76467063517066</v>
      </c>
      <c r="AA2026" s="3"/>
    </row>
    <row r="2027" spans="19:27" x14ac:dyDescent="0.25">
      <c r="S2027" s="4">
        <v>1.2512709000721904</v>
      </c>
      <c r="T2027" s="4">
        <v>0.32961385839451884</v>
      </c>
      <c r="U2027" s="4">
        <f t="shared" si="258"/>
        <v>1.0240849337379108</v>
      </c>
      <c r="W2027" s="4">
        <f t="shared" si="259"/>
        <v>2.1560475289758547</v>
      </c>
      <c r="X2027" s="4">
        <f t="shared" si="260"/>
        <v>1.8713484505433078</v>
      </c>
      <c r="Y2027" s="3">
        <f t="shared" si="257"/>
        <v>-146.49897679290962</v>
      </c>
      <c r="AA2027" s="3"/>
    </row>
    <row r="2028" spans="19:27" x14ac:dyDescent="0.25">
      <c r="S2028" s="4">
        <v>-1.0574451512454508</v>
      </c>
      <c r="T2028" s="4">
        <v>-1.6714211890672246</v>
      </c>
      <c r="U2028" s="4">
        <f t="shared" si="258"/>
        <v>-1.9695643946205663</v>
      </c>
      <c r="W2028" s="4">
        <f t="shared" si="259"/>
        <v>-1.7698242436666169</v>
      </c>
      <c r="X2028" s="4">
        <f t="shared" si="260"/>
        <v>-3.4067420195711575</v>
      </c>
      <c r="Y2028" s="3">
        <f t="shared" si="257"/>
        <v>-48.884652828043727</v>
      </c>
      <c r="AA2028" s="3"/>
    </row>
    <row r="2029" spans="19:27" x14ac:dyDescent="0.25">
      <c r="S2029" s="4">
        <v>0.8167219400071718</v>
      </c>
      <c r="T2029" s="4">
        <v>0.44016074377093689</v>
      </c>
      <c r="U2029" s="4">
        <f t="shared" si="258"/>
        <v>0.8468038258462034</v>
      </c>
      <c r="W2029" s="4">
        <f t="shared" si="259"/>
        <v>1.4171158205153227</v>
      </c>
      <c r="X2029" s="4">
        <f t="shared" si="260"/>
        <v>1.5587848789750789</v>
      </c>
      <c r="Y2029" s="3">
        <f t="shared" si="257"/>
        <v>-66.06362762031722</v>
      </c>
      <c r="AA2029" s="3"/>
    </row>
    <row r="2030" spans="19:27" x14ac:dyDescent="0.25">
      <c r="S2030" s="4">
        <v>0.10839192880032315</v>
      </c>
      <c r="T2030" s="4">
        <v>1.2456483349830796</v>
      </c>
      <c r="U2030" s="4">
        <f t="shared" si="258"/>
        <v>1.0534936317681431</v>
      </c>
      <c r="W2030" s="4">
        <f t="shared" si="259"/>
        <v>0.2126312780678381</v>
      </c>
      <c r="X2030" s="4">
        <f t="shared" si="260"/>
        <v>1.9231988016654138</v>
      </c>
      <c r="Y2030" s="3">
        <f t="shared" si="257"/>
        <v>158.36238976756249</v>
      </c>
      <c r="AA2030" s="3"/>
    </row>
    <row r="2031" spans="19:27" x14ac:dyDescent="0.25">
      <c r="S2031" s="4">
        <v>-0.30961006952652464</v>
      </c>
      <c r="T2031" s="4">
        <v>0.36840856010915546</v>
      </c>
      <c r="U2031" s="4">
        <f t="shared" si="258"/>
        <v>0.10328931894981924</v>
      </c>
      <c r="W2031" s="4">
        <f t="shared" si="259"/>
        <v>-0.49816303776105975</v>
      </c>
      <c r="X2031" s="4">
        <f t="shared" si="260"/>
        <v>0.24789759633081795</v>
      </c>
      <c r="Y2031" s="3">
        <f t="shared" si="257"/>
        <v>105.26390892617201</v>
      </c>
      <c r="AA2031" s="3"/>
    </row>
    <row r="2032" spans="19:27" x14ac:dyDescent="0.25">
      <c r="S2032" s="4">
        <v>-0.3689789253742749</v>
      </c>
      <c r="T2032" s="4">
        <v>-1.069814850935948</v>
      </c>
      <c r="U2032" s="4">
        <f t="shared" si="258"/>
        <v>-1.0729714795919079</v>
      </c>
      <c r="W2032" s="4">
        <f t="shared" si="259"/>
        <v>-0.59911720889602504</v>
      </c>
      <c r="X2032" s="4">
        <f t="shared" si="260"/>
        <v>-1.8259628429466874</v>
      </c>
      <c r="Y2032" s="3">
        <f t="shared" si="257"/>
        <v>-85.656520050954441</v>
      </c>
      <c r="AA2032" s="3"/>
    </row>
    <row r="2033" spans="19:27" x14ac:dyDescent="0.25">
      <c r="S2033" s="4">
        <v>0.61010945783265824</v>
      </c>
      <c r="T2033" s="4">
        <v>0.15475296586491086</v>
      </c>
      <c r="U2033" s="4">
        <f t="shared" si="258"/>
        <v>0.49460777911581588</v>
      </c>
      <c r="W2033" s="4">
        <f t="shared" si="259"/>
        <v>1.0657802324157881</v>
      </c>
      <c r="X2033" s="4">
        <f t="shared" si="260"/>
        <v>0.93782951848903306</v>
      </c>
      <c r="Y2033" s="3">
        <f t="shared" si="257"/>
        <v>-74.089321263487818</v>
      </c>
      <c r="AA2033" s="3"/>
    </row>
    <row r="2034" spans="19:27" x14ac:dyDescent="0.25">
      <c r="S2034" s="4">
        <v>1.8003752320914483</v>
      </c>
      <c r="T2034" s="4">
        <v>0.17277235934513993</v>
      </c>
      <c r="U2034" s="4">
        <f t="shared" si="258"/>
        <v>1.2345041815371101</v>
      </c>
      <c r="W2034" s="4">
        <f t="shared" si="259"/>
        <v>3.0897756918999115</v>
      </c>
      <c r="X2034" s="4">
        <f t="shared" si="260"/>
        <v>2.2423377364349171</v>
      </c>
      <c r="Y2034" s="3">
        <f t="shared" si="257"/>
        <v>-246.65161110101099</v>
      </c>
      <c r="AA2034" s="3"/>
    </row>
    <row r="2035" spans="19:27" x14ac:dyDescent="0.25">
      <c r="S2035" s="4">
        <v>0.91590925160730907</v>
      </c>
      <c r="T2035" s="4">
        <v>0.7788581002129713</v>
      </c>
      <c r="U2035" s="4">
        <f t="shared" si="258"/>
        <v>1.1757533153379716</v>
      </c>
      <c r="W2035" s="4">
        <f t="shared" si="259"/>
        <v>1.5857795531527918</v>
      </c>
      <c r="X2035" s="4">
        <f t="shared" si="260"/>
        <v>2.1387543327078422</v>
      </c>
      <c r="Y2035" s="3">
        <f t="shared" si="257"/>
        <v>-33.802120228318017</v>
      </c>
      <c r="AA2035" s="3"/>
    </row>
    <row r="2036" spans="19:27" x14ac:dyDescent="0.25">
      <c r="S2036" s="4">
        <v>-0.43550070634268334</v>
      </c>
      <c r="T2036" s="4">
        <v>0.37345615071029081</v>
      </c>
      <c r="U2036" s="4">
        <f t="shared" si="258"/>
        <v>3.0544762677676363E-2</v>
      </c>
      <c r="W2036" s="4">
        <f t="shared" si="259"/>
        <v>-0.7122346197706676</v>
      </c>
      <c r="X2036" s="4">
        <f t="shared" si="260"/>
        <v>0.11964197681801506</v>
      </c>
      <c r="Y2036" s="3">
        <f t="shared" si="257"/>
        <v>127.41661369846724</v>
      </c>
      <c r="AA2036" s="3"/>
    </row>
    <row r="2037" spans="19:27" x14ac:dyDescent="0.25">
      <c r="S2037" s="4">
        <v>1.7415934252687462</v>
      </c>
      <c r="T2037" s="4">
        <v>-0.78429756468821521</v>
      </c>
      <c r="U2037" s="4">
        <f t="shared" si="258"/>
        <v>0.44000779021844239</v>
      </c>
      <c r="W2037" s="4">
        <f t="shared" si="259"/>
        <v>2.9898197722369186</v>
      </c>
      <c r="X2037" s="4">
        <f t="shared" si="260"/>
        <v>0.84156450897784774</v>
      </c>
      <c r="Y2037" s="3">
        <f t="shared" si="257"/>
        <v>-372.24134793810936</v>
      </c>
      <c r="AA2037" s="3"/>
    </row>
    <row r="2038" spans="19:27" x14ac:dyDescent="0.25">
      <c r="S2038" s="4">
        <v>-1.1669566762068071</v>
      </c>
      <c r="T2038" s="4">
        <v>0.84886753510004909</v>
      </c>
      <c r="U2038" s="4">
        <f t="shared" si="258"/>
        <v>-3.8512306570860577E-2</v>
      </c>
      <c r="W2038" s="4">
        <f t="shared" si="259"/>
        <v>-1.9560438545102499</v>
      </c>
      <c r="X2038" s="4">
        <f t="shared" si="260"/>
        <v>-2.112249918554604E-3</v>
      </c>
      <c r="Y2038" s="3">
        <f t="shared" si="257"/>
        <v>323.24041488953662</v>
      </c>
      <c r="AA2038" s="3"/>
    </row>
    <row r="2039" spans="19:27" x14ac:dyDescent="0.25">
      <c r="S2039" s="4">
        <v>1.3529491258238429</v>
      </c>
      <c r="T2039" s="4">
        <v>-0.14018733411795187</v>
      </c>
      <c r="U2039" s="4">
        <f t="shared" si="258"/>
        <v>0.71366259299275669</v>
      </c>
      <c r="W2039" s="4">
        <f t="shared" si="259"/>
        <v>2.3289469533736544</v>
      </c>
      <c r="X2039" s="4">
        <f t="shared" si="260"/>
        <v>1.3240441344108516</v>
      </c>
      <c r="Y2039" s="3">
        <f t="shared" si="257"/>
        <v>-226.96973575752145</v>
      </c>
      <c r="AA2039" s="3"/>
    </row>
    <row r="2040" spans="19:27" x14ac:dyDescent="0.25">
      <c r="S2040" s="4">
        <v>-1.2093485862336604</v>
      </c>
      <c r="T2040" s="4">
        <v>-0.28435087861532249</v>
      </c>
      <c r="U2040" s="4">
        <f t="shared" si="258"/>
        <v>-0.96264855303303087</v>
      </c>
      <c r="W2040" s="4">
        <f t="shared" si="259"/>
        <v>-2.0281294636815637</v>
      </c>
      <c r="X2040" s="4">
        <f t="shared" si="260"/>
        <v>-1.6314529577074437</v>
      </c>
      <c r="Y2040" s="3">
        <f t="shared" si="257"/>
        <v>172.61231796839184</v>
      </c>
      <c r="AA2040" s="3"/>
    </row>
    <row r="2041" spans="19:27" x14ac:dyDescent="0.25">
      <c r="S2041" s="4">
        <v>-1.0144421966807651</v>
      </c>
      <c r="T2041" s="4">
        <v>1.9048597346489793</v>
      </c>
      <c r="U2041" s="4">
        <f t="shared" si="258"/>
        <v>0.89154051167395076</v>
      </c>
      <c r="W2041" s="4">
        <f t="shared" si="259"/>
        <v>-1.6966995796918616</v>
      </c>
      <c r="X2041" s="4">
        <f t="shared" si="260"/>
        <v>1.6376599405579977</v>
      </c>
      <c r="Y2041" s="3">
        <f t="shared" si="257"/>
        <v>443.17289786613401</v>
      </c>
      <c r="AA2041" s="3"/>
    </row>
    <row r="2042" spans="19:27" x14ac:dyDescent="0.25">
      <c r="S2042" s="4">
        <v>0.18643116229552747</v>
      </c>
      <c r="T2042" s="4">
        <v>1.2680302840369122</v>
      </c>
      <c r="U2042" s="4">
        <f t="shared" si="258"/>
        <v>1.1188100820900302</v>
      </c>
      <c r="W2042" s="4">
        <f t="shared" si="259"/>
        <v>0.3453336187314392</v>
      </c>
      <c r="X2042" s="4">
        <f t="shared" si="260"/>
        <v>2.0383579589921981</v>
      </c>
      <c r="Y2042" s="3">
        <f t="shared" si="257"/>
        <v>148.80368608024764</v>
      </c>
      <c r="AA2042" s="3"/>
    </row>
    <row r="2043" spans="19:27" x14ac:dyDescent="0.25">
      <c r="S2043" s="4">
        <v>0.66965239898058693</v>
      </c>
      <c r="T2043" s="4">
        <v>-0.14878796232704328</v>
      </c>
      <c r="U2043" s="4">
        <f t="shared" si="258"/>
        <v>0.29029201335363242</v>
      </c>
      <c r="W2043" s="4">
        <f t="shared" si="259"/>
        <v>1.1670304280729604</v>
      </c>
      <c r="X2043" s="4">
        <f t="shared" si="260"/>
        <v>0.57760125596409573</v>
      </c>
      <c r="Y2043" s="3">
        <f t="shared" si="257"/>
        <v>-125.75847710176777</v>
      </c>
      <c r="AA2043" s="3"/>
    </row>
    <row r="2044" spans="19:27" x14ac:dyDescent="0.25">
      <c r="S2044" s="4">
        <v>-1.1190485503448291</v>
      </c>
      <c r="T2044" s="4">
        <v>-0.4087594287302983</v>
      </c>
      <c r="U2044" s="4">
        <f t="shared" si="258"/>
        <v>-1.0062173011580606</v>
      </c>
      <c r="W2044" s="4">
        <f t="shared" si="259"/>
        <v>-1.8745781589369899</v>
      </c>
      <c r="X2044" s="4">
        <f t="shared" si="260"/>
        <v>-1.7082688332661324</v>
      </c>
      <c r="Y2044" s="3">
        <f t="shared" si="257"/>
        <v>138.75080129263188</v>
      </c>
      <c r="AA2044" s="3"/>
    </row>
    <row r="2045" spans="19:27" x14ac:dyDescent="0.25">
      <c r="S2045" s="4">
        <v>-0.49004839176064846</v>
      </c>
      <c r="T2045" s="4">
        <v>-1.554701325428588</v>
      </c>
      <c r="U2045" s="4">
        <f t="shared" si="258"/>
        <v>-1.5311437660073457</v>
      </c>
      <c r="W2045" s="4">
        <f t="shared" si="259"/>
        <v>-0.80499059914853499</v>
      </c>
      <c r="X2045" s="4">
        <f t="shared" si="260"/>
        <v>-2.6337644634277018</v>
      </c>
      <c r="Y2045" s="3">
        <f t="shared" si="257"/>
        <v>-132.69377461659315</v>
      </c>
      <c r="AA2045" s="3"/>
    </row>
    <row r="2046" spans="19:27" x14ac:dyDescent="0.25">
      <c r="S2046" s="4">
        <v>2.1496102139033213</v>
      </c>
      <c r="T2046" s="4">
        <v>-4.2892399954295182E-2</v>
      </c>
      <c r="U2046" s="4">
        <f t="shared" si="258"/>
        <v>1.2764498850660517</v>
      </c>
      <c r="W2046" s="4">
        <f t="shared" si="259"/>
        <v>3.6836346709337544</v>
      </c>
      <c r="X2046" s="4">
        <f t="shared" si="260"/>
        <v>2.3162920289304085</v>
      </c>
      <c r="Y2046" s="3">
        <f t="shared" si="257"/>
        <v>-324.3251591432936</v>
      </c>
      <c r="AA2046" s="3"/>
    </row>
    <row r="2047" spans="19:27" x14ac:dyDescent="0.25">
      <c r="S2047" s="4">
        <v>-1.0870896895625637</v>
      </c>
      <c r="T2047" s="4">
        <v>0.58782162486259282</v>
      </c>
      <c r="U2047" s="4">
        <f t="shared" si="258"/>
        <v>-0.19675261915413961</v>
      </c>
      <c r="W2047" s="4">
        <f t="shared" si="259"/>
        <v>-1.8202334986833828</v>
      </c>
      <c r="X2047" s="4">
        <f t="shared" si="260"/>
        <v>-0.28110507580565081</v>
      </c>
      <c r="Y2047" s="3">
        <f t="shared" si="257"/>
        <v>272.23169193890317</v>
      </c>
      <c r="AA2047" s="3"/>
    </row>
    <row r="2048" spans="19:27" x14ac:dyDescent="0.25">
      <c r="S2048" s="4">
        <v>0.26324902999028271</v>
      </c>
      <c r="T2048" s="4">
        <v>-1.7799965248763894</v>
      </c>
      <c r="U2048" s="4">
        <f t="shared" si="258"/>
        <v>-1.2505065567541975</v>
      </c>
      <c r="W2048" s="4">
        <f t="shared" si="259"/>
        <v>0.47595907968637391</v>
      </c>
      <c r="X2048" s="4">
        <f t="shared" si="260"/>
        <v>-2.1389741866617955</v>
      </c>
      <c r="Y2048" s="3">
        <f t="shared" si="257"/>
        <v>-289.58589173596283</v>
      </c>
      <c r="AA2048" s="3"/>
    </row>
    <row r="2049" spans="19:27" x14ac:dyDescent="0.25">
      <c r="S2049" s="4">
        <v>-0.88370148689902717</v>
      </c>
      <c r="T2049" s="4">
        <v>3.2139217835741501E-2</v>
      </c>
      <c r="U2049" s="4">
        <f t="shared" si="258"/>
        <v>-0.51324764195813655</v>
      </c>
      <c r="W2049" s="4">
        <f t="shared" si="259"/>
        <v>-1.4743806584133312</v>
      </c>
      <c r="X2049" s="4">
        <f t="shared" si="260"/>
        <v>-0.83911611199352132</v>
      </c>
      <c r="Y2049" s="3">
        <f t="shared" si="257"/>
        <v>158.02287824004452</v>
      </c>
      <c r="AA2049" s="3"/>
    </row>
    <row r="2050" spans="19:27" x14ac:dyDescent="0.25">
      <c r="S2050" s="4">
        <v>0.74970902619943003</v>
      </c>
      <c r="T2050" s="4">
        <v>-0.36488875697858164</v>
      </c>
      <c r="U2050" s="4">
        <f t="shared" si="258"/>
        <v>0.16779494431114322</v>
      </c>
      <c r="W2050" s="4">
        <f t="shared" si="259"/>
        <v>1.3031632594932829</v>
      </c>
      <c r="X2050" s="4">
        <f t="shared" si="260"/>
        <v>0.36162719159876733</v>
      </c>
      <c r="Y2050" s="3">
        <f t="shared" ref="Y2050:Y2113" si="261">(B$4*EXP(-B$8*B$7)*NORMSDIST((LN(B$4/(B$5+W2050))-B$8*B$7+B$9*B$7+0.5*B$6*B$6*B$7)/(B$6*SQRT(B$7)))-(B$5+W2050)*EXP(-B$9*B$7)*NORMSDIST((LN(B$4/(B$5+W2050))-B$8*B$7+B$9*B$7-0.5*B$6*B$6*B$7)/(B$6*SQRT(B$7))))*400+100*X2050-400*$B$13</f>
        <v>-168.3107779789384</v>
      </c>
      <c r="AA2050" s="3"/>
    </row>
    <row r="2051" spans="19:27" x14ac:dyDescent="0.25">
      <c r="S2051" s="4">
        <v>-0.80496047191308284</v>
      </c>
      <c r="T2051" s="4">
        <v>-0.20362070247970979</v>
      </c>
      <c r="U2051" s="4">
        <f t="shared" ref="U2051:U2114" si="262">$B$19*S2051+SQRT(1-$B$19^2)*T2051</f>
        <v>-0.65213036958466497</v>
      </c>
      <c r="W2051" s="4">
        <f t="shared" ref="W2051:W2114" si="263">S2051*SQRT($B$16)+$B$20</f>
        <v>-1.3404849686830544</v>
      </c>
      <c r="X2051" s="4">
        <f t="shared" ref="X2051:X2114" si="264">U2051*SQRT($C$17)+$C$20</f>
        <v>-1.0839796617102919</v>
      </c>
      <c r="Y2051" s="3">
        <f t="shared" si="261"/>
        <v>111.0942999534127</v>
      </c>
      <c r="AA2051" s="3"/>
    </row>
    <row r="2052" spans="19:27" x14ac:dyDescent="0.25">
      <c r="S2052" s="4">
        <v>-0.64675634005106009</v>
      </c>
      <c r="T2052" s="4">
        <v>-0.98421292072830624</v>
      </c>
      <c r="U2052" s="4">
        <f t="shared" si="262"/>
        <v>-1.1744548224263403</v>
      </c>
      <c r="W2052" s="4">
        <f t="shared" si="263"/>
        <v>-1.0714656861956946</v>
      </c>
      <c r="X2052" s="4">
        <f t="shared" si="264"/>
        <v>-2.00488769550565</v>
      </c>
      <c r="Y2052" s="3">
        <f t="shared" si="261"/>
        <v>-25.800775299562702</v>
      </c>
      <c r="AA2052" s="3"/>
    </row>
    <row r="2053" spans="19:27" x14ac:dyDescent="0.25">
      <c r="S2053" s="4">
        <v>-1.486040140218557</v>
      </c>
      <c r="T2053" s="4">
        <v>1.4041378044093382</v>
      </c>
      <c r="U2053" s="4">
        <f t="shared" si="262"/>
        <v>0.20712560526016288</v>
      </c>
      <c r="W2053" s="4">
        <f t="shared" si="263"/>
        <v>-2.4986314818478657</v>
      </c>
      <c r="X2053" s="4">
        <f t="shared" si="264"/>
        <v>0.43097091358111228</v>
      </c>
      <c r="Y2053" s="3">
        <f t="shared" si="261"/>
        <v>459.85776353063738</v>
      </c>
      <c r="AA2053" s="3"/>
    </row>
    <row r="2054" spans="19:27" x14ac:dyDescent="0.25">
      <c r="S2054" s="4">
        <v>0.74885468749067552</v>
      </c>
      <c r="T2054" s="4">
        <v>-5.7224700313312817E-2</v>
      </c>
      <c r="U2054" s="4">
        <f t="shared" si="262"/>
        <v>0.41115696260558909</v>
      </c>
      <c r="W2054" s="4">
        <f t="shared" si="263"/>
        <v>1.301710493476838</v>
      </c>
      <c r="X2054" s="4">
        <f t="shared" si="264"/>
        <v>0.79069773682928235</v>
      </c>
      <c r="Y2054" s="3">
        <f t="shared" si="261"/>
        <v>-125.18059469221089</v>
      </c>
      <c r="AA2054" s="3"/>
    </row>
    <row r="2055" spans="19:27" x14ac:dyDescent="0.25">
      <c r="S2055" s="4">
        <v>0.94269601550494353</v>
      </c>
      <c r="T2055" s="4">
        <v>5.0408690308755666E-2</v>
      </c>
      <c r="U2055" s="4">
        <f t="shared" si="262"/>
        <v>0.61464709083987856</v>
      </c>
      <c r="W2055" s="4">
        <f t="shared" si="263"/>
        <v>1.6313292863935442</v>
      </c>
      <c r="X2055" s="4">
        <f t="shared" si="264"/>
        <v>1.1494703213205686</v>
      </c>
      <c r="Y2055" s="3">
        <f t="shared" si="261"/>
        <v>-139.65612771212909</v>
      </c>
      <c r="AA2055" s="3"/>
    </row>
    <row r="2056" spans="19:27" x14ac:dyDescent="0.25">
      <c r="S2056" s="4">
        <v>-1.026539698050654</v>
      </c>
      <c r="T2056" s="4">
        <v>-0.28405346598957637</v>
      </c>
      <c r="U2056" s="4">
        <f t="shared" si="262"/>
        <v>-0.85096841937683265</v>
      </c>
      <c r="W2056" s="4">
        <f t="shared" si="263"/>
        <v>-1.7172708574461983</v>
      </c>
      <c r="X2056" s="4">
        <f t="shared" si="264"/>
        <v>-1.4345501863748007</v>
      </c>
      <c r="Y2056" s="3">
        <f t="shared" si="261"/>
        <v>139.4324744172618</v>
      </c>
      <c r="AA2056" s="3"/>
    </row>
    <row r="2057" spans="19:27" x14ac:dyDescent="0.25">
      <c r="S2057" s="4">
        <v>-1.6610437306117869</v>
      </c>
      <c r="T2057" s="4">
        <v>0.72624582334852916</v>
      </c>
      <c r="U2057" s="4">
        <f t="shared" si="262"/>
        <v>-0.43692005118812072</v>
      </c>
      <c r="W2057" s="4">
        <f t="shared" si="263"/>
        <v>-2.7962175168406724</v>
      </c>
      <c r="X2057" s="4">
        <f t="shared" si="264"/>
        <v>-0.70454325951085539</v>
      </c>
      <c r="Y2057" s="3">
        <f t="shared" si="261"/>
        <v>398.15276337110208</v>
      </c>
      <c r="AA2057" s="3"/>
    </row>
    <row r="2058" spans="19:27" x14ac:dyDescent="0.25">
      <c r="S2058" s="4">
        <v>-0.65209618703662064</v>
      </c>
      <c r="T2058" s="4">
        <v>0.70861973391415067</v>
      </c>
      <c r="U2058" s="4">
        <f t="shared" si="262"/>
        <v>0.16418482244502847</v>
      </c>
      <c r="W2058" s="4">
        <f t="shared" si="263"/>
        <v>-1.0805458649984876</v>
      </c>
      <c r="X2058" s="4">
        <f t="shared" si="264"/>
        <v>0.35526220100451478</v>
      </c>
      <c r="Y2058" s="3">
        <f t="shared" si="261"/>
        <v>211.72027296947908</v>
      </c>
      <c r="AA2058" s="3"/>
    </row>
    <row r="2059" spans="19:27" x14ac:dyDescent="0.25">
      <c r="S2059" s="4">
        <v>-0.72527991398688707</v>
      </c>
      <c r="T2059" s="4">
        <v>1.6440502536916517</v>
      </c>
      <c r="U2059" s="4">
        <f t="shared" si="262"/>
        <v>0.86107869693185135</v>
      </c>
      <c r="W2059" s="4">
        <f t="shared" si="263"/>
        <v>-1.2049916268265175</v>
      </c>
      <c r="X2059" s="4">
        <f t="shared" si="264"/>
        <v>1.5839528438150305</v>
      </c>
      <c r="Y2059" s="3">
        <f t="shared" si="261"/>
        <v>355.27391296230871</v>
      </c>
      <c r="AA2059" s="3"/>
    </row>
    <row r="2060" spans="19:27" x14ac:dyDescent="0.25">
      <c r="S2060" s="4">
        <v>0.26302853129401382</v>
      </c>
      <c r="T2060" s="4">
        <v>-0.39790482924188464</v>
      </c>
      <c r="U2060" s="4">
        <f t="shared" si="262"/>
        <v>-0.15506792110681372</v>
      </c>
      <c r="W2060" s="4">
        <f t="shared" si="263"/>
        <v>0.47558413119190984</v>
      </c>
      <c r="X2060" s="4">
        <f t="shared" si="264"/>
        <v>-0.20761096097095436</v>
      </c>
      <c r="Y2060" s="3">
        <f t="shared" si="261"/>
        <v>-96.390402317357257</v>
      </c>
      <c r="AA2060" s="3"/>
    </row>
    <row r="2061" spans="19:27" x14ac:dyDescent="0.25">
      <c r="S2061" s="4">
        <v>-1.4377580350721635</v>
      </c>
      <c r="T2061" s="4">
        <v>-1.0513750702366975</v>
      </c>
      <c r="U2061" s="4">
        <f t="shared" si="262"/>
        <v>-1.7099060043150438</v>
      </c>
      <c r="W2061" s="4">
        <f t="shared" si="263"/>
        <v>-2.4165298506794066</v>
      </c>
      <c r="X2061" s="4">
        <f t="shared" si="264"/>
        <v>-2.9489394097683808</v>
      </c>
      <c r="Y2061" s="3">
        <f t="shared" si="261"/>
        <v>107.64647993582275</v>
      </c>
      <c r="AA2061" s="3"/>
    </row>
    <row r="2062" spans="19:27" x14ac:dyDescent="0.25">
      <c r="S2062" s="4">
        <v>0.41536838742369631</v>
      </c>
      <c r="T2062" s="4">
        <v>2.7702428309322206E-3</v>
      </c>
      <c r="U2062" s="4">
        <f t="shared" si="262"/>
        <v>0.25541378599457404</v>
      </c>
      <c r="W2062" s="4">
        <f t="shared" si="263"/>
        <v>0.73463146647881283</v>
      </c>
      <c r="X2062" s="4">
        <f t="shared" si="264"/>
        <v>0.51610760081402018</v>
      </c>
      <c r="Y2062" s="3">
        <f t="shared" si="261"/>
        <v>-64.72457112327902</v>
      </c>
      <c r="AA2062" s="3"/>
    </row>
    <row r="2063" spans="19:27" x14ac:dyDescent="0.25">
      <c r="S2063" s="4">
        <v>3.0984892497258516E-2</v>
      </c>
      <c r="T2063" s="4">
        <v>-1.2205981713051071</v>
      </c>
      <c r="U2063" s="4">
        <f t="shared" si="262"/>
        <v>-0.94866934692929816</v>
      </c>
      <c r="W2063" s="4">
        <f t="shared" si="263"/>
        <v>8.1003961381286335E-2</v>
      </c>
      <c r="X2063" s="4">
        <f t="shared" si="264"/>
        <v>-1.6068062785466832</v>
      </c>
      <c r="Y2063" s="3">
        <f t="shared" si="261"/>
        <v>-173.64458709837118</v>
      </c>
      <c r="AA2063" s="3"/>
    </row>
    <row r="2064" spans="19:27" x14ac:dyDescent="0.25">
      <c r="S2064" s="4">
        <v>-0.4721946303583428</v>
      </c>
      <c r="T2064" s="4">
        <v>1.7527617866395104</v>
      </c>
      <c r="U2064" s="4">
        <f t="shared" si="262"/>
        <v>1.1015398971679793</v>
      </c>
      <c r="W2064" s="4">
        <f t="shared" si="263"/>
        <v>-0.77463105021881606</v>
      </c>
      <c r="X2064" s="4">
        <f t="shared" si="264"/>
        <v>2.0079089689950385</v>
      </c>
      <c r="Y2064" s="3">
        <f t="shared" si="261"/>
        <v>326.48366347208503</v>
      </c>
      <c r="AA2064" s="3"/>
    </row>
    <row r="2065" spans="19:27" x14ac:dyDescent="0.25">
      <c r="S2065" s="4">
        <v>-1.6220792084333759</v>
      </c>
      <c r="T2065" s="4">
        <v>0.16547570867574848</v>
      </c>
      <c r="U2065" s="4">
        <f t="shared" si="262"/>
        <v>-0.85768440345849861</v>
      </c>
      <c r="W2065" s="4">
        <f t="shared" si="263"/>
        <v>-2.7299600324404487</v>
      </c>
      <c r="X2065" s="4">
        <f t="shared" si="264"/>
        <v>-1.4463911095060076</v>
      </c>
      <c r="Y2065" s="3">
        <f t="shared" si="261"/>
        <v>312.38313727154673</v>
      </c>
      <c r="AA2065" s="3"/>
    </row>
    <row r="2066" spans="19:27" x14ac:dyDescent="0.25">
      <c r="S2066" s="4">
        <v>0.69673607842588758</v>
      </c>
      <c r="T2066" s="4">
        <v>1.1359924449157899</v>
      </c>
      <c r="U2066" s="4">
        <f t="shared" si="262"/>
        <v>1.3252380035421101</v>
      </c>
      <c r="W2066" s="4">
        <f t="shared" si="263"/>
        <v>1.2130850533582653</v>
      </c>
      <c r="X2066" s="4">
        <f t="shared" si="264"/>
        <v>2.4023101542812824</v>
      </c>
      <c r="Y2066" s="3">
        <f t="shared" si="261"/>
        <v>49.6127308372279</v>
      </c>
      <c r="AA2066" s="3"/>
    </row>
    <row r="2067" spans="19:27" x14ac:dyDescent="0.25">
      <c r="S2067" s="4">
        <v>-0.38750414124229687</v>
      </c>
      <c r="T2067" s="4">
        <v>-0.94337850069665408</v>
      </c>
      <c r="U2067" s="4">
        <f t="shared" si="262"/>
        <v>-0.9840397787783931</v>
      </c>
      <c r="W2067" s="4">
        <f t="shared" si="263"/>
        <v>-0.63061853709828208</v>
      </c>
      <c r="X2067" s="4">
        <f t="shared" si="264"/>
        <v>-1.6691677373515155</v>
      </c>
      <c r="Y2067" s="3">
        <f t="shared" si="261"/>
        <v>-64.82825841029171</v>
      </c>
      <c r="AA2067" s="3"/>
    </row>
    <row r="2068" spans="19:27" x14ac:dyDescent="0.25">
      <c r="S2068" s="4">
        <v>-1.2218993345584876</v>
      </c>
      <c r="T2068" s="4">
        <v>-1.5706991192123092E-2</v>
      </c>
      <c r="U2068" s="4">
        <f t="shared" si="262"/>
        <v>-0.75734790374498362</v>
      </c>
      <c r="W2068" s="4">
        <f t="shared" si="263"/>
        <v>-2.0494714682757875</v>
      </c>
      <c r="X2068" s="4">
        <f t="shared" si="264"/>
        <v>-1.2694882512033163</v>
      </c>
      <c r="Y2068" s="3">
        <f t="shared" si="261"/>
        <v>212.45746938326374</v>
      </c>
      <c r="AA2068" s="3"/>
    </row>
    <row r="2069" spans="19:27" x14ac:dyDescent="0.25">
      <c r="S2069" s="4">
        <v>1.4334650343727424</v>
      </c>
      <c r="T2069" s="4">
        <v>-0.11920726255505558</v>
      </c>
      <c r="U2069" s="4">
        <f t="shared" si="262"/>
        <v>0.77937762258799015</v>
      </c>
      <c r="W2069" s="4">
        <f t="shared" si="263"/>
        <v>2.4658607728277113</v>
      </c>
      <c r="X2069" s="4">
        <f t="shared" si="264"/>
        <v>1.4399060251688054</v>
      </c>
      <c r="Y2069" s="3">
        <f t="shared" si="261"/>
        <v>-235.66122452103173</v>
      </c>
      <c r="AA2069" s="3"/>
    </row>
    <row r="2070" spans="19:27" x14ac:dyDescent="0.25">
      <c r="S2070" s="4">
        <v>-1.6594571990514604</v>
      </c>
      <c r="T2070" s="4">
        <v>1.4261040987318125</v>
      </c>
      <c r="U2070" s="4">
        <f t="shared" si="262"/>
        <v>0.11881920313477279</v>
      </c>
      <c r="W2070" s="4">
        <f t="shared" si="263"/>
        <v>-2.7935196885540208</v>
      </c>
      <c r="X2070" s="4">
        <f t="shared" si="264"/>
        <v>0.27527826945846534</v>
      </c>
      <c r="Y2070" s="3">
        <f t="shared" si="261"/>
        <v>495.66275036184015</v>
      </c>
      <c r="AA2070" s="3"/>
    </row>
    <row r="2071" spans="19:27" x14ac:dyDescent="0.25">
      <c r="S2071" s="4">
        <v>-0.95203221189009957</v>
      </c>
      <c r="T2071" s="4">
        <v>-0.74796973931605726</v>
      </c>
      <c r="U2071" s="4">
        <f t="shared" si="262"/>
        <v>-1.1732897207354336</v>
      </c>
      <c r="W2071" s="4">
        <f t="shared" si="263"/>
        <v>-1.5905741003455018</v>
      </c>
      <c r="X2071" s="4">
        <f t="shared" si="264"/>
        <v>-2.0028335096418499</v>
      </c>
      <c r="Y2071" s="3">
        <f t="shared" si="261"/>
        <v>61.203159881153624</v>
      </c>
      <c r="AA2071" s="3"/>
    </row>
    <row r="2072" spans="19:27" x14ac:dyDescent="0.25">
      <c r="S2072" s="4">
        <v>0.14126791769639221</v>
      </c>
      <c r="T2072" s="4">
        <v>1.7515981043524294</v>
      </c>
      <c r="U2072" s="4">
        <f t="shared" si="262"/>
        <v>1.4745979122869104</v>
      </c>
      <c r="W2072" s="4">
        <f t="shared" si="263"/>
        <v>0.2685354750049726</v>
      </c>
      <c r="X2072" s="4">
        <f t="shared" si="264"/>
        <v>2.6656459777176793</v>
      </c>
      <c r="Y2072" s="3">
        <f t="shared" si="261"/>
        <v>223.71784464258508</v>
      </c>
      <c r="AA2072" s="3"/>
    </row>
    <row r="2073" spans="19:27" x14ac:dyDescent="0.25">
      <c r="S2073" s="4">
        <v>-0.98407791016418511</v>
      </c>
      <c r="T2073" s="4">
        <v>-1.3293562284979843</v>
      </c>
      <c r="U2073" s="4">
        <f t="shared" si="262"/>
        <v>-1.6536859232961407</v>
      </c>
      <c r="W2073" s="4">
        <f t="shared" si="263"/>
        <v>-1.6450664239974506</v>
      </c>
      <c r="X2073" s="4">
        <f t="shared" si="264"/>
        <v>-2.8498180226894054</v>
      </c>
      <c r="Y2073" s="3">
        <f t="shared" si="261"/>
        <v>-14.301156781105419</v>
      </c>
      <c r="AA2073" s="3"/>
    </row>
    <row r="2074" spans="19:27" x14ac:dyDescent="0.25">
      <c r="S2074" s="4">
        <v>0.21432099678684818</v>
      </c>
      <c r="T2074" s="4">
        <v>-0.32960737575956056</v>
      </c>
      <c r="U2074" s="4">
        <f t="shared" si="262"/>
        <v>-0.13062227460839507</v>
      </c>
      <c r="W2074" s="4">
        <f t="shared" si="263"/>
        <v>0.39275907579908359</v>
      </c>
      <c r="X2074" s="4">
        <f t="shared" si="264"/>
        <v>-0.16451094501489708</v>
      </c>
      <c r="Y2074" s="3">
        <f t="shared" si="261"/>
        <v>-78.992928039064282</v>
      </c>
      <c r="AA2074" s="3"/>
    </row>
    <row r="2075" spans="19:27" x14ac:dyDescent="0.25">
      <c r="S2075" s="4">
        <v>1.7572864932574227E-2</v>
      </c>
      <c r="T2075" s="4">
        <v>0.1426973150179062</v>
      </c>
      <c r="U2075" s="4">
        <f t="shared" si="262"/>
        <v>0.12382783328490403</v>
      </c>
      <c r="W2075" s="4">
        <f t="shared" si="263"/>
        <v>5.8197388697717942E-2</v>
      </c>
      <c r="X2075" s="4">
        <f t="shared" si="264"/>
        <v>0.28410896409370889</v>
      </c>
      <c r="Y2075" s="3">
        <f t="shared" si="261"/>
        <v>19.093496167009562</v>
      </c>
      <c r="AA2075" s="3"/>
    </row>
    <row r="2076" spans="19:27" x14ac:dyDescent="0.25">
      <c r="S2076" s="4">
        <v>1.3277193618639775</v>
      </c>
      <c r="T2076" s="4">
        <v>-1.0050692048320145</v>
      </c>
      <c r="U2076" s="4">
        <f t="shared" si="262"/>
        <v>1.269700971932386E-2</v>
      </c>
      <c r="W2076" s="4">
        <f t="shared" si="263"/>
        <v>2.286044831172902</v>
      </c>
      <c r="X2076" s="4">
        <f t="shared" si="264"/>
        <v>8.8174679058697386E-2</v>
      </c>
      <c r="Y2076" s="3">
        <f t="shared" si="261"/>
        <v>-344.18350787786221</v>
      </c>
      <c r="AA2076" s="3"/>
    </row>
    <row r="2077" spans="19:27" x14ac:dyDescent="0.25">
      <c r="S2077" s="4">
        <v>0.87292069472050782</v>
      </c>
      <c r="T2077" s="4">
        <v>1.4177827065110182</v>
      </c>
      <c r="U2077" s="4">
        <f t="shared" si="262"/>
        <v>1.6560169680220844</v>
      </c>
      <c r="W2077" s="4">
        <f t="shared" si="263"/>
        <v>1.5126793718064506</v>
      </c>
      <c r="X2077" s="4">
        <f t="shared" si="264"/>
        <v>2.9855051476285532</v>
      </c>
      <c r="Y2077" s="3">
        <f t="shared" si="261"/>
        <v>62.009299782782364</v>
      </c>
      <c r="AA2077" s="3"/>
    </row>
    <row r="2078" spans="19:27" x14ac:dyDescent="0.25">
      <c r="S2078" s="4">
        <v>-1.3579370243967874</v>
      </c>
      <c r="T2078" s="4">
        <v>-1.6113632916330639E-2</v>
      </c>
      <c r="U2078" s="4">
        <f t="shared" si="262"/>
        <v>-0.84060185637272367</v>
      </c>
      <c r="W2078" s="4">
        <f t="shared" si="263"/>
        <v>-2.2807976749987264</v>
      </c>
      <c r="X2078" s="4">
        <f t="shared" si="264"/>
        <v>-1.4162729429844296</v>
      </c>
      <c r="Y2078" s="3">
        <f t="shared" si="261"/>
        <v>237.48316481520396</v>
      </c>
      <c r="AA2078" s="3"/>
    </row>
    <row r="2079" spans="19:27" x14ac:dyDescent="0.25">
      <c r="S2079" s="4">
        <v>1.7580428041051646</v>
      </c>
      <c r="T2079" s="4">
        <v>-0.77304125636787058</v>
      </c>
      <c r="U2079" s="4">
        <f t="shared" si="262"/>
        <v>0.4589584843415111</v>
      </c>
      <c r="W2079" s="4">
        <f t="shared" si="263"/>
        <v>3.0177912293654559</v>
      </c>
      <c r="X2079" s="4">
        <f t="shared" si="264"/>
        <v>0.8749763976401278</v>
      </c>
      <c r="Y2079" s="3">
        <f t="shared" si="261"/>
        <v>-372.95926652184608</v>
      </c>
      <c r="AA2079" s="3"/>
    </row>
    <row r="2080" spans="19:27" x14ac:dyDescent="0.25">
      <c r="S2080" s="4">
        <v>0.68791241381165968</v>
      </c>
      <c r="T2080" s="4">
        <v>-1.2478864639129246</v>
      </c>
      <c r="U2080" s="4">
        <f t="shared" si="262"/>
        <v>-0.56982288442633044</v>
      </c>
      <c r="W2080" s="4">
        <f t="shared" si="263"/>
        <v>1.1980807933842026</v>
      </c>
      <c r="X2080" s="4">
        <f t="shared" si="264"/>
        <v>-0.93886368272169585</v>
      </c>
      <c r="Y2080" s="3">
        <f t="shared" si="261"/>
        <v>-282.19280883251122</v>
      </c>
      <c r="AA2080" s="3"/>
    </row>
    <row r="2081" spans="19:27" x14ac:dyDescent="0.25">
      <c r="S2081" s="4">
        <v>0.89088978554767506</v>
      </c>
      <c r="T2081" s="4">
        <v>-1.1882801182552803E-2</v>
      </c>
      <c r="U2081" s="4">
        <f t="shared" si="262"/>
        <v>0.53368688901191719</v>
      </c>
      <c r="W2081" s="4">
        <f t="shared" si="263"/>
        <v>1.5432350334341174</v>
      </c>
      <c r="X2081" s="4">
        <f t="shared" si="264"/>
        <v>1.0067297318738351</v>
      </c>
      <c r="Y2081" s="3">
        <f t="shared" si="261"/>
        <v>-140.52647171157287</v>
      </c>
      <c r="AA2081" s="3"/>
    </row>
    <row r="2082" spans="19:27" x14ac:dyDescent="0.25">
      <c r="S2082" s="4">
        <v>1.263355533140875</v>
      </c>
      <c r="T2082" s="4">
        <v>-0.75651936215943727</v>
      </c>
      <c r="U2082" s="4">
        <f t="shared" si="262"/>
        <v>0.17048286024870263</v>
      </c>
      <c r="W2082" s="4">
        <f t="shared" si="263"/>
        <v>2.1765969247406622</v>
      </c>
      <c r="X2082" s="4">
        <f t="shared" si="264"/>
        <v>0.36636624482056879</v>
      </c>
      <c r="Y2082" s="3">
        <f t="shared" si="261"/>
        <v>-300.06426616588442</v>
      </c>
      <c r="AA2082" s="3"/>
    </row>
    <row r="2083" spans="19:27" x14ac:dyDescent="0.25">
      <c r="S2083" s="4">
        <v>-0.37009838737388151</v>
      </c>
      <c r="T2083" s="4">
        <v>-0.29042842200961833</v>
      </c>
      <c r="U2083" s="4">
        <f t="shared" si="262"/>
        <v>-0.45584052672429365</v>
      </c>
      <c r="W2083" s="4">
        <f t="shared" si="263"/>
        <v>-0.6010208055996098</v>
      </c>
      <c r="X2083" s="4">
        <f t="shared" si="264"/>
        <v>-0.73790186991037976</v>
      </c>
      <c r="Y2083" s="3">
        <f t="shared" si="261"/>
        <v>23.460564515296483</v>
      </c>
      <c r="AA2083" s="3"/>
    </row>
    <row r="2084" spans="19:27" x14ac:dyDescent="0.25">
      <c r="S2084" s="4">
        <v>-0.83961949459015861</v>
      </c>
      <c r="T2084" s="4">
        <v>-9.1715734438378216E-2</v>
      </c>
      <c r="U2084" s="4">
        <f t="shared" si="262"/>
        <v>-0.58455310806956617</v>
      </c>
      <c r="W2084" s="4">
        <f t="shared" si="263"/>
        <v>-1.3994211374326286</v>
      </c>
      <c r="X2084" s="4">
        <f t="shared" si="264"/>
        <v>-0.96483447773015762</v>
      </c>
      <c r="Y2084" s="3">
        <f t="shared" si="261"/>
        <v>132.87541978059562</v>
      </c>
      <c r="AA2084" s="3"/>
    </row>
    <row r="2085" spans="19:27" x14ac:dyDescent="0.25">
      <c r="S2085" s="4">
        <v>-8.6891372959416485E-2</v>
      </c>
      <c r="T2085" s="4">
        <v>-1.4991271253718554</v>
      </c>
      <c r="U2085" s="4">
        <f t="shared" si="262"/>
        <v>-1.2413170273219627</v>
      </c>
      <c r="W2085" s="4">
        <f t="shared" si="263"/>
        <v>-0.11943952882477803</v>
      </c>
      <c r="X2085" s="4">
        <f t="shared" si="264"/>
        <v>-2.1227721661840961</v>
      </c>
      <c r="Y2085" s="3">
        <f t="shared" si="261"/>
        <v>-193.10008002254108</v>
      </c>
      <c r="AA2085" s="3"/>
    </row>
    <row r="2086" spans="19:27" x14ac:dyDescent="0.25">
      <c r="S2086" s="4">
        <v>0.60769598755223508</v>
      </c>
      <c r="T2086" s="4">
        <v>1.5765446798898222</v>
      </c>
      <c r="U2086" s="4">
        <f t="shared" si="262"/>
        <v>1.6201794180860754</v>
      </c>
      <c r="W2086" s="4">
        <f t="shared" si="263"/>
        <v>1.0616762306081093</v>
      </c>
      <c r="X2086" s="4">
        <f t="shared" si="264"/>
        <v>2.9223201149002138</v>
      </c>
      <c r="Y2086" s="3">
        <f t="shared" si="261"/>
        <v>124.99503261282234</v>
      </c>
      <c r="AA2086" s="3"/>
    </row>
    <row r="2087" spans="19:27" x14ac:dyDescent="0.25">
      <c r="S2087" s="4">
        <v>0.67423583230608675</v>
      </c>
      <c r="T2087" s="4">
        <v>-0.69374307340137176</v>
      </c>
      <c r="U2087" s="4">
        <f t="shared" si="262"/>
        <v>-0.13889539065529105</v>
      </c>
      <c r="W2087" s="4">
        <f t="shared" si="263"/>
        <v>1.1748243581684779</v>
      </c>
      <c r="X2087" s="4">
        <f t="shared" si="264"/>
        <v>-0.17909724092859267</v>
      </c>
      <c r="Y2087" s="3">
        <f t="shared" si="261"/>
        <v>-202.63057791103938</v>
      </c>
      <c r="AA2087" s="3"/>
    </row>
    <row r="2088" spans="19:27" x14ac:dyDescent="0.25">
      <c r="S2088" s="4">
        <v>-9.5995021786493842E-2</v>
      </c>
      <c r="T2088" s="4">
        <v>-1.2442529815339947</v>
      </c>
      <c r="U2088" s="4">
        <f t="shared" si="262"/>
        <v>-1.0448301151118535</v>
      </c>
      <c r="W2088" s="4">
        <f t="shared" si="263"/>
        <v>-0.13491988984096934</v>
      </c>
      <c r="X2088" s="4">
        <f t="shared" si="264"/>
        <v>-1.7763469222471051</v>
      </c>
      <c r="Y2088" s="3">
        <f t="shared" si="261"/>
        <v>-155.96663120348512</v>
      </c>
      <c r="AA2088" s="3"/>
    </row>
    <row r="2089" spans="19:27" x14ac:dyDescent="0.25">
      <c r="S2089" s="4">
        <v>-0.61203871271000487</v>
      </c>
      <c r="T2089" s="4">
        <v>-0.9411363776564744</v>
      </c>
      <c r="U2089" s="4">
        <f t="shared" si="262"/>
        <v>-1.1191437502880732</v>
      </c>
      <c r="W2089" s="4">
        <f t="shared" si="263"/>
        <v>-1.0124298627501993</v>
      </c>
      <c r="X2089" s="4">
        <f t="shared" si="264"/>
        <v>-1.9073689781397516</v>
      </c>
      <c r="Y2089" s="3">
        <f t="shared" si="261"/>
        <v>-25.830145041471496</v>
      </c>
      <c r="AA2089" s="3"/>
    </row>
    <row r="2090" spans="19:27" x14ac:dyDescent="0.25">
      <c r="S2090" s="4">
        <v>1.6253301646491047</v>
      </c>
      <c r="T2090" s="4">
        <v>0.57656463688786119</v>
      </c>
      <c r="U2090" s="4">
        <f t="shared" si="262"/>
        <v>1.4478757185620248</v>
      </c>
      <c r="W2090" s="4">
        <f t="shared" si="263"/>
        <v>2.7921191269793404</v>
      </c>
      <c r="X2090" s="4">
        <f t="shared" si="264"/>
        <v>2.6185321909745909</v>
      </c>
      <c r="Y2090" s="3">
        <f t="shared" si="261"/>
        <v>-165.74556161650526</v>
      </c>
      <c r="AA2090" s="3"/>
    </row>
    <row r="2091" spans="19:27" x14ac:dyDescent="0.25">
      <c r="S2091" s="4">
        <v>-0.21964684115171962</v>
      </c>
      <c r="T2091" s="4">
        <v>0.31724398918819136</v>
      </c>
      <c r="U2091" s="4">
        <f t="shared" si="262"/>
        <v>0.11757516319192068</v>
      </c>
      <c r="W2091" s="4">
        <f t="shared" si="263"/>
        <v>-0.34518445962414918</v>
      </c>
      <c r="X2091" s="4">
        <f t="shared" si="264"/>
        <v>0.27308490789650519</v>
      </c>
      <c r="Y2091" s="3">
        <f t="shared" si="261"/>
        <v>82.933061788802206</v>
      </c>
      <c r="AA2091" s="3"/>
    </row>
    <row r="2092" spans="19:27" x14ac:dyDescent="0.25">
      <c r="S2092" s="4">
        <v>-7.6841949530753614E-2</v>
      </c>
      <c r="T2092" s="4">
        <v>0.73777319389675444</v>
      </c>
      <c r="U2092" s="4">
        <f t="shared" si="262"/>
        <v>0.53798235566939356</v>
      </c>
      <c r="W2092" s="4">
        <f t="shared" si="263"/>
        <v>-0.10235091901180306</v>
      </c>
      <c r="X2092" s="4">
        <f t="shared" si="264"/>
        <v>1.0143030509712834</v>
      </c>
      <c r="Y2092" s="3">
        <f t="shared" si="261"/>
        <v>117.85917777264422</v>
      </c>
      <c r="AA2092" s="3"/>
    </row>
    <row r="2093" spans="19:27" x14ac:dyDescent="0.25">
      <c r="S2093" s="4">
        <v>-0.13947061302463196</v>
      </c>
      <c r="T2093" s="4">
        <v>-0.52739645761931286</v>
      </c>
      <c r="U2093" s="4">
        <f t="shared" si="262"/>
        <v>-0.50308736031957912</v>
      </c>
      <c r="W2093" s="4">
        <f t="shared" si="263"/>
        <v>-0.20884825203316604</v>
      </c>
      <c r="X2093" s="4">
        <f t="shared" si="264"/>
        <v>-0.82120256240635092</v>
      </c>
      <c r="Y2093" s="3">
        <f t="shared" si="261"/>
        <v>-48.539348405226519</v>
      </c>
      <c r="AA2093" s="3"/>
    </row>
    <row r="2094" spans="19:27" x14ac:dyDescent="0.25">
      <c r="S2094" s="4">
        <v>0.47845787085623415</v>
      </c>
      <c r="T2094" s="4">
        <v>-0.26527345211564757</v>
      </c>
      <c r="U2094" s="4">
        <f t="shared" si="262"/>
        <v>8.1398445027069805E-2</v>
      </c>
      <c r="W2094" s="4">
        <f t="shared" si="263"/>
        <v>0.84191240387128141</v>
      </c>
      <c r="X2094" s="4">
        <f t="shared" si="264"/>
        <v>0.20930188909830225</v>
      </c>
      <c r="Y2094" s="3">
        <f t="shared" si="261"/>
        <v>-112.16253898307377</v>
      </c>
      <c r="AA2094" s="3"/>
    </row>
    <row r="2095" spans="19:27" x14ac:dyDescent="0.25">
      <c r="S2095" s="4">
        <v>-0.85311629437805747</v>
      </c>
      <c r="T2095" s="4">
        <v>-9.5770710958364133E-2</v>
      </c>
      <c r="U2095" s="4">
        <f t="shared" si="262"/>
        <v>-0.59599540588326572</v>
      </c>
      <c r="W2095" s="4">
        <f t="shared" si="263"/>
        <v>-1.4223718616146164</v>
      </c>
      <c r="X2095" s="4">
        <f t="shared" si="264"/>
        <v>-0.98500834461383002</v>
      </c>
      <c r="Y2095" s="3">
        <f t="shared" si="261"/>
        <v>134.70521715716632</v>
      </c>
      <c r="AA2095" s="3"/>
    </row>
    <row r="2096" spans="19:27" x14ac:dyDescent="0.25">
      <c r="S2096" s="4">
        <v>-2.5084516895659088</v>
      </c>
      <c r="T2096" s="4">
        <v>0.57869030915290853</v>
      </c>
      <c r="U2096" s="4">
        <f t="shared" si="262"/>
        <v>-1.0704849286619516</v>
      </c>
      <c r="W2096" s="4">
        <f t="shared" si="263"/>
        <v>-4.2371980930669526</v>
      </c>
      <c r="X2096" s="4">
        <f t="shared" si="264"/>
        <v>-1.82157881551818</v>
      </c>
      <c r="Y2096" s="3">
        <f t="shared" si="261"/>
        <v>544.28761845606641</v>
      </c>
      <c r="AA2096" s="3"/>
    </row>
    <row r="2097" spans="19:27" x14ac:dyDescent="0.25">
      <c r="S2097" s="4">
        <v>1.1026095075818321</v>
      </c>
      <c r="T2097" s="4">
        <v>0.49809849865670153</v>
      </c>
      <c r="U2097" s="4">
        <f t="shared" si="262"/>
        <v>1.0670140616143879</v>
      </c>
      <c r="W2097" s="4">
        <f t="shared" si="263"/>
        <v>1.903255261981162</v>
      </c>
      <c r="X2097" s="4">
        <f t="shared" si="264"/>
        <v>1.9470366143468496</v>
      </c>
      <c r="Y2097" s="3">
        <f t="shared" si="261"/>
        <v>-101.02772948535448</v>
      </c>
      <c r="AA2097" s="3"/>
    </row>
    <row r="2098" spans="19:27" x14ac:dyDescent="0.25">
      <c r="S2098" s="4">
        <v>-0.36748301258361432</v>
      </c>
      <c r="T2098" s="4">
        <v>-0.50223321930161169</v>
      </c>
      <c r="U2098" s="4">
        <f t="shared" si="262"/>
        <v>-0.62214210828480088</v>
      </c>
      <c r="W2098" s="4">
        <f t="shared" si="263"/>
        <v>-0.59657347390711746</v>
      </c>
      <c r="X2098" s="4">
        <f t="shared" si="264"/>
        <v>-1.031107485038582</v>
      </c>
      <c r="Y2098" s="3">
        <f t="shared" si="261"/>
        <v>-6.5865202642421536</v>
      </c>
      <c r="AA2098" s="3"/>
    </row>
    <row r="2099" spans="19:27" x14ac:dyDescent="0.25">
      <c r="S2099" s="4">
        <v>0.96402369188489778</v>
      </c>
      <c r="T2099" s="4">
        <v>-1.3465954536697347</v>
      </c>
      <c r="U2099" s="4">
        <f t="shared" si="262"/>
        <v>-0.47974511713640933</v>
      </c>
      <c r="W2099" s="4">
        <f t="shared" si="263"/>
        <v>1.6675960774648537</v>
      </c>
      <c r="X2099" s="4">
        <f t="shared" si="264"/>
        <v>-0.78004795216890577</v>
      </c>
      <c r="Y2099" s="3">
        <f t="shared" si="261"/>
        <v>-338.11467708413329</v>
      </c>
      <c r="AA2099" s="3"/>
    </row>
    <row r="2100" spans="19:27" x14ac:dyDescent="0.25">
      <c r="S2100" s="4">
        <v>-0.33062912732110261</v>
      </c>
      <c r="T2100" s="4">
        <v>-0.79386714810924564</v>
      </c>
      <c r="U2100" s="4">
        <f t="shared" si="262"/>
        <v>-0.83085104536814769</v>
      </c>
      <c r="W2100" s="4">
        <f t="shared" si="263"/>
        <v>-0.53390503627845176</v>
      </c>
      <c r="X2100" s="4">
        <f t="shared" si="264"/>
        <v>-1.3990813293403024</v>
      </c>
      <c r="Y2100" s="3">
        <f t="shared" si="261"/>
        <v>-53.610546227986106</v>
      </c>
      <c r="AA2100" s="3"/>
    </row>
    <row r="2101" spans="19:27" x14ac:dyDescent="0.25">
      <c r="S2101" s="4">
        <v>-9.8230430790979748E-2</v>
      </c>
      <c r="T2101" s="4">
        <v>-0.10594705235130802</v>
      </c>
      <c r="U2101" s="4">
        <f t="shared" si="262"/>
        <v>-0.14386684514220544</v>
      </c>
      <c r="W2101" s="4">
        <f t="shared" si="263"/>
        <v>-0.13872110615166003</v>
      </c>
      <c r="X2101" s="4">
        <f t="shared" si="264"/>
        <v>-0.18786239130924157</v>
      </c>
      <c r="Y2101" s="3">
        <f t="shared" si="261"/>
        <v>3.4936604760100636</v>
      </c>
      <c r="AA2101" s="3"/>
    </row>
    <row r="2102" spans="19:27" x14ac:dyDescent="0.25">
      <c r="S2102" s="4">
        <v>0.98049456668107327</v>
      </c>
      <c r="T2102" s="4">
        <v>0.56877802009593292</v>
      </c>
      <c r="U2102" s="4">
        <f t="shared" si="262"/>
        <v>1.0485971615780096</v>
      </c>
      <c r="W2102" s="4">
        <f t="shared" si="263"/>
        <v>1.6956040875430656</v>
      </c>
      <c r="X2102" s="4">
        <f t="shared" si="264"/>
        <v>1.9145658557812963</v>
      </c>
      <c r="Y2102" s="3">
        <f t="shared" si="261"/>
        <v>-72.901488308226362</v>
      </c>
      <c r="AA2102" s="3"/>
    </row>
    <row r="2103" spans="19:27" x14ac:dyDescent="0.25">
      <c r="S2103" s="4">
        <v>0.34941728775100656</v>
      </c>
      <c r="T2103" s="4">
        <v>-2.5513163573157152</v>
      </c>
      <c r="U2103" s="4">
        <f t="shared" si="262"/>
        <v>-1.8093955394743337</v>
      </c>
      <c r="W2103" s="4">
        <f t="shared" si="263"/>
        <v>0.62248447446046851</v>
      </c>
      <c r="X2103" s="4">
        <f t="shared" si="264"/>
        <v>-3.1243489884474926</v>
      </c>
      <c r="Y2103" s="3">
        <f t="shared" si="261"/>
        <v>-411.18990431207385</v>
      </c>
      <c r="AA2103" s="3"/>
    </row>
    <row r="2104" spans="19:27" x14ac:dyDescent="0.25">
      <c r="S2104" s="4">
        <v>1.0194990408226667</v>
      </c>
      <c r="T2104" s="4">
        <v>0.97964798261330399</v>
      </c>
      <c r="U2104" s="4">
        <f t="shared" si="262"/>
        <v>1.3980684993864161</v>
      </c>
      <c r="W2104" s="4">
        <f t="shared" si="263"/>
        <v>1.7619295085284015</v>
      </c>
      <c r="X2104" s="4">
        <f t="shared" si="264"/>
        <v>2.5307172934903113</v>
      </c>
      <c r="Y2104" s="3">
        <f t="shared" si="261"/>
        <v>-21.330727879731512</v>
      </c>
      <c r="AA2104" s="3"/>
    </row>
    <row r="2105" spans="19:27" x14ac:dyDescent="0.25">
      <c r="S2105" s="4">
        <v>-0.36308850497353434</v>
      </c>
      <c r="T2105" s="4">
        <v>-0.52654762863504612</v>
      </c>
      <c r="U2105" s="4">
        <f t="shared" si="262"/>
        <v>-0.6387369566199349</v>
      </c>
      <c r="W2105" s="4">
        <f t="shared" si="263"/>
        <v>-0.58910080381794427</v>
      </c>
      <c r="X2105" s="4">
        <f t="shared" si="264"/>
        <v>-1.0603657919554759</v>
      </c>
      <c r="Y2105" s="3">
        <f t="shared" si="261"/>
        <v>-10.732865874756499</v>
      </c>
      <c r="AA2105" s="3"/>
    </row>
    <row r="2106" spans="19:27" x14ac:dyDescent="0.25">
      <c r="S2106" s="4">
        <v>-1.2587878040003422</v>
      </c>
      <c r="T2106" s="4">
        <v>1.4432045327390361</v>
      </c>
      <c r="U2106" s="4">
        <f t="shared" si="262"/>
        <v>0.37663158359259019</v>
      </c>
      <c r="W2106" s="4">
        <f t="shared" si="263"/>
        <v>-2.1121987148053503</v>
      </c>
      <c r="X2106" s="4">
        <f t="shared" si="264"/>
        <v>0.72982618710588121</v>
      </c>
      <c r="Y2106" s="3">
        <f t="shared" si="261"/>
        <v>423.1269856238041</v>
      </c>
      <c r="AA2106" s="3"/>
    </row>
    <row r="2107" spans="19:27" x14ac:dyDescent="0.25">
      <c r="S2107" s="4">
        <v>-0.73173359962863371</v>
      </c>
      <c r="T2107" s="4">
        <v>0.799014215523972</v>
      </c>
      <c r="U2107" s="4">
        <f t="shared" si="262"/>
        <v>0.18729106299897891</v>
      </c>
      <c r="W2107" s="4">
        <f t="shared" si="263"/>
        <v>-1.2159658400806685</v>
      </c>
      <c r="X2107" s="4">
        <f t="shared" si="264"/>
        <v>0.3960007160044835</v>
      </c>
      <c r="Y2107" s="3">
        <f t="shared" si="261"/>
        <v>238.30667692463339</v>
      </c>
      <c r="AA2107" s="3"/>
    </row>
    <row r="2108" spans="19:27" x14ac:dyDescent="0.25">
      <c r="S2108" s="4">
        <v>0.7198444240877947</v>
      </c>
      <c r="T2108" s="4">
        <v>0.95093465173091751</v>
      </c>
      <c r="U2108" s="4">
        <f t="shared" si="262"/>
        <v>1.1926315309473754</v>
      </c>
      <c r="W2108" s="4">
        <f t="shared" si="263"/>
        <v>1.2523797955136595</v>
      </c>
      <c r="X2108" s="4">
        <f t="shared" si="264"/>
        <v>2.1685122432675867</v>
      </c>
      <c r="Y2108" s="3">
        <f t="shared" si="261"/>
        <v>20.183841419653163</v>
      </c>
      <c r="AA2108" s="3"/>
    </row>
    <row r="2109" spans="19:27" x14ac:dyDescent="0.25">
      <c r="S2109" s="4">
        <v>-0.31380157413933829</v>
      </c>
      <c r="T2109" s="4">
        <v>0.54660378197905679</v>
      </c>
      <c r="U2109" s="4">
        <f t="shared" si="262"/>
        <v>0.24198801440707943</v>
      </c>
      <c r="W2109" s="4">
        <f t="shared" si="263"/>
        <v>-0.5052905100350773</v>
      </c>
      <c r="X2109" s="4">
        <f t="shared" si="264"/>
        <v>0.49243667970825877</v>
      </c>
      <c r="Y2109" s="3">
        <f t="shared" si="261"/>
        <v>130.87856339729524</v>
      </c>
      <c r="AA2109" s="3"/>
    </row>
    <row r="2110" spans="19:27" x14ac:dyDescent="0.25">
      <c r="S2110" s="4">
        <v>1.3185865299875894</v>
      </c>
      <c r="T2110" s="4">
        <v>-0.78631123710184658</v>
      </c>
      <c r="U2110" s="4">
        <f t="shared" si="262"/>
        <v>0.18053712673625477</v>
      </c>
      <c r="W2110" s="4">
        <f t="shared" si="263"/>
        <v>2.2705148456437856</v>
      </c>
      <c r="X2110" s="4">
        <f t="shared" si="264"/>
        <v>0.38409287954336013</v>
      </c>
      <c r="Y2110" s="3">
        <f t="shared" si="261"/>
        <v>-312.28243182457481</v>
      </c>
      <c r="AA2110" s="3"/>
    </row>
    <row r="2111" spans="19:27" x14ac:dyDescent="0.25">
      <c r="S2111" s="4">
        <v>-1.00478629646733</v>
      </c>
      <c r="T2111" s="4">
        <v>-1.2985309606846136</v>
      </c>
      <c r="U2111" s="4">
        <f t="shared" si="262"/>
        <v>-1.641875273851674</v>
      </c>
      <c r="W2111" s="4">
        <f t="shared" si="263"/>
        <v>-1.680280139082982</v>
      </c>
      <c r="X2111" s="4">
        <f t="shared" si="264"/>
        <v>-2.8289947166033569</v>
      </c>
      <c r="Y2111" s="3">
        <f t="shared" si="261"/>
        <v>-6.269068497025728</v>
      </c>
      <c r="AA2111" s="3"/>
    </row>
    <row r="2112" spans="19:27" x14ac:dyDescent="0.25">
      <c r="S2112" s="4">
        <v>0.73682664184182423</v>
      </c>
      <c r="T2112" s="4">
        <v>1.4965382425388414</v>
      </c>
      <c r="U2112" s="4">
        <f t="shared" si="262"/>
        <v>1.6354798817332863</v>
      </c>
      <c r="W2112" s="4">
        <f t="shared" si="263"/>
        <v>1.2812573221715446</v>
      </c>
      <c r="X2112" s="4">
        <f t="shared" si="264"/>
        <v>2.9492962976480306</v>
      </c>
      <c r="Y2112" s="3">
        <f t="shared" si="261"/>
        <v>93.821775019275719</v>
      </c>
      <c r="AA2112" s="3"/>
    </row>
    <row r="2113" spans="19:27" x14ac:dyDescent="0.25">
      <c r="S2113" s="4">
        <v>0.93439958909020293</v>
      </c>
      <c r="T2113" s="4">
        <v>-0.97340623872345777</v>
      </c>
      <c r="U2113" s="4">
        <f t="shared" si="262"/>
        <v>-0.20198051892638724</v>
      </c>
      <c r="W2113" s="4">
        <f t="shared" si="263"/>
        <v>1.6172215721699408</v>
      </c>
      <c r="X2113" s="4">
        <f t="shared" si="264"/>
        <v>-0.29032236378431475</v>
      </c>
      <c r="Y2113" s="3">
        <f t="shared" si="261"/>
        <v>-281.49150523276967</v>
      </c>
      <c r="AA2113" s="3"/>
    </row>
    <row r="2114" spans="19:27" x14ac:dyDescent="0.25">
      <c r="S2114" s="4">
        <v>-1.0097576063647296</v>
      </c>
      <c r="T2114" s="4">
        <v>-0.57522413276910767</v>
      </c>
      <c r="U2114" s="4">
        <f t="shared" si="262"/>
        <v>-1.0715463455510239</v>
      </c>
      <c r="W2114" s="4">
        <f t="shared" si="263"/>
        <v>-1.6887336365098831</v>
      </c>
      <c r="X2114" s="4">
        <f t="shared" si="264"/>
        <v>-1.8234501951463689</v>
      </c>
      <c r="Y2114" s="3">
        <f t="shared" ref="Y2114:Y2177" si="265">(B$4*EXP(-B$8*B$7)*NORMSDIST((LN(B$4/(B$5+W2114))-B$8*B$7+B$9*B$7+0.5*B$6*B$6*B$7)/(B$6*SQRT(B$7)))-(B$5+W2114)*EXP(-B$9*B$7)*NORMSDIST((LN(B$4/(B$5+W2114))-B$8*B$7+B$9*B$7-0.5*B$6*B$6*B$7)/(B$6*SQRT(B$7))))*400+100*X2114-400*$B$13</f>
        <v>95.714677577165276</v>
      </c>
      <c r="AA2114" s="3"/>
    </row>
    <row r="2115" spans="19:27" x14ac:dyDescent="0.25">
      <c r="S2115" s="4">
        <v>-4.3140953413219454E-2</v>
      </c>
      <c r="T2115" s="4">
        <v>1.5038105715020429</v>
      </c>
      <c r="U2115" s="4">
        <f t="shared" ref="U2115:U2178" si="266">$B$19*S2115+SQRT(1-$B$19^2)*T2115</f>
        <v>1.1657589502715602</v>
      </c>
      <c r="W2115" s="4">
        <f t="shared" ref="W2115:W2178" si="267">S2115*SQRT($B$16)+$B$20</f>
        <v>-4.5043832983510099E-2</v>
      </c>
      <c r="X2115" s="4">
        <f t="shared" ref="X2115:X2178" si="268">U2115*SQRT($C$17)+$C$20</f>
        <v>2.1211333099273295</v>
      </c>
      <c r="Y2115" s="3">
        <f t="shared" si="265"/>
        <v>219.33686938587562</v>
      </c>
      <c r="AA2115" s="3"/>
    </row>
    <row r="2116" spans="19:27" x14ac:dyDescent="0.25">
      <c r="S2116" s="4">
        <v>-1.28276722076946</v>
      </c>
      <c r="T2116" s="4">
        <v>-0.32670976956876419</v>
      </c>
      <c r="U2116" s="4">
        <f t="shared" si="266"/>
        <v>-1.0409837455417821</v>
      </c>
      <c r="W2116" s="4">
        <f t="shared" si="267"/>
        <v>-2.1529746756969383</v>
      </c>
      <c r="X2116" s="4">
        <f t="shared" si="268"/>
        <v>-1.7695654043251432</v>
      </c>
      <c r="Y2116" s="3">
        <f t="shared" si="265"/>
        <v>180.1793975949231</v>
      </c>
      <c r="AA2116" s="3"/>
    </row>
    <row r="2117" spans="19:27" x14ac:dyDescent="0.25">
      <c r="S2117" s="4">
        <v>-1.2553299917438701</v>
      </c>
      <c r="T2117" s="4">
        <v>1.6188147310760312</v>
      </c>
      <c r="U2117" s="4">
        <f t="shared" si="266"/>
        <v>0.51794434576049586</v>
      </c>
      <c r="W2117" s="4">
        <f t="shared" si="267"/>
        <v>-2.1063188546445337</v>
      </c>
      <c r="X2117" s="4">
        <f t="shared" si="268"/>
        <v>0.97897412044547416</v>
      </c>
      <c r="Y2117" s="3">
        <f t="shared" si="265"/>
        <v>447.03433272156508</v>
      </c>
      <c r="AA2117" s="3"/>
    </row>
    <row r="2118" spans="19:27" x14ac:dyDescent="0.25">
      <c r="S2118" s="4">
        <v>0.40222524125679637</v>
      </c>
      <c r="T2118" s="4">
        <v>0.17352699036250246</v>
      </c>
      <c r="U2118" s="4">
        <f t="shared" si="266"/>
        <v>0.38275894179166781</v>
      </c>
      <c r="W2118" s="4">
        <f t="shared" si="267"/>
        <v>0.71228211498065086</v>
      </c>
      <c r="X2118" s="4">
        <f t="shared" si="268"/>
        <v>0.7406293064329077</v>
      </c>
      <c r="Y2118" s="3">
        <f t="shared" si="265"/>
        <v>-38.77401287901148</v>
      </c>
      <c r="AA2118" s="3"/>
    </row>
    <row r="2119" spans="19:27" x14ac:dyDescent="0.25">
      <c r="S2119" s="4">
        <v>1.162960296889735</v>
      </c>
      <c r="T2119" s="4">
        <v>0.18019136353021276</v>
      </c>
      <c r="U2119" s="4">
        <f t="shared" si="266"/>
        <v>0.85180280053567214</v>
      </c>
      <c r="W2119" s="4">
        <f t="shared" si="267"/>
        <v>2.0058791684877106</v>
      </c>
      <c r="X2119" s="4">
        <f t="shared" si="268"/>
        <v>1.5675985501084633</v>
      </c>
      <c r="Y2119" s="3">
        <f t="shared" si="265"/>
        <v>-154.39692943717273</v>
      </c>
      <c r="AA2119" s="3"/>
    </row>
    <row r="2120" spans="19:27" x14ac:dyDescent="0.25">
      <c r="S2120" s="4">
        <v>1.346483807917344</v>
      </c>
      <c r="T2120" s="4">
        <v>-1.2449280754560472</v>
      </c>
      <c r="U2120" s="4">
        <f t="shared" si="266"/>
        <v>-0.16599797771254865</v>
      </c>
      <c r="W2120" s="4">
        <f t="shared" si="267"/>
        <v>2.3179529599564916</v>
      </c>
      <c r="X2120" s="4">
        <f t="shared" si="268"/>
        <v>-0.22688169754723017</v>
      </c>
      <c r="Y2120" s="3">
        <f t="shared" si="265"/>
        <v>-380.430016049188</v>
      </c>
      <c r="AA2120" s="3"/>
    </row>
    <row r="2121" spans="19:27" x14ac:dyDescent="0.25">
      <c r="S2121" s="4">
        <v>0.20655704115378723</v>
      </c>
      <c r="T2121" s="4">
        <v>0.56645723159498884</v>
      </c>
      <c r="U2121" s="4">
        <f t="shared" si="266"/>
        <v>0.57494790751377567</v>
      </c>
      <c r="W2121" s="4">
        <f t="shared" si="267"/>
        <v>0.37955680510560152</v>
      </c>
      <c r="X2121" s="4">
        <f t="shared" si="268"/>
        <v>1.0794768590937396</v>
      </c>
      <c r="Y2121" s="3">
        <f t="shared" si="265"/>
        <v>47.495243867074805</v>
      </c>
      <c r="AA2121" s="3"/>
    </row>
    <row r="2122" spans="19:27" x14ac:dyDescent="0.25">
      <c r="S2122" s="4">
        <v>0.13936674070185195</v>
      </c>
      <c r="T2122" s="4">
        <v>-1.2050967754107282</v>
      </c>
      <c r="U2122" s="4">
        <f t="shared" si="266"/>
        <v>-0.87030952125599204</v>
      </c>
      <c r="W2122" s="4">
        <f t="shared" si="267"/>
        <v>0.26530260576866999</v>
      </c>
      <c r="X2122" s="4">
        <f t="shared" si="268"/>
        <v>-1.4686504013007353</v>
      </c>
      <c r="Y2122" s="3">
        <f t="shared" si="265"/>
        <v>-189.19817683417796</v>
      </c>
      <c r="AA2122" s="3"/>
    </row>
    <row r="2123" spans="19:27" x14ac:dyDescent="0.25">
      <c r="S2123" s="4">
        <v>-0.21829669456616496</v>
      </c>
      <c r="T2123" s="4">
        <v>0.88926151220980421</v>
      </c>
      <c r="U2123" s="4">
        <f t="shared" si="266"/>
        <v>0.57183196786765855</v>
      </c>
      <c r="W2123" s="4">
        <f t="shared" si="267"/>
        <v>-0.34288859376133185</v>
      </c>
      <c r="X2123" s="4">
        <f t="shared" si="268"/>
        <v>1.073983159081574</v>
      </c>
      <c r="Y2123" s="3">
        <f t="shared" si="265"/>
        <v>162.65087794333886</v>
      </c>
      <c r="AA2123" s="3"/>
    </row>
    <row r="2124" spans="19:27" x14ac:dyDescent="0.25">
      <c r="S2124" s="4">
        <v>0.58089663556415783</v>
      </c>
      <c r="T2124" s="4">
        <v>0.86879888654283488</v>
      </c>
      <c r="U2124" s="4">
        <f t="shared" si="266"/>
        <v>1.042817493346605</v>
      </c>
      <c r="W2124" s="4">
        <f t="shared" si="267"/>
        <v>1.0161050918641066</v>
      </c>
      <c r="X2124" s="4">
        <f t="shared" si="268"/>
        <v>1.9043757471658267</v>
      </c>
      <c r="Y2124" s="3">
        <f t="shared" si="265"/>
        <v>30.260699924579512</v>
      </c>
      <c r="AA2124" s="3"/>
    </row>
    <row r="2125" spans="19:27" x14ac:dyDescent="0.25">
      <c r="S2125" s="4">
        <v>0.99171052540800009</v>
      </c>
      <c r="T2125" s="4">
        <v>0.52746028535173473</v>
      </c>
      <c r="U2125" s="4">
        <f t="shared" si="266"/>
        <v>1.0226824216943737</v>
      </c>
      <c r="W2125" s="4">
        <f t="shared" si="267"/>
        <v>1.7146763401676508</v>
      </c>
      <c r="X2125" s="4">
        <f t="shared" si="268"/>
        <v>1.8688756874908388</v>
      </c>
      <c r="Y2125" s="3">
        <f t="shared" si="265"/>
        <v>-80.361086666049232</v>
      </c>
      <c r="AA2125" s="3"/>
    </row>
    <row r="2126" spans="19:27" x14ac:dyDescent="0.25">
      <c r="S2126" s="4">
        <v>0.17553942894739186</v>
      </c>
      <c r="T2126" s="4">
        <v>-0.68986831295386042</v>
      </c>
      <c r="U2126" s="4">
        <f t="shared" si="266"/>
        <v>-0.4398403533016485</v>
      </c>
      <c r="W2126" s="4">
        <f t="shared" si="267"/>
        <v>0.32681269733784019</v>
      </c>
      <c r="X2126" s="4">
        <f t="shared" si="268"/>
        <v>-0.70969203181670126</v>
      </c>
      <c r="Y2126" s="3">
        <f t="shared" si="265"/>
        <v>-123.06542388359139</v>
      </c>
      <c r="AA2126" s="3"/>
    </row>
    <row r="2127" spans="19:27" x14ac:dyDescent="0.25">
      <c r="S2127" s="4">
        <v>0.14967378258909544</v>
      </c>
      <c r="T2127" s="4">
        <v>-0.40887230630881688</v>
      </c>
      <c r="U2127" s="4">
        <f t="shared" si="266"/>
        <v>-0.2328653366107063</v>
      </c>
      <c r="W2127" s="4">
        <f t="shared" si="267"/>
        <v>0.28282928462615825</v>
      </c>
      <c r="X2127" s="4">
        <f t="shared" si="268"/>
        <v>-0.34477525522574914</v>
      </c>
      <c r="Y2127" s="3">
        <f t="shared" si="265"/>
        <v>-79.594537772773947</v>
      </c>
      <c r="AA2127" s="3"/>
    </row>
    <row r="2128" spans="19:27" x14ac:dyDescent="0.25">
      <c r="S2128" s="4">
        <v>0.97706622966427648</v>
      </c>
      <c r="T2128" s="4">
        <v>-1.9043714251586159</v>
      </c>
      <c r="U2128" s="4">
        <f t="shared" si="266"/>
        <v>-0.91393865605850788</v>
      </c>
      <c r="W2128" s="4">
        <f t="shared" si="267"/>
        <v>1.6897743487522487</v>
      </c>
      <c r="X2128" s="4">
        <f t="shared" si="268"/>
        <v>-1.545572744355113</v>
      </c>
      <c r="Y2128" s="3">
        <f t="shared" si="265"/>
        <v>-418.03143137665165</v>
      </c>
      <c r="AA2128" s="3"/>
    </row>
    <row r="2129" spans="19:27" x14ac:dyDescent="0.25">
      <c r="S2129" s="4">
        <v>-0.35781482020408184</v>
      </c>
      <c r="T2129" s="4">
        <v>-3.1281801969908644E-2</v>
      </c>
      <c r="U2129" s="4">
        <f t="shared" si="266"/>
        <v>-0.24292873266774917</v>
      </c>
      <c r="W2129" s="4">
        <f t="shared" si="267"/>
        <v>-0.58013313100153541</v>
      </c>
      <c r="X2129" s="4">
        <f t="shared" si="268"/>
        <v>-0.36251798625389875</v>
      </c>
      <c r="Y2129" s="3">
        <f t="shared" si="265"/>
        <v>57.587605019514285</v>
      </c>
      <c r="AA2129" s="3"/>
    </row>
    <row r="2130" spans="19:27" x14ac:dyDescent="0.25">
      <c r="S2130" s="4">
        <v>-1.1955513158254365</v>
      </c>
      <c r="T2130" s="4">
        <v>0.36184675419512369</v>
      </c>
      <c r="U2130" s="4">
        <f t="shared" si="266"/>
        <v>-0.4420017229629124</v>
      </c>
      <c r="W2130" s="4">
        <f t="shared" si="267"/>
        <v>-2.0046678022077558</v>
      </c>
      <c r="X2130" s="4">
        <f t="shared" si="268"/>
        <v>-0.71350273352563087</v>
      </c>
      <c r="Y2130" s="3">
        <f t="shared" si="265"/>
        <v>260.39908123738496</v>
      </c>
      <c r="AA2130" s="3"/>
    </row>
    <row r="2131" spans="19:27" x14ac:dyDescent="0.25">
      <c r="S2131" s="4">
        <v>-1.363627514909628E-2</v>
      </c>
      <c r="T2131" s="4">
        <v>-1.1348251199234329</v>
      </c>
      <c r="U2131" s="4">
        <f t="shared" si="266"/>
        <v>-0.90787979303709687</v>
      </c>
      <c r="W2131" s="4">
        <f t="shared" si="267"/>
        <v>5.1275960633452335E-3</v>
      </c>
      <c r="X2131" s="4">
        <f t="shared" si="268"/>
        <v>-1.5348903885861513</v>
      </c>
      <c r="Y2131" s="3">
        <f t="shared" si="265"/>
        <v>-154.3106701257816</v>
      </c>
      <c r="AA2131" s="3"/>
    </row>
    <row r="2132" spans="19:27" x14ac:dyDescent="0.25">
      <c r="S2132" s="4">
        <v>0.30637217796624799</v>
      </c>
      <c r="T2132" s="4">
        <v>0.93932832813774103</v>
      </c>
      <c r="U2132" s="4">
        <f t="shared" si="266"/>
        <v>0.93136938429808025</v>
      </c>
      <c r="W2132" s="4">
        <f t="shared" si="267"/>
        <v>0.54928812735756971</v>
      </c>
      <c r="X2132" s="4">
        <f t="shared" si="268"/>
        <v>1.7078820574376965</v>
      </c>
      <c r="Y2132" s="3">
        <f t="shared" si="265"/>
        <v>83.542270815195025</v>
      </c>
      <c r="AA2132" s="3"/>
    </row>
    <row r="2133" spans="19:27" x14ac:dyDescent="0.25">
      <c r="S2133" s="4">
        <v>-0.58378805822333346</v>
      </c>
      <c r="T2133" s="4">
        <v>-0.20538479526385972</v>
      </c>
      <c r="U2133" s="4">
        <f t="shared" si="266"/>
        <v>-0.5186971137036327</v>
      </c>
      <c r="W2133" s="4">
        <f t="shared" si="267"/>
        <v>-0.96439084688915377</v>
      </c>
      <c r="X2133" s="4">
        <f t="shared" si="268"/>
        <v>-0.84872405258114958</v>
      </c>
      <c r="Y2133" s="3">
        <f t="shared" si="265"/>
        <v>72.088605917327641</v>
      </c>
      <c r="AA2133" s="3"/>
    </row>
    <row r="2134" spans="19:27" x14ac:dyDescent="0.25">
      <c r="S2134" s="4">
        <v>-1.1466972435737923</v>
      </c>
      <c r="T2134" s="4">
        <v>-1.1327615947931429</v>
      </c>
      <c r="U2134" s="4">
        <f t="shared" si="266"/>
        <v>-1.5969833001771221</v>
      </c>
      <c r="W2134" s="4">
        <f t="shared" si="267"/>
        <v>-1.9215935657195122</v>
      </c>
      <c r="X2134" s="4">
        <f t="shared" si="268"/>
        <v>-2.749845867674479</v>
      </c>
      <c r="Y2134" s="3">
        <f t="shared" si="265"/>
        <v>42.595709406114565</v>
      </c>
      <c r="AA2134" s="3"/>
    </row>
    <row r="2135" spans="19:27" x14ac:dyDescent="0.25">
      <c r="S2135" s="4">
        <v>0.87028493012450747</v>
      </c>
      <c r="T2135" s="4">
        <v>-0.27093494006456709</v>
      </c>
      <c r="U2135" s="4">
        <f t="shared" si="266"/>
        <v>0.31577714643240301</v>
      </c>
      <c r="W2135" s="4">
        <f t="shared" si="267"/>
        <v>1.5081973681313507</v>
      </c>
      <c r="X2135" s="4">
        <f t="shared" si="268"/>
        <v>0.62253398631378443</v>
      </c>
      <c r="Y2135" s="3">
        <f t="shared" si="265"/>
        <v>-173.60413648548001</v>
      </c>
      <c r="AA2135" s="3"/>
    </row>
    <row r="2136" spans="19:27" x14ac:dyDescent="0.25">
      <c r="S2136" s="4">
        <v>-0.76874925195135524</v>
      </c>
      <c r="T2136" s="4">
        <v>-0.33012136397798048</v>
      </c>
      <c r="U2136" s="4">
        <f t="shared" si="266"/>
        <v>-0.73033126671684867</v>
      </c>
      <c r="W2136" s="4">
        <f t="shared" si="267"/>
        <v>-1.2789093555973485</v>
      </c>
      <c r="X2136" s="4">
        <f t="shared" si="268"/>
        <v>-1.2218553327175259</v>
      </c>
      <c r="Y2136" s="3">
        <f t="shared" si="265"/>
        <v>87.017849321252925</v>
      </c>
      <c r="AA2136" s="3"/>
    </row>
    <row r="2137" spans="19:27" x14ac:dyDescent="0.25">
      <c r="S2137" s="4">
        <v>-0.1988751317567059</v>
      </c>
      <c r="T2137" s="4">
        <v>-0.89685668542588781</v>
      </c>
      <c r="U2137" s="4">
        <f t="shared" si="266"/>
        <v>-0.83216985426148282</v>
      </c>
      <c r="W2137" s="4">
        <f t="shared" si="267"/>
        <v>-0.30986306636018507</v>
      </c>
      <c r="X2137" s="4">
        <f t="shared" si="268"/>
        <v>-1.4014065157226472</v>
      </c>
      <c r="Y2137" s="3">
        <f t="shared" si="265"/>
        <v>-90.236324859214619</v>
      </c>
      <c r="AA2137" s="3"/>
    </row>
    <row r="2138" spans="19:27" x14ac:dyDescent="0.25">
      <c r="S2138" s="4">
        <v>-1.5487943788725057E-3</v>
      </c>
      <c r="T2138" s="4">
        <v>6.6806638250897846E-2</v>
      </c>
      <c r="U2138" s="4">
        <f t="shared" si="266"/>
        <v>5.2012909343847565E-2</v>
      </c>
      <c r="W2138" s="4">
        <f t="shared" si="267"/>
        <v>2.568183422143188E-2</v>
      </c>
      <c r="X2138" s="4">
        <f t="shared" si="268"/>
        <v>0.15749237541225192</v>
      </c>
      <c r="Y2138" s="3">
        <f t="shared" si="265"/>
        <v>11.635418687327274</v>
      </c>
      <c r="AA2138" s="3"/>
    </row>
    <row r="2139" spans="19:27" x14ac:dyDescent="0.25">
      <c r="S2139" s="4">
        <v>-1.2958214747973034</v>
      </c>
      <c r="T2139" s="4">
        <v>-7.1976907660468867E-2</v>
      </c>
      <c r="U2139" s="4">
        <f t="shared" si="266"/>
        <v>-0.84701720346537035</v>
      </c>
      <c r="W2139" s="4">
        <f t="shared" si="267"/>
        <v>-2.1751728699580148</v>
      </c>
      <c r="X2139" s="4">
        <f t="shared" si="268"/>
        <v>-1.4275838143117476</v>
      </c>
      <c r="Y2139" s="3">
        <f t="shared" si="265"/>
        <v>218.18746126309725</v>
      </c>
      <c r="AA2139" s="3"/>
    </row>
    <row r="2140" spans="19:27" x14ac:dyDescent="0.25">
      <c r="S2140" s="4">
        <v>-0.67169814139730222</v>
      </c>
      <c r="T2140" s="4">
        <v>0.63381611532291104</v>
      </c>
      <c r="U2140" s="4">
        <f t="shared" si="266"/>
        <v>9.2938802265740861E-2</v>
      </c>
      <c r="W2140" s="4">
        <f t="shared" si="267"/>
        <v>-1.1138781404289397</v>
      </c>
      <c r="X2140" s="4">
        <f t="shared" si="268"/>
        <v>0.22964864413942987</v>
      </c>
      <c r="Y2140" s="3">
        <f t="shared" si="265"/>
        <v>204.69120080420726</v>
      </c>
      <c r="AA2140" s="3"/>
    </row>
    <row r="2141" spans="19:27" x14ac:dyDescent="0.25">
      <c r="S2141" s="4">
        <v>-0.42884596689562654</v>
      </c>
      <c r="T2141" s="4">
        <v>-0.13780431280682853</v>
      </c>
      <c r="U2141" s="4">
        <f t="shared" si="266"/>
        <v>-0.37067044870528071</v>
      </c>
      <c r="W2141" s="4">
        <f t="shared" si="267"/>
        <v>-0.70091852321796244</v>
      </c>
      <c r="X2141" s="4">
        <f t="shared" si="268"/>
        <v>-0.5877388655555732</v>
      </c>
      <c r="Y2141" s="3">
        <f t="shared" si="265"/>
        <v>54.823541009328892</v>
      </c>
      <c r="AA2141" s="3"/>
    </row>
    <row r="2142" spans="19:27" x14ac:dyDescent="0.25">
      <c r="S2142" s="4">
        <v>-1.0356334286364064</v>
      </c>
      <c r="T2142" s="4">
        <v>-0.65354443473228863</v>
      </c>
      <c r="U2142" s="4">
        <f t="shared" si="266"/>
        <v>-1.14940470243255</v>
      </c>
      <c r="W2142" s="4">
        <f t="shared" si="267"/>
        <v>-1.7327343529220691</v>
      </c>
      <c r="X2142" s="4">
        <f t="shared" si="268"/>
        <v>-1.9607219348863365</v>
      </c>
      <c r="Y2142" s="3">
        <f t="shared" si="265"/>
        <v>89.433149025053808</v>
      </c>
      <c r="AA2142" s="3"/>
    </row>
    <row r="2143" spans="19:27" x14ac:dyDescent="0.25">
      <c r="S2143" s="4">
        <v>1.3315369060738913</v>
      </c>
      <c r="T2143" s="4">
        <v>-0.98579202610229477</v>
      </c>
      <c r="U2143" s="4">
        <f t="shared" si="266"/>
        <v>3.0305135572896935E-2</v>
      </c>
      <c r="W2143" s="4">
        <f t="shared" si="267"/>
        <v>2.2925363999589212</v>
      </c>
      <c r="X2143" s="4">
        <f t="shared" si="268"/>
        <v>0.11921949128300721</v>
      </c>
      <c r="Y2143" s="3">
        <f t="shared" si="265"/>
        <v>-342.04394571585635</v>
      </c>
      <c r="AA2143" s="3"/>
    </row>
    <row r="2144" spans="19:27" x14ac:dyDescent="0.25">
      <c r="S2144" s="4">
        <v>-1.2683327314214234</v>
      </c>
      <c r="T2144" s="4">
        <v>-0.31142323572054792</v>
      </c>
      <c r="U2144" s="4">
        <f t="shared" si="266"/>
        <v>-1.0200666453962786</v>
      </c>
      <c r="W2144" s="4">
        <f t="shared" si="267"/>
        <v>-2.1284294509813986</v>
      </c>
      <c r="X2144" s="4">
        <f t="shared" si="268"/>
        <v>-1.7326865535210145</v>
      </c>
      <c r="Y2144" s="3">
        <f t="shared" si="265"/>
        <v>179.65761929083237</v>
      </c>
      <c r="AA2144" s="3"/>
    </row>
    <row r="2145" spans="19:27" x14ac:dyDescent="0.25">
      <c r="S2145" s="4">
        <v>0.71117522203061456</v>
      </c>
      <c r="T2145" s="4">
        <v>2.0361506493184955</v>
      </c>
      <c r="U2145" s="4">
        <f t="shared" si="266"/>
        <v>2.0475886520607558</v>
      </c>
      <c r="W2145" s="4">
        <f t="shared" si="267"/>
        <v>1.237638192435969</v>
      </c>
      <c r="X2145" s="4">
        <f t="shared" si="268"/>
        <v>3.6758835277257491</v>
      </c>
      <c r="Y2145" s="3">
        <f t="shared" si="265"/>
        <v>173.1894005099839</v>
      </c>
      <c r="AA2145" s="3"/>
    </row>
    <row r="2146" spans="19:27" x14ac:dyDescent="0.25">
      <c r="S2146" s="4">
        <v>0.13540478829062341</v>
      </c>
      <c r="T2146" s="4">
        <v>-0.40393507323341232</v>
      </c>
      <c r="U2146" s="4">
        <f t="shared" si="266"/>
        <v>-0.23765032864824248</v>
      </c>
      <c r="W2146" s="4">
        <f t="shared" si="267"/>
        <v>0.25856547708326155</v>
      </c>
      <c r="X2146" s="4">
        <f t="shared" si="268"/>
        <v>-0.35321165445048452</v>
      </c>
      <c r="Y2146" s="3">
        <f t="shared" si="265"/>
        <v>-76.58377975325493</v>
      </c>
      <c r="AA2146" s="3"/>
    </row>
    <row r="2147" spans="19:27" x14ac:dyDescent="0.25">
      <c r="S2147" s="4">
        <v>0.1389960902084085</v>
      </c>
      <c r="T2147" s="4">
        <v>-0.52507431432687701</v>
      </c>
      <c r="U2147" s="4">
        <f t="shared" si="266"/>
        <v>-0.3314871004657659</v>
      </c>
      <c r="W2147" s="4">
        <f t="shared" si="267"/>
        <v>0.26467233063851908</v>
      </c>
      <c r="X2147" s="4">
        <f t="shared" si="268"/>
        <v>-0.51865486998834276</v>
      </c>
      <c r="Y2147" s="3">
        <f t="shared" si="265"/>
        <v>-94.09848358059935</v>
      </c>
      <c r="AA2147" s="3"/>
    </row>
    <row r="2148" spans="19:27" x14ac:dyDescent="0.25">
      <c r="S2148" s="4">
        <v>0.83986571322190251</v>
      </c>
      <c r="T2148" s="4">
        <v>0.3261823388917236</v>
      </c>
      <c r="U2148" s="4">
        <f t="shared" si="266"/>
        <v>0.77056301449913889</v>
      </c>
      <c r="W2148" s="4">
        <f t="shared" si="267"/>
        <v>1.4564708056917348</v>
      </c>
      <c r="X2148" s="4">
        <f t="shared" si="268"/>
        <v>1.4243650269260117</v>
      </c>
      <c r="Y2148" s="3">
        <f t="shared" si="265"/>
        <v>-85.523392500965656</v>
      </c>
      <c r="AA2148" s="3"/>
    </row>
    <row r="2149" spans="19:27" x14ac:dyDescent="0.25">
      <c r="S2149" s="4">
        <v>0.14470574040756781</v>
      </c>
      <c r="T2149" s="4">
        <v>0.65901392971597539</v>
      </c>
      <c r="U2149" s="4">
        <f t="shared" si="266"/>
        <v>0.61061093046165871</v>
      </c>
      <c r="W2149" s="4">
        <f t="shared" si="267"/>
        <v>0.27438134380873941</v>
      </c>
      <c r="X2149" s="4">
        <f t="shared" si="268"/>
        <v>1.1423541840274216</v>
      </c>
      <c r="Y2149" s="3">
        <f t="shared" si="265"/>
        <v>70.460049734000677</v>
      </c>
      <c r="AA2149" s="3"/>
    </row>
    <row r="2150" spans="19:27" x14ac:dyDescent="0.25">
      <c r="S2150" s="4">
        <v>0.35280412794420329</v>
      </c>
      <c r="T2150" s="4">
        <v>-8.9384805591549724E-2</v>
      </c>
      <c r="U2150" s="4">
        <f t="shared" si="266"/>
        <v>0.14422264610179536</v>
      </c>
      <c r="W2150" s="4">
        <f t="shared" si="267"/>
        <v>0.62824364969786228</v>
      </c>
      <c r="X2150" s="4">
        <f t="shared" si="268"/>
        <v>0.32006697231761416</v>
      </c>
      <c r="Y2150" s="3">
        <f t="shared" si="265"/>
        <v>-67.65269160455955</v>
      </c>
      <c r="AA2150" s="3"/>
    </row>
    <row r="2151" spans="19:27" x14ac:dyDescent="0.25">
      <c r="S2151" s="4">
        <v>2.4784305891021625</v>
      </c>
      <c r="T2151" s="4">
        <v>2.1849222164071085</v>
      </c>
      <c r="U2151" s="4">
        <f t="shared" si="266"/>
        <v>3.2428769884461888</v>
      </c>
      <c r="W2151" s="4">
        <f t="shared" si="267"/>
        <v>4.2427794945365029</v>
      </c>
      <c r="X2151" s="4">
        <f t="shared" si="268"/>
        <v>5.7832913385044034</v>
      </c>
      <c r="Y2151" s="3">
        <f t="shared" si="265"/>
        <v>-56.162182898111041</v>
      </c>
      <c r="AA2151" s="3"/>
    </row>
    <row r="2152" spans="19:27" x14ac:dyDescent="0.25">
      <c r="S2152" s="4">
        <v>-1.8165132503761867</v>
      </c>
      <c r="T2152" s="4">
        <v>-0.48366508963918364</v>
      </c>
      <c r="U2152" s="4">
        <f t="shared" si="266"/>
        <v>-1.4907844636030547</v>
      </c>
      <c r="W2152" s="4">
        <f t="shared" si="267"/>
        <v>-3.0605867097524619</v>
      </c>
      <c r="X2152" s="4">
        <f t="shared" si="268"/>
        <v>-2.5626071480458892</v>
      </c>
      <c r="Y2152" s="3">
        <f t="shared" si="265"/>
        <v>258.80600978425991</v>
      </c>
      <c r="AA2152" s="3"/>
    </row>
    <row r="2153" spans="19:27" x14ac:dyDescent="0.25">
      <c r="S2153" s="4">
        <v>-1.0345126110504206</v>
      </c>
      <c r="T2153" s="4">
        <v>0.859133646375</v>
      </c>
      <c r="U2153" s="4">
        <f t="shared" si="266"/>
        <v>5.0366415094212469E-2</v>
      </c>
      <c r="W2153" s="4">
        <f t="shared" si="267"/>
        <v>-1.7308284511024878</v>
      </c>
      <c r="X2153" s="4">
        <f t="shared" si="268"/>
        <v>0.15458944836405872</v>
      </c>
      <c r="Y2153" s="3">
        <f t="shared" si="265"/>
        <v>300.64156439045018</v>
      </c>
      <c r="AA2153" s="3"/>
    </row>
    <row r="2154" spans="19:27" x14ac:dyDescent="0.25">
      <c r="S2154" s="4">
        <v>-0.22935930922577338</v>
      </c>
      <c r="T2154" s="4">
        <v>-0.473115400134417</v>
      </c>
      <c r="U2154" s="4">
        <f t="shared" si="266"/>
        <v>-0.51485735405930266</v>
      </c>
      <c r="W2154" s="4">
        <f t="shared" si="267"/>
        <v>-0.3617000914329449</v>
      </c>
      <c r="X2154" s="4">
        <f t="shared" si="268"/>
        <v>-0.84195418859130766</v>
      </c>
      <c r="Y2154" s="3">
        <f t="shared" si="265"/>
        <v>-25.893941622366128</v>
      </c>
      <c r="AA2154" s="3"/>
    </row>
    <row r="2155" spans="19:27" x14ac:dyDescent="0.25">
      <c r="S2155" s="4">
        <v>-0.60148939994414452</v>
      </c>
      <c r="T2155" s="4">
        <v>-0.36270392675461849</v>
      </c>
      <c r="U2155" s="4">
        <f t="shared" si="266"/>
        <v>-0.65419386652563294</v>
      </c>
      <c r="W2155" s="4">
        <f t="shared" si="267"/>
        <v>-0.99449121274400598</v>
      </c>
      <c r="X2155" s="4">
        <f t="shared" si="268"/>
        <v>-1.08761780443999</v>
      </c>
      <c r="Y2155" s="3">
        <f t="shared" si="265"/>
        <v>53.17646855020439</v>
      </c>
      <c r="AA2155" s="3"/>
    </row>
    <row r="2156" spans="19:27" x14ac:dyDescent="0.25">
      <c r="S2156" s="4">
        <v>-0.41974985402903586</v>
      </c>
      <c r="T2156" s="4">
        <v>1.9082236037643412E-2</v>
      </c>
      <c r="U2156" s="4">
        <f t="shared" si="266"/>
        <v>-0.2407625402026595</v>
      </c>
      <c r="W2156" s="4">
        <f t="shared" si="267"/>
        <v>-0.68545097677658096</v>
      </c>
      <c r="X2156" s="4">
        <f t="shared" si="268"/>
        <v>-0.35869878147994061</v>
      </c>
      <c r="Y2156" s="3">
        <f t="shared" si="265"/>
        <v>75.193118627908461</v>
      </c>
      <c r="AA2156" s="3"/>
    </row>
    <row r="2157" spans="19:27" x14ac:dyDescent="0.25">
      <c r="S2157" s="4">
        <v>0.30281889630471992</v>
      </c>
      <c r="T2157" s="4">
        <v>0.47141439592724244</v>
      </c>
      <c r="U2157" s="4">
        <f t="shared" si="266"/>
        <v>0.55829158490294117</v>
      </c>
      <c r="W2157" s="4">
        <f t="shared" si="267"/>
        <v>0.54324592560336105</v>
      </c>
      <c r="X2157" s="4">
        <f t="shared" si="268"/>
        <v>1.0501101671413446</v>
      </c>
      <c r="Y2157" s="3">
        <f t="shared" si="265"/>
        <v>18.716357009823696</v>
      </c>
      <c r="AA2157" s="3"/>
    </row>
    <row r="2158" spans="19:27" x14ac:dyDescent="0.25">
      <c r="S2158" s="4">
        <v>-1.2177481278869904</v>
      </c>
      <c r="T2158" s="4">
        <v>0.39340799177210184</v>
      </c>
      <c r="U2158" s="4">
        <f t="shared" si="266"/>
        <v>-0.4305150537125163</v>
      </c>
      <c r="W2158" s="4">
        <f t="shared" si="267"/>
        <v>-2.0424125209077317</v>
      </c>
      <c r="X2158" s="4">
        <f t="shared" si="268"/>
        <v>-0.693250635549574</v>
      </c>
      <c r="Y2158" s="3">
        <f t="shared" si="265"/>
        <v>268.87414729342345</v>
      </c>
      <c r="AA2158" s="3"/>
    </row>
    <row r="2159" spans="19:27" x14ac:dyDescent="0.25">
      <c r="S2159" s="4">
        <v>0.37341209205755321</v>
      </c>
      <c r="T2159" s="4">
        <v>0.34971196996497583</v>
      </c>
      <c r="U2159" s="4">
        <f t="shared" si="266"/>
        <v>0.50485423035299548</v>
      </c>
      <c r="W2159" s="4">
        <f t="shared" si="267"/>
        <v>0.66328660119380545</v>
      </c>
      <c r="X2159" s="4">
        <f t="shared" si="268"/>
        <v>0.95589499333110661</v>
      </c>
      <c r="Y2159" s="3">
        <f t="shared" si="265"/>
        <v>-9.5691488553020463</v>
      </c>
      <c r="AA2159" s="3"/>
    </row>
    <row r="2160" spans="19:27" x14ac:dyDescent="0.25">
      <c r="S2160" s="4">
        <v>0.47260530126917821</v>
      </c>
      <c r="T2160" s="4">
        <v>-0.41227883380153307</v>
      </c>
      <c r="U2160" s="4">
        <f t="shared" si="266"/>
        <v>-3.8699404778464619E-2</v>
      </c>
      <c r="W2160" s="4">
        <f t="shared" si="267"/>
        <v>0.83196036246448501</v>
      </c>
      <c r="X2160" s="4">
        <f t="shared" si="268"/>
        <v>-2.4421219771072616E-3</v>
      </c>
      <c r="Y2160" s="3">
        <f t="shared" si="265"/>
        <v>-131.78489140308557</v>
      </c>
      <c r="AA2160" s="3"/>
    </row>
    <row r="2161" spans="19:27" x14ac:dyDescent="0.25">
      <c r="S2161" s="4">
        <v>0.10204799678731734</v>
      </c>
      <c r="T2161" s="4">
        <v>1.1227946688307999</v>
      </c>
      <c r="U2161" s="4">
        <f t="shared" si="266"/>
        <v>0.9522411086117355</v>
      </c>
      <c r="W2161" s="4">
        <f t="shared" si="267"/>
        <v>0.2018436961115346</v>
      </c>
      <c r="X2161" s="4">
        <f t="shared" si="268"/>
        <v>1.7446809063045965</v>
      </c>
      <c r="Y2161" s="3">
        <f t="shared" si="265"/>
        <v>142.22777442089864</v>
      </c>
      <c r="AA2161" s="3"/>
    </row>
    <row r="2162" spans="19:27" x14ac:dyDescent="0.25">
      <c r="S2162" s="4">
        <v>-0.62251878725091381</v>
      </c>
      <c r="T2162" s="4">
        <v>0.4134496616188606</v>
      </c>
      <c r="U2162" s="4">
        <f t="shared" si="266"/>
        <v>-5.1763095257345015E-2</v>
      </c>
      <c r="W2162" s="4">
        <f t="shared" si="267"/>
        <v>-1.0302507761500355</v>
      </c>
      <c r="X2162" s="4">
        <f t="shared" si="268"/>
        <v>-2.547465941158096E-2</v>
      </c>
      <c r="Y2162" s="3">
        <f t="shared" si="265"/>
        <v>165.30998163618642</v>
      </c>
      <c r="AA2162" s="3"/>
    </row>
    <row r="2163" spans="19:27" x14ac:dyDescent="0.25">
      <c r="S2163" s="4">
        <v>-1.4345506534767052</v>
      </c>
      <c r="T2163" s="4">
        <v>-0.25981564658100575</v>
      </c>
      <c r="U2163" s="4">
        <f t="shared" si="266"/>
        <v>-1.0804878752834179</v>
      </c>
      <c r="W2163" s="4">
        <f t="shared" si="267"/>
        <v>-2.4110758370242773</v>
      </c>
      <c r="X2163" s="4">
        <f t="shared" si="268"/>
        <v>-1.8392149684021171</v>
      </c>
      <c r="Y2163" s="3">
        <f t="shared" si="265"/>
        <v>217.67555329634979</v>
      </c>
      <c r="AA2163" s="3"/>
    </row>
    <row r="2164" spans="19:27" x14ac:dyDescent="0.25">
      <c r="S2164" s="4">
        <v>-0.32374792610944164</v>
      </c>
      <c r="T2164" s="4">
        <v>-1.5059559253638208</v>
      </c>
      <c r="U2164" s="4">
        <f t="shared" si="266"/>
        <v>-1.3911232020834279</v>
      </c>
      <c r="W2164" s="4">
        <f t="shared" si="267"/>
        <v>-0.52220385129153446</v>
      </c>
      <c r="X2164" s="4">
        <f t="shared" si="268"/>
        <v>-2.386894799347131</v>
      </c>
      <c r="Y2164" s="3">
        <f t="shared" si="265"/>
        <v>-154.29909856442964</v>
      </c>
      <c r="AA2164" s="3"/>
    </row>
    <row r="2165" spans="19:27" x14ac:dyDescent="0.25">
      <c r="S2165" s="4">
        <v>-0.37073597719304757</v>
      </c>
      <c r="T2165" s="4">
        <v>-0.27691169531415222</v>
      </c>
      <c r="U2165" s="4">
        <f t="shared" si="266"/>
        <v>-0.44551461433018202</v>
      </c>
      <c r="W2165" s="4">
        <f t="shared" si="267"/>
        <v>-0.60210499950563812</v>
      </c>
      <c r="X2165" s="4">
        <f t="shared" si="268"/>
        <v>-0.71969629743857588</v>
      </c>
      <c r="Y2165" s="3">
        <f t="shared" si="265"/>
        <v>25.458253079797032</v>
      </c>
      <c r="AA2165" s="3"/>
    </row>
    <row r="2166" spans="19:27" x14ac:dyDescent="0.25">
      <c r="S2166" s="4">
        <v>1.2177395744722002</v>
      </c>
      <c r="T2166" s="4">
        <v>0.31392150870958341</v>
      </c>
      <c r="U2166" s="4">
        <f t="shared" si="266"/>
        <v>0.99120428915248238</v>
      </c>
      <c r="W2166" s="4">
        <f t="shared" si="267"/>
        <v>2.0990289603228773</v>
      </c>
      <c r="X2166" s="4">
        <f t="shared" si="268"/>
        <v>1.8133767251332604</v>
      </c>
      <c r="Y2166" s="3">
        <f t="shared" si="265"/>
        <v>-143.77491404670081</v>
      </c>
      <c r="AA2166" s="3"/>
    </row>
    <row r="2167" spans="19:27" x14ac:dyDescent="0.25">
      <c r="S2167" s="4">
        <v>0.69458130915462768</v>
      </c>
      <c r="T2167" s="4">
        <v>0.6837883253533128</v>
      </c>
      <c r="U2167" s="4">
        <f t="shared" si="266"/>
        <v>0.96546581160860701</v>
      </c>
      <c r="W2167" s="4">
        <f t="shared" si="267"/>
        <v>1.2094209614255356</v>
      </c>
      <c r="X2167" s="4">
        <f t="shared" si="268"/>
        <v>1.7679973242285876</v>
      </c>
      <c r="Y2167" s="3">
        <f t="shared" si="265"/>
        <v>-13.25409714790203</v>
      </c>
      <c r="AA2167" s="3"/>
    </row>
    <row r="2168" spans="19:27" x14ac:dyDescent="0.25">
      <c r="S2168" s="4">
        <v>0.90648399024437931</v>
      </c>
      <c r="T2168" s="4">
        <v>1.3462481783833833</v>
      </c>
      <c r="U2168" s="4">
        <f t="shared" si="266"/>
        <v>1.6197730523073623</v>
      </c>
      <c r="W2168" s="4">
        <f t="shared" si="267"/>
        <v>1.5697523039320029</v>
      </c>
      <c r="X2168" s="4">
        <f t="shared" si="268"/>
        <v>2.9216036531143637</v>
      </c>
      <c r="Y2168" s="3">
        <f t="shared" si="265"/>
        <v>46.92215658271698</v>
      </c>
      <c r="AA2168" s="3"/>
    </row>
    <row r="2169" spans="19:27" x14ac:dyDescent="0.25">
      <c r="S2169" s="4">
        <v>6.3900039793934202E-2</v>
      </c>
      <c r="T2169" s="4">
        <v>-1.3559646785661092</v>
      </c>
      <c r="U2169" s="4">
        <f t="shared" si="266"/>
        <v>-1.0359074886768549</v>
      </c>
      <c r="W2169" s="4">
        <f t="shared" si="267"/>
        <v>0.1369747454847012</v>
      </c>
      <c r="X2169" s="4">
        <f t="shared" si="268"/>
        <v>-1.7606154773150491</v>
      </c>
      <c r="Y2169" s="3">
        <f t="shared" si="265"/>
        <v>-197.96333289391259</v>
      </c>
      <c r="AA2169" s="3"/>
    </row>
    <row r="2170" spans="19:27" x14ac:dyDescent="0.25">
      <c r="S2170" s="4">
        <v>-0.40731521094219764</v>
      </c>
      <c r="T2170" s="4">
        <v>-0.44522004845867375</v>
      </c>
      <c r="U2170" s="4">
        <f t="shared" si="266"/>
        <v>-0.60123081963271086</v>
      </c>
      <c r="W2170" s="4">
        <f t="shared" si="267"/>
        <v>-0.6643064041169674</v>
      </c>
      <c r="X2170" s="4">
        <f t="shared" si="268"/>
        <v>-0.99423888045391284</v>
      </c>
      <c r="Y2170" s="3">
        <f t="shared" si="265"/>
        <v>8.1764937498455765</v>
      </c>
      <c r="AA2170" s="3"/>
    </row>
    <row r="2171" spans="19:27" x14ac:dyDescent="0.25">
      <c r="S2171" s="4">
        <v>-0.52346332652167848</v>
      </c>
      <c r="T2171" s="4">
        <v>1.6128629665111505</v>
      </c>
      <c r="U2171" s="4">
        <f t="shared" si="266"/>
        <v>0.95938867791235016</v>
      </c>
      <c r="W2171" s="4">
        <f t="shared" si="267"/>
        <v>-0.86181125021480542</v>
      </c>
      <c r="X2171" s="4">
        <f t="shared" si="268"/>
        <v>1.7572827555100754</v>
      </c>
      <c r="Y2171" s="3">
        <f t="shared" si="265"/>
        <v>315.76298169143411</v>
      </c>
      <c r="AA2171" s="3"/>
    </row>
    <row r="2172" spans="19:27" x14ac:dyDescent="0.25">
      <c r="S2172" s="4">
        <v>1.3064408247908834</v>
      </c>
      <c r="T2172" s="4">
        <v>0.24482530700264574</v>
      </c>
      <c r="U2172" s="4">
        <f t="shared" si="266"/>
        <v>0.9905065428038875</v>
      </c>
      <c r="W2172" s="4">
        <f t="shared" si="267"/>
        <v>2.2498615993671933</v>
      </c>
      <c r="X2172" s="4">
        <f t="shared" si="268"/>
        <v>1.8121465314969554</v>
      </c>
      <c r="Y2172" s="3">
        <f t="shared" si="265"/>
        <v>-166.40414223703283</v>
      </c>
      <c r="AA2172" s="3"/>
    </row>
    <row r="2173" spans="19:27" x14ac:dyDescent="0.25">
      <c r="S2173" s="4">
        <v>1.8444574064392463</v>
      </c>
      <c r="T2173" s="4">
        <v>-1.6147014663567831</v>
      </c>
      <c r="U2173" s="4">
        <f t="shared" si="266"/>
        <v>-0.15553857712306773</v>
      </c>
      <c r="W2173" s="4">
        <f t="shared" si="267"/>
        <v>3.1647355224299387</v>
      </c>
      <c r="X2173" s="4">
        <f t="shared" si="268"/>
        <v>-0.20844077260271768</v>
      </c>
      <c r="Y2173" s="3">
        <f t="shared" si="265"/>
        <v>-502.56203844487482</v>
      </c>
      <c r="AA2173" s="3"/>
    </row>
    <row r="2174" spans="19:27" x14ac:dyDescent="0.25">
      <c r="S2174" s="4">
        <v>-1.3831537473342717</v>
      </c>
      <c r="T2174" s="4">
        <v>0.81790351889970292</v>
      </c>
      <c r="U2174" s="4">
        <f t="shared" si="266"/>
        <v>-0.19485579340381121</v>
      </c>
      <c r="W2174" s="4">
        <f t="shared" si="267"/>
        <v>-2.3236776215050607</v>
      </c>
      <c r="X2174" s="4">
        <f t="shared" si="268"/>
        <v>-0.27776079034728496</v>
      </c>
      <c r="Y2174" s="3">
        <f t="shared" si="265"/>
        <v>358.72561169703658</v>
      </c>
      <c r="AA2174" s="3"/>
    </row>
    <row r="2175" spans="19:27" x14ac:dyDescent="0.25">
      <c r="S2175" s="4">
        <v>1.1894336002595618</v>
      </c>
      <c r="T2175" s="4">
        <v>-0.15502317118962386</v>
      </c>
      <c r="U2175" s="4">
        <f t="shared" si="266"/>
        <v>0.60221963063336414</v>
      </c>
      <c r="W2175" s="4">
        <f t="shared" si="267"/>
        <v>2.0508958756608981</v>
      </c>
      <c r="X2175" s="4">
        <f t="shared" si="268"/>
        <v>1.1275595187885641</v>
      </c>
      <c r="Y2175" s="3">
        <f t="shared" si="265"/>
        <v>-205.15068992381157</v>
      </c>
      <c r="AA2175" s="3"/>
    </row>
    <row r="2176" spans="19:27" x14ac:dyDescent="0.25">
      <c r="S2176" s="4">
        <v>-0.12835574835678631</v>
      </c>
      <c r="T2176" s="4">
        <v>-2.435574627867231</v>
      </c>
      <c r="U2176" s="4">
        <f t="shared" si="266"/>
        <v>-2.0089090970953927</v>
      </c>
      <c r="W2176" s="4">
        <f t="shared" si="267"/>
        <v>-0.18994790548282589</v>
      </c>
      <c r="X2176" s="4">
        <f t="shared" si="268"/>
        <v>-3.4761104981082682</v>
      </c>
      <c r="Y2176" s="3">
        <f t="shared" si="265"/>
        <v>-317.07844831104967</v>
      </c>
      <c r="AA2176" s="3"/>
    </row>
    <row r="2177" spans="19:27" x14ac:dyDescent="0.25">
      <c r="S2177" s="4">
        <v>-0.75808528908273765</v>
      </c>
      <c r="T2177" s="4">
        <v>0.56397818545241696</v>
      </c>
      <c r="U2177" s="4">
        <f t="shared" si="266"/>
        <v>-1.5084700048271893E-2</v>
      </c>
      <c r="W2177" s="4">
        <f t="shared" si="267"/>
        <v>-1.2607757480510591</v>
      </c>
      <c r="X2177" s="4">
        <f t="shared" si="268"/>
        <v>3.9192864061602224E-2</v>
      </c>
      <c r="Y2177" s="3">
        <f t="shared" si="265"/>
        <v>210.09647489804502</v>
      </c>
      <c r="AA2177" s="3"/>
    </row>
    <row r="2178" spans="19:27" x14ac:dyDescent="0.25">
      <c r="S2178" s="4">
        <v>0.73741195467300058</v>
      </c>
      <c r="T2178" s="4">
        <v>-0.68835090376688979</v>
      </c>
      <c r="U2178" s="4">
        <f t="shared" si="266"/>
        <v>-9.6107487050029361E-2</v>
      </c>
      <c r="W2178" s="4">
        <f t="shared" si="267"/>
        <v>1.2822526213209438</v>
      </c>
      <c r="X2178" s="4">
        <f t="shared" si="268"/>
        <v>-0.10365806904036645</v>
      </c>
      <c r="Y2178" s="3">
        <f t="shared" ref="Y2178:Y2241" si="269">(B$4*EXP(-B$8*B$7)*NORMSDIST((LN(B$4/(B$5+W2178))-B$8*B$7+B$9*B$7+0.5*B$6*B$6*B$7)/(B$6*SQRT(B$7)))-(B$5+W2178)*EXP(-B$9*B$7)*NORMSDIST((LN(B$4/(B$5+W2178))-B$8*B$7+B$9*B$7-0.5*B$6*B$6*B$7)/(B$6*SQRT(B$7))))*400+100*X2178-400*$B$13</f>
        <v>-211.62663269700215</v>
      </c>
      <c r="AA2178" s="3"/>
    </row>
    <row r="2179" spans="19:27" x14ac:dyDescent="0.25">
      <c r="S2179" s="4">
        <v>-1.1206150562075805</v>
      </c>
      <c r="T2179" s="4">
        <v>0.55639157691392616</v>
      </c>
      <c r="U2179" s="4">
        <f t="shared" ref="U2179:U2242" si="270">$B$19*S2179+SQRT(1-$B$19^2)*T2179</f>
        <v>-0.24210477883780224</v>
      </c>
      <c r="W2179" s="4">
        <f t="shared" ref="W2179:W2242" si="271">S2179*SQRT($B$16)+$B$20</f>
        <v>-1.8772419343912059</v>
      </c>
      <c r="X2179" s="4">
        <f t="shared" ref="X2179:X2242" si="272">U2179*SQRT($C$17)+$C$20</f>
        <v>-0.36106527674097733</v>
      </c>
      <c r="Y2179" s="3">
        <f t="shared" si="269"/>
        <v>273.92425046422886</v>
      </c>
      <c r="AA2179" s="3"/>
    </row>
    <row r="2180" spans="19:27" x14ac:dyDescent="0.25">
      <c r="S2180" s="4">
        <v>1.5103969478701409</v>
      </c>
      <c r="T2180" s="4">
        <v>0.32147589681241651</v>
      </c>
      <c r="U2180" s="4">
        <f t="shared" si="270"/>
        <v>1.1756030568613092</v>
      </c>
      <c r="W2180" s="4">
        <f t="shared" si="271"/>
        <v>2.59668016373654</v>
      </c>
      <c r="X2180" s="4">
        <f t="shared" si="272"/>
        <v>2.1384894126231107</v>
      </c>
      <c r="Y2180" s="3">
        <f t="shared" si="269"/>
        <v>-185.09123028954855</v>
      </c>
      <c r="AA2180" s="3"/>
    </row>
    <row r="2181" spans="19:27" x14ac:dyDescent="0.25">
      <c r="S2181" s="4">
        <v>3.2980975296569848E-2</v>
      </c>
      <c r="T2181" s="4">
        <v>0.38766914297036448</v>
      </c>
      <c r="U2181" s="4">
        <f t="shared" si="270"/>
        <v>0.32740817402928502</v>
      </c>
      <c r="W2181" s="4">
        <f t="shared" si="271"/>
        <v>8.4398213833077065E-2</v>
      </c>
      <c r="X2181" s="4">
        <f t="shared" si="272"/>
        <v>0.64304060188001155</v>
      </c>
      <c r="Y2181" s="3">
        <f t="shared" si="269"/>
        <v>50.797621165479995</v>
      </c>
      <c r="AA2181" s="3"/>
    </row>
    <row r="2182" spans="19:27" x14ac:dyDescent="0.25">
      <c r="S2182" s="4">
        <v>2.2360829697790168</v>
      </c>
      <c r="T2182" s="4">
        <v>1.8515030816636786</v>
      </c>
      <c r="U2182" s="4">
        <f t="shared" si="270"/>
        <v>2.8308377854093827</v>
      </c>
      <c r="W2182" s="4">
        <f t="shared" si="271"/>
        <v>3.8306778515800906</v>
      </c>
      <c r="X2182" s="4">
        <f t="shared" si="272"/>
        <v>5.0568267622226406</v>
      </c>
      <c r="Y2182" s="3">
        <f t="shared" si="269"/>
        <v>-71.071074229493661</v>
      </c>
      <c r="AA2182" s="3"/>
    </row>
    <row r="2183" spans="19:27" x14ac:dyDescent="0.25">
      <c r="S2183" s="4">
        <v>0.41542648656958281</v>
      </c>
      <c r="T2183" s="4">
        <v>-1.1423979480265065</v>
      </c>
      <c r="U2183" s="4">
        <f t="shared" si="270"/>
        <v>-0.65231648070614634</v>
      </c>
      <c r="W2183" s="4">
        <f t="shared" si="271"/>
        <v>0.73473026156308496</v>
      </c>
      <c r="X2183" s="4">
        <f t="shared" si="272"/>
        <v>-1.0843077934414762</v>
      </c>
      <c r="Y2183" s="3">
        <f t="shared" si="269"/>
        <v>-224.78156947205798</v>
      </c>
      <c r="AA2183" s="3"/>
    </row>
    <row r="2184" spans="19:27" x14ac:dyDescent="0.25">
      <c r="S2184" s="4">
        <v>-0.48591253182054717</v>
      </c>
      <c r="T2184" s="4">
        <v>-0.45322335235053945</v>
      </c>
      <c r="U2184" s="4">
        <f t="shared" si="270"/>
        <v>-0.65548965521226932</v>
      </c>
      <c r="W2184" s="4">
        <f t="shared" si="271"/>
        <v>-0.79795774823333487</v>
      </c>
      <c r="X2184" s="4">
        <f t="shared" si="272"/>
        <v>-1.089902403993261</v>
      </c>
      <c r="Y2184" s="3">
        <f t="shared" si="269"/>
        <v>20.536080175613279</v>
      </c>
      <c r="AA2184" s="3"/>
    </row>
    <row r="2185" spans="19:27" x14ac:dyDescent="0.25">
      <c r="S2185" s="4">
        <v>1.0085372957703092</v>
      </c>
      <c r="T2185" s="4">
        <v>0.91908743451036357</v>
      </c>
      <c r="U2185" s="4">
        <f t="shared" si="270"/>
        <v>1.3433801118818356</v>
      </c>
      <c r="W2185" s="4">
        <f t="shared" si="271"/>
        <v>1.7432895352604056</v>
      </c>
      <c r="X2185" s="4">
        <f t="shared" si="272"/>
        <v>2.4342964287686137</v>
      </c>
      <c r="Y2185" s="3">
        <f t="shared" si="269"/>
        <v>-28.152189945237751</v>
      </c>
      <c r="AA2185" s="3"/>
    </row>
    <row r="2186" spans="19:27" x14ac:dyDescent="0.25">
      <c r="S2186" s="4">
        <v>-0.45167523218071443</v>
      </c>
      <c r="T2186" s="4">
        <v>0.75542768408302796</v>
      </c>
      <c r="U2186" s="4">
        <f t="shared" si="270"/>
        <v>0.32347019680990985</v>
      </c>
      <c r="W2186" s="4">
        <f t="shared" si="271"/>
        <v>-0.73973870126529839</v>
      </c>
      <c r="X2186" s="4">
        <f t="shared" si="272"/>
        <v>0.63609757089898844</v>
      </c>
      <c r="Y2186" s="3">
        <f t="shared" si="269"/>
        <v>183.57356542728212</v>
      </c>
      <c r="AA2186" s="3"/>
    </row>
    <row r="2187" spans="19:27" x14ac:dyDescent="0.25">
      <c r="S2187" s="4">
        <v>-0.94458152017830899</v>
      </c>
      <c r="T2187" s="4">
        <v>-3.0482735530055196</v>
      </c>
      <c r="U2187" s="4">
        <f t="shared" si="270"/>
        <v>-2.9921800870774695</v>
      </c>
      <c r="W2187" s="4">
        <f t="shared" si="271"/>
        <v>-1.5779045213986731</v>
      </c>
      <c r="X2187" s="4">
        <f t="shared" si="272"/>
        <v>-5.2097114221049878</v>
      </c>
      <c r="Y2187" s="3">
        <f t="shared" si="269"/>
        <v>-261.62003145255176</v>
      </c>
      <c r="AA2187" s="3"/>
    </row>
    <row r="2188" spans="19:27" x14ac:dyDescent="0.25">
      <c r="S2188" s="4">
        <v>-1.0978029104012497</v>
      </c>
      <c r="T2188" s="4">
        <v>-0.87504384898582388</v>
      </c>
      <c r="U2188" s="4">
        <f t="shared" si="270"/>
        <v>-1.3628854235113539</v>
      </c>
      <c r="W2188" s="4">
        <f t="shared" si="271"/>
        <v>-1.8384508672769257</v>
      </c>
      <c r="X2188" s="4">
        <f t="shared" si="272"/>
        <v>-2.3371088913696623</v>
      </c>
      <c r="Y2188" s="3">
        <f t="shared" si="269"/>
        <v>69.725470910737386</v>
      </c>
      <c r="AA2188" s="3"/>
    </row>
    <row r="2189" spans="19:27" x14ac:dyDescent="0.25">
      <c r="S2189" s="4">
        <v>-1.3777398022919503</v>
      </c>
      <c r="T2189" s="4">
        <v>-0.45840292334273153</v>
      </c>
      <c r="U2189" s="4">
        <f t="shared" si="270"/>
        <v>-1.2032732621978168</v>
      </c>
      <c r="W2189" s="4">
        <f t="shared" si="271"/>
        <v>-2.3144714421621497</v>
      </c>
      <c r="X2189" s="4">
        <f t="shared" si="272"/>
        <v>-2.0556973647880583</v>
      </c>
      <c r="Y2189" s="3">
        <f t="shared" si="269"/>
        <v>179.34425185798591</v>
      </c>
      <c r="AA2189" s="3"/>
    </row>
    <row r="2190" spans="19:27" x14ac:dyDescent="0.25">
      <c r="S2190" s="4">
        <v>0.41948491499879231</v>
      </c>
      <c r="T2190" s="4">
        <v>-1.0279672738532697</v>
      </c>
      <c r="U2190" s="4">
        <f t="shared" si="270"/>
        <v>-0.55913409004562231</v>
      </c>
      <c r="W2190" s="4">
        <f t="shared" si="271"/>
        <v>0.7416314435436191</v>
      </c>
      <c r="X2190" s="4">
        <f t="shared" si="272"/>
        <v>-0.92001831455402083</v>
      </c>
      <c r="Y2190" s="3">
        <f t="shared" si="269"/>
        <v>-209.43235804396272</v>
      </c>
      <c r="AA2190" s="3"/>
    </row>
    <row r="2191" spans="19:27" x14ac:dyDescent="0.25">
      <c r="S2191" s="4">
        <v>-0.21146633177045523</v>
      </c>
      <c r="T2191" s="4">
        <v>0.42068123844205568</v>
      </c>
      <c r="U2191" s="4">
        <f t="shared" si="270"/>
        <v>0.20455606617768268</v>
      </c>
      <c r="W2191" s="4">
        <f t="shared" si="271"/>
        <v>-0.33127385730152331</v>
      </c>
      <c r="X2191" s="4">
        <f t="shared" si="272"/>
        <v>0.42644057009186254</v>
      </c>
      <c r="Y2191" s="3">
        <f t="shared" si="269"/>
        <v>96.015053638958307</v>
      </c>
      <c r="AA2191" s="3"/>
    </row>
    <row r="2192" spans="19:27" x14ac:dyDescent="0.25">
      <c r="S2192" s="4">
        <v>0.59872329976392014</v>
      </c>
      <c r="T2192" s="4">
        <v>-1.5551455950054525</v>
      </c>
      <c r="U2192" s="4">
        <f t="shared" si="270"/>
        <v>-0.86775641928765812</v>
      </c>
      <c r="W2192" s="4">
        <f t="shared" si="271"/>
        <v>1.0464185631730971</v>
      </c>
      <c r="X2192" s="4">
        <f t="shared" si="272"/>
        <v>-1.4641490380179214</v>
      </c>
      <c r="Y2192" s="3">
        <f t="shared" si="269"/>
        <v>-311.28926502417744</v>
      </c>
      <c r="AA2192" s="3"/>
    </row>
    <row r="2193" spans="19:27" x14ac:dyDescent="0.25">
      <c r="S2193" s="4">
        <v>-1.5004290387147026</v>
      </c>
      <c r="T2193" s="4">
        <v>-1.398271505958713</v>
      </c>
      <c r="U2193" s="4">
        <f t="shared" si="270"/>
        <v>-2.0230936824372527</v>
      </c>
      <c r="W2193" s="4">
        <f t="shared" si="271"/>
        <v>-2.5230991812919772</v>
      </c>
      <c r="X2193" s="4">
        <f t="shared" si="272"/>
        <v>-3.5011192805351827</v>
      </c>
      <c r="Y2193" s="3">
        <f t="shared" si="269"/>
        <v>70.893621695243837</v>
      </c>
      <c r="AA2193" s="3"/>
    </row>
    <row r="2194" spans="19:27" x14ac:dyDescent="0.25">
      <c r="S2194" s="4">
        <v>-0.16566701943247078</v>
      </c>
      <c r="T2194" s="4">
        <v>0.49577441714365411</v>
      </c>
      <c r="U2194" s="4">
        <f t="shared" si="270"/>
        <v>0.29200211228002426</v>
      </c>
      <c r="W2194" s="4">
        <f t="shared" si="271"/>
        <v>-0.25339410790076367</v>
      </c>
      <c r="X2194" s="4">
        <f t="shared" si="272"/>
        <v>0.58061632414888253</v>
      </c>
      <c r="Y2194" s="3">
        <f t="shared" si="269"/>
        <v>98.834366379370294</v>
      </c>
      <c r="AA2194" s="3"/>
    </row>
    <row r="2195" spans="19:27" x14ac:dyDescent="0.25">
      <c r="S2195" s="4">
        <v>0.84819526646948951</v>
      </c>
      <c r="T2195" s="4">
        <v>-0.86024298623974516</v>
      </c>
      <c r="U2195" s="4">
        <f t="shared" si="270"/>
        <v>-0.16482899029306397</v>
      </c>
      <c r="W2195" s="4">
        <f t="shared" si="271"/>
        <v>1.4706348506615616</v>
      </c>
      <c r="X2195" s="4">
        <f t="shared" si="272"/>
        <v>-0.22482066077180765</v>
      </c>
      <c r="Y2195" s="3">
        <f t="shared" si="269"/>
        <v>-252.60587662070384</v>
      </c>
      <c r="AA2195" s="3"/>
    </row>
    <row r="2196" spans="19:27" x14ac:dyDescent="0.25">
      <c r="S2196" s="4">
        <v>-0.81249851465552692</v>
      </c>
      <c r="T2196" s="4">
        <v>-0.2550329754491335</v>
      </c>
      <c r="U2196" s="4">
        <f t="shared" si="270"/>
        <v>-0.69747982708657552</v>
      </c>
      <c r="W2196" s="4">
        <f t="shared" si="271"/>
        <v>-1.3533030842787961</v>
      </c>
      <c r="X2196" s="4">
        <f t="shared" si="272"/>
        <v>-1.1639350984403993</v>
      </c>
      <c r="Y2196" s="3">
        <f t="shared" si="269"/>
        <v>105.24309689144684</v>
      </c>
      <c r="AA2196" s="3"/>
    </row>
    <row r="2197" spans="19:27" x14ac:dyDescent="0.25">
      <c r="S2197" s="4">
        <v>-0.31819629864871818</v>
      </c>
      <c r="T2197" s="4">
        <v>-1.3724142371579553</v>
      </c>
      <c r="U2197" s="4">
        <f t="shared" si="270"/>
        <v>-1.2818813756797449</v>
      </c>
      <c r="W2197" s="4">
        <f t="shared" si="271"/>
        <v>-0.51276354895212717</v>
      </c>
      <c r="X2197" s="4">
        <f t="shared" si="272"/>
        <v>-2.1942909972193312</v>
      </c>
      <c r="Y2197" s="3">
        <f t="shared" si="269"/>
        <v>-136.5768964346621</v>
      </c>
      <c r="AA2197" s="3"/>
    </row>
    <row r="2198" spans="19:27" x14ac:dyDescent="0.25">
      <c r="S2198" s="4">
        <v>-1.3008523474281821</v>
      </c>
      <c r="T2198" s="4">
        <v>-0.84109558674441676</v>
      </c>
      <c r="U2198" s="4">
        <f t="shared" si="270"/>
        <v>-1.4597583741965661</v>
      </c>
      <c r="W2198" s="4">
        <f t="shared" si="271"/>
        <v>-2.1837276512365764</v>
      </c>
      <c r="X2198" s="4">
        <f t="shared" si="272"/>
        <v>-2.5079051810285629</v>
      </c>
      <c r="Y2198" s="3">
        <f t="shared" si="269"/>
        <v>111.62429574564067</v>
      </c>
      <c r="AA2198" s="3"/>
    </row>
    <row r="2199" spans="19:27" x14ac:dyDescent="0.25">
      <c r="S2199" s="4">
        <v>0.79134853154717266</v>
      </c>
      <c r="T2199" s="4">
        <v>-0.33370456524254799</v>
      </c>
      <c r="U2199" s="4">
        <f t="shared" si="270"/>
        <v>0.2178987757318982</v>
      </c>
      <c r="W2199" s="4">
        <f t="shared" si="271"/>
        <v>1.3739694370560027</v>
      </c>
      <c r="X2199" s="4">
        <f t="shared" si="272"/>
        <v>0.44996504487803468</v>
      </c>
      <c r="Y2199" s="3">
        <f t="shared" si="269"/>
        <v>-170.33910442178012</v>
      </c>
      <c r="AA2199" s="3"/>
    </row>
    <row r="2200" spans="19:27" x14ac:dyDescent="0.25">
      <c r="S2200" s="4">
        <v>1.2178536377313852E-2</v>
      </c>
      <c r="T2200" s="4">
        <v>-1.0728532255458922</v>
      </c>
      <c r="U2200" s="4">
        <f t="shared" si="270"/>
        <v>-0.84301788188265903</v>
      </c>
      <c r="W2200" s="4">
        <f t="shared" si="271"/>
        <v>4.9024566342465783E-2</v>
      </c>
      <c r="X2200" s="4">
        <f t="shared" si="272"/>
        <v>-1.4205326273431635</v>
      </c>
      <c r="Y2200" s="3">
        <f t="shared" si="269"/>
        <v>-149.90325632327585</v>
      </c>
      <c r="AA2200" s="3"/>
    </row>
    <row r="2201" spans="19:27" x14ac:dyDescent="0.25">
      <c r="S2201" s="4">
        <v>-4.9185151080644911E-2</v>
      </c>
      <c r="T2201" s="4">
        <v>-2.393403267814719</v>
      </c>
      <c r="U2201" s="4">
        <f t="shared" si="270"/>
        <v>-1.927216034011652</v>
      </c>
      <c r="W2201" s="4">
        <f t="shared" si="271"/>
        <v>-5.5321729651346088E-2</v>
      </c>
      <c r="X2201" s="4">
        <f t="shared" si="272"/>
        <v>-3.3320778040808801</v>
      </c>
      <c r="Y2201" s="3">
        <f t="shared" si="269"/>
        <v>-324.33453710720823</v>
      </c>
      <c r="AA2201" s="3"/>
    </row>
    <row r="2202" spans="19:27" x14ac:dyDescent="0.25">
      <c r="S2202" s="4">
        <v>-6.5539553611995718E-2</v>
      </c>
      <c r="T2202" s="4">
        <v>1.6740221712070111</v>
      </c>
      <c r="U2202" s="4">
        <f t="shared" si="270"/>
        <v>1.2870296404532009</v>
      </c>
      <c r="W2202" s="4">
        <f t="shared" si="271"/>
        <v>-8.3131683681690868E-2</v>
      </c>
      <c r="X2202" s="4">
        <f t="shared" si="272"/>
        <v>2.3349451509096864</v>
      </c>
      <c r="Y2202" s="3">
        <f t="shared" si="269"/>
        <v>246.83427454023513</v>
      </c>
      <c r="AA2202" s="3"/>
    </row>
    <row r="2203" spans="19:27" x14ac:dyDescent="0.25">
      <c r="S2203" s="4">
        <v>2.2316217003503618</v>
      </c>
      <c r="T2203" s="4">
        <v>-1.1831308269435785</v>
      </c>
      <c r="U2203" s="4">
        <f t="shared" si="270"/>
        <v>0.42258801626960552</v>
      </c>
      <c r="W2203" s="4">
        <f t="shared" si="271"/>
        <v>3.8230916559064765</v>
      </c>
      <c r="X2203" s="4">
        <f t="shared" si="272"/>
        <v>0.81085177920020213</v>
      </c>
      <c r="Y2203" s="3">
        <f t="shared" si="269"/>
        <v>-494.59805181010552</v>
      </c>
      <c r="AA2203" s="3"/>
    </row>
    <row r="2204" spans="19:27" x14ac:dyDescent="0.25">
      <c r="S2204" s="4">
        <v>-0.21708729760397738</v>
      </c>
      <c r="T2204" s="4">
        <v>1.0849208331159399</v>
      </c>
      <c r="U2204" s="4">
        <f t="shared" si="270"/>
        <v>0.72766682535315885</v>
      </c>
      <c r="W2204" s="4">
        <f t="shared" si="271"/>
        <v>-0.34083206654436982</v>
      </c>
      <c r="X2204" s="4">
        <f t="shared" si="272"/>
        <v>1.3487349372589053</v>
      </c>
      <c r="Y2204" s="3">
        <f t="shared" si="269"/>
        <v>189.79285113120659</v>
      </c>
      <c r="AA2204" s="3"/>
    </row>
    <row r="2205" spans="19:27" x14ac:dyDescent="0.25">
      <c r="S2205" s="4">
        <v>-0.94321484393605703</v>
      </c>
      <c r="T2205" s="4">
        <v>1.6526399635635673</v>
      </c>
      <c r="U2205" s="4">
        <f t="shared" si="270"/>
        <v>0.7350296955631489</v>
      </c>
      <c r="W2205" s="4">
        <f t="shared" si="271"/>
        <v>-1.5755805475696973</v>
      </c>
      <c r="X2205" s="4">
        <f t="shared" si="272"/>
        <v>1.3617163825871552</v>
      </c>
      <c r="Y2205" s="3">
        <f t="shared" si="269"/>
        <v>395.13114609125023</v>
      </c>
      <c r="AA2205" s="3"/>
    </row>
    <row r="2206" spans="19:27" x14ac:dyDescent="0.25">
      <c r="S2206" s="4">
        <v>-0.78753413690212037</v>
      </c>
      <c r="T2206" s="4">
        <v>0.29624827471967702</v>
      </c>
      <c r="U2206" s="4">
        <f t="shared" si="270"/>
        <v>-0.24526473820662897</v>
      </c>
      <c r="W2206" s="4">
        <f t="shared" si="271"/>
        <v>-1.3108522398417994</v>
      </c>
      <c r="X2206" s="4">
        <f t="shared" si="272"/>
        <v>-0.36663658774008456</v>
      </c>
      <c r="Y2206" s="3">
        <f t="shared" si="269"/>
        <v>177.87467357436526</v>
      </c>
      <c r="AA2206" s="3"/>
    </row>
    <row r="2207" spans="19:27" x14ac:dyDescent="0.25">
      <c r="S2207" s="4">
        <v>-0.88968609484604699</v>
      </c>
      <c r="T2207" s="4">
        <v>0.14409956164688872</v>
      </c>
      <c r="U2207" s="4">
        <f t="shared" si="270"/>
        <v>-0.42814592151348807</v>
      </c>
      <c r="W2207" s="4">
        <f t="shared" si="271"/>
        <v>-1.4845572253394059</v>
      </c>
      <c r="X2207" s="4">
        <f t="shared" si="272"/>
        <v>-0.68907362858897958</v>
      </c>
      <c r="Y2207" s="3">
        <f t="shared" si="269"/>
        <v>174.73669476036321</v>
      </c>
      <c r="AA2207" s="3"/>
    </row>
    <row r="2208" spans="19:27" x14ac:dyDescent="0.25">
      <c r="S2208" s="4">
        <v>-5.4412724924012112E-2</v>
      </c>
      <c r="T2208" s="4">
        <v>0.28067799148694389</v>
      </c>
      <c r="U2208" s="4">
        <f t="shared" si="270"/>
        <v>0.1893199925813282</v>
      </c>
      <c r="W2208" s="4">
        <f t="shared" si="271"/>
        <v>-6.4210992832656993E-2</v>
      </c>
      <c r="X2208" s="4">
        <f t="shared" si="272"/>
        <v>0.39957791317039315</v>
      </c>
      <c r="Y2208" s="3">
        <f t="shared" si="269"/>
        <v>50.258290896445942</v>
      </c>
      <c r="AA2208" s="3"/>
    </row>
    <row r="2209" spans="19:27" x14ac:dyDescent="0.25">
      <c r="S2209" s="4">
        <v>1.5881182928751719E-2</v>
      </c>
      <c r="T2209" s="4">
        <v>0.47125908874192945</v>
      </c>
      <c r="U2209" s="4">
        <f t="shared" si="270"/>
        <v>0.38324484195053127</v>
      </c>
      <c r="W2209" s="4">
        <f t="shared" si="271"/>
        <v>5.532075663059835E-2</v>
      </c>
      <c r="X2209" s="4">
        <f t="shared" si="272"/>
        <v>0.74148599494803535</v>
      </c>
      <c r="Y2209" s="3">
        <f t="shared" si="269"/>
        <v>65.291336790220157</v>
      </c>
      <c r="AA2209" s="3"/>
    </row>
    <row r="2210" spans="19:27" x14ac:dyDescent="0.25">
      <c r="S2210" s="4">
        <v>0.25978505049931799</v>
      </c>
      <c r="T2210" s="4">
        <v>-0.99798212332259306</v>
      </c>
      <c r="U2210" s="4">
        <f t="shared" si="270"/>
        <v>-0.63272170113206039</v>
      </c>
      <c r="W2210" s="4">
        <f t="shared" si="271"/>
        <v>0.4700687324100904</v>
      </c>
      <c r="X2210" s="4">
        <f t="shared" si="272"/>
        <v>-1.0497603204444679</v>
      </c>
      <c r="Y2210" s="3">
        <f t="shared" si="269"/>
        <v>-179.73492533924309</v>
      </c>
      <c r="AA2210" s="3"/>
    </row>
    <row r="2211" spans="19:27" x14ac:dyDescent="0.25">
      <c r="S2211" s="4">
        <v>1.1850598347565349</v>
      </c>
      <c r="T2211" s="4">
        <v>-0.12631066603664443</v>
      </c>
      <c r="U2211" s="4">
        <f t="shared" si="270"/>
        <v>0.62231345927443804</v>
      </c>
      <c r="W2211" s="4">
        <f t="shared" si="271"/>
        <v>2.0434584766274866</v>
      </c>
      <c r="X2211" s="4">
        <f t="shared" si="272"/>
        <v>1.1629868630850051</v>
      </c>
      <c r="Y2211" s="3">
        <f t="shared" si="269"/>
        <v>-200.49348077294735</v>
      </c>
      <c r="AA2211" s="3"/>
    </row>
    <row r="2212" spans="19:27" x14ac:dyDescent="0.25">
      <c r="S2212" s="4">
        <v>-0.81152867573754051</v>
      </c>
      <c r="T2212" s="4">
        <v>-4.1128722773157524E-2</v>
      </c>
      <c r="U2212" s="4">
        <f t="shared" si="270"/>
        <v>-0.52732839772975171</v>
      </c>
      <c r="W2212" s="4">
        <f t="shared" si="271"/>
        <v>-1.3516539151529696</v>
      </c>
      <c r="X2212" s="4">
        <f t="shared" si="272"/>
        <v>-0.86394183294425253</v>
      </c>
      <c r="Y2212" s="3">
        <f t="shared" si="269"/>
        <v>134.96648555140155</v>
      </c>
      <c r="AA2212" s="3"/>
    </row>
    <row r="2213" spans="19:27" x14ac:dyDescent="0.25">
      <c r="S2213" s="4">
        <v>-0.21654613620010182</v>
      </c>
      <c r="T2213" s="4">
        <v>-1.7066916087118096</v>
      </c>
      <c r="U2213" s="4">
        <f t="shared" si="270"/>
        <v>-1.4848921731904605</v>
      </c>
      <c r="W2213" s="4">
        <f t="shared" si="271"/>
        <v>-0.33991184498715143</v>
      </c>
      <c r="X2213" s="4">
        <f t="shared" si="272"/>
        <v>-2.5522184757390654</v>
      </c>
      <c r="Y2213" s="3">
        <f t="shared" si="269"/>
        <v>-200.45158006924157</v>
      </c>
      <c r="AA2213" s="3"/>
    </row>
    <row r="2214" spans="19:27" x14ac:dyDescent="0.25">
      <c r="S2214" s="4">
        <v>0.90776993823388563</v>
      </c>
      <c r="T2214" s="4">
        <v>-0.93495340321251263</v>
      </c>
      <c r="U2214" s="4">
        <f t="shared" si="270"/>
        <v>-0.18773329243013015</v>
      </c>
      <c r="W2214" s="4">
        <f t="shared" si="271"/>
        <v>1.5719390028594036</v>
      </c>
      <c r="X2214" s="4">
        <f t="shared" si="272"/>
        <v>-0.26520313900300385</v>
      </c>
      <c r="Y2214" s="3">
        <f t="shared" si="269"/>
        <v>-272.09141401811485</v>
      </c>
      <c r="AA2214" s="3"/>
    </row>
    <row r="2215" spans="19:27" x14ac:dyDescent="0.25">
      <c r="S2215" s="4">
        <v>-0.88121954406896297</v>
      </c>
      <c r="T2215" s="4">
        <v>0.84379877075310894</v>
      </c>
      <c r="U2215" s="4">
        <f t="shared" si="270"/>
        <v>0.13166145546160934</v>
      </c>
      <c r="W2215" s="4">
        <f t="shared" si="271"/>
        <v>-1.4701602219970382</v>
      </c>
      <c r="X2215" s="4">
        <f t="shared" si="272"/>
        <v>0.29792039022357475</v>
      </c>
      <c r="Y2215" s="3">
        <f t="shared" si="269"/>
        <v>271.01769531717855</v>
      </c>
      <c r="AA2215" s="3"/>
    </row>
    <row r="2216" spans="19:27" x14ac:dyDescent="0.25">
      <c r="S2216" s="4">
        <v>1.2634558297886898</v>
      </c>
      <c r="T2216" s="4">
        <v>0.6873953115545538</v>
      </c>
      <c r="U2216" s="4">
        <f t="shared" si="270"/>
        <v>1.3151236412060738</v>
      </c>
      <c r="W2216" s="4">
        <f t="shared" si="271"/>
        <v>2.1767674748515442</v>
      </c>
      <c r="X2216" s="4">
        <f t="shared" si="272"/>
        <v>2.3844775648221854</v>
      </c>
      <c r="Y2216" s="3">
        <f t="shared" si="269"/>
        <v>-98.278580565912307</v>
      </c>
      <c r="AA2216" s="3"/>
    </row>
    <row r="2217" spans="19:27" x14ac:dyDescent="0.25">
      <c r="S2217" s="4">
        <v>-0.58890582977594874</v>
      </c>
      <c r="T2217" s="4">
        <v>-0.10026337179167762</v>
      </c>
      <c r="U2217" s="4">
        <f t="shared" si="270"/>
        <v>-0.43848810802309113</v>
      </c>
      <c r="W2217" s="4">
        <f t="shared" si="271"/>
        <v>-0.97309339602497236</v>
      </c>
      <c r="X2217" s="4">
        <f t="shared" si="272"/>
        <v>-0.70730789388498005</v>
      </c>
      <c r="Y2217" s="3">
        <f t="shared" si="269"/>
        <v>87.66874048585214</v>
      </c>
      <c r="AA2217" s="3"/>
    </row>
    <row r="2218" spans="19:27" x14ac:dyDescent="0.25">
      <c r="S2218" s="4">
        <v>-0.57979168300127437</v>
      </c>
      <c r="T2218" s="4">
        <v>-0.42227741223922743</v>
      </c>
      <c r="U2218" s="4">
        <f t="shared" si="270"/>
        <v>-0.68818988064505604</v>
      </c>
      <c r="W2218" s="4">
        <f t="shared" si="271"/>
        <v>-0.95759518370302255</v>
      </c>
      <c r="X2218" s="4">
        <f t="shared" si="272"/>
        <v>-1.147556033158313</v>
      </c>
      <c r="Y2218" s="3">
        <f t="shared" si="269"/>
        <v>41.082371121180131</v>
      </c>
      <c r="AA2218" s="3"/>
    </row>
    <row r="2219" spans="19:27" x14ac:dyDescent="0.25">
      <c r="S2219" s="4">
        <v>0.67693807045631427</v>
      </c>
      <c r="T2219" s="4">
        <v>-0.95093898192645698</v>
      </c>
      <c r="U2219" s="4">
        <f t="shared" si="270"/>
        <v>-0.34112518997876179</v>
      </c>
      <c r="W2219" s="4">
        <f t="shared" si="271"/>
        <v>1.1794193972469653</v>
      </c>
      <c r="X2219" s="4">
        <f t="shared" si="272"/>
        <v>-0.53564774484738575</v>
      </c>
      <c r="Y2219" s="3">
        <f t="shared" si="269"/>
        <v>-238.99429085019301</v>
      </c>
      <c r="AA2219" s="3"/>
    </row>
    <row r="2220" spans="19:27" x14ac:dyDescent="0.25">
      <c r="S2220" s="4">
        <v>0.59415194572358854</v>
      </c>
      <c r="T2220" s="4">
        <v>-1.6591029488202775</v>
      </c>
      <c r="U2220" s="4">
        <f t="shared" si="270"/>
        <v>-0.95294938338513113</v>
      </c>
      <c r="W2220" s="4">
        <f t="shared" si="271"/>
        <v>1.038645173379471</v>
      </c>
      <c r="X2220" s="4">
        <f t="shared" si="272"/>
        <v>-1.6143523927208712</v>
      </c>
      <c r="Y2220" s="3">
        <f t="shared" si="269"/>
        <v>-325.10545272808258</v>
      </c>
      <c r="AA2220" s="3"/>
    </row>
    <row r="2221" spans="19:27" x14ac:dyDescent="0.25">
      <c r="S2221" s="4">
        <v>0.69824840159871904</v>
      </c>
      <c r="T2221" s="4">
        <v>1.3919339674717366E-2</v>
      </c>
      <c r="U2221" s="4">
        <f t="shared" si="270"/>
        <v>0.43670155429947183</v>
      </c>
      <c r="W2221" s="4">
        <f t="shared" si="271"/>
        <v>1.2156566934921587</v>
      </c>
      <c r="X2221" s="4">
        <f t="shared" si="272"/>
        <v>0.83573529841181338</v>
      </c>
      <c r="Y2221" s="3">
        <f t="shared" si="269"/>
        <v>-107.44087646073604</v>
      </c>
      <c r="AA2221" s="3"/>
    </row>
    <row r="2222" spans="19:27" x14ac:dyDescent="0.25">
      <c r="S2222" s="4">
        <v>-0.49061858209077541</v>
      </c>
      <c r="T2222" s="4">
        <v>0.73981122835022428</v>
      </c>
      <c r="U2222" s="4">
        <f t="shared" si="270"/>
        <v>0.28735042198291111</v>
      </c>
      <c r="W2222" s="4">
        <f t="shared" si="271"/>
        <v>-0.80596018313908313</v>
      </c>
      <c r="X2222" s="4">
        <f t="shared" si="272"/>
        <v>0.57241494865892839</v>
      </c>
      <c r="Y2222" s="3">
        <f t="shared" si="269"/>
        <v>188.0836072616612</v>
      </c>
      <c r="AA2222" s="3"/>
    </row>
    <row r="2223" spans="19:27" x14ac:dyDescent="0.25">
      <c r="S2223" s="4">
        <v>0.69667638438665802</v>
      </c>
      <c r="T2223" s="4">
        <v>9.1050061680887182E-2</v>
      </c>
      <c r="U2223" s="4">
        <f t="shared" si="270"/>
        <v>0.49688412528173281</v>
      </c>
      <c r="W2223" s="4">
        <f t="shared" si="271"/>
        <v>1.2129835462268568</v>
      </c>
      <c r="X2223" s="4">
        <f t="shared" si="272"/>
        <v>0.94184293478705883</v>
      </c>
      <c r="Y2223" s="3">
        <f t="shared" si="269"/>
        <v>-96.418354808595723</v>
      </c>
      <c r="AA2223" s="3"/>
    </row>
    <row r="2224" spans="19:27" x14ac:dyDescent="0.25">
      <c r="S2224" s="4">
        <v>0.52247757540339257</v>
      </c>
      <c r="T2224" s="4">
        <v>-0.81576661147444252</v>
      </c>
      <c r="U2224" s="4">
        <f t="shared" si="270"/>
        <v>-0.32813769482443578</v>
      </c>
      <c r="W2224" s="4">
        <f t="shared" si="271"/>
        <v>0.91676600720769885</v>
      </c>
      <c r="X2224" s="4">
        <f t="shared" si="272"/>
        <v>-0.51274954706738929</v>
      </c>
      <c r="Y2224" s="3">
        <f t="shared" si="269"/>
        <v>-196.02513560420539</v>
      </c>
      <c r="AA2224" s="3"/>
    </row>
    <row r="2225" spans="19:27" x14ac:dyDescent="0.25">
      <c r="S2225" s="4">
        <v>0.6872106526970353</v>
      </c>
      <c r="T2225" s="4">
        <v>-1.3374699070656804</v>
      </c>
      <c r="U2225" s="4">
        <f t="shared" si="270"/>
        <v>-0.64126277407572774</v>
      </c>
      <c r="W2225" s="4">
        <f t="shared" si="271"/>
        <v>1.19688747896623</v>
      </c>
      <c r="X2225" s="4">
        <f t="shared" si="272"/>
        <v>-1.0648190500296202</v>
      </c>
      <c r="Y2225" s="3">
        <f t="shared" si="269"/>
        <v>-294.60443169620521</v>
      </c>
      <c r="AA2225" s="3"/>
    </row>
    <row r="2226" spans="19:27" x14ac:dyDescent="0.25">
      <c r="S2226" s="4">
        <v>0.1689333978342612</v>
      </c>
      <c r="T2226" s="4">
        <v>0.5088755568118124</v>
      </c>
      <c r="U2226" s="4">
        <f t="shared" si="270"/>
        <v>0.50636716105517843</v>
      </c>
      <c r="W2226" s="4">
        <f t="shared" si="271"/>
        <v>0.31557942719990523</v>
      </c>
      <c r="X2226" s="4">
        <f t="shared" si="272"/>
        <v>0.95856243505365268</v>
      </c>
      <c r="Y2226" s="3">
        <f t="shared" si="269"/>
        <v>45.541551508531029</v>
      </c>
      <c r="AA2226" s="3"/>
    </row>
    <row r="2227" spans="19:27" x14ac:dyDescent="0.25">
      <c r="S2227" s="4">
        <v>-0.75857169123297608</v>
      </c>
      <c r="T2227" s="4">
        <v>1.0900899222868787</v>
      </c>
      <c r="U2227" s="4">
        <f t="shared" si="270"/>
        <v>0.40166335320761204</v>
      </c>
      <c r="W2227" s="4">
        <f t="shared" si="271"/>
        <v>-1.2616028538662951</v>
      </c>
      <c r="X2227" s="4">
        <f t="shared" si="272"/>
        <v>0.77395959424999505</v>
      </c>
      <c r="Y2227" s="3">
        <f t="shared" si="269"/>
        <v>283.71114021475751</v>
      </c>
      <c r="AA2227" s="3"/>
    </row>
    <row r="2228" spans="19:27" x14ac:dyDescent="0.25">
      <c r="S2228" s="4">
        <v>-0.76204264750138362</v>
      </c>
      <c r="T2228" s="4">
        <v>1.810100560857075</v>
      </c>
      <c r="U2228" s="4">
        <f t="shared" si="270"/>
        <v>0.97029406756922421</v>
      </c>
      <c r="W2228" s="4">
        <f t="shared" si="271"/>
        <v>-1.2675050648508119</v>
      </c>
      <c r="X2228" s="4">
        <f t="shared" si="272"/>
        <v>1.7765100018931359</v>
      </c>
      <c r="Y2228" s="3">
        <f t="shared" si="269"/>
        <v>384.9509960705027</v>
      </c>
      <c r="AA2228" s="3"/>
    </row>
    <row r="2229" spans="19:27" x14ac:dyDescent="0.25">
      <c r="S2229" s="4">
        <v>0.98691925829015037</v>
      </c>
      <c r="T2229" s="4">
        <v>-1.1798461405391876</v>
      </c>
      <c r="U2229" s="4">
        <f t="shared" si="270"/>
        <v>-0.33360661933098257</v>
      </c>
      <c r="W2229" s="4">
        <f t="shared" si="271"/>
        <v>1.7065289976989133</v>
      </c>
      <c r="X2229" s="4">
        <f t="shared" si="272"/>
        <v>-0.52239178473575643</v>
      </c>
      <c r="Y2229" s="3">
        <f t="shared" si="269"/>
        <v>-318.25325001060446</v>
      </c>
      <c r="AA2229" s="3"/>
    </row>
    <row r="2230" spans="19:27" x14ac:dyDescent="0.25">
      <c r="S2230" s="4">
        <v>-1.0190954962214323</v>
      </c>
      <c r="T2230" s="4">
        <v>-1.5554598290719808</v>
      </c>
      <c r="U2230" s="4">
        <f t="shared" si="270"/>
        <v>-1.8542639446924238</v>
      </c>
      <c r="W2230" s="4">
        <f t="shared" si="271"/>
        <v>-1.7046123142639322</v>
      </c>
      <c r="X2230" s="4">
        <f t="shared" si="272"/>
        <v>-3.2034562839304583</v>
      </c>
      <c r="Y2230" s="3">
        <f t="shared" si="269"/>
        <v>-39.600183070411276</v>
      </c>
      <c r="AA2230" s="3"/>
    </row>
    <row r="2231" spans="19:27" x14ac:dyDescent="0.25">
      <c r="S2231" s="4">
        <v>0.53133119521240724</v>
      </c>
      <c r="T2231" s="4">
        <v>6.4216498392491404E-3</v>
      </c>
      <c r="U2231" s="4">
        <f t="shared" si="270"/>
        <v>0.32900174216110961</v>
      </c>
      <c r="W2231" s="4">
        <f t="shared" si="271"/>
        <v>0.93182120469466634</v>
      </c>
      <c r="X2231" s="4">
        <f t="shared" si="272"/>
        <v>0.64585021511372764</v>
      </c>
      <c r="Y2231" s="3">
        <f t="shared" si="269"/>
        <v>-82.506358925620134</v>
      </c>
      <c r="AA2231" s="3"/>
    </row>
    <row r="2232" spans="19:27" x14ac:dyDescent="0.25">
      <c r="S2232" s="4">
        <v>-1.6715740239759012</v>
      </c>
      <c r="T2232" s="4">
        <v>-0.64956506480800535</v>
      </c>
      <c r="U2232" s="4">
        <f t="shared" si="270"/>
        <v>-1.5339338635853246</v>
      </c>
      <c r="W2232" s="4">
        <f t="shared" si="271"/>
        <v>-2.814123825176956</v>
      </c>
      <c r="X2232" s="4">
        <f t="shared" si="272"/>
        <v>-2.6386836726675815</v>
      </c>
      <c r="Y2232" s="3">
        <f t="shared" si="269"/>
        <v>207.87362553024559</v>
      </c>
      <c r="AA2232" s="3"/>
    </row>
    <row r="2233" spans="19:27" x14ac:dyDescent="0.25">
      <c r="S2233" s="4">
        <v>0.22599517967847227</v>
      </c>
      <c r="T2233" s="4">
        <v>1.6204280921140282</v>
      </c>
      <c r="U2233" s="4">
        <f t="shared" si="270"/>
        <v>1.422272119787809</v>
      </c>
      <c r="W2233" s="4">
        <f t="shared" si="271"/>
        <v>0.41261051879344213</v>
      </c>
      <c r="X2233" s="4">
        <f t="shared" si="272"/>
        <v>2.5733905942582767</v>
      </c>
      <c r="Y2233" s="3">
        <f t="shared" si="269"/>
        <v>191.65722168469256</v>
      </c>
      <c r="AA2233" s="3"/>
    </row>
    <row r="2234" spans="19:27" x14ac:dyDescent="0.25">
      <c r="S2234" s="4">
        <v>1.1478468769284753</v>
      </c>
      <c r="T2234" s="4">
        <v>0.30811793900417406</v>
      </c>
      <c r="U2234" s="4">
        <f t="shared" si="270"/>
        <v>0.94399569790738203</v>
      </c>
      <c r="W2234" s="4">
        <f t="shared" si="271"/>
        <v>1.9801794516342075</v>
      </c>
      <c r="X2234" s="4">
        <f t="shared" si="272"/>
        <v>1.7301434575631665</v>
      </c>
      <c r="Y2234" s="3">
        <f t="shared" si="269"/>
        <v>-134.28445588940349</v>
      </c>
      <c r="AA2234" s="3"/>
    </row>
    <row r="2235" spans="19:27" x14ac:dyDescent="0.25">
      <c r="S2235" s="4">
        <v>0.6208021405436136</v>
      </c>
      <c r="T2235" s="4">
        <v>0.65030732670136648</v>
      </c>
      <c r="U2235" s="4">
        <f t="shared" si="270"/>
        <v>0.8939482638558236</v>
      </c>
      <c r="W2235" s="4">
        <f t="shared" si="271"/>
        <v>1.0839626768115829</v>
      </c>
      <c r="X2235" s="4">
        <f t="shared" si="272"/>
        <v>1.6419050382470142</v>
      </c>
      <c r="Y2235" s="3">
        <f t="shared" si="269"/>
        <v>-6.4953595651249998</v>
      </c>
      <c r="AA2235" s="3"/>
    </row>
    <row r="2236" spans="19:27" x14ac:dyDescent="0.25">
      <c r="S2236" s="4">
        <v>1.9340128893665465</v>
      </c>
      <c r="T2236" s="4">
        <v>-1.0695728353773915</v>
      </c>
      <c r="U2236" s="4">
        <f t="shared" si="270"/>
        <v>0.33117555849111313</v>
      </c>
      <c r="W2236" s="4">
        <f t="shared" si="271"/>
        <v>3.3170207470720059</v>
      </c>
      <c r="X2236" s="4">
        <f t="shared" si="272"/>
        <v>0.64968286149167276</v>
      </c>
      <c r="Y2236" s="3">
        <f t="shared" si="269"/>
        <v>-438.67218187698109</v>
      </c>
      <c r="AA2236" s="3"/>
    </row>
    <row r="2237" spans="19:27" x14ac:dyDescent="0.25">
      <c r="S2237" s="4">
        <v>0.87880315738622006</v>
      </c>
      <c r="T2237" s="4">
        <v>-1.0257776840807467</v>
      </c>
      <c r="U2237" s="4">
        <f t="shared" si="270"/>
        <v>-0.27738777090761935</v>
      </c>
      <c r="W2237" s="4">
        <f t="shared" si="271"/>
        <v>1.5226822451003592</v>
      </c>
      <c r="X2237" s="4">
        <f t="shared" si="272"/>
        <v>-0.42327257084076453</v>
      </c>
      <c r="Y2237" s="3">
        <f t="shared" si="269"/>
        <v>-280.39393423334468</v>
      </c>
      <c r="AA2237" s="3"/>
    </row>
    <row r="2238" spans="19:27" x14ac:dyDescent="0.25">
      <c r="S2238" s="4">
        <v>-0.90356035013436942</v>
      </c>
      <c r="T2238" s="4">
        <v>-1.8182437349133205</v>
      </c>
      <c r="U2238" s="4">
        <f t="shared" si="270"/>
        <v>-1.9921378467007735</v>
      </c>
      <c r="W2238" s="4">
        <f t="shared" si="271"/>
        <v>-1.5081497962715369</v>
      </c>
      <c r="X2238" s="4">
        <f t="shared" si="272"/>
        <v>-3.4465411774663339</v>
      </c>
      <c r="Y2238" s="3">
        <f t="shared" si="269"/>
        <v>-97.044620485592532</v>
      </c>
      <c r="AA2238" s="3"/>
    </row>
    <row r="2239" spans="19:27" x14ac:dyDescent="0.25">
      <c r="S2239" s="4">
        <v>-0.39127658298767054</v>
      </c>
      <c r="T2239" s="4">
        <v>-0.56109347591068193</v>
      </c>
      <c r="U2239" s="4">
        <f t="shared" si="270"/>
        <v>-0.6833052553285186</v>
      </c>
      <c r="W2239" s="4">
        <f t="shared" si="271"/>
        <v>-0.63703341109443601</v>
      </c>
      <c r="X2239" s="4">
        <f t="shared" si="272"/>
        <v>-1.1389439709207385</v>
      </c>
      <c r="Y2239" s="3">
        <f t="shared" si="269"/>
        <v>-10.756764193175513</v>
      </c>
      <c r="AA2239" s="3"/>
    </row>
    <row r="2240" spans="19:27" x14ac:dyDescent="0.25">
      <c r="S2240" s="4">
        <v>1.5877622357761196</v>
      </c>
      <c r="T2240" s="4">
        <v>2.1894524048963113</v>
      </c>
      <c r="U2240" s="4">
        <f t="shared" si="270"/>
        <v>2.703496732056768</v>
      </c>
      <c r="W2240" s="4">
        <f t="shared" si="271"/>
        <v>2.7282364890798387</v>
      </c>
      <c r="X2240" s="4">
        <f t="shared" si="272"/>
        <v>4.8323122896062634</v>
      </c>
      <c r="Y2240" s="3">
        <f t="shared" si="269"/>
        <v>64.979302505441865</v>
      </c>
      <c r="AA2240" s="3"/>
    </row>
    <row r="2241" spans="19:27" x14ac:dyDescent="0.25">
      <c r="S2241" s="4">
        <v>0.24023208409569041</v>
      </c>
      <c r="T2241" s="4">
        <v>-0.45180651620116824</v>
      </c>
      <c r="U2241" s="4">
        <f t="shared" si="270"/>
        <v>-0.2116925810099074</v>
      </c>
      <c r="W2241" s="4">
        <f t="shared" si="271"/>
        <v>0.43681975888144103</v>
      </c>
      <c r="X2241" s="4">
        <f t="shared" si="272"/>
        <v>-0.307445659369605</v>
      </c>
      <c r="Y2241" s="3">
        <f t="shared" si="269"/>
        <v>-100.25296402312597</v>
      </c>
      <c r="AA2241" s="3"/>
    </row>
    <row r="2242" spans="19:27" x14ac:dyDescent="0.25">
      <c r="S2242" s="4">
        <v>0.20841982563549127</v>
      </c>
      <c r="T2242" s="4">
        <v>0.78949465446418077</v>
      </c>
      <c r="U2242" s="4">
        <f t="shared" si="270"/>
        <v>0.75288348752929257</v>
      </c>
      <c r="W2242" s="4">
        <f t="shared" si="271"/>
        <v>0.38272438953464583</v>
      </c>
      <c r="X2242" s="4">
        <f t="shared" si="272"/>
        <v>1.3931943276955694</v>
      </c>
      <c r="Y2242" s="3">
        <f t="shared" ref="Y2242:Y2305" si="273">(B$4*EXP(-B$8*B$7)*NORMSDIST((LN(B$4/(B$5+W2242))-B$8*B$7+B$9*B$7+0.5*B$6*B$6*B$7)/(B$6*SQRT(B$7)))-(B$5+W2242)*EXP(-B$9*B$7)*NORMSDIST((LN(B$4/(B$5+W2242))-B$8*B$7+B$9*B$7-0.5*B$6*B$6*B$7)/(B$6*SQRT(B$7))))*400+100*X2242-400*$B$13</f>
        <v>78.365607127281692</v>
      </c>
      <c r="AA2242" s="3"/>
    </row>
    <row r="2243" spans="19:27" x14ac:dyDescent="0.25">
      <c r="S2243" s="4">
        <v>1.490968962221404</v>
      </c>
      <c r="T2243" s="4">
        <v>0.62994835003518268</v>
      </c>
      <c r="U2243" s="4">
        <f t="shared" ref="U2243:U2306" si="274">$B$19*S2243+SQRT(1-$B$19^2)*T2243</f>
        <v>1.4082829750679242</v>
      </c>
      <c r="W2243" s="4">
        <f t="shared" ref="W2243:W2306" si="275">S2243*SQRT($B$16)+$B$20</f>
        <v>2.5636437145750461</v>
      </c>
      <c r="X2243" s="4">
        <f t="shared" ref="X2243:X2306" si="276">U2243*SQRT($C$17)+$C$20</f>
        <v>2.5487263923654111</v>
      </c>
      <c r="Y2243" s="3">
        <f t="shared" si="273"/>
        <v>-139.20454022675995</v>
      </c>
      <c r="AA2243" s="3"/>
    </row>
    <row r="2244" spans="19:27" x14ac:dyDescent="0.25">
      <c r="S2244" s="4">
        <v>-0.93078855697795304</v>
      </c>
      <c r="T2244" s="4">
        <v>1.5428765918600251</v>
      </c>
      <c r="U2244" s="4">
        <f t="shared" si="274"/>
        <v>0.65559648862498532</v>
      </c>
      <c r="W2244" s="4">
        <f t="shared" si="275"/>
        <v>-1.5544501841455192</v>
      </c>
      <c r="X2244" s="4">
        <f t="shared" si="276"/>
        <v>1.2216680313726715</v>
      </c>
      <c r="Y2244" s="3">
        <f t="shared" si="273"/>
        <v>377.56703642106095</v>
      </c>
      <c r="AA2244" s="3"/>
    </row>
    <row r="2245" spans="19:27" x14ac:dyDescent="0.25">
      <c r="S2245" s="4">
        <v>-0.78246124512598692</v>
      </c>
      <c r="T2245" s="4">
        <v>-1.3071645490141206</v>
      </c>
      <c r="U2245" s="4">
        <f t="shared" si="274"/>
        <v>-1.5131847386336945</v>
      </c>
      <c r="W2245" s="4">
        <f t="shared" si="275"/>
        <v>-1.3022260068244362</v>
      </c>
      <c r="X2245" s="4">
        <f t="shared" si="276"/>
        <v>-2.6021009782173721</v>
      </c>
      <c r="Y2245" s="3">
        <f t="shared" si="273"/>
        <v>-47.113008890576111</v>
      </c>
      <c r="AA2245" s="3"/>
    </row>
    <row r="2246" spans="19:27" x14ac:dyDescent="0.25">
      <c r="S2246" s="4">
        <v>0.15298669261361106</v>
      </c>
      <c r="T2246" s="4">
        <v>-0.22223236992008025</v>
      </c>
      <c r="U2246" s="4">
        <f t="shared" si="274"/>
        <v>-8.2897724751827218E-2</v>
      </c>
      <c r="W2246" s="4">
        <f t="shared" si="275"/>
        <v>0.28846274480985096</v>
      </c>
      <c r="X2246" s="4">
        <f t="shared" si="276"/>
        <v>-8.0367992999012178E-2</v>
      </c>
      <c r="Y2246" s="3">
        <f t="shared" si="273"/>
        <v>-54.048274628984927</v>
      </c>
      <c r="AA2246" s="3"/>
    </row>
    <row r="2247" spans="19:27" x14ac:dyDescent="0.25">
      <c r="S2247" s="4">
        <v>-0.90139238835256308</v>
      </c>
      <c r="T2247" s="4">
        <v>4.0381001329974561E-2</v>
      </c>
      <c r="U2247" s="4">
        <f t="shared" si="274"/>
        <v>-0.51749921420330036</v>
      </c>
      <c r="W2247" s="4">
        <f t="shared" si="275"/>
        <v>-1.504463271045317</v>
      </c>
      <c r="X2247" s="4">
        <f t="shared" si="276"/>
        <v>-0.84661204103825927</v>
      </c>
      <c r="Y2247" s="3">
        <f t="shared" si="273"/>
        <v>162.32846774001428</v>
      </c>
      <c r="AA2247" s="3"/>
    </row>
    <row r="2248" spans="19:27" x14ac:dyDescent="0.25">
      <c r="S2248" s="4">
        <v>-1.1624156718475163</v>
      </c>
      <c r="T2248" s="4">
        <v>0.72686959190341649</v>
      </c>
      <c r="U2248" s="4">
        <f t="shared" si="274"/>
        <v>-0.13245080489424865</v>
      </c>
      <c r="W2248" s="4">
        <f t="shared" si="275"/>
        <v>-1.9483220730363386</v>
      </c>
      <c r="X2248" s="4">
        <f t="shared" si="276"/>
        <v>-0.16773481902868198</v>
      </c>
      <c r="Y2248" s="3">
        <f t="shared" si="273"/>
        <v>305.36158928309487</v>
      </c>
      <c r="AA2248" s="3"/>
    </row>
    <row r="2249" spans="19:27" x14ac:dyDescent="0.25">
      <c r="S2249" s="4">
        <v>-1.2110236966121393</v>
      </c>
      <c r="T2249" s="4">
        <v>0.92758078574804659</v>
      </c>
      <c r="U2249" s="4">
        <f t="shared" si="274"/>
        <v>-2.9811798533703193E-3</v>
      </c>
      <c r="W2249" s="4">
        <f t="shared" si="275"/>
        <v>-2.0309779164166573</v>
      </c>
      <c r="X2249" s="4">
        <f t="shared" si="276"/>
        <v>6.0532529329136255E-2</v>
      </c>
      <c r="Y2249" s="3">
        <f t="shared" si="273"/>
        <v>342.29770454565369</v>
      </c>
      <c r="AA2249" s="3"/>
    </row>
    <row r="2250" spans="19:27" x14ac:dyDescent="0.25">
      <c r="S2250" s="4">
        <v>9.3196599746613235E-2</v>
      </c>
      <c r="T2250" s="4">
        <v>0.52846749284828798</v>
      </c>
      <c r="U2250" s="4">
        <f t="shared" si="274"/>
        <v>0.47572669044431953</v>
      </c>
      <c r="W2250" s="4">
        <f t="shared" si="275"/>
        <v>0.1867922783459246</v>
      </c>
      <c r="X2250" s="4">
        <f t="shared" si="276"/>
        <v>0.9045403509040455</v>
      </c>
      <c r="Y2250" s="3">
        <f t="shared" si="273"/>
        <v>60.610615350985881</v>
      </c>
      <c r="AA2250" s="3"/>
    </row>
    <row r="2251" spans="19:27" x14ac:dyDescent="0.25">
      <c r="S2251" s="4">
        <v>-2.2806024377669187</v>
      </c>
      <c r="T2251" s="4">
        <v>-1.1116143687722939</v>
      </c>
      <c r="U2251" s="4">
        <f t="shared" si="274"/>
        <v>-2.2714739687940448</v>
      </c>
      <c r="W2251" s="4">
        <f t="shared" si="275"/>
        <v>-3.8497502969012682</v>
      </c>
      <c r="X2251" s="4">
        <f t="shared" si="276"/>
        <v>-3.9390375129632069</v>
      </c>
      <c r="Y2251" s="3">
        <f t="shared" si="273"/>
        <v>262.1026389479548</v>
      </c>
      <c r="AA2251" s="3"/>
    </row>
    <row r="2252" spans="19:27" x14ac:dyDescent="0.25">
      <c r="S2252" s="4">
        <v>0.296972841549206</v>
      </c>
      <c r="T2252" s="4">
        <v>1.3002252753167631</v>
      </c>
      <c r="U2252" s="4">
        <f t="shared" si="274"/>
        <v>1.2117194687901649</v>
      </c>
      <c r="W2252" s="4">
        <f t="shared" si="275"/>
        <v>0.53330496238577707</v>
      </c>
      <c r="X2252" s="4">
        <f t="shared" si="276"/>
        <v>2.2021661057516768</v>
      </c>
      <c r="Y2252" s="3">
        <f t="shared" si="273"/>
        <v>135.4874483788908</v>
      </c>
      <c r="AA2252" s="3"/>
    </row>
    <row r="2253" spans="19:27" x14ac:dyDescent="0.25">
      <c r="S2253" s="4">
        <v>-0.99680778358844946</v>
      </c>
      <c r="T2253" s="4">
        <v>-0.9094168843978645</v>
      </c>
      <c r="U2253" s="4">
        <f t="shared" si="274"/>
        <v>-1.3285637716556851</v>
      </c>
      <c r="W2253" s="4">
        <f t="shared" si="275"/>
        <v>-1.666713023074504</v>
      </c>
      <c r="X2253" s="4">
        <f t="shared" si="276"/>
        <v>-2.2765965321357489</v>
      </c>
      <c r="Y2253" s="3">
        <f t="shared" si="273"/>
        <v>46.67765228885537</v>
      </c>
      <c r="AA2253" s="3"/>
    </row>
    <row r="2254" spans="19:27" x14ac:dyDescent="0.25">
      <c r="S2254" s="4">
        <v>0.12761498894991374</v>
      </c>
      <c r="T2254" s="4">
        <v>1.3786510222139297</v>
      </c>
      <c r="U2254" s="4">
        <f t="shared" si="274"/>
        <v>1.170642606802863</v>
      </c>
      <c r="W2254" s="4">
        <f t="shared" si="275"/>
        <v>0.24531926028289441</v>
      </c>
      <c r="X2254" s="4">
        <f t="shared" si="276"/>
        <v>2.1297436641037542</v>
      </c>
      <c r="Y2254" s="3">
        <f t="shared" si="273"/>
        <v>173.817242965265</v>
      </c>
      <c r="AA2254" s="3"/>
    </row>
    <row r="2255" spans="19:27" x14ac:dyDescent="0.25">
      <c r="S2255" s="4">
        <v>2.3435130896984351</v>
      </c>
      <c r="T2255" s="4">
        <v>4.658433173490685E-2</v>
      </c>
      <c r="U2255" s="4">
        <f t="shared" si="274"/>
        <v>1.4655848955740955</v>
      </c>
      <c r="W2255" s="4">
        <f t="shared" si="275"/>
        <v>4.0133581231892963</v>
      </c>
      <c r="X2255" s="4">
        <f t="shared" si="276"/>
        <v>2.6497551660690832</v>
      </c>
      <c r="Y2255" s="3">
        <f t="shared" si="273"/>
        <v>-337.4733284499498</v>
      </c>
      <c r="AA2255" s="3"/>
    </row>
    <row r="2256" spans="19:27" x14ac:dyDescent="0.25">
      <c r="S2256" s="4">
        <v>1.4176212961909953</v>
      </c>
      <c r="T2256" s="4">
        <v>2.5882502972892483</v>
      </c>
      <c r="U2256" s="4">
        <f t="shared" si="274"/>
        <v>2.9158989255958794</v>
      </c>
      <c r="W2256" s="4">
        <f t="shared" si="275"/>
        <v>2.4389191814330662</v>
      </c>
      <c r="X2256" s="4">
        <f t="shared" si="276"/>
        <v>5.2067976987456559</v>
      </c>
      <c r="Y2256" s="3">
        <f t="shared" si="273"/>
        <v>145.01079565480177</v>
      </c>
      <c r="AA2256" s="3"/>
    </row>
    <row r="2257" spans="19:27" x14ac:dyDescent="0.25">
      <c r="S2257" s="4">
        <v>1.3034798753577743</v>
      </c>
      <c r="T2257" s="4">
        <v>-0.11942133378619514</v>
      </c>
      <c r="U2257" s="4">
        <f t="shared" si="274"/>
        <v>0.69996607688627055</v>
      </c>
      <c r="W2257" s="4">
        <f t="shared" si="275"/>
        <v>2.2448266329437434</v>
      </c>
      <c r="X2257" s="4">
        <f t="shared" si="276"/>
        <v>1.2998958647886867</v>
      </c>
      <c r="Y2257" s="3">
        <f t="shared" si="273"/>
        <v>-216.87975236242164</v>
      </c>
      <c r="AA2257" s="3"/>
    </row>
    <row r="2258" spans="19:27" x14ac:dyDescent="0.25">
      <c r="S2258" s="4">
        <v>1.5799834729950664</v>
      </c>
      <c r="T2258" s="4">
        <v>-0.8086578110354774</v>
      </c>
      <c r="U2258" s="4">
        <f t="shared" si="274"/>
        <v>0.32217658463599574</v>
      </c>
      <c r="W2258" s="4">
        <f t="shared" si="275"/>
        <v>2.7150090394717372</v>
      </c>
      <c r="X2258" s="4">
        <f t="shared" si="276"/>
        <v>0.63381680874609325</v>
      </c>
      <c r="Y2258" s="3">
        <f t="shared" si="273"/>
        <v>-352.93238712199127</v>
      </c>
      <c r="AA2258" s="3"/>
    </row>
    <row r="2259" spans="19:27" x14ac:dyDescent="0.25">
      <c r="S2259" s="4">
        <v>0.95748766202390845</v>
      </c>
      <c r="T2259" s="4">
        <v>0.29843491402704048</v>
      </c>
      <c r="U2259" s="4">
        <f t="shared" si="274"/>
        <v>0.82027281661613205</v>
      </c>
      <c r="W2259" s="4">
        <f t="shared" si="275"/>
        <v>1.6564818414280047</v>
      </c>
      <c r="X2259" s="4">
        <f t="shared" si="276"/>
        <v>1.5120081688062419</v>
      </c>
      <c r="Y2259" s="3">
        <f t="shared" si="273"/>
        <v>-107.2221903533482</v>
      </c>
      <c r="AA2259" s="3"/>
    </row>
    <row r="2260" spans="19:27" x14ac:dyDescent="0.25">
      <c r="S2260" s="4">
        <v>-1.3261532704851593</v>
      </c>
      <c r="T2260" s="4">
        <v>-0.5199536885347692</v>
      </c>
      <c r="U2260" s="4">
        <f t="shared" si="274"/>
        <v>-1.2206157617446345</v>
      </c>
      <c r="W2260" s="4">
        <f t="shared" si="275"/>
        <v>-2.2267507764036996</v>
      </c>
      <c r="X2260" s="4">
        <f t="shared" si="276"/>
        <v>-2.0862738523943118</v>
      </c>
      <c r="Y2260" s="3">
        <f t="shared" si="273"/>
        <v>161.18101047315849</v>
      </c>
      <c r="AA2260" s="3"/>
    </row>
    <row r="2261" spans="19:27" x14ac:dyDescent="0.25">
      <c r="S2261" s="4">
        <v>-0.76016018851946299</v>
      </c>
      <c r="T2261" s="4">
        <v>1.846541220543475</v>
      </c>
      <c r="U2261" s="4">
        <f t="shared" si="274"/>
        <v>1.00032787666406</v>
      </c>
      <c r="W2261" s="4">
        <f t="shared" si="275"/>
        <v>-1.2643040247852475</v>
      </c>
      <c r="X2261" s="4">
        <f t="shared" si="276"/>
        <v>1.8294624836895299</v>
      </c>
      <c r="Y2261" s="3">
        <f t="shared" si="273"/>
        <v>389.7121109974687</v>
      </c>
      <c r="AA2261" s="3"/>
    </row>
    <row r="2262" spans="19:27" x14ac:dyDescent="0.25">
      <c r="S2262" s="4">
        <v>0.22544431447619662</v>
      </c>
      <c r="T2262" s="4">
        <v>-0.75612758813262404</v>
      </c>
      <c r="U2262" s="4">
        <f t="shared" si="274"/>
        <v>-0.46194042022774717</v>
      </c>
      <c r="W2262" s="4">
        <f t="shared" si="275"/>
        <v>0.41167379634682044</v>
      </c>
      <c r="X2262" s="4">
        <f t="shared" si="276"/>
        <v>-0.74865656634870481</v>
      </c>
      <c r="Y2262" s="3">
        <f t="shared" si="273"/>
        <v>-140.3993736992511</v>
      </c>
      <c r="AA2262" s="3"/>
    </row>
    <row r="2263" spans="19:27" x14ac:dyDescent="0.25">
      <c r="S2263" s="4">
        <v>-0.13205930651004613</v>
      </c>
      <c r="T2263" s="4">
        <v>-1.581763661206545E-2</v>
      </c>
      <c r="U2263" s="4">
        <f t="shared" si="274"/>
        <v>-9.3044814037257867E-2</v>
      </c>
      <c r="W2263" s="4">
        <f t="shared" si="275"/>
        <v>-0.19624564591042176</v>
      </c>
      <c r="X2263" s="4">
        <f t="shared" si="276"/>
        <v>-9.8258283204177732E-2</v>
      </c>
      <c r="Y2263" s="3">
        <f t="shared" si="273"/>
        <v>21.722286372557846</v>
      </c>
      <c r="AA2263" s="3"/>
    </row>
    <row r="2264" spans="19:27" x14ac:dyDescent="0.25">
      <c r="S2264" s="4">
        <v>0.86092390934368279</v>
      </c>
      <c r="T2264" s="4">
        <v>-0.98552190915716564</v>
      </c>
      <c r="U2264" s="4">
        <f t="shared" si="274"/>
        <v>-0.2563769279353505</v>
      </c>
      <c r="W2264" s="4">
        <f t="shared" si="275"/>
        <v>1.4922793572414514</v>
      </c>
      <c r="X2264" s="4">
        <f t="shared" si="276"/>
        <v>-0.38622844245522225</v>
      </c>
      <c r="Y2264" s="3">
        <f t="shared" si="273"/>
        <v>-272.05144544166615</v>
      </c>
      <c r="AA2264" s="3"/>
    </row>
    <row r="2265" spans="19:27" x14ac:dyDescent="0.25">
      <c r="S2265" s="4">
        <v>-0.62958785878484613</v>
      </c>
      <c r="T2265" s="4">
        <v>0.83715968961512888</v>
      </c>
      <c r="U2265" s="4">
        <f t="shared" si="274"/>
        <v>0.27979899854885915</v>
      </c>
      <c r="W2265" s="4">
        <f t="shared" si="275"/>
        <v>-1.0422714264929032</v>
      </c>
      <c r="X2265" s="4">
        <f t="shared" si="276"/>
        <v>0.5591010659387623</v>
      </c>
      <c r="Y2265" s="3">
        <f t="shared" si="273"/>
        <v>225.75881399448917</v>
      </c>
      <c r="AA2265" s="3"/>
    </row>
    <row r="2266" spans="19:27" x14ac:dyDescent="0.25">
      <c r="S2266" s="4">
        <v>2.7232635883366338</v>
      </c>
      <c r="T2266" s="4">
        <v>0.40406624227893378</v>
      </c>
      <c r="U2266" s="4">
        <f t="shared" si="274"/>
        <v>1.9804623298848996</v>
      </c>
      <c r="W2266" s="4">
        <f t="shared" si="275"/>
        <v>4.659107418517209</v>
      </c>
      <c r="X2266" s="4">
        <f t="shared" si="276"/>
        <v>3.5575333929875246</v>
      </c>
      <c r="Y2266" s="3">
        <f t="shared" si="273"/>
        <v>-336.24303366000277</v>
      </c>
      <c r="AA2266" s="3"/>
    </row>
    <row r="2267" spans="19:27" x14ac:dyDescent="0.25">
      <c r="S2267" s="4">
        <v>0.97452837149809513</v>
      </c>
      <c r="T2267" s="4">
        <v>0.58317055811078788</v>
      </c>
      <c r="U2267" s="4">
        <f t="shared" si="274"/>
        <v>1.0563688858942575</v>
      </c>
      <c r="W2267" s="4">
        <f t="shared" si="275"/>
        <v>1.685458830725727</v>
      </c>
      <c r="X2267" s="4">
        <f t="shared" si="276"/>
        <v>1.9282681500551675</v>
      </c>
      <c r="Y2267" s="3">
        <f t="shared" si="273"/>
        <v>-69.992904295936114</v>
      </c>
      <c r="AA2267" s="3"/>
    </row>
    <row r="2268" spans="19:27" x14ac:dyDescent="0.25">
      <c r="S2268" s="4">
        <v>0.17546563496254419</v>
      </c>
      <c r="T2268" s="4">
        <v>-0.24993973085124679</v>
      </c>
      <c r="U2268" s="4">
        <f t="shared" si="274"/>
        <v>-9.1157463825074281E-2</v>
      </c>
      <c r="W2268" s="4">
        <f t="shared" si="275"/>
        <v>0.32668721385885674</v>
      </c>
      <c r="X2268" s="4">
        <f t="shared" si="276"/>
        <v>-9.4930704027041096E-2</v>
      </c>
      <c r="Y2268" s="3">
        <f t="shared" si="273"/>
        <v>-61.569393768201735</v>
      </c>
      <c r="AA2268" s="3"/>
    </row>
    <row r="2269" spans="19:27" x14ac:dyDescent="0.25">
      <c r="S2269" s="4">
        <v>1.9250079362942902</v>
      </c>
      <c r="T2269" s="4">
        <v>-0.9948945428036603</v>
      </c>
      <c r="U2269" s="4">
        <f t="shared" si="274"/>
        <v>0.38488282469231816</v>
      </c>
      <c r="W2269" s="4">
        <f t="shared" si="275"/>
        <v>3.3017082139174136</v>
      </c>
      <c r="X2269" s="4">
        <f t="shared" si="276"/>
        <v>0.74437391539273823</v>
      </c>
      <c r="Y2269" s="3">
        <f t="shared" si="273"/>
        <v>-427.00384607285332</v>
      </c>
      <c r="AA2269" s="3"/>
    </row>
    <row r="2270" spans="19:27" x14ac:dyDescent="0.25">
      <c r="S2270" s="4">
        <v>1.6766452869498931</v>
      </c>
      <c r="T2270" s="4">
        <v>1.1115409574062274</v>
      </c>
      <c r="U2270" s="4">
        <f t="shared" si="274"/>
        <v>1.9032300216487181</v>
      </c>
      <c r="W2270" s="4">
        <f t="shared" si="275"/>
        <v>2.8793782726137223</v>
      </c>
      <c r="X2270" s="4">
        <f t="shared" si="276"/>
        <v>3.421365436966485</v>
      </c>
      <c r="Y2270" s="3">
        <f t="shared" si="273"/>
        <v>-98.196930369882921</v>
      </c>
      <c r="AA2270" s="3"/>
    </row>
    <row r="2271" spans="19:27" x14ac:dyDescent="0.25">
      <c r="S2271" s="4">
        <v>1.266618521126988</v>
      </c>
      <c r="T2271" s="4">
        <v>0.27648277774767105</v>
      </c>
      <c r="U2271" s="4">
        <f t="shared" si="274"/>
        <v>0.99132460238038334</v>
      </c>
      <c r="W2271" s="4">
        <f t="shared" si="275"/>
        <v>2.1821454946576262</v>
      </c>
      <c r="X2271" s="4">
        <f t="shared" si="276"/>
        <v>1.813588848876545</v>
      </c>
      <c r="Y2271" s="3">
        <f t="shared" si="273"/>
        <v>-156.16978864763996</v>
      </c>
      <c r="AA2271" s="3"/>
    </row>
    <row r="2272" spans="19:27" x14ac:dyDescent="0.25">
      <c r="S2272" s="4">
        <v>0.73564504249856</v>
      </c>
      <c r="T2272" s="4">
        <v>-3.6639567202960883</v>
      </c>
      <c r="U2272" s="4">
        <f t="shared" si="274"/>
        <v>-2.4559236184080167</v>
      </c>
      <c r="W2272" s="4">
        <f t="shared" si="275"/>
        <v>1.2792480636030661</v>
      </c>
      <c r="X2272" s="4">
        <f t="shared" si="276"/>
        <v>-4.2642399101248296</v>
      </c>
      <c r="Y2272" s="3">
        <f t="shared" si="273"/>
        <v>-627.22302042861747</v>
      </c>
      <c r="AA2272" s="3"/>
    </row>
    <row r="2273" spans="19:27" x14ac:dyDescent="0.25">
      <c r="S2273" s="4">
        <v>3.8427847511872941E-2</v>
      </c>
      <c r="T2273" s="4">
        <v>-0.66108876249720694</v>
      </c>
      <c r="U2273" s="4">
        <f t="shared" si="274"/>
        <v>-0.50061331260255493</v>
      </c>
      <c r="W2273" s="4">
        <f t="shared" si="275"/>
        <v>9.3660384409248509E-2</v>
      </c>
      <c r="X2273" s="4">
        <f t="shared" si="276"/>
        <v>-0.81684057933968557</v>
      </c>
      <c r="Y2273" s="3">
        <f t="shared" si="273"/>
        <v>-96.670502663745992</v>
      </c>
      <c r="AA2273" s="3"/>
    </row>
    <row r="2274" spans="19:27" x14ac:dyDescent="0.25">
      <c r="S2274" s="4">
        <v>0.86427086296406697</v>
      </c>
      <c r="T2274" s="4">
        <v>-0.85637577582575386</v>
      </c>
      <c r="U2274" s="4">
        <f t="shared" si="274"/>
        <v>-0.15196344116288885</v>
      </c>
      <c r="W2274" s="4">
        <f t="shared" si="275"/>
        <v>1.4979707070872286</v>
      </c>
      <c r="X2274" s="4">
        <f t="shared" si="276"/>
        <v>-0.20213746551125863</v>
      </c>
      <c r="Y2274" s="3">
        <f t="shared" si="273"/>
        <v>-254.51093914720286</v>
      </c>
      <c r="AA2274" s="3"/>
    </row>
    <row r="2275" spans="19:27" x14ac:dyDescent="0.25">
      <c r="S2275" s="4">
        <v>-0.36596956258187346</v>
      </c>
      <c r="T2275" s="4">
        <v>1.0616453339636502</v>
      </c>
      <c r="U2275" s="4">
        <f t="shared" si="274"/>
        <v>0.61845457236853441</v>
      </c>
      <c r="W2275" s="4">
        <f t="shared" si="275"/>
        <v>-0.59399991764940918</v>
      </c>
      <c r="X2275" s="4">
        <f t="shared" si="276"/>
        <v>1.1561832759011756</v>
      </c>
      <c r="Y2275" s="3">
        <f t="shared" si="273"/>
        <v>211.72218269901896</v>
      </c>
      <c r="AA2275" s="3"/>
    </row>
    <row r="2276" spans="19:27" x14ac:dyDescent="0.25">
      <c r="S2276" s="4">
        <v>0.15846084746964656</v>
      </c>
      <c r="T2276" s="4">
        <v>0.88284141254757109</v>
      </c>
      <c r="U2276" s="4">
        <f t="shared" si="274"/>
        <v>0.79642260988860902</v>
      </c>
      <c r="W2276" s="4">
        <f t="shared" si="275"/>
        <v>0.29777130833636956</v>
      </c>
      <c r="X2276" s="4">
        <f t="shared" si="276"/>
        <v>1.4699579701920222</v>
      </c>
      <c r="Y2276" s="3">
        <f t="shared" si="273"/>
        <v>99.506695148731069</v>
      </c>
      <c r="AA2276" s="3"/>
    </row>
    <row r="2277" spans="19:27" x14ac:dyDescent="0.25">
      <c r="S2277" s="4">
        <v>-0.44211147021662611</v>
      </c>
      <c r="T2277" s="4">
        <v>0.14687820354337533</v>
      </c>
      <c r="U2277" s="4">
        <f t="shared" si="274"/>
        <v>-0.1530918368652362</v>
      </c>
      <c r="W2277" s="4">
        <f t="shared" si="275"/>
        <v>-0.72347593776362928</v>
      </c>
      <c r="X2277" s="4">
        <f t="shared" si="276"/>
        <v>-0.20412693520186645</v>
      </c>
      <c r="Y2277" s="3">
        <f t="shared" si="273"/>
        <v>96.883115979408103</v>
      </c>
      <c r="AA2277" s="3"/>
    </row>
    <row r="2278" spans="19:27" x14ac:dyDescent="0.25">
      <c r="S2278" s="4">
        <v>7.7055216463251849E-2</v>
      </c>
      <c r="T2278" s="4">
        <v>-1.2985237198490529</v>
      </c>
      <c r="U2278" s="4">
        <f t="shared" si="274"/>
        <v>-0.98235480992761059</v>
      </c>
      <c r="W2278" s="4">
        <f t="shared" si="275"/>
        <v>0.15934455433179767</v>
      </c>
      <c r="X2278" s="4">
        <f t="shared" si="276"/>
        <v>-1.6661969758967559</v>
      </c>
      <c r="Y2278" s="3">
        <f t="shared" si="273"/>
        <v>-192.08913673207917</v>
      </c>
      <c r="AA2278" s="3"/>
    </row>
    <row r="2279" spans="19:27" x14ac:dyDescent="0.25">
      <c r="S2279" s="4">
        <v>0.17135456754439912</v>
      </c>
      <c r="T2279" s="4">
        <v>-1.2528942252589155</v>
      </c>
      <c r="U2279" s="4">
        <f t="shared" si="274"/>
        <v>-0.88869768532540916</v>
      </c>
      <c r="W2279" s="4">
        <f t="shared" si="275"/>
        <v>0.31969652155474482</v>
      </c>
      <c r="X2279" s="4">
        <f t="shared" si="276"/>
        <v>-1.5010704956044694</v>
      </c>
      <c r="Y2279" s="3">
        <f t="shared" si="273"/>
        <v>-201.07476316756583</v>
      </c>
      <c r="AA2279" s="3"/>
    </row>
    <row r="2280" spans="19:27" x14ac:dyDescent="0.25">
      <c r="S2280" s="4">
        <v>0.67824144208414816</v>
      </c>
      <c r="T2280" s="4">
        <v>0.32147244605510344</v>
      </c>
      <c r="U2280" s="4">
        <f t="shared" si="274"/>
        <v>0.66829975821490262</v>
      </c>
      <c r="W2280" s="4">
        <f t="shared" si="275"/>
        <v>1.1816357243176139</v>
      </c>
      <c r="X2280" s="4">
        <f t="shared" si="276"/>
        <v>1.2440651122621031</v>
      </c>
      <c r="Y2280" s="3">
        <f t="shared" si="273"/>
        <v>-61.364776376677128</v>
      </c>
      <c r="AA2280" s="3"/>
    </row>
    <row r="2281" spans="19:27" x14ac:dyDescent="0.25">
      <c r="S2281" s="4">
        <v>-0.50097869717740406</v>
      </c>
      <c r="T2281" s="4">
        <v>-1.6585689516075397</v>
      </c>
      <c r="U2281" s="4">
        <f t="shared" si="274"/>
        <v>-1.6201421623630412</v>
      </c>
      <c r="W2281" s="4">
        <f t="shared" si="275"/>
        <v>-0.82357711067623529</v>
      </c>
      <c r="X2281" s="4">
        <f t="shared" si="276"/>
        <v>-2.7906771596512248</v>
      </c>
      <c r="Y2281" s="3">
        <f t="shared" si="273"/>
        <v>-145.32777705131411</v>
      </c>
      <c r="AA2281" s="3"/>
    </row>
    <row r="2282" spans="19:27" x14ac:dyDescent="0.25">
      <c r="S2282" s="4">
        <v>-1.5349167590243129</v>
      </c>
      <c r="T2282" s="4">
        <v>-1.7620396885233609</v>
      </c>
      <c r="U2282" s="4">
        <f t="shared" si="274"/>
        <v>-2.3324743012861546</v>
      </c>
      <c r="W2282" s="4">
        <f t="shared" si="275"/>
        <v>-2.581744057776036</v>
      </c>
      <c r="X2282" s="4">
        <f t="shared" si="276"/>
        <v>-4.0465869411979973</v>
      </c>
      <c r="Y2282" s="3">
        <f t="shared" si="273"/>
        <v>26.53418952812126</v>
      </c>
      <c r="AA2282" s="3"/>
    </row>
    <row r="2283" spans="19:27" x14ac:dyDescent="0.25">
      <c r="S2283" s="4">
        <v>-2.0229945080011715</v>
      </c>
      <c r="T2283" s="4">
        <v>-1.4042894850643453</v>
      </c>
      <c r="U2283" s="4">
        <f t="shared" si="274"/>
        <v>-2.3464316559255032</v>
      </c>
      <c r="W2283" s="4">
        <f t="shared" si="275"/>
        <v>-3.4116991561821584</v>
      </c>
      <c r="X2283" s="4">
        <f t="shared" si="276"/>
        <v>-4.0711950941343167</v>
      </c>
      <c r="Y2283" s="3">
        <f t="shared" si="273"/>
        <v>170.23564272284329</v>
      </c>
      <c r="AA2283" s="3"/>
    </row>
    <row r="2284" spans="19:27" x14ac:dyDescent="0.25">
      <c r="S2284" s="4">
        <v>0.48331183308262521</v>
      </c>
      <c r="T2284" s="4">
        <v>-1.0154626709967107</v>
      </c>
      <c r="U2284" s="4">
        <f t="shared" si="274"/>
        <v>-0.51031147780048602</v>
      </c>
      <c r="W2284" s="4">
        <f t="shared" si="275"/>
        <v>0.8501663566599692</v>
      </c>
      <c r="X2284" s="4">
        <f t="shared" si="276"/>
        <v>-0.83393937338476631</v>
      </c>
      <c r="Y2284" s="3">
        <f t="shared" si="273"/>
        <v>-217.77350918800676</v>
      </c>
      <c r="AA2284" s="3"/>
    </row>
    <row r="2285" spans="19:27" x14ac:dyDescent="0.25">
      <c r="S2285" s="4">
        <v>1.0062713936331837</v>
      </c>
      <c r="T2285" s="4">
        <v>-0.26293009493176162</v>
      </c>
      <c r="U2285" s="4">
        <f t="shared" si="274"/>
        <v>0.40502290554692644</v>
      </c>
      <c r="W2285" s="4">
        <f t="shared" si="275"/>
        <v>1.7394364666967621</v>
      </c>
      <c r="X2285" s="4">
        <f t="shared" si="276"/>
        <v>0.77988280677125232</v>
      </c>
      <c r="Y2285" s="3">
        <f t="shared" si="273"/>
        <v>-193.01028349943726</v>
      </c>
      <c r="AA2285" s="3"/>
    </row>
    <row r="2286" spans="19:27" x14ac:dyDescent="0.25">
      <c r="S2286" s="4">
        <v>0.28429583384186446</v>
      </c>
      <c r="T2286" s="4">
        <v>-5.440793181787533E-2</v>
      </c>
      <c r="U2286" s="4">
        <f t="shared" si="274"/>
        <v>0.13018435015786306</v>
      </c>
      <c r="W2286" s="4">
        <f t="shared" si="275"/>
        <v>0.51174825917343569</v>
      </c>
      <c r="X2286" s="4">
        <f t="shared" si="276"/>
        <v>0.29531611210949993</v>
      </c>
      <c r="Y2286" s="3">
        <f t="shared" si="273"/>
        <v>-51.801072979956189</v>
      </c>
      <c r="AA2286" s="3"/>
    </row>
    <row r="2287" spans="19:27" x14ac:dyDescent="0.25">
      <c r="S2287" s="4">
        <v>0.22297210505632883</v>
      </c>
      <c r="T2287" s="4">
        <v>1.7791264982767823</v>
      </c>
      <c r="U2287" s="4">
        <f t="shared" si="274"/>
        <v>1.5462281460314258</v>
      </c>
      <c r="W2287" s="4">
        <f t="shared" si="275"/>
        <v>0.40746991117350928</v>
      </c>
      <c r="X2287" s="4">
        <f t="shared" si="276"/>
        <v>2.7919369398947049</v>
      </c>
      <c r="Y2287" s="3">
        <f t="shared" si="273"/>
        <v>214.3247782226108</v>
      </c>
      <c r="AA2287" s="3"/>
    </row>
    <row r="2288" spans="19:27" x14ac:dyDescent="0.25">
      <c r="S2288" s="4">
        <v>0.63945265025268871</v>
      </c>
      <c r="T2288" s="4">
        <v>1.0822356889957625</v>
      </c>
      <c r="U2288" s="4">
        <f t="shared" si="274"/>
        <v>1.2477041962463906</v>
      </c>
      <c r="W2288" s="4">
        <f t="shared" si="275"/>
        <v>1.1156770617704714</v>
      </c>
      <c r="X2288" s="4">
        <f t="shared" si="276"/>
        <v>2.2656106265434683</v>
      </c>
      <c r="Y2288" s="3">
        <f t="shared" si="273"/>
        <v>50.971664257222074</v>
      </c>
      <c r="AA2288" s="3"/>
    </row>
    <row r="2289" spans="19:27" x14ac:dyDescent="0.25">
      <c r="S2289" s="4">
        <v>-2.8753648802865284E-2</v>
      </c>
      <c r="T2289" s="4">
        <v>0.22720530139134495</v>
      </c>
      <c r="U2289" s="4">
        <f t="shared" si="274"/>
        <v>0.16257496321629961</v>
      </c>
      <c r="W2289" s="4">
        <f t="shared" si="275"/>
        <v>-2.0578843873237201E-2</v>
      </c>
      <c r="X2289" s="4">
        <f t="shared" si="276"/>
        <v>0.35242386500674483</v>
      </c>
      <c r="Y2289" s="3">
        <f t="shared" si="273"/>
        <v>38.541249135072121</v>
      </c>
      <c r="AA2289" s="3"/>
    </row>
    <row r="2290" spans="19:27" x14ac:dyDescent="0.25">
      <c r="S2290" s="4">
        <v>1.1992862778594584</v>
      </c>
      <c r="T2290" s="4">
        <v>-1.1136128105303122</v>
      </c>
      <c r="U2290" s="4">
        <f t="shared" si="274"/>
        <v>-0.15164031381393006</v>
      </c>
      <c r="W2290" s="4">
        <f t="shared" si="275"/>
        <v>2.0676499277030733</v>
      </c>
      <c r="X2290" s="4">
        <f t="shared" si="276"/>
        <v>-0.20156776104887661</v>
      </c>
      <c r="Y2290" s="3">
        <f t="shared" si="273"/>
        <v>-340.57295749024524</v>
      </c>
      <c r="AA2290" s="3"/>
    </row>
    <row r="2291" spans="19:27" x14ac:dyDescent="0.25">
      <c r="S2291" s="4">
        <v>0.34240936579200348</v>
      </c>
      <c r="T2291" s="4">
        <v>-0.38741766924485954</v>
      </c>
      <c r="U2291" s="4">
        <f t="shared" si="274"/>
        <v>-9.8362505232327174E-2</v>
      </c>
      <c r="W2291" s="4">
        <f t="shared" si="275"/>
        <v>0.61056780632450192</v>
      </c>
      <c r="X2291" s="4">
        <f t="shared" si="276"/>
        <v>-0.10763388206067345</v>
      </c>
      <c r="Y2291" s="3">
        <f t="shared" si="273"/>
        <v>-107.64653875147087</v>
      </c>
      <c r="AA2291" s="3"/>
    </row>
    <row r="2292" spans="19:27" x14ac:dyDescent="0.25">
      <c r="S2292" s="4">
        <v>-0.11560042679857681</v>
      </c>
      <c r="T2292" s="4">
        <v>-0.67341058469907888</v>
      </c>
      <c r="U2292" s="4">
        <f t="shared" si="274"/>
        <v>-0.60427979539666843</v>
      </c>
      <c r="W2292" s="4">
        <f t="shared" si="275"/>
        <v>-0.16825803295485814</v>
      </c>
      <c r="X2292" s="4">
        <f t="shared" si="276"/>
        <v>-0.9996145167286461</v>
      </c>
      <c r="Y2292" s="3">
        <f t="shared" si="273"/>
        <v>-72.924776739866957</v>
      </c>
      <c r="AA2292" s="3"/>
    </row>
    <row r="2293" spans="19:27" x14ac:dyDescent="0.25">
      <c r="S2293" s="4">
        <v>0.993137502500401</v>
      </c>
      <c r="T2293" s="4">
        <v>-0.57750272622847798</v>
      </c>
      <c r="U2293" s="4">
        <f t="shared" si="274"/>
        <v>0.14765697826515078</v>
      </c>
      <c r="W2293" s="4">
        <f t="shared" si="275"/>
        <v>1.7171028529837535</v>
      </c>
      <c r="X2293" s="4">
        <f t="shared" si="276"/>
        <v>0.32612202883037988</v>
      </c>
      <c r="Y2293" s="3">
        <f t="shared" si="273"/>
        <v>-235.00408269595164</v>
      </c>
      <c r="AA2293" s="3"/>
    </row>
    <row r="2294" spans="19:27" x14ac:dyDescent="0.25">
      <c r="S2294" s="4">
        <v>-0.13899665603614081</v>
      </c>
      <c r="T2294" s="4">
        <v>-0.3992432943080384</v>
      </c>
      <c r="U2294" s="4">
        <f t="shared" si="274"/>
        <v>-0.40121243580580779</v>
      </c>
      <c r="W2294" s="4">
        <f t="shared" si="275"/>
        <v>-0.20804230867711665</v>
      </c>
      <c r="X2294" s="4">
        <f t="shared" si="276"/>
        <v>-0.64158731384461998</v>
      </c>
      <c r="Y2294" s="3">
        <f t="shared" si="273"/>
        <v>-30.707846412227809</v>
      </c>
      <c r="AA2294" s="3"/>
    </row>
    <row r="2295" spans="19:27" x14ac:dyDescent="0.25">
      <c r="S2295" s="4">
        <v>-0.10612727379833929</v>
      </c>
      <c r="T2295" s="4">
        <v>-0.49956003776314578</v>
      </c>
      <c r="U2295" s="4">
        <f t="shared" si="274"/>
        <v>-0.46069480891970177</v>
      </c>
      <c r="W2295" s="4">
        <f t="shared" si="275"/>
        <v>-0.15214934607656908</v>
      </c>
      <c r="X2295" s="4">
        <f t="shared" si="276"/>
        <v>-0.746460434319418</v>
      </c>
      <c r="Y2295" s="3">
        <f t="shared" si="273"/>
        <v>-50.204153131513067</v>
      </c>
      <c r="AA2295" s="3"/>
    </row>
    <row r="2296" spans="19:27" x14ac:dyDescent="0.25">
      <c r="S2296" s="4">
        <v>0.57897434634550116</v>
      </c>
      <c r="T2296" s="4">
        <v>-2.0980583351399598</v>
      </c>
      <c r="U2296" s="4">
        <f t="shared" si="274"/>
        <v>-1.3101584180126047</v>
      </c>
      <c r="W2296" s="4">
        <f t="shared" si="275"/>
        <v>1.0128363222039867</v>
      </c>
      <c r="X2296" s="4">
        <f t="shared" si="276"/>
        <v>-2.2441461309673874</v>
      </c>
      <c r="Y2296" s="3">
        <f t="shared" si="273"/>
        <v>-384.08466844375425</v>
      </c>
      <c r="AA2296" s="3"/>
    </row>
    <row r="2297" spans="19:27" x14ac:dyDescent="0.25">
      <c r="S2297" s="4">
        <v>3.343026200497573E-2</v>
      </c>
      <c r="T2297" s="4">
        <v>-1.1269157838014698</v>
      </c>
      <c r="U2297" s="4">
        <f t="shared" si="274"/>
        <v>-0.872917314227315</v>
      </c>
      <c r="W2297" s="4">
        <f t="shared" si="275"/>
        <v>8.5162206445051777E-2</v>
      </c>
      <c r="X2297" s="4">
        <f t="shared" si="276"/>
        <v>-1.4732481900596208</v>
      </c>
      <c r="Y2297" s="3">
        <f t="shared" si="273"/>
        <v>-160.95335345567901</v>
      </c>
      <c r="AA2297" s="3"/>
    </row>
    <row r="2298" spans="19:27" x14ac:dyDescent="0.25">
      <c r="S2298" s="4">
        <v>-1.6505721509323623</v>
      </c>
      <c r="T2298" s="4">
        <v>2.0088426004515201</v>
      </c>
      <c r="U2298" s="4">
        <f t="shared" si="274"/>
        <v>0.58616788615217819</v>
      </c>
      <c r="W2298" s="4">
        <f t="shared" si="275"/>
        <v>-2.778411048585312</v>
      </c>
      <c r="X2298" s="4">
        <f t="shared" si="276"/>
        <v>1.099258755979676</v>
      </c>
      <c r="Y2298" s="3">
        <f t="shared" si="273"/>
        <v>575.41725471308291</v>
      </c>
      <c r="AA2298" s="3"/>
    </row>
    <row r="2299" spans="19:27" x14ac:dyDescent="0.25">
      <c r="S2299" s="4">
        <v>-0.32699501394254477</v>
      </c>
      <c r="T2299" s="4">
        <v>-4.879944907625168E-2</v>
      </c>
      <c r="U2299" s="4">
        <f t="shared" si="274"/>
        <v>-0.23802639017552421</v>
      </c>
      <c r="W2299" s="4">
        <f t="shared" si="275"/>
        <v>-0.52772538368612887</v>
      </c>
      <c r="X2299" s="4">
        <f t="shared" si="276"/>
        <v>-0.35387468693879898</v>
      </c>
      <c r="Y2299" s="3">
        <f t="shared" si="273"/>
        <v>49.902792050274002</v>
      </c>
      <c r="AA2299" s="3"/>
    </row>
    <row r="2300" spans="19:27" x14ac:dyDescent="0.25">
      <c r="S2300" s="4">
        <v>-1.555388967189274</v>
      </c>
      <c r="T2300" s="4">
        <v>0.20358727644826591</v>
      </c>
      <c r="U2300" s="4">
        <f t="shared" si="274"/>
        <v>-0.7868178088106661</v>
      </c>
      <c r="W2300" s="4">
        <f t="shared" si="275"/>
        <v>-2.6165561621544033</v>
      </c>
      <c r="X2300" s="4">
        <f t="shared" si="276"/>
        <v>-1.321446516190768</v>
      </c>
      <c r="Y2300" s="3">
        <f t="shared" si="273"/>
        <v>305.1042639905836</v>
      </c>
      <c r="AA2300" s="3"/>
    </row>
    <row r="2301" spans="19:27" x14ac:dyDescent="0.25">
      <c r="S2301" s="4">
        <v>-0.4570929309723285</v>
      </c>
      <c r="T2301" s="4">
        <v>0.86301767125252637</v>
      </c>
      <c r="U2301" s="4">
        <f t="shared" si="274"/>
        <v>0.40545317089473215</v>
      </c>
      <c r="W2301" s="4">
        <f t="shared" si="275"/>
        <v>-0.74895126369649823</v>
      </c>
      <c r="X2301" s="4">
        <f t="shared" si="276"/>
        <v>0.78064140578629426</v>
      </c>
      <c r="Y2301" s="3">
        <f t="shared" si="273"/>
        <v>199.53993612842805</v>
      </c>
      <c r="AA2301" s="3"/>
    </row>
    <row r="2302" spans="19:27" x14ac:dyDescent="0.25">
      <c r="S2302" s="4">
        <v>-0.49965754130317958</v>
      </c>
      <c r="T2302" s="4">
        <v>-0.21223200802899708</v>
      </c>
      <c r="U2302" s="4">
        <f t="shared" si="274"/>
        <v>-0.47283700439227039</v>
      </c>
      <c r="W2302" s="4">
        <f t="shared" si="275"/>
        <v>-0.82133054226392721</v>
      </c>
      <c r="X2302" s="4">
        <f t="shared" si="276"/>
        <v>-0.76786828780544159</v>
      </c>
      <c r="Y2302" s="3">
        <f t="shared" si="273"/>
        <v>56.583479342583814</v>
      </c>
      <c r="AA2302" s="3"/>
    </row>
    <row r="2303" spans="19:27" x14ac:dyDescent="0.25">
      <c r="S2303" s="4">
        <v>-0.94486203945524716</v>
      </c>
      <c r="T2303" s="4">
        <v>0.45982136289333575</v>
      </c>
      <c r="U2303" s="4">
        <f t="shared" si="274"/>
        <v>-0.2115122563714954</v>
      </c>
      <c r="W2303" s="4">
        <f t="shared" si="275"/>
        <v>-1.5783815322941381</v>
      </c>
      <c r="X2303" s="4">
        <f t="shared" si="276"/>
        <v>-0.30712772976224811</v>
      </c>
      <c r="Y2303" s="3">
        <f t="shared" si="273"/>
        <v>228.71872039476057</v>
      </c>
      <c r="AA2303" s="3"/>
    </row>
    <row r="2304" spans="19:27" x14ac:dyDescent="0.25">
      <c r="S2304" s="4">
        <v>0.93556509654314046</v>
      </c>
      <c r="T2304" s="4">
        <v>-1.3616059356552068</v>
      </c>
      <c r="U2304" s="4">
        <f t="shared" si="274"/>
        <v>-0.5089928010910687</v>
      </c>
      <c r="W2304" s="4">
        <f t="shared" si="275"/>
        <v>1.6192034671750368</v>
      </c>
      <c r="X2304" s="4">
        <f t="shared" si="276"/>
        <v>-0.83161442005532815</v>
      </c>
      <c r="Y2304" s="3">
        <f t="shared" si="273"/>
        <v>-335.92195167367709</v>
      </c>
      <c r="AA2304" s="3"/>
    </row>
    <row r="2305" spans="19:27" x14ac:dyDescent="0.25">
      <c r="S2305" s="4">
        <v>-1.0647108159205343</v>
      </c>
      <c r="T2305" s="4">
        <v>-0.8163397753978191</v>
      </c>
      <c r="U2305" s="4">
        <f t="shared" si="274"/>
        <v>-1.296177493757493</v>
      </c>
      <c r="W2305" s="4">
        <f t="shared" si="275"/>
        <v>-1.7821791921415999</v>
      </c>
      <c r="X2305" s="4">
        <f t="shared" si="276"/>
        <v>-2.2194964225411966</v>
      </c>
      <c r="Y2305" s="3">
        <f t="shared" si="273"/>
        <v>71.934850840693798</v>
      </c>
      <c r="AA2305" s="3"/>
    </row>
    <row r="2306" spans="19:27" x14ac:dyDescent="0.25">
      <c r="S2306" s="4">
        <v>-2.5018641730266018</v>
      </c>
      <c r="T2306" s="4">
        <v>0.50042828476621726</v>
      </c>
      <c r="U2306" s="4">
        <f t="shared" si="274"/>
        <v>-1.1285067137172855</v>
      </c>
      <c r="W2306" s="4">
        <f t="shared" si="275"/>
        <v>-4.2259963061608845</v>
      </c>
      <c r="X2306" s="4">
        <f t="shared" si="276"/>
        <v>-1.9238767793640366</v>
      </c>
      <c r="Y2306" s="3">
        <f t="shared" ref="Y2306:Y2369" si="277">(B$4*EXP(-B$8*B$7)*NORMSDIST((LN(B$4/(B$5+W2306))-B$8*B$7+B$9*B$7+0.5*B$6*B$6*B$7)/(B$6*SQRT(B$7)))-(B$5+W2306)*EXP(-B$9*B$7)*NORMSDIST((LN(B$4/(B$5+W2306))-B$8*B$7+B$9*B$7-0.5*B$6*B$6*B$7)/(B$6*SQRT(B$7))))*400+100*X2306-400*$B$13</f>
        <v>532.00975555153582</v>
      </c>
      <c r="AA2306" s="3"/>
    </row>
    <row r="2307" spans="19:27" x14ac:dyDescent="0.25">
      <c r="S2307" s="4">
        <v>-2.7104796252624954</v>
      </c>
      <c r="T2307" s="4">
        <v>0.83109826346769566</v>
      </c>
      <c r="U2307" s="4">
        <f t="shared" ref="U2307:U2370" si="278">$B$19*S2307+SQRT(1-$B$19^2)*T2307</f>
        <v>-0.99356389497799591</v>
      </c>
      <c r="W2307" s="4">
        <f t="shared" ref="W2307:W2370" si="279">S2307*SQRT($B$16)+$B$20</f>
        <v>-4.5807378582034213</v>
      </c>
      <c r="X2307" s="4">
        <f t="shared" ref="X2307:X2370" si="280">U2307*SQRT($C$17)+$C$20</f>
        <v>-1.6859596663437302</v>
      </c>
      <c r="Y2307" s="3">
        <f t="shared" si="277"/>
        <v>620.99518473947319</v>
      </c>
      <c r="AA2307" s="3"/>
    </row>
    <row r="2308" spans="19:27" x14ac:dyDescent="0.25">
      <c r="S2308" s="4">
        <v>0.69650839388290731</v>
      </c>
      <c r="T2308" s="4">
        <v>0.14462602776894568</v>
      </c>
      <c r="U2308" s="4">
        <f t="shared" si="278"/>
        <v>0.53925095524745703</v>
      </c>
      <c r="W2308" s="4">
        <f t="shared" si="279"/>
        <v>1.2126978856423207</v>
      </c>
      <c r="X2308" s="4">
        <f t="shared" si="280"/>
        <v>1.0165397135222174</v>
      </c>
      <c r="Y2308" s="3">
        <f t="shared" si="277"/>
        <v>-88.904673090250981</v>
      </c>
      <c r="AA2308" s="3"/>
    </row>
    <row r="2309" spans="19:27" x14ac:dyDescent="0.25">
      <c r="S2309" s="4">
        <v>-1.9420360837970794</v>
      </c>
      <c r="T2309" s="4">
        <v>1.2643163123459649</v>
      </c>
      <c r="U2309" s="4">
        <f t="shared" si="278"/>
        <v>-0.18169507689473918</v>
      </c>
      <c r="W2309" s="4">
        <f t="shared" si="279"/>
        <v>-3.2740328579992073</v>
      </c>
      <c r="X2309" s="4">
        <f t="shared" si="280"/>
        <v>-0.25455718672932193</v>
      </c>
      <c r="Y2309" s="3">
        <f t="shared" si="277"/>
        <v>527.39733558233092</v>
      </c>
      <c r="AA2309" s="3"/>
    </row>
    <row r="2310" spans="19:27" x14ac:dyDescent="0.25">
      <c r="S2310" s="4">
        <v>-8.535178895345695E-2</v>
      </c>
      <c r="T2310" s="4">
        <v>2.6041932503705185E-2</v>
      </c>
      <c r="U2310" s="4">
        <f t="shared" si="278"/>
        <v>-3.1389122849158277E-2</v>
      </c>
      <c r="W2310" s="4">
        <f t="shared" si="279"/>
        <v>-0.11682153282342535</v>
      </c>
      <c r="X2310" s="4">
        <f t="shared" si="280"/>
        <v>1.0446605175875263E-2</v>
      </c>
      <c r="Y2310" s="3">
        <f t="shared" si="277"/>
        <v>19.800661583059536</v>
      </c>
      <c r="AA2310" s="3"/>
    </row>
    <row r="2311" spans="19:27" x14ac:dyDescent="0.25">
      <c r="S2311" s="4">
        <v>0.38790390881450654</v>
      </c>
      <c r="T2311" s="4">
        <v>0.16225804949698028</v>
      </c>
      <c r="U2311" s="4">
        <f t="shared" si="278"/>
        <v>0.36509553851337756</v>
      </c>
      <c r="W2311" s="4">
        <f t="shared" si="279"/>
        <v>0.68792930868828484</v>
      </c>
      <c r="X2311" s="4">
        <f t="shared" si="280"/>
        <v>0.70948703481485786</v>
      </c>
      <c r="Y2311" s="3">
        <f t="shared" si="277"/>
        <v>-38.073342008698091</v>
      </c>
      <c r="AA2311" s="3"/>
    </row>
    <row r="2312" spans="19:27" x14ac:dyDescent="0.25">
      <c r="S2312" s="4">
        <v>-0.2180663030382517</v>
      </c>
      <c r="T2312" s="4">
        <v>0.66054254100376031</v>
      </c>
      <c r="U2312" s="4">
        <f t="shared" si="278"/>
        <v>0.39066871662839736</v>
      </c>
      <c r="W2312" s="4">
        <f t="shared" si="279"/>
        <v>-0.34249682293461003</v>
      </c>
      <c r="X2312" s="4">
        <f t="shared" si="280"/>
        <v>0.75457499699559816</v>
      </c>
      <c r="Y2312" s="3">
        <f t="shared" si="277"/>
        <v>130.64658416967723</v>
      </c>
      <c r="AA2312" s="3"/>
    </row>
    <row r="2313" spans="19:27" x14ac:dyDescent="0.25">
      <c r="S2313" s="4">
        <v>-0.85100534250846616</v>
      </c>
      <c r="T2313" s="4">
        <v>1.9573723407556778</v>
      </c>
      <c r="U2313" s="4">
        <f t="shared" si="278"/>
        <v>1.032801588310988</v>
      </c>
      <c r="W2313" s="4">
        <f t="shared" si="279"/>
        <v>-1.4187822792779294</v>
      </c>
      <c r="X2313" s="4">
        <f t="shared" si="280"/>
        <v>1.8867167473567044</v>
      </c>
      <c r="Y2313" s="3">
        <f t="shared" si="277"/>
        <v>421.27582814455309</v>
      </c>
      <c r="AA2313" s="3"/>
    </row>
    <row r="2314" spans="19:27" x14ac:dyDescent="0.25">
      <c r="S2314" s="4">
        <v>1.3591218185263798</v>
      </c>
      <c r="T2314" s="4">
        <v>0.12212875803787888</v>
      </c>
      <c r="U2314" s="4">
        <f t="shared" si="278"/>
        <v>0.92536147687982506</v>
      </c>
      <c r="W2314" s="4">
        <f t="shared" si="279"/>
        <v>2.3394433502901375</v>
      </c>
      <c r="X2314" s="4">
        <f t="shared" si="280"/>
        <v>1.6972895412771578</v>
      </c>
      <c r="Y2314" s="3">
        <f t="shared" si="277"/>
        <v>-191.20305881320246</v>
      </c>
      <c r="AA2314" s="3"/>
    </row>
    <row r="2315" spans="19:27" x14ac:dyDescent="0.25">
      <c r="S2315" s="4">
        <v>0.32883138690054264</v>
      </c>
      <c r="T2315" s="4">
        <v>-0.84106001121820673</v>
      </c>
      <c r="U2315" s="4">
        <f t="shared" si="278"/>
        <v>-0.46623860804983785</v>
      </c>
      <c r="W2315" s="4">
        <f t="shared" si="279"/>
        <v>0.58747904058862954</v>
      </c>
      <c r="X2315" s="4">
        <f t="shared" si="280"/>
        <v>-0.75623468311997633</v>
      </c>
      <c r="Y2315" s="3">
        <f t="shared" si="277"/>
        <v>-168.87779663704032</v>
      </c>
      <c r="AA2315" s="3"/>
    </row>
    <row r="2316" spans="19:27" x14ac:dyDescent="0.25">
      <c r="S2316" s="4">
        <v>0.13153197568042913</v>
      </c>
      <c r="T2316" s="4">
        <v>0.78193809749361409</v>
      </c>
      <c r="U2316" s="4">
        <f t="shared" si="278"/>
        <v>0.70002091628503404</v>
      </c>
      <c r="W2316" s="4">
        <f t="shared" si="279"/>
        <v>0.25197992677341807</v>
      </c>
      <c r="X2316" s="4">
        <f t="shared" si="280"/>
        <v>1.2999925519007203</v>
      </c>
      <c r="Y2316" s="3">
        <f t="shared" si="277"/>
        <v>89.783303506797893</v>
      </c>
      <c r="AA2316" s="3"/>
    </row>
    <row r="2317" spans="19:27" x14ac:dyDescent="0.25">
      <c r="S2317" s="4">
        <v>-0.58102653044076136</v>
      </c>
      <c r="T2317" s="4">
        <v>1.9489917947797263E-2</v>
      </c>
      <c r="U2317" s="4">
        <f t="shared" si="278"/>
        <v>-0.33875723432833088</v>
      </c>
      <c r="W2317" s="4">
        <f t="shared" si="279"/>
        <v>-0.95969498835567135</v>
      </c>
      <c r="X2317" s="4">
        <f t="shared" si="280"/>
        <v>-0.53147281225464738</v>
      </c>
      <c r="Y2317" s="3">
        <f t="shared" si="277"/>
        <v>103.03767654569265</v>
      </c>
      <c r="AA2317" s="3"/>
    </row>
    <row r="2318" spans="19:27" x14ac:dyDescent="0.25">
      <c r="S2318" s="4">
        <v>0.14364936824993968</v>
      </c>
      <c r="T2318" s="4">
        <v>-0.21734621472013541</v>
      </c>
      <c r="U2318" s="4">
        <f t="shared" si="278"/>
        <v>-8.4716749786634557E-2</v>
      </c>
      <c r="W2318" s="4">
        <f t="shared" si="279"/>
        <v>0.27258502865223894</v>
      </c>
      <c r="X2318" s="4">
        <f t="shared" si="280"/>
        <v>-8.3575108344876942E-2</v>
      </c>
      <c r="Y2318" s="3">
        <f t="shared" si="277"/>
        <v>-51.847553784362844</v>
      </c>
      <c r="AA2318" s="3"/>
    </row>
    <row r="2319" spans="19:27" x14ac:dyDescent="0.25">
      <c r="S2319" s="4">
        <v>0.73296227446290085</v>
      </c>
      <c r="T2319" s="4">
        <v>-1.0450578104317227</v>
      </c>
      <c r="U2319" s="4">
        <f t="shared" si="278"/>
        <v>-0.3815788294006135</v>
      </c>
      <c r="W2319" s="4">
        <f t="shared" si="279"/>
        <v>1.2746861326121455</v>
      </c>
      <c r="X2319" s="4">
        <f t="shared" si="280"/>
        <v>-0.60697138542589057</v>
      </c>
      <c r="Y2319" s="3">
        <f t="shared" si="277"/>
        <v>-260.79491813476761</v>
      </c>
      <c r="AA2319" s="3"/>
    </row>
    <row r="2320" spans="19:27" x14ac:dyDescent="0.25">
      <c r="S2320" s="4">
        <v>-0.1914960001986403</v>
      </c>
      <c r="T2320" s="4">
        <v>0.65470792720308468</v>
      </c>
      <c r="U2320" s="4">
        <f t="shared" si="278"/>
        <v>0.40224151427872967</v>
      </c>
      <c r="W2320" s="4">
        <f t="shared" si="279"/>
        <v>-0.29731517235914867</v>
      </c>
      <c r="X2320" s="4">
        <f t="shared" si="280"/>
        <v>0.77497894758932906</v>
      </c>
      <c r="Y2320" s="3">
        <f t="shared" si="277"/>
        <v>125.37167062134949</v>
      </c>
      <c r="AA2320" s="3"/>
    </row>
    <row r="2321" spans="19:27" x14ac:dyDescent="0.25">
      <c r="S2321" s="4">
        <v>-7.7883582922679316E-3</v>
      </c>
      <c r="T2321" s="4">
        <v>0.39252620536392402</v>
      </c>
      <c r="U2321" s="4">
        <f t="shared" si="278"/>
        <v>0.30640443322901051</v>
      </c>
      <c r="W2321" s="4">
        <f t="shared" si="279"/>
        <v>1.507172570366185E-2</v>
      </c>
      <c r="X2321" s="4">
        <f t="shared" si="280"/>
        <v>0.60600899530387609</v>
      </c>
      <c r="Y2321" s="3">
        <f t="shared" si="277"/>
        <v>58.186236926896981</v>
      </c>
      <c r="AA2321" s="3"/>
    </row>
    <row r="2322" spans="19:27" x14ac:dyDescent="0.25">
      <c r="S2322" s="4">
        <v>-0.75486376018982648</v>
      </c>
      <c r="T2322" s="4">
        <v>-1.34819882514623</v>
      </c>
      <c r="U2322" s="4">
        <f t="shared" si="278"/>
        <v>-1.5288882392584713</v>
      </c>
      <c r="W2322" s="4">
        <f t="shared" si="279"/>
        <v>-1.2552976775286082</v>
      </c>
      <c r="X2322" s="4">
        <f t="shared" si="280"/>
        <v>-2.6297877537558145</v>
      </c>
      <c r="Y2322" s="3">
        <f t="shared" si="277"/>
        <v>-57.715443600475282</v>
      </c>
      <c r="AA2322" s="3"/>
    </row>
    <row r="2323" spans="19:27" x14ac:dyDescent="0.25">
      <c r="S2323" s="4">
        <v>1.302911619684838</v>
      </c>
      <c r="T2323" s="4">
        <v>-1.5935002530774902</v>
      </c>
      <c r="U2323" s="4">
        <f t="shared" si="278"/>
        <v>-0.46887093906031496</v>
      </c>
      <c r="W2323" s="4">
        <f t="shared" si="279"/>
        <v>2.2438603387540565</v>
      </c>
      <c r="X2323" s="4">
        <f t="shared" si="280"/>
        <v>-0.76087573479191828</v>
      </c>
      <c r="Y2323" s="3">
        <f t="shared" si="277"/>
        <v>-422.81306467040804</v>
      </c>
      <c r="AA2323" s="3"/>
    </row>
    <row r="2324" spans="19:27" x14ac:dyDescent="0.25">
      <c r="S2324" s="4">
        <v>-0.45810633030556375</v>
      </c>
      <c r="T2324" s="4">
        <v>-0.69848948353441431</v>
      </c>
      <c r="U2324" s="4">
        <f t="shared" si="278"/>
        <v>-0.8329588790665341</v>
      </c>
      <c r="W2324" s="4">
        <f t="shared" si="279"/>
        <v>-0.75067450542407765</v>
      </c>
      <c r="X2324" s="4">
        <f t="shared" si="280"/>
        <v>-1.4027976420194965</v>
      </c>
      <c r="Y2324" s="3">
        <f t="shared" si="277"/>
        <v>-18.521096899130043</v>
      </c>
      <c r="AA2324" s="3"/>
    </row>
    <row r="2325" spans="19:27" x14ac:dyDescent="0.25">
      <c r="S2325" s="4">
        <v>0.41412652101141895</v>
      </c>
      <c r="T2325" s="4">
        <v>-1.5353070072938153</v>
      </c>
      <c r="U2325" s="4">
        <f t="shared" si="278"/>
        <v>-0.96456484416536059</v>
      </c>
      <c r="W2325" s="4">
        <f t="shared" si="279"/>
        <v>0.73251972636656726</v>
      </c>
      <c r="X2325" s="4">
        <f t="shared" si="280"/>
        <v>-1.6348315624984933</v>
      </c>
      <c r="Y2325" s="3">
        <f t="shared" si="277"/>
        <v>-279.48804180233719</v>
      </c>
      <c r="AA2325" s="3"/>
    </row>
    <row r="2326" spans="19:27" x14ac:dyDescent="0.25">
      <c r="S2326" s="4">
        <v>-0.49506807531701164</v>
      </c>
      <c r="T2326" s="4">
        <v>1.5531136121778597</v>
      </c>
      <c r="U2326" s="4">
        <f t="shared" si="278"/>
        <v>0.92933622028058926</v>
      </c>
      <c r="W2326" s="4">
        <f t="shared" si="279"/>
        <v>-0.81352635388991024</v>
      </c>
      <c r="X2326" s="4">
        <f t="shared" si="280"/>
        <v>1.7042973945570967</v>
      </c>
      <c r="Y2326" s="3">
        <f t="shared" si="277"/>
        <v>302.51621988202805</v>
      </c>
      <c r="AA2326" s="3"/>
    </row>
    <row r="2327" spans="19:27" x14ac:dyDescent="0.25">
      <c r="S2327" s="4">
        <v>-0.53603933610142063</v>
      </c>
      <c r="T2327" s="4">
        <v>0.44471548084886869</v>
      </c>
      <c r="U2327" s="4">
        <f t="shared" si="278"/>
        <v>2.5740873049444835E-2</v>
      </c>
      <c r="W2327" s="4">
        <f t="shared" si="279"/>
        <v>-0.88319621048023667</v>
      </c>
      <c r="X2327" s="4">
        <f t="shared" si="280"/>
        <v>0.11117225933104614</v>
      </c>
      <c r="Y2327" s="3">
        <f t="shared" si="277"/>
        <v>154.67603657761993</v>
      </c>
      <c r="AA2327" s="3"/>
    </row>
    <row r="2328" spans="19:27" x14ac:dyDescent="0.25">
      <c r="S2328" s="4">
        <v>-0.48136124056249618</v>
      </c>
      <c r="T2328" s="4">
        <v>0.72018432339734839</v>
      </c>
      <c r="U2328" s="4">
        <f t="shared" si="278"/>
        <v>0.27743581301436171</v>
      </c>
      <c r="W2328" s="4">
        <f t="shared" si="279"/>
        <v>-0.79021847433308234</v>
      </c>
      <c r="X2328" s="4">
        <f t="shared" si="280"/>
        <v>0.55493454351725247</v>
      </c>
      <c r="Y2328" s="3">
        <f t="shared" si="277"/>
        <v>183.74757207869061</v>
      </c>
      <c r="AA2328" s="3"/>
    </row>
    <row r="2329" spans="19:27" x14ac:dyDescent="0.25">
      <c r="S2329" s="4">
        <v>-0.68041606671300381</v>
      </c>
      <c r="T2329" s="4">
        <v>-0.1047988468532348</v>
      </c>
      <c r="U2329" s="4">
        <f t="shared" si="278"/>
        <v>-0.49787002510628925</v>
      </c>
      <c r="W2329" s="4">
        <f t="shared" si="279"/>
        <v>-1.1287025953000291</v>
      </c>
      <c r="X2329" s="4">
        <f t="shared" si="280"/>
        <v>-0.81200390075690598</v>
      </c>
      <c r="Y2329" s="3">
        <f t="shared" si="277"/>
        <v>102.98829525418159</v>
      </c>
      <c r="AA2329" s="3"/>
    </row>
    <row r="2330" spans="19:27" x14ac:dyDescent="0.25">
      <c r="S2330" s="4">
        <v>1.2508265359076713</v>
      </c>
      <c r="T2330" s="4">
        <v>0.73564344678371785</v>
      </c>
      <c r="U2330" s="4">
        <f t="shared" si="278"/>
        <v>1.3456704535981376</v>
      </c>
      <c r="W2330" s="4">
        <f t="shared" si="279"/>
        <v>2.1552919069368155</v>
      </c>
      <c r="X2330" s="4">
        <f t="shared" si="280"/>
        <v>2.4383345205623335</v>
      </c>
      <c r="Y2330" s="3">
        <f t="shared" si="277"/>
        <v>-89.687550491635193</v>
      </c>
      <c r="AA2330" s="3"/>
    </row>
    <row r="2331" spans="19:27" x14ac:dyDescent="0.25">
      <c r="S2331" s="4">
        <v>1.1265921633950713</v>
      </c>
      <c r="T2331" s="4">
        <v>-0.4303892899930637</v>
      </c>
      <c r="U2331" s="4">
        <f t="shared" si="278"/>
        <v>0.34562956394995764</v>
      </c>
      <c r="W2331" s="4">
        <f t="shared" si="279"/>
        <v>1.9440367307271604</v>
      </c>
      <c r="X2331" s="4">
        <f t="shared" si="280"/>
        <v>0.67516665738741377</v>
      </c>
      <c r="Y2331" s="3">
        <f t="shared" si="277"/>
        <v>-234.35088912388665</v>
      </c>
      <c r="AA2331" s="3"/>
    </row>
    <row r="2332" spans="19:27" x14ac:dyDescent="0.25">
      <c r="S2332" s="4">
        <v>1.2757508364460066</v>
      </c>
      <c r="T2332" s="4">
        <v>8.8717139178173102E-2</v>
      </c>
      <c r="U2332" s="4">
        <f t="shared" si="278"/>
        <v>0.84805154243257108</v>
      </c>
      <c r="W2332" s="4">
        <f t="shared" si="279"/>
        <v>2.1976746018032816</v>
      </c>
      <c r="X2332" s="4">
        <f t="shared" si="280"/>
        <v>1.5609847228116722</v>
      </c>
      <c r="Y2332" s="3">
        <f t="shared" si="277"/>
        <v>-183.74615103635915</v>
      </c>
      <c r="AA2332" s="3"/>
    </row>
    <row r="2333" spans="19:27" x14ac:dyDescent="0.25">
      <c r="S2333" s="4">
        <v>0.65445718181058588</v>
      </c>
      <c r="T2333" s="4">
        <v>-1.0467222596574173</v>
      </c>
      <c r="U2333" s="4">
        <f t="shared" si="278"/>
        <v>-0.43075668109270582</v>
      </c>
      <c r="W2333" s="4">
        <f t="shared" si="279"/>
        <v>1.1411916186044537</v>
      </c>
      <c r="X2333" s="4">
        <f t="shared" si="280"/>
        <v>-0.6936766477616978</v>
      </c>
      <c r="Y2333" s="3">
        <f t="shared" si="277"/>
        <v>-248.89830408945454</v>
      </c>
      <c r="AA2333" s="3"/>
    </row>
    <row r="2334" spans="19:27" x14ac:dyDescent="0.25">
      <c r="S2334" s="4">
        <v>-1.5685711365829329</v>
      </c>
      <c r="T2334" s="4">
        <v>-3.1439661180934421E-2</v>
      </c>
      <c r="U2334" s="4">
        <f t="shared" si="278"/>
        <v>-0.98115793108618399</v>
      </c>
      <c r="W2334" s="4">
        <f t="shared" si="279"/>
        <v>-2.6389718709615653</v>
      </c>
      <c r="X2334" s="4">
        <f t="shared" si="280"/>
        <v>-1.6640867638732655</v>
      </c>
      <c r="Y2334" s="3">
        <f t="shared" si="277"/>
        <v>274.74320108486154</v>
      </c>
      <c r="AA2334" s="3"/>
    </row>
    <row r="2335" spans="19:27" x14ac:dyDescent="0.25">
      <c r="S2335" s="4">
        <v>-0.834954340569527</v>
      </c>
      <c r="T2335" s="4">
        <v>1.2601108206470482</v>
      </c>
      <c r="U2335" s="4">
        <f t="shared" si="278"/>
        <v>0.48987299511666249</v>
      </c>
      <c r="W2335" s="4">
        <f t="shared" si="279"/>
        <v>-1.3914882448301908</v>
      </c>
      <c r="X2335" s="4">
        <f t="shared" si="280"/>
        <v>0.92948164084443097</v>
      </c>
      <c r="Y2335" s="3">
        <f t="shared" si="277"/>
        <v>320.97790415173404</v>
      </c>
      <c r="AA2335" s="3"/>
    </row>
    <row r="2336" spans="19:27" x14ac:dyDescent="0.25">
      <c r="S2336" s="4">
        <v>-1.5801799955176268</v>
      </c>
      <c r="T2336" s="4">
        <v>2.264071573078196</v>
      </c>
      <c r="U2336" s="4">
        <f t="shared" si="278"/>
        <v>0.83139848427579444</v>
      </c>
      <c r="W2336" s="4">
        <f t="shared" si="279"/>
        <v>-2.6587122333930098</v>
      </c>
      <c r="X2336" s="4">
        <f t="shared" si="280"/>
        <v>1.5316237864044207</v>
      </c>
      <c r="Y2336" s="3">
        <f t="shared" si="277"/>
        <v>597.75363219087194</v>
      </c>
      <c r="AA2336" s="3"/>
    </row>
    <row r="2337" spans="19:27" x14ac:dyDescent="0.25">
      <c r="S2337" s="4">
        <v>0.42733922565575483</v>
      </c>
      <c r="T2337" s="4">
        <v>-0.16407246180305168</v>
      </c>
      <c r="U2337" s="4">
        <f t="shared" si="278"/>
        <v>0.1304565956907428</v>
      </c>
      <c r="W2337" s="4">
        <f t="shared" si="279"/>
        <v>0.75498735904658265</v>
      </c>
      <c r="X2337" s="4">
        <f t="shared" si="280"/>
        <v>0.29579610705714188</v>
      </c>
      <c r="Y2337" s="3">
        <f t="shared" si="277"/>
        <v>-89.939848103615986</v>
      </c>
      <c r="AA2337" s="3"/>
    </row>
    <row r="2338" spans="19:27" x14ac:dyDescent="0.25">
      <c r="S2338" s="4">
        <v>-0.97069542186168345</v>
      </c>
      <c r="T2338" s="4">
        <v>-0.5204554893690132</v>
      </c>
      <c r="U2338" s="4">
        <f t="shared" si="278"/>
        <v>-1.0043184998168293</v>
      </c>
      <c r="W2338" s="4">
        <f t="shared" si="279"/>
        <v>-1.6223100815513865</v>
      </c>
      <c r="X2338" s="4">
        <f t="shared" si="280"/>
        <v>-1.7049210646518007</v>
      </c>
      <c r="Y2338" s="3">
        <f t="shared" si="277"/>
        <v>96.347095024513692</v>
      </c>
      <c r="AA2338" s="3"/>
    </row>
    <row r="2339" spans="19:27" x14ac:dyDescent="0.25">
      <c r="S2339" s="4">
        <v>0.73948202942018304</v>
      </c>
      <c r="T2339" s="4">
        <v>1.6922237737381209</v>
      </c>
      <c r="U2339" s="4">
        <f t="shared" si="278"/>
        <v>1.792217024051324</v>
      </c>
      <c r="W2339" s="4">
        <f t="shared" si="279"/>
        <v>1.2857726938792757</v>
      </c>
      <c r="X2339" s="4">
        <f t="shared" si="280"/>
        <v>3.2256388903976738</v>
      </c>
      <c r="Y2339" s="3">
        <f t="shared" si="277"/>
        <v>120.7620910487376</v>
      </c>
      <c r="AA2339" s="3"/>
    </row>
    <row r="2340" spans="19:27" x14ac:dyDescent="0.25">
      <c r="S2340" s="4">
        <v>-1.0278917669430776</v>
      </c>
      <c r="T2340" s="4">
        <v>-0.10492298513321216</v>
      </c>
      <c r="U2340" s="4">
        <f t="shared" si="278"/>
        <v>-0.70979736821713901</v>
      </c>
      <c r="W2340" s="4">
        <f t="shared" si="279"/>
        <v>-1.7195699921086893</v>
      </c>
      <c r="X2340" s="4">
        <f t="shared" si="280"/>
        <v>-1.1856521031144636</v>
      </c>
      <c r="Y2340" s="3">
        <f t="shared" si="277"/>
        <v>164.71142798847177</v>
      </c>
      <c r="AA2340" s="3"/>
    </row>
    <row r="2341" spans="19:27" x14ac:dyDescent="0.25">
      <c r="S2341" s="4">
        <v>1.9752081030963573</v>
      </c>
      <c r="T2341" s="4">
        <v>0.59783871614655382</v>
      </c>
      <c r="U2341" s="4">
        <f t="shared" si="278"/>
        <v>1.6780329091033273</v>
      </c>
      <c r="W2341" s="4">
        <f t="shared" si="279"/>
        <v>3.3870714259580197</v>
      </c>
      <c r="X2341" s="4">
        <f t="shared" si="280"/>
        <v>3.0243213602392758</v>
      </c>
      <c r="Y2341" s="3">
        <f t="shared" si="277"/>
        <v>-211.25465402255577</v>
      </c>
      <c r="AA2341" s="3"/>
    </row>
    <row r="2342" spans="19:27" x14ac:dyDescent="0.25">
      <c r="S2342" s="4">
        <v>0.66248355834429873</v>
      </c>
      <c r="T2342" s="4">
        <v>0.29972410899610819</v>
      </c>
      <c r="U2342" s="4">
        <f t="shared" si="278"/>
        <v>0.64145366748762478</v>
      </c>
      <c r="W2342" s="4">
        <f t="shared" si="279"/>
        <v>1.1548401246874429</v>
      </c>
      <c r="X2342" s="4">
        <f t="shared" si="280"/>
        <v>1.196732883238081</v>
      </c>
      <c r="Y2342" s="3">
        <f t="shared" si="277"/>
        <v>-61.964284054845393</v>
      </c>
      <c r="AA2342" s="3"/>
    </row>
    <row r="2343" spans="19:27" x14ac:dyDescent="0.25">
      <c r="S2343" s="4">
        <v>0.10532752845032221</v>
      </c>
      <c r="T2343" s="4">
        <v>1.4776861167100563</v>
      </c>
      <c r="U2343" s="4">
        <f t="shared" si="278"/>
        <v>1.2355600026097875</v>
      </c>
      <c r="W2343" s="4">
        <f t="shared" si="279"/>
        <v>0.20742039783539101</v>
      </c>
      <c r="X2343" s="4">
        <f t="shared" si="280"/>
        <v>2.244199250102886</v>
      </c>
      <c r="Y2343" s="3">
        <f t="shared" si="277"/>
        <v>191.29183098312296</v>
      </c>
      <c r="AA2343" s="3"/>
    </row>
    <row r="2344" spans="19:27" x14ac:dyDescent="0.25">
      <c r="S2344" s="4">
        <v>0.88553357164873137</v>
      </c>
      <c r="T2344" s="4">
        <v>0.35395116768147128</v>
      </c>
      <c r="U2344" s="4">
        <f t="shared" si="278"/>
        <v>0.82041528888762416</v>
      </c>
      <c r="W2344" s="4">
        <f t="shared" si="279"/>
        <v>1.5341270234031319</v>
      </c>
      <c r="X2344" s="4">
        <f t="shared" si="280"/>
        <v>1.512259361065567</v>
      </c>
      <c r="Y2344" s="3">
        <f t="shared" si="277"/>
        <v>-88.585478896245604</v>
      </c>
      <c r="AA2344" s="3"/>
    </row>
    <row r="2345" spans="19:27" x14ac:dyDescent="0.25">
      <c r="S2345" s="4">
        <v>1.8930211891591904</v>
      </c>
      <c r="T2345" s="4">
        <v>0.8578520430995179</v>
      </c>
      <c r="U2345" s="4">
        <f t="shared" si="278"/>
        <v>1.8340404217184556</v>
      </c>
      <c r="W2345" s="4">
        <f t="shared" si="279"/>
        <v>3.2473161341271459</v>
      </c>
      <c r="X2345" s="4">
        <f t="shared" si="280"/>
        <v>3.2993775459454624</v>
      </c>
      <c r="Y2345" s="3">
        <f t="shared" si="277"/>
        <v>-163.68229506003172</v>
      </c>
      <c r="AA2345" s="3"/>
    </row>
    <row r="2346" spans="19:27" x14ac:dyDescent="0.25">
      <c r="S2346" s="4">
        <v>-0.43226341734157719</v>
      </c>
      <c r="T2346" s="4">
        <v>1.1966476449313634</v>
      </c>
      <c r="U2346" s="4">
        <f t="shared" si="278"/>
        <v>0.68505561381079083</v>
      </c>
      <c r="W2346" s="4">
        <f t="shared" si="279"/>
        <v>-0.7067297498659969</v>
      </c>
      <c r="X2346" s="4">
        <f t="shared" si="280"/>
        <v>1.2736072903995024</v>
      </c>
      <c r="Y2346" s="3">
        <f t="shared" si="277"/>
        <v>241.91067691366243</v>
      </c>
      <c r="AA2346" s="3"/>
    </row>
    <row r="2347" spans="19:27" x14ac:dyDescent="0.25">
      <c r="S2347" s="4">
        <v>0.12887022033045351</v>
      </c>
      <c r="T2347" s="4">
        <v>-0.41582895384907975</v>
      </c>
      <c r="U2347" s="4">
        <f t="shared" si="278"/>
        <v>-0.25106213131334476</v>
      </c>
      <c r="W2347" s="4">
        <f t="shared" si="279"/>
        <v>0.24745372694551565</v>
      </c>
      <c r="X2347" s="4">
        <f t="shared" si="280"/>
        <v>-0.37685794700825326</v>
      </c>
      <c r="Y2347" s="3">
        <f t="shared" si="277"/>
        <v>-77.182253445927927</v>
      </c>
      <c r="AA2347" s="3"/>
    </row>
    <row r="2348" spans="19:27" x14ac:dyDescent="0.25">
      <c r="S2348" s="4">
        <v>-0.43457233421071684</v>
      </c>
      <c r="T2348" s="4">
        <v>0.84603059051204754</v>
      </c>
      <c r="U2348" s="4">
        <f t="shared" si="278"/>
        <v>0.40571670582879699</v>
      </c>
      <c r="W2348" s="4">
        <f t="shared" si="279"/>
        <v>-0.7106559631206586</v>
      </c>
      <c r="X2348" s="4">
        <f t="shared" si="280"/>
        <v>0.78110604311400444</v>
      </c>
      <c r="Y2348" s="3">
        <f t="shared" si="277"/>
        <v>193.30419921528937</v>
      </c>
      <c r="AA2348" s="3"/>
    </row>
    <row r="2349" spans="19:27" x14ac:dyDescent="0.25">
      <c r="S2349" s="4">
        <v>-0.22767364007258775</v>
      </c>
      <c r="T2349" s="4">
        <v>0.59853434116356985</v>
      </c>
      <c r="U2349" s="4">
        <f t="shared" si="278"/>
        <v>0.33565846449263309</v>
      </c>
      <c r="W2349" s="4">
        <f t="shared" si="279"/>
        <v>-0.35883368395822374</v>
      </c>
      <c r="X2349" s="4">
        <f t="shared" si="280"/>
        <v>0.6575866541038875</v>
      </c>
      <c r="Y2349" s="3">
        <f t="shared" si="277"/>
        <v>123.59544445581378</v>
      </c>
      <c r="AA2349" s="3"/>
    </row>
    <row r="2350" spans="19:27" x14ac:dyDescent="0.25">
      <c r="S2350" s="4">
        <v>0.21440894269366872</v>
      </c>
      <c r="T2350" s="4">
        <v>-1.6311618489693553</v>
      </c>
      <c r="U2350" s="4">
        <f t="shared" si="278"/>
        <v>-1.1623005039500827</v>
      </c>
      <c r="W2350" s="4">
        <f t="shared" si="279"/>
        <v>0.39290862400918469</v>
      </c>
      <c r="X2350" s="4">
        <f t="shared" si="280"/>
        <v>-1.9834584680030927</v>
      </c>
      <c r="Y2350" s="3">
        <f t="shared" si="277"/>
        <v>-260.91134270991597</v>
      </c>
      <c r="AA2350" s="3"/>
    </row>
    <row r="2351" spans="19:27" x14ac:dyDescent="0.25">
      <c r="S2351" s="4">
        <v>0.18728992699929981</v>
      </c>
      <c r="T2351" s="4">
        <v>1.081811789206119</v>
      </c>
      <c r="U2351" s="4">
        <f t="shared" si="278"/>
        <v>0.97171968958274069</v>
      </c>
      <c r="W2351" s="4">
        <f t="shared" si="279"/>
        <v>0.34679391096094803</v>
      </c>
      <c r="X2351" s="4">
        <f t="shared" si="280"/>
        <v>1.7790235100359391</v>
      </c>
      <c r="Y2351" s="3">
        <f t="shared" si="277"/>
        <v>122.63883440773361</v>
      </c>
      <c r="AA2351" s="3"/>
    </row>
    <row r="2352" spans="19:27" x14ac:dyDescent="0.25">
      <c r="S2352" s="4">
        <v>0.26560962953629746</v>
      </c>
      <c r="T2352" s="4">
        <v>-0.88745172616872869</v>
      </c>
      <c r="U2352" s="4">
        <f t="shared" si="278"/>
        <v>-0.54155434411985726</v>
      </c>
      <c r="W2352" s="4">
        <f t="shared" si="279"/>
        <v>0.47997317709732351</v>
      </c>
      <c r="X2352" s="4">
        <f t="shared" si="280"/>
        <v>-0.88902353886040519</v>
      </c>
      <c r="Y2352" s="3">
        <f t="shared" si="277"/>
        <v>-165.22420609221854</v>
      </c>
      <c r="AA2352" s="3"/>
    </row>
    <row r="2353" spans="19:27" x14ac:dyDescent="0.25">
      <c r="S2353" s="4">
        <v>0.75496914268816584</v>
      </c>
      <c r="T2353" s="4">
        <v>-0.35401330484363869</v>
      </c>
      <c r="U2353" s="4">
        <f t="shared" si="278"/>
        <v>0.17962251279535391</v>
      </c>
      <c r="W2353" s="4">
        <f t="shared" si="279"/>
        <v>1.3121078600352827</v>
      </c>
      <c r="X2353" s="4">
        <f t="shared" si="280"/>
        <v>0.38248032757223471</v>
      </c>
      <c r="Y2353" s="3">
        <f t="shared" si="277"/>
        <v>-167.59902075908167</v>
      </c>
      <c r="AA2353" s="3"/>
    </row>
    <row r="2354" spans="19:27" x14ac:dyDescent="0.25">
      <c r="S2354" s="4">
        <v>-0.12262156822861754</v>
      </c>
      <c r="T2354" s="4">
        <v>-0.12416816221943139</v>
      </c>
      <c r="U2354" s="4">
        <f t="shared" si="278"/>
        <v>-0.1731799551043528</v>
      </c>
      <c r="W2354" s="4">
        <f t="shared" si="279"/>
        <v>-0.18019718022946388</v>
      </c>
      <c r="X2354" s="4">
        <f t="shared" si="280"/>
        <v>-0.23954421151276697</v>
      </c>
      <c r="Y2354" s="3">
        <f t="shared" si="277"/>
        <v>5.00627776548572</v>
      </c>
      <c r="AA2354" s="3"/>
    </row>
    <row r="2355" spans="19:27" x14ac:dyDescent="0.25">
      <c r="S2355" s="4">
        <v>1.0552488699092204</v>
      </c>
      <c r="T2355" s="4">
        <v>-1.1776496751040049</v>
      </c>
      <c r="U2355" s="4">
        <f t="shared" si="278"/>
        <v>-0.29021024290738762</v>
      </c>
      <c r="W2355" s="4">
        <f t="shared" si="279"/>
        <v>1.8227205463901572</v>
      </c>
      <c r="X2355" s="4">
        <f t="shared" si="280"/>
        <v>-0.44587981699487456</v>
      </c>
      <c r="Y2355" s="3">
        <f t="shared" si="277"/>
        <v>-328.17730828925551</v>
      </c>
      <c r="AA2355" s="3"/>
    </row>
    <row r="2356" spans="19:27" x14ac:dyDescent="0.25">
      <c r="S2356" s="4">
        <v>1.4970408114759035</v>
      </c>
      <c r="T2356" s="4">
        <v>0.58434249081083578</v>
      </c>
      <c r="U2356" s="4">
        <f t="shared" si="278"/>
        <v>1.3758331092236473</v>
      </c>
      <c r="W2356" s="4">
        <f t="shared" si="279"/>
        <v>2.5739686315705232</v>
      </c>
      <c r="X2356" s="4">
        <f t="shared" si="280"/>
        <v>2.4915141711320423</v>
      </c>
      <c r="Y2356" s="3">
        <f t="shared" si="277"/>
        <v>-146.44617782328851</v>
      </c>
      <c r="AA2356" s="3"/>
    </row>
    <row r="2357" spans="19:27" x14ac:dyDescent="0.25">
      <c r="S2357" s="4">
        <v>-0.23192305795535031</v>
      </c>
      <c r="T2357" s="4">
        <v>-1.0635457790709277</v>
      </c>
      <c r="U2357" s="4">
        <f t="shared" si="278"/>
        <v>-0.98444972160937638</v>
      </c>
      <c r="W2357" s="4">
        <f t="shared" si="279"/>
        <v>-0.36605963524252244</v>
      </c>
      <c r="X2357" s="4">
        <f t="shared" si="280"/>
        <v>-1.6698905058230957</v>
      </c>
      <c r="Y2357" s="3">
        <f t="shared" si="277"/>
        <v>-107.98072794323934</v>
      </c>
      <c r="AA2357" s="3"/>
    </row>
    <row r="2358" spans="19:27" x14ac:dyDescent="0.25">
      <c r="S2358" s="4">
        <v>1.3405514087838906</v>
      </c>
      <c r="T2358" s="4">
        <v>0.41824764583696583</v>
      </c>
      <c r="U2358" s="4">
        <f t="shared" si="278"/>
        <v>1.1487716197761961</v>
      </c>
      <c r="W2358" s="4">
        <f t="shared" si="279"/>
        <v>2.3078651718593886</v>
      </c>
      <c r="X2358" s="4">
        <f t="shared" si="280"/>
        <v>2.0911830193736161</v>
      </c>
      <c r="Y2358" s="3">
        <f t="shared" si="277"/>
        <v>-147.12525982485704</v>
      </c>
      <c r="AA2358" s="3"/>
    </row>
    <row r="2359" spans="19:27" x14ac:dyDescent="0.25">
      <c r="S2359" s="4">
        <v>5.4817829976323632E-2</v>
      </c>
      <c r="T2359" s="4">
        <v>1.3414353250480302</v>
      </c>
      <c r="U2359" s="4">
        <f t="shared" si="278"/>
        <v>1.0967632483303511</v>
      </c>
      <c r="W2359" s="4">
        <f t="shared" si="279"/>
        <v>0.12153084057667923</v>
      </c>
      <c r="X2359" s="4">
        <f t="shared" si="280"/>
        <v>1.9994872796307759</v>
      </c>
      <c r="Y2359" s="3">
        <f t="shared" si="277"/>
        <v>180.5115238166527</v>
      </c>
      <c r="AA2359" s="3"/>
    </row>
    <row r="2360" spans="19:27" x14ac:dyDescent="0.25">
      <c r="S2360" s="4">
        <v>0.91264858541575011</v>
      </c>
      <c r="T2360" s="4">
        <v>-1.1828284473608388</v>
      </c>
      <c r="U2360" s="4">
        <f t="shared" si="278"/>
        <v>-0.3812477294471196</v>
      </c>
      <c r="W2360" s="4">
        <f t="shared" si="279"/>
        <v>1.5802349313470287</v>
      </c>
      <c r="X2360" s="4">
        <f t="shared" si="280"/>
        <v>-0.60638762449817041</v>
      </c>
      <c r="Y2360" s="3">
        <f t="shared" si="277"/>
        <v>-307.47257165256633</v>
      </c>
      <c r="AA2360" s="3"/>
    </row>
    <row r="2361" spans="19:27" x14ac:dyDescent="0.25">
      <c r="S2361" s="4">
        <v>-0.24493634702348746</v>
      </c>
      <c r="T2361" s="4">
        <v>-0.15540996894967976</v>
      </c>
      <c r="U2361" s="4">
        <f t="shared" si="278"/>
        <v>-0.27251090417941981</v>
      </c>
      <c r="W2361" s="4">
        <f t="shared" si="279"/>
        <v>-0.38818817036171949</v>
      </c>
      <c r="X2361" s="4">
        <f t="shared" si="280"/>
        <v>-0.414674187737476</v>
      </c>
      <c r="Y2361" s="3">
        <f t="shared" si="277"/>
        <v>21.130293082298067</v>
      </c>
      <c r="AA2361" s="3"/>
    </row>
    <row r="2362" spans="19:27" x14ac:dyDescent="0.25">
      <c r="S2362" s="4">
        <v>-1.7035410848880903</v>
      </c>
      <c r="T2362" s="4">
        <v>5.575305353687475E-2</v>
      </c>
      <c r="U2362" s="4">
        <f t="shared" si="278"/>
        <v>-0.99432165393618399</v>
      </c>
      <c r="W2362" s="4">
        <f t="shared" si="279"/>
        <v>-2.8684824293967695</v>
      </c>
      <c r="X2362" s="4">
        <f t="shared" si="280"/>
        <v>-1.6872956679582043</v>
      </c>
      <c r="Y2362" s="3">
        <f t="shared" si="277"/>
        <v>312.53971880385961</v>
      </c>
      <c r="AA2362" s="3"/>
    </row>
    <row r="2363" spans="19:27" x14ac:dyDescent="0.25">
      <c r="S2363" s="4">
        <v>-1.3839645630342599</v>
      </c>
      <c r="T2363" s="4">
        <v>-0.58582441256446038</v>
      </c>
      <c r="U2363" s="4">
        <f t="shared" si="278"/>
        <v>-1.3080740127797572</v>
      </c>
      <c r="W2363" s="4">
        <f t="shared" si="279"/>
        <v>-2.325056378527858</v>
      </c>
      <c r="X2363" s="4">
        <f t="shared" si="280"/>
        <v>-2.2404711249167013</v>
      </c>
      <c r="Y2363" s="3">
        <f t="shared" si="277"/>
        <v>162.69239846207802</v>
      </c>
      <c r="AA2363" s="3"/>
    </row>
    <row r="2364" spans="19:27" x14ac:dyDescent="0.25">
      <c r="S2364" s="4">
        <v>-1.0251482363894611</v>
      </c>
      <c r="T2364" s="4">
        <v>0.40184976627055596</v>
      </c>
      <c r="U2364" s="4">
        <f t="shared" si="278"/>
        <v>-0.30641013532450356</v>
      </c>
      <c r="W2364" s="4">
        <f t="shared" si="279"/>
        <v>-1.7149047370845047</v>
      </c>
      <c r="X2364" s="4">
        <f t="shared" si="280"/>
        <v>-0.47444177880305483</v>
      </c>
      <c r="Y2364" s="3">
        <f t="shared" si="277"/>
        <v>235.04286141971716</v>
      </c>
      <c r="AA2364" s="3"/>
    </row>
    <row r="2365" spans="19:27" x14ac:dyDescent="0.25">
      <c r="S2365" s="4">
        <v>0.88218094623932275</v>
      </c>
      <c r="T2365" s="4">
        <v>-0.63657241123879105</v>
      </c>
      <c r="U2365" s="4">
        <f t="shared" si="278"/>
        <v>3.3191318053043095E-2</v>
      </c>
      <c r="W2365" s="4">
        <f t="shared" si="279"/>
        <v>1.5284260289254743</v>
      </c>
      <c r="X2365" s="4">
        <f t="shared" si="280"/>
        <v>0.12430810740753637</v>
      </c>
      <c r="Y2365" s="3">
        <f t="shared" si="277"/>
        <v>-226.51157939149243</v>
      </c>
      <c r="AA2365" s="3"/>
    </row>
    <row r="2366" spans="19:27" x14ac:dyDescent="0.25">
      <c r="S2366" s="4">
        <v>1.9922863916923732</v>
      </c>
      <c r="T2366" s="4">
        <v>9.1027961356890105E-2</v>
      </c>
      <c r="U2366" s="4">
        <f t="shared" si="278"/>
        <v>1.2866993744451345</v>
      </c>
      <c r="W2366" s="4">
        <f t="shared" si="279"/>
        <v>3.4161123169267791</v>
      </c>
      <c r="X2366" s="4">
        <f t="shared" si="280"/>
        <v>2.3343628603076225</v>
      </c>
      <c r="Y2366" s="3">
        <f t="shared" si="277"/>
        <v>-284.40840355228966</v>
      </c>
      <c r="AA2366" s="3"/>
    </row>
    <row r="2367" spans="19:27" x14ac:dyDescent="0.25">
      <c r="S2367" s="4">
        <v>-1.815248975421496</v>
      </c>
      <c r="T2367" s="4">
        <v>0.68901732181280817</v>
      </c>
      <c r="U2367" s="4">
        <f t="shared" si="278"/>
        <v>-0.56043774507335609</v>
      </c>
      <c r="W2367" s="4">
        <f t="shared" si="279"/>
        <v>-3.0584368648832125</v>
      </c>
      <c r="X2367" s="4">
        <f t="shared" si="280"/>
        <v>-0.92231678322001232</v>
      </c>
      <c r="Y2367" s="3">
        <f t="shared" si="277"/>
        <v>422.45571447267412</v>
      </c>
      <c r="AA2367" s="3"/>
    </row>
    <row r="2368" spans="19:27" x14ac:dyDescent="0.25">
      <c r="S2368" s="4">
        <v>-0.29584625348046201</v>
      </c>
      <c r="T2368" s="4">
        <v>-0.75208164310948888</v>
      </c>
      <c r="U2368" s="4">
        <f t="shared" si="278"/>
        <v>-0.77652359308384444</v>
      </c>
      <c r="W2368" s="4">
        <f t="shared" si="279"/>
        <v>-0.47475826398290633</v>
      </c>
      <c r="X2368" s="4">
        <f t="shared" si="280"/>
        <v>-1.3032968279790118</v>
      </c>
      <c r="Y2368" s="3">
        <f t="shared" si="277"/>
        <v>-53.665261100761199</v>
      </c>
      <c r="AA2368" s="3"/>
    </row>
    <row r="2369" spans="19:27" x14ac:dyDescent="0.25">
      <c r="S2369" s="4">
        <v>-0.8977424061282292</v>
      </c>
      <c r="T2369" s="4">
        <v>-0.89524132150498847</v>
      </c>
      <c r="U2369" s="4">
        <f t="shared" si="278"/>
        <v>-1.2569344516546148</v>
      </c>
      <c r="W2369" s="4">
        <f t="shared" si="279"/>
        <v>-1.4982566341672214</v>
      </c>
      <c r="X2369" s="4">
        <f t="shared" si="280"/>
        <v>-2.1503071809759269</v>
      </c>
      <c r="Y2369" s="3">
        <f t="shared" si="277"/>
        <v>30.915577679711078</v>
      </c>
      <c r="AA2369" s="3"/>
    </row>
    <row r="2370" spans="19:27" x14ac:dyDescent="0.25">
      <c r="S2370" s="4">
        <v>0.11063702044820671</v>
      </c>
      <c r="T2370" s="4">
        <v>-1.1845869280328409</v>
      </c>
      <c r="U2370" s="4">
        <f t="shared" si="278"/>
        <v>-0.87156580740979162</v>
      </c>
      <c r="W2370" s="4">
        <f t="shared" si="279"/>
        <v>0.21644895929476554</v>
      </c>
      <c r="X2370" s="4">
        <f t="shared" si="280"/>
        <v>-1.4708653541054255</v>
      </c>
      <c r="Y2370" s="3">
        <f t="shared" ref="Y2370:Y2433" si="281">(B$4*EXP(-B$8*B$7)*NORMSDIST((LN(B$4/(B$5+W2370))-B$8*B$7+B$9*B$7+0.5*B$6*B$6*B$7)/(B$6*SQRT(B$7)))-(B$5+W2370)*EXP(-B$9*B$7)*NORMSDIST((LN(B$4/(B$5+W2370))-B$8*B$7+B$9*B$7-0.5*B$6*B$6*B$7)/(B$6*SQRT(B$7))))*400+100*X2370-400*$B$13</f>
        <v>-181.6515830897597</v>
      </c>
      <c r="AA2370" s="3"/>
    </row>
    <row r="2371" spans="19:27" x14ac:dyDescent="0.25">
      <c r="S2371" s="4">
        <v>1.5958507195216887</v>
      </c>
      <c r="T2371" s="4">
        <v>-0.13369843234035139</v>
      </c>
      <c r="U2371" s="4">
        <f t="shared" ref="U2371:U2434" si="282">$B$19*S2371+SQRT(1-$B$19^2)*T2371</f>
        <v>0.86688452474645183</v>
      </c>
      <c r="W2371" s="4">
        <f t="shared" ref="W2371:W2434" si="283">S2371*SQRT($B$16)+$B$20</f>
        <v>2.7419906057898968</v>
      </c>
      <c r="X2371" s="4">
        <f t="shared" ref="X2371:X2434" si="284">U2371*SQRT($C$17)+$C$20</f>
        <v>1.5941890742809988</v>
      </c>
      <c r="Y2371" s="3">
        <f t="shared" si="281"/>
        <v>-260.84712146987295</v>
      </c>
      <c r="AA2371" s="3"/>
    </row>
    <row r="2372" spans="19:27" x14ac:dyDescent="0.25">
      <c r="S2372" s="4">
        <v>-1.3040482474995334</v>
      </c>
      <c r="T2372" s="4">
        <v>0.83848125637934012</v>
      </c>
      <c r="U2372" s="4">
        <f t="shared" si="282"/>
        <v>-0.1303195074463096</v>
      </c>
      <c r="W2372" s="4">
        <f t="shared" si="283"/>
        <v>-2.1891621410566402</v>
      </c>
      <c r="X2372" s="4">
        <f t="shared" si="284"/>
        <v>-0.16397713751188431</v>
      </c>
      <c r="Y2372" s="3">
        <f t="shared" si="281"/>
        <v>346.95047837718175</v>
      </c>
      <c r="AA2372" s="3"/>
    </row>
    <row r="2373" spans="19:27" x14ac:dyDescent="0.25">
      <c r="S2373" s="4">
        <v>0.37345728116271476</v>
      </c>
      <c r="T2373" s="4">
        <v>0.23583309947017914</v>
      </c>
      <c r="U2373" s="4">
        <f t="shared" si="282"/>
        <v>0.41461090687265711</v>
      </c>
      <c r="W2373" s="4">
        <f t="shared" si="283"/>
        <v>0.66336344331229957</v>
      </c>
      <c r="X2373" s="4">
        <f t="shared" si="284"/>
        <v>0.79678737135916045</v>
      </c>
      <c r="Y2373" s="3">
        <f t="shared" si="281"/>
        <v>-25.491962916473312</v>
      </c>
      <c r="AA2373" s="3"/>
    </row>
    <row r="2374" spans="19:27" x14ac:dyDescent="0.25">
      <c r="S2374" s="4">
        <v>4.3561554104131324E-2</v>
      </c>
      <c r="T2374" s="4">
        <v>-0.63745314297409861</v>
      </c>
      <c r="U2374" s="4">
        <f t="shared" si="282"/>
        <v>-0.47874792356274209</v>
      </c>
      <c r="W2374" s="4">
        <f t="shared" si="283"/>
        <v>0.10239003039064723</v>
      </c>
      <c r="X2374" s="4">
        <f t="shared" si="284"/>
        <v>-0.77828980439649498</v>
      </c>
      <c r="Y2374" s="3">
        <f t="shared" si="281"/>
        <v>-94.209933131857269</v>
      </c>
      <c r="AA2374" s="3"/>
    </row>
    <row r="2375" spans="19:27" x14ac:dyDescent="0.25">
      <c r="S2375" s="4">
        <v>1.0311289692228549</v>
      </c>
      <c r="T2375" s="4">
        <v>-3.8465413872272411E-2</v>
      </c>
      <c r="U2375" s="4">
        <f t="shared" si="282"/>
        <v>0.59810799945467874</v>
      </c>
      <c r="W2375" s="4">
        <f t="shared" si="283"/>
        <v>1.7817056986744759</v>
      </c>
      <c r="X2375" s="4">
        <f t="shared" si="284"/>
        <v>1.1203103192462969</v>
      </c>
      <c r="Y2375" s="3">
        <f t="shared" si="281"/>
        <v>-165.36207805877757</v>
      </c>
      <c r="AA2375" s="3"/>
    </row>
    <row r="2376" spans="19:27" x14ac:dyDescent="0.25">
      <c r="S2376" s="4">
        <v>0.6064656435156508</v>
      </c>
      <c r="T2376" s="4">
        <v>-0.96157904828795593</v>
      </c>
      <c r="U2376" s="4">
        <f t="shared" si="282"/>
        <v>-0.39252104949798422</v>
      </c>
      <c r="W2376" s="4">
        <f t="shared" si="283"/>
        <v>1.0595840837972841</v>
      </c>
      <c r="X2376" s="4">
        <f t="shared" si="284"/>
        <v>-0.62626356740282774</v>
      </c>
      <c r="Y2376" s="3">
        <f t="shared" si="281"/>
        <v>-229.53944104578295</v>
      </c>
      <c r="AA2376" s="3"/>
    </row>
    <row r="2377" spans="19:27" x14ac:dyDescent="0.25">
      <c r="S2377" s="4">
        <v>0.29942782247759153</v>
      </c>
      <c r="T2377" s="4">
        <v>0.91657697030626195</v>
      </c>
      <c r="U2377" s="4">
        <f t="shared" si="282"/>
        <v>0.90910113047769947</v>
      </c>
      <c r="W2377" s="4">
        <f t="shared" si="283"/>
        <v>0.53747955125460911</v>
      </c>
      <c r="X2377" s="4">
        <f t="shared" si="284"/>
        <v>1.6686209933036786</v>
      </c>
      <c r="Y2377" s="3">
        <f t="shared" si="281"/>
        <v>81.475463456655689</v>
      </c>
      <c r="AA2377" s="3"/>
    </row>
    <row r="2378" spans="19:27" x14ac:dyDescent="0.25">
      <c r="S2378" s="4">
        <v>0.39699021543523999</v>
      </c>
      <c r="T2378" s="4">
        <v>0.31236755595805876</v>
      </c>
      <c r="U2378" s="4">
        <f t="shared" si="282"/>
        <v>0.48962536150039637</v>
      </c>
      <c r="W2378" s="4">
        <f t="shared" si="283"/>
        <v>0.7033801800327939</v>
      </c>
      <c r="X2378" s="4">
        <f t="shared" si="284"/>
        <v>0.92904503906288205</v>
      </c>
      <c r="Y2378" s="3">
        <f t="shared" si="281"/>
        <v>-18.538291658834169</v>
      </c>
      <c r="AA2378" s="3"/>
    </row>
    <row r="2379" spans="19:27" x14ac:dyDescent="0.25">
      <c r="S2379" s="4">
        <v>0.84132863465767715</v>
      </c>
      <c r="T2379" s="4">
        <v>1.0308371970979826</v>
      </c>
      <c r="U2379" s="4">
        <f t="shared" si="282"/>
        <v>1.3300291262540911</v>
      </c>
      <c r="W2379" s="4">
        <f t="shared" si="283"/>
        <v>1.45895844030883</v>
      </c>
      <c r="X2379" s="4">
        <f t="shared" si="284"/>
        <v>2.4107573624722036</v>
      </c>
      <c r="Y2379" s="3">
        <f t="shared" si="281"/>
        <v>12.735718837292097</v>
      </c>
      <c r="AA2379" s="3"/>
    </row>
    <row r="2380" spans="19:27" x14ac:dyDescent="0.25">
      <c r="S2380" s="4">
        <v>-0.46093993860385601</v>
      </c>
      <c r="T2380" s="4">
        <v>-0.22750885425407893</v>
      </c>
      <c r="U2380" s="4">
        <f t="shared" si="282"/>
        <v>-0.46134372400248724</v>
      </c>
      <c r="W2380" s="4">
        <f t="shared" si="283"/>
        <v>-0.75549293375641502</v>
      </c>
      <c r="X2380" s="4">
        <f t="shared" si="284"/>
        <v>-0.74760453375749125</v>
      </c>
      <c r="Y2380" s="3">
        <f t="shared" si="281"/>
        <v>47.789245953048521</v>
      </c>
      <c r="AA2380" s="3"/>
    </row>
    <row r="2381" spans="19:27" x14ac:dyDescent="0.25">
      <c r="S2381" s="4">
        <v>0.53197641130547657</v>
      </c>
      <c r="T2381" s="4">
        <v>-0.9460704156562425</v>
      </c>
      <c r="U2381" s="4">
        <f t="shared" si="282"/>
        <v>-0.42563777813429277</v>
      </c>
      <c r="W2381" s="4">
        <f t="shared" si="283"/>
        <v>0.93291836674956252</v>
      </c>
      <c r="X2381" s="4">
        <f t="shared" si="284"/>
        <v>-0.6846515316045374</v>
      </c>
      <c r="Y2381" s="3">
        <f t="shared" si="281"/>
        <v>-215.72710566625437</v>
      </c>
      <c r="AA2381" s="3"/>
    </row>
    <row r="2382" spans="19:27" x14ac:dyDescent="0.25">
      <c r="S2382" s="4">
        <v>0.93675887425700155</v>
      </c>
      <c r="T2382" s="4">
        <v>-1.5986196261198458</v>
      </c>
      <c r="U2382" s="4">
        <f t="shared" si="282"/>
        <v>-0.69614390837207896</v>
      </c>
      <c r="W2382" s="4">
        <f t="shared" si="283"/>
        <v>1.6212334345358919</v>
      </c>
      <c r="X2382" s="4">
        <f t="shared" si="284"/>
        <v>-1.1615797458047257</v>
      </c>
      <c r="Y2382" s="3">
        <f t="shared" si="281"/>
        <v>-369.22701140700656</v>
      </c>
      <c r="AA2382" s="3"/>
    </row>
    <row r="2383" spans="19:27" x14ac:dyDescent="0.25">
      <c r="S2383" s="4">
        <v>-0.59507406845358779</v>
      </c>
      <c r="T2383" s="4">
        <v>0.91489049673029188</v>
      </c>
      <c r="U2383" s="4">
        <f t="shared" si="282"/>
        <v>0.3624559656273515</v>
      </c>
      <c r="W2383" s="4">
        <f t="shared" si="283"/>
        <v>-0.98358221906479337</v>
      </c>
      <c r="X2383" s="4">
        <f t="shared" si="284"/>
        <v>0.70483321502276275</v>
      </c>
      <c r="Y2383" s="3">
        <f t="shared" si="281"/>
        <v>230.61716706447351</v>
      </c>
      <c r="AA2383" s="3"/>
    </row>
    <row r="2384" spans="19:27" x14ac:dyDescent="0.25">
      <c r="S2384" s="4">
        <v>1.0669392440951995</v>
      </c>
      <c r="T2384" s="4">
        <v>0.62285407547232463</v>
      </c>
      <c r="U2384" s="4">
        <f t="shared" si="282"/>
        <v>1.1441614231832222</v>
      </c>
      <c r="W2384" s="4">
        <f t="shared" si="283"/>
        <v>1.8425995219801481</v>
      </c>
      <c r="X2384" s="4">
        <f t="shared" si="284"/>
        <v>2.0830548012579451</v>
      </c>
      <c r="Y2384" s="3">
        <f t="shared" si="281"/>
        <v>-78.283980418741976</v>
      </c>
      <c r="AA2384" s="3"/>
    </row>
    <row r="2385" spans="19:27" x14ac:dyDescent="0.25">
      <c r="S2385" s="4">
        <v>0.30400495754053269</v>
      </c>
      <c r="T2385" s="4">
        <v>1.9496946497940075</v>
      </c>
      <c r="U2385" s="4">
        <f t="shared" si="282"/>
        <v>1.7308355932919142</v>
      </c>
      <c r="W2385" s="4">
        <f t="shared" si="283"/>
        <v>0.54526277142710167</v>
      </c>
      <c r="X2385" s="4">
        <f t="shared" si="284"/>
        <v>3.1174175494195442</v>
      </c>
      <c r="Y2385" s="3">
        <f t="shared" si="281"/>
        <v>225.12954524226006</v>
      </c>
      <c r="AA2385" s="3"/>
    </row>
    <row r="2386" spans="19:27" x14ac:dyDescent="0.25">
      <c r="S2386" s="4">
        <v>1.9465613182170109</v>
      </c>
      <c r="T2386" s="4">
        <v>0.14872096234146037</v>
      </c>
      <c r="U2386" s="4">
        <f t="shared" si="282"/>
        <v>1.3045571308725783</v>
      </c>
      <c r="W2386" s="4">
        <f t="shared" si="283"/>
        <v>3.3383588075004136</v>
      </c>
      <c r="X2386" s="4">
        <f t="shared" si="284"/>
        <v>2.3658477951409882</v>
      </c>
      <c r="Y2386" s="3">
        <f t="shared" si="281"/>
        <v>-270.11841786390278</v>
      </c>
      <c r="AA2386" s="3"/>
    </row>
    <row r="2387" spans="19:27" x14ac:dyDescent="0.25">
      <c r="S2387" s="4">
        <v>-0.1890028322026559</v>
      </c>
      <c r="T2387" s="4">
        <v>0.32516984078190392</v>
      </c>
      <c r="U2387" s="4">
        <f t="shared" si="282"/>
        <v>0.14253919407353582</v>
      </c>
      <c r="W2387" s="4">
        <f t="shared" si="283"/>
        <v>-0.29307564803379715</v>
      </c>
      <c r="X2387" s="4">
        <f t="shared" si="284"/>
        <v>0.31709888516622964</v>
      </c>
      <c r="Y2387" s="3">
        <f t="shared" si="281"/>
        <v>78.897792340115757</v>
      </c>
      <c r="AA2387" s="3"/>
    </row>
    <row r="2388" spans="19:27" x14ac:dyDescent="0.25">
      <c r="S2388" s="4">
        <v>-0.78453202487726592</v>
      </c>
      <c r="T2388" s="4">
        <v>0.66458350086925799</v>
      </c>
      <c r="U2388" s="4">
        <f t="shared" si="282"/>
        <v>4.8541810329542079E-2</v>
      </c>
      <c r="W2388" s="4">
        <f t="shared" si="283"/>
        <v>-1.3057472782117365</v>
      </c>
      <c r="X2388" s="4">
        <f t="shared" si="284"/>
        <v>0.15137249542007014</v>
      </c>
      <c r="Y2388" s="3">
        <f t="shared" si="281"/>
        <v>228.82261379605461</v>
      </c>
      <c r="AA2388" s="3"/>
    </row>
    <row r="2389" spans="19:27" x14ac:dyDescent="0.25">
      <c r="S2389" s="4">
        <v>0.8784831167495567</v>
      </c>
      <c r="T2389" s="4">
        <v>-1.2235650837997567</v>
      </c>
      <c r="U2389" s="4">
        <f t="shared" si="282"/>
        <v>-0.43436736802453246</v>
      </c>
      <c r="W2389" s="4">
        <f t="shared" si="283"/>
        <v>1.5221380298423337</v>
      </c>
      <c r="X2389" s="4">
        <f t="shared" si="284"/>
        <v>-0.7000426346209172</v>
      </c>
      <c r="Y2389" s="3">
        <f t="shared" si="281"/>
        <v>-307.987959446074</v>
      </c>
      <c r="AA2389" s="3"/>
    </row>
    <row r="2390" spans="19:27" x14ac:dyDescent="0.25">
      <c r="S2390" s="4">
        <v>0.48917472935359474</v>
      </c>
      <c r="T2390" s="4">
        <v>-1.4288657791096264</v>
      </c>
      <c r="U2390" s="4">
        <f t="shared" si="282"/>
        <v>-0.8344386698276125</v>
      </c>
      <c r="W2390" s="4">
        <f t="shared" si="283"/>
        <v>0.86013595814603916</v>
      </c>
      <c r="X2390" s="4">
        <f t="shared" si="284"/>
        <v>-1.4054066548520363</v>
      </c>
      <c r="Y2390" s="3">
        <f t="shared" si="281"/>
        <v>-276.47409882457532</v>
      </c>
      <c r="AA2390" s="3"/>
    </row>
    <row r="2391" spans="19:27" x14ac:dyDescent="0.25">
      <c r="S2391" s="4">
        <v>0.57733050639149786</v>
      </c>
      <c r="T2391" s="4">
        <v>1.0590012450619788</v>
      </c>
      <c r="U2391" s="4">
        <f t="shared" si="282"/>
        <v>1.1914153930176412</v>
      </c>
      <c r="W2391" s="4">
        <f t="shared" si="283"/>
        <v>1.0100410434729881</v>
      </c>
      <c r="X2391" s="4">
        <f t="shared" si="284"/>
        <v>2.1663680756269521</v>
      </c>
      <c r="Y2391" s="3">
        <f t="shared" si="281"/>
        <v>57.400200450523698</v>
      </c>
      <c r="AA2391" s="3"/>
    </row>
    <row r="2392" spans="19:27" x14ac:dyDescent="0.25">
      <c r="S2392" s="4">
        <v>0.23344001662545633</v>
      </c>
      <c r="T2392" s="4">
        <v>1.1971904761106247</v>
      </c>
      <c r="U2392" s="4">
        <f t="shared" si="282"/>
        <v>1.0913135781778194</v>
      </c>
      <c r="W2392" s="4">
        <f t="shared" si="283"/>
        <v>0.42527014196598845</v>
      </c>
      <c r="X2392" s="4">
        <f t="shared" si="284"/>
        <v>1.9898789892325424</v>
      </c>
      <c r="Y2392" s="3">
        <f t="shared" si="281"/>
        <v>131.30468075365434</v>
      </c>
      <c r="AA2392" s="3"/>
    </row>
    <row r="2393" spans="19:27" x14ac:dyDescent="0.25">
      <c r="S2393" s="4">
        <v>-0.3274499480257374</v>
      </c>
      <c r="T2393" s="4">
        <v>1.3096752164940786</v>
      </c>
      <c r="U2393" s="4">
        <f t="shared" si="282"/>
        <v>0.83854829718637203</v>
      </c>
      <c r="W2393" s="4">
        <f t="shared" si="283"/>
        <v>-0.52849897941462898</v>
      </c>
      <c r="X2393" s="4">
        <f t="shared" si="284"/>
        <v>1.5442295913091366</v>
      </c>
      <c r="Y2393" s="3">
        <f t="shared" si="281"/>
        <v>239.83931040555944</v>
      </c>
      <c r="AA2393" s="3"/>
    </row>
    <row r="2394" spans="19:27" x14ac:dyDescent="0.25">
      <c r="S2394" s="4">
        <v>0.8324756036765063</v>
      </c>
      <c r="T2394" s="4">
        <v>-1.1002222930103751</v>
      </c>
      <c r="U2394" s="4">
        <f t="shared" si="282"/>
        <v>-0.36464172865424493</v>
      </c>
      <c r="W2394" s="4">
        <f t="shared" si="283"/>
        <v>1.4439042440981389</v>
      </c>
      <c r="X2394" s="4">
        <f t="shared" si="284"/>
        <v>-0.57710965473019982</v>
      </c>
      <c r="Y2394" s="3">
        <f t="shared" si="281"/>
        <v>-283.75015410805599</v>
      </c>
      <c r="AA2394" s="3"/>
    </row>
    <row r="2395" spans="19:27" x14ac:dyDescent="0.25">
      <c r="S2395" s="4">
        <v>-0.76054069473183394</v>
      </c>
      <c r="T2395" s="4">
        <v>-0.57843560564044616</v>
      </c>
      <c r="U2395" s="4">
        <f t="shared" si="282"/>
        <v>-0.92216386464261524</v>
      </c>
      <c r="W2395" s="4">
        <f t="shared" si="283"/>
        <v>-1.2649510591390867</v>
      </c>
      <c r="X2395" s="4">
        <f t="shared" si="284"/>
        <v>-1.5600745748237759</v>
      </c>
      <c r="Y2395" s="3">
        <f t="shared" si="281"/>
        <v>50.866366498203206</v>
      </c>
      <c r="AA2395" s="3"/>
    </row>
    <row r="2396" spans="19:27" x14ac:dyDescent="0.25">
      <c r="S2396" s="4">
        <v>-1.2713794594561623</v>
      </c>
      <c r="T2396" s="4">
        <v>1.5236623636446516</v>
      </c>
      <c r="U2396" s="4">
        <f t="shared" si="282"/>
        <v>0.43273370990363857</v>
      </c>
      <c r="W2396" s="4">
        <f t="shared" si="283"/>
        <v>-2.133610280206228</v>
      </c>
      <c r="X2396" s="4">
        <f t="shared" si="284"/>
        <v>0.828739608738291</v>
      </c>
      <c r="Y2396" s="3">
        <f t="shared" si="281"/>
        <v>436.68851297319998</v>
      </c>
      <c r="AA2396" s="3"/>
    </row>
    <row r="2397" spans="19:27" x14ac:dyDescent="0.25">
      <c r="S2397" s="4">
        <v>-0.83145839142027367</v>
      </c>
      <c r="T2397" s="4">
        <v>1.0428671177176672</v>
      </c>
      <c r="U2397" s="4">
        <f t="shared" si="282"/>
        <v>0.31979685424211546</v>
      </c>
      <c r="W2397" s="4">
        <f t="shared" si="283"/>
        <v>-1.3855435345329612</v>
      </c>
      <c r="X2397" s="4">
        <f t="shared" si="284"/>
        <v>0.62962111615297689</v>
      </c>
      <c r="Y2397" s="3">
        <f t="shared" si="281"/>
        <v>289.9960549372845</v>
      </c>
      <c r="AA2397" s="3"/>
    </row>
    <row r="2398" spans="19:27" x14ac:dyDescent="0.25">
      <c r="S2398" s="4">
        <v>-0.36501076039480096</v>
      </c>
      <c r="T2398" s="4">
        <v>-0.32322596680700016</v>
      </c>
      <c r="U2398" s="4">
        <f t="shared" si="282"/>
        <v>-0.47873734780516297</v>
      </c>
      <c r="W2398" s="4">
        <f t="shared" si="283"/>
        <v>-0.59236951600706456</v>
      </c>
      <c r="X2398" s="4">
        <f t="shared" si="284"/>
        <v>-0.77827115832303417</v>
      </c>
      <c r="Y2398" s="3">
        <f t="shared" si="281"/>
        <v>18.010442008293012</v>
      </c>
      <c r="AA2398" s="3"/>
    </row>
    <row r="2399" spans="19:27" x14ac:dyDescent="0.25">
      <c r="S2399" s="4">
        <v>1.4486729551933912</v>
      </c>
      <c r="T2399" s="4">
        <v>-0.12994136015253646</v>
      </c>
      <c r="U2399" s="4">
        <f t="shared" si="282"/>
        <v>0.7801398769411112</v>
      </c>
      <c r="W2399" s="4">
        <f t="shared" si="283"/>
        <v>2.4917211843045979</v>
      </c>
      <c r="X2399" s="4">
        <f t="shared" si="284"/>
        <v>1.4412499525950742</v>
      </c>
      <c r="Y2399" s="3">
        <f t="shared" si="281"/>
        <v>-239.34647005703573</v>
      </c>
      <c r="AA2399" s="3"/>
    </row>
    <row r="2400" spans="19:27" x14ac:dyDescent="0.25">
      <c r="S2400" s="4">
        <v>0.39455339162753839</v>
      </c>
      <c r="T2400" s="4">
        <v>1.6561305676958544</v>
      </c>
      <c r="U2400" s="4">
        <f t="shared" si="282"/>
        <v>1.5533300340881451</v>
      </c>
      <c r="W2400" s="4">
        <f t="shared" si="283"/>
        <v>0.69923646656222704</v>
      </c>
      <c r="X2400" s="4">
        <f t="shared" si="284"/>
        <v>2.8044582486922667</v>
      </c>
      <c r="Y2400" s="3">
        <f t="shared" si="281"/>
        <v>169.65212180548588</v>
      </c>
      <c r="AA2400" s="3"/>
    </row>
    <row r="2401" spans="19:27" x14ac:dyDescent="0.25">
      <c r="S2401" s="4">
        <v>1.8211881687898084</v>
      </c>
      <c r="T2401" s="4">
        <v>1.3678490752541992</v>
      </c>
      <c r="U2401" s="4">
        <f t="shared" si="282"/>
        <v>2.1945199868454446</v>
      </c>
      <c r="W2401" s="4">
        <f t="shared" si="283"/>
        <v>3.1251671904097664</v>
      </c>
      <c r="X2401" s="4">
        <f t="shared" si="284"/>
        <v>3.9349375426839761</v>
      </c>
      <c r="Y2401" s="3">
        <f t="shared" si="281"/>
        <v>-82.509541502065076</v>
      </c>
      <c r="AA2401" s="3"/>
    </row>
    <row r="2402" spans="19:27" x14ac:dyDescent="0.25">
      <c r="S2402" s="4">
        <v>1.9631359433141375</v>
      </c>
      <c r="T2402" s="4">
        <v>0.25901961913150778</v>
      </c>
      <c r="U2402" s="4">
        <f t="shared" si="282"/>
        <v>1.4020942570796326</v>
      </c>
      <c r="W2402" s="4">
        <f t="shared" si="283"/>
        <v>3.3665432404772639</v>
      </c>
      <c r="X2402" s="4">
        <f t="shared" si="284"/>
        <v>2.5378150898535234</v>
      </c>
      <c r="Y2402" s="3">
        <f t="shared" si="281"/>
        <v>-256.9637044012693</v>
      </c>
      <c r="AA2402" s="3"/>
    </row>
    <row r="2403" spans="19:27" x14ac:dyDescent="0.25">
      <c r="S2403" s="4">
        <v>2.1559892704138646</v>
      </c>
      <c r="T2403" s="4">
        <v>-0.54577965256443661</v>
      </c>
      <c r="U2403" s="4">
        <f t="shared" si="282"/>
        <v>0.88170398867285926</v>
      </c>
      <c r="W2403" s="4">
        <f t="shared" si="283"/>
        <v>3.6944819805786713</v>
      </c>
      <c r="X2403" s="4">
        <f t="shared" si="284"/>
        <v>1.6203172084553064</v>
      </c>
      <c r="Y2403" s="3">
        <f t="shared" si="281"/>
        <v>-395.46057147224747</v>
      </c>
      <c r="AA2403" s="3"/>
    </row>
    <row r="2404" spans="19:27" x14ac:dyDescent="0.25">
      <c r="S2404" s="4">
        <v>-0.933148705716769</v>
      </c>
      <c r="T2404" s="4">
        <v>-1.7930275230136323</v>
      </c>
      <c r="U2404" s="4">
        <f t="shared" si="282"/>
        <v>-1.9901868785140744</v>
      </c>
      <c r="W2404" s="4">
        <f t="shared" si="283"/>
        <v>-1.5584635149783286</v>
      </c>
      <c r="X2404" s="4">
        <f t="shared" si="284"/>
        <v>-3.4431014337073815</v>
      </c>
      <c r="Y2404" s="3">
        <f t="shared" si="281"/>
        <v>-88.234072153728448</v>
      </c>
      <c r="AA2404" s="3"/>
    </row>
    <row r="2405" spans="19:27" x14ac:dyDescent="0.25">
      <c r="S2405" s="4">
        <v>0.43857608358523426</v>
      </c>
      <c r="T2405" s="4">
        <v>-1.3656128653547501</v>
      </c>
      <c r="U2405" s="4">
        <f t="shared" si="282"/>
        <v>-0.81514465332938768</v>
      </c>
      <c r="W2405" s="4">
        <f t="shared" si="283"/>
        <v>0.77409514986103123</v>
      </c>
      <c r="X2405" s="4">
        <f t="shared" si="284"/>
        <v>-1.3713894559620943</v>
      </c>
      <c r="Y2405" s="3">
        <f t="shared" si="281"/>
        <v>-259.6453752495172</v>
      </c>
      <c r="AA2405" s="3"/>
    </row>
    <row r="2406" spans="19:27" x14ac:dyDescent="0.25">
      <c r="S2406" s="4">
        <v>-0.29435675377583814</v>
      </c>
      <c r="T2406" s="4">
        <v>-0.86277194119547229</v>
      </c>
      <c r="U2406" s="4">
        <f t="shared" si="282"/>
        <v>-0.86335887669722677</v>
      </c>
      <c r="W2406" s="4">
        <f t="shared" si="283"/>
        <v>-0.4722254341693809</v>
      </c>
      <c r="X2406" s="4">
        <f t="shared" si="284"/>
        <v>-1.4563957492747788</v>
      </c>
      <c r="Y2406" s="3">
        <f t="shared" si="281"/>
        <v>-69.387265116234175</v>
      </c>
      <c r="AA2406" s="3"/>
    </row>
    <row r="2407" spans="19:27" x14ac:dyDescent="0.25">
      <c r="S2407" s="4">
        <v>1.623146076779602</v>
      </c>
      <c r="T2407" s="4">
        <v>1.3762252806008493</v>
      </c>
      <c r="U2407" s="4">
        <f t="shared" si="282"/>
        <v>2.0804288599972285</v>
      </c>
      <c r="W2407" s="4">
        <f t="shared" si="283"/>
        <v>2.7884051800385903</v>
      </c>
      <c r="X2407" s="4">
        <f t="shared" si="284"/>
        <v>3.7337839594510367</v>
      </c>
      <c r="Y2407" s="3">
        <f t="shared" si="281"/>
        <v>-53.677536477426656</v>
      </c>
      <c r="AA2407" s="3"/>
    </row>
    <row r="2408" spans="19:27" x14ac:dyDescent="0.25">
      <c r="S2408" s="4">
        <v>-1.5795211929683264</v>
      </c>
      <c r="T2408" s="4">
        <v>0.5030830574656322</v>
      </c>
      <c r="U2408" s="4">
        <f t="shared" si="282"/>
        <v>-0.56412143676166504</v>
      </c>
      <c r="W2408" s="4">
        <f t="shared" si="283"/>
        <v>-2.6575919681570284</v>
      </c>
      <c r="X2408" s="4">
        <f t="shared" si="284"/>
        <v>-0.92881148445663464</v>
      </c>
      <c r="Y2408" s="3">
        <f t="shared" si="281"/>
        <v>351.5148644566134</v>
      </c>
      <c r="AA2408" s="3"/>
    </row>
    <row r="2409" spans="19:27" x14ac:dyDescent="0.25">
      <c r="S2409" s="4">
        <v>-0.7854633589271004</v>
      </c>
      <c r="T2409" s="4">
        <v>1.2350913580931544</v>
      </c>
      <c r="U2409" s="4">
        <f t="shared" si="282"/>
        <v>0.50021107347676974</v>
      </c>
      <c r="W2409" s="4">
        <f t="shared" si="283"/>
        <v>-1.3073309714749506</v>
      </c>
      <c r="X2409" s="4">
        <f t="shared" si="284"/>
        <v>0.94770866307942958</v>
      </c>
      <c r="Y2409" s="3">
        <f t="shared" si="281"/>
        <v>308.7208289658065</v>
      </c>
      <c r="AA2409" s="3"/>
    </row>
    <row r="2410" spans="19:27" x14ac:dyDescent="0.25">
      <c r="S2410" s="4">
        <v>5.2813291053136618E-2</v>
      </c>
      <c r="T2410" s="4">
        <v>-0.91680414870512406</v>
      </c>
      <c r="U2410" s="4">
        <f t="shared" si="282"/>
        <v>-0.69454717102100527</v>
      </c>
      <c r="W2410" s="4">
        <f t="shared" si="283"/>
        <v>0.11812220885204092</v>
      </c>
      <c r="X2410" s="4">
        <f t="shared" si="284"/>
        <v>-1.1587645449339548</v>
      </c>
      <c r="Y2410" s="3">
        <f t="shared" si="281"/>
        <v>-134.76953397458965</v>
      </c>
      <c r="AA2410" s="3"/>
    </row>
    <row r="2411" spans="19:27" x14ac:dyDescent="0.25">
      <c r="S2411" s="4">
        <v>0.87955152910723089</v>
      </c>
      <c r="T2411" s="4">
        <v>-0.94792720411654208</v>
      </c>
      <c r="U2411" s="4">
        <f t="shared" si="282"/>
        <v>-0.2152200926706781</v>
      </c>
      <c r="W2411" s="4">
        <f t="shared" si="283"/>
        <v>1.5239548188381662</v>
      </c>
      <c r="X2411" s="4">
        <f t="shared" si="284"/>
        <v>-0.31366500026018973</v>
      </c>
      <c r="Y2411" s="3">
        <f t="shared" si="281"/>
        <v>-269.62721157770238</v>
      </c>
      <c r="AA2411" s="3"/>
    </row>
    <row r="2412" spans="19:27" x14ac:dyDescent="0.25">
      <c r="S2412" s="4">
        <v>-1.535755339618383</v>
      </c>
      <c r="T2412" s="4">
        <v>-7.8994791584525548E-2</v>
      </c>
      <c r="U2412" s="4">
        <f t="shared" si="282"/>
        <v>-0.99884926140591523</v>
      </c>
      <c r="W2412" s="4">
        <f t="shared" si="283"/>
        <v>-2.5831700278001395</v>
      </c>
      <c r="X2412" s="4">
        <f t="shared" si="284"/>
        <v>-1.6952782735399714</v>
      </c>
      <c r="Y2412" s="3">
        <f t="shared" si="281"/>
        <v>261.91299491703467</v>
      </c>
      <c r="AA2412" s="3"/>
    </row>
    <row r="2413" spans="19:27" x14ac:dyDescent="0.25">
      <c r="S2413" s="4">
        <v>-1.1480835977385626</v>
      </c>
      <c r="T2413" s="4">
        <v>2.0679335944216333</v>
      </c>
      <c r="U2413" s="4">
        <f t="shared" si="282"/>
        <v>0.9393370789412766</v>
      </c>
      <c r="W2413" s="4">
        <f t="shared" si="283"/>
        <v>-1.923951001004484</v>
      </c>
      <c r="X2413" s="4">
        <f t="shared" si="284"/>
        <v>1.7219298661662146</v>
      </c>
      <c r="Y2413" s="3">
        <f t="shared" si="281"/>
        <v>490.17485769065479</v>
      </c>
      <c r="AA2413" s="3"/>
    </row>
    <row r="2414" spans="19:27" x14ac:dyDescent="0.25">
      <c r="S2414" s="4">
        <v>0.86774421168761284</v>
      </c>
      <c r="T2414" s="4">
        <v>0.93337491854760624</v>
      </c>
      <c r="U2414" s="4">
        <f t="shared" si="282"/>
        <v>1.2688750810374516</v>
      </c>
      <c r="W2414" s="4">
        <f t="shared" si="283"/>
        <v>1.5038769863382133</v>
      </c>
      <c r="X2414" s="4">
        <f t="shared" si="284"/>
        <v>2.3029369239828754</v>
      </c>
      <c r="Y2414" s="3">
        <f t="shared" si="281"/>
        <v>-4.9047206609270688</v>
      </c>
      <c r="AA2414" s="3"/>
    </row>
    <row r="2415" spans="19:27" x14ac:dyDescent="0.25">
      <c r="S2415" s="4">
        <v>1.6296368744686405</v>
      </c>
      <c r="T2415" s="4">
        <v>-0.999782957281378</v>
      </c>
      <c r="U2415" s="4">
        <f t="shared" si="282"/>
        <v>0.20094302798587504</v>
      </c>
      <c r="W2415" s="4">
        <f t="shared" si="283"/>
        <v>2.7994425007237331</v>
      </c>
      <c r="X2415" s="4">
        <f t="shared" si="284"/>
        <v>0.42007043773611463</v>
      </c>
      <c r="Y2415" s="3">
        <f t="shared" si="281"/>
        <v>-386.66195747921711</v>
      </c>
      <c r="AA2415" s="3"/>
    </row>
    <row r="2416" spans="19:27" x14ac:dyDescent="0.25">
      <c r="S2416" s="4">
        <v>-0.22081467709567046</v>
      </c>
      <c r="T2416" s="4">
        <v>-1.4588216635902247</v>
      </c>
      <c r="U2416" s="4">
        <f t="shared" si="282"/>
        <v>-1.2910098437265454</v>
      </c>
      <c r="W2416" s="4">
        <f t="shared" si="283"/>
        <v>-0.34717031412748545</v>
      </c>
      <c r="X2416" s="4">
        <f t="shared" si="284"/>
        <v>-2.2103853606266113</v>
      </c>
      <c r="Y2416" s="3">
        <f t="shared" si="281"/>
        <v>-165.09216645987044</v>
      </c>
      <c r="AA2416" s="3"/>
    </row>
    <row r="2417" spans="19:27" x14ac:dyDescent="0.25">
      <c r="S2417" s="4">
        <v>-1.2875662813256585</v>
      </c>
      <c r="T2417" s="4">
        <v>2.1695650566187994</v>
      </c>
      <c r="U2417" s="4">
        <f t="shared" si="282"/>
        <v>0.93486777186629244</v>
      </c>
      <c r="W2417" s="4">
        <f t="shared" si="283"/>
        <v>-2.1611352705704521</v>
      </c>
      <c r="X2417" s="4">
        <f t="shared" si="284"/>
        <v>1.7140500497638627</v>
      </c>
      <c r="Y2417" s="3">
        <f t="shared" si="281"/>
        <v>529.94125032407374</v>
      </c>
      <c r="AA2417" s="3"/>
    </row>
    <row r="2418" spans="19:27" x14ac:dyDescent="0.25">
      <c r="S2418" s="4">
        <v>-1.4404096384516507</v>
      </c>
      <c r="T2418" s="4">
        <v>-0.20514521060774576</v>
      </c>
      <c r="U2418" s="4">
        <f t="shared" si="282"/>
        <v>-1.0407228249809981</v>
      </c>
      <c r="W2418" s="4">
        <f t="shared" si="283"/>
        <v>-2.4210387875206574</v>
      </c>
      <c r="X2418" s="4">
        <f t="shared" si="284"/>
        <v>-1.7691053763879077</v>
      </c>
      <c r="Y2418" s="3">
        <f t="shared" si="281"/>
        <v>226.40990629577027</v>
      </c>
      <c r="AA2418" s="3"/>
    </row>
    <row r="2419" spans="19:27" x14ac:dyDescent="0.25">
      <c r="S2419" s="4">
        <v>-0.66802444806230665</v>
      </c>
      <c r="T2419" s="4">
        <v>-0.57782390586153631</v>
      </c>
      <c r="U2419" s="4">
        <f t="shared" si="282"/>
        <v>-0.86527900693122817</v>
      </c>
      <c r="W2419" s="4">
        <f t="shared" si="283"/>
        <v>-1.1076311838328816</v>
      </c>
      <c r="X2419" s="4">
        <f t="shared" si="284"/>
        <v>-1.4597811227697495</v>
      </c>
      <c r="Y2419" s="3">
        <f t="shared" si="281"/>
        <v>34.710948044577435</v>
      </c>
      <c r="AA2419" s="3"/>
    </row>
    <row r="2420" spans="19:27" x14ac:dyDescent="0.25">
      <c r="S2420" s="4">
        <v>0.14195970414943079</v>
      </c>
      <c r="T2420" s="4">
        <v>2.4183064009412796</v>
      </c>
      <c r="U2420" s="4">
        <f t="shared" si="282"/>
        <v>2.0035139864106108</v>
      </c>
      <c r="W2420" s="4">
        <f t="shared" si="283"/>
        <v>0.26971182794241183</v>
      </c>
      <c r="X2420" s="4">
        <f t="shared" si="284"/>
        <v>3.5981756711181512</v>
      </c>
      <c r="Y2420" s="3">
        <f t="shared" si="281"/>
        <v>316.7839363252815</v>
      </c>
      <c r="AA2420" s="3"/>
    </row>
    <row r="2421" spans="19:27" x14ac:dyDescent="0.25">
      <c r="S2421" s="4">
        <v>-0.12207208090934737</v>
      </c>
      <c r="T2421" s="4">
        <v>-4.2198502441406119E-2</v>
      </c>
      <c r="U2421" s="4">
        <f t="shared" si="282"/>
        <v>-0.10786828027319888</v>
      </c>
      <c r="W2421" s="4">
        <f t="shared" si="283"/>
        <v>-0.17926280081328727</v>
      </c>
      <c r="X2421" s="4">
        <f t="shared" si="284"/>
        <v>-0.12439347383349747</v>
      </c>
      <c r="Y2421" s="3">
        <f t="shared" si="281"/>
        <v>16.37074725086859</v>
      </c>
      <c r="AA2421" s="3"/>
    </row>
    <row r="2422" spans="19:27" x14ac:dyDescent="0.25">
      <c r="S2422" s="4">
        <v>-1.2688608092781917</v>
      </c>
      <c r="T2422" s="4">
        <v>-1.1397436736832758</v>
      </c>
      <c r="U2422" s="4">
        <f t="shared" si="282"/>
        <v>-1.6769915737378844</v>
      </c>
      <c r="W2422" s="4">
        <f t="shared" si="283"/>
        <v>-2.1293274245327414</v>
      </c>
      <c r="X2422" s="4">
        <f t="shared" si="284"/>
        <v>-2.8909081164192001</v>
      </c>
      <c r="Y2422" s="3">
        <f t="shared" si="281"/>
        <v>63.98941450443499</v>
      </c>
      <c r="AA2422" s="3"/>
    </row>
    <row r="2423" spans="19:27" x14ac:dyDescent="0.25">
      <c r="S2423" s="4">
        <v>0.28362203824923587</v>
      </c>
      <c r="T2423" s="4">
        <v>-1.4558543247482232</v>
      </c>
      <c r="U2423" s="4">
        <f t="shared" si="282"/>
        <v>-0.98114178131680507</v>
      </c>
      <c r="W2423" s="4">
        <f t="shared" si="283"/>
        <v>0.51060249891585796</v>
      </c>
      <c r="X2423" s="4">
        <f t="shared" si="284"/>
        <v>-1.664058290283174</v>
      </c>
      <c r="Y2423" s="3">
        <f t="shared" si="281"/>
        <v>-247.55792035598688</v>
      </c>
      <c r="AA2423" s="3"/>
    </row>
    <row r="2424" spans="19:27" x14ac:dyDescent="0.25">
      <c r="S2424" s="4">
        <v>-1.9348425040952204</v>
      </c>
      <c r="T2424" s="4">
        <v>-0.77996022916602292</v>
      </c>
      <c r="U2424" s="4">
        <f t="shared" si="282"/>
        <v>-1.797791409168678</v>
      </c>
      <c r="W2424" s="4">
        <f t="shared" si="283"/>
        <v>-3.2618004869028723</v>
      </c>
      <c r="X2424" s="4">
        <f t="shared" si="284"/>
        <v>-3.1038897953816726</v>
      </c>
      <c r="Y2424" s="3">
        <f t="shared" si="281"/>
        <v>240.2919110931598</v>
      </c>
      <c r="AA2424" s="3"/>
    </row>
    <row r="2425" spans="19:27" x14ac:dyDescent="0.25">
      <c r="S2425" s="4">
        <v>-1.6241294654325658</v>
      </c>
      <c r="T2425" s="4">
        <v>0.29477624557884852</v>
      </c>
      <c r="U2425" s="4">
        <f t="shared" si="282"/>
        <v>-0.75643878222252714</v>
      </c>
      <c r="W2425" s="4">
        <f t="shared" si="283"/>
        <v>-2.7334464057756138</v>
      </c>
      <c r="X2425" s="4">
        <f t="shared" si="284"/>
        <v>-1.2678853828919217</v>
      </c>
      <c r="Y2425" s="3">
        <f t="shared" si="281"/>
        <v>330.84269806111479</v>
      </c>
      <c r="AA2425" s="3"/>
    </row>
    <row r="2426" spans="19:27" x14ac:dyDescent="0.25">
      <c r="S2426" s="4">
        <v>0.69807033560690201</v>
      </c>
      <c r="T2426" s="4">
        <v>-1.1139016369568437</v>
      </c>
      <c r="U2426" s="4">
        <f t="shared" si="282"/>
        <v>-0.4574216856707834</v>
      </c>
      <c r="W2426" s="4">
        <f t="shared" si="283"/>
        <v>1.2153538999760209</v>
      </c>
      <c r="X2426" s="4">
        <f t="shared" si="284"/>
        <v>-0.74068960456191291</v>
      </c>
      <c r="Y2426" s="3">
        <f t="shared" si="281"/>
        <v>-265.03672780202442</v>
      </c>
      <c r="AA2426" s="3"/>
    </row>
    <row r="2427" spans="19:27" x14ac:dyDescent="0.25">
      <c r="S2427" s="4">
        <v>-0.45676330756099776</v>
      </c>
      <c r="T2427" s="4">
        <v>0.33665748158676684</v>
      </c>
      <c r="U2427" s="4">
        <f t="shared" si="282"/>
        <v>-1.1587404754866804E-2</v>
      </c>
      <c r="W2427" s="4">
        <f t="shared" si="283"/>
        <v>-0.74839075334469163</v>
      </c>
      <c r="X2427" s="4">
        <f t="shared" si="284"/>
        <v>4.5358930602675457E-2</v>
      </c>
      <c r="Y2427" s="3">
        <f t="shared" si="281"/>
        <v>125.91968365703133</v>
      </c>
      <c r="AA2427" s="3"/>
    </row>
    <row r="2428" spans="19:27" x14ac:dyDescent="0.25">
      <c r="S2428" s="4">
        <v>-1.2561451677932729</v>
      </c>
      <c r="T2428" s="4">
        <v>0.28341392036267499</v>
      </c>
      <c r="U2428" s="4">
        <f t="shared" si="282"/>
        <v>-0.54111416848544425</v>
      </c>
      <c r="W2428" s="4">
        <f t="shared" si="283"/>
        <v>-2.1077050262528862</v>
      </c>
      <c r="X2428" s="4">
        <f t="shared" si="284"/>
        <v>-0.88824746706095836</v>
      </c>
      <c r="Y2428" s="3">
        <f t="shared" si="281"/>
        <v>260.54966186074398</v>
      </c>
      <c r="AA2428" s="3"/>
    </row>
    <row r="2429" spans="19:27" x14ac:dyDescent="0.25">
      <c r="S2429" s="4">
        <v>0.4607305843512185</v>
      </c>
      <c r="T2429" s="4">
        <v>-1.3746241134283692</v>
      </c>
      <c r="U2429" s="4">
        <f t="shared" si="282"/>
        <v>-0.80878191978311875</v>
      </c>
      <c r="W2429" s="4">
        <f t="shared" si="283"/>
        <v>0.81176792003323328</v>
      </c>
      <c r="X2429" s="4">
        <f t="shared" si="284"/>
        <v>-1.3601713473558821</v>
      </c>
      <c r="Y2429" s="3">
        <f t="shared" si="281"/>
        <v>-264.40719410012798</v>
      </c>
      <c r="AA2429" s="3"/>
    </row>
    <row r="2430" spans="19:27" x14ac:dyDescent="0.25">
      <c r="S2430" s="4">
        <v>-5.4069318161157785E-3</v>
      </c>
      <c r="T2430" s="4">
        <v>-0.63133147483883933</v>
      </c>
      <c r="U2430" s="4">
        <f t="shared" si="282"/>
        <v>-0.50374760768397631</v>
      </c>
      <c r="W2430" s="4">
        <f t="shared" si="283"/>
        <v>1.9121238408359061E-2</v>
      </c>
      <c r="X2430" s="4">
        <f t="shared" si="284"/>
        <v>-0.82236664174220753</v>
      </c>
      <c r="Y2430" s="3">
        <f t="shared" si="281"/>
        <v>-85.299904814175079</v>
      </c>
      <c r="AA2430" s="3"/>
    </row>
    <row r="2431" spans="19:27" x14ac:dyDescent="0.25">
      <c r="S2431" s="4">
        <v>-0.97549917640804695</v>
      </c>
      <c r="T2431" s="4">
        <v>1.175909684366941</v>
      </c>
      <c r="U2431" s="4">
        <f t="shared" si="282"/>
        <v>0.33744815865885736</v>
      </c>
      <c r="W2431" s="4">
        <f t="shared" si="283"/>
        <v>-1.6304786583521187</v>
      </c>
      <c r="X2431" s="4">
        <f t="shared" si="284"/>
        <v>0.66074205631939931</v>
      </c>
      <c r="Y2431" s="3">
        <f t="shared" si="281"/>
        <v>334.29200915148158</v>
      </c>
      <c r="AA2431" s="3"/>
    </row>
    <row r="2432" spans="19:27" x14ac:dyDescent="0.25">
      <c r="S2432" s="4">
        <v>0.47934607279649233</v>
      </c>
      <c r="T2432" s="4">
        <v>0.26335301176667214</v>
      </c>
      <c r="U2432" s="4">
        <f t="shared" si="282"/>
        <v>0.50097789166713391</v>
      </c>
      <c r="W2432" s="4">
        <f t="shared" si="283"/>
        <v>0.8434227528480106</v>
      </c>
      <c r="X2432" s="4">
        <f t="shared" si="284"/>
        <v>0.94906063698784016</v>
      </c>
      <c r="Y2432" s="3">
        <f t="shared" si="281"/>
        <v>-38.422163207729682</v>
      </c>
      <c r="AA2432" s="3"/>
    </row>
    <row r="2433" spans="19:27" x14ac:dyDescent="0.25">
      <c r="S2433" s="4">
        <v>-1.5903069143707338</v>
      </c>
      <c r="T2433" s="4">
        <v>-0.831610211890638</v>
      </c>
      <c r="U2433" s="4">
        <f t="shared" si="282"/>
        <v>-1.6286973555293089</v>
      </c>
      <c r="W2433" s="4">
        <f t="shared" si="283"/>
        <v>-2.6759326208228815</v>
      </c>
      <c r="X2433" s="4">
        <f t="shared" si="284"/>
        <v>-2.8057607845411265</v>
      </c>
      <c r="Y2433" s="3">
        <f t="shared" si="281"/>
        <v>167.01720662395292</v>
      </c>
      <c r="AA2433" s="3"/>
    </row>
    <row r="2434" spans="19:27" x14ac:dyDescent="0.25">
      <c r="S2434" s="4">
        <v>-0.55429454456043969</v>
      </c>
      <c r="T2434" s="4">
        <v>0.25365217882154445</v>
      </c>
      <c r="U2434" s="4">
        <f t="shared" si="282"/>
        <v>-0.13684226396403737</v>
      </c>
      <c r="W2434" s="4">
        <f t="shared" si="283"/>
        <v>-0.91423840276372015</v>
      </c>
      <c r="X2434" s="4">
        <f t="shared" si="284"/>
        <v>-0.17547738194230791</v>
      </c>
      <c r="Y2434" s="3">
        <f t="shared" ref="Y2434:Y2497" si="285">(B$4*EXP(-B$8*B$7)*NORMSDIST((LN(B$4/(B$5+W2434))-B$8*B$7+B$9*B$7+0.5*B$6*B$6*B$7)/(B$6*SQRT(B$7)))-(B$5+W2434)*EXP(-B$9*B$7)*NORMSDIST((LN(B$4/(B$5+W2434))-B$8*B$7+B$9*B$7-0.5*B$6*B$6*B$7)/(B$6*SQRT(B$7))))*400+100*X2434-400*$B$13</f>
        <v>131.13089420351844</v>
      </c>
      <c r="AA2434" s="3"/>
    </row>
    <row r="2435" spans="19:27" x14ac:dyDescent="0.25">
      <c r="S2435" s="4">
        <v>-0.5259773018274615</v>
      </c>
      <c r="T2435" s="4">
        <v>1.7869761405397504</v>
      </c>
      <c r="U2435" s="4">
        <f t="shared" ref="U2435:U2498" si="286">$B$19*S2435+SQRT(1-$B$19^2)*T2435</f>
        <v>1.0958742259192342</v>
      </c>
      <c r="W2435" s="4">
        <f t="shared" ref="W2435:W2498" si="287">S2435*SQRT($B$16)+$B$20</f>
        <v>-0.86608615647036724</v>
      </c>
      <c r="X2435" s="4">
        <f t="shared" ref="X2435:X2498" si="288">U2435*SQRT($C$17)+$C$20</f>
        <v>1.997919847977581</v>
      </c>
      <c r="Y2435" s="3">
        <f t="shared" si="285"/>
        <v>340.5309763739433</v>
      </c>
      <c r="AA2435" s="3"/>
    </row>
    <row r="2436" spans="19:27" x14ac:dyDescent="0.25">
      <c r="S2436" s="4">
        <v>-0.40139455323423329</v>
      </c>
      <c r="T2436" s="4">
        <v>1.4725615064085302</v>
      </c>
      <c r="U2436" s="4">
        <f t="shared" si="286"/>
        <v>0.92258867801998712</v>
      </c>
      <c r="W2436" s="4">
        <f t="shared" si="287"/>
        <v>-0.6542385818059866</v>
      </c>
      <c r="X2436" s="4">
        <f t="shared" si="288"/>
        <v>1.6924008313340733</v>
      </c>
      <c r="Y2436" s="3">
        <f t="shared" si="285"/>
        <v>275.19258914259899</v>
      </c>
      <c r="AA2436" s="3"/>
    </row>
    <row r="2437" spans="19:27" x14ac:dyDescent="0.25">
      <c r="S2437" s="4">
        <v>1.649461395262227</v>
      </c>
      <c r="T2437" s="4">
        <v>-1.8476985342567787</v>
      </c>
      <c r="U2437" s="4">
        <f t="shared" si="286"/>
        <v>-0.45910741241964148</v>
      </c>
      <c r="W2437" s="4">
        <f t="shared" si="287"/>
        <v>2.833153240745351</v>
      </c>
      <c r="X2437" s="4">
        <f t="shared" si="288"/>
        <v>-0.74366170226356443</v>
      </c>
      <c r="Y2437" s="3">
        <f t="shared" si="285"/>
        <v>-507.95817683485211</v>
      </c>
      <c r="AA2437" s="3"/>
    </row>
    <row r="2438" spans="19:27" x14ac:dyDescent="0.25">
      <c r="S2438" s="4">
        <v>-4.2430860404651605E-2</v>
      </c>
      <c r="T2438" s="4">
        <v>-0.20930698914004606</v>
      </c>
      <c r="U2438" s="4">
        <f t="shared" si="286"/>
        <v>-0.19178277901342539</v>
      </c>
      <c r="W2438" s="4">
        <f t="shared" si="287"/>
        <v>-4.3836350540315636E-2</v>
      </c>
      <c r="X2438" s="4">
        <f t="shared" si="288"/>
        <v>-0.27234277167196008</v>
      </c>
      <c r="Y2438" s="3">
        <f t="shared" si="285"/>
        <v>-20.204515864438235</v>
      </c>
      <c r="AA2438" s="3"/>
    </row>
    <row r="2439" spans="19:27" x14ac:dyDescent="0.25">
      <c r="S2439" s="4">
        <v>0.18247244132393106</v>
      </c>
      <c r="T2439" s="4">
        <v>1.2843395983534291</v>
      </c>
      <c r="U2439" s="4">
        <f t="shared" si="286"/>
        <v>1.1293250207524266</v>
      </c>
      <c r="W2439" s="4">
        <f t="shared" si="287"/>
        <v>0.33860198496933652</v>
      </c>
      <c r="X2439" s="4">
        <f t="shared" si="288"/>
        <v>2.0568968028781867</v>
      </c>
      <c r="Y2439" s="3">
        <f t="shared" si="285"/>
        <v>151.7244478073053</v>
      </c>
      <c r="AA2439" s="3"/>
    </row>
    <row r="2440" spans="19:27" x14ac:dyDescent="0.25">
      <c r="S2440" s="4">
        <v>-0.93490915619644099</v>
      </c>
      <c r="T2440" s="4">
        <v>9.1016954535532352E-2</v>
      </c>
      <c r="U2440" s="4">
        <f t="shared" si="286"/>
        <v>-0.49779306772468035</v>
      </c>
      <c r="W2440" s="4">
        <f t="shared" si="287"/>
        <v>-1.5614570848637785</v>
      </c>
      <c r="X2440" s="4">
        <f t="shared" si="288"/>
        <v>-0.81186821752285876</v>
      </c>
      <c r="Y2440" s="3">
        <f t="shared" si="285"/>
        <v>175.39341698711723</v>
      </c>
      <c r="AA2440" s="3"/>
    </row>
    <row r="2441" spans="19:27" x14ac:dyDescent="0.25">
      <c r="S2441" s="4">
        <v>-0.76548233909425478</v>
      </c>
      <c r="T2441" s="4">
        <v>0.52798321453659769</v>
      </c>
      <c r="U2441" s="4">
        <f t="shared" si="286"/>
        <v>-4.8127032944124681E-2</v>
      </c>
      <c r="W2441" s="4">
        <f t="shared" si="287"/>
        <v>-1.2733541116070564</v>
      </c>
      <c r="X2441" s="4">
        <f t="shared" si="288"/>
        <v>-1.9063933324743682E-2</v>
      </c>
      <c r="Y2441" s="3">
        <f t="shared" si="285"/>
        <v>206.36972818028789</v>
      </c>
      <c r="AA2441" s="3"/>
    </row>
    <row r="2442" spans="19:27" x14ac:dyDescent="0.25">
      <c r="S2442" s="4">
        <v>-0.86093620294802153</v>
      </c>
      <c r="T2442" s="4">
        <v>0.52849352488405554</v>
      </c>
      <c r="U2442" s="4">
        <f t="shared" si="286"/>
        <v>-0.10591331916236635</v>
      </c>
      <c r="W2442" s="4">
        <f t="shared" si="287"/>
        <v>-1.4356692778568372</v>
      </c>
      <c r="X2442" s="4">
        <f t="shared" si="288"/>
        <v>-0.12094669016689227</v>
      </c>
      <c r="Y2442" s="3">
        <f t="shared" si="285"/>
        <v>223.34167602651723</v>
      </c>
      <c r="AA2442" s="3"/>
    </row>
    <row r="2443" spans="19:27" x14ac:dyDescent="0.25">
      <c r="S2443" s="4">
        <v>-6.1813707631901506E-2</v>
      </c>
      <c r="T2443" s="4">
        <v>-3.1493432328812418</v>
      </c>
      <c r="U2443" s="4">
        <f t="shared" si="286"/>
        <v>-2.5341422609576165</v>
      </c>
      <c r="W2443" s="4">
        <f t="shared" si="287"/>
        <v>-7.679604376871102E-2</v>
      </c>
      <c r="X2443" s="4">
        <f t="shared" si="288"/>
        <v>-4.4021468680024611</v>
      </c>
      <c r="Y2443" s="3">
        <f t="shared" si="285"/>
        <v>-427.89283739424218</v>
      </c>
      <c r="AA2443" s="3"/>
    </row>
    <row r="2444" spans="19:27" x14ac:dyDescent="0.25">
      <c r="S2444" s="4">
        <v>-0.5856423359682168</v>
      </c>
      <c r="T2444" s="4">
        <v>-1.9381587386134191</v>
      </c>
      <c r="U2444" s="4">
        <f t="shared" si="286"/>
        <v>-1.8933835983092231</v>
      </c>
      <c r="W2444" s="4">
        <f t="shared" si="287"/>
        <v>-0.96754396598022696</v>
      </c>
      <c r="X2444" s="4">
        <f t="shared" si="288"/>
        <v>-3.2724279797777553</v>
      </c>
      <c r="Y2444" s="3">
        <f t="shared" si="285"/>
        <v>-169.760626746865</v>
      </c>
      <c r="AA2444" s="3"/>
    </row>
    <row r="2445" spans="19:27" x14ac:dyDescent="0.25">
      <c r="S2445" s="4">
        <v>-1.3934198988853785</v>
      </c>
      <c r="T2445" s="4">
        <v>0.31263070793415731</v>
      </c>
      <c r="U2445" s="4">
        <f t="shared" si="286"/>
        <v>-0.60163999308586813</v>
      </c>
      <c r="W2445" s="4">
        <f t="shared" si="287"/>
        <v>-2.3411347681148214</v>
      </c>
      <c r="X2445" s="4">
        <f t="shared" si="288"/>
        <v>-0.99496029243870177</v>
      </c>
      <c r="Y2445" s="3">
        <f t="shared" si="285"/>
        <v>290.01757646850183</v>
      </c>
      <c r="AA2445" s="3"/>
    </row>
    <row r="2446" spans="19:27" x14ac:dyDescent="0.25">
      <c r="S2446" s="4">
        <v>-0.64293253773886272</v>
      </c>
      <c r="T2446" s="4">
        <v>-0.49059759618293636</v>
      </c>
      <c r="U2446" s="4">
        <f t="shared" si="286"/>
        <v>-0.78083881902724472</v>
      </c>
      <c r="W2446" s="4">
        <f t="shared" si="287"/>
        <v>-1.0649634757774611</v>
      </c>
      <c r="X2446" s="4">
        <f t="shared" si="288"/>
        <v>-1.3109049845899068</v>
      </c>
      <c r="Y2446" s="3">
        <f t="shared" si="285"/>
        <v>42.519291158831948</v>
      </c>
      <c r="AA2446" s="3"/>
    </row>
    <row r="2447" spans="19:27" x14ac:dyDescent="0.25">
      <c r="S2447" s="4">
        <v>-1.4364273117772797</v>
      </c>
      <c r="T2447" s="4">
        <v>-0.92865326259832093</v>
      </c>
      <c r="U2447" s="4">
        <f t="shared" si="286"/>
        <v>-1.6118141682387808</v>
      </c>
      <c r="W2447" s="4">
        <f t="shared" si="287"/>
        <v>-2.414267013282144</v>
      </c>
      <c r="X2447" s="4">
        <f t="shared" si="288"/>
        <v>-2.7759941084314175</v>
      </c>
      <c r="Y2447" s="3">
        <f t="shared" si="285"/>
        <v>124.54959185747475</v>
      </c>
      <c r="AA2447" s="3"/>
    </row>
    <row r="2448" spans="19:27" x14ac:dyDescent="0.25">
      <c r="S2448" s="4">
        <v>0.3942387647056832</v>
      </c>
      <c r="T2448" s="4">
        <v>1.6656867211560098</v>
      </c>
      <c r="U2448" s="4">
        <f t="shared" si="286"/>
        <v>1.5607133170763008</v>
      </c>
      <c r="W2448" s="4">
        <f t="shared" si="287"/>
        <v>0.69870145709204134</v>
      </c>
      <c r="X2448" s="4">
        <f t="shared" si="288"/>
        <v>2.8174756837033712</v>
      </c>
      <c r="Y2448" s="3">
        <f t="shared" si="285"/>
        <v>171.0376783265383</v>
      </c>
      <c r="AA2448" s="3"/>
    </row>
    <row r="2449" spans="19:27" x14ac:dyDescent="0.25">
      <c r="S2449" s="4">
        <v>9.6281630006034541E-2</v>
      </c>
      <c r="T2449" s="4">
        <v>0.21029863183243222</v>
      </c>
      <c r="U2449" s="4">
        <f t="shared" si="286"/>
        <v>0.22539747692078888</v>
      </c>
      <c r="W2449" s="4">
        <f t="shared" si="287"/>
        <v>0.19203823884691287</v>
      </c>
      <c r="X2449" s="4">
        <f t="shared" si="288"/>
        <v>0.46318597323072941</v>
      </c>
      <c r="Y2449" s="3">
        <f t="shared" si="285"/>
        <v>15.63964038008362</v>
      </c>
      <c r="AA2449" s="3"/>
    </row>
    <row r="2450" spans="19:27" x14ac:dyDescent="0.25">
      <c r="S2450" s="4">
        <v>-1.0049038321782324</v>
      </c>
      <c r="T2450" s="4">
        <v>1.4740977074563166</v>
      </c>
      <c r="U2450" s="4">
        <f t="shared" si="286"/>
        <v>0.55589369047535642</v>
      </c>
      <c r="W2450" s="4">
        <f t="shared" si="287"/>
        <v>-1.6804800034749006</v>
      </c>
      <c r="X2450" s="4">
        <f t="shared" si="288"/>
        <v>1.045882449617223</v>
      </c>
      <c r="Y2450" s="3">
        <f t="shared" si="285"/>
        <v>381.25243626535757</v>
      </c>
      <c r="AA2450" s="3"/>
    </row>
    <row r="2451" spans="19:27" x14ac:dyDescent="0.25">
      <c r="S2451" s="4">
        <v>-0.27431897306146963</v>
      </c>
      <c r="T2451" s="4">
        <v>-0.66443399800641756</v>
      </c>
      <c r="U2451" s="4">
        <f t="shared" si="286"/>
        <v>-0.69392249387483873</v>
      </c>
      <c r="W2451" s="4">
        <f t="shared" si="287"/>
        <v>-0.43815205487787273</v>
      </c>
      <c r="X2451" s="4">
        <f t="shared" si="288"/>
        <v>-1.1576631792994274</v>
      </c>
      <c r="Y2451" s="3">
        <f t="shared" si="285"/>
        <v>-45.054773585062776</v>
      </c>
      <c r="AA2451" s="3"/>
    </row>
    <row r="2452" spans="19:27" x14ac:dyDescent="0.25">
      <c r="S2452" s="4">
        <v>0.39607119201444718</v>
      </c>
      <c r="T2452" s="4">
        <v>-0.19749390545644893</v>
      </c>
      <c r="U2452" s="4">
        <f t="shared" si="286"/>
        <v>8.4901993089733035E-2</v>
      </c>
      <c r="W2452" s="4">
        <f t="shared" si="287"/>
        <v>0.70181742046172035</v>
      </c>
      <c r="X2452" s="4">
        <f t="shared" si="288"/>
        <v>0.21547897987041037</v>
      </c>
      <c r="Y2452" s="3">
        <f t="shared" si="285"/>
        <v>-89.650109221056027</v>
      </c>
      <c r="AA2452" s="3"/>
    </row>
    <row r="2453" spans="19:27" x14ac:dyDescent="0.25">
      <c r="S2453" s="4">
        <v>-0.77665308478429018</v>
      </c>
      <c r="T2453" s="4">
        <v>-0.87224997775010515</v>
      </c>
      <c r="U2453" s="4">
        <f t="shared" si="286"/>
        <v>-1.1648906449369916</v>
      </c>
      <c r="W2453" s="4">
        <f t="shared" si="287"/>
        <v>-1.2923494814182761</v>
      </c>
      <c r="X2453" s="4">
        <f t="shared" si="288"/>
        <v>-1.9880251346229112</v>
      </c>
      <c r="Y2453" s="3">
        <f t="shared" si="285"/>
        <v>12.644919399053833</v>
      </c>
      <c r="AA2453" s="3"/>
    </row>
    <row r="2454" spans="19:27" x14ac:dyDescent="0.25">
      <c r="S2454" s="4">
        <v>0.39732178110873007</v>
      </c>
      <c r="T2454" s="4">
        <v>0.91840629454456491</v>
      </c>
      <c r="U2454" s="4">
        <f t="shared" si="286"/>
        <v>0.97022956257863135</v>
      </c>
      <c r="W2454" s="4">
        <f t="shared" si="287"/>
        <v>0.70394399311738221</v>
      </c>
      <c r="X2454" s="4">
        <f t="shared" si="288"/>
        <v>1.7763962734170256</v>
      </c>
      <c r="Y2454" s="3">
        <f t="shared" si="285"/>
        <v>66.108519989231809</v>
      </c>
      <c r="AA2454" s="3"/>
    </row>
    <row r="2455" spans="19:27" x14ac:dyDescent="0.25">
      <c r="S2455" s="4">
        <v>-0.7105619478218782</v>
      </c>
      <c r="T2455" s="4">
        <v>0.22802628887447407</v>
      </c>
      <c r="U2455" s="4">
        <f t="shared" si="286"/>
        <v>-0.25241979804684245</v>
      </c>
      <c r="W2455" s="4">
        <f t="shared" si="287"/>
        <v>-1.1799643620466247</v>
      </c>
      <c r="X2455" s="4">
        <f t="shared" si="288"/>
        <v>-0.37925164348425122</v>
      </c>
      <c r="Y2455" s="3">
        <f t="shared" si="285"/>
        <v>154.78704194905549</v>
      </c>
      <c r="AA2455" s="3"/>
    </row>
    <row r="2456" spans="19:27" x14ac:dyDescent="0.25">
      <c r="S2456" s="4">
        <v>-0.99462001445253334</v>
      </c>
      <c r="T2456" s="4">
        <v>0.6580577520955968</v>
      </c>
      <c r="U2456" s="4">
        <f t="shared" si="286"/>
        <v>-8.4705424538410345E-2</v>
      </c>
      <c r="W2456" s="4">
        <f t="shared" si="287"/>
        <v>-1.6629928162994658</v>
      </c>
      <c r="X2456" s="4">
        <f t="shared" si="288"/>
        <v>-8.3555140847629467E-2</v>
      </c>
      <c r="Y2456" s="3">
        <f t="shared" si="285"/>
        <v>265.35317716245027</v>
      </c>
      <c r="AA2456" s="3"/>
    </row>
    <row r="2457" spans="19:27" x14ac:dyDescent="0.25">
      <c r="S2457" s="4">
        <v>1.0276754526222855</v>
      </c>
      <c r="T2457" s="4">
        <v>0.84017257530936229</v>
      </c>
      <c r="U2457" s="4">
        <f t="shared" si="286"/>
        <v>1.2924919802421595</v>
      </c>
      <c r="W2457" s="4">
        <f t="shared" si="287"/>
        <v>1.7758331430906962</v>
      </c>
      <c r="X2457" s="4">
        <f t="shared" si="288"/>
        <v>2.3445757790903219</v>
      </c>
      <c r="Y2457" s="3">
        <f t="shared" si="285"/>
        <v>-42.04766007342414</v>
      </c>
      <c r="AA2457" s="3"/>
    </row>
    <row r="2458" spans="19:27" x14ac:dyDescent="0.25">
      <c r="S2458" s="4">
        <v>0.60323187923184152</v>
      </c>
      <c r="T2458" s="4">
        <v>-0.63750960180520277</v>
      </c>
      <c r="U2458" s="4">
        <f t="shared" si="286"/>
        <v>-0.13760516054757072</v>
      </c>
      <c r="W2458" s="4">
        <f t="shared" si="287"/>
        <v>1.0540852075219012</v>
      </c>
      <c r="X2458" s="4">
        <f t="shared" si="288"/>
        <v>-0.1768224416823003</v>
      </c>
      <c r="Y2458" s="3">
        <f t="shared" si="285"/>
        <v>-183.74391692364588</v>
      </c>
      <c r="AA2458" s="3"/>
    </row>
    <row r="2459" spans="19:27" x14ac:dyDescent="0.25">
      <c r="S2459" s="4">
        <v>0.27934352693900921</v>
      </c>
      <c r="T2459" s="4">
        <v>0.96273549260131464</v>
      </c>
      <c r="U2459" s="4">
        <f t="shared" si="286"/>
        <v>0.93344678802886627</v>
      </c>
      <c r="W2459" s="4">
        <f t="shared" si="287"/>
        <v>0.50332707551670763</v>
      </c>
      <c r="X2459" s="4">
        <f t="shared" si="288"/>
        <v>1.7115447191697084</v>
      </c>
      <c r="Y2459" s="3">
        <f t="shared" si="285"/>
        <v>91.149278027366108</v>
      </c>
      <c r="AA2459" s="3"/>
    </row>
    <row r="2460" spans="19:27" x14ac:dyDescent="0.25">
      <c r="S2460" s="4">
        <v>1.7254677435807693</v>
      </c>
      <c r="T2460" s="4">
        <v>0.37471070106840948</v>
      </c>
      <c r="U2460" s="4">
        <f t="shared" si="286"/>
        <v>1.3489138170180743</v>
      </c>
      <c r="W2460" s="4">
        <f t="shared" si="287"/>
        <v>2.9623987481065086</v>
      </c>
      <c r="X2460" s="4">
        <f t="shared" si="288"/>
        <v>2.444052880891221</v>
      </c>
      <c r="Y2460" s="3">
        <f t="shared" si="285"/>
        <v>-208.00955679051867</v>
      </c>
      <c r="AA2460" s="3"/>
    </row>
    <row r="2461" spans="19:27" x14ac:dyDescent="0.25">
      <c r="S2461" s="4">
        <v>0.74443951815758957</v>
      </c>
      <c r="T2461" s="4">
        <v>-1.9147039284536256</v>
      </c>
      <c r="U2461" s="4">
        <f t="shared" si="286"/>
        <v>-1.0639435826236441</v>
      </c>
      <c r="W2461" s="4">
        <f t="shared" si="287"/>
        <v>1.2942026890214975</v>
      </c>
      <c r="X2461" s="4">
        <f t="shared" si="288"/>
        <v>-1.810045795982641</v>
      </c>
      <c r="Y2461" s="3">
        <f t="shared" si="285"/>
        <v>-384.10166226688125</v>
      </c>
      <c r="AA2461" s="3"/>
    </row>
    <row r="2462" spans="19:27" x14ac:dyDescent="0.25">
      <c r="S2462" s="4">
        <v>-0.49479043415436175</v>
      </c>
      <c r="T2462" s="4">
        <v>0.26109403613841159</v>
      </c>
      <c r="U2462" s="4">
        <f t="shared" si="286"/>
        <v>-9.4668129712347254E-2</v>
      </c>
      <c r="W2462" s="4">
        <f t="shared" si="287"/>
        <v>-0.81305423710328817</v>
      </c>
      <c r="X2462" s="4">
        <f t="shared" si="288"/>
        <v>-0.10112034420561603</v>
      </c>
      <c r="Y2462" s="3">
        <f t="shared" si="285"/>
        <v>121.89679068679561</v>
      </c>
      <c r="AA2462" s="3"/>
    </row>
    <row r="2463" spans="19:27" x14ac:dyDescent="0.25">
      <c r="S2463" s="4">
        <v>0.39384260447501318</v>
      </c>
      <c r="T2463" s="4">
        <v>-1.7817225434494799</v>
      </c>
      <c r="U2463" s="4">
        <f t="shared" si="286"/>
        <v>-1.1722620011110738</v>
      </c>
      <c r="W2463" s="4">
        <f t="shared" si="287"/>
        <v>0.69802780375726103</v>
      </c>
      <c r="X2463" s="4">
        <f t="shared" si="288"/>
        <v>-2.0010215415185635</v>
      </c>
      <c r="Y2463" s="3">
        <f t="shared" si="285"/>
        <v>-310.7065095524581</v>
      </c>
      <c r="AA2463" s="3"/>
    </row>
    <row r="2464" spans="19:27" x14ac:dyDescent="0.25">
      <c r="S2464" s="4">
        <v>1.4661162740342091</v>
      </c>
      <c r="T2464" s="4">
        <v>-3.5976328752703693E-2</v>
      </c>
      <c r="U2464" s="4">
        <f t="shared" si="286"/>
        <v>0.86525904374931251</v>
      </c>
      <c r="W2464" s="4">
        <f t="shared" si="287"/>
        <v>2.5213827934138195</v>
      </c>
      <c r="X2464" s="4">
        <f t="shared" si="288"/>
        <v>1.5913231956094118</v>
      </c>
      <c r="Y2464" s="3">
        <f t="shared" si="285"/>
        <v>-228.71615392200329</v>
      </c>
      <c r="AA2464" s="3"/>
    </row>
    <row r="2465" spans="19:27" x14ac:dyDescent="0.25">
      <c r="S2465" s="4">
        <v>-1.4593724267524397</v>
      </c>
      <c r="T2465" s="4">
        <v>-5.6877217614670343E-2</v>
      </c>
      <c r="U2465" s="4">
        <f t="shared" si="286"/>
        <v>-0.93475210911428375</v>
      </c>
      <c r="W2465" s="4">
        <f t="shared" si="287"/>
        <v>-2.4532841887159123</v>
      </c>
      <c r="X2465" s="4">
        <f t="shared" si="288"/>
        <v>-1.5822688554136861</v>
      </c>
      <c r="Y2465" s="3">
        <f t="shared" si="285"/>
        <v>250.67502646782214</v>
      </c>
      <c r="AA2465" s="3"/>
    </row>
    <row r="2466" spans="19:27" x14ac:dyDescent="0.25">
      <c r="S2466" s="4">
        <v>1.5520481652963267</v>
      </c>
      <c r="T2466" s="4">
        <v>0.59150691178776849</v>
      </c>
      <c r="U2466" s="4">
        <f t="shared" si="286"/>
        <v>1.4150459987573196</v>
      </c>
      <c r="W2466" s="4">
        <f t="shared" si="287"/>
        <v>2.6675062571820001</v>
      </c>
      <c r="X2466" s="4">
        <f t="shared" si="288"/>
        <v>2.5606502508300659</v>
      </c>
      <c r="Y2466" s="3">
        <f t="shared" si="285"/>
        <v>-153.28264191682274</v>
      </c>
      <c r="AA2466" s="3"/>
    </row>
    <row r="2467" spans="19:27" x14ac:dyDescent="0.25">
      <c r="S2467" s="4">
        <v>0.34404697387729771</v>
      </c>
      <c r="T2467" s="4">
        <v>-5.9293498257895857E-2</v>
      </c>
      <c r="U2467" s="4">
        <f t="shared" si="286"/>
        <v>0.16273722875712401</v>
      </c>
      <c r="W2467" s="4">
        <f t="shared" si="287"/>
        <v>0.61335248803234488</v>
      </c>
      <c r="X2467" s="4">
        <f t="shared" si="288"/>
        <v>0.35270995469552047</v>
      </c>
      <c r="Y2467" s="3">
        <f t="shared" si="285"/>
        <v>-62.049634375406185</v>
      </c>
      <c r="AA2467" s="3"/>
    </row>
    <row r="2468" spans="19:27" x14ac:dyDescent="0.25">
      <c r="S2468" s="4">
        <v>-0.28117082679071403</v>
      </c>
      <c r="T2468" s="4">
        <v>0.59579597740874712</v>
      </c>
      <c r="U2468" s="4">
        <f t="shared" si="286"/>
        <v>0.30087470675448491</v>
      </c>
      <c r="W2468" s="4">
        <f t="shared" si="287"/>
        <v>-0.44980333574048181</v>
      </c>
      <c r="X2468" s="4">
        <f t="shared" si="288"/>
        <v>0.59625955794290864</v>
      </c>
      <c r="Y2468" s="3">
        <f t="shared" si="285"/>
        <v>132.23146644128792</v>
      </c>
      <c r="AA2468" s="3"/>
    </row>
    <row r="2469" spans="19:27" x14ac:dyDescent="0.25">
      <c r="S2469" s="4">
        <v>-0.84156415151492225</v>
      </c>
      <c r="T2469" s="4">
        <v>-1.1086173402860346</v>
      </c>
      <c r="U2469" s="4">
        <f t="shared" si="286"/>
        <v>-1.3918284013222442</v>
      </c>
      <c r="W2469" s="4">
        <f t="shared" si="287"/>
        <v>-1.4027279424093801</v>
      </c>
      <c r="X2469" s="4">
        <f t="shared" si="288"/>
        <v>-2.3881381331426659</v>
      </c>
      <c r="Y2469" s="3">
        <f t="shared" si="285"/>
        <v>-8.9008043233889111</v>
      </c>
      <c r="AA2469" s="3"/>
    </row>
    <row r="2470" spans="19:27" x14ac:dyDescent="0.25">
      <c r="S2470" s="4">
        <v>-1.3895713959582534</v>
      </c>
      <c r="T2470" s="4">
        <v>-1.0406686791863327</v>
      </c>
      <c r="U2470" s="4">
        <f t="shared" si="286"/>
        <v>-1.6720434832407141</v>
      </c>
      <c r="W2470" s="4">
        <f t="shared" si="287"/>
        <v>-2.3345905553694259</v>
      </c>
      <c r="X2470" s="4">
        <f t="shared" si="288"/>
        <v>-2.8821841589900581</v>
      </c>
      <c r="Y2470" s="3">
        <f t="shared" si="285"/>
        <v>100.16591296211573</v>
      </c>
      <c r="AA2470" s="3"/>
    </row>
    <row r="2471" spans="19:27" x14ac:dyDescent="0.25">
      <c r="S2471" s="4">
        <v>-1.5862057544356246E-2</v>
      </c>
      <c r="T2471" s="4">
        <v>1.0931904013571385</v>
      </c>
      <c r="U2471" s="4">
        <f t="shared" si="286"/>
        <v>0.85689344214639573</v>
      </c>
      <c r="W2471" s="4">
        <f t="shared" si="287"/>
        <v>1.3427493852062808E-3</v>
      </c>
      <c r="X2471" s="4">
        <f t="shared" si="288"/>
        <v>1.576573838803035</v>
      </c>
      <c r="Y2471" s="3">
        <f t="shared" si="285"/>
        <v>157.44221243649372</v>
      </c>
      <c r="AA2471" s="3"/>
    </row>
    <row r="2472" spans="19:27" x14ac:dyDescent="0.25">
      <c r="S2472" s="4">
        <v>0.18096701035861887</v>
      </c>
      <c r="T2472" s="4">
        <v>-1.5962612616162344</v>
      </c>
      <c r="U2472" s="4">
        <f t="shared" si="286"/>
        <v>-1.155022035001886</v>
      </c>
      <c r="W2472" s="4">
        <f t="shared" si="287"/>
        <v>0.33604206473618009</v>
      </c>
      <c r="X2472" s="4">
        <f t="shared" si="288"/>
        <v>-1.9706258301825612</v>
      </c>
      <c r="Y2472" s="3">
        <f t="shared" si="285"/>
        <v>-250.62203992913692</v>
      </c>
      <c r="AA2472" s="3"/>
    </row>
    <row r="2473" spans="19:27" x14ac:dyDescent="0.25">
      <c r="S2473" s="4">
        <v>0.56118524641277368</v>
      </c>
      <c r="T2473" s="4">
        <v>0.65317623133224134</v>
      </c>
      <c r="U2473" s="4">
        <f t="shared" si="286"/>
        <v>0.85987863283426724</v>
      </c>
      <c r="W2473" s="4">
        <f t="shared" si="287"/>
        <v>0.98258672730609831</v>
      </c>
      <c r="X2473" s="4">
        <f t="shared" si="288"/>
        <v>1.5818370158798802</v>
      </c>
      <c r="Y2473" s="3">
        <f t="shared" si="285"/>
        <v>3.2063928456700523</v>
      </c>
      <c r="AA2473" s="3"/>
    </row>
    <row r="2474" spans="19:27" x14ac:dyDescent="0.25">
      <c r="S2474" s="4">
        <v>-0.95257512291606883</v>
      </c>
      <c r="T2474" s="4">
        <v>0.80873716057980027</v>
      </c>
      <c r="U2474" s="4">
        <f t="shared" si="286"/>
        <v>6.0368443965655216E-2</v>
      </c>
      <c r="W2474" s="4">
        <f t="shared" si="287"/>
        <v>-1.5914972970594039</v>
      </c>
      <c r="X2474" s="4">
        <f t="shared" si="288"/>
        <v>0.17222398316681037</v>
      </c>
      <c r="Y2474" s="3">
        <f t="shared" si="285"/>
        <v>278.86454303506071</v>
      </c>
      <c r="AA2474" s="3"/>
    </row>
    <row r="2475" spans="19:27" x14ac:dyDescent="0.25">
      <c r="S2475" s="4">
        <v>-1.6987205026152064</v>
      </c>
      <c r="T2475" s="4">
        <v>-0.73778395693506282</v>
      </c>
      <c r="U2475" s="4">
        <f t="shared" si="286"/>
        <v>-1.6204133743609157</v>
      </c>
      <c r="W2475" s="4">
        <f t="shared" si="287"/>
        <v>-2.860285237775039</v>
      </c>
      <c r="X2475" s="4">
        <f t="shared" si="288"/>
        <v>-2.7911553323776697</v>
      </c>
      <c r="Y2475" s="3">
        <f t="shared" si="285"/>
        <v>200.71603106512885</v>
      </c>
      <c r="AA2475" s="3"/>
    </row>
    <row r="2476" spans="19:27" x14ac:dyDescent="0.25">
      <c r="S2476" s="4">
        <v>-0.78344507452538192</v>
      </c>
      <c r="T2476" s="4">
        <v>-0.33362993948554709</v>
      </c>
      <c r="U2476" s="4">
        <f t="shared" si="286"/>
        <v>-0.74207138785170679</v>
      </c>
      <c r="W2476" s="4">
        <f t="shared" si="287"/>
        <v>-1.3038989661586846</v>
      </c>
      <c r="X2476" s="4">
        <f t="shared" si="288"/>
        <v>-1.2425542906391813</v>
      </c>
      <c r="Y2476" s="3">
        <f t="shared" si="285"/>
        <v>89.121141864689889</v>
      </c>
      <c r="AA2476" s="3"/>
    </row>
    <row r="2477" spans="19:27" x14ac:dyDescent="0.25">
      <c r="S2477" s="4">
        <v>1.5049433435760584</v>
      </c>
      <c r="T2477" s="4">
        <v>-5.72269610078978E-2</v>
      </c>
      <c r="U2477" s="4">
        <f t="shared" si="286"/>
        <v>0.87208368505978384</v>
      </c>
      <c r="W2477" s="4">
        <f t="shared" si="287"/>
        <v>2.5874065455516266</v>
      </c>
      <c r="X2477" s="4">
        <f t="shared" si="288"/>
        <v>1.6033556918411933</v>
      </c>
      <c r="Y2477" s="3">
        <f t="shared" si="285"/>
        <v>-237.24006263242882</v>
      </c>
      <c r="AA2477" s="3"/>
    </row>
    <row r="2478" spans="19:27" x14ac:dyDescent="0.25">
      <c r="S2478" s="4">
        <v>-1.3573751400139384</v>
      </c>
      <c r="T2478" s="4">
        <v>-1.2893705211579487</v>
      </c>
      <c r="U2478" s="4">
        <f t="shared" si="286"/>
        <v>-1.849559892485436</v>
      </c>
      <c r="W2478" s="4">
        <f t="shared" si="287"/>
        <v>-2.2798422149122182</v>
      </c>
      <c r="X2478" s="4">
        <f t="shared" si="288"/>
        <v>-3.1951625893786524</v>
      </c>
      <c r="Y2478" s="3">
        <f t="shared" si="285"/>
        <v>59.429619297570753</v>
      </c>
      <c r="AA2478" s="3"/>
    </row>
    <row r="2479" spans="19:27" x14ac:dyDescent="0.25">
      <c r="S2479" s="4">
        <v>-0.5830120089787314</v>
      </c>
      <c r="T2479" s="4">
        <v>0.54269155993893659</v>
      </c>
      <c r="U2479" s="4">
        <f t="shared" si="286"/>
        <v>7.4770139557760129E-2</v>
      </c>
      <c r="W2479" s="4">
        <f t="shared" si="287"/>
        <v>-0.96307120871978036</v>
      </c>
      <c r="X2479" s="4">
        <f t="shared" si="288"/>
        <v>0.19761555175773124</v>
      </c>
      <c r="Y2479" s="3">
        <f t="shared" si="285"/>
        <v>176.50446680481764</v>
      </c>
      <c r="AA2479" s="3"/>
    </row>
    <row r="2480" spans="19:27" x14ac:dyDescent="0.25">
      <c r="S2480" s="4">
        <v>2.0864893943897478</v>
      </c>
      <c r="T2480" s="4">
        <v>0.35650581492546168</v>
      </c>
      <c r="U2480" s="4">
        <f t="shared" si="286"/>
        <v>1.5545698024620811</v>
      </c>
      <c r="W2480" s="4">
        <f t="shared" si="287"/>
        <v>3.5763004478910503</v>
      </c>
      <c r="X2480" s="4">
        <f t="shared" si="288"/>
        <v>2.806644079069136</v>
      </c>
      <c r="Y2480" s="3">
        <f t="shared" si="285"/>
        <v>-260.04142720659956</v>
      </c>
      <c r="AA2480" s="3"/>
    </row>
    <row r="2481" spans="19:27" x14ac:dyDescent="0.25">
      <c r="S2481" s="4">
        <v>-2.0356806045226796</v>
      </c>
      <c r="T2481" s="4">
        <v>1.3575093377811931</v>
      </c>
      <c r="U2481" s="4">
        <f t="shared" si="286"/>
        <v>-0.1649094986285109</v>
      </c>
      <c r="W2481" s="4">
        <f t="shared" si="287"/>
        <v>-3.4332713145298177</v>
      </c>
      <c r="X2481" s="4">
        <f t="shared" si="288"/>
        <v>-0.224962604677549</v>
      </c>
      <c r="Y2481" s="3">
        <f t="shared" si="285"/>
        <v>558.70767254388466</v>
      </c>
      <c r="AA2481" s="3"/>
    </row>
    <row r="2482" spans="19:27" x14ac:dyDescent="0.25">
      <c r="S2482" s="4">
        <v>-0.83719291509769989</v>
      </c>
      <c r="T2482" s="4">
        <v>0.33652558133817373</v>
      </c>
      <c r="U2482" s="4">
        <f t="shared" si="286"/>
        <v>-0.24361033787315228</v>
      </c>
      <c r="W2482" s="4">
        <f t="shared" si="287"/>
        <v>-1.3952948439769739</v>
      </c>
      <c r="X2482" s="4">
        <f t="shared" si="288"/>
        <v>-0.36371972150890652</v>
      </c>
      <c r="Y2482" s="3">
        <f t="shared" si="285"/>
        <v>192.29550834233578</v>
      </c>
      <c r="AA2482" s="3"/>
    </row>
    <row r="2483" spans="19:27" x14ac:dyDescent="0.25">
      <c r="S2483" s="4">
        <v>0.6949602746495338</v>
      </c>
      <c r="T2483" s="4">
        <v>-0.42581786348155831</v>
      </c>
      <c r="U2483" s="4">
        <f t="shared" si="286"/>
        <v>8.6120867374180066E-2</v>
      </c>
      <c r="W2483" s="4">
        <f t="shared" si="287"/>
        <v>1.2100653758559756</v>
      </c>
      <c r="X2483" s="4">
        <f t="shared" si="288"/>
        <v>0.21762797196646694</v>
      </c>
      <c r="Y2483" s="3">
        <f t="shared" si="285"/>
        <v>-168.39030963738514</v>
      </c>
      <c r="AA2483" s="3"/>
    </row>
    <row r="2484" spans="19:27" x14ac:dyDescent="0.25">
      <c r="S2484" s="4">
        <v>5.1577431912790801E-2</v>
      </c>
      <c r="T2484" s="4">
        <v>0.68890615951777256</v>
      </c>
      <c r="U2484" s="4">
        <f t="shared" si="286"/>
        <v>0.57753316773029217</v>
      </c>
      <c r="W2484" s="4">
        <f t="shared" si="287"/>
        <v>0.11602068384584677</v>
      </c>
      <c r="X2484" s="4">
        <f t="shared" si="288"/>
        <v>1.0840349204479209</v>
      </c>
      <c r="Y2484" s="3">
        <f t="shared" si="285"/>
        <v>89.845911828797398</v>
      </c>
      <c r="AA2484" s="3"/>
    </row>
    <row r="2485" spans="19:27" x14ac:dyDescent="0.25">
      <c r="S2485" s="4">
        <v>-0.37109750823144982</v>
      </c>
      <c r="T2485" s="4">
        <v>-0.15115770704170353</v>
      </c>
      <c r="U2485" s="4">
        <f t="shared" si="286"/>
        <v>-0.34605082886420774</v>
      </c>
      <c r="W2485" s="4">
        <f t="shared" si="287"/>
        <v>-0.6027197673969894</v>
      </c>
      <c r="X2485" s="4">
        <f t="shared" si="288"/>
        <v>-0.54433211793484859</v>
      </c>
      <c r="Y2485" s="3">
        <f t="shared" si="285"/>
        <v>43.095112106175748</v>
      </c>
      <c r="AA2485" s="3"/>
    </row>
    <row r="2486" spans="19:27" x14ac:dyDescent="0.25">
      <c r="S2486" s="4">
        <v>0.54642514788081831</v>
      </c>
      <c r="T2486" s="4">
        <v>-0.30367853397364647</v>
      </c>
      <c r="U2486" s="4">
        <f t="shared" si="286"/>
        <v>9.2389411701600477E-2</v>
      </c>
      <c r="W2486" s="4">
        <f t="shared" si="287"/>
        <v>0.95748781825881479</v>
      </c>
      <c r="X2486" s="4">
        <f t="shared" si="288"/>
        <v>0.22868001595927151</v>
      </c>
      <c r="Y2486" s="3">
        <f t="shared" si="285"/>
        <v>-128.21207555374167</v>
      </c>
      <c r="AA2486" s="3"/>
    </row>
    <row r="2487" spans="19:27" x14ac:dyDescent="0.25">
      <c r="S2487" s="4">
        <v>0.75825325009417499</v>
      </c>
      <c r="T2487" s="4">
        <v>0.96603833302723763</v>
      </c>
      <c r="U2487" s="4">
        <f t="shared" si="286"/>
        <v>1.2280189758731548</v>
      </c>
      <c r="W2487" s="4">
        <f t="shared" si="287"/>
        <v>1.317692342612176</v>
      </c>
      <c r="X2487" s="4">
        <f t="shared" si="288"/>
        <v>2.23090369775597</v>
      </c>
      <c r="Y2487" s="3">
        <f t="shared" si="285"/>
        <v>16.385953576338579</v>
      </c>
      <c r="AA2487" s="3"/>
    </row>
    <row r="2488" spans="19:27" x14ac:dyDescent="0.25">
      <c r="S2488" s="4">
        <v>4.5317850740486887E-2</v>
      </c>
      <c r="T2488" s="4">
        <v>0.19596787972423532</v>
      </c>
      <c r="U2488" s="4">
        <f t="shared" si="286"/>
        <v>0.18296894716257803</v>
      </c>
      <c r="W2488" s="4">
        <f t="shared" si="287"/>
        <v>0.10537653684522837</v>
      </c>
      <c r="X2488" s="4">
        <f t="shared" si="288"/>
        <v>0.38838041185237793</v>
      </c>
      <c r="Y2488" s="3">
        <f t="shared" si="285"/>
        <v>21.980102526731116</v>
      </c>
      <c r="AA2488" s="3"/>
    </row>
    <row r="2489" spans="19:27" x14ac:dyDescent="0.25">
      <c r="S2489" s="4">
        <v>-1.6590335830091159</v>
      </c>
      <c r="T2489" s="4">
        <v>0.78289418684756917</v>
      </c>
      <c r="U2489" s="4">
        <f t="shared" si="286"/>
        <v>-0.39078991472772795</v>
      </c>
      <c r="W2489" s="4">
        <f t="shared" si="287"/>
        <v>-2.7927993477991975</v>
      </c>
      <c r="X2489" s="4">
        <f t="shared" si="288"/>
        <v>-0.62321141101068822</v>
      </c>
      <c r="Y2489" s="3">
        <f t="shared" si="285"/>
        <v>405.68771704860137</v>
      </c>
      <c r="AA2489" s="3"/>
    </row>
    <row r="2490" spans="19:27" x14ac:dyDescent="0.25">
      <c r="S2490" s="4">
        <v>-3.0505108021926381</v>
      </c>
      <c r="T2490" s="4">
        <v>0.47680413280174533</v>
      </c>
      <c r="U2490" s="4">
        <f t="shared" si="286"/>
        <v>-1.481700616896406</v>
      </c>
      <c r="W2490" s="4">
        <f t="shared" si="287"/>
        <v>-5.1589461651827806</v>
      </c>
      <c r="X2490" s="4">
        <f t="shared" si="288"/>
        <v>-2.5465914563347183</v>
      </c>
      <c r="Y2490" s="3">
        <f t="shared" si="285"/>
        <v>642.68179337404854</v>
      </c>
      <c r="AA2490" s="3"/>
    </row>
    <row r="2491" spans="19:27" x14ac:dyDescent="0.25">
      <c r="S2491" s="4">
        <v>-0.15542855155964183</v>
      </c>
      <c r="T2491" s="4">
        <v>0.95272777686559629</v>
      </c>
      <c r="U2491" s="4">
        <f t="shared" si="286"/>
        <v>0.66046699201377645</v>
      </c>
      <c r="W2491" s="4">
        <f t="shared" si="287"/>
        <v>-0.23598403618834773</v>
      </c>
      <c r="X2491" s="4">
        <f t="shared" si="288"/>
        <v>1.2302551952991607</v>
      </c>
      <c r="Y2491" s="3">
        <f t="shared" si="285"/>
        <v>160.98621136015754</v>
      </c>
      <c r="AA2491" s="3"/>
    </row>
    <row r="2492" spans="19:27" x14ac:dyDescent="0.25">
      <c r="S2492" s="4">
        <v>1.3411096929404174E-2</v>
      </c>
      <c r="T2492" s="4">
        <v>0.24287713115446982</v>
      </c>
      <c r="U2492" s="4">
        <f t="shared" si="286"/>
        <v>0.20070246736371938</v>
      </c>
      <c r="W2492" s="4">
        <f t="shared" si="287"/>
        <v>5.1120482242024909E-2</v>
      </c>
      <c r="X2492" s="4">
        <f t="shared" si="288"/>
        <v>0.41964630632056876</v>
      </c>
      <c r="Y2492" s="3">
        <f t="shared" si="285"/>
        <v>33.77930814772526</v>
      </c>
      <c r="AA2492" s="3"/>
    </row>
    <row r="2493" spans="19:27" x14ac:dyDescent="0.25">
      <c r="S2493" s="4">
        <v>1.5589299776194527</v>
      </c>
      <c r="T2493" s="4">
        <v>-0.51199505066337492</v>
      </c>
      <c r="U2493" s="4">
        <f t="shared" si="286"/>
        <v>0.54450410657612169</v>
      </c>
      <c r="W2493" s="4">
        <f t="shared" si="287"/>
        <v>2.6792084813375276</v>
      </c>
      <c r="X2493" s="4">
        <f t="shared" si="288"/>
        <v>1.0258015224132064</v>
      </c>
      <c r="Y2493" s="3">
        <f t="shared" si="285"/>
        <v>-308.48470787414726</v>
      </c>
      <c r="AA2493" s="3"/>
    </row>
    <row r="2494" spans="19:27" x14ac:dyDescent="0.25">
      <c r="S2494" s="4">
        <v>3.4532753280056845E-2</v>
      </c>
      <c r="T2494" s="4">
        <v>-0.16555919507154915</v>
      </c>
      <c r="U2494" s="4">
        <f t="shared" si="286"/>
        <v>-0.11018551570606014</v>
      </c>
      <c r="W2494" s="4">
        <f t="shared" si="287"/>
        <v>8.7036945165716584E-2</v>
      </c>
      <c r="X2494" s="4">
        <f t="shared" si="288"/>
        <v>-0.12847898182514425</v>
      </c>
      <c r="Y2494" s="3">
        <f t="shared" si="285"/>
        <v>-26.776026193661892</v>
      </c>
      <c r="AA2494" s="3"/>
    </row>
    <row r="2495" spans="19:27" x14ac:dyDescent="0.25">
      <c r="S2495" s="4">
        <v>0.58486503000759105</v>
      </c>
      <c r="T2495" s="4">
        <v>0.4917391680718966</v>
      </c>
      <c r="U2495" s="4">
        <f t="shared" si="286"/>
        <v>0.74634448564597811</v>
      </c>
      <c r="W2495" s="4">
        <f t="shared" si="287"/>
        <v>1.0228531749466037</v>
      </c>
      <c r="X2495" s="4">
        <f t="shared" si="288"/>
        <v>1.3816654411297848</v>
      </c>
      <c r="Y2495" s="3">
        <f t="shared" si="285"/>
        <v>-23.05644238255536</v>
      </c>
      <c r="AA2495" s="3"/>
    </row>
    <row r="2496" spans="19:27" x14ac:dyDescent="0.25">
      <c r="S2496" s="4">
        <v>0.19919309343764074</v>
      </c>
      <c r="T2496" s="4">
        <v>-0.21350299303825171</v>
      </c>
      <c r="U2496" s="4">
        <f t="shared" si="286"/>
        <v>-4.7809564474524113E-2</v>
      </c>
      <c r="W2496" s="4">
        <f t="shared" si="287"/>
        <v>0.36703473057091163</v>
      </c>
      <c r="X2496" s="4">
        <f t="shared" si="288"/>
        <v>-1.8504206008625665E-2</v>
      </c>
      <c r="Y2496" s="3">
        <f t="shared" si="285"/>
        <v>-60.32029141223893</v>
      </c>
      <c r="AA2496" s="3"/>
    </row>
    <row r="2497" spans="19:27" x14ac:dyDescent="0.25">
      <c r="S2497" s="4">
        <v>0.73785703598928698</v>
      </c>
      <c r="T2497" s="4">
        <v>0.88637926426835956</v>
      </c>
      <c r="U2497" s="4">
        <f t="shared" si="286"/>
        <v>1.1524398806361453</v>
      </c>
      <c r="W2497" s="4">
        <f t="shared" si="287"/>
        <v>1.2830094628455402</v>
      </c>
      <c r="X2497" s="4">
        <f t="shared" si="288"/>
        <v>2.0976505145820172</v>
      </c>
      <c r="Y2497" s="3">
        <f t="shared" si="285"/>
        <v>8.3879073683237948</v>
      </c>
      <c r="AA2497" s="3"/>
    </row>
    <row r="2498" spans="19:27" x14ac:dyDescent="0.25">
      <c r="S2498" s="4">
        <v>1.4180027955339025</v>
      </c>
      <c r="T2498" s="4">
        <v>0.31184150318935944</v>
      </c>
      <c r="U2498" s="4">
        <f t="shared" si="286"/>
        <v>1.1116404131800537</v>
      </c>
      <c r="W2498" s="4">
        <f t="shared" si="287"/>
        <v>2.4395679045624203</v>
      </c>
      <c r="X2498" s="4">
        <f t="shared" si="288"/>
        <v>2.0257171460589167</v>
      </c>
      <c r="Y2498" s="3">
        <f t="shared" ref="Y2498:Y2561" si="289">(B$4*EXP(-B$8*B$7)*NORMSDIST((LN(B$4/(B$5+W2498))-B$8*B$7+B$9*B$7+0.5*B$6*B$6*B$7)/(B$6*SQRT(B$7)))-(B$5+W2498)*EXP(-B$9*B$7)*NORMSDIST((LN(B$4/(B$5+W2498))-B$8*B$7+B$9*B$7-0.5*B$6*B$6*B$7)/(B$6*SQRT(B$7))))*400+100*X2498-400*$B$13</f>
        <v>-173.1932044592163</v>
      </c>
      <c r="AA2498" s="3"/>
    </row>
    <row r="2499" spans="19:27" x14ac:dyDescent="0.25">
      <c r="S2499" s="4">
        <v>-0.49477700306365691</v>
      </c>
      <c r="T2499" s="4">
        <v>1.0508602076716187</v>
      </c>
      <c r="U2499" s="4">
        <f t="shared" ref="U2499:U2562" si="290">$B$19*S2499+SQRT(1-$B$19^2)*T2499</f>
        <v>0.53138139918318572</v>
      </c>
      <c r="W2499" s="4">
        <f t="shared" ref="W2499:W2562" si="291">S2499*SQRT($B$16)+$B$20</f>
        <v>-0.81303139811455949</v>
      </c>
      <c r="X2499" s="4">
        <f t="shared" ref="X2499:X2562" si="292">U2499*SQRT($C$17)+$C$20</f>
        <v>1.002664932507155</v>
      </c>
      <c r="Y2499" s="3">
        <f t="shared" si="289"/>
        <v>232.2715617558415</v>
      </c>
      <c r="AA2499" s="3"/>
    </row>
    <row r="2500" spans="19:27" x14ac:dyDescent="0.25">
      <c r="S2500" s="4">
        <v>0.14344707420088929</v>
      </c>
      <c r="T2500" s="4">
        <v>-0.64553564024662879</v>
      </c>
      <c r="U2500" s="4">
        <f t="shared" si="290"/>
        <v>-0.42426241296173417</v>
      </c>
      <c r="W2500" s="4">
        <f t="shared" si="291"/>
        <v>0.27224103637285613</v>
      </c>
      <c r="X2500" s="4">
        <f t="shared" si="292"/>
        <v>-0.68222663108548109</v>
      </c>
      <c r="Y2500" s="3">
        <f t="shared" si="289"/>
        <v>-111.65806461763123</v>
      </c>
      <c r="AA2500" s="3"/>
    </row>
    <row r="2501" spans="19:27" x14ac:dyDescent="0.25">
      <c r="S2501" s="4">
        <v>0.32716172946119226</v>
      </c>
      <c r="T2501" s="4">
        <v>0.12608826053865374</v>
      </c>
      <c r="U2501" s="4">
        <f t="shared" si="290"/>
        <v>0.29939424767500827</v>
      </c>
      <c r="W2501" s="4">
        <f t="shared" si="291"/>
        <v>0.58463986034063531</v>
      </c>
      <c r="X2501" s="4">
        <f t="shared" si="292"/>
        <v>0.59364936680102742</v>
      </c>
      <c r="Y2501" s="3">
        <f t="shared" si="289"/>
        <v>-33.442974046690324</v>
      </c>
      <c r="AA2501" s="3"/>
    </row>
    <row r="2502" spans="19:27" x14ac:dyDescent="0.25">
      <c r="S2502" s="4">
        <v>-1.2775648579813148</v>
      </c>
      <c r="T2502" s="4">
        <v>-0.76008091281841927</v>
      </c>
      <c r="U2502" s="4">
        <f t="shared" si="290"/>
        <v>-1.3813421156045664</v>
      </c>
      <c r="W2502" s="4">
        <f t="shared" si="291"/>
        <v>-2.1441282828244286</v>
      </c>
      <c r="X2502" s="4">
        <f t="shared" si="292"/>
        <v>-2.369649807142332</v>
      </c>
      <c r="Y2502" s="3">
        <f t="shared" si="289"/>
        <v>118.65337326102326</v>
      </c>
      <c r="AA2502" s="3"/>
    </row>
    <row r="2503" spans="19:27" x14ac:dyDescent="0.25">
      <c r="S2503" s="4">
        <v>0.23463999341099903</v>
      </c>
      <c r="T2503" s="4">
        <v>0.24833250875422033</v>
      </c>
      <c r="U2503" s="4">
        <f t="shared" si="290"/>
        <v>0.33989297296918619</v>
      </c>
      <c r="W2503" s="4">
        <f t="shared" si="291"/>
        <v>0.42731065058007278</v>
      </c>
      <c r="X2503" s="4">
        <f t="shared" si="292"/>
        <v>0.66505249809035372</v>
      </c>
      <c r="Y2503" s="3">
        <f t="shared" si="289"/>
        <v>-1.5004786778599737</v>
      </c>
      <c r="AA2503" s="3"/>
    </row>
    <row r="2504" spans="19:27" x14ac:dyDescent="0.25">
      <c r="S2504" s="4">
        <v>-2.3535593147211524</v>
      </c>
      <c r="T2504" s="4">
        <v>0.31157147774148769</v>
      </c>
      <c r="U2504" s="4">
        <f t="shared" si="290"/>
        <v>-1.187802046789002</v>
      </c>
      <c r="W2504" s="4">
        <f t="shared" si="291"/>
        <v>-3.9738103101243363</v>
      </c>
      <c r="X2504" s="4">
        <f t="shared" si="292"/>
        <v>-2.0284201303314995</v>
      </c>
      <c r="Y2504" s="3">
        <f t="shared" si="289"/>
        <v>475.62938457618475</v>
      </c>
      <c r="AA2504" s="3"/>
    </row>
    <row r="2505" spans="19:27" x14ac:dyDescent="0.25">
      <c r="S2505" s="4">
        <v>0.51570326937254019</v>
      </c>
      <c r="T2505" s="4">
        <v>-0.81600240783344447</v>
      </c>
      <c r="U2505" s="4">
        <f t="shared" si="290"/>
        <v>-0.33245437682004098</v>
      </c>
      <c r="W2505" s="4">
        <f t="shared" si="291"/>
        <v>0.90524659285157372</v>
      </c>
      <c r="X2505" s="4">
        <f t="shared" si="292"/>
        <v>-0.52036027083776881</v>
      </c>
      <c r="Y2505" s="3">
        <f t="shared" si="289"/>
        <v>-194.99407071663882</v>
      </c>
      <c r="AA2505" s="3"/>
    </row>
    <row r="2506" spans="19:27" x14ac:dyDescent="0.25">
      <c r="S2506" s="4">
        <v>-8.267089291330193E-2</v>
      </c>
      <c r="T2506" s="4">
        <v>-0.47073076767659033</v>
      </c>
      <c r="U2506" s="4">
        <f t="shared" si="290"/>
        <v>-0.4235425434673854</v>
      </c>
      <c r="W2506" s="4">
        <f t="shared" si="291"/>
        <v>-0.11226278507987898</v>
      </c>
      <c r="X2506" s="4">
        <f t="shared" si="292"/>
        <v>-0.68095743222446026</v>
      </c>
      <c r="Y2506" s="3">
        <f t="shared" si="289"/>
        <v>-50.072985746734958</v>
      </c>
      <c r="AA2506" s="3"/>
    </row>
    <row r="2507" spans="19:27" x14ac:dyDescent="0.25">
      <c r="S2507" s="4">
        <v>1.0572446503911839</v>
      </c>
      <c r="T2507" s="4">
        <v>0.72354734699659351</v>
      </c>
      <c r="U2507" s="4">
        <f t="shared" si="290"/>
        <v>1.2180701352551231</v>
      </c>
      <c r="W2507" s="4">
        <f t="shared" si="291"/>
        <v>1.8261142847643759</v>
      </c>
      <c r="X2507" s="4">
        <f t="shared" si="292"/>
        <v>2.213362938937864</v>
      </c>
      <c r="Y2507" s="3">
        <f t="shared" si="289"/>
        <v>-62.765355657414602</v>
      </c>
      <c r="AA2507" s="3"/>
    </row>
    <row r="2508" spans="19:27" x14ac:dyDescent="0.25">
      <c r="S2508" s="4">
        <v>-0.16395611280109962</v>
      </c>
      <c r="T2508" s="4">
        <v>-9.2687910746695842E-2</v>
      </c>
      <c r="U2508" s="4">
        <f t="shared" si="290"/>
        <v>-0.17342427162937499</v>
      </c>
      <c r="W2508" s="4">
        <f t="shared" si="291"/>
        <v>-0.25048478518613476</v>
      </c>
      <c r="X2508" s="4">
        <f t="shared" si="292"/>
        <v>-0.23997496494477236</v>
      </c>
      <c r="Y2508" s="3">
        <f t="shared" si="289"/>
        <v>16.305219614215275</v>
      </c>
      <c r="AA2508" s="3"/>
    </row>
    <row r="2509" spans="19:27" x14ac:dyDescent="0.25">
      <c r="S2509" s="4">
        <v>1.702847363742507</v>
      </c>
      <c r="T2509" s="4">
        <v>0.48282118137563784</v>
      </c>
      <c r="U2509" s="4">
        <f t="shared" si="290"/>
        <v>1.4208222436693574</v>
      </c>
      <c r="W2509" s="4">
        <f t="shared" si="291"/>
        <v>2.923933770725335</v>
      </c>
      <c r="X2509" s="4">
        <f t="shared" si="292"/>
        <v>2.5708343238056375</v>
      </c>
      <c r="Y2509" s="3">
        <f t="shared" si="289"/>
        <v>-189.73808829334348</v>
      </c>
      <c r="AA2509" s="3"/>
    </row>
    <row r="2510" spans="19:27" x14ac:dyDescent="0.25">
      <c r="S2510" s="4">
        <v>-2.9567176086770299</v>
      </c>
      <c r="T2510" s="4">
        <v>0.32059852682584244</v>
      </c>
      <c r="U2510" s="4">
        <f t="shared" si="290"/>
        <v>-1.5483451306000702</v>
      </c>
      <c r="W2510" s="4">
        <f t="shared" si="291"/>
        <v>-4.9994548970041901</v>
      </c>
      <c r="X2510" s="4">
        <f t="shared" si="292"/>
        <v>-2.6640921165932805</v>
      </c>
      <c r="Y2510" s="3">
        <f t="shared" si="289"/>
        <v>601.02562622339792</v>
      </c>
      <c r="AA2510" s="3"/>
    </row>
    <row r="2511" spans="19:27" x14ac:dyDescent="0.25">
      <c r="S2511" s="4">
        <v>8.4094910677544238E-2</v>
      </c>
      <c r="T2511" s="4">
        <v>-1.0166033387694977</v>
      </c>
      <c r="U2511" s="4">
        <f t="shared" si="290"/>
        <v>-0.75458721920774063</v>
      </c>
      <c r="W2511" s="4">
        <f t="shared" si="291"/>
        <v>0.17131524981344942</v>
      </c>
      <c r="X2511" s="4">
        <f t="shared" si="292"/>
        <v>-1.264620899971165</v>
      </c>
      <c r="Y2511" s="3">
        <f t="shared" si="289"/>
        <v>-153.83961812179905</v>
      </c>
      <c r="AA2511" s="3"/>
    </row>
    <row r="2512" spans="19:27" x14ac:dyDescent="0.25">
      <c r="S2512" s="4">
        <v>-0.77202273831846624</v>
      </c>
      <c r="T2512" s="4">
        <v>-0.67282594102892279</v>
      </c>
      <c r="U2512" s="4">
        <f t="shared" si="290"/>
        <v>-1.003986040126188</v>
      </c>
      <c r="W2512" s="4">
        <f t="shared" si="291"/>
        <v>-1.2844757775570506</v>
      </c>
      <c r="X2512" s="4">
        <f t="shared" si="292"/>
        <v>-1.7043349063772666</v>
      </c>
      <c r="Y2512" s="3">
        <f t="shared" si="289"/>
        <v>39.699182120311434</v>
      </c>
      <c r="AA2512" s="3"/>
    </row>
    <row r="2513" spans="19:27" x14ac:dyDescent="0.25">
      <c r="S2513" s="4">
        <v>-0.26984968981980967</v>
      </c>
      <c r="T2513" s="4">
        <v>-0.89299758344353741</v>
      </c>
      <c r="U2513" s="4">
        <f t="shared" si="290"/>
        <v>-0.87237844908898754</v>
      </c>
      <c r="W2513" s="4">
        <f t="shared" si="291"/>
        <v>-0.43055223206191273</v>
      </c>
      <c r="X2513" s="4">
        <f t="shared" si="292"/>
        <v>-1.4722981192131992</v>
      </c>
      <c r="Y2513" s="3">
        <f t="shared" si="289"/>
        <v>-77.753270837853961</v>
      </c>
      <c r="AA2513" s="3"/>
    </row>
    <row r="2514" spans="19:27" x14ac:dyDescent="0.25">
      <c r="S2514" s="4">
        <v>1.6406764026926086</v>
      </c>
      <c r="T2514" s="4">
        <v>1.9038665917986145E-2</v>
      </c>
      <c r="U2514" s="4">
        <f t="shared" si="290"/>
        <v>1.0152847401369061</v>
      </c>
      <c r="W2514" s="4">
        <f t="shared" si="291"/>
        <v>2.8182147409102347</v>
      </c>
      <c r="X2514" s="4">
        <f t="shared" si="292"/>
        <v>1.8558328664230748</v>
      </c>
      <c r="Y2514" s="3">
        <f t="shared" si="289"/>
        <v>-245.82784036285511</v>
      </c>
      <c r="AA2514" s="3"/>
    </row>
    <row r="2515" spans="19:27" x14ac:dyDescent="0.25">
      <c r="S2515" s="4">
        <v>-1.8088086342601117</v>
      </c>
      <c r="T2515" s="4">
        <v>0.90262706187388664</v>
      </c>
      <c r="U2515" s="4">
        <f t="shared" si="290"/>
        <v>-0.38718483329122044</v>
      </c>
      <c r="W2515" s="4">
        <f t="shared" si="291"/>
        <v>-3.0474853433406497</v>
      </c>
      <c r="X2515" s="4">
        <f t="shared" si="292"/>
        <v>-0.61685530717655923</v>
      </c>
      <c r="Y2515" s="3">
        <f t="shared" si="289"/>
        <v>451.06989660767249</v>
      </c>
      <c r="AA2515" s="3"/>
    </row>
    <row r="2516" spans="19:27" x14ac:dyDescent="0.25">
      <c r="S2516" s="4">
        <v>-0.21549132203168048</v>
      </c>
      <c r="T2516" s="4">
        <v>-0.41526102022383621</v>
      </c>
      <c r="U2516" s="4">
        <f t="shared" si="290"/>
        <v>-0.46054241442946409</v>
      </c>
      <c r="W2516" s="4">
        <f t="shared" si="291"/>
        <v>-0.33811817912390019</v>
      </c>
      <c r="X2516" s="4">
        <f t="shared" si="292"/>
        <v>-0.74619174823818524</v>
      </c>
      <c r="Y2516" s="3">
        <f t="shared" si="289"/>
        <v>-20.139495839311621</v>
      </c>
      <c r="AA2516" s="3"/>
    </row>
    <row r="2517" spans="19:27" x14ac:dyDescent="0.25">
      <c r="S2517" s="4">
        <v>8.88085023461163E-2</v>
      </c>
      <c r="T2517" s="4">
        <v>-1.4241796746497111</v>
      </c>
      <c r="U2517" s="4">
        <f t="shared" si="290"/>
        <v>-1.0747962171185614</v>
      </c>
      <c r="W2517" s="4">
        <f t="shared" si="291"/>
        <v>0.17933050854084839</v>
      </c>
      <c r="X2517" s="4">
        <f t="shared" si="292"/>
        <v>-1.8291800299627672</v>
      </c>
      <c r="Y2517" s="3">
        <f t="shared" si="289"/>
        <v>-211.57272366123425</v>
      </c>
      <c r="AA2517" s="3"/>
    </row>
    <row r="2518" spans="19:27" x14ac:dyDescent="0.25">
      <c r="S2518" s="4">
        <v>1.2471769916753392</v>
      </c>
      <c r="T2518" s="4">
        <v>-0.56781872903161279</v>
      </c>
      <c r="U2518" s="4">
        <f t="shared" si="290"/>
        <v>0.31020154624737223</v>
      </c>
      <c r="W2518" s="4">
        <f t="shared" si="291"/>
        <v>2.1490860148451718</v>
      </c>
      <c r="X2518" s="4">
        <f t="shared" si="292"/>
        <v>0.61270366920783392</v>
      </c>
      <c r="Y2518" s="3">
        <f t="shared" si="289"/>
        <v>-271.32394787465682</v>
      </c>
      <c r="AA2518" s="3"/>
    </row>
    <row r="2519" spans="19:27" x14ac:dyDescent="0.25">
      <c r="S2519" s="4">
        <v>0.35079305238782066</v>
      </c>
      <c r="T2519" s="4">
        <v>8.1616013596141943E-2</v>
      </c>
      <c r="U2519" s="4">
        <f t="shared" si="290"/>
        <v>0.2785476341740426</v>
      </c>
      <c r="W2519" s="4">
        <f t="shared" si="291"/>
        <v>0.62482390271124266</v>
      </c>
      <c r="X2519" s="4">
        <f t="shared" si="292"/>
        <v>0.55689479070178194</v>
      </c>
      <c r="Y2519" s="3">
        <f t="shared" si="289"/>
        <v>-43.43291544181875</v>
      </c>
      <c r="AA2519" s="3"/>
    </row>
    <row r="2520" spans="19:27" x14ac:dyDescent="0.25">
      <c r="S2520" s="4">
        <v>-0.30040257630839218</v>
      </c>
      <c r="T2520" s="4">
        <v>0.30324213425599578</v>
      </c>
      <c r="U2520" s="4">
        <f t="shared" si="290"/>
        <v>5.7245506575201832E-2</v>
      </c>
      <c r="W2520" s="4">
        <f t="shared" si="291"/>
        <v>-0.48250609385007814</v>
      </c>
      <c r="X2520" s="4">
        <f t="shared" si="292"/>
        <v>0.16671794546120028</v>
      </c>
      <c r="Y2520" s="3">
        <f t="shared" si="289"/>
        <v>94.59705831313704</v>
      </c>
      <c r="AA2520" s="3"/>
    </row>
    <row r="2521" spans="19:27" x14ac:dyDescent="0.25">
      <c r="S2521" s="4">
        <v>1.1519763803180336</v>
      </c>
      <c r="T2521" s="4">
        <v>0.74867299101159146</v>
      </c>
      <c r="U2521" s="4">
        <f t="shared" si="290"/>
        <v>1.295737608940392</v>
      </c>
      <c r="W2521" s="4">
        <f t="shared" si="291"/>
        <v>1.9872014935101869</v>
      </c>
      <c r="X2521" s="4">
        <f t="shared" si="292"/>
        <v>2.3502981333217923</v>
      </c>
      <c r="Y2521" s="3">
        <f t="shared" si="289"/>
        <v>-73.323448781285606</v>
      </c>
      <c r="AA2521" s="3"/>
    </row>
    <row r="2522" spans="19:27" x14ac:dyDescent="0.25">
      <c r="S2522" s="4">
        <v>-1.154348009350143</v>
      </c>
      <c r="T2522" s="4">
        <v>0.47233534284736045</v>
      </c>
      <c r="U2522" s="4">
        <f t="shared" si="290"/>
        <v>-0.32929984560490422</v>
      </c>
      <c r="W2522" s="4">
        <f t="shared" si="291"/>
        <v>-1.9346033619581324</v>
      </c>
      <c r="X2522" s="4">
        <f t="shared" si="292"/>
        <v>-0.51479853019347577</v>
      </c>
      <c r="Y2522" s="3">
        <f t="shared" si="289"/>
        <v>268.31695262824269</v>
      </c>
      <c r="AA2522" s="3"/>
    </row>
    <row r="2523" spans="19:27" x14ac:dyDescent="0.25">
      <c r="S2523" s="4">
        <v>-0.24902640470228804</v>
      </c>
      <c r="T2523" s="4">
        <v>1.2818843373595115</v>
      </c>
      <c r="U2523" s="4">
        <f t="shared" si="290"/>
        <v>0.86432743088164243</v>
      </c>
      <c r="W2523" s="4">
        <f t="shared" si="291"/>
        <v>-0.39514313651293531</v>
      </c>
      <c r="X2523" s="4">
        <f t="shared" si="292"/>
        <v>1.5896806729023913</v>
      </c>
      <c r="Y2523" s="3">
        <f t="shared" si="289"/>
        <v>222.69444511510846</v>
      </c>
      <c r="AA2523" s="3"/>
    </row>
    <row r="2524" spans="19:27" x14ac:dyDescent="0.25">
      <c r="S2524" s="4">
        <v>-0.46664463605026946</v>
      </c>
      <c r="T2524" s="4">
        <v>0.58488222622571817</v>
      </c>
      <c r="U2524" s="4">
        <f t="shared" si="290"/>
        <v>0.17915449090597424</v>
      </c>
      <c r="W2524" s="4">
        <f t="shared" si="291"/>
        <v>-0.76519352498484183</v>
      </c>
      <c r="X2524" s="4">
        <f t="shared" si="292"/>
        <v>0.38165516015842327</v>
      </c>
      <c r="Y2524" s="3">
        <f t="shared" si="289"/>
        <v>162.30811113339223</v>
      </c>
      <c r="AA2524" s="3"/>
    </row>
    <row r="2525" spans="19:27" x14ac:dyDescent="0.25">
      <c r="S2525" s="4">
        <v>1.0987057237489575</v>
      </c>
      <c r="T2525" s="4">
        <v>0.91587316669190311</v>
      </c>
      <c r="U2525" s="4">
        <f t="shared" si="290"/>
        <v>1.3958008729559195</v>
      </c>
      <c r="W2525" s="4">
        <f t="shared" si="291"/>
        <v>1.896617046446933</v>
      </c>
      <c r="X2525" s="4">
        <f t="shared" si="292"/>
        <v>2.5267192509209275</v>
      </c>
      <c r="Y2525" s="3">
        <f t="shared" si="289"/>
        <v>-42.059862633940156</v>
      </c>
      <c r="AA2525" s="3"/>
    </row>
    <row r="2526" spans="19:27" x14ac:dyDescent="0.25">
      <c r="S2526" s="4">
        <v>0.13809260186206795</v>
      </c>
      <c r="T2526" s="4">
        <v>-0.30853235382245858</v>
      </c>
      <c r="U2526" s="4">
        <f t="shared" si="290"/>
        <v>-0.1603868032627776</v>
      </c>
      <c r="W2526" s="4">
        <f t="shared" si="291"/>
        <v>0.26313598778952063</v>
      </c>
      <c r="X2526" s="4">
        <f t="shared" si="292"/>
        <v>-0.21698865960556649</v>
      </c>
      <c r="Y2526" s="3">
        <f t="shared" si="289"/>
        <v>-63.687754923402281</v>
      </c>
      <c r="AA2526" s="3"/>
    </row>
    <row r="2527" spans="19:27" x14ac:dyDescent="0.25">
      <c r="S2527" s="4">
        <v>0.68370414164571358</v>
      </c>
      <c r="T2527" s="4">
        <v>0.31081921007065894</v>
      </c>
      <c r="U2527" s="4">
        <f t="shared" si="290"/>
        <v>0.66318520660983282</v>
      </c>
      <c r="W2527" s="4">
        <f t="shared" si="291"/>
        <v>1.1909248086114299</v>
      </c>
      <c r="X2527" s="4">
        <f t="shared" si="292"/>
        <v>1.2350476679576194</v>
      </c>
      <c r="Y2527" s="3">
        <f t="shared" si="289"/>
        <v>-63.698683796155365</v>
      </c>
      <c r="AA2527" s="3"/>
    </row>
    <row r="2528" spans="19:27" x14ac:dyDescent="0.25">
      <c r="S2528" s="4">
        <v>-0.91235086316599023</v>
      </c>
      <c r="T2528" s="4">
        <v>1.3895665799471635</v>
      </c>
      <c r="U2528" s="4">
        <f t="shared" si="290"/>
        <v>0.54530889528499371</v>
      </c>
      <c r="W2528" s="4">
        <f t="shared" si="291"/>
        <v>-1.5230976834134788</v>
      </c>
      <c r="X2528" s="4">
        <f t="shared" si="292"/>
        <v>1.0272204419822135</v>
      </c>
      <c r="Y2528" s="3">
        <f t="shared" si="289"/>
        <v>352.84550728673003</v>
      </c>
      <c r="AA2528" s="3"/>
    </row>
    <row r="2529" spans="19:27" x14ac:dyDescent="0.25">
      <c r="S2529" s="4">
        <v>-6.8763619648896492E-3</v>
      </c>
      <c r="T2529" s="4">
        <v>-2.213141013558146</v>
      </c>
      <c r="U2529" s="4">
        <f t="shared" si="290"/>
        <v>-1.7585312019139243</v>
      </c>
      <c r="W2529" s="4">
        <f t="shared" si="291"/>
        <v>1.662253600636867E-2</v>
      </c>
      <c r="X2529" s="4">
        <f t="shared" si="292"/>
        <v>-3.0346702900097262</v>
      </c>
      <c r="Y2529" s="3">
        <f t="shared" si="289"/>
        <v>-306.13008249304949</v>
      </c>
      <c r="AA2529" s="3"/>
    </row>
    <row r="2530" spans="19:27" x14ac:dyDescent="0.25">
      <c r="S2530" s="4">
        <v>1.832986379486061</v>
      </c>
      <c r="T2530" s="4">
        <v>-0.25983794334981736</v>
      </c>
      <c r="U2530" s="4">
        <f t="shared" si="290"/>
        <v>0.9114579303466015</v>
      </c>
      <c r="W2530" s="4">
        <f t="shared" si="291"/>
        <v>3.1452295373205836</v>
      </c>
      <c r="X2530" s="4">
        <f t="shared" si="292"/>
        <v>1.6727762571851832</v>
      </c>
      <c r="Y2530" s="3">
        <f t="shared" si="289"/>
        <v>-311.62413547050892</v>
      </c>
      <c r="AA2530" s="3"/>
    </row>
    <row r="2531" spans="19:27" x14ac:dyDescent="0.25">
      <c r="S2531" s="4">
        <v>2.5440775897656809</v>
      </c>
      <c r="T2531" s="4">
        <v>-0.35970928937486751</v>
      </c>
      <c r="U2531" s="4">
        <f t="shared" si="290"/>
        <v>1.2657877789809264</v>
      </c>
      <c r="W2531" s="4">
        <f t="shared" si="291"/>
        <v>4.3544093793447542</v>
      </c>
      <c r="X2531" s="4">
        <f t="shared" si="292"/>
        <v>2.2974937147838053</v>
      </c>
      <c r="Y2531" s="3">
        <f t="shared" si="289"/>
        <v>-420.24179351015437</v>
      </c>
      <c r="AA2531" s="3"/>
    </row>
    <row r="2532" spans="19:27" x14ac:dyDescent="0.25">
      <c r="S2532" s="4">
        <v>2.0891202127834632</v>
      </c>
      <c r="T2532" s="4">
        <v>-1.4572478459959475</v>
      </c>
      <c r="U2532" s="4">
        <f t="shared" si="290"/>
        <v>0.11842555671818755</v>
      </c>
      <c r="W2532" s="4">
        <f t="shared" si="291"/>
        <v>3.5807740407631323</v>
      </c>
      <c r="X2532" s="4">
        <f t="shared" si="292"/>
        <v>0.27458423312618974</v>
      </c>
      <c r="Y2532" s="3">
        <f t="shared" si="289"/>
        <v>-513.88407081487503</v>
      </c>
      <c r="AA2532" s="3"/>
    </row>
    <row r="2533" spans="19:27" x14ac:dyDescent="0.25">
      <c r="S2533" s="4">
        <v>1.2457319859845721</v>
      </c>
      <c r="T2533" s="4">
        <v>1.4274729298840083</v>
      </c>
      <c r="U2533" s="4">
        <f t="shared" si="290"/>
        <v>1.8909724120169722</v>
      </c>
      <c r="W2533" s="4">
        <f t="shared" si="291"/>
        <v>2.1466288451774456</v>
      </c>
      <c r="X2533" s="4">
        <f t="shared" si="292"/>
        <v>3.3997540972645242</v>
      </c>
      <c r="Y2533" s="3">
        <f t="shared" si="289"/>
        <v>7.748061997401237</v>
      </c>
      <c r="AA2533" s="3"/>
    </row>
    <row r="2534" spans="19:27" x14ac:dyDescent="0.25">
      <c r="S2534" s="4">
        <v>0.23122326980483199</v>
      </c>
      <c r="T2534" s="4">
        <v>-0.33206630171649837</v>
      </c>
      <c r="U2534" s="4">
        <f t="shared" si="290"/>
        <v>-0.1222674428368262</v>
      </c>
      <c r="W2534" s="4">
        <f t="shared" si="291"/>
        <v>0.42150065989164798</v>
      </c>
      <c r="X2534" s="4">
        <f t="shared" si="292"/>
        <v>-0.14978057645262213</v>
      </c>
      <c r="Y2534" s="3">
        <f t="shared" si="289"/>
        <v>-82.065438297990568</v>
      </c>
      <c r="AA2534" s="3"/>
    </row>
    <row r="2535" spans="19:27" x14ac:dyDescent="0.25">
      <c r="S2535" s="4">
        <v>-1.2451489876893098</v>
      </c>
      <c r="T2535" s="4">
        <v>2.0943841938861403</v>
      </c>
      <c r="U2535" s="4">
        <f t="shared" si="290"/>
        <v>0.90113103061025646</v>
      </c>
      <c r="W2535" s="4">
        <f t="shared" si="291"/>
        <v>-2.0890064976692595</v>
      </c>
      <c r="X2535" s="4">
        <f t="shared" si="292"/>
        <v>1.6545689439344633</v>
      </c>
      <c r="Y2535" s="3">
        <f t="shared" si="289"/>
        <v>511.62861424226685</v>
      </c>
      <c r="AA2535" s="3"/>
    </row>
    <row r="2536" spans="19:27" x14ac:dyDescent="0.25">
      <c r="S2536" s="4">
        <v>0.92176264044469114</v>
      </c>
      <c r="T2536" s="4">
        <v>-0.93260946131459976</v>
      </c>
      <c r="U2536" s="4">
        <f t="shared" si="290"/>
        <v>-0.17734500492397154</v>
      </c>
      <c r="W2536" s="4">
        <f t="shared" si="291"/>
        <v>1.595732987659328</v>
      </c>
      <c r="X2536" s="4">
        <f t="shared" si="292"/>
        <v>-0.24688759323494616</v>
      </c>
      <c r="Y2536" s="3">
        <f t="shared" si="289"/>
        <v>-273.88057330051515</v>
      </c>
      <c r="AA2536" s="3"/>
    </row>
    <row r="2537" spans="19:27" x14ac:dyDescent="0.25">
      <c r="S2537" s="4">
        <v>0.59042020846154064</v>
      </c>
      <c r="T2537" s="4">
        <v>-1.82404245143805</v>
      </c>
      <c r="U2537" s="4">
        <f t="shared" si="290"/>
        <v>-1.0859705610150479</v>
      </c>
      <c r="W2537" s="4">
        <f t="shared" si="291"/>
        <v>1.0322995155963797</v>
      </c>
      <c r="X2537" s="4">
        <f t="shared" si="292"/>
        <v>-1.8488814684282293</v>
      </c>
      <c r="Y2537" s="3">
        <f t="shared" si="289"/>
        <v>-347.57514973746856</v>
      </c>
      <c r="AA2537" s="3"/>
    </row>
    <row r="2538" spans="19:27" x14ac:dyDescent="0.25">
      <c r="S2538" s="4">
        <v>-0.82211271233379024</v>
      </c>
      <c r="T2538" s="4">
        <v>0.93366254308915475</v>
      </c>
      <c r="U2538" s="4">
        <f t="shared" si="290"/>
        <v>0.23892859399292454</v>
      </c>
      <c r="W2538" s="4">
        <f t="shared" si="291"/>
        <v>-1.3696516115306239</v>
      </c>
      <c r="X2538" s="4">
        <f t="shared" si="292"/>
        <v>0.48704262851493518</v>
      </c>
      <c r="Y2538" s="3">
        <f t="shared" si="289"/>
        <v>273.07707142649997</v>
      </c>
      <c r="AA2538" s="3"/>
    </row>
    <row r="2539" spans="19:27" x14ac:dyDescent="0.25">
      <c r="S2539" s="4">
        <v>0.41361394649554351</v>
      </c>
      <c r="T2539" s="4">
        <v>-0.51455064269347983</v>
      </c>
      <c r="U2539" s="4">
        <f t="shared" si="290"/>
        <v>-0.15573189752609656</v>
      </c>
      <c r="W2539" s="4">
        <f t="shared" si="291"/>
        <v>0.73164811557575449</v>
      </c>
      <c r="X2539" s="4">
        <f t="shared" si="292"/>
        <v>-0.20878161498770895</v>
      </c>
      <c r="Y2539" s="3">
        <f t="shared" si="289"/>
        <v>-136.74665052291721</v>
      </c>
      <c r="AA2539" s="3"/>
    </row>
    <row r="2540" spans="19:27" x14ac:dyDescent="0.25">
      <c r="S2540" s="4">
        <v>-0.73212041357928392</v>
      </c>
      <c r="T2540" s="4">
        <v>-2.6302994900662324</v>
      </c>
      <c r="U2540" s="4">
        <f t="shared" si="290"/>
        <v>-2.5313343522778933</v>
      </c>
      <c r="W2540" s="4">
        <f t="shared" si="291"/>
        <v>-1.2166236004705853</v>
      </c>
      <c r="X2540" s="4">
        <f t="shared" si="292"/>
        <v>-4.3971962560844222</v>
      </c>
      <c r="Y2540" s="3">
        <f t="shared" si="289"/>
        <v>-240.90343685218841</v>
      </c>
      <c r="AA2540" s="3"/>
    </row>
    <row r="2541" spans="19:27" x14ac:dyDescent="0.25">
      <c r="S2541" s="4">
        <v>0.23622873878273934</v>
      </c>
      <c r="T2541" s="4">
        <v>-0.54572826102174299</v>
      </c>
      <c r="U2541" s="4">
        <f t="shared" si="290"/>
        <v>-0.28858412715889975</v>
      </c>
      <c r="W2541" s="4">
        <f t="shared" si="291"/>
        <v>0.43001224335726679</v>
      </c>
      <c r="X2541" s="4">
        <f t="shared" si="292"/>
        <v>-0.44301281919586943</v>
      </c>
      <c r="Y2541" s="3">
        <f t="shared" si="289"/>
        <v>-112.7339747572787</v>
      </c>
      <c r="AA2541" s="3"/>
    </row>
    <row r="2542" spans="19:27" x14ac:dyDescent="0.25">
      <c r="S2542" s="4">
        <v>1.6416516579055189</v>
      </c>
      <c r="T2542" s="4">
        <v>1.0024231040624361</v>
      </c>
      <c r="U2542" s="4">
        <f t="shared" si="290"/>
        <v>1.7954002731410932</v>
      </c>
      <c r="W2542" s="4">
        <f t="shared" si="291"/>
        <v>2.8198731202112759</v>
      </c>
      <c r="X2542" s="4">
        <f t="shared" si="292"/>
        <v>3.2312512634052779</v>
      </c>
      <c r="Y2542" s="3">
        <f t="shared" si="289"/>
        <v>-108.5281625046041</v>
      </c>
      <c r="AA2542" s="3"/>
    </row>
    <row r="2543" spans="19:27" x14ac:dyDescent="0.25">
      <c r="S2543" s="4">
        <v>-1.3684173597214633</v>
      </c>
      <c r="T2543" s="4">
        <v>-0.76526277187515468</v>
      </c>
      <c r="U2543" s="4">
        <f t="shared" si="290"/>
        <v>-1.4408354460705872</v>
      </c>
      <c r="W2543" s="4">
        <f t="shared" si="291"/>
        <v>-2.2986190318500772</v>
      </c>
      <c r="X2543" s="4">
        <f t="shared" si="292"/>
        <v>-2.474542246478324</v>
      </c>
      <c r="Y2543" s="3">
        <f t="shared" si="289"/>
        <v>134.72691253154608</v>
      </c>
      <c r="AA2543" s="3"/>
    </row>
    <row r="2544" spans="19:27" x14ac:dyDescent="0.25">
      <c r="S2544" s="4">
        <v>0.30460004966074472</v>
      </c>
      <c r="T2544" s="4">
        <v>-0.39809432693012992</v>
      </c>
      <c r="U2544" s="4">
        <f t="shared" si="290"/>
        <v>-0.12987520927791904</v>
      </c>
      <c r="W2544" s="4">
        <f t="shared" si="291"/>
        <v>0.54627469983446431</v>
      </c>
      <c r="X2544" s="4">
        <f t="shared" si="292"/>
        <v>-0.16319379729021666</v>
      </c>
      <c r="Y2544" s="3">
        <f t="shared" si="289"/>
        <v>-103.0909085101157</v>
      </c>
      <c r="AA2544" s="3"/>
    </row>
    <row r="2545" spans="19:27" x14ac:dyDescent="0.25">
      <c r="S2545" s="4">
        <v>0.86417869155102289</v>
      </c>
      <c r="T2545" s="4">
        <v>0.15921501841428073</v>
      </c>
      <c r="U2545" s="4">
        <f t="shared" si="290"/>
        <v>0.65303108618995132</v>
      </c>
      <c r="W2545" s="4">
        <f t="shared" si="291"/>
        <v>1.4978139735865854</v>
      </c>
      <c r="X2545" s="4">
        <f t="shared" si="292"/>
        <v>1.2171449811890396</v>
      </c>
      <c r="Y2545" s="3">
        <f t="shared" si="289"/>
        <v>-112.55877661361774</v>
      </c>
      <c r="AA2545" s="3"/>
    </row>
    <row r="2546" spans="19:27" x14ac:dyDescent="0.25">
      <c r="S2546" s="4">
        <v>0.91002522813395881</v>
      </c>
      <c r="T2546" s="4">
        <v>-0.55210276151077509</v>
      </c>
      <c r="U2546" s="4">
        <f t="shared" si="290"/>
        <v>0.11712423073557693</v>
      </c>
      <c r="W2546" s="4">
        <f t="shared" si="291"/>
        <v>1.575774025773014</v>
      </c>
      <c r="X2546" s="4">
        <f t="shared" si="292"/>
        <v>0.27228987078980493</v>
      </c>
      <c r="Y2546" s="3">
        <f t="shared" si="289"/>
        <v>-218.92587836783105</v>
      </c>
      <c r="AA2546" s="3"/>
    </row>
    <row r="2547" spans="19:27" x14ac:dyDescent="0.25">
      <c r="S2547" s="4">
        <v>-2.2654447385426679</v>
      </c>
      <c r="T2547" s="4">
        <v>-8.0222954603335728E-2</v>
      </c>
      <c r="U2547" s="4">
        <f t="shared" si="290"/>
        <v>-1.4446577547358768</v>
      </c>
      <c r="W2547" s="4">
        <f t="shared" si="291"/>
        <v>-3.8239752850765232</v>
      </c>
      <c r="X2547" s="4">
        <f t="shared" si="292"/>
        <v>-2.4812813427208233</v>
      </c>
      <c r="Y2547" s="3">
        <f t="shared" si="289"/>
        <v>403.22142629842347</v>
      </c>
      <c r="AA2547" s="3"/>
    </row>
    <row r="2548" spans="19:27" x14ac:dyDescent="0.25">
      <c r="S2548" s="4">
        <v>-0.32021162501573441</v>
      </c>
      <c r="T2548" s="4">
        <v>2.1272749590752822</v>
      </c>
      <c r="U2548" s="4">
        <f t="shared" si="290"/>
        <v>1.4910657310249762</v>
      </c>
      <c r="W2548" s="4">
        <f t="shared" si="291"/>
        <v>-0.51619052425834366</v>
      </c>
      <c r="X2548" s="4">
        <f t="shared" si="292"/>
        <v>2.6946803192892146</v>
      </c>
      <c r="Y2548" s="3">
        <f t="shared" si="289"/>
        <v>352.87856385420582</v>
      </c>
      <c r="AA2548" s="3"/>
    </row>
    <row r="2549" spans="19:27" x14ac:dyDescent="0.25">
      <c r="S2549" s="4">
        <v>0.61783021812700178</v>
      </c>
      <c r="T2549" s="4">
        <v>1.7178680565385723E-2</v>
      </c>
      <c r="U2549" s="4">
        <f t="shared" si="290"/>
        <v>0.39026048888744563</v>
      </c>
      <c r="W2549" s="4">
        <f t="shared" si="291"/>
        <v>1.0789090513043662</v>
      </c>
      <c r="X2549" s="4">
        <f t="shared" si="292"/>
        <v>0.75385525239199924</v>
      </c>
      <c r="Y2549" s="3">
        <f t="shared" si="289"/>
        <v>-94.518497791155369</v>
      </c>
      <c r="AA2549" s="3"/>
    </row>
    <row r="2550" spans="19:27" x14ac:dyDescent="0.25">
      <c r="S2550" s="4">
        <v>0.11389297394971697</v>
      </c>
      <c r="T2550" s="4">
        <v>-0.55788799219106799</v>
      </c>
      <c r="U2550" s="4">
        <f t="shared" si="290"/>
        <v>-0.37280166078911287</v>
      </c>
      <c r="W2550" s="4">
        <f t="shared" si="291"/>
        <v>0.22198556737496677</v>
      </c>
      <c r="X2550" s="4">
        <f t="shared" si="292"/>
        <v>-0.59149639656727504</v>
      </c>
      <c r="Y2550" s="3">
        <f t="shared" si="289"/>
        <v>-94.595666387895562</v>
      </c>
      <c r="AA2550" s="3"/>
    </row>
    <row r="2551" spans="19:27" x14ac:dyDescent="0.25">
      <c r="S2551" s="4">
        <v>-0.16009586583502794</v>
      </c>
      <c r="T2551" s="4">
        <v>1.1054898061777891</v>
      </c>
      <c r="U2551" s="4">
        <f t="shared" si="290"/>
        <v>0.77871493452788398</v>
      </c>
      <c r="W2551" s="4">
        <f t="shared" si="291"/>
        <v>-0.24392060221054523</v>
      </c>
      <c r="X2551" s="4">
        <f t="shared" si="292"/>
        <v>1.4387376426526666</v>
      </c>
      <c r="Y2551" s="3">
        <f t="shared" si="289"/>
        <v>183.11616019808389</v>
      </c>
      <c r="AA2551" s="3"/>
    </row>
    <row r="2552" spans="19:27" x14ac:dyDescent="0.25">
      <c r="S2552" s="4">
        <v>-1.6437618658779505</v>
      </c>
      <c r="T2552" s="4">
        <v>1.7767007727687703</v>
      </c>
      <c r="U2552" s="4">
        <f t="shared" si="290"/>
        <v>0.40630261380522792</v>
      </c>
      <c r="W2552" s="4">
        <f t="shared" si="291"/>
        <v>-2.7668304534560386</v>
      </c>
      <c r="X2552" s="4">
        <f t="shared" si="292"/>
        <v>0.78213905498933312</v>
      </c>
      <c r="Y2552" s="3">
        <f t="shared" si="289"/>
        <v>541.67987182596244</v>
      </c>
      <c r="AA2552" s="3"/>
    </row>
    <row r="2553" spans="19:27" x14ac:dyDescent="0.25">
      <c r="S2553" s="4">
        <v>-1.192890715398401</v>
      </c>
      <c r="T2553" s="4">
        <v>0.53071796516981373</v>
      </c>
      <c r="U2553" s="4">
        <f t="shared" si="290"/>
        <v>-0.30651690041133961</v>
      </c>
      <c r="W2553" s="4">
        <f t="shared" si="291"/>
        <v>-2.000143566276352</v>
      </c>
      <c r="X2553" s="4">
        <f t="shared" si="292"/>
        <v>-0.47463001587612552</v>
      </c>
      <c r="Y2553" s="3">
        <f t="shared" si="289"/>
        <v>283.51375682977687</v>
      </c>
      <c r="AA2553" s="3"/>
    </row>
    <row r="2554" spans="19:27" x14ac:dyDescent="0.25">
      <c r="S2554" s="4">
        <v>0.25933190198074341</v>
      </c>
      <c r="T2554" s="4">
        <v>-0.88152660463255261</v>
      </c>
      <c r="U2554" s="4">
        <f t="shared" si="290"/>
        <v>-0.54068459035248395</v>
      </c>
      <c r="W2554" s="4">
        <f t="shared" si="291"/>
        <v>0.46929817295698167</v>
      </c>
      <c r="X2554" s="4">
        <f t="shared" si="292"/>
        <v>-0.88749007967150395</v>
      </c>
      <c r="Y2554" s="3">
        <f t="shared" si="289"/>
        <v>-163.38628295945136</v>
      </c>
      <c r="AA2554" s="3"/>
    </row>
    <row r="2555" spans="19:27" x14ac:dyDescent="0.25">
      <c r="S2555" s="4">
        <v>0.1362417408776754</v>
      </c>
      <c r="T2555" s="4">
        <v>-2.354578020187369E-2</v>
      </c>
      <c r="U2555" s="4">
        <f t="shared" si="290"/>
        <v>6.439145299901837E-2</v>
      </c>
      <c r="W2555" s="4">
        <f t="shared" si="291"/>
        <v>0.25998867875185666</v>
      </c>
      <c r="X2555" s="4">
        <f t="shared" si="292"/>
        <v>0.17931693337945995</v>
      </c>
      <c r="Y2555" s="3">
        <f t="shared" si="289"/>
        <v>-23.55708563077269</v>
      </c>
      <c r="AA2555" s="3"/>
    </row>
    <row r="2556" spans="19:27" x14ac:dyDescent="0.25">
      <c r="S2556" s="4">
        <v>-0.55218728242252779</v>
      </c>
      <c r="T2556" s="4">
        <v>0.11034823287184733</v>
      </c>
      <c r="U2556" s="4">
        <f t="shared" si="290"/>
        <v>-0.24915352418473957</v>
      </c>
      <c r="W2556" s="4">
        <f t="shared" si="291"/>
        <v>-0.91065509465614025</v>
      </c>
      <c r="X2556" s="4">
        <f t="shared" si="292"/>
        <v>-0.37349288985167317</v>
      </c>
      <c r="Y2556" s="3">
        <f t="shared" si="289"/>
        <v>110.73808654203322</v>
      </c>
      <c r="AA2556" s="3"/>
    </row>
    <row r="2557" spans="19:27" x14ac:dyDescent="0.25">
      <c r="S2557" s="4">
        <v>-0.43617557849209077</v>
      </c>
      <c r="T2557" s="4">
        <v>-0.63147165500937619</v>
      </c>
      <c r="U2557" s="4">
        <f t="shared" si="290"/>
        <v>-0.76646490564685621</v>
      </c>
      <c r="W2557" s="4">
        <f t="shared" si="291"/>
        <v>-0.713382210666477</v>
      </c>
      <c r="X2557" s="4">
        <f t="shared" si="292"/>
        <v>-1.2855623986989668</v>
      </c>
      <c r="Y2557" s="3">
        <f t="shared" si="289"/>
        <v>-12.915667886599294</v>
      </c>
      <c r="AA2557" s="3"/>
    </row>
    <row r="2558" spans="19:27" x14ac:dyDescent="0.25">
      <c r="S2558" s="4">
        <v>0.60816168097796586</v>
      </c>
      <c r="T2558" s="4">
        <v>1.3798648177807824</v>
      </c>
      <c r="U2558" s="4">
        <f t="shared" si="290"/>
        <v>1.4645567582088799</v>
      </c>
      <c r="W2558" s="4">
        <f t="shared" si="291"/>
        <v>1.0624681221331578</v>
      </c>
      <c r="X2558" s="4">
        <f t="shared" si="292"/>
        <v>2.6479424614286606</v>
      </c>
      <c r="Y2558" s="3">
        <f t="shared" si="289"/>
        <v>97.434676809239591</v>
      </c>
      <c r="AA2558" s="3"/>
    </row>
    <row r="2559" spans="19:27" x14ac:dyDescent="0.25">
      <c r="S2559" s="4">
        <v>1.5281229383009702</v>
      </c>
      <c r="T2559" s="4">
        <v>-2.1795683166845645</v>
      </c>
      <c r="U2559" s="4">
        <f t="shared" si="290"/>
        <v>-0.79614857092683666</v>
      </c>
      <c r="W2559" s="4">
        <f t="shared" si="291"/>
        <v>2.6268224436565011</v>
      </c>
      <c r="X2559" s="4">
        <f t="shared" si="292"/>
        <v>-1.3378975434162146</v>
      </c>
      <c r="Y2559" s="3">
        <f t="shared" si="289"/>
        <v>-537.16219074732226</v>
      </c>
      <c r="AA2559" s="3"/>
    </row>
    <row r="2560" spans="19:27" x14ac:dyDescent="0.25">
      <c r="S2560" s="4">
        <v>-0.22487412145578317</v>
      </c>
      <c r="T2560" s="4">
        <v>2.0727505647093794</v>
      </c>
      <c r="U2560" s="4">
        <f t="shared" si="290"/>
        <v>1.5059645481001322</v>
      </c>
      <c r="W2560" s="4">
        <f t="shared" si="291"/>
        <v>-0.35407322365457244</v>
      </c>
      <c r="X2560" s="4">
        <f t="shared" si="292"/>
        <v>2.7209483606644813</v>
      </c>
      <c r="Y2560" s="3">
        <f t="shared" si="289"/>
        <v>329.15994999204213</v>
      </c>
      <c r="AA2560" s="3"/>
    </row>
    <row r="2561" spans="19:27" x14ac:dyDescent="0.25">
      <c r="S2561" s="4">
        <v>1.2433717460207321</v>
      </c>
      <c r="T2561" s="4">
        <v>-0.62182825940708442</v>
      </c>
      <c r="U2561" s="4">
        <f t="shared" si="290"/>
        <v>0.26506885991892148</v>
      </c>
      <c r="W2561" s="4">
        <f t="shared" si="291"/>
        <v>2.1426153592204291</v>
      </c>
      <c r="X2561" s="4">
        <f t="shared" si="292"/>
        <v>0.53313042081688677</v>
      </c>
      <c r="Y2561" s="3">
        <f t="shared" si="289"/>
        <v>-278.31484517326453</v>
      </c>
      <c r="AA2561" s="3"/>
    </row>
    <row r="2562" spans="19:27" x14ac:dyDescent="0.25">
      <c r="S2562" s="4">
        <v>0.58516699515599713</v>
      </c>
      <c r="T2562" s="4">
        <v>1.9408714751774094</v>
      </c>
      <c r="U2562" s="4">
        <f t="shared" si="290"/>
        <v>1.8952441845681205</v>
      </c>
      <c r="W2562" s="4">
        <f t="shared" si="291"/>
        <v>1.023366653618774</v>
      </c>
      <c r="X2562" s="4">
        <f t="shared" si="292"/>
        <v>3.4072856413833126</v>
      </c>
      <c r="Y2562" s="3">
        <f t="shared" ref="Y2562:Y2625" si="293">(B$4*EXP(-B$8*B$7)*NORMSDIST((LN(B$4/(B$5+W2562))-B$8*B$7+B$9*B$7+0.5*B$6*B$6*B$7)/(B$6*SQRT(B$7)))-(B$5+W2562)*EXP(-B$9*B$7)*NORMSDIST((LN(B$4/(B$5+W2562))-B$8*B$7+B$9*B$7-0.5*B$6*B$6*B$7)/(B$6*SQRT(B$7))))*400+100*X2562-400*$B$13</f>
        <v>179.42598583859399</v>
      </c>
      <c r="AA2562" s="3"/>
    </row>
    <row r="2563" spans="19:27" x14ac:dyDescent="0.25">
      <c r="S2563" s="4">
        <v>0.15976387981823359</v>
      </c>
      <c r="T2563" s="4">
        <v>0.88738338488391555</v>
      </c>
      <c r="U2563" s="4">
        <f t="shared" ref="U2563:U2626" si="294">$B$19*S2563+SQRT(1-$B$19^2)*T2563</f>
        <v>0.80081735270263954</v>
      </c>
      <c r="W2563" s="4">
        <f t="shared" ref="W2563:W2626" si="295">S2563*SQRT($B$16)+$B$20</f>
        <v>0.2999870584773357</v>
      </c>
      <c r="X2563" s="4">
        <f t="shared" ref="X2563:X2626" si="296">U2563*SQRT($C$17)+$C$20</f>
        <v>1.4777063226612333</v>
      </c>
      <c r="Y2563" s="3">
        <f t="shared" si="293"/>
        <v>99.929871445179742</v>
      </c>
      <c r="AA2563" s="3"/>
    </row>
    <row r="2564" spans="19:27" x14ac:dyDescent="0.25">
      <c r="S2564" s="4">
        <v>8.2428445733659858E-3</v>
      </c>
      <c r="T2564" s="4">
        <v>-2.8081217652480346</v>
      </c>
      <c r="U2564" s="4">
        <f t="shared" si="294"/>
        <v>-2.2209506895580287</v>
      </c>
      <c r="W2564" s="4">
        <f t="shared" si="295"/>
        <v>4.2332092683731969E-2</v>
      </c>
      <c r="X2564" s="4">
        <f t="shared" si="296"/>
        <v>-3.8499601330147777</v>
      </c>
      <c r="Y2564" s="3">
        <f t="shared" si="293"/>
        <v>-391.77511551623365</v>
      </c>
      <c r="AA2564" s="3"/>
    </row>
    <row r="2565" spans="19:27" x14ac:dyDescent="0.25">
      <c r="S2565" s="4">
        <v>0.39430483079499373</v>
      </c>
      <c r="T2565" s="4">
        <v>1.1725245850077064</v>
      </c>
      <c r="U2565" s="4">
        <f t="shared" si="294"/>
        <v>1.169827903070368</v>
      </c>
      <c r="W2565" s="4">
        <f t="shared" si="295"/>
        <v>0.6988137996189645</v>
      </c>
      <c r="X2565" s="4">
        <f t="shared" si="296"/>
        <v>2.1283072633985296</v>
      </c>
      <c r="Y2565" s="3">
        <f t="shared" si="293"/>
        <v>102.10323692279144</v>
      </c>
      <c r="AA2565" s="3"/>
    </row>
    <row r="2566" spans="19:27" x14ac:dyDescent="0.25">
      <c r="S2566" s="4">
        <v>0.25989864006456814</v>
      </c>
      <c r="T2566" s="4">
        <v>-0.64458818310443455</v>
      </c>
      <c r="U2566" s="4">
        <f t="shared" si="294"/>
        <v>-0.35251989844608839</v>
      </c>
      <c r="W2566" s="4">
        <f t="shared" si="295"/>
        <v>0.47026188655203338</v>
      </c>
      <c r="X2566" s="4">
        <f t="shared" si="296"/>
        <v>-0.55573770715573245</v>
      </c>
      <c r="Y2566" s="3">
        <f t="shared" si="293"/>
        <v>-130.36314927767762</v>
      </c>
      <c r="AA2566" s="3"/>
    </row>
    <row r="2567" spans="19:27" x14ac:dyDescent="0.25">
      <c r="S2567" s="4">
        <v>-0.21470195307161558</v>
      </c>
      <c r="T2567" s="4">
        <v>-0.33105525487660331</v>
      </c>
      <c r="U2567" s="4">
        <f t="shared" si="294"/>
        <v>-0.39331195935966023</v>
      </c>
      <c r="W2567" s="4">
        <f t="shared" si="295"/>
        <v>-0.33677589135457908</v>
      </c>
      <c r="X2567" s="4">
        <f t="shared" si="296"/>
        <v>-0.62765801723503989</v>
      </c>
      <c r="Y2567" s="3">
        <f t="shared" si="293"/>
        <v>-8.50357337878404</v>
      </c>
      <c r="AA2567" s="3"/>
    </row>
    <row r="2568" spans="19:27" x14ac:dyDescent="0.25">
      <c r="S2568" s="4">
        <v>0.13439770590099423</v>
      </c>
      <c r="T2568" s="4">
        <v>-0.18970595771906659</v>
      </c>
      <c r="U2568" s="4">
        <f t="shared" si="294"/>
        <v>-6.8446558450093356E-2</v>
      </c>
      <c r="W2568" s="4">
        <f t="shared" si="295"/>
        <v>0.25685297704501991</v>
      </c>
      <c r="X2568" s="4">
        <f t="shared" si="296"/>
        <v>-5.488920280916558E-2</v>
      </c>
      <c r="Y2568" s="3">
        <f t="shared" si="293"/>
        <v>-46.47938295186168</v>
      </c>
      <c r="AA2568" s="3"/>
    </row>
    <row r="2569" spans="19:27" x14ac:dyDescent="0.25">
      <c r="S2569" s="4">
        <v>0.79207283340505064</v>
      </c>
      <c r="T2569" s="4">
        <v>1.5085331484711553</v>
      </c>
      <c r="U2569" s="4">
        <f t="shared" si="294"/>
        <v>1.6786674589556232</v>
      </c>
      <c r="W2569" s="4">
        <f t="shared" si="295"/>
        <v>1.375201081032789</v>
      </c>
      <c r="X2569" s="4">
        <f t="shared" si="296"/>
        <v>3.025440132400226</v>
      </c>
      <c r="Y2569" s="3">
        <f t="shared" si="293"/>
        <v>87.019686590234869</v>
      </c>
      <c r="AA2569" s="3"/>
    </row>
    <row r="2570" spans="19:27" x14ac:dyDescent="0.25">
      <c r="S2570" s="4">
        <v>0.18646321117792145</v>
      </c>
      <c r="T2570" s="4">
        <v>-0.33980335153374913</v>
      </c>
      <c r="U2570" s="4">
        <f t="shared" si="294"/>
        <v>-0.15568727089592199</v>
      </c>
      <c r="W2570" s="4">
        <f t="shared" si="295"/>
        <v>0.34538811646954926</v>
      </c>
      <c r="X2570" s="4">
        <f t="shared" si="296"/>
        <v>-0.20870293396478271</v>
      </c>
      <c r="Y2570" s="3">
        <f t="shared" si="293"/>
        <v>-75.911039455004357</v>
      </c>
      <c r="AA2570" s="3"/>
    </row>
    <row r="2571" spans="19:27" x14ac:dyDescent="0.25">
      <c r="S2571" s="4">
        <v>1.6179806179584295</v>
      </c>
      <c r="T2571" s="4">
        <v>-1.282089921001847</v>
      </c>
      <c r="U2571" s="4">
        <f t="shared" si="294"/>
        <v>-2.994536308776008E-2</v>
      </c>
      <c r="W2571" s="4">
        <f t="shared" si="295"/>
        <v>2.7796215407654912</v>
      </c>
      <c r="X2571" s="4">
        <f t="shared" si="296"/>
        <v>1.2992091905260843E-2</v>
      </c>
      <c r="Y2571" s="3">
        <f t="shared" si="293"/>
        <v>-424.47259427376866</v>
      </c>
      <c r="AA2571" s="3"/>
    </row>
    <row r="2572" spans="19:27" x14ac:dyDescent="0.25">
      <c r="S2572" s="4">
        <v>0.39162977716984176</v>
      </c>
      <c r="T2572" s="4">
        <v>0.92909374831369662</v>
      </c>
      <c r="U2572" s="4">
        <f t="shared" si="294"/>
        <v>0.97523144928390693</v>
      </c>
      <c r="W2572" s="4">
        <f t="shared" si="295"/>
        <v>0.69426498664939418</v>
      </c>
      <c r="X2572" s="4">
        <f t="shared" si="296"/>
        <v>1.7852150787131633</v>
      </c>
      <c r="Y2572" s="3">
        <f t="shared" si="293"/>
        <v>68.506678682736037</v>
      </c>
      <c r="AA2572" s="3"/>
    </row>
    <row r="2573" spans="19:27" x14ac:dyDescent="0.25">
      <c r="S2573" s="4">
        <v>-1.0230578143488853</v>
      </c>
      <c r="T2573" s="4">
        <v>-0.65296530963863053</v>
      </c>
      <c r="U2573" s="4">
        <f t="shared" si="294"/>
        <v>-1.1412792595379069</v>
      </c>
      <c r="W2573" s="4">
        <f t="shared" si="295"/>
        <v>-1.7113500648339599</v>
      </c>
      <c r="X2573" s="4">
        <f t="shared" si="296"/>
        <v>-1.9463960008828398</v>
      </c>
      <c r="Y2573" s="3">
        <f t="shared" si="293"/>
        <v>87.245885011101564</v>
      </c>
      <c r="AA2573" s="3"/>
    </row>
    <row r="2574" spans="19:27" x14ac:dyDescent="0.25">
      <c r="S2574" s="4">
        <v>1.0021173901375158</v>
      </c>
      <c r="T2574" s="4">
        <v>1.5369300271681186</v>
      </c>
      <c r="U2574" s="4">
        <f t="shared" si="294"/>
        <v>1.8292252863289318</v>
      </c>
      <c r="W2574" s="4">
        <f t="shared" si="295"/>
        <v>1.732372763450192</v>
      </c>
      <c r="X2574" s="4">
        <f t="shared" si="296"/>
        <v>3.2908880011043196</v>
      </c>
      <c r="Y2574" s="3">
        <f t="shared" si="293"/>
        <v>59.159716550450867</v>
      </c>
      <c r="AA2574" s="3"/>
    </row>
    <row r="2575" spans="19:27" x14ac:dyDescent="0.25">
      <c r="S2575" s="4">
        <v>-1.8829623795843911</v>
      </c>
      <c r="T2575" s="4">
        <v>-1.2331481950688028</v>
      </c>
      <c r="U2575" s="4">
        <f t="shared" si="294"/>
        <v>-2.1254026113758231</v>
      </c>
      <c r="W2575" s="4">
        <f t="shared" si="295"/>
        <v>-3.1735805794517158</v>
      </c>
      <c r="X2575" s="4">
        <f t="shared" si="296"/>
        <v>-3.6814997204627895</v>
      </c>
      <c r="Y2575" s="3">
        <f t="shared" si="293"/>
        <v>166.88929071201892</v>
      </c>
      <c r="AA2575" s="3"/>
    </row>
    <row r="2576" spans="19:27" x14ac:dyDescent="0.25">
      <c r="S2576" s="4">
        <v>-0.18671018218576918</v>
      </c>
      <c r="T2576" s="4">
        <v>0.12165825302827443</v>
      </c>
      <c r="U2576" s="4">
        <f t="shared" si="294"/>
        <v>-1.7385166696956028E-2</v>
      </c>
      <c r="W2576" s="4">
        <f t="shared" si="295"/>
        <v>-0.28917709585770474</v>
      </c>
      <c r="X2576" s="4">
        <f t="shared" si="296"/>
        <v>3.5136921042419736E-2</v>
      </c>
      <c r="Y2576" s="3">
        <f t="shared" si="293"/>
        <v>50.070968922826069</v>
      </c>
      <c r="AA2576" s="3"/>
    </row>
    <row r="2577" spans="19:27" x14ac:dyDescent="0.25">
      <c r="S2577" s="4">
        <v>-0.30302539407572282</v>
      </c>
      <c r="T2577" s="4">
        <v>-0.47628752341632136</v>
      </c>
      <c r="U2577" s="4">
        <f t="shared" si="294"/>
        <v>-0.56228035981936131</v>
      </c>
      <c r="W2577" s="4">
        <f t="shared" si="295"/>
        <v>-0.48696608200309144</v>
      </c>
      <c r="X2577" s="4">
        <f t="shared" si="296"/>
        <v>-0.92556548948592476</v>
      </c>
      <c r="Y2577" s="3">
        <f t="shared" si="293"/>
        <v>-13.90534773888885</v>
      </c>
      <c r="AA2577" s="3"/>
    </row>
    <row r="2578" spans="19:27" x14ac:dyDescent="0.25">
      <c r="S2578" s="4">
        <v>7.7003376280282684E-2</v>
      </c>
      <c r="T2578" s="4">
        <v>-7.8012398189956603E-2</v>
      </c>
      <c r="U2578" s="4">
        <f t="shared" si="294"/>
        <v>-1.4896829155039877E-2</v>
      </c>
      <c r="W2578" s="4">
        <f t="shared" si="295"/>
        <v>0.15925640234321028</v>
      </c>
      <c r="X2578" s="4">
        <f t="shared" si="296"/>
        <v>3.9524098438917729E-2</v>
      </c>
      <c r="Y2578" s="3">
        <f t="shared" si="293"/>
        <v>-21.502975424279157</v>
      </c>
      <c r="AA2578" s="3"/>
    </row>
    <row r="2579" spans="19:27" x14ac:dyDescent="0.25">
      <c r="S2579" s="4">
        <v>0.42928855642424746</v>
      </c>
      <c r="T2579" s="4">
        <v>0.34415421164084514</v>
      </c>
      <c r="U2579" s="4">
        <f t="shared" si="294"/>
        <v>0.53451217907166826</v>
      </c>
      <c r="W2579" s="4">
        <f t="shared" si="295"/>
        <v>0.7583021116924098</v>
      </c>
      <c r="X2579" s="4">
        <f t="shared" si="296"/>
        <v>1.008184797287873</v>
      </c>
      <c r="Y2579" s="3">
        <f t="shared" si="293"/>
        <v>-19.219281951876383</v>
      </c>
      <c r="AA2579" s="3"/>
    </row>
    <row r="2580" spans="19:27" x14ac:dyDescent="0.25">
      <c r="S2580" s="4">
        <v>-0.33631846058287312</v>
      </c>
      <c r="T2580" s="4">
        <v>-1.2720905467736152</v>
      </c>
      <c r="U2580" s="4">
        <f t="shared" si="294"/>
        <v>-1.2134032612555747</v>
      </c>
      <c r="W2580" s="4">
        <f t="shared" si="295"/>
        <v>-0.54357950137553168</v>
      </c>
      <c r="X2580" s="4">
        <f t="shared" si="296"/>
        <v>-2.0735575232850918</v>
      </c>
      <c r="Y2580" s="3">
        <f t="shared" si="293"/>
        <v>-119.48076116824359</v>
      </c>
      <c r="AA2580" s="3"/>
    </row>
    <row r="2581" spans="19:27" x14ac:dyDescent="0.25">
      <c r="S2581" s="4">
        <v>-0.6766861144009636</v>
      </c>
      <c r="T2581" s="4">
        <v>-0.41491847860823455</v>
      </c>
      <c r="U2581" s="4">
        <f t="shared" si="294"/>
        <v>-0.74142551996344053</v>
      </c>
      <c r="W2581" s="4">
        <f t="shared" si="295"/>
        <v>-1.1223599727472107</v>
      </c>
      <c r="X2581" s="4">
        <f t="shared" si="296"/>
        <v>-1.2414155636968776</v>
      </c>
      <c r="Y2581" s="3">
        <f t="shared" si="293"/>
        <v>58.993474797920953</v>
      </c>
      <c r="AA2581" s="3"/>
    </row>
    <row r="2582" spans="19:27" x14ac:dyDescent="0.25">
      <c r="S2582" s="4">
        <v>5.3774345239510253E-2</v>
      </c>
      <c r="T2582" s="4">
        <v>0.38849490772635176</v>
      </c>
      <c r="U2582" s="4">
        <f t="shared" si="294"/>
        <v>0.34073885341671201</v>
      </c>
      <c r="W2582" s="4">
        <f t="shared" si="295"/>
        <v>0.11975643992177805</v>
      </c>
      <c r="X2582" s="4">
        <f t="shared" si="296"/>
        <v>0.66654386632999663</v>
      </c>
      <c r="Y2582" s="3">
        <f t="shared" si="293"/>
        <v>47.500425070718393</v>
      </c>
      <c r="AA2582" s="3"/>
    </row>
    <row r="2583" spans="19:27" x14ac:dyDescent="0.25">
      <c r="S2583" s="4">
        <v>-2.5239118509769507</v>
      </c>
      <c r="T2583" s="4">
        <v>-0.3011040726338487</v>
      </c>
      <c r="U2583" s="4">
        <f t="shared" si="294"/>
        <v>-1.7773157727533593</v>
      </c>
      <c r="W2583" s="4">
        <f t="shared" si="295"/>
        <v>-4.2634874287561404</v>
      </c>
      <c r="X2583" s="4">
        <f t="shared" si="296"/>
        <v>-3.0677892874131985</v>
      </c>
      <c r="Y2583" s="3">
        <f t="shared" si="293"/>
        <v>424.47585879278085</v>
      </c>
      <c r="AA2583" s="3"/>
    </row>
    <row r="2584" spans="19:27" x14ac:dyDescent="0.25">
      <c r="S2584" s="4">
        <v>0.89566477071738548</v>
      </c>
      <c r="T2584" s="4">
        <v>-0.26271566472191404</v>
      </c>
      <c r="U2584" s="4">
        <f t="shared" si="294"/>
        <v>0.33776461749468822</v>
      </c>
      <c r="W2584" s="4">
        <f t="shared" si="295"/>
        <v>1.5513546891543839</v>
      </c>
      <c r="X2584" s="4">
        <f t="shared" si="296"/>
        <v>0.66130000355448793</v>
      </c>
      <c r="Y2584" s="3">
        <f t="shared" si="293"/>
        <v>-176.3065003681163</v>
      </c>
      <c r="AA2584" s="3"/>
    </row>
    <row r="2585" spans="19:27" x14ac:dyDescent="0.25">
      <c r="S2585" s="4">
        <v>-1.1469894091724209</v>
      </c>
      <c r="T2585" s="4">
        <v>-1.5998606338614465</v>
      </c>
      <c r="U2585" s="4">
        <f t="shared" si="294"/>
        <v>-1.9674270911686682</v>
      </c>
      <c r="W2585" s="4">
        <f t="shared" si="295"/>
        <v>-1.9220903806812042</v>
      </c>
      <c r="X2585" s="4">
        <f t="shared" si="296"/>
        <v>-3.4029737488941803</v>
      </c>
      <c r="Y2585" s="3">
        <f t="shared" si="293"/>
        <v>-22.632451741240402</v>
      </c>
      <c r="AA2585" s="3"/>
    </row>
    <row r="2586" spans="19:27" x14ac:dyDescent="0.25">
      <c r="S2586" s="4">
        <v>-1.0784223608167223</v>
      </c>
      <c r="T2586" s="4">
        <v>0.73889323065208645</v>
      </c>
      <c r="U2586" s="4">
        <f t="shared" si="294"/>
        <v>-7.1715565968765826E-2</v>
      </c>
      <c r="W2586" s="4">
        <f t="shared" si="295"/>
        <v>-1.8054950810905863</v>
      </c>
      <c r="X2586" s="4">
        <f t="shared" si="296"/>
        <v>-6.06527761400803E-2</v>
      </c>
      <c r="Y2586" s="3">
        <f t="shared" si="293"/>
        <v>291.77494133482742</v>
      </c>
      <c r="AA2586" s="3"/>
    </row>
    <row r="2587" spans="19:27" x14ac:dyDescent="0.25">
      <c r="S2587" s="4">
        <v>1.5004342265017321</v>
      </c>
      <c r="T2587" s="4">
        <v>-0.50897419052834947</v>
      </c>
      <c r="U2587" s="4">
        <f t="shared" si="294"/>
        <v>0.51123840326551551</v>
      </c>
      <c r="W2587" s="4">
        <f t="shared" si="295"/>
        <v>2.5797389870263872</v>
      </c>
      <c r="X2587" s="4">
        <f t="shared" si="296"/>
        <v>0.96715090159328498</v>
      </c>
      <c r="Y2587" s="3">
        <f t="shared" si="293"/>
        <v>-299.73200007200785</v>
      </c>
      <c r="AA2587" s="3"/>
    </row>
    <row r="2588" spans="19:27" x14ac:dyDescent="0.25">
      <c r="S2588" s="4">
        <v>0.37314968258792786</v>
      </c>
      <c r="T2588" s="4">
        <v>-1.3226342474538695</v>
      </c>
      <c r="U2588" s="4">
        <f t="shared" si="294"/>
        <v>-0.82096123976651125</v>
      </c>
      <c r="W2588" s="4">
        <f t="shared" si="295"/>
        <v>0.66284038524226463</v>
      </c>
      <c r="X2588" s="4">
        <f t="shared" si="296"/>
        <v>-1.3816446549099326</v>
      </c>
      <c r="Y2588" s="3">
        <f t="shared" si="293"/>
        <v>-243.25312888574626</v>
      </c>
      <c r="AA2588" s="3"/>
    </row>
    <row r="2589" spans="19:27" x14ac:dyDescent="0.25">
      <c r="S2589" s="4">
        <v>-0.73197280250737307</v>
      </c>
      <c r="T2589" s="4">
        <v>-1.5966592537755464</v>
      </c>
      <c r="U2589" s="4">
        <f t="shared" si="294"/>
        <v>-1.7118859995123663</v>
      </c>
      <c r="W2589" s="4">
        <f t="shared" si="295"/>
        <v>-1.2163725942283004</v>
      </c>
      <c r="X2589" s="4">
        <f t="shared" si="296"/>
        <v>-2.9524303309270024</v>
      </c>
      <c r="Y2589" s="3">
        <f t="shared" si="293"/>
        <v>-96.468662455771664</v>
      </c>
      <c r="AA2589" s="3"/>
    </row>
    <row r="2590" spans="19:27" x14ac:dyDescent="0.25">
      <c r="S2590" s="4">
        <v>-0.30932317766422701</v>
      </c>
      <c r="T2590" s="4">
        <v>-1.4357734891045786</v>
      </c>
      <c r="U2590" s="4">
        <f t="shared" si="294"/>
        <v>-1.3266964964959069</v>
      </c>
      <c r="W2590" s="4">
        <f t="shared" si="295"/>
        <v>-0.4976751905598622</v>
      </c>
      <c r="X2590" s="4">
        <f t="shared" si="296"/>
        <v>-2.2733043471986072</v>
      </c>
      <c r="Y2590" s="3">
        <f t="shared" si="293"/>
        <v>-146.93572421215322</v>
      </c>
      <c r="AA2590" s="3"/>
    </row>
    <row r="2591" spans="19:27" x14ac:dyDescent="0.25">
      <c r="S2591" s="4">
        <v>2.7366493452209562</v>
      </c>
      <c r="T2591" s="4">
        <v>-1.9543233562462041</v>
      </c>
      <c r="U2591" s="4">
        <f t="shared" si="294"/>
        <v>0.11914597364125101</v>
      </c>
      <c r="W2591" s="4">
        <f t="shared" si="295"/>
        <v>4.6818693190452638</v>
      </c>
      <c r="X2591" s="4">
        <f t="shared" si="296"/>
        <v>0.27585439715646232</v>
      </c>
      <c r="Y2591" s="3">
        <f t="shared" si="293"/>
        <v>-667.53115010439933</v>
      </c>
      <c r="AA2591" s="3"/>
    </row>
    <row r="2592" spans="19:27" x14ac:dyDescent="0.25">
      <c r="S2592" s="4">
        <v>2.6489192772509499E-2</v>
      </c>
      <c r="T2592" s="4">
        <v>1.3012122862850051</v>
      </c>
      <c r="U2592" s="4">
        <f t="shared" si="294"/>
        <v>1.0476089972215579</v>
      </c>
      <c r="W2592" s="4">
        <f t="shared" si="295"/>
        <v>7.3359218478582608E-2</v>
      </c>
      <c r="X2592" s="4">
        <f t="shared" si="296"/>
        <v>1.9128236273835717</v>
      </c>
      <c r="Y2592" s="3">
        <f t="shared" si="293"/>
        <v>179.54042751549605</v>
      </c>
      <c r="AA2592" s="3"/>
    </row>
    <row r="2593" spans="19:27" x14ac:dyDescent="0.25">
      <c r="S2593" s="4">
        <v>1.715161331067224</v>
      </c>
      <c r="T2593" s="4">
        <v>1.9927643937426041</v>
      </c>
      <c r="U2593" s="4">
        <f t="shared" si="294"/>
        <v>2.6252490463934626</v>
      </c>
      <c r="W2593" s="4">
        <f t="shared" si="295"/>
        <v>2.9448731394717678</v>
      </c>
      <c r="X2593" s="4">
        <f t="shared" si="296"/>
        <v>4.6943541259376866</v>
      </c>
      <c r="Y2593" s="3">
        <f t="shared" si="293"/>
        <v>19.568126207643218</v>
      </c>
      <c r="AA2593" s="3"/>
    </row>
    <row r="2594" spans="19:27" x14ac:dyDescent="0.25">
      <c r="S2594" s="4">
        <v>-2.5328154917252617</v>
      </c>
      <c r="T2594" s="4">
        <v>-1.4858930424971872</v>
      </c>
      <c r="U2594" s="4">
        <f t="shared" si="294"/>
        <v>-2.7219163913487594</v>
      </c>
      <c r="W2594" s="4">
        <f t="shared" si="295"/>
        <v>-4.278627684686529</v>
      </c>
      <c r="X2594" s="4">
        <f t="shared" si="296"/>
        <v>-4.7332106431624501</v>
      </c>
      <c r="Y2594" s="3">
        <f t="shared" si="293"/>
        <v>260.70515564527614</v>
      </c>
      <c r="AA2594" s="3"/>
    </row>
    <row r="2595" spans="19:27" x14ac:dyDescent="0.25">
      <c r="S2595" s="4">
        <v>-1.3820136482891401</v>
      </c>
      <c r="T2595" s="4">
        <v>0.8550078303183738</v>
      </c>
      <c r="U2595" s="4">
        <f t="shared" si="294"/>
        <v>-0.16474847205834142</v>
      </c>
      <c r="W2595" s="4">
        <f t="shared" si="295"/>
        <v>-2.3217389323982975</v>
      </c>
      <c r="X2595" s="4">
        <f t="shared" si="296"/>
        <v>-0.22467869941269528</v>
      </c>
      <c r="Y2595" s="3">
        <f t="shared" si="293"/>
        <v>363.69943574709941</v>
      </c>
      <c r="AA2595" s="3"/>
    </row>
    <row r="2596" spans="19:27" x14ac:dyDescent="0.25">
      <c r="S2596" s="4">
        <v>1.2620170267913013</v>
      </c>
      <c r="T2596" s="4">
        <v>-0.20590312535224611</v>
      </c>
      <c r="U2596" s="4">
        <f t="shared" si="294"/>
        <v>0.6061359733291396</v>
      </c>
      <c r="W2596" s="4">
        <f t="shared" si="295"/>
        <v>2.1743208525955864</v>
      </c>
      <c r="X2596" s="4">
        <f t="shared" si="296"/>
        <v>1.1344644060325251</v>
      </c>
      <c r="Y2596" s="3">
        <f t="shared" si="293"/>
        <v>-222.91484190011988</v>
      </c>
      <c r="AA2596" s="3"/>
    </row>
    <row r="2597" spans="19:27" x14ac:dyDescent="0.25">
      <c r="S2597" s="4">
        <v>-0.7538277185489406</v>
      </c>
      <c r="T2597" s="4">
        <v>-0.1608754155301291</v>
      </c>
      <c r="U2597" s="4">
        <f t="shared" si="294"/>
        <v>-0.58707485445517549</v>
      </c>
      <c r="W2597" s="4">
        <f t="shared" si="295"/>
        <v>-1.2535359335363512</v>
      </c>
      <c r="X2597" s="4">
        <f t="shared" si="296"/>
        <v>-0.96928055811767866</v>
      </c>
      <c r="Y2597" s="3">
        <f t="shared" si="293"/>
        <v>108.04141385772527</v>
      </c>
      <c r="AA2597" s="3"/>
    </row>
    <row r="2598" spans="19:27" x14ac:dyDescent="0.25">
      <c r="S2598" s="4">
        <v>-0.2240791348604638</v>
      </c>
      <c r="T2598" s="4">
        <v>-0.83384153036397146</v>
      </c>
      <c r="U2598" s="4">
        <f t="shared" si="294"/>
        <v>-0.79758316641171967</v>
      </c>
      <c r="W2598" s="4">
        <f t="shared" si="295"/>
        <v>-0.35272138333951408</v>
      </c>
      <c r="X2598" s="4">
        <f t="shared" si="296"/>
        <v>-1.3404268726484336</v>
      </c>
      <c r="Y2598" s="3">
        <f t="shared" si="293"/>
        <v>-77.196683608300646</v>
      </c>
      <c r="AA2598" s="3"/>
    </row>
    <row r="2599" spans="19:27" x14ac:dyDescent="0.25">
      <c r="S2599" s="4">
        <v>-0.24647525695046354</v>
      </c>
      <c r="T2599" s="4">
        <v>0.45499598083997728</v>
      </c>
      <c r="U2599" s="4">
        <f t="shared" si="294"/>
        <v>0.2104148667047559</v>
      </c>
      <c r="W2599" s="4">
        <f t="shared" si="295"/>
        <v>-0.39080502012092078</v>
      </c>
      <c r="X2599" s="4">
        <f t="shared" si="296"/>
        <v>0.43677019652315974</v>
      </c>
      <c r="Y2599" s="3">
        <f t="shared" si="293"/>
        <v>106.69936964252474</v>
      </c>
      <c r="AA2599" s="3"/>
    </row>
    <row r="2600" spans="19:27" x14ac:dyDescent="0.25">
      <c r="S2600" s="4">
        <v>-0.27252873814520795</v>
      </c>
      <c r="T2600" s="4">
        <v>-0.48321773182314465</v>
      </c>
      <c r="U2600" s="4">
        <f t="shared" si="294"/>
        <v>-0.54918243882088713</v>
      </c>
      <c r="W2600" s="4">
        <f t="shared" si="295"/>
        <v>-0.43510783784644547</v>
      </c>
      <c r="X2600" s="4">
        <f t="shared" si="296"/>
        <v>-0.90247260036712262</v>
      </c>
      <c r="Y2600" s="3">
        <f t="shared" si="293"/>
        <v>-20.030449905646037</v>
      </c>
      <c r="AA2600" s="3"/>
    </row>
    <row r="2601" spans="19:27" x14ac:dyDescent="0.25">
      <c r="S2601" s="4">
        <v>-0.11239030088501431</v>
      </c>
      <c r="T2601" s="4">
        <v>1.0205747851728402</v>
      </c>
      <c r="U2601" s="4">
        <f t="shared" si="294"/>
        <v>0.74048585188225091</v>
      </c>
      <c r="W2601" s="4">
        <f t="shared" si="295"/>
        <v>-0.16279935270550891</v>
      </c>
      <c r="X2601" s="4">
        <f t="shared" si="296"/>
        <v>1.3713361087182376</v>
      </c>
      <c r="Y2601" s="3">
        <f t="shared" si="293"/>
        <v>163.29085179408321</v>
      </c>
      <c r="AA2601" s="3"/>
    </row>
    <row r="2602" spans="19:27" x14ac:dyDescent="0.25">
      <c r="S2602" s="4">
        <v>-7.2258458312407639E-2</v>
      </c>
      <c r="T2602" s="4">
        <v>1.3201223798445711</v>
      </c>
      <c r="U2602" s="4">
        <f t="shared" si="294"/>
        <v>1.0024001061191694</v>
      </c>
      <c r="W2602" s="4">
        <f t="shared" si="295"/>
        <v>-9.4556890472005189E-2</v>
      </c>
      <c r="X2602" s="4">
        <f t="shared" si="296"/>
        <v>1.8331160226779795</v>
      </c>
      <c r="Y2602" s="3">
        <f t="shared" si="293"/>
        <v>198.48750792022474</v>
      </c>
      <c r="AA2602" s="3"/>
    </row>
    <row r="2603" spans="19:27" x14ac:dyDescent="0.25">
      <c r="S2603" s="4">
        <v>-0.13752239416085787</v>
      </c>
      <c r="T2603" s="4">
        <v>1.002985484879275</v>
      </c>
      <c r="U2603" s="4">
        <f t="shared" si="294"/>
        <v>0.71122186911627727</v>
      </c>
      <c r="W2603" s="4">
        <f t="shared" si="295"/>
        <v>-0.20553539013321301</v>
      </c>
      <c r="X2603" s="4">
        <f t="shared" si="296"/>
        <v>1.3197409044665178</v>
      </c>
      <c r="Y2603" s="3">
        <f t="shared" si="293"/>
        <v>165.02055572728568</v>
      </c>
      <c r="AA2603" s="3"/>
    </row>
    <row r="2604" spans="19:27" x14ac:dyDescent="0.25">
      <c r="S2604" s="4">
        <v>-1.2967017360953872</v>
      </c>
      <c r="T2604" s="4">
        <v>0.38282148667818683</v>
      </c>
      <c r="U2604" s="4">
        <f t="shared" si="294"/>
        <v>-0.48703877297408227</v>
      </c>
      <c r="W2604" s="4">
        <f t="shared" si="295"/>
        <v>-2.1766697162162303</v>
      </c>
      <c r="X2604" s="4">
        <f t="shared" si="296"/>
        <v>-0.79290736593004429</v>
      </c>
      <c r="Y2604" s="3">
        <f t="shared" si="293"/>
        <v>281.91210652765221</v>
      </c>
      <c r="AA2604" s="3"/>
    </row>
    <row r="2605" spans="19:27" x14ac:dyDescent="0.25">
      <c r="S2605" s="4">
        <v>-2.8127648245122806E-2</v>
      </c>
      <c r="T2605" s="4">
        <v>4.3495623087032802E-2</v>
      </c>
      <c r="U2605" s="4">
        <f t="shared" si="294"/>
        <v>1.7331391329716648E-2</v>
      </c>
      <c r="W2605" s="4">
        <f t="shared" si="295"/>
        <v>-1.9514357004920487E-2</v>
      </c>
      <c r="X2605" s="4">
        <f t="shared" si="296"/>
        <v>9.6345537676296569E-2</v>
      </c>
      <c r="Y2605" s="3">
        <f t="shared" si="293"/>
        <v>12.76272161439465</v>
      </c>
      <c r="AA2605" s="3"/>
    </row>
    <row r="2606" spans="19:27" x14ac:dyDescent="0.25">
      <c r="S2606" s="4">
        <v>-0.66433029787176101</v>
      </c>
      <c r="T2606" s="4">
        <v>0.98701726095450271</v>
      </c>
      <c r="U2606" s="4">
        <f t="shared" si="294"/>
        <v>0.37741013329168938</v>
      </c>
      <c r="W2606" s="4">
        <f t="shared" si="295"/>
        <v>-1.1013494412389027</v>
      </c>
      <c r="X2606" s="4">
        <f t="shared" si="296"/>
        <v>0.73119884478772779</v>
      </c>
      <c r="Y2606" s="3">
        <f t="shared" si="293"/>
        <v>252.76609975079464</v>
      </c>
      <c r="AA2606" s="3"/>
    </row>
    <row r="2607" spans="19:27" x14ac:dyDescent="0.25">
      <c r="S2607" s="4">
        <v>0.73371292205560457</v>
      </c>
      <c r="T2607" s="4">
        <v>-1.2891916356972792</v>
      </c>
      <c r="U2607" s="4">
        <f t="shared" si="294"/>
        <v>-0.57464415272099822</v>
      </c>
      <c r="W2607" s="4">
        <f t="shared" si="295"/>
        <v>1.2759625763713143</v>
      </c>
      <c r="X2607" s="4">
        <f t="shared" si="296"/>
        <v>-0.94736404046196077</v>
      </c>
      <c r="Y2607" s="3">
        <f t="shared" si="293"/>
        <v>-295.03040632654029</v>
      </c>
      <c r="AA2607" s="3"/>
    </row>
    <row r="2608" spans="19:27" x14ac:dyDescent="0.25">
      <c r="S2608" s="4">
        <v>1.7339730174137702</v>
      </c>
      <c r="T2608" s="4">
        <v>0.13996111068153722</v>
      </c>
      <c r="U2608" s="4">
        <f t="shared" si="294"/>
        <v>1.1680146949660462</v>
      </c>
      <c r="W2608" s="4">
        <f t="shared" si="295"/>
        <v>2.9768615983303444</v>
      </c>
      <c r="X2608" s="4">
        <f t="shared" si="296"/>
        <v>2.1251104038582032</v>
      </c>
      <c r="Y2608" s="3">
        <f t="shared" si="293"/>
        <v>-242.00501947178145</v>
      </c>
      <c r="AA2608" s="3"/>
    </row>
    <row r="2609" spans="19:27" x14ac:dyDescent="0.25">
      <c r="S2609" s="4">
        <v>-0.12295230053991529</v>
      </c>
      <c r="T2609" s="4">
        <v>-0.89185069707056808</v>
      </c>
      <c r="U2609" s="4">
        <f t="shared" si="294"/>
        <v>-0.7819173953564954</v>
      </c>
      <c r="W2609" s="4">
        <f t="shared" si="295"/>
        <v>-0.18075957621769448</v>
      </c>
      <c r="X2609" s="4">
        <f t="shared" si="296"/>
        <v>-1.3128066179545035</v>
      </c>
      <c r="Y2609" s="3">
        <f t="shared" si="293"/>
        <v>-102.22931310377498</v>
      </c>
      <c r="AA2609" s="3"/>
    </row>
    <row r="2610" spans="19:27" x14ac:dyDescent="0.25">
      <c r="S2610" s="4">
        <v>-0.21527374090225312</v>
      </c>
      <c r="T2610" s="4">
        <v>1.5067718117355158</v>
      </c>
      <c r="U2610" s="4">
        <f t="shared" si="294"/>
        <v>1.0631703139159976</v>
      </c>
      <c r="W2610" s="4">
        <f t="shared" si="295"/>
        <v>-0.33774819182563931</v>
      </c>
      <c r="X2610" s="4">
        <f t="shared" si="296"/>
        <v>1.9402597190357602</v>
      </c>
      <c r="Y2610" s="3">
        <f t="shared" si="293"/>
        <v>248.44571200478549</v>
      </c>
      <c r="AA2610" s="3"/>
    </row>
    <row r="2611" spans="19:27" x14ac:dyDescent="0.25">
      <c r="S2611" s="4">
        <v>0.15572680747897377</v>
      </c>
      <c r="T2611" s="4">
        <v>0.17918379430841999</v>
      </c>
      <c r="U2611" s="4">
        <f t="shared" si="294"/>
        <v>0.23697210006447456</v>
      </c>
      <c r="W2611" s="4">
        <f t="shared" si="295"/>
        <v>0.293122191603919</v>
      </c>
      <c r="X2611" s="4">
        <f t="shared" si="296"/>
        <v>0.48359314234407125</v>
      </c>
      <c r="Y2611" s="3">
        <f t="shared" si="293"/>
        <v>1.6081500111549758</v>
      </c>
      <c r="AA2611" s="3"/>
    </row>
    <row r="2612" spans="19:27" x14ac:dyDescent="0.25">
      <c r="S2612" s="4">
        <v>-1.8930179315112126</v>
      </c>
      <c r="T2612" s="4">
        <v>-0.80858363301767622</v>
      </c>
      <c r="U2612" s="4">
        <f t="shared" si="294"/>
        <v>-1.7949837603258381</v>
      </c>
      <c r="W2612" s="4">
        <f t="shared" si="295"/>
        <v>-3.1906796105106974</v>
      </c>
      <c r="X2612" s="4">
        <f t="shared" si="296"/>
        <v>-3.0989396415809445</v>
      </c>
      <c r="Y2612" s="3">
        <f t="shared" si="293"/>
        <v>228.17370733981807</v>
      </c>
      <c r="AA2612" s="3"/>
    </row>
    <row r="2613" spans="19:27" x14ac:dyDescent="0.25">
      <c r="S2613" s="4">
        <v>-1.6165680995523977</v>
      </c>
      <c r="T2613" s="4">
        <v>-1.0728841112888157</v>
      </c>
      <c r="U2613" s="4">
        <f t="shared" si="294"/>
        <v>-1.8359626543831651</v>
      </c>
      <c r="W2613" s="4">
        <f t="shared" si="295"/>
        <v>-2.7205886301931073</v>
      </c>
      <c r="X2613" s="4">
        <f t="shared" si="296"/>
        <v>-3.1711893563858538</v>
      </c>
      <c r="Y2613" s="3">
        <f t="shared" si="293"/>
        <v>138.26667160510442</v>
      </c>
      <c r="AA2613" s="3"/>
    </row>
    <row r="2614" spans="19:27" x14ac:dyDescent="0.25">
      <c r="S2614" s="4">
        <v>-0.78762582548144167</v>
      </c>
      <c r="T2614" s="4">
        <v>-1.9615925875059199</v>
      </c>
      <c r="U2614" s="4">
        <f t="shared" si="294"/>
        <v>-2.0350930651325769</v>
      </c>
      <c r="W2614" s="4">
        <f t="shared" si="295"/>
        <v>-1.311008152304584</v>
      </c>
      <c r="X2614" s="4">
        <f t="shared" si="296"/>
        <v>-3.5222753414176293</v>
      </c>
      <c r="Y2614" s="3">
        <f t="shared" si="293"/>
        <v>-137.66314882453435</v>
      </c>
      <c r="AA2614" s="3"/>
    </row>
    <row r="2615" spans="19:27" x14ac:dyDescent="0.25">
      <c r="S2615" s="4">
        <v>-0.3776215500448738</v>
      </c>
      <c r="T2615" s="4">
        <v>0.31610464737578986</v>
      </c>
      <c r="U2615" s="4">
        <f t="shared" si="294"/>
        <v>2.0367108780604881E-2</v>
      </c>
      <c r="W2615" s="4">
        <f t="shared" si="295"/>
        <v>-0.61381361827754388</v>
      </c>
      <c r="X2615" s="4">
        <f t="shared" si="296"/>
        <v>0.10169779827532913</v>
      </c>
      <c r="Y2615" s="3">
        <f t="shared" si="293"/>
        <v>109.51096156310905</v>
      </c>
      <c r="AA2615" s="3"/>
    </row>
    <row r="2616" spans="19:27" x14ac:dyDescent="0.25">
      <c r="S2616" s="4">
        <v>-0.10652132373744566</v>
      </c>
      <c r="T2616" s="4">
        <v>1.3676061650327365</v>
      </c>
      <c r="U2616" s="4">
        <f t="shared" si="294"/>
        <v>1.0191527164357503</v>
      </c>
      <c r="W2616" s="4">
        <f t="shared" si="295"/>
        <v>-0.15281941095183441</v>
      </c>
      <c r="X2616" s="4">
        <f t="shared" si="296"/>
        <v>1.862652479077157</v>
      </c>
      <c r="Y2616" s="3">
        <f t="shared" si="293"/>
        <v>210.8150453340786</v>
      </c>
      <c r="AA2616" s="3"/>
    </row>
    <row r="2617" spans="19:27" x14ac:dyDescent="0.25">
      <c r="S2617" s="4">
        <v>0.99513622437228633</v>
      </c>
      <c r="T2617" s="4">
        <v>2.3674071999835795</v>
      </c>
      <c r="U2617" s="4">
        <f t="shared" si="294"/>
        <v>2.4832820387181571</v>
      </c>
      <c r="W2617" s="4">
        <f t="shared" si="295"/>
        <v>1.7205015930642928</v>
      </c>
      <c r="X2617" s="4">
        <f t="shared" si="296"/>
        <v>4.4440526951109263</v>
      </c>
      <c r="Y2617" s="3">
        <f t="shared" si="293"/>
        <v>176.2741056358218</v>
      </c>
      <c r="AA2617" s="3"/>
    </row>
    <row r="2618" spans="19:27" x14ac:dyDescent="0.25">
      <c r="S2618" s="4">
        <v>-0.63804652710731335</v>
      </c>
      <c r="T2618" s="4">
        <v>-8.606286932258048E-3</v>
      </c>
      <c r="U2618" s="4">
        <f t="shared" si="294"/>
        <v>-0.39578953388897159</v>
      </c>
      <c r="W2618" s="4">
        <f t="shared" si="295"/>
        <v>-1.0566550260621819</v>
      </c>
      <c r="X2618" s="4">
        <f t="shared" si="296"/>
        <v>-0.63202621840953321</v>
      </c>
      <c r="Y2618" s="3">
        <f t="shared" si="293"/>
        <v>109.02977382743438</v>
      </c>
      <c r="AA2618" s="3"/>
    </row>
    <row r="2619" spans="19:27" x14ac:dyDescent="0.25">
      <c r="S2619" s="4">
        <v>0.1541949371512743</v>
      </c>
      <c r="T2619" s="4">
        <v>-0.18101660142412085</v>
      </c>
      <c r="U2619" s="4">
        <f t="shared" si="294"/>
        <v>-4.948974118227796E-2</v>
      </c>
      <c r="W2619" s="4">
        <f t="shared" si="295"/>
        <v>0.29051731237876199</v>
      </c>
      <c r="X2619" s="4">
        <f t="shared" si="296"/>
        <v>-2.1466518456278505E-2</v>
      </c>
      <c r="Y2619" s="3">
        <f t="shared" si="293"/>
        <v>-48.484304303168756</v>
      </c>
      <c r="AA2619" s="3"/>
    </row>
    <row r="2620" spans="19:27" x14ac:dyDescent="0.25">
      <c r="S2620" s="4">
        <v>-0.39240045423121844</v>
      </c>
      <c r="T2620" s="4">
        <v>1.2509171370438026</v>
      </c>
      <c r="U2620" s="4">
        <f t="shared" si="294"/>
        <v>0.75237595880889019</v>
      </c>
      <c r="W2620" s="4">
        <f t="shared" si="295"/>
        <v>-0.63894450552660365</v>
      </c>
      <c r="X2620" s="4">
        <f t="shared" si="296"/>
        <v>1.3922995059550638</v>
      </c>
      <c r="Y2620" s="3">
        <f t="shared" si="293"/>
        <v>242.68017410001903</v>
      </c>
      <c r="AA2620" s="3"/>
    </row>
    <row r="2621" spans="19:27" x14ac:dyDescent="0.25">
      <c r="S2621" s="4">
        <v>1.3896487100283534</v>
      </c>
      <c r="T2621" s="4">
        <v>-0.3324990262065437</v>
      </c>
      <c r="U2621" s="4">
        <f t="shared" si="294"/>
        <v>0.58359153489213822</v>
      </c>
      <c r="W2621" s="4">
        <f t="shared" si="295"/>
        <v>2.3913530087280903</v>
      </c>
      <c r="X2621" s="4">
        <f t="shared" si="296"/>
        <v>1.0947164019689808</v>
      </c>
      <c r="Y2621" s="3">
        <f t="shared" si="293"/>
        <v>-259.15671039828385</v>
      </c>
      <c r="AA2621" s="3"/>
    </row>
    <row r="2622" spans="19:27" x14ac:dyDescent="0.25">
      <c r="S2622" s="4">
        <v>0.27358326986685777</v>
      </c>
      <c r="T2622" s="4">
        <v>0.76322492218911875</v>
      </c>
      <c r="U2622" s="4">
        <f t="shared" si="294"/>
        <v>0.77178476993580991</v>
      </c>
      <c r="W2622" s="4">
        <f t="shared" si="295"/>
        <v>0.49353200754816418</v>
      </c>
      <c r="X2622" s="4">
        <f t="shared" si="296"/>
        <v>1.4265190987693694</v>
      </c>
      <c r="Y2622" s="3">
        <f t="shared" si="293"/>
        <v>64.191238787235761</v>
      </c>
      <c r="AA2622" s="3"/>
    </row>
    <row r="2623" spans="19:27" x14ac:dyDescent="0.25">
      <c r="S2623" s="4">
        <v>0.90056182223574155</v>
      </c>
      <c r="T2623" s="4">
        <v>0.20126483314007612</v>
      </c>
      <c r="U2623" s="4">
        <f t="shared" si="294"/>
        <v>0.70854360696145935</v>
      </c>
      <c r="W2623" s="4">
        <f t="shared" si="295"/>
        <v>1.559681913420061</v>
      </c>
      <c r="X2623" s="4">
        <f t="shared" si="296"/>
        <v>1.3150188717882403</v>
      </c>
      <c r="Y2623" s="3">
        <f t="shared" si="293"/>
        <v>-112.20294830831563</v>
      </c>
      <c r="AA2623" s="3"/>
    </row>
    <row r="2624" spans="19:27" x14ac:dyDescent="0.25">
      <c r="S2624" s="4">
        <v>-0.89460574479740718</v>
      </c>
      <c r="T2624" s="4">
        <v>-1.5823657304153438</v>
      </c>
      <c r="U2624" s="4">
        <f t="shared" si="294"/>
        <v>-1.7997003078845435</v>
      </c>
      <c r="W2624" s="4">
        <f t="shared" si="295"/>
        <v>-1.492922877262822</v>
      </c>
      <c r="X2624" s="4">
        <f t="shared" si="296"/>
        <v>-3.1072553666345182</v>
      </c>
      <c r="Y2624" s="3">
        <f t="shared" si="293"/>
        <v>-65.675717249087029</v>
      </c>
      <c r="AA2624" s="3"/>
    </row>
    <row r="2625" spans="19:27" x14ac:dyDescent="0.25">
      <c r="S2625" s="4">
        <v>-0.61702399898866689</v>
      </c>
      <c r="T2625" s="4">
        <v>-0.77167941028031972</v>
      </c>
      <c r="U2625" s="4">
        <f t="shared" si="294"/>
        <v>-0.9878557064417115</v>
      </c>
      <c r="W2625" s="4">
        <f t="shared" si="295"/>
        <v>-1.0209071264088339</v>
      </c>
      <c r="X2625" s="4">
        <f t="shared" si="296"/>
        <v>-1.6758955832764257</v>
      </c>
      <c r="Y2625" s="3">
        <f t="shared" si="293"/>
        <v>-1.2793921384254645</v>
      </c>
      <c r="AA2625" s="3"/>
    </row>
    <row r="2626" spans="19:27" x14ac:dyDescent="0.25">
      <c r="S2626" s="4">
        <v>-0.18289394176087798</v>
      </c>
      <c r="T2626" s="4">
        <v>0.79020421093693438</v>
      </c>
      <c r="U2626" s="4">
        <f t="shared" si="294"/>
        <v>0.51489234374207171</v>
      </c>
      <c r="W2626" s="4">
        <f t="shared" si="295"/>
        <v>-0.28268774410171599</v>
      </c>
      <c r="X2626" s="4">
        <f t="shared" si="296"/>
        <v>0.97359314859428958</v>
      </c>
      <c r="Y2626" s="3">
        <f t="shared" ref="Y2626:Y2689" si="297">(B$4*EXP(-B$8*B$7)*NORMSDIST((LN(B$4/(B$5+W2626))-B$8*B$7+B$9*B$7+0.5*B$6*B$6*B$7)/(B$6*SQRT(B$7)))-(B$5+W2626)*EXP(-B$9*B$7)*NORMSDIST((LN(B$4/(B$5+W2626))-B$8*B$7+B$9*B$7-0.5*B$6*B$6*B$7)/(B$6*SQRT(B$7))))*400+100*X2626-400*$B$13</f>
        <v>142.86705388756491</v>
      </c>
      <c r="AA2626" s="3"/>
    </row>
    <row r="2627" spans="19:27" x14ac:dyDescent="0.25">
      <c r="S2627" s="4">
        <v>-0.98317472120056371</v>
      </c>
      <c r="T2627" s="4">
        <v>-0.11265288381619969</v>
      </c>
      <c r="U2627" s="4">
        <f t="shared" ref="U2627:U2690" si="298">$B$19*S2627+SQRT(1-$B$19^2)*T2627</f>
        <v>-0.68866428840555949</v>
      </c>
      <c r="W2627" s="4">
        <f t="shared" ref="W2627:W2690" si="299">S2627*SQRT($B$16)+$B$20</f>
        <v>-1.643530590235815</v>
      </c>
      <c r="X2627" s="4">
        <f t="shared" ref="X2627:X2690" si="300">U2627*SQRT($C$17)+$C$20</f>
        <v>-1.1483924594744956</v>
      </c>
      <c r="Y2627" s="3">
        <f t="shared" si="297"/>
        <v>155.58205267286758</v>
      </c>
      <c r="AA2627" s="3"/>
    </row>
    <row r="2628" spans="19:27" x14ac:dyDescent="0.25">
      <c r="S2628" s="4">
        <v>-2.0934174491703517</v>
      </c>
      <c r="T2628" s="4">
        <v>0.43314584463359157</v>
      </c>
      <c r="U2628" s="4">
        <f t="shared" si="298"/>
        <v>-0.93284273095909609</v>
      </c>
      <c r="W2628" s="4">
        <f t="shared" si="299"/>
        <v>-3.5314503212181347</v>
      </c>
      <c r="X2628" s="4">
        <f t="shared" si="300"/>
        <v>-1.5789024388633994</v>
      </c>
      <c r="Y2628" s="3">
        <f t="shared" si="297"/>
        <v>440.86218906171507</v>
      </c>
      <c r="AA2628" s="3"/>
    </row>
    <row r="2629" spans="19:27" x14ac:dyDescent="0.25">
      <c r="S2629" s="4">
        <v>-0.30311439797807993</v>
      </c>
      <c r="T2629" s="4">
        <v>-0.70523914313292735</v>
      </c>
      <c r="U2629" s="4">
        <f t="shared" si="298"/>
        <v>-0.7438227402567601</v>
      </c>
      <c r="W2629" s="4">
        <f t="shared" si="299"/>
        <v>-0.48711742928883472</v>
      </c>
      <c r="X2629" s="4">
        <f t="shared" si="300"/>
        <v>-1.2456420926577272</v>
      </c>
      <c r="Y2629" s="3">
        <f t="shared" si="297"/>
        <v>-45.888371943069615</v>
      </c>
      <c r="AA2629" s="3"/>
    </row>
    <row r="2630" spans="19:27" x14ac:dyDescent="0.25">
      <c r="S2630" s="4">
        <v>1.5293935121888014</v>
      </c>
      <c r="T2630" s="4">
        <v>0.54806498366581746</v>
      </c>
      <c r="U2630" s="4">
        <f t="shared" si="298"/>
        <v>1.3667991470460534</v>
      </c>
      <c r="W2630" s="4">
        <f t="shared" si="299"/>
        <v>2.6289829995890703</v>
      </c>
      <c r="X2630" s="4">
        <f t="shared" si="300"/>
        <v>2.4755864306230766</v>
      </c>
      <c r="Y2630" s="3">
        <f t="shared" si="297"/>
        <v>-156.13131951582545</v>
      </c>
      <c r="AA2630" s="3"/>
    </row>
    <row r="2631" spans="19:27" x14ac:dyDescent="0.25">
      <c r="S2631" s="4">
        <v>0.49464905532565584</v>
      </c>
      <c r="T2631" s="4">
        <v>1.7686391657336777</v>
      </c>
      <c r="U2631" s="4">
        <f t="shared" si="298"/>
        <v>1.7035352517249533</v>
      </c>
      <c r="W2631" s="4">
        <f t="shared" si="299"/>
        <v>0.86944481264795703</v>
      </c>
      <c r="X2631" s="4">
        <f t="shared" si="300"/>
        <v>3.0692844326611906</v>
      </c>
      <c r="Y2631" s="3">
        <f t="shared" si="297"/>
        <v>169.54458974503814</v>
      </c>
      <c r="AA2631" s="3"/>
    </row>
    <row r="2632" spans="19:27" x14ac:dyDescent="0.25">
      <c r="S2632" s="4">
        <v>0.29232000671610242</v>
      </c>
      <c r="T2632" s="4">
        <v>8.6370935427183826E-2</v>
      </c>
      <c r="U2632" s="4">
        <f t="shared" si="298"/>
        <v>0.24667034947670133</v>
      </c>
      <c r="W2632" s="4">
        <f t="shared" si="299"/>
        <v>0.52539301802881566</v>
      </c>
      <c r="X2632" s="4">
        <f t="shared" si="300"/>
        <v>0.50069208486702055</v>
      </c>
      <c r="Y2632" s="3">
        <f t="shared" si="297"/>
        <v>-33.413623034607099</v>
      </c>
      <c r="AA2632" s="3"/>
    </row>
    <row r="2633" spans="19:27" x14ac:dyDescent="0.25">
      <c r="S2633" s="4">
        <v>0.97819141027052592</v>
      </c>
      <c r="T2633" s="4">
        <v>0.45582671587488804</v>
      </c>
      <c r="U2633" s="4">
        <f t="shared" si="298"/>
        <v>0.95765750865759547</v>
      </c>
      <c r="W2633" s="4">
        <f t="shared" si="299"/>
        <v>1.6916876696990488</v>
      </c>
      <c r="X2633" s="4">
        <f t="shared" si="300"/>
        <v>1.7542305383184627</v>
      </c>
      <c r="Y2633" s="3">
        <f t="shared" si="297"/>
        <v>-88.3412235706719</v>
      </c>
      <c r="AA2633" s="3"/>
    </row>
    <row r="2634" spans="19:27" x14ac:dyDescent="0.25">
      <c r="S2634" s="4">
        <v>-1.352321141253368</v>
      </c>
      <c r="T2634" s="4">
        <v>0.70468620187128383</v>
      </c>
      <c r="U2634" s="4">
        <f t="shared" si="298"/>
        <v>-0.26580601241850976</v>
      </c>
      <c r="W2634" s="4">
        <f t="shared" si="299"/>
        <v>-2.2712481086505281</v>
      </c>
      <c r="X2634" s="4">
        <f t="shared" si="300"/>
        <v>-0.4028528214300825</v>
      </c>
      <c r="Y2634" s="3">
        <f t="shared" si="297"/>
        <v>337.18045503856956</v>
      </c>
      <c r="AA2634" s="3"/>
    </row>
    <row r="2635" spans="19:27" x14ac:dyDescent="0.25">
      <c r="S2635" s="4">
        <v>0.22407083254320775</v>
      </c>
      <c r="T2635" s="4">
        <v>-1.7353461355461082</v>
      </c>
      <c r="U2635" s="4">
        <f t="shared" si="298"/>
        <v>-1.2389964527914585</v>
      </c>
      <c r="W2635" s="4">
        <f t="shared" si="299"/>
        <v>0.40933824973515376</v>
      </c>
      <c r="X2635" s="4">
        <f t="shared" si="300"/>
        <v>-2.1186807710435169</v>
      </c>
      <c r="Y2635" s="3">
        <f t="shared" si="297"/>
        <v>-277.03246264602967</v>
      </c>
      <c r="AA2635" s="3"/>
    </row>
    <row r="2636" spans="19:27" x14ac:dyDescent="0.25">
      <c r="S2636" s="4">
        <v>-1.7403664704961646</v>
      </c>
      <c r="T2636" s="4">
        <v>8.1683451587569136E-2</v>
      </c>
      <c r="U2636" s="4">
        <f t="shared" si="298"/>
        <v>-0.99621641106274761</v>
      </c>
      <c r="W2636" s="4">
        <f t="shared" si="299"/>
        <v>-2.9311024045959293</v>
      </c>
      <c r="X2636" s="4">
        <f t="shared" si="300"/>
        <v>-1.6906363062347591</v>
      </c>
      <c r="Y2636" s="3">
        <f t="shared" si="297"/>
        <v>323.2006606219893</v>
      </c>
      <c r="AA2636" s="3"/>
    </row>
    <row r="2637" spans="19:27" x14ac:dyDescent="0.25">
      <c r="S2637" s="4">
        <v>1.2344009677041725</v>
      </c>
      <c r="T2637" s="4">
        <v>0.59980840987132544</v>
      </c>
      <c r="U2637" s="4">
        <f t="shared" si="298"/>
        <v>1.2279817110835798</v>
      </c>
      <c r="W2637" s="4">
        <f t="shared" si="299"/>
        <v>2.1273609387595349</v>
      </c>
      <c r="X2637" s="4">
        <f t="shared" si="300"/>
        <v>2.2308379963630705</v>
      </c>
      <c r="Y2637" s="3">
        <f t="shared" si="297"/>
        <v>-106.26493165552029</v>
      </c>
      <c r="AA2637" s="3"/>
    </row>
    <row r="2638" spans="19:27" x14ac:dyDescent="0.25">
      <c r="S2638" s="4">
        <v>-0.11437972489553</v>
      </c>
      <c r="T2638" s="4">
        <v>1.5001005484355434</v>
      </c>
      <c r="U2638" s="4">
        <f t="shared" si="298"/>
        <v>1.1193893000320361</v>
      </c>
      <c r="W2638" s="4">
        <f t="shared" si="299"/>
        <v>-0.16618228217500483</v>
      </c>
      <c r="X2638" s="4">
        <f t="shared" si="300"/>
        <v>2.0393791756961255</v>
      </c>
      <c r="Y2638" s="3">
        <f t="shared" si="297"/>
        <v>230.64015540089076</v>
      </c>
      <c r="AA2638" s="3"/>
    </row>
    <row r="2639" spans="19:27" x14ac:dyDescent="0.25">
      <c r="S2639" s="4">
        <v>-0.72730204423483247</v>
      </c>
      <c r="T2639" s="4">
        <v>-0.84201637147799047</v>
      </c>
      <c r="U2639" s="4">
        <f t="shared" si="298"/>
        <v>-1.1108392111091985</v>
      </c>
      <c r="W2639" s="4">
        <f t="shared" si="299"/>
        <v>-1.2084301718379253</v>
      </c>
      <c r="X2639" s="4">
        <f t="shared" si="300"/>
        <v>-1.8927272802349586</v>
      </c>
      <c r="Y2639" s="3">
        <f t="shared" si="297"/>
        <v>8.1785913614630772</v>
      </c>
      <c r="AA2639" s="3"/>
    </row>
    <row r="2640" spans="19:27" x14ac:dyDescent="0.25">
      <c r="S2640" s="4">
        <v>-1.2730176473448658</v>
      </c>
      <c r="T2640" s="4">
        <v>0.35154794423820107</v>
      </c>
      <c r="U2640" s="4">
        <f t="shared" si="298"/>
        <v>-0.49739071153200298</v>
      </c>
      <c r="W2640" s="4">
        <f t="shared" si="299"/>
        <v>-2.136395947844687</v>
      </c>
      <c r="X2640" s="4">
        <f t="shared" si="300"/>
        <v>-0.81115882502119041</v>
      </c>
      <c r="Y2640" s="3">
        <f t="shared" si="297"/>
        <v>273.17634464287858</v>
      </c>
      <c r="AA2640" s="3"/>
    </row>
    <row r="2641" spans="19:27" x14ac:dyDescent="0.25">
      <c r="S2641" s="4">
        <v>0.40674922834863719</v>
      </c>
      <c r="T2641" s="4">
        <v>5.1072469003421578E-2</v>
      </c>
      <c r="U2641" s="4">
        <f t="shared" si="298"/>
        <v>0.28844814349696052</v>
      </c>
      <c r="W2641" s="4">
        <f t="shared" si="299"/>
        <v>0.7199749593274124</v>
      </c>
      <c r="X2641" s="4">
        <f t="shared" si="300"/>
        <v>0.57435033681787506</v>
      </c>
      <c r="Y2641" s="3">
        <f t="shared" si="297"/>
        <v>-56.606373807886484</v>
      </c>
      <c r="AA2641" s="3"/>
    </row>
    <row r="2642" spans="19:27" x14ac:dyDescent="0.25">
      <c r="S2642" s="4">
        <v>-0.41636105252069733</v>
      </c>
      <c r="T2642" s="4">
        <v>-0.51074307322394208</v>
      </c>
      <c r="U2642" s="4">
        <f t="shared" si="298"/>
        <v>-0.65868494527667276</v>
      </c>
      <c r="W2642" s="4">
        <f t="shared" si="299"/>
        <v>-0.67968846640763303</v>
      </c>
      <c r="X2642" s="4">
        <f t="shared" si="300"/>
        <v>-1.0955360063923192</v>
      </c>
      <c r="Y2642" s="3">
        <f t="shared" si="297"/>
        <v>0.56550129530069171</v>
      </c>
      <c r="AA2642" s="3"/>
    </row>
    <row r="2643" spans="19:27" x14ac:dyDescent="0.25">
      <c r="S2643" s="4">
        <v>0.59680017554232423</v>
      </c>
      <c r="T2643" s="4">
        <v>-0.47449947829226724</v>
      </c>
      <c r="U2643" s="4">
        <f t="shared" si="298"/>
        <v>-1.2309246704843846E-2</v>
      </c>
      <c r="W2643" s="4">
        <f t="shared" si="299"/>
        <v>1.0431483736266003</v>
      </c>
      <c r="X2643" s="4">
        <f t="shared" si="300"/>
        <v>4.4086254113478315E-2</v>
      </c>
      <c r="Y2643" s="3">
        <f t="shared" si="297"/>
        <v>-159.95919995620989</v>
      </c>
      <c r="AA2643" s="3"/>
    </row>
    <row r="2644" spans="19:27" x14ac:dyDescent="0.25">
      <c r="S2644" s="4">
        <v>0.81171264537069232</v>
      </c>
      <c r="T2644" s="4">
        <v>-0.69870868902483629</v>
      </c>
      <c r="U2644" s="4">
        <f t="shared" si="298"/>
        <v>-5.9022661922478847E-2</v>
      </c>
      <c r="W2644" s="4">
        <f t="shared" si="299"/>
        <v>1.408597731682796</v>
      </c>
      <c r="X2644" s="4">
        <f t="shared" si="300"/>
        <v>-3.8273970696785467E-2</v>
      </c>
      <c r="Y2644" s="3">
        <f t="shared" si="297"/>
        <v>-224.46598078811849</v>
      </c>
      <c r="AA2644" s="3"/>
    </row>
    <row r="2645" spans="19:27" x14ac:dyDescent="0.25">
      <c r="S2645" s="4">
        <v>-0.15042831026729106</v>
      </c>
      <c r="T2645" s="4">
        <v>-2.9584354105150514</v>
      </c>
      <c r="U2645" s="4">
        <f t="shared" si="298"/>
        <v>-2.4368325927373107</v>
      </c>
      <c r="W2645" s="4">
        <f t="shared" si="299"/>
        <v>-0.22748134217587368</v>
      </c>
      <c r="X2645" s="4">
        <f t="shared" si="300"/>
        <v>-4.2305806035043991</v>
      </c>
      <c r="Y2645" s="3">
        <f t="shared" si="297"/>
        <v>-386.47013587139236</v>
      </c>
      <c r="AA2645" s="3"/>
    </row>
    <row r="2646" spans="19:27" x14ac:dyDescent="0.25">
      <c r="S2646" s="4">
        <v>1.5272595446646839</v>
      </c>
      <c r="T2646" s="4">
        <v>0.24077352329357546</v>
      </c>
      <c r="U2646" s="4">
        <f t="shared" si="298"/>
        <v>1.1219107447051677</v>
      </c>
      <c r="W2646" s="4">
        <f t="shared" si="299"/>
        <v>2.6253542801274947</v>
      </c>
      <c r="X2646" s="4">
        <f t="shared" si="300"/>
        <v>2.0438247241356531</v>
      </c>
      <c r="Y2646" s="3">
        <f t="shared" si="297"/>
        <v>-198.77418214199088</v>
      </c>
      <c r="AA2646" s="3"/>
    </row>
    <row r="2647" spans="19:27" x14ac:dyDescent="0.25">
      <c r="S2647" s="4">
        <v>0.34636722533342112</v>
      </c>
      <c r="T2647" s="4">
        <v>0.14742335278297419</v>
      </c>
      <c r="U2647" s="4">
        <f t="shared" si="298"/>
        <v>0.3280145038143395</v>
      </c>
      <c r="W2647" s="4">
        <f t="shared" si="299"/>
        <v>0.61729797526185015</v>
      </c>
      <c r="X2647" s="4">
        <f t="shared" si="300"/>
        <v>0.64410961935975664</v>
      </c>
      <c r="Y2647" s="3">
        <f t="shared" si="297"/>
        <v>-33.52944422223436</v>
      </c>
      <c r="AA2647" s="3"/>
    </row>
    <row r="2648" spans="19:27" x14ac:dyDescent="0.25">
      <c r="S2648" s="4">
        <v>-0.42816994825737359</v>
      </c>
      <c r="T2648" s="4">
        <v>1.2690914028769782</v>
      </c>
      <c r="U2648" s="4">
        <f t="shared" si="298"/>
        <v>0.74497667264289391</v>
      </c>
      <c r="W2648" s="4">
        <f t="shared" si="299"/>
        <v>-0.69976898276746713</v>
      </c>
      <c r="X2648" s="4">
        <f t="shared" si="300"/>
        <v>1.3792538558087892</v>
      </c>
      <c r="Y2648" s="3">
        <f t="shared" si="297"/>
        <v>251.3344124663372</v>
      </c>
      <c r="AA2648" s="3"/>
    </row>
    <row r="2649" spans="19:27" x14ac:dyDescent="0.25">
      <c r="S2649" s="4">
        <v>-0.59565215628747825</v>
      </c>
      <c r="T2649" s="4">
        <v>0.76828289012579598</v>
      </c>
      <c r="U2649" s="4">
        <f t="shared" si="298"/>
        <v>0.24588887071435994</v>
      </c>
      <c r="W2649" s="4">
        <f t="shared" si="299"/>
        <v>-0.98456523241885363</v>
      </c>
      <c r="X2649" s="4">
        <f t="shared" si="300"/>
        <v>0.49931426296615922</v>
      </c>
      <c r="Y2649" s="3">
        <f t="shared" si="297"/>
        <v>210.22784167860573</v>
      </c>
      <c r="AA2649" s="3"/>
    </row>
    <row r="2650" spans="19:27" x14ac:dyDescent="0.25">
      <c r="S2650" s="4">
        <v>-1.132475402395505</v>
      </c>
      <c r="T2650" s="4">
        <v>1.0940880650888984</v>
      </c>
      <c r="U2650" s="4">
        <f t="shared" si="298"/>
        <v>0.17689260428796261</v>
      </c>
      <c r="W2650" s="4">
        <f t="shared" si="299"/>
        <v>-1.8974099400176954</v>
      </c>
      <c r="X2650" s="4">
        <f t="shared" si="300"/>
        <v>0.37766723742815722</v>
      </c>
      <c r="Y2650" s="3">
        <f t="shared" si="297"/>
        <v>351.2291939133338</v>
      </c>
      <c r="AA2650" s="3"/>
    </row>
    <row r="2651" spans="19:27" x14ac:dyDescent="0.25">
      <c r="S2651" s="4">
        <v>8.9060914880041656E-2</v>
      </c>
      <c r="T2651" s="4">
        <v>0.22227925231453688</v>
      </c>
      <c r="U2651" s="4">
        <f t="shared" si="298"/>
        <v>0.23049251011055805</v>
      </c>
      <c r="W2651" s="4">
        <f t="shared" si="299"/>
        <v>0.17975972513568828</v>
      </c>
      <c r="X2651" s="4">
        <f t="shared" si="300"/>
        <v>0.47216900469974366</v>
      </c>
      <c r="Y2651" s="3">
        <f t="shared" si="297"/>
        <v>18.493795569219856</v>
      </c>
      <c r="AA2651" s="3"/>
    </row>
    <row r="2652" spans="19:27" x14ac:dyDescent="0.25">
      <c r="S2652" s="4">
        <v>-0.1458831833643022</v>
      </c>
      <c r="T2652" s="4">
        <v>-5.730396307384128E-2</v>
      </c>
      <c r="U2652" s="4">
        <f t="shared" si="298"/>
        <v>-0.13435803768530161</v>
      </c>
      <c r="W2652" s="4">
        <f t="shared" si="299"/>
        <v>-0.21975255049474074</v>
      </c>
      <c r="X2652" s="4">
        <f t="shared" si="300"/>
        <v>-0.17109745309653596</v>
      </c>
      <c r="Y2652" s="3">
        <f t="shared" si="297"/>
        <v>18.230684557283894</v>
      </c>
      <c r="AA2652" s="3"/>
    </row>
    <row r="2653" spans="19:27" x14ac:dyDescent="0.25">
      <c r="S2653" s="4">
        <v>-1.3988496826176997</v>
      </c>
      <c r="T2653" s="4">
        <v>-0.76948803026990875</v>
      </c>
      <c r="U2653" s="4">
        <f t="shared" si="298"/>
        <v>-1.4627369977171336</v>
      </c>
      <c r="W2653" s="4">
        <f t="shared" si="299"/>
        <v>-2.350367880464912</v>
      </c>
      <c r="X2653" s="4">
        <f t="shared" si="300"/>
        <v>-2.5131567795605081</v>
      </c>
      <c r="Y2653" s="3">
        <f t="shared" si="297"/>
        <v>139.79159441557658</v>
      </c>
      <c r="AA2653" s="3"/>
    </row>
    <row r="2654" spans="19:27" x14ac:dyDescent="0.25">
      <c r="S2654" s="4">
        <v>-0.2207979084859478</v>
      </c>
      <c r="T2654" s="4">
        <v>6.593187506517241E-2</v>
      </c>
      <c r="U2654" s="4">
        <f t="shared" si="298"/>
        <v>-8.2339660265660392E-2</v>
      </c>
      <c r="W2654" s="4">
        <f t="shared" si="299"/>
        <v>-0.34714179983204446</v>
      </c>
      <c r="X2654" s="4">
        <f t="shared" si="300"/>
        <v>-7.9384071863612654E-2</v>
      </c>
      <c r="Y2654" s="3">
        <f t="shared" si="297"/>
        <v>48.003341660680235</v>
      </c>
      <c r="AA2654" s="3"/>
    </row>
    <row r="2655" spans="19:27" x14ac:dyDescent="0.25">
      <c r="S2655" s="4">
        <v>-0.4261468613363269</v>
      </c>
      <c r="T2655" s="4">
        <v>-1.0203086125296323</v>
      </c>
      <c r="U2655" s="4">
        <f t="shared" si="298"/>
        <v>-1.0685791288045552</v>
      </c>
      <c r="W2655" s="4">
        <f t="shared" si="299"/>
        <v>-0.69632881097483523</v>
      </c>
      <c r="X2655" s="4">
        <f t="shared" si="300"/>
        <v>-1.8182187078495957</v>
      </c>
      <c r="Y2655" s="3">
        <f t="shared" si="297"/>
        <v>-68.976619841096635</v>
      </c>
      <c r="AA2655" s="3"/>
    </row>
    <row r="2656" spans="19:27" x14ac:dyDescent="0.25">
      <c r="S2656" s="4">
        <v>0.33696743968087484</v>
      </c>
      <c r="T2656" s="4">
        <v>0.21367760345295481</v>
      </c>
      <c r="U2656" s="4">
        <f t="shared" si="298"/>
        <v>0.37480340048083621</v>
      </c>
      <c r="W2656" s="4">
        <f t="shared" si="299"/>
        <v>0.60131404638451591</v>
      </c>
      <c r="X2656" s="4">
        <f t="shared" si="300"/>
        <v>0.72660292519328307</v>
      </c>
      <c r="Y2656" s="3">
        <f t="shared" si="297"/>
        <v>-22.768787947122746</v>
      </c>
      <c r="AA2656" s="3"/>
    </row>
    <row r="2657" spans="19:27" x14ac:dyDescent="0.25">
      <c r="S2657" s="4">
        <v>-0.85188057433233622</v>
      </c>
      <c r="T2657" s="4">
        <v>0.36292464661463386</v>
      </c>
      <c r="U2657" s="4">
        <f t="shared" si="298"/>
        <v>-0.23163793429936413</v>
      </c>
      <c r="W2657" s="4">
        <f t="shared" si="299"/>
        <v>-1.4202705731328142</v>
      </c>
      <c r="X2657" s="4">
        <f t="shared" si="300"/>
        <v>-0.34261122740154037</v>
      </c>
      <c r="Y2657" s="3">
        <f t="shared" si="297"/>
        <v>198.59257828980753</v>
      </c>
      <c r="AA2657" s="3"/>
    </row>
    <row r="2658" spans="19:27" x14ac:dyDescent="0.25">
      <c r="S2658" s="4">
        <v>1.0667322228903384</v>
      </c>
      <c r="T2658" s="4">
        <v>1.6563506402248251</v>
      </c>
      <c r="U2658" s="4">
        <f t="shared" si="298"/>
        <v>1.9632796969186574</v>
      </c>
      <c r="W2658" s="4">
        <f t="shared" si="299"/>
        <v>1.842247491376801</v>
      </c>
      <c r="X2658" s="4">
        <f t="shared" si="300"/>
        <v>3.5272387654733777</v>
      </c>
      <c r="Y2658" s="3">
        <f t="shared" si="297"/>
        <v>66.187527225425583</v>
      </c>
      <c r="AA2658" s="3"/>
    </row>
    <row r="2659" spans="19:27" x14ac:dyDescent="0.25">
      <c r="S2659" s="4">
        <v>8.3547615397107835E-3</v>
      </c>
      <c r="T2659" s="4">
        <v>0.32573931712450832</v>
      </c>
      <c r="U2659" s="4">
        <f t="shared" si="298"/>
        <v>0.26330420598429932</v>
      </c>
      <c r="W2659" s="4">
        <f t="shared" si="299"/>
        <v>4.2522402643591285E-2</v>
      </c>
      <c r="X2659" s="4">
        <f t="shared" si="300"/>
        <v>0.5300191669278127</v>
      </c>
      <c r="Y2659" s="3">
        <f t="shared" si="297"/>
        <v>46.192358969389716</v>
      </c>
      <c r="AA2659" s="3"/>
    </row>
    <row r="2660" spans="19:27" x14ac:dyDescent="0.25">
      <c r="S2660" s="4">
        <v>-0.41046907442055608</v>
      </c>
      <c r="T2660" s="4">
        <v>-2.2608976248770984</v>
      </c>
      <c r="U2660" s="4">
        <f t="shared" si="298"/>
        <v>-2.0424266089723919</v>
      </c>
      <c r="W2660" s="4">
        <f t="shared" si="299"/>
        <v>-0.66966941252910583</v>
      </c>
      <c r="X2660" s="4">
        <f t="shared" si="300"/>
        <v>-3.5352050815466507</v>
      </c>
      <c r="Y2660" s="3">
        <f t="shared" si="297"/>
        <v>-245.0421064213092</v>
      </c>
      <c r="AA2660" s="3"/>
    </row>
    <row r="2661" spans="19:27" x14ac:dyDescent="0.25">
      <c r="S2661" s="4">
        <v>-0.19426082046794962</v>
      </c>
      <c r="T2661" s="4">
        <v>2.1314646638229342</v>
      </c>
      <c r="U2661" s="4">
        <f t="shared" si="298"/>
        <v>1.5711692971883449</v>
      </c>
      <c r="W2661" s="4">
        <f t="shared" si="299"/>
        <v>-0.30201662962389825</v>
      </c>
      <c r="X2661" s="4">
        <f t="shared" si="300"/>
        <v>2.8359105780185807</v>
      </c>
      <c r="Y2661" s="3">
        <f t="shared" si="297"/>
        <v>332.22554661165668</v>
      </c>
      <c r="AA2661" s="3"/>
    </row>
    <row r="2662" spans="19:27" x14ac:dyDescent="0.25">
      <c r="S2662" s="4">
        <v>-0.31349548622162426</v>
      </c>
      <c r="T2662" s="4">
        <v>0.77575978025509074</v>
      </c>
      <c r="U2662" s="4">
        <f t="shared" si="298"/>
        <v>0.42382474335668741</v>
      </c>
      <c r="W2662" s="4">
        <f t="shared" si="299"/>
        <v>-0.50477002077204525</v>
      </c>
      <c r="X2662" s="4">
        <f t="shared" si="300"/>
        <v>0.81303224749708125</v>
      </c>
      <c r="Y2662" s="3">
        <f t="shared" si="297"/>
        <v>162.8533468148471</v>
      </c>
      <c r="AA2662" s="3"/>
    </row>
    <row r="2663" spans="19:27" x14ac:dyDescent="0.25">
      <c r="S2663" s="4">
        <v>-0.15513036828699447</v>
      </c>
      <c r="T2663" s="4">
        <v>0.70275510373581407</v>
      </c>
      <c r="U2663" s="4">
        <f t="shared" si="298"/>
        <v>0.46249742824679296</v>
      </c>
      <c r="W2663" s="4">
        <f t="shared" si="299"/>
        <v>-0.23547698843230497</v>
      </c>
      <c r="X2663" s="4">
        <f t="shared" si="300"/>
        <v>0.88121589467266104</v>
      </c>
      <c r="Y2663" s="3">
        <f t="shared" si="297"/>
        <v>126.00040747463436</v>
      </c>
      <c r="AA2663" s="3"/>
    </row>
    <row r="2664" spans="19:27" x14ac:dyDescent="0.25">
      <c r="S2664" s="4">
        <v>-0.50987679574408518</v>
      </c>
      <c r="T2664" s="4">
        <v>-1.6084117702947862</v>
      </c>
      <c r="U2664" s="4">
        <f t="shared" si="298"/>
        <v>-1.5858074444632257</v>
      </c>
      <c r="W2664" s="4">
        <f t="shared" si="299"/>
        <v>-0.83870794236651036</v>
      </c>
      <c r="X2664" s="4">
        <f t="shared" si="300"/>
        <v>-2.7301417637301348</v>
      </c>
      <c r="Y2664" s="3">
        <f t="shared" si="297"/>
        <v>-136.78405345612282</v>
      </c>
      <c r="AA2664" s="3"/>
    </row>
    <row r="2665" spans="19:27" x14ac:dyDescent="0.25">
      <c r="S2665" s="4">
        <v>-0.57763973017916248</v>
      </c>
      <c r="T2665" s="4">
        <v>0.27700093391344816</v>
      </c>
      <c r="U2665" s="4">
        <f t="shared" si="298"/>
        <v>-0.13256563817803454</v>
      </c>
      <c r="W2665" s="4">
        <f t="shared" si="299"/>
        <v>-0.95393588102023241</v>
      </c>
      <c r="X2665" s="4">
        <f t="shared" si="300"/>
        <v>-0.16793728110567302</v>
      </c>
      <c r="Y2665" s="3">
        <f t="shared" si="297"/>
        <v>138.43961823069003</v>
      </c>
      <c r="AA2665" s="3"/>
    </row>
    <row r="2666" spans="19:27" x14ac:dyDescent="0.25">
      <c r="S2666" s="4">
        <v>0.13180625360987494</v>
      </c>
      <c r="T2666" s="4">
        <v>0.24908399075261461</v>
      </c>
      <c r="U2666" s="4">
        <f t="shared" si="298"/>
        <v>0.27779892455761862</v>
      </c>
      <c r="W2666" s="4">
        <f t="shared" si="299"/>
        <v>0.25244632452746651</v>
      </c>
      <c r="X2666" s="4">
        <f t="shared" si="300"/>
        <v>0.5555747439435007</v>
      </c>
      <c r="Y2666" s="3">
        <f t="shared" si="297"/>
        <v>15.267389273034041</v>
      </c>
      <c r="AA2666" s="3"/>
    </row>
    <row r="2667" spans="19:27" x14ac:dyDescent="0.25">
      <c r="S2667" s="4">
        <v>-0.1225113232377685</v>
      </c>
      <c r="T2667" s="4">
        <v>1.2836961100880415</v>
      </c>
      <c r="U2667" s="4">
        <f t="shared" si="298"/>
        <v>0.94289002511037723</v>
      </c>
      <c r="W2667" s="4">
        <f t="shared" si="299"/>
        <v>-0.18000971339160718</v>
      </c>
      <c r="X2667" s="4">
        <f t="shared" si="300"/>
        <v>1.7281940505308686</v>
      </c>
      <c r="Y2667" s="3">
        <f t="shared" si="297"/>
        <v>201.74988749956992</v>
      </c>
      <c r="AA2667" s="3"/>
    </row>
    <row r="2668" spans="19:27" x14ac:dyDescent="0.25">
      <c r="S2668" s="4">
        <v>-1.1068318995498934</v>
      </c>
      <c r="T2668" s="4">
        <v>0.54797241376758787</v>
      </c>
      <c r="U2668" s="4">
        <f t="shared" si="298"/>
        <v>-0.24037606244376214</v>
      </c>
      <c r="W2668" s="4">
        <f t="shared" si="299"/>
        <v>-1.8538042727396395</v>
      </c>
      <c r="X2668" s="4">
        <f t="shared" si="300"/>
        <v>-0.35801738417771689</v>
      </c>
      <c r="Y2668" s="3">
        <f t="shared" si="297"/>
        <v>270.24371819210501</v>
      </c>
      <c r="AA2668" s="3"/>
    </row>
    <row r="2669" spans="19:27" x14ac:dyDescent="0.25">
      <c r="S2669" s="4">
        <v>-1.3152251351554389</v>
      </c>
      <c r="T2669" s="4">
        <v>0.45530065857060464</v>
      </c>
      <c r="U2669" s="4">
        <f t="shared" si="298"/>
        <v>-0.4408773892339693</v>
      </c>
      <c r="W2669" s="4">
        <f t="shared" si="299"/>
        <v>-2.208167955015127</v>
      </c>
      <c r="X2669" s="4">
        <f t="shared" si="300"/>
        <v>-0.7115204254831532</v>
      </c>
      <c r="Y2669" s="3">
        <f t="shared" si="297"/>
        <v>295.46165608183128</v>
      </c>
      <c r="AA2669" s="3"/>
    </row>
    <row r="2670" spans="19:27" x14ac:dyDescent="0.25">
      <c r="S2670" s="4">
        <v>0.30733948511517784</v>
      </c>
      <c r="T2670" s="4">
        <v>1.2261452055777824</v>
      </c>
      <c r="U2670" s="4">
        <f t="shared" si="298"/>
        <v>1.1593165259624212</v>
      </c>
      <c r="W2670" s="4">
        <f t="shared" si="299"/>
        <v>0.55093299131963713</v>
      </c>
      <c r="X2670" s="4">
        <f t="shared" si="300"/>
        <v>2.1097746988741286</v>
      </c>
      <c r="Y2670" s="3">
        <f t="shared" si="297"/>
        <v>123.47260242553057</v>
      </c>
      <c r="AA2670" s="3"/>
    </row>
    <row r="2671" spans="19:27" x14ac:dyDescent="0.25">
      <c r="S2671" s="4">
        <v>8.4017525777781252E-2</v>
      </c>
      <c r="T2671" s="4">
        <v>-7.8373163511241295E-2</v>
      </c>
      <c r="U2671" s="4">
        <f t="shared" si="298"/>
        <v>-1.0906822913583449E-2</v>
      </c>
      <c r="W2671" s="4">
        <f t="shared" si="299"/>
        <v>0.17118366013899169</v>
      </c>
      <c r="X2671" s="4">
        <f t="shared" si="300"/>
        <v>4.6558861568731638E-2</v>
      </c>
      <c r="Y2671" s="3">
        <f t="shared" si="297"/>
        <v>-22.70067102874782</v>
      </c>
      <c r="AA2671" s="3"/>
    </row>
    <row r="2672" spans="19:27" x14ac:dyDescent="0.25">
      <c r="S2672" s="4">
        <v>-0.41457858853948665</v>
      </c>
      <c r="T2672" s="4">
        <v>0.38571395809317865</v>
      </c>
      <c r="U2672" s="4">
        <f t="shared" si="298"/>
        <v>5.3016018583841917E-2</v>
      </c>
      <c r="W2672" s="4">
        <f t="shared" si="299"/>
        <v>-0.67665746351509748</v>
      </c>
      <c r="X2672" s="4">
        <f t="shared" si="300"/>
        <v>0.15926095307094557</v>
      </c>
      <c r="Y2672" s="3">
        <f t="shared" si="297"/>
        <v>125.54879092213014</v>
      </c>
      <c r="AA2672" s="3"/>
    </row>
    <row r="2673" spans="19:27" x14ac:dyDescent="0.25">
      <c r="S2673" s="4">
        <v>-0.46324467585853035</v>
      </c>
      <c r="T2673" s="4">
        <v>-0.32641128487734267</v>
      </c>
      <c r="U2673" s="4">
        <f t="shared" si="298"/>
        <v>-0.54114791066469847</v>
      </c>
      <c r="W2673" s="4">
        <f t="shared" si="299"/>
        <v>-0.75941203975748406</v>
      </c>
      <c r="X2673" s="4">
        <f t="shared" si="300"/>
        <v>-0.88830695775449942</v>
      </c>
      <c r="Y2673" s="3">
        <f t="shared" si="297"/>
        <v>34.362485182931323</v>
      </c>
      <c r="AA2673" s="3"/>
    </row>
    <row r="2674" spans="19:27" x14ac:dyDescent="0.25">
      <c r="S2674" s="4">
        <v>1.0045816658578368</v>
      </c>
      <c r="T2674" s="4">
        <v>-0.72942202290408698</v>
      </c>
      <c r="U2674" s="4">
        <f t="shared" si="298"/>
        <v>3.4208381590642656E-2</v>
      </c>
      <c r="W2674" s="4">
        <f t="shared" si="299"/>
        <v>1.7365631577106275</v>
      </c>
      <c r="X2674" s="4">
        <f t="shared" si="300"/>
        <v>0.12610128782932234</v>
      </c>
      <c r="Y2674" s="3">
        <f t="shared" si="297"/>
        <v>-257.95343200373463</v>
      </c>
      <c r="AA2674" s="3"/>
    </row>
    <row r="2675" spans="19:27" x14ac:dyDescent="0.25">
      <c r="S2675" s="4">
        <v>-1.2661606814382742</v>
      </c>
      <c r="T2675" s="4">
        <v>-0.45440050361267115</v>
      </c>
      <c r="U2675" s="4">
        <f t="shared" si="298"/>
        <v>-1.1320794544119857</v>
      </c>
      <c r="W2675" s="4">
        <f t="shared" si="299"/>
        <v>-2.1247359739456462</v>
      </c>
      <c r="X2675" s="4">
        <f t="shared" si="300"/>
        <v>-1.9301758633730601</v>
      </c>
      <c r="Y2675" s="3">
        <f t="shared" si="297"/>
        <v>159.27551189089354</v>
      </c>
      <c r="AA2675" s="3"/>
    </row>
    <row r="2676" spans="19:27" x14ac:dyDescent="0.25">
      <c r="S2676" s="4">
        <v>-0.26859556295802783</v>
      </c>
      <c r="T2676" s="4">
        <v>1.1643594583090273</v>
      </c>
      <c r="U2676" s="4">
        <f t="shared" si="298"/>
        <v>0.7592366017345803</v>
      </c>
      <c r="W2676" s="4">
        <f t="shared" si="299"/>
        <v>-0.42841964358565904</v>
      </c>
      <c r="X2676" s="4">
        <f t="shared" si="300"/>
        <v>1.4043954764823798</v>
      </c>
      <c r="Y2676" s="3">
        <f t="shared" si="297"/>
        <v>209.56958814489462</v>
      </c>
      <c r="AA2676" s="3"/>
    </row>
    <row r="2677" spans="19:27" x14ac:dyDescent="0.25">
      <c r="S2677" s="4">
        <v>-1.2938923063612686</v>
      </c>
      <c r="T2677" s="4">
        <v>-0.91098515885002329</v>
      </c>
      <c r="U2677" s="4">
        <f t="shared" si="298"/>
        <v>-1.5109162838859889</v>
      </c>
      <c r="W2677" s="4">
        <f t="shared" si="299"/>
        <v>-2.1718924024863311</v>
      </c>
      <c r="X2677" s="4">
        <f t="shared" si="300"/>
        <v>-2.5981014752454201</v>
      </c>
      <c r="Y2677" s="3">
        <f t="shared" si="297"/>
        <v>100.5724984856688</v>
      </c>
      <c r="AA2677" s="3"/>
    </row>
    <row r="2678" spans="19:27" x14ac:dyDescent="0.25">
      <c r="S2678" s="4">
        <v>-0.83198824905678892</v>
      </c>
      <c r="T2678" s="4">
        <v>1.3282022114172145</v>
      </c>
      <c r="U2678" s="4">
        <f t="shared" si="298"/>
        <v>0.54565669270384409</v>
      </c>
      <c r="W2678" s="4">
        <f t="shared" si="299"/>
        <v>-1.3864445345227725</v>
      </c>
      <c r="X2678" s="4">
        <f t="shared" si="300"/>
        <v>1.027833642140487</v>
      </c>
      <c r="Y2678" s="3">
        <f t="shared" si="297"/>
        <v>329.96822178361435</v>
      </c>
      <c r="AA2678" s="3"/>
    </row>
    <row r="2679" spans="19:27" x14ac:dyDescent="0.25">
      <c r="S2679" s="4">
        <v>1.3025185435361804</v>
      </c>
      <c r="T2679" s="4">
        <v>0.75642756312134274</v>
      </c>
      <c r="U2679" s="4">
        <f t="shared" si="298"/>
        <v>1.3936584579345128</v>
      </c>
      <c r="W2679" s="4">
        <f t="shared" si="299"/>
        <v>2.243191929767324</v>
      </c>
      <c r="X2679" s="4">
        <f t="shared" si="300"/>
        <v>2.5229419680573675</v>
      </c>
      <c r="Y2679" s="3">
        <f t="shared" si="297"/>
        <v>-94.331788781646537</v>
      </c>
      <c r="AA2679" s="3"/>
    </row>
    <row r="2680" spans="19:27" x14ac:dyDescent="0.25">
      <c r="S2680" s="4">
        <v>2.8901706274770644</v>
      </c>
      <c r="T2680" s="4">
        <v>0.19090223152489313</v>
      </c>
      <c r="U2680" s="4">
        <f t="shared" si="298"/>
        <v>1.9132391749003486</v>
      </c>
      <c r="W2680" s="4">
        <f t="shared" si="299"/>
        <v>4.9429256183529047</v>
      </c>
      <c r="X2680" s="4">
        <f t="shared" si="300"/>
        <v>3.4390125327338152</v>
      </c>
      <c r="Y2680" s="3">
        <f t="shared" si="297"/>
        <v>-386.82584098595498</v>
      </c>
      <c r="AA2680" s="3"/>
    </row>
    <row r="2681" spans="19:27" x14ac:dyDescent="0.25">
      <c r="S2681" s="4">
        <v>0.39950752629739761</v>
      </c>
      <c r="T2681" s="4">
        <v>-1.2615777837584334</v>
      </c>
      <c r="U2681" s="4">
        <f t="shared" si="298"/>
        <v>-0.75649393867282277</v>
      </c>
      <c r="W2681" s="4">
        <f t="shared" si="299"/>
        <v>0.70766075825767805</v>
      </c>
      <c r="X2681" s="4">
        <f t="shared" si="300"/>
        <v>-1.2679826289961709</v>
      </c>
      <c r="Y2681" s="3">
        <f t="shared" si="297"/>
        <v>-238.91149802090467</v>
      </c>
      <c r="AA2681" s="3"/>
    </row>
    <row r="2682" spans="19:27" x14ac:dyDescent="0.25">
      <c r="S2682" s="4">
        <v>0.22246084324433674</v>
      </c>
      <c r="T2682" s="4">
        <v>-1.1680783388823999</v>
      </c>
      <c r="U2682" s="4">
        <f t="shared" si="298"/>
        <v>-0.79030928317304239</v>
      </c>
      <c r="W2682" s="4">
        <f t="shared" si="299"/>
        <v>0.40660053257886392</v>
      </c>
      <c r="X2682" s="4">
        <f t="shared" si="300"/>
        <v>-1.3276023198729623</v>
      </c>
      <c r="Y2682" s="3">
        <f t="shared" si="297"/>
        <v>-197.49165312537343</v>
      </c>
      <c r="AA2682" s="3"/>
    </row>
    <row r="2683" spans="19:27" x14ac:dyDescent="0.25">
      <c r="S2683" s="4">
        <v>0.40598144154977789</v>
      </c>
      <c r="T2683" s="4">
        <v>0.96970910910790142</v>
      </c>
      <c r="U2683" s="4">
        <f t="shared" si="298"/>
        <v>1.0161760164500688</v>
      </c>
      <c r="W2683" s="4">
        <f t="shared" si="299"/>
        <v>0.71866937108959994</v>
      </c>
      <c r="X2683" s="4">
        <f t="shared" si="300"/>
        <v>1.8574042719214343</v>
      </c>
      <c r="Y2683" s="3">
        <f t="shared" si="297"/>
        <v>71.903413557051863</v>
      </c>
      <c r="AA2683" s="3"/>
    </row>
    <row r="2684" spans="19:27" x14ac:dyDescent="0.25">
      <c r="S2684" s="4">
        <v>-0.2558333065558609</v>
      </c>
      <c r="T2684" s="4">
        <v>0.8827434566140604</v>
      </c>
      <c r="U2684" s="4">
        <f t="shared" si="298"/>
        <v>0.54378200103761209</v>
      </c>
      <c r="W2684" s="4">
        <f t="shared" si="299"/>
        <v>-0.40671797865553572</v>
      </c>
      <c r="X2684" s="4">
        <f t="shared" si="300"/>
        <v>1.0245283811921821</v>
      </c>
      <c r="Y2684" s="3">
        <f t="shared" si="297"/>
        <v>168.0581627992251</v>
      </c>
      <c r="AA2684" s="3"/>
    </row>
    <row r="2685" spans="19:27" x14ac:dyDescent="0.25">
      <c r="S2685" s="4">
        <v>1.7745810696259741</v>
      </c>
      <c r="T2685" s="4">
        <v>1.6196122887253472</v>
      </c>
      <c r="U2685" s="4">
        <f t="shared" si="298"/>
        <v>2.3656779492856179</v>
      </c>
      <c r="W2685" s="4">
        <f t="shared" si="299"/>
        <v>3.0459138344556558</v>
      </c>
      <c r="X2685" s="4">
        <f t="shared" si="300"/>
        <v>4.2367054224025562</v>
      </c>
      <c r="Y2685" s="3">
        <f t="shared" si="297"/>
        <v>-40.863540772628767</v>
      </c>
      <c r="AA2685" s="3"/>
    </row>
    <row r="2686" spans="19:27" x14ac:dyDescent="0.25">
      <c r="S2686" s="4">
        <v>0.89671256100766272</v>
      </c>
      <c r="T2686" s="4">
        <v>1.3731214369676008</v>
      </c>
      <c r="U2686" s="4">
        <f t="shared" si="298"/>
        <v>1.6351183886285785</v>
      </c>
      <c r="W2686" s="4">
        <f t="shared" si="299"/>
        <v>1.5531364112166968</v>
      </c>
      <c r="X2686" s="4">
        <f t="shared" si="300"/>
        <v>2.9486589506839436</v>
      </c>
      <c r="Y2686" s="3">
        <f t="shared" si="297"/>
        <v>52.157987638616305</v>
      </c>
      <c r="AA2686" s="3"/>
    </row>
    <row r="2687" spans="19:27" x14ac:dyDescent="0.25">
      <c r="S2687" s="4">
        <v>1.2781983114551909</v>
      </c>
      <c r="T2687" s="4">
        <v>-0.67587351718154443</v>
      </c>
      <c r="U2687" s="4">
        <f t="shared" si="298"/>
        <v>0.2434586667536276</v>
      </c>
      <c r="W2687" s="4">
        <f t="shared" si="299"/>
        <v>2.2018364271812101</v>
      </c>
      <c r="X2687" s="4">
        <f t="shared" si="300"/>
        <v>0.49502958064078839</v>
      </c>
      <c r="Y2687" s="3">
        <f t="shared" si="297"/>
        <v>-290.96213955442363</v>
      </c>
      <c r="AA2687" s="3"/>
    </row>
    <row r="2688" spans="19:27" x14ac:dyDescent="0.25">
      <c r="S2688" s="4">
        <v>-0.68710887505526652</v>
      </c>
      <c r="T2688" s="4">
        <v>0.95677544948694615</v>
      </c>
      <c r="U2688" s="4">
        <f t="shared" si="298"/>
        <v>0.33955136181974194</v>
      </c>
      <c r="W2688" s="4">
        <f t="shared" si="299"/>
        <v>-1.1400834263622117</v>
      </c>
      <c r="X2688" s="4">
        <f t="shared" si="300"/>
        <v>0.66445020491750739</v>
      </c>
      <c r="Y2688" s="3">
        <f t="shared" si="297"/>
        <v>252.52485211037038</v>
      </c>
      <c r="AA2688" s="3"/>
    </row>
    <row r="2689" spans="19:27" x14ac:dyDescent="0.25">
      <c r="S2689" s="4">
        <v>0.20199784204387147</v>
      </c>
      <c r="T2689" s="4">
        <v>0.76648413501325774</v>
      </c>
      <c r="U2689" s="4">
        <f t="shared" si="298"/>
        <v>0.73072824792508162</v>
      </c>
      <c r="W2689" s="4">
        <f t="shared" si="299"/>
        <v>0.37180408424533828</v>
      </c>
      <c r="X2689" s="4">
        <f t="shared" si="300"/>
        <v>1.3541325184481219</v>
      </c>
      <c r="Y2689" s="3">
        <f t="shared" si="297"/>
        <v>76.188172857010159</v>
      </c>
      <c r="AA2689" s="3"/>
    </row>
    <row r="2690" spans="19:27" x14ac:dyDescent="0.25">
      <c r="S2690" s="4">
        <v>-0.77563418119411554</v>
      </c>
      <c r="T2690" s="4">
        <v>-1.1005380693882463</v>
      </c>
      <c r="U2690" s="4">
        <f t="shared" si="298"/>
        <v>-1.3452316468353325</v>
      </c>
      <c r="W2690" s="4">
        <f t="shared" si="299"/>
        <v>-1.2906168799398794</v>
      </c>
      <c r="X2690" s="4">
        <f t="shared" si="300"/>
        <v>-2.30598359237336</v>
      </c>
      <c r="Y2690" s="3">
        <f t="shared" ref="Y2690:Y2753" si="301">(B$4*EXP(-B$8*B$7)*NORMSDIST((LN(B$4/(B$5+W2690))-B$8*B$7+B$9*B$7+0.5*B$6*B$6*B$7)/(B$6*SQRT(B$7)))-(B$5+W2690)*EXP(-B$9*B$7)*NORMSDIST((LN(B$4/(B$5+W2690))-B$8*B$7+B$9*B$7-0.5*B$6*B$6*B$7)/(B$6*SQRT(B$7))))*400+100*X2690-400*$B$13</f>
        <v>-19.440266228885775</v>
      </c>
      <c r="AA2690" s="3"/>
    </row>
    <row r="2691" spans="19:27" x14ac:dyDescent="0.25">
      <c r="S2691" s="4">
        <v>1.3090044875190918</v>
      </c>
      <c r="T2691" s="4">
        <v>-5.7153900785321253E-2</v>
      </c>
      <c r="U2691" s="4">
        <f t="shared" ref="U2691:U2754" si="302">$B$19*S2691+SQRT(1-$B$19^2)*T2691</f>
        <v>0.75269290090380303</v>
      </c>
      <c r="W2691" s="4">
        <f t="shared" ref="W2691:W2754" si="303">S2691*SQRT($B$16)+$B$20</f>
        <v>2.2542209969351643</v>
      </c>
      <c r="X2691" s="4">
        <f t="shared" ref="X2691:X2754" si="304">U2691*SQRT($C$17)+$C$20</f>
        <v>1.3928583052221961</v>
      </c>
      <c r="Y2691" s="3">
        <f t="shared" si="301"/>
        <v>-208.98176094413611</v>
      </c>
      <c r="AA2691" s="3"/>
    </row>
    <row r="2692" spans="19:27" x14ac:dyDescent="0.25">
      <c r="S2692" s="4">
        <v>-5.7532186465136741E-2</v>
      </c>
      <c r="T2692" s="4">
        <v>-1.195151724833647</v>
      </c>
      <c r="U2692" s="4">
        <f t="shared" si="302"/>
        <v>-0.9824601382165421</v>
      </c>
      <c r="W2692" s="4">
        <f t="shared" si="303"/>
        <v>-6.9515502238720828E-2</v>
      </c>
      <c r="X2692" s="4">
        <f t="shared" si="304"/>
        <v>-1.6663826797575174</v>
      </c>
      <c r="Y2692" s="3">
        <f t="shared" si="301"/>
        <v>-155.4858837898405</v>
      </c>
      <c r="AA2692" s="3"/>
    </row>
    <row r="2693" spans="19:27" x14ac:dyDescent="0.25">
      <c r="S2693" s="4">
        <v>0.52144248977672547</v>
      </c>
      <c r="T2693" s="4">
        <v>0.53607548028218432</v>
      </c>
      <c r="U2693" s="4">
        <f t="shared" si="302"/>
        <v>0.74282573088515091</v>
      </c>
      <c r="W2693" s="4">
        <f t="shared" si="303"/>
        <v>0.91500588887626477</v>
      </c>
      <c r="X2693" s="4">
        <f t="shared" si="304"/>
        <v>1.3754615394924559</v>
      </c>
      <c r="Y2693" s="3">
        <f t="shared" si="301"/>
        <v>-6.93023960446817</v>
      </c>
      <c r="AA2693" s="3"/>
    </row>
    <row r="2694" spans="19:27" x14ac:dyDescent="0.25">
      <c r="S2694" s="4">
        <v>-0.66496930491136608</v>
      </c>
      <c r="T2694" s="4">
        <v>1.0837342746129175</v>
      </c>
      <c r="U2694" s="4">
        <f t="shared" si="302"/>
        <v>0.45368738516562612</v>
      </c>
      <c r="W2694" s="4">
        <f t="shared" si="303"/>
        <v>-1.1024360450669801</v>
      </c>
      <c r="X2694" s="4">
        <f t="shared" si="304"/>
        <v>0.86568294497560949</v>
      </c>
      <c r="Y2694" s="3">
        <f t="shared" si="301"/>
        <v>266.39488426213939</v>
      </c>
      <c r="AA2694" s="3"/>
    </row>
    <row r="2695" spans="19:27" x14ac:dyDescent="0.25">
      <c r="S2695" s="4">
        <v>-1.3451679069071962</v>
      </c>
      <c r="T2695" s="4">
        <v>-1.8547888521722478</v>
      </c>
      <c r="U2695" s="4">
        <f t="shared" si="302"/>
        <v>-2.2903206891748358</v>
      </c>
      <c r="W2695" s="4">
        <f t="shared" si="303"/>
        <v>-2.2590843430862417</v>
      </c>
      <c r="X2695" s="4">
        <f t="shared" si="304"/>
        <v>-3.9722660859602019</v>
      </c>
      <c r="Y2695" s="3">
        <f t="shared" si="301"/>
        <v>-21.855130139968423</v>
      </c>
      <c r="AA2695" s="3"/>
    </row>
    <row r="2696" spans="19:27" x14ac:dyDescent="0.25">
      <c r="S2696" s="4">
        <v>-0.32089051388994549</v>
      </c>
      <c r="T2696" s="4">
        <v>-1.7557760385308683</v>
      </c>
      <c r="U2696" s="4">
        <f t="shared" si="302"/>
        <v>-1.5874116697184022</v>
      </c>
      <c r="W2696" s="4">
        <f t="shared" si="303"/>
        <v>-0.51734494542092235</v>
      </c>
      <c r="X2696" s="4">
        <f t="shared" si="304"/>
        <v>-2.732970166492962</v>
      </c>
      <c r="Y2696" s="3">
        <f t="shared" si="301"/>
        <v>-189.69839067983503</v>
      </c>
      <c r="AA2696" s="3"/>
    </row>
    <row r="2697" spans="19:27" x14ac:dyDescent="0.25">
      <c r="S2697" s="4">
        <v>1.7058128406261208</v>
      </c>
      <c r="T2697" s="4">
        <v>0.14700088181806273</v>
      </c>
      <c r="U2697" s="4">
        <f t="shared" si="302"/>
        <v>1.1564279932856507</v>
      </c>
      <c r="W2697" s="4">
        <f t="shared" si="303"/>
        <v>2.9289764358825159</v>
      </c>
      <c r="X2697" s="4">
        <f t="shared" si="304"/>
        <v>2.1046819391278704</v>
      </c>
      <c r="Y2697" s="3">
        <f t="shared" si="301"/>
        <v>-237.08701151496552</v>
      </c>
      <c r="AA2697" s="3"/>
    </row>
    <row r="2698" spans="19:27" x14ac:dyDescent="0.25">
      <c r="S2698" s="4">
        <v>3.6545281907652452E-2</v>
      </c>
      <c r="T2698" s="4">
        <v>0.73712097543938415</v>
      </c>
      <c r="U2698" s="4">
        <f t="shared" si="302"/>
        <v>0.60658873346774578</v>
      </c>
      <c r="W2698" s="4">
        <f t="shared" si="303"/>
        <v>9.0459163037075532E-2</v>
      </c>
      <c r="X2698" s="4">
        <f t="shared" si="304"/>
        <v>1.1352626655180924</v>
      </c>
      <c r="Y2698" s="3">
        <f t="shared" si="301"/>
        <v>99.051296095984071</v>
      </c>
      <c r="AA2698" s="3"/>
    </row>
    <row r="2699" spans="19:27" x14ac:dyDescent="0.25">
      <c r="S2699" s="4">
        <v>-0.67054759134711539</v>
      </c>
      <c r="T2699" s="4">
        <v>-0.4535014818683174</v>
      </c>
      <c r="U2699" s="4">
        <f t="shared" si="302"/>
        <v>-0.76826777809898306</v>
      </c>
      <c r="W2699" s="4">
        <f t="shared" si="303"/>
        <v>-1.1119216798401796</v>
      </c>
      <c r="X2699" s="4">
        <f t="shared" si="304"/>
        <v>-1.28874103549462</v>
      </c>
      <c r="Y2699" s="3">
        <f t="shared" si="301"/>
        <v>52.527350206152732</v>
      </c>
      <c r="AA2699" s="3"/>
    </row>
    <row r="2700" spans="19:27" x14ac:dyDescent="0.25">
      <c r="S2700" s="4">
        <v>0.84078618769673963</v>
      </c>
      <c r="T2700" s="4">
        <v>-2.5914519876431035</v>
      </c>
      <c r="U2700" s="4">
        <f t="shared" si="302"/>
        <v>-1.5416612885522891</v>
      </c>
      <c r="W2700" s="4">
        <f t="shared" si="303"/>
        <v>1.4580360327174395</v>
      </c>
      <c r="X2700" s="4">
        <f t="shared" si="304"/>
        <v>-2.6523078629460817</v>
      </c>
      <c r="Y2700" s="3">
        <f t="shared" si="301"/>
        <v>-493.42985914685687</v>
      </c>
      <c r="AA2700" s="3"/>
    </row>
    <row r="2701" spans="19:27" x14ac:dyDescent="0.25">
      <c r="S2701" s="4">
        <v>5.166073960111342E-2</v>
      </c>
      <c r="T2701" s="4">
        <v>0.92670607120310511</v>
      </c>
      <c r="U2701" s="4">
        <f t="shared" si="302"/>
        <v>0.7660860460533806</v>
      </c>
      <c r="W2701" s="4">
        <f t="shared" si="303"/>
        <v>0.11616234496603658</v>
      </c>
      <c r="X2701" s="4">
        <f t="shared" si="304"/>
        <v>1.4164717027932494</v>
      </c>
      <c r="Y2701" s="3">
        <f t="shared" si="301"/>
        <v>123.06697376937245</v>
      </c>
      <c r="AA2701" s="3"/>
    </row>
    <row r="2702" spans="19:27" x14ac:dyDescent="0.25">
      <c r="S2702" s="4">
        <v>0.37034825951902567</v>
      </c>
      <c r="T2702" s="4">
        <v>0.75435629687221739</v>
      </c>
      <c r="U2702" s="4">
        <f t="shared" si="302"/>
        <v>0.82374477812634073</v>
      </c>
      <c r="W2702" s="4">
        <f t="shared" si="303"/>
        <v>0.6580766865002059</v>
      </c>
      <c r="X2702" s="4">
        <f t="shared" si="304"/>
        <v>1.5181295694613028</v>
      </c>
      <c r="Y2702" s="3">
        <f t="shared" si="301"/>
        <v>47.471498552740741</v>
      </c>
      <c r="AA2702" s="3"/>
    </row>
    <row r="2703" spans="19:27" x14ac:dyDescent="0.25">
      <c r="S2703" s="4">
        <v>-1.0598338458082677</v>
      </c>
      <c r="T2703" s="4">
        <v>-1.7686357109565971</v>
      </c>
      <c r="U2703" s="4">
        <f t="shared" si="302"/>
        <v>-2.0480817717490103</v>
      </c>
      <c r="W2703" s="4">
        <f t="shared" si="303"/>
        <v>-1.7738861154382777</v>
      </c>
      <c r="X2703" s="4">
        <f t="shared" si="304"/>
        <v>-3.5451756751213437</v>
      </c>
      <c r="Y2703" s="3">
        <f t="shared" si="301"/>
        <v>-62.039364124014355</v>
      </c>
      <c r="AA2703" s="3"/>
    </row>
    <row r="2704" spans="19:27" x14ac:dyDescent="0.25">
      <c r="S2704" s="4">
        <v>1.0759419478809387</v>
      </c>
      <c r="T2704" s="4">
        <v>-0.7959220780482712</v>
      </c>
      <c r="U2704" s="4">
        <f t="shared" si="302"/>
        <v>2.4997138720214807E-2</v>
      </c>
      <c r="W2704" s="4">
        <f t="shared" si="303"/>
        <v>1.8579082303203198</v>
      </c>
      <c r="X2704" s="4">
        <f t="shared" si="304"/>
        <v>0.1098609844805751</v>
      </c>
      <c r="Y2704" s="3">
        <f t="shared" si="301"/>
        <v>-277.91240245198333</v>
      </c>
      <c r="AA2704" s="3"/>
    </row>
    <row r="2705" spans="19:27" x14ac:dyDescent="0.25">
      <c r="S2705" s="4">
        <v>0.42082933511143794</v>
      </c>
      <c r="T2705" s="4">
        <v>1.0575832851384288</v>
      </c>
      <c r="U2705" s="4">
        <f t="shared" si="302"/>
        <v>1.0948847816595833</v>
      </c>
      <c r="W2705" s="4">
        <f t="shared" si="303"/>
        <v>0.74391757178697593</v>
      </c>
      <c r="X2705" s="4">
        <f t="shared" si="304"/>
        <v>1.9961753629879391</v>
      </c>
      <c r="Y2705" s="3">
        <f t="shared" si="301"/>
        <v>81.829383162951217</v>
      </c>
      <c r="AA2705" s="3"/>
    </row>
    <row r="2706" spans="19:27" x14ac:dyDescent="0.25">
      <c r="S2706" s="4">
        <v>-1.6523508591147753</v>
      </c>
      <c r="T2706" s="4">
        <v>-0.68725160308571964</v>
      </c>
      <c r="U2706" s="4">
        <f t="shared" si="302"/>
        <v>-1.5520888114957609</v>
      </c>
      <c r="W2706" s="4">
        <f t="shared" si="303"/>
        <v>-2.7814356649044636</v>
      </c>
      <c r="X2706" s="4">
        <f t="shared" si="304"/>
        <v>-2.6706925845477318</v>
      </c>
      <c r="Y2706" s="3">
        <f t="shared" si="301"/>
        <v>198.95123639070152</v>
      </c>
      <c r="AA2706" s="3"/>
    </row>
    <row r="2707" spans="19:27" x14ac:dyDescent="0.25">
      <c r="S2707" s="4">
        <v>-0.92842585314980774</v>
      </c>
      <c r="T2707" s="4">
        <v>0.74053196737170668</v>
      </c>
      <c r="U2707" s="4">
        <f t="shared" si="302"/>
        <v>2.1024665323831182E-2</v>
      </c>
      <c r="W2707" s="4">
        <f t="shared" si="303"/>
        <v>-1.5504325084938355</v>
      </c>
      <c r="X2707" s="4">
        <f t="shared" si="304"/>
        <v>0.10285713343575931</v>
      </c>
      <c r="Y2707" s="3">
        <f t="shared" si="301"/>
        <v>265.00946249431763</v>
      </c>
      <c r="AA2707" s="3"/>
    </row>
    <row r="2708" spans="19:27" x14ac:dyDescent="0.25">
      <c r="S2708" s="4">
        <v>-0.60661153783701305</v>
      </c>
      <c r="T2708" s="4">
        <v>-0.36004621791831282</v>
      </c>
      <c r="U2708" s="4">
        <f t="shared" si="302"/>
        <v>-0.65520969148630925</v>
      </c>
      <c r="W2708" s="4">
        <f t="shared" si="303"/>
        <v>-1.0032011866525419</v>
      </c>
      <c r="X2708" s="4">
        <f t="shared" si="304"/>
        <v>-1.0894088011320409</v>
      </c>
      <c r="Y2708" s="3">
        <f t="shared" si="301"/>
        <v>54.438491976625301</v>
      </c>
      <c r="AA2708" s="3"/>
    </row>
    <row r="2709" spans="19:27" x14ac:dyDescent="0.25">
      <c r="S2709" s="4">
        <v>-1.2555230736775549</v>
      </c>
      <c r="T2709" s="4">
        <v>0.95444568328281987</v>
      </c>
      <c r="U2709" s="4">
        <f t="shared" si="302"/>
        <v>-8.8134031105675525E-3</v>
      </c>
      <c r="W2709" s="4">
        <f t="shared" si="303"/>
        <v>-2.1066471821202435</v>
      </c>
      <c r="X2709" s="4">
        <f t="shared" si="304"/>
        <v>5.024976116995708E-2</v>
      </c>
      <c r="Y2709" s="3">
        <f t="shared" si="301"/>
        <v>354.2181470544665</v>
      </c>
      <c r="AA2709" s="3"/>
    </row>
    <row r="2710" spans="19:27" x14ac:dyDescent="0.25">
      <c r="S2710" s="4">
        <v>-0.94353698245719864</v>
      </c>
      <c r="T2710" s="4">
        <v>-0.74448920932035556</v>
      </c>
      <c r="U2710" s="4">
        <f t="shared" si="302"/>
        <v>-1.165351850979552</v>
      </c>
      <c r="W2710" s="4">
        <f t="shared" si="303"/>
        <v>-1.5761283301895259</v>
      </c>
      <c r="X2710" s="4">
        <f t="shared" si="304"/>
        <v>-1.9888382850460207</v>
      </c>
      <c r="Y2710" s="3">
        <f t="shared" si="301"/>
        <v>60.167981264758055</v>
      </c>
      <c r="AA2710" s="3"/>
    </row>
    <row r="2711" spans="19:27" x14ac:dyDescent="0.25">
      <c r="S2711" s="4">
        <v>-0.10131223607341211</v>
      </c>
      <c r="T2711" s="4">
        <v>0.118426600712281</v>
      </c>
      <c r="U2711" s="4">
        <f t="shared" si="302"/>
        <v>3.2113621640697892E-2</v>
      </c>
      <c r="W2711" s="4">
        <f t="shared" si="303"/>
        <v>-0.14396158271878773</v>
      </c>
      <c r="X2711" s="4">
        <f t="shared" si="304"/>
        <v>0.12240802542071434</v>
      </c>
      <c r="Y2711" s="3">
        <f t="shared" si="301"/>
        <v>35.364324879246851</v>
      </c>
      <c r="AA2711" s="3"/>
    </row>
    <row r="2712" spans="19:27" x14ac:dyDescent="0.25">
      <c r="S2712" s="4">
        <v>0.36302698381878773</v>
      </c>
      <c r="T2712" s="4">
        <v>0.31698429631353364</v>
      </c>
      <c r="U2712" s="4">
        <f t="shared" si="302"/>
        <v>0.47258027095767097</v>
      </c>
      <c r="W2712" s="4">
        <f t="shared" si="303"/>
        <v>0.64562717388262203</v>
      </c>
      <c r="X2712" s="4">
        <f t="shared" si="304"/>
        <v>0.89899291201394393</v>
      </c>
      <c r="Y2712" s="3">
        <f t="shared" si="301"/>
        <v>-12.488863857105571</v>
      </c>
      <c r="AA2712" s="3"/>
    </row>
    <row r="2713" spans="19:27" x14ac:dyDescent="0.25">
      <c r="S2713" s="4">
        <v>0.16182727289105936</v>
      </c>
      <c r="T2713" s="4">
        <v>0.61294947833930613</v>
      </c>
      <c r="U2713" s="4">
        <f t="shared" si="302"/>
        <v>0.58453367571359105</v>
      </c>
      <c r="W2713" s="4">
        <f t="shared" si="303"/>
        <v>0.30349576913746623</v>
      </c>
      <c r="X2713" s="4">
        <f t="shared" si="304"/>
        <v>1.096377486466791</v>
      </c>
      <c r="Y2713" s="3">
        <f t="shared" si="301"/>
        <v>61.240176389957924</v>
      </c>
      <c r="AA2713" s="3"/>
    </row>
    <row r="2714" spans="19:27" x14ac:dyDescent="0.25">
      <c r="S2714" s="4">
        <v>-0.92654786312607618</v>
      </c>
      <c r="T2714" s="4">
        <v>5.3245846646686155E-3</v>
      </c>
      <c r="U2714" s="4">
        <f t="shared" si="302"/>
        <v>-0.5606234945937083</v>
      </c>
      <c r="W2714" s="4">
        <f t="shared" si="303"/>
        <v>-1.5472390676983492</v>
      </c>
      <c r="X2714" s="4">
        <f t="shared" si="304"/>
        <v>-0.92264427741377519</v>
      </c>
      <c r="Y2714" s="3">
        <f t="shared" si="301"/>
        <v>161.92168045008475</v>
      </c>
      <c r="AA2714" s="3"/>
    </row>
    <row r="2715" spans="19:27" x14ac:dyDescent="0.25">
      <c r="S2715" s="4">
        <v>0.84322412455633033</v>
      </c>
      <c r="T2715" s="4">
        <v>-1.3852968223059422E-2</v>
      </c>
      <c r="U2715" s="4">
        <f t="shared" si="302"/>
        <v>0.50306710287337497</v>
      </c>
      <c r="W2715" s="4">
        <f t="shared" si="303"/>
        <v>1.4621816388845945</v>
      </c>
      <c r="X2715" s="4">
        <f t="shared" si="304"/>
        <v>0.95274411642989087</v>
      </c>
      <c r="Y2715" s="3">
        <f t="shared" si="301"/>
        <v>-133.55807918214077</v>
      </c>
      <c r="AA2715" s="3"/>
    </row>
    <row r="2716" spans="19:27" x14ac:dyDescent="0.25">
      <c r="S2716" s="4">
        <v>0.17735227318067512</v>
      </c>
      <c r="T2716" s="4">
        <v>0.30370054190528373</v>
      </c>
      <c r="U2716" s="4">
        <f t="shared" si="302"/>
        <v>0.34885889850481572</v>
      </c>
      <c r="W2716" s="4">
        <f t="shared" si="303"/>
        <v>0.32989536053480745</v>
      </c>
      <c r="X2716" s="4">
        <f t="shared" si="304"/>
        <v>0.68086028348361194</v>
      </c>
      <c r="Y2716" s="3">
        <f t="shared" si="301"/>
        <v>15.501029393419685</v>
      </c>
      <c r="AA2716" s="3"/>
    </row>
    <row r="2717" spans="19:27" x14ac:dyDescent="0.25">
      <c r="S2717" s="4">
        <v>1.1847389171874207</v>
      </c>
      <c r="T2717" s="4">
        <v>-0.41145403393863006</v>
      </c>
      <c r="U2717" s="4">
        <f t="shared" si="302"/>
        <v>0.39608694877453837</v>
      </c>
      <c r="W2717" s="4">
        <f t="shared" si="303"/>
        <v>2.0429127701837642</v>
      </c>
      <c r="X2717" s="4">
        <f t="shared" si="304"/>
        <v>0.76412785917772152</v>
      </c>
      <c r="Y2717" s="3">
        <f t="shared" si="301"/>
        <v>-240.29759761576042</v>
      </c>
      <c r="AA2717" s="3"/>
    </row>
    <row r="2718" spans="19:27" x14ac:dyDescent="0.25">
      <c r="S2718" s="4">
        <v>1.3913578436048795</v>
      </c>
      <c r="T2718" s="4">
        <v>0.5068877337804516</v>
      </c>
      <c r="U2718" s="4">
        <f t="shared" si="302"/>
        <v>1.250008646299704</v>
      </c>
      <c r="W2718" s="4">
        <f t="shared" si="303"/>
        <v>2.3942593164396557</v>
      </c>
      <c r="X2718" s="4">
        <f t="shared" si="304"/>
        <v>2.2696735926865057</v>
      </c>
      <c r="Y2718" s="3">
        <f t="shared" si="301"/>
        <v>-142.09149727267868</v>
      </c>
      <c r="AA2718" s="3"/>
    </row>
    <row r="2719" spans="19:27" x14ac:dyDescent="0.25">
      <c r="S2719" s="4">
        <v>-1.7404466180748097</v>
      </c>
      <c r="T2719" s="4">
        <v>1.5693513970785544</v>
      </c>
      <c r="U2719" s="4">
        <f t="shared" si="302"/>
        <v>0.18299723640825305</v>
      </c>
      <c r="W2719" s="4">
        <f t="shared" si="303"/>
        <v>-2.9312386920863154</v>
      </c>
      <c r="X2719" s="4">
        <f t="shared" si="304"/>
        <v>0.38843028850178696</v>
      </c>
      <c r="Y2719" s="3">
        <f t="shared" si="301"/>
        <v>531.13127295554568</v>
      </c>
      <c r="AA2719" s="3"/>
    </row>
    <row r="2720" spans="19:27" x14ac:dyDescent="0.25">
      <c r="S2720" s="4">
        <v>0.24789708631519314</v>
      </c>
      <c r="T2720" s="4">
        <v>2.853198295023633</v>
      </c>
      <c r="U2720" s="4">
        <f t="shared" si="302"/>
        <v>2.4128311117788472</v>
      </c>
      <c r="W2720" s="4">
        <f t="shared" si="303"/>
        <v>0.44985376357578771</v>
      </c>
      <c r="X2720" s="4">
        <f t="shared" si="304"/>
        <v>4.3198409637746451</v>
      </c>
      <c r="Y2720" s="3">
        <f t="shared" si="301"/>
        <v>360.41676377891963</v>
      </c>
      <c r="AA2720" s="3"/>
    </row>
    <row r="2721" spans="19:27" x14ac:dyDescent="0.25">
      <c r="S2721" s="4">
        <v>-6.5753321842652715E-2</v>
      </c>
      <c r="T2721" s="4">
        <v>-0.65505115831007787</v>
      </c>
      <c r="U2721" s="4">
        <f t="shared" si="302"/>
        <v>-0.55933851726337624</v>
      </c>
      <c r="W2721" s="4">
        <f t="shared" si="303"/>
        <v>-8.3495187310534721E-2</v>
      </c>
      <c r="X2721" s="4">
        <f t="shared" si="304"/>
        <v>-0.92037873931708103</v>
      </c>
      <c r="Y2721" s="3">
        <f t="shared" si="301"/>
        <v>-78.639706185851537</v>
      </c>
      <c r="AA2721" s="3"/>
    </row>
    <row r="2722" spans="19:27" x14ac:dyDescent="0.25">
      <c r="S2722" s="4">
        <v>1.4573502609594249E-2</v>
      </c>
      <c r="T2722" s="4">
        <v>3.7180944062432789E-2</v>
      </c>
      <c r="U2722" s="4">
        <f t="shared" si="302"/>
        <v>3.8357369967594854E-2</v>
      </c>
      <c r="W2722" s="4">
        <f t="shared" si="303"/>
        <v>5.3097102816743486E-2</v>
      </c>
      <c r="X2722" s="4">
        <f t="shared" si="304"/>
        <v>0.13341635168986304</v>
      </c>
      <c r="Y2722" s="3">
        <f t="shared" si="301"/>
        <v>4.8400908311136845</v>
      </c>
      <c r="AA2722" s="3"/>
    </row>
    <row r="2723" spans="19:27" x14ac:dyDescent="0.25">
      <c r="S2723" s="4">
        <v>0.7856746872335959</v>
      </c>
      <c r="T2723" s="4">
        <v>0.55086373642952591</v>
      </c>
      <c r="U2723" s="4">
        <f t="shared" si="302"/>
        <v>0.91563010658689348</v>
      </c>
      <c r="W2723" s="4">
        <f t="shared" si="303"/>
        <v>1.3643213102452905</v>
      </c>
      <c r="X2723" s="4">
        <f t="shared" si="304"/>
        <v>1.6801322034695125</v>
      </c>
      <c r="Y2723" s="3">
        <f t="shared" si="301"/>
        <v>-45.843796327288601</v>
      </c>
      <c r="AA2723" s="3"/>
    </row>
    <row r="2724" spans="19:27" x14ac:dyDescent="0.25">
      <c r="S2724" s="4">
        <v>-1.7864705447379687</v>
      </c>
      <c r="T2724" s="4">
        <v>-1.3162213364654571</v>
      </c>
      <c r="U2724" s="4">
        <f t="shared" si="302"/>
        <v>-2.1324304521151705</v>
      </c>
      <c r="W2724" s="4">
        <f t="shared" si="303"/>
        <v>-3.0095003884304554</v>
      </c>
      <c r="X2724" s="4">
        <f t="shared" si="304"/>
        <v>-3.693890476748253</v>
      </c>
      <c r="Y2724" s="3">
        <f t="shared" si="301"/>
        <v>136.6704538996014</v>
      </c>
      <c r="AA2724" s="3"/>
    </row>
    <row r="2725" spans="19:27" x14ac:dyDescent="0.25">
      <c r="S2725" s="4">
        <v>0.50241051639783352</v>
      </c>
      <c r="T2725" s="4">
        <v>-0.95806157782033152</v>
      </c>
      <c r="U2725" s="4">
        <f t="shared" si="302"/>
        <v>-0.45316710588518444</v>
      </c>
      <c r="W2725" s="4">
        <f t="shared" si="303"/>
        <v>0.88264284144856919</v>
      </c>
      <c r="X2725" s="4">
        <f t="shared" si="304"/>
        <v>-0.73318837293535333</v>
      </c>
      <c r="Y2725" s="3">
        <f t="shared" si="301"/>
        <v>-212.75832957388639</v>
      </c>
      <c r="AA2725" s="3"/>
    </row>
    <row r="2726" spans="19:27" x14ac:dyDescent="0.25">
      <c r="S2726" s="4">
        <v>-2.4131741690657336</v>
      </c>
      <c r="T2726" s="4">
        <v>-0.87004426063241525</v>
      </c>
      <c r="U2726" s="4">
        <f t="shared" si="302"/>
        <v>-2.160801957377918</v>
      </c>
      <c r="W2726" s="4">
        <f t="shared" si="303"/>
        <v>-4.0751827910615273</v>
      </c>
      <c r="X2726" s="4">
        <f t="shared" si="304"/>
        <v>-3.7439121576884928</v>
      </c>
      <c r="Y2726" s="3">
        <f t="shared" si="301"/>
        <v>322.49941264931931</v>
      </c>
      <c r="AA2726" s="3"/>
    </row>
    <row r="2727" spans="19:27" x14ac:dyDescent="0.25">
      <c r="S2727" s="4">
        <v>-0.1701860438026204</v>
      </c>
      <c r="T2727" s="4">
        <v>0.14975279959762466</v>
      </c>
      <c r="U2727" s="4">
        <f t="shared" si="302"/>
        <v>1.4958639586816092E-2</v>
      </c>
      <c r="W2727" s="4">
        <f t="shared" si="303"/>
        <v>-0.26107851335397153</v>
      </c>
      <c r="X2727" s="4">
        <f t="shared" si="304"/>
        <v>9.216214911320858E-2</v>
      </c>
      <c r="Y2727" s="3">
        <f t="shared" si="301"/>
        <v>51.230620211923451</v>
      </c>
      <c r="AA2727" s="3"/>
    </row>
    <row r="2728" spans="19:27" x14ac:dyDescent="0.25">
      <c r="S2728" s="4">
        <v>0.835633824149837</v>
      </c>
      <c r="T2728" s="4">
        <v>-0.73596016224569949</v>
      </c>
      <c r="U2728" s="4">
        <f t="shared" si="302"/>
        <v>-7.3968723128808644E-2</v>
      </c>
      <c r="W2728" s="4">
        <f t="shared" si="303"/>
        <v>1.4492746613917484</v>
      </c>
      <c r="X2728" s="4">
        <f t="shared" si="304"/>
        <v>-6.462530799992014E-2</v>
      </c>
      <c r="Y2728" s="3">
        <f t="shared" si="301"/>
        <v>-233.32264571035239</v>
      </c>
      <c r="AA2728" s="3"/>
    </row>
    <row r="2729" spans="19:27" x14ac:dyDescent="0.25">
      <c r="S2729" s="4">
        <v>0.21594220354677354</v>
      </c>
      <c r="T2729" s="4">
        <v>-1.1742611964849052</v>
      </c>
      <c r="U2729" s="4">
        <f t="shared" si="302"/>
        <v>-0.79918429325135598</v>
      </c>
      <c r="W2729" s="4">
        <f t="shared" si="303"/>
        <v>0.39551586776264086</v>
      </c>
      <c r="X2729" s="4">
        <f t="shared" si="304"/>
        <v>-1.3432498126079255</v>
      </c>
      <c r="Y2729" s="3">
        <f t="shared" si="301"/>
        <v>-197.30299170799435</v>
      </c>
      <c r="AA2729" s="3"/>
    </row>
    <row r="2730" spans="19:27" x14ac:dyDescent="0.25">
      <c r="S2730" s="4">
        <v>0.79150907282985117</v>
      </c>
      <c r="T2730" s="4">
        <v>1.4118786920721733</v>
      </c>
      <c r="U2730" s="4">
        <f t="shared" si="302"/>
        <v>1.6017065617480064</v>
      </c>
      <c r="W2730" s="4">
        <f t="shared" si="303"/>
        <v>1.3742424305623506</v>
      </c>
      <c r="X2730" s="4">
        <f t="shared" si="304"/>
        <v>2.8897507000157998</v>
      </c>
      <c r="Y2730" s="3">
        <f t="shared" si="301"/>
        <v>73.597631202328557</v>
      </c>
      <c r="AA2730" s="3"/>
    </row>
    <row r="2731" spans="19:27" x14ac:dyDescent="0.25">
      <c r="S2731" s="4">
        <v>1.8037441151807416</v>
      </c>
      <c r="T2731" s="4">
        <v>0.31031408206671135</v>
      </c>
      <c r="U2731" s="4">
        <f t="shared" si="302"/>
        <v>1.3455861537069804</v>
      </c>
      <c r="W2731" s="4">
        <f t="shared" si="303"/>
        <v>3.095504331858923</v>
      </c>
      <c r="X2731" s="4">
        <f t="shared" si="304"/>
        <v>2.4381858917807544</v>
      </c>
      <c r="Y2731" s="3">
        <f t="shared" si="301"/>
        <v>-227.89562113425836</v>
      </c>
      <c r="AA2731" s="3"/>
    </row>
    <row r="2732" spans="19:27" x14ac:dyDescent="0.25">
      <c r="S2732" s="4">
        <v>-1.1101684838323693</v>
      </c>
      <c r="T2732" s="4">
        <v>-0.52124818051886568</v>
      </c>
      <c r="U2732" s="4">
        <f t="shared" si="302"/>
        <v>-1.0899727502446155</v>
      </c>
      <c r="W2732" s="4">
        <f t="shared" si="303"/>
        <v>-1.8594779899748703</v>
      </c>
      <c r="X2732" s="4">
        <f t="shared" si="304"/>
        <v>-1.8559377113328579</v>
      </c>
      <c r="Y2732" s="3">
        <f t="shared" si="301"/>
        <v>121.41617173401892</v>
      </c>
      <c r="AA2732" s="3"/>
    </row>
    <row r="2733" spans="19:27" x14ac:dyDescent="0.25">
      <c r="S2733" s="4">
        <v>-1.1512140302491567E-2</v>
      </c>
      <c r="T2733" s="4">
        <v>0.26141791893811889</v>
      </c>
      <c r="U2733" s="4">
        <f t="shared" si="302"/>
        <v>0.20020584036449943</v>
      </c>
      <c r="W2733" s="4">
        <f t="shared" si="303"/>
        <v>8.7395954821617508E-3</v>
      </c>
      <c r="X2733" s="4">
        <f t="shared" si="304"/>
        <v>0.41877070535857441</v>
      </c>
      <c r="Y2733" s="3">
        <f t="shared" si="301"/>
        <v>40.476744462110673</v>
      </c>
      <c r="AA2733" s="3"/>
    </row>
    <row r="2734" spans="19:27" x14ac:dyDescent="0.25">
      <c r="S2734" s="4">
        <v>-1.0113837709497711</v>
      </c>
      <c r="T2734" s="4">
        <v>-1.2243055608871067</v>
      </c>
      <c r="U2734" s="4">
        <f t="shared" si="302"/>
        <v>-1.587059359475957</v>
      </c>
      <c r="W2734" s="4">
        <f t="shared" si="303"/>
        <v>-1.6914988590405802</v>
      </c>
      <c r="X2734" s="4">
        <f t="shared" si="304"/>
        <v>-2.7323490097944938</v>
      </c>
      <c r="Y2734" s="3">
        <f t="shared" si="301"/>
        <v>5.2924146038008075</v>
      </c>
      <c r="AA2734" s="3"/>
    </row>
    <row r="2735" spans="19:27" x14ac:dyDescent="0.25">
      <c r="S2735" s="4">
        <v>-0.28053960768442937</v>
      </c>
      <c r="T2735" s="4">
        <v>0.19002677228488127</v>
      </c>
      <c r="U2735" s="4">
        <f t="shared" si="302"/>
        <v>-2.039049842786661E-2</v>
      </c>
      <c r="W2735" s="4">
        <f t="shared" si="303"/>
        <v>-0.44872997495611805</v>
      </c>
      <c r="X2735" s="4">
        <f t="shared" si="304"/>
        <v>2.983823337777277E-2</v>
      </c>
      <c r="Y2735" s="3">
        <f t="shared" si="301"/>
        <v>75.414824962424973</v>
      </c>
      <c r="AA2735" s="3"/>
    </row>
    <row r="2736" spans="19:27" x14ac:dyDescent="0.25">
      <c r="S2736" s="4">
        <v>0.87958662536464671</v>
      </c>
      <c r="T2736" s="4">
        <v>-0.95454543998789143</v>
      </c>
      <c r="U2736" s="4">
        <f t="shared" si="302"/>
        <v>-0.22044491996377424</v>
      </c>
      <c r="W2736" s="4">
        <f t="shared" si="303"/>
        <v>1.5240144985056747</v>
      </c>
      <c r="X2736" s="4">
        <f t="shared" si="304"/>
        <v>-0.32287687116385566</v>
      </c>
      <c r="Y2736" s="3">
        <f t="shared" si="301"/>
        <v>-270.5574980651536</v>
      </c>
      <c r="AA2736" s="3"/>
    </row>
    <row r="2737" spans="19:27" x14ac:dyDescent="0.25">
      <c r="S2737" s="4">
        <v>0.44281382784434886</v>
      </c>
      <c r="T2737" s="4">
        <v>-5.4754857743479907E-2</v>
      </c>
      <c r="U2737" s="4">
        <f t="shared" si="302"/>
        <v>0.22654545071959914</v>
      </c>
      <c r="W2737" s="4">
        <f t="shared" si="303"/>
        <v>0.78130125065330513</v>
      </c>
      <c r="X2737" s="4">
        <f t="shared" si="304"/>
        <v>0.46520996098041145</v>
      </c>
      <c r="Y2737" s="3">
        <f t="shared" si="301"/>
        <v>-77.111422727763056</v>
      </c>
      <c r="AA2737" s="3"/>
    </row>
    <row r="2738" spans="19:27" x14ac:dyDescent="0.25">
      <c r="S2738" s="4">
        <v>-0.10828683902915857</v>
      </c>
      <c r="T2738" s="4">
        <v>0.83912899007985975</v>
      </c>
      <c r="U2738" s="4">
        <f t="shared" si="302"/>
        <v>0.59915678014503815</v>
      </c>
      <c r="W2738" s="4">
        <f t="shared" si="303"/>
        <v>-0.15582159333106141</v>
      </c>
      <c r="X2738" s="4">
        <f t="shared" si="304"/>
        <v>1.1221594200459757</v>
      </c>
      <c r="Y2738" s="3">
        <f t="shared" si="301"/>
        <v>137.24923891089611</v>
      </c>
      <c r="AA2738" s="3"/>
    </row>
    <row r="2739" spans="19:27" x14ac:dyDescent="0.25">
      <c r="S2739" s="4">
        <v>0.243759721961681</v>
      </c>
      <c r="T2739" s="4">
        <v>-0.21349214176613623</v>
      </c>
      <c r="U2739" s="4">
        <f t="shared" si="302"/>
        <v>-2.063215164539467E-2</v>
      </c>
      <c r="W2739" s="4">
        <f t="shared" si="303"/>
        <v>0.44281835447066181</v>
      </c>
      <c r="X2739" s="4">
        <f t="shared" si="304"/>
        <v>2.9412175611946624E-2</v>
      </c>
      <c r="Y2739" s="3">
        <f t="shared" si="301"/>
        <v>-67.514865253747757</v>
      </c>
      <c r="AA2739" s="3"/>
    </row>
    <row r="2740" spans="19:27" x14ac:dyDescent="0.25">
      <c r="S2740" s="4">
        <v>-0.24499921575509426</v>
      </c>
      <c r="T2740" s="4">
        <v>0.28360604082566043</v>
      </c>
      <c r="U2740" s="4">
        <f t="shared" si="302"/>
        <v>7.5455256774757756E-2</v>
      </c>
      <c r="W2740" s="4">
        <f t="shared" si="303"/>
        <v>-0.38829507592018181</v>
      </c>
      <c r="X2740" s="4">
        <f t="shared" si="304"/>
        <v>0.1988234790255283</v>
      </c>
      <c r="Y2740" s="3">
        <f t="shared" si="301"/>
        <v>82.497406704062087</v>
      </c>
      <c r="AA2740" s="3"/>
    </row>
    <row r="2741" spans="19:27" x14ac:dyDescent="0.25">
      <c r="S2741" s="4">
        <v>-0.23634853260909061</v>
      </c>
      <c r="T2741" s="4">
        <v>-1.3083083883987161</v>
      </c>
      <c r="U2741" s="4">
        <f t="shared" si="302"/>
        <v>-1.1811689566478407</v>
      </c>
      <c r="W2741" s="4">
        <f t="shared" si="303"/>
        <v>-0.37358496344983838</v>
      </c>
      <c r="X2741" s="4">
        <f t="shared" si="304"/>
        <v>-2.0167253571562225</v>
      </c>
      <c r="Y2741" s="3">
        <f t="shared" si="301"/>
        <v>-141.44384279819678</v>
      </c>
      <c r="AA2741" s="3"/>
    </row>
    <row r="2742" spans="19:27" x14ac:dyDescent="0.25">
      <c r="S2742" s="4">
        <v>0.99419725558268457</v>
      </c>
      <c r="T2742" s="4">
        <v>1.1333557190944978</v>
      </c>
      <c r="U2742" s="4">
        <f t="shared" si="302"/>
        <v>1.5044868625323402</v>
      </c>
      <c r="W2742" s="4">
        <f t="shared" si="303"/>
        <v>1.7189049172563753</v>
      </c>
      <c r="X2742" s="4">
        <f t="shared" si="304"/>
        <v>2.7183430594893214</v>
      </c>
      <c r="Y2742" s="3">
        <f t="shared" si="301"/>
        <v>3.9450167548925492</v>
      </c>
      <c r="AA2742" s="3"/>
    </row>
    <row r="2743" spans="19:27" x14ac:dyDescent="0.25">
      <c r="S2743" s="4">
        <v>-1.2105725393852833</v>
      </c>
      <c r="T2743" s="4">
        <v>0.2015417688970039</v>
      </c>
      <c r="U2743" s="4">
        <f t="shared" si="302"/>
        <v>-0.57823147843840195</v>
      </c>
      <c r="W2743" s="4">
        <f t="shared" si="303"/>
        <v>-2.0302107430689751</v>
      </c>
      <c r="X2743" s="4">
        <f t="shared" si="304"/>
        <v>-0.95368883926283021</v>
      </c>
      <c r="Y2743" s="3">
        <f t="shared" si="301"/>
        <v>240.74444345674056</v>
      </c>
      <c r="AA2743" s="3"/>
    </row>
    <row r="2744" spans="19:27" x14ac:dyDescent="0.25">
      <c r="S2744" s="4">
        <v>-0.65125093648953325</v>
      </c>
      <c r="T2744" s="4">
        <v>4.7958819769594692E-3</v>
      </c>
      <c r="U2744" s="4">
        <f t="shared" si="302"/>
        <v>-0.39321544413239751</v>
      </c>
      <c r="W2744" s="4">
        <f t="shared" si="303"/>
        <v>-1.0791085530078133</v>
      </c>
      <c r="X2744" s="4">
        <f t="shared" si="304"/>
        <v>-0.62748785164603438</v>
      </c>
      <c r="Y2744" s="3">
        <f t="shared" si="301"/>
        <v>113.20684305821442</v>
      </c>
      <c r="AA2744" s="3"/>
    </row>
    <row r="2745" spans="19:27" x14ac:dyDescent="0.25">
      <c r="S2745" s="4">
        <v>-1.3608638566163831</v>
      </c>
      <c r="T2745" s="4">
        <v>0.30692641475991106</v>
      </c>
      <c r="U2745" s="4">
        <f t="shared" si="302"/>
        <v>-0.58631485100597014</v>
      </c>
      <c r="W2745" s="4">
        <f t="shared" si="303"/>
        <v>-2.285774626576472</v>
      </c>
      <c r="X2745" s="4">
        <f t="shared" si="304"/>
        <v>-0.96794059925058429</v>
      </c>
      <c r="Y2745" s="3">
        <f t="shared" si="301"/>
        <v>283.17377311320615</v>
      </c>
      <c r="AA2745" s="3"/>
    </row>
    <row r="2746" spans="19:27" x14ac:dyDescent="0.25">
      <c r="S2746" s="4">
        <v>0.21511213344444449</v>
      </c>
      <c r="T2746" s="4">
        <v>0.63773698880299834</v>
      </c>
      <c r="U2746" s="4">
        <f t="shared" si="302"/>
        <v>0.63666617730487518</v>
      </c>
      <c r="W2746" s="4">
        <f t="shared" si="303"/>
        <v>0.39410436946158811</v>
      </c>
      <c r="X2746" s="4">
        <f t="shared" si="304"/>
        <v>1.188292079544085</v>
      </c>
      <c r="Y2746" s="3">
        <f t="shared" si="301"/>
        <v>56.074518501006423</v>
      </c>
      <c r="AA2746" s="3"/>
    </row>
    <row r="2747" spans="19:27" x14ac:dyDescent="0.25">
      <c r="S2747" s="4">
        <v>-0.14689627189072879</v>
      </c>
      <c r="T2747" s="4">
        <v>-1.004632576046552</v>
      </c>
      <c r="U2747" s="4">
        <f t="shared" si="302"/>
        <v>-0.88591546987161518</v>
      </c>
      <c r="W2747" s="4">
        <f t="shared" si="303"/>
        <v>-0.22147526370878723</v>
      </c>
      <c r="X2747" s="4">
        <f t="shared" si="304"/>
        <v>-1.4961651833044054</v>
      </c>
      <c r="Y2747" s="3">
        <f t="shared" si="301"/>
        <v>-113.99805432231096</v>
      </c>
      <c r="AA2747" s="3"/>
    </row>
    <row r="2748" spans="19:27" x14ac:dyDescent="0.25">
      <c r="S2748" s="4">
        <v>0.59754403236255849</v>
      </c>
      <c r="T2748" s="4">
        <v>-0.40555748645971024</v>
      </c>
      <c r="U2748" s="4">
        <f t="shared" si="302"/>
        <v>4.279399170507181E-2</v>
      </c>
      <c r="W2748" s="4">
        <f t="shared" si="303"/>
        <v>1.0444132699709465</v>
      </c>
      <c r="X2748" s="4">
        <f t="shared" si="304"/>
        <v>0.14123854071188857</v>
      </c>
      <c r="Y2748" s="3">
        <f t="shared" si="301"/>
        <v>-150.43990379884735</v>
      </c>
      <c r="AA2748" s="3"/>
    </row>
    <row r="2749" spans="19:27" x14ac:dyDescent="0.25">
      <c r="S2749" s="4">
        <v>1.2770068724438766</v>
      </c>
      <c r="T2749" s="4">
        <v>-1.8849097757728142</v>
      </c>
      <c r="U2749" s="4">
        <f t="shared" si="302"/>
        <v>-0.71566105384494494</v>
      </c>
      <c r="W2749" s="4">
        <f t="shared" si="303"/>
        <v>2.1998104366828657</v>
      </c>
      <c r="X2749" s="4">
        <f t="shared" si="304"/>
        <v>-1.1959903424462026</v>
      </c>
      <c r="Y2749" s="3">
        <f t="shared" si="301"/>
        <v>-459.7620936667081</v>
      </c>
      <c r="AA2749" s="3"/>
    </row>
    <row r="2750" spans="19:27" x14ac:dyDescent="0.25">
      <c r="S2750" s="4">
        <v>1.2614183182756329</v>
      </c>
      <c r="T2750" s="4">
        <v>0.27924363186143281</v>
      </c>
      <c r="U2750" s="4">
        <f t="shared" si="302"/>
        <v>0.9903429497174705</v>
      </c>
      <c r="W2750" s="4">
        <f t="shared" si="303"/>
        <v>2.1733027746641915</v>
      </c>
      <c r="X2750" s="4">
        <f t="shared" si="304"/>
        <v>1.8118581012181598</v>
      </c>
      <c r="Y2750" s="3">
        <f t="shared" si="301"/>
        <v>-155.02355867405595</v>
      </c>
      <c r="AA2750" s="3"/>
    </row>
    <row r="2751" spans="19:27" x14ac:dyDescent="0.25">
      <c r="S2751" s="4">
        <v>0.5566090032112323</v>
      </c>
      <c r="T2751" s="4">
        <v>-4.0025973355546024E-3</v>
      </c>
      <c r="U2751" s="4">
        <f t="shared" si="302"/>
        <v>0.33614844037301261</v>
      </c>
      <c r="W2751" s="4">
        <f t="shared" si="303"/>
        <v>0.97480502370533517</v>
      </c>
      <c r="X2751" s="4">
        <f t="shared" si="304"/>
        <v>0.65845052850638319</v>
      </c>
      <c r="Y2751" s="3">
        <f t="shared" si="301"/>
        <v>-87.924295076693397</v>
      </c>
      <c r="AA2751" s="3"/>
    </row>
    <row r="2752" spans="19:27" x14ac:dyDescent="0.25">
      <c r="S2752" s="4">
        <v>0.67237523011207956</v>
      </c>
      <c r="T2752" s="4">
        <v>1.1400880823707549</v>
      </c>
      <c r="U2752" s="4">
        <f t="shared" si="302"/>
        <v>1.3136336659973629</v>
      </c>
      <c r="W2752" s="4">
        <f t="shared" si="303"/>
        <v>1.1716604846252585</v>
      </c>
      <c r="X2752" s="4">
        <f t="shared" si="304"/>
        <v>2.3818505958330967</v>
      </c>
      <c r="Y2752" s="3">
        <f t="shared" si="301"/>
        <v>53.952211313511725</v>
      </c>
      <c r="AA2752" s="3"/>
    </row>
    <row r="2753" spans="19:27" x14ac:dyDescent="0.25">
      <c r="S2753" s="4">
        <v>-0.66829541541466586</v>
      </c>
      <c r="T2753" s="4">
        <v>-1.6446119763634985</v>
      </c>
      <c r="U2753" s="4">
        <f t="shared" si="302"/>
        <v>-1.7110785840620402</v>
      </c>
      <c r="W2753" s="4">
        <f t="shared" si="303"/>
        <v>-1.1080919520938064</v>
      </c>
      <c r="X2753" s="4">
        <f t="shared" si="304"/>
        <v>-2.9510067801612467</v>
      </c>
      <c r="Y2753" s="3">
        <f t="shared" si="301"/>
        <v>-114.3351164314231</v>
      </c>
      <c r="AA2753" s="3"/>
    </row>
    <row r="2754" spans="19:27" x14ac:dyDescent="0.25">
      <c r="S2754" s="4">
        <v>0.27986190927297178</v>
      </c>
      <c r="T2754" s="4">
        <v>-1.1904056673103922</v>
      </c>
      <c r="U2754" s="4">
        <f t="shared" si="302"/>
        <v>-0.77301500764694375</v>
      </c>
      <c r="W2754" s="4">
        <f t="shared" si="303"/>
        <v>0.50420856225093758</v>
      </c>
      <c r="X2754" s="4">
        <f t="shared" si="304"/>
        <v>-1.2971108558336897</v>
      </c>
      <c r="Y2754" s="3">
        <f t="shared" ref="Y2754:Y2817" si="305">(B$4*EXP(-B$8*B$7)*NORMSDIST((LN(B$4/(B$5+W2754))-B$8*B$7+B$9*B$7+0.5*B$6*B$6*B$7)/(B$6*SQRT(B$7)))-(B$5+W2754)*EXP(-B$9*B$7)*NORMSDIST((LN(B$4/(B$5+W2754))-B$8*B$7+B$9*B$7-0.5*B$6*B$6*B$7)/(B$6*SQRT(B$7))))*400+100*X2754-400*$B$13</f>
        <v>-209.85525145422298</v>
      </c>
      <c r="AA2754" s="3"/>
    </row>
    <row r="2755" spans="19:27" x14ac:dyDescent="0.25">
      <c r="S2755" s="4">
        <v>0.58494468809459543</v>
      </c>
      <c r="T2755" s="4">
        <v>0.36523831588883071</v>
      </c>
      <c r="U2755" s="4">
        <f t="shared" ref="U2755:U2818" si="306">$B$19*S2755+SQRT(1-$B$19^2)*T2755</f>
        <v>0.64611683107854345</v>
      </c>
      <c r="W2755" s="4">
        <f t="shared" ref="W2755:W2818" si="307">S2755*SQRT($B$16)+$B$20</f>
        <v>1.0229886300776296</v>
      </c>
      <c r="X2755" s="4">
        <f t="shared" ref="X2755:X2818" si="308">U2755*SQRT($C$17)+$C$20</f>
        <v>1.2049544872438209</v>
      </c>
      <c r="Y2755" s="3">
        <f t="shared" si="305"/>
        <v>-40.748534135097998</v>
      </c>
      <c r="AA2755" s="3"/>
    </row>
    <row r="2756" spans="19:27" x14ac:dyDescent="0.25">
      <c r="S2756" s="4">
        <v>0.74252137248919137</v>
      </c>
      <c r="T2756" s="4">
        <v>-0.40316724825040295</v>
      </c>
      <c r="U2756" s="4">
        <f t="shared" si="306"/>
        <v>0.13307013571128007</v>
      </c>
      <c r="W2756" s="4">
        <f t="shared" si="307"/>
        <v>1.2909409652893464</v>
      </c>
      <c r="X2756" s="4">
        <f t="shared" si="308"/>
        <v>0.30040402841419162</v>
      </c>
      <c r="Y2756" s="3">
        <f t="shared" si="305"/>
        <v>-172.5555524518627</v>
      </c>
      <c r="AA2756" s="3"/>
    </row>
    <row r="2757" spans="19:27" x14ac:dyDescent="0.25">
      <c r="S2757" s="4">
        <v>-0.54010150234815502</v>
      </c>
      <c r="T2757" s="4">
        <v>0.42608604015340723</v>
      </c>
      <c r="U2757" s="4">
        <f t="shared" si="306"/>
        <v>8.4970769143751235E-3</v>
      </c>
      <c r="W2757" s="4">
        <f t="shared" si="307"/>
        <v>-0.89010374845777784</v>
      </c>
      <c r="X2757" s="4">
        <f t="shared" si="308"/>
        <v>8.0769795292609678E-2</v>
      </c>
      <c r="Y2757" s="3">
        <f t="shared" si="305"/>
        <v>152.77462056365857</v>
      </c>
      <c r="AA2757" s="3"/>
    </row>
    <row r="2758" spans="19:27" x14ac:dyDescent="0.25">
      <c r="S2758" s="4">
        <v>-1.5192639468594837</v>
      </c>
      <c r="T2758" s="4">
        <v>-1.3459651924046863</v>
      </c>
      <c r="U2758" s="4">
        <f t="shared" si="306"/>
        <v>-1.9931130653895806</v>
      </c>
      <c r="W2758" s="4">
        <f t="shared" si="307"/>
        <v>-2.5551271278139018</v>
      </c>
      <c r="X2758" s="4">
        <f t="shared" si="308"/>
        <v>-3.4482605814121836</v>
      </c>
      <c r="Y2758" s="3">
        <f t="shared" si="305"/>
        <v>81.740848327685399</v>
      </c>
      <c r="AA2758" s="3"/>
    </row>
    <row r="2759" spans="19:27" x14ac:dyDescent="0.25">
      <c r="S2759" s="4">
        <v>0.20091268103248375</v>
      </c>
      <c r="T2759" s="4">
        <v>5.6549704026176956E-2</v>
      </c>
      <c r="U2759" s="4">
        <f t="shared" si="306"/>
        <v>0.16730735214660208</v>
      </c>
      <c r="W2759" s="4">
        <f t="shared" si="307"/>
        <v>0.3699588148883951</v>
      </c>
      <c r="X2759" s="4">
        <f t="shared" si="308"/>
        <v>0.3607675199155852</v>
      </c>
      <c r="Y2759" s="3">
        <f t="shared" si="305"/>
        <v>-22.856149801049014</v>
      </c>
      <c r="AA2759" s="3"/>
    </row>
    <row r="2760" spans="19:27" x14ac:dyDescent="0.25">
      <c r="S2760" s="4">
        <v>0.64228671829773387</v>
      </c>
      <c r="T2760" s="4">
        <v>1.2579263392220668</v>
      </c>
      <c r="U2760" s="4">
        <f t="shared" si="306"/>
        <v>1.3887004835966852</v>
      </c>
      <c r="W2760" s="4">
        <f t="shared" si="307"/>
        <v>1.120496271882274</v>
      </c>
      <c r="X2760" s="4">
        <f t="shared" si="308"/>
        <v>2.5142005844705633</v>
      </c>
      <c r="Y2760" s="3">
        <f t="shared" si="305"/>
        <v>75.085982292470362</v>
      </c>
      <c r="AA2760" s="3"/>
    </row>
    <row r="2761" spans="19:27" x14ac:dyDescent="0.25">
      <c r="S2761" s="4">
        <v>1.0614834006051084</v>
      </c>
      <c r="T2761" s="4">
        <v>0.92698214445139671</v>
      </c>
      <c r="U2761" s="4">
        <f t="shared" si="306"/>
        <v>1.381915312276949</v>
      </c>
      <c r="W2761" s="4">
        <f t="shared" si="307"/>
        <v>1.8333220961392875</v>
      </c>
      <c r="X2761" s="4">
        <f t="shared" si="308"/>
        <v>2.5022376776125208</v>
      </c>
      <c r="Y2761" s="3">
        <f t="shared" si="305"/>
        <v>-34.965790525829107</v>
      </c>
      <c r="AA2761" s="3"/>
    </row>
    <row r="2762" spans="19:27" x14ac:dyDescent="0.25">
      <c r="S2762" s="4">
        <v>-0.95472848472897398</v>
      </c>
      <c r="T2762" s="4">
        <v>-1.0949108726319181</v>
      </c>
      <c r="U2762" s="4">
        <f t="shared" si="306"/>
        <v>-1.4499508962382464</v>
      </c>
      <c r="W2762" s="4">
        <f t="shared" si="307"/>
        <v>-1.5951589956700865</v>
      </c>
      <c r="X2762" s="4">
        <f t="shared" si="308"/>
        <v>-2.4906136581179452</v>
      </c>
      <c r="Y2762" s="3">
        <f t="shared" si="305"/>
        <v>13.198117987366459</v>
      </c>
      <c r="AA2762" s="3"/>
    </row>
    <row r="2763" spans="19:27" x14ac:dyDescent="0.25">
      <c r="S2763" s="4">
        <v>-0.53870550248763882</v>
      </c>
      <c r="T2763" s="4">
        <v>-0.22615287407084811</v>
      </c>
      <c r="U2763" s="4">
        <f t="shared" si="306"/>
        <v>-0.50767647217079903</v>
      </c>
      <c r="W2763" s="4">
        <f t="shared" si="307"/>
        <v>-0.88772991108445276</v>
      </c>
      <c r="X2763" s="4">
        <f t="shared" si="308"/>
        <v>-0.82929360610300695</v>
      </c>
      <c r="Y2763" s="3">
        <f t="shared" si="305"/>
        <v>61.376882928082978</v>
      </c>
      <c r="AA2763" s="3"/>
    </row>
    <row r="2764" spans="19:27" x14ac:dyDescent="0.25">
      <c r="S2764" s="4">
        <v>-0.3892352937019159</v>
      </c>
      <c r="T2764" s="4">
        <v>1.1626221187435128</v>
      </c>
      <c r="U2764" s="4">
        <f t="shared" si="306"/>
        <v>0.68431475496937222</v>
      </c>
      <c r="W2764" s="4">
        <f t="shared" si="307"/>
        <v>-0.63356228696803329</v>
      </c>
      <c r="X2764" s="4">
        <f t="shared" si="308"/>
        <v>1.2723010853094308</v>
      </c>
      <c r="Y2764" s="3">
        <f t="shared" si="305"/>
        <v>229.80003136730375</v>
      </c>
      <c r="AA2764" s="3"/>
    </row>
    <row r="2765" spans="19:27" x14ac:dyDescent="0.25">
      <c r="S2765" s="4">
        <v>2.8621924775560519</v>
      </c>
      <c r="T2765" s="4">
        <v>-0.19835065991173004</v>
      </c>
      <c r="U2765" s="4">
        <f t="shared" si="306"/>
        <v>1.5876254100730971</v>
      </c>
      <c r="W2765" s="4">
        <f t="shared" si="307"/>
        <v>4.8953499847175017</v>
      </c>
      <c r="X2765" s="4">
        <f t="shared" si="308"/>
        <v>2.8649242810496451</v>
      </c>
      <c r="Y2765" s="3">
        <f t="shared" si="305"/>
        <v>-437.76889410868807</v>
      </c>
      <c r="AA2765" s="3"/>
    </row>
    <row r="2766" spans="19:27" x14ac:dyDescent="0.25">
      <c r="S2766" s="4">
        <v>-0.73853191884503844</v>
      </c>
      <c r="T2766" s="4">
        <v>4.7114698024615854E-2</v>
      </c>
      <c r="U2766" s="4">
        <f t="shared" si="306"/>
        <v>-0.41287809064482267</v>
      </c>
      <c r="W2766" s="4">
        <f t="shared" si="307"/>
        <v>-1.2275260878200402</v>
      </c>
      <c r="X2766" s="4">
        <f t="shared" si="308"/>
        <v>-0.66215498055500632</v>
      </c>
      <c r="Y2766" s="3">
        <f t="shared" si="305"/>
        <v>134.4173863860342</v>
      </c>
      <c r="AA2766" s="3"/>
    </row>
    <row r="2767" spans="19:27" x14ac:dyDescent="0.25">
      <c r="S2767" s="4">
        <v>-8.8620508192800471E-2</v>
      </c>
      <c r="T2767" s="4">
        <v>0.44449938445717335</v>
      </c>
      <c r="U2767" s="4">
        <f t="shared" si="306"/>
        <v>0.29832607540072797</v>
      </c>
      <c r="W2767" s="4">
        <f t="shared" si="307"/>
        <v>-0.12237984848857968</v>
      </c>
      <c r="X2767" s="4">
        <f t="shared" si="308"/>
        <v>0.5917660767817482</v>
      </c>
      <c r="Y2767" s="3">
        <f t="shared" si="305"/>
        <v>78.826771702103542</v>
      </c>
      <c r="AA2767" s="3"/>
    </row>
    <row r="2768" spans="19:27" x14ac:dyDescent="0.25">
      <c r="S2768" s="4">
        <v>0.6907545574378815</v>
      </c>
      <c r="T2768" s="4">
        <v>-1.5182351062443022</v>
      </c>
      <c r="U2768" s="4">
        <f t="shared" si="306"/>
        <v>-0.78239346136557164</v>
      </c>
      <c r="W2768" s="4">
        <f t="shared" si="307"/>
        <v>1.2029137356724549</v>
      </c>
      <c r="X2768" s="4">
        <f t="shared" si="308"/>
        <v>-1.3136459679217318</v>
      </c>
      <c r="Y2768" s="3">
        <f t="shared" si="305"/>
        <v>-320.41581764405601</v>
      </c>
      <c r="AA2768" s="3"/>
    </row>
    <row r="2769" spans="19:27" x14ac:dyDescent="0.25">
      <c r="S2769" s="4">
        <v>0.69390423808013657</v>
      </c>
      <c r="T2769" s="4">
        <v>-1.8843108079646702</v>
      </c>
      <c r="U2769" s="4">
        <f t="shared" si="306"/>
        <v>-1.0706586328523413</v>
      </c>
      <c r="W2769" s="4">
        <f t="shared" si="307"/>
        <v>1.2082696313527446</v>
      </c>
      <c r="X2769" s="4">
        <f t="shared" si="308"/>
        <v>-1.821885072641628</v>
      </c>
      <c r="Y2769" s="3">
        <f t="shared" si="305"/>
        <v>-372.06495987378185</v>
      </c>
      <c r="AA2769" s="3"/>
    </row>
    <row r="2770" spans="19:27" x14ac:dyDescent="0.25">
      <c r="S2770" s="4">
        <v>2.0150754406754481</v>
      </c>
      <c r="T2770" s="4">
        <v>0.75332634615806304</v>
      </c>
      <c r="U2770" s="4">
        <f t="shared" si="306"/>
        <v>1.825590730959703</v>
      </c>
      <c r="W2770" s="4">
        <f t="shared" si="307"/>
        <v>3.4548641088922567</v>
      </c>
      <c r="X2770" s="4">
        <f t="shared" si="308"/>
        <v>3.2844799319040607</v>
      </c>
      <c r="Y2770" s="3">
        <f t="shared" si="305"/>
        <v>-194.93855819762575</v>
      </c>
      <c r="AA2770" s="3"/>
    </row>
    <row r="2771" spans="19:27" x14ac:dyDescent="0.25">
      <c r="S2771" s="4">
        <v>0.13053183073722699</v>
      </c>
      <c r="T2771" s="4">
        <v>1.4736950883374447</v>
      </c>
      <c r="U2771" s="4">
        <f t="shared" si="306"/>
        <v>1.2477614513002462</v>
      </c>
      <c r="W2771" s="4">
        <f t="shared" si="307"/>
        <v>0.25027922356271898</v>
      </c>
      <c r="X2771" s="4">
        <f t="shared" si="308"/>
        <v>2.2657115726867785</v>
      </c>
      <c r="Y2771" s="3">
        <f t="shared" si="305"/>
        <v>186.62554008151437</v>
      </c>
      <c r="AA2771" s="3"/>
    </row>
    <row r="2772" spans="19:27" x14ac:dyDescent="0.25">
      <c r="S2772" s="4">
        <v>-0.86373556044289301</v>
      </c>
      <c r="T2772" s="4">
        <v>0.37964133625821139</v>
      </c>
      <c r="U2772" s="4">
        <f t="shared" si="306"/>
        <v>-0.22561381187551277</v>
      </c>
      <c r="W2772" s="4">
        <f t="shared" si="307"/>
        <v>-1.4404294641796112</v>
      </c>
      <c r="X2772" s="4">
        <f t="shared" si="308"/>
        <v>-0.33199012263321148</v>
      </c>
      <c r="Y2772" s="3">
        <f t="shared" si="305"/>
        <v>203.03595666412639</v>
      </c>
      <c r="AA2772" s="3"/>
    </row>
    <row r="2773" spans="19:27" x14ac:dyDescent="0.25">
      <c r="S2773" s="4">
        <v>0.38843282304285209</v>
      </c>
      <c r="T2773" s="4">
        <v>0.86113471822537613</v>
      </c>
      <c r="U2773" s="4">
        <f t="shared" si="306"/>
        <v>0.91941193395222542</v>
      </c>
      <c r="W2773" s="4">
        <f t="shared" si="307"/>
        <v>0.68882870445331434</v>
      </c>
      <c r="X2773" s="4">
        <f t="shared" si="308"/>
        <v>1.6867999273032594</v>
      </c>
      <c r="Y2773" s="3">
        <f t="shared" si="305"/>
        <v>59.517001846525545</v>
      </c>
      <c r="AA2773" s="3"/>
    </row>
    <row r="2774" spans="19:27" x14ac:dyDescent="0.25">
      <c r="S2774" s="4">
        <v>-1.5177963763813445</v>
      </c>
      <c r="T2774" s="4">
        <v>2.2470711184563261</v>
      </c>
      <c r="U2774" s="4">
        <f t="shared" si="306"/>
        <v>0.85595280569832077</v>
      </c>
      <c r="W2774" s="4">
        <f t="shared" si="307"/>
        <v>-2.5526315877013781</v>
      </c>
      <c r="X2774" s="4">
        <f t="shared" si="308"/>
        <v>1.5749154066595652</v>
      </c>
      <c r="Y2774" s="3">
        <f t="shared" si="305"/>
        <v>583.6249217079403</v>
      </c>
      <c r="AA2774" s="3"/>
    </row>
    <row r="2775" spans="19:27" x14ac:dyDescent="0.25">
      <c r="S2775" s="4">
        <v>-1.5754486153211182</v>
      </c>
      <c r="T2775" s="4">
        <v>0.29495713844171662</v>
      </c>
      <c r="U2775" s="4">
        <f t="shared" si="306"/>
        <v>-0.72661845750592879</v>
      </c>
      <c r="W2775" s="4">
        <f t="shared" si="307"/>
        <v>-2.6506667260433678</v>
      </c>
      <c r="X2775" s="4">
        <f t="shared" si="308"/>
        <v>-1.2153092944999317</v>
      </c>
      <c r="Y2775" s="3">
        <f t="shared" si="305"/>
        <v>321.65829706143995</v>
      </c>
      <c r="AA2775" s="3"/>
    </row>
    <row r="2776" spans="19:27" x14ac:dyDescent="0.25">
      <c r="S2776" s="4">
        <v>-0.44714501859773625</v>
      </c>
      <c r="T2776" s="4">
        <v>-0.8906099583620376</v>
      </c>
      <c r="U2776" s="4">
        <f t="shared" si="306"/>
        <v>-0.97856898595303488</v>
      </c>
      <c r="W2776" s="4">
        <f t="shared" si="307"/>
        <v>-0.73203526903970906</v>
      </c>
      <c r="X2776" s="4">
        <f t="shared" si="308"/>
        <v>-1.6595222056581533</v>
      </c>
      <c r="Y2776" s="3">
        <f t="shared" si="305"/>
        <v>-47.252376567236752</v>
      </c>
      <c r="AA2776" s="3"/>
    </row>
    <row r="2777" spans="19:27" x14ac:dyDescent="0.25">
      <c r="S2777" s="4">
        <v>-5.5074987614660224E-2</v>
      </c>
      <c r="T2777" s="4">
        <v>0.14177443315606528</v>
      </c>
      <c r="U2777" s="4">
        <f t="shared" si="306"/>
        <v>7.8808520377583097E-2</v>
      </c>
      <c r="W2777" s="4">
        <f t="shared" si="307"/>
        <v>-6.5337141889318093E-2</v>
      </c>
      <c r="X2777" s="4">
        <f t="shared" si="308"/>
        <v>0.20473560390207787</v>
      </c>
      <c r="Y2777" s="3">
        <f t="shared" si="305"/>
        <v>30.954903167689281</v>
      </c>
      <c r="AA2777" s="3"/>
    </row>
    <row r="2778" spans="19:27" x14ac:dyDescent="0.25">
      <c r="S2778" s="4">
        <v>1.783915384663064</v>
      </c>
      <c r="T2778" s="4">
        <v>0.43827028394684742</v>
      </c>
      <c r="U2778" s="4">
        <f t="shared" si="306"/>
        <v>1.4349279771719057</v>
      </c>
      <c r="W2778" s="4">
        <f t="shared" si="307"/>
        <v>3.0617864333835967</v>
      </c>
      <c r="X2778" s="4">
        <f t="shared" si="308"/>
        <v>2.5957040828881413</v>
      </c>
      <c r="Y2778" s="3">
        <f t="shared" si="305"/>
        <v>-207.26315234706271</v>
      </c>
      <c r="AA2778" s="3"/>
    </row>
    <row r="2779" spans="19:27" x14ac:dyDescent="0.25">
      <c r="S2779" s="4">
        <v>-0.45760011175418064</v>
      </c>
      <c r="T2779" s="4">
        <v>1.0488990674011327</v>
      </c>
      <c r="U2779" s="4">
        <f t="shared" si="306"/>
        <v>0.55249068137034829</v>
      </c>
      <c r="W2779" s="4">
        <f t="shared" si="307"/>
        <v>-0.74981370267593161</v>
      </c>
      <c r="X2779" s="4">
        <f t="shared" si="308"/>
        <v>1.0398826186561583</v>
      </c>
      <c r="Y2779" s="3">
        <f t="shared" si="305"/>
        <v>225.60562564392603</v>
      </c>
      <c r="AA2779" s="3"/>
    </row>
    <row r="2780" spans="19:27" x14ac:dyDescent="0.25">
      <c r="S2780" s="4">
        <v>-1.3174640198529735</v>
      </c>
      <c r="T2780" s="4">
        <v>-0.34119050782771165</v>
      </c>
      <c r="U2780" s="4">
        <f t="shared" si="306"/>
        <v>-1.0736144540592027</v>
      </c>
      <c r="W2780" s="4">
        <f t="shared" si="307"/>
        <v>-2.211975081591492</v>
      </c>
      <c r="X2780" s="4">
        <f t="shared" si="308"/>
        <v>-1.8270964685107134</v>
      </c>
      <c r="Y2780" s="3">
        <f t="shared" si="305"/>
        <v>184.55840994920709</v>
      </c>
      <c r="AA2780" s="3"/>
    </row>
    <row r="2781" spans="19:27" x14ac:dyDescent="0.25">
      <c r="S2781" s="4">
        <v>-0.80906973160700091</v>
      </c>
      <c r="T2781" s="4">
        <v>-0.53631883399623892</v>
      </c>
      <c r="U2781" s="4">
        <f t="shared" si="306"/>
        <v>-0.918362619548593</v>
      </c>
      <c r="W2781" s="4">
        <f t="shared" si="307"/>
        <v>-1.3474725870303186</v>
      </c>
      <c r="X2781" s="4">
        <f t="shared" si="308"/>
        <v>-1.5533726156746963</v>
      </c>
      <c r="Y2781" s="3">
        <f t="shared" si="305"/>
        <v>65.323854592782482</v>
      </c>
      <c r="AA2781" s="3"/>
    </row>
    <row r="2782" spans="19:27" x14ac:dyDescent="0.25">
      <c r="S2782" s="4">
        <v>0.47064373233093493</v>
      </c>
      <c r="T2782" s="4">
        <v>1.3873862504562677</v>
      </c>
      <c r="U2782" s="4">
        <f t="shared" si="306"/>
        <v>1.3866849280862172</v>
      </c>
      <c r="W2782" s="4">
        <f t="shared" si="307"/>
        <v>0.82862479934040723</v>
      </c>
      <c r="X2782" s="4">
        <f t="shared" si="308"/>
        <v>2.510646967074226</v>
      </c>
      <c r="Y2782" s="3">
        <f t="shared" si="305"/>
        <v>120.04432089475813</v>
      </c>
      <c r="AA2782" s="3"/>
    </row>
    <row r="2783" spans="19:27" x14ac:dyDescent="0.25">
      <c r="S2783" s="4">
        <v>0.15744535160518974</v>
      </c>
      <c r="T2783" s="4">
        <v>-2.2481264451629048</v>
      </c>
      <c r="U2783" s="4">
        <f t="shared" si="306"/>
        <v>-1.6860896914119077</v>
      </c>
      <c r="W2783" s="4">
        <f t="shared" si="307"/>
        <v>0.2960445015481416</v>
      </c>
      <c r="X2783" s="4">
        <f t="shared" si="308"/>
        <v>-2.9069489692125945</v>
      </c>
      <c r="Y2783" s="3">
        <f t="shared" si="305"/>
        <v>-337.90992191806481</v>
      </c>
      <c r="AA2783" s="3"/>
    </row>
    <row r="2784" spans="19:27" x14ac:dyDescent="0.25">
      <c r="S2784" s="4">
        <v>0.72351590153113121</v>
      </c>
      <c r="T2784" s="4">
        <v>-0.7582658037426353</v>
      </c>
      <c r="U2784" s="4">
        <f t="shared" si="306"/>
        <v>-0.15999981430775428</v>
      </c>
      <c r="W2784" s="4">
        <f t="shared" si="307"/>
        <v>1.2586229840818084</v>
      </c>
      <c r="X2784" s="4">
        <f t="shared" si="308"/>
        <v>-0.21630636101561504</v>
      </c>
      <c r="Y2784" s="3">
        <f t="shared" si="305"/>
        <v>-219.25838619557817</v>
      </c>
      <c r="AA2784" s="3"/>
    </row>
    <row r="2785" spans="19:27" x14ac:dyDescent="0.25">
      <c r="S2785" s="4">
        <v>-1.4891935395918632</v>
      </c>
      <c r="T2785" s="4">
        <v>1.0288280270636763</v>
      </c>
      <c r="U2785" s="4">
        <f t="shared" si="306"/>
        <v>-9.2301842487945485E-2</v>
      </c>
      <c r="W2785" s="4">
        <f t="shared" si="307"/>
        <v>-2.5039937010694393</v>
      </c>
      <c r="X2785" s="4">
        <f t="shared" si="308"/>
        <v>-9.6948353207753551E-2</v>
      </c>
      <c r="Y2785" s="3">
        <f t="shared" si="305"/>
        <v>407.99584803764265</v>
      </c>
      <c r="AA2785" s="3"/>
    </row>
    <row r="2786" spans="19:27" x14ac:dyDescent="0.25">
      <c r="S2786" s="4">
        <v>-1.3810055780485857</v>
      </c>
      <c r="T2786" s="4">
        <v>7.8123702982731816E-2</v>
      </c>
      <c r="U2786" s="4">
        <f t="shared" si="306"/>
        <v>-0.77996377732771216</v>
      </c>
      <c r="W2786" s="4">
        <f t="shared" si="307"/>
        <v>-2.3200247525622908</v>
      </c>
      <c r="X2786" s="4">
        <f t="shared" si="308"/>
        <v>-1.3093622022701792</v>
      </c>
      <c r="Y2786" s="3">
        <f t="shared" si="305"/>
        <v>254.9354405389231</v>
      </c>
      <c r="AA2786" s="3"/>
    </row>
    <row r="2787" spans="19:27" x14ac:dyDescent="0.25">
      <c r="S2787" s="4">
        <v>-1.7076947076002376</v>
      </c>
      <c r="T2787" s="4">
        <v>1.3598409930971518</v>
      </c>
      <c r="U2787" s="4">
        <f t="shared" si="306"/>
        <v>3.6886306668472368E-2</v>
      </c>
      <c r="W2787" s="4">
        <f t="shared" si="307"/>
        <v>-2.8755454851374349</v>
      </c>
      <c r="X2787" s="4">
        <f t="shared" si="308"/>
        <v>0.13082272620858765</v>
      </c>
      <c r="Y2787" s="3">
        <f t="shared" si="305"/>
        <v>495.59065202331112</v>
      </c>
      <c r="AA2787" s="3"/>
    </row>
    <row r="2788" spans="19:27" x14ac:dyDescent="0.25">
      <c r="S2788" s="4">
        <v>-1.1280167725075161</v>
      </c>
      <c r="T2788" s="4">
        <v>1.185754373219486</v>
      </c>
      <c r="U2788" s="4">
        <f t="shared" si="306"/>
        <v>0.25227383540876391</v>
      </c>
      <c r="W2788" s="4">
        <f t="shared" si="307"/>
        <v>-1.8898282327688001</v>
      </c>
      <c r="X2788" s="4">
        <f t="shared" si="308"/>
        <v>0.51057156721562857</v>
      </c>
      <c r="Y2788" s="3">
        <f t="shared" si="305"/>
        <v>363.2293056253784</v>
      </c>
      <c r="AA2788" s="3"/>
    </row>
    <row r="2789" spans="19:27" x14ac:dyDescent="0.25">
      <c r="S2789" s="4">
        <v>0.61956214285896671</v>
      </c>
      <c r="T2789" s="4">
        <v>-9.2178568007075676E-2</v>
      </c>
      <c r="U2789" s="4">
        <f t="shared" si="306"/>
        <v>0.30462969068990237</v>
      </c>
      <c r="W2789" s="4">
        <f t="shared" si="307"/>
        <v>1.0818541143898339</v>
      </c>
      <c r="X2789" s="4">
        <f t="shared" si="308"/>
        <v>0.6028799542388994</v>
      </c>
      <c r="Y2789" s="3">
        <f t="shared" si="305"/>
        <v>-110.07167055899617</v>
      </c>
      <c r="AA2789" s="3"/>
    </row>
    <row r="2790" spans="19:27" x14ac:dyDescent="0.25">
      <c r="S2790" s="4">
        <v>1.6936367079509467</v>
      </c>
      <c r="T2790" s="4">
        <v>0.66281225340361793</v>
      </c>
      <c r="U2790" s="4">
        <f t="shared" si="306"/>
        <v>1.5578847086690102</v>
      </c>
      <c r="W2790" s="4">
        <f t="shared" si="307"/>
        <v>2.9082714489950492</v>
      </c>
      <c r="X2790" s="4">
        <f t="shared" si="308"/>
        <v>2.8124885761832017</v>
      </c>
      <c r="Y2790" s="3">
        <f t="shared" si="305"/>
        <v>-163.29307080426634</v>
      </c>
      <c r="AA2790" s="3"/>
    </row>
    <row r="2791" spans="19:27" x14ac:dyDescent="0.25">
      <c r="S2791" s="4">
        <v>-9.579956601248758E-3</v>
      </c>
      <c r="T2791" s="4">
        <v>1.6498563718527484</v>
      </c>
      <c r="U2791" s="4">
        <f t="shared" si="306"/>
        <v>1.3019878230738426</v>
      </c>
      <c r="W2791" s="4">
        <f t="shared" si="307"/>
        <v>1.20251902818946E-2</v>
      </c>
      <c r="X2791" s="4">
        <f t="shared" si="308"/>
        <v>2.3613178594271305</v>
      </c>
      <c r="Y2791" s="3">
        <f t="shared" si="305"/>
        <v>234.20511840953804</v>
      </c>
      <c r="AA2791" s="3"/>
    </row>
    <row r="2792" spans="19:27" x14ac:dyDescent="0.25">
      <c r="S2792" s="4">
        <v>-1.1126719650781971</v>
      </c>
      <c r="T2792" s="4">
        <v>1.1114840828605312</v>
      </c>
      <c r="U2792" s="4">
        <f t="shared" si="306"/>
        <v>0.20275490597688695</v>
      </c>
      <c r="W2792" s="4">
        <f t="shared" si="307"/>
        <v>-1.8637350515354403</v>
      </c>
      <c r="X2792" s="4">
        <f t="shared" si="308"/>
        <v>0.42326495215928983</v>
      </c>
      <c r="Y2792" s="3">
        <f t="shared" si="305"/>
        <v>350.06021675076227</v>
      </c>
      <c r="AA2792" s="3"/>
    </row>
    <row r="2793" spans="19:27" x14ac:dyDescent="0.25">
      <c r="S2793" s="4">
        <v>-1.1341920684237672</v>
      </c>
      <c r="T2793" s="4">
        <v>0.64750182774666221</v>
      </c>
      <c r="U2793" s="4">
        <f t="shared" si="306"/>
        <v>-0.1781592597343854</v>
      </c>
      <c r="W2793" s="4">
        <f t="shared" si="307"/>
        <v>-1.9003290563375921</v>
      </c>
      <c r="X2793" s="4">
        <f t="shared" si="308"/>
        <v>-0.24832320244754783</v>
      </c>
      <c r="Y2793" s="3">
        <f t="shared" si="305"/>
        <v>289.12703227128713</v>
      </c>
      <c r="AA2793" s="3"/>
    </row>
    <row r="2794" spans="19:27" x14ac:dyDescent="0.25">
      <c r="S2794" s="4">
        <v>2.2272901520625124</v>
      </c>
      <c r="T2794" s="4">
        <v>-0.64075438497792203</v>
      </c>
      <c r="U2794" s="4">
        <f t="shared" si="306"/>
        <v>0.8498848845955721</v>
      </c>
      <c r="W2794" s="4">
        <f t="shared" si="307"/>
        <v>3.8157260454212025</v>
      </c>
      <c r="X2794" s="4">
        <f t="shared" si="308"/>
        <v>1.5642170806257054</v>
      </c>
      <c r="Y2794" s="3">
        <f t="shared" si="305"/>
        <v>-418.22186310507095</v>
      </c>
      <c r="AA2794" s="3"/>
    </row>
    <row r="2795" spans="19:27" x14ac:dyDescent="0.25">
      <c r="S2795" s="4">
        <v>1.1756552921058974</v>
      </c>
      <c r="T2795" s="4">
        <v>-1.4602552987151449</v>
      </c>
      <c r="U2795" s="4">
        <f t="shared" si="306"/>
        <v>-0.44082702378991589</v>
      </c>
      <c r="W2795" s="4">
        <f t="shared" si="307"/>
        <v>2.027466458680681</v>
      </c>
      <c r="X2795" s="4">
        <f t="shared" si="308"/>
        <v>-0.71143162638174773</v>
      </c>
      <c r="Y2795" s="3">
        <f t="shared" si="305"/>
        <v>-385.5380328385063</v>
      </c>
      <c r="AA2795" s="3"/>
    </row>
    <row r="2796" spans="19:27" x14ac:dyDescent="0.25">
      <c r="S2796" s="4">
        <v>0.67361604818779264</v>
      </c>
      <c r="T2796" s="4">
        <v>-1.471230218987045</v>
      </c>
      <c r="U2796" s="4">
        <f t="shared" si="306"/>
        <v>-0.75558108001633806</v>
      </c>
      <c r="W2796" s="4">
        <f t="shared" si="307"/>
        <v>1.1737704420865265</v>
      </c>
      <c r="X2796" s="4">
        <f t="shared" si="308"/>
        <v>-1.2663731717595761</v>
      </c>
      <c r="Y2796" s="3">
        <f t="shared" si="305"/>
        <v>-311.19561738478933</v>
      </c>
      <c r="AA2796" s="3"/>
    </row>
    <row r="2797" spans="19:27" x14ac:dyDescent="0.25">
      <c r="S2797" s="4">
        <v>0.57286329180265161</v>
      </c>
      <c r="T2797" s="4">
        <v>0.94209411468001292</v>
      </c>
      <c r="U2797" s="4">
        <f t="shared" si="306"/>
        <v>1.0960207301215126</v>
      </c>
      <c r="W2797" s="4">
        <f t="shared" si="307"/>
        <v>1.0024447383116499</v>
      </c>
      <c r="X2797" s="4">
        <f t="shared" si="308"/>
        <v>1.9981781489170238</v>
      </c>
      <c r="Y2797" s="3">
        <f t="shared" si="305"/>
        <v>41.759324966832992</v>
      </c>
      <c r="AA2797" s="3"/>
    </row>
    <row r="2798" spans="19:27" x14ac:dyDescent="0.25">
      <c r="S2798" s="4">
        <v>-0.46660498610344286</v>
      </c>
      <c r="T2798" s="4">
        <v>-1.4236396277966819</v>
      </c>
      <c r="U2798" s="4">
        <f t="shared" si="306"/>
        <v>-1.4129605811513823</v>
      </c>
      <c r="W2798" s="4">
        <f t="shared" si="307"/>
        <v>-0.76512610196547814</v>
      </c>
      <c r="X2798" s="4">
        <f t="shared" si="308"/>
        <v>-2.4253961900273979</v>
      </c>
      <c r="Y2798" s="3">
        <f t="shared" si="305"/>
        <v>-118.40809685274826</v>
      </c>
      <c r="AA2798" s="3"/>
    </row>
    <row r="2799" spans="19:27" x14ac:dyDescent="0.25">
      <c r="S2799" s="4">
        <v>-1.839375693501428</v>
      </c>
      <c r="T2799" s="4">
        <v>-0.65260846059049038</v>
      </c>
      <c r="U2799" s="4">
        <f t="shared" si="306"/>
        <v>-1.6386419808415535</v>
      </c>
      <c r="W2799" s="4">
        <f t="shared" si="307"/>
        <v>-3.0994633052817404</v>
      </c>
      <c r="X2799" s="4">
        <f t="shared" si="308"/>
        <v>-2.8232941113714265</v>
      </c>
      <c r="Y2799" s="3">
        <f t="shared" si="305"/>
        <v>239.60125279625845</v>
      </c>
      <c r="AA2799" s="3"/>
    </row>
    <row r="2800" spans="19:27" x14ac:dyDescent="0.25">
      <c r="S2800" s="4">
        <v>-2.8083201525990749</v>
      </c>
      <c r="T2800" s="4">
        <v>-0.42981876209728986</v>
      </c>
      <c r="U2800" s="4">
        <f t="shared" si="306"/>
        <v>-2.0527285261564576</v>
      </c>
      <c r="W2800" s="4">
        <f t="shared" si="307"/>
        <v>-4.7471114424611782</v>
      </c>
      <c r="X2800" s="4">
        <f t="shared" si="308"/>
        <v>-3.5533683481651028</v>
      </c>
      <c r="Y2800" s="3">
        <f t="shared" si="305"/>
        <v>465.06888087687821</v>
      </c>
      <c r="AA2800" s="3"/>
    </row>
    <row r="2801" spans="19:27" x14ac:dyDescent="0.25">
      <c r="S2801" s="4">
        <v>-0.77550069212260042</v>
      </c>
      <c r="T2801" s="4">
        <v>0.76461800271929226</v>
      </c>
      <c r="U2801" s="4">
        <f t="shared" si="306"/>
        <v>0.13334406351769157</v>
      </c>
      <c r="W2801" s="4">
        <f t="shared" si="307"/>
        <v>-1.2903898875483646</v>
      </c>
      <c r="X2801" s="4">
        <f t="shared" si="308"/>
        <v>0.30088698937118274</v>
      </c>
      <c r="Y2801" s="3">
        <f t="shared" si="305"/>
        <v>241.2088859915857</v>
      </c>
      <c r="AA2801" s="3"/>
    </row>
    <row r="2802" spans="19:27" x14ac:dyDescent="0.25">
      <c r="S2802" s="4">
        <v>0.82102945361851032</v>
      </c>
      <c r="T2802" s="4">
        <v>-1.1870563745067175</v>
      </c>
      <c r="U2802" s="4">
        <f t="shared" si="306"/>
        <v>-0.4404522404885326</v>
      </c>
      <c r="W2802" s="4">
        <f t="shared" si="307"/>
        <v>1.4244405610729047</v>
      </c>
      <c r="X2802" s="4">
        <f t="shared" si="308"/>
        <v>-0.71077084752810893</v>
      </c>
      <c r="Y2802" s="3">
        <f t="shared" si="305"/>
        <v>-294.13981991508672</v>
      </c>
      <c r="AA2802" s="3"/>
    </row>
    <row r="2803" spans="19:27" x14ac:dyDescent="0.25">
      <c r="S2803" s="4">
        <v>0.72953234207661588</v>
      </c>
      <c r="T2803" s="4">
        <v>-0.18014667427330097</v>
      </c>
      <c r="U2803" s="4">
        <f t="shared" si="306"/>
        <v>0.30193836201344287</v>
      </c>
      <c r="W2803" s="4">
        <f t="shared" si="307"/>
        <v>1.2688536809645279</v>
      </c>
      <c r="X2803" s="4">
        <f t="shared" si="308"/>
        <v>0.59813488403157633</v>
      </c>
      <c r="Y2803" s="3">
        <f t="shared" si="305"/>
        <v>-139.38758639194657</v>
      </c>
      <c r="AA2803" s="3"/>
    </row>
    <row r="2804" spans="19:27" x14ac:dyDescent="0.25">
      <c r="S2804" s="4">
        <v>-0.74466144664049161</v>
      </c>
      <c r="T2804" s="4">
        <v>-1.8421739025104658</v>
      </c>
      <c r="U2804" s="4">
        <f t="shared" si="306"/>
        <v>-1.9142387826680447</v>
      </c>
      <c r="W2804" s="4">
        <f t="shared" si="307"/>
        <v>-1.237949084679296</v>
      </c>
      <c r="X2804" s="4">
        <f t="shared" si="308"/>
        <v>-3.3091976671202388</v>
      </c>
      <c r="Y2804" s="3">
        <f t="shared" si="305"/>
        <v>-128.54949885389806</v>
      </c>
      <c r="AA2804" s="3"/>
    </row>
    <row r="2805" spans="19:27" x14ac:dyDescent="0.25">
      <c r="S2805" s="4">
        <v>-1.040847957218703</v>
      </c>
      <c r="T2805" s="4">
        <v>-0.12321423394253003</v>
      </c>
      <c r="U2805" s="4">
        <f t="shared" si="306"/>
        <v>-0.73219507783336302</v>
      </c>
      <c r="W2805" s="4">
        <f t="shared" si="307"/>
        <v>-1.7416014332012539</v>
      </c>
      <c r="X2805" s="4">
        <f t="shared" si="308"/>
        <v>-1.2251414102146394</v>
      </c>
      <c r="Y2805" s="3">
        <f t="shared" si="305"/>
        <v>164.49290207738977</v>
      </c>
      <c r="AA2805" s="3"/>
    </row>
    <row r="2806" spans="19:27" x14ac:dyDescent="0.25">
      <c r="S2806" s="4">
        <v>-0.1639572715729912</v>
      </c>
      <c r="T2806" s="4">
        <v>0.54445646375160428</v>
      </c>
      <c r="U2806" s="4">
        <f t="shared" si="306"/>
        <v>0.33163428253458077</v>
      </c>
      <c r="W2806" s="4">
        <f t="shared" si="307"/>
        <v>-0.25048675562760914</v>
      </c>
      <c r="X2806" s="4">
        <f t="shared" si="308"/>
        <v>0.650491635912679</v>
      </c>
      <c r="Y2806" s="3">
        <f t="shared" si="305"/>
        <v>105.3521980212704</v>
      </c>
      <c r="AA2806" s="3"/>
    </row>
    <row r="2807" spans="19:27" x14ac:dyDescent="0.25">
      <c r="S2807" s="4">
        <v>0.8688369057590668</v>
      </c>
      <c r="T2807" s="4">
        <v>-0.17632495426117911</v>
      </c>
      <c r="U2807" s="4">
        <f t="shared" si="306"/>
        <v>0.38989097912947102</v>
      </c>
      <c r="W2807" s="4">
        <f t="shared" si="307"/>
        <v>1.5057350653379267</v>
      </c>
      <c r="X2807" s="4">
        <f t="shared" si="308"/>
        <v>0.75320377130044147</v>
      </c>
      <c r="Y2807" s="3">
        <f t="shared" si="305"/>
        <v>-160.16151797226075</v>
      </c>
      <c r="AA2807" s="3"/>
    </row>
    <row r="2808" spans="19:27" x14ac:dyDescent="0.25">
      <c r="S2808" s="4">
        <v>2.4998005059204833</v>
      </c>
      <c r="T2808" s="4">
        <v>-1.2100986776046583</v>
      </c>
      <c r="U2808" s="4">
        <f t="shared" si="306"/>
        <v>0.56469859972429604</v>
      </c>
      <c r="W2808" s="4">
        <f t="shared" si="307"/>
        <v>4.2791181136459784</v>
      </c>
      <c r="X2808" s="4">
        <f t="shared" si="308"/>
        <v>1.0614063478763869</v>
      </c>
      <c r="Y2808" s="3">
        <f t="shared" si="305"/>
        <v>-533.40284706272314</v>
      </c>
      <c r="AA2808" s="3"/>
    </row>
    <row r="2809" spans="19:27" x14ac:dyDescent="0.25">
      <c r="S2809" s="4">
        <v>0.97087686490135527</v>
      </c>
      <c r="T2809" s="4">
        <v>-1.0979309052071886</v>
      </c>
      <c r="U2809" s="4">
        <f t="shared" si="306"/>
        <v>-0.27845286699907212</v>
      </c>
      <c r="W2809" s="4">
        <f t="shared" si="307"/>
        <v>1.6792496017182978</v>
      </c>
      <c r="X2809" s="4">
        <f t="shared" si="308"/>
        <v>-0.42515043725511026</v>
      </c>
      <c r="Y2809" s="3">
        <f t="shared" si="305"/>
        <v>-304.39298466661285</v>
      </c>
      <c r="AA2809" s="3"/>
    </row>
    <row r="2810" spans="19:27" x14ac:dyDescent="0.25">
      <c r="S2810" s="4">
        <v>0.78469538405421424</v>
      </c>
      <c r="T2810" s="4">
        <v>-0.29808516645744121</v>
      </c>
      <c r="U2810" s="4">
        <f t="shared" si="306"/>
        <v>0.24207808171252657</v>
      </c>
      <c r="W2810" s="4">
        <f t="shared" si="307"/>
        <v>1.3626560475523755</v>
      </c>
      <c r="X2810" s="4">
        <f t="shared" si="308"/>
        <v>0.49259547699358086</v>
      </c>
      <c r="Y2810" s="3">
        <f t="shared" si="305"/>
        <v>-164.34221698057536</v>
      </c>
      <c r="AA2810" s="3"/>
    </row>
    <row r="2811" spans="19:27" x14ac:dyDescent="0.25">
      <c r="S2811" s="4">
        <v>0.48931368097929251</v>
      </c>
      <c r="T2811" s="4">
        <v>-0.30694253270103916</v>
      </c>
      <c r="U2811" s="4">
        <f t="shared" si="306"/>
        <v>5.4985641474731228E-2</v>
      </c>
      <c r="W2811" s="4">
        <f t="shared" si="307"/>
        <v>0.86037223937463736</v>
      </c>
      <c r="X2811" s="4">
        <f t="shared" si="308"/>
        <v>0.16273358685996137</v>
      </c>
      <c r="Y2811" s="3">
        <f t="shared" si="305"/>
        <v>-119.69689528599974</v>
      </c>
      <c r="AA2811" s="3"/>
    </row>
    <row r="2812" spans="19:27" x14ac:dyDescent="0.25">
      <c r="S2812" s="4">
        <v>-1.0017785170395095</v>
      </c>
      <c r="T2812" s="4">
        <v>-1.5847854526515348</v>
      </c>
      <c r="U2812" s="4">
        <f t="shared" si="306"/>
        <v>-1.8669533155711697</v>
      </c>
      <c r="W2812" s="4">
        <f t="shared" si="307"/>
        <v>-1.6751655402793413</v>
      </c>
      <c r="X2812" s="4">
        <f t="shared" si="308"/>
        <v>-3.2258288600610037</v>
      </c>
      <c r="Y2812" s="3">
        <f t="shared" si="305"/>
        <v>-46.817060896700241</v>
      </c>
      <c r="AA2812" s="3"/>
    </row>
    <row r="2813" spans="19:27" x14ac:dyDescent="0.25">
      <c r="S2813" s="4">
        <v>1.3496540280237976</v>
      </c>
      <c r="T2813" s="4">
        <v>-0.69941324496127832</v>
      </c>
      <c r="U2813" s="4">
        <f t="shared" si="306"/>
        <v>0.26835991154429939</v>
      </c>
      <c r="W2813" s="4">
        <f t="shared" si="307"/>
        <v>2.3233437821071354</v>
      </c>
      <c r="X2813" s="4">
        <f t="shared" si="308"/>
        <v>0.53893286001910512</v>
      </c>
      <c r="Y2813" s="3">
        <f t="shared" si="305"/>
        <v>-304.64902275051145</v>
      </c>
      <c r="AA2813" s="3"/>
    </row>
    <row r="2814" spans="19:27" x14ac:dyDescent="0.25">
      <c r="S2814" s="4">
        <v>0.40278710794076761</v>
      </c>
      <c r="T2814" s="4">
        <v>-1.9133077669726613</v>
      </c>
      <c r="U2814" s="4">
        <f t="shared" si="306"/>
        <v>-1.2711157887271294</v>
      </c>
      <c r="W2814" s="4">
        <f t="shared" si="307"/>
        <v>0.71323754497098335</v>
      </c>
      <c r="X2814" s="4">
        <f t="shared" si="308"/>
        <v>-2.1753102363928964</v>
      </c>
      <c r="Y2814" s="3">
        <f t="shared" si="305"/>
        <v>-330.51757469954373</v>
      </c>
      <c r="AA2814" s="3"/>
    </row>
    <row r="2815" spans="19:27" x14ac:dyDescent="0.25">
      <c r="S2815" s="4">
        <v>-0.47225363366639495</v>
      </c>
      <c r="T2815" s="4">
        <v>-0.29697744311776003</v>
      </c>
      <c r="U2815" s="4">
        <f t="shared" si="306"/>
        <v>-0.52330800090136043</v>
      </c>
      <c r="W2815" s="4">
        <f t="shared" si="307"/>
        <v>-0.77473138279173781</v>
      </c>
      <c r="X2815" s="4">
        <f t="shared" si="308"/>
        <v>-0.85685348829914132</v>
      </c>
      <c r="Y2815" s="3">
        <f t="shared" si="305"/>
        <v>40.023900488419258</v>
      </c>
      <c r="AA2815" s="3"/>
    </row>
    <row r="2816" spans="19:27" x14ac:dyDescent="0.25">
      <c r="S2816" s="4">
        <v>0.47434835231744843</v>
      </c>
      <c r="T2816" s="4">
        <v>-1.2525368066811791</v>
      </c>
      <c r="U2816" s="4">
        <f t="shared" si="306"/>
        <v>-0.70370259092091969</v>
      </c>
      <c r="W2816" s="4">
        <f t="shared" si="307"/>
        <v>0.83492434536951721</v>
      </c>
      <c r="X2816" s="4">
        <f t="shared" si="308"/>
        <v>-1.1749064270394756</v>
      </c>
      <c r="Y2816" s="3">
        <f t="shared" si="305"/>
        <v>-249.49361613548172</v>
      </c>
      <c r="AA2816" s="3"/>
    </row>
    <row r="2817" spans="19:27" x14ac:dyDescent="0.25">
      <c r="S2817" s="4">
        <v>0.48971008080813733</v>
      </c>
      <c r="T2817" s="4">
        <v>0.64018055194694368</v>
      </c>
      <c r="U2817" s="4">
        <f t="shared" si="306"/>
        <v>0.80600420580885346</v>
      </c>
      <c r="W2817" s="4">
        <f t="shared" si="307"/>
        <v>0.86104630013574912</v>
      </c>
      <c r="X2817" s="4">
        <f t="shared" si="308"/>
        <v>1.4868512414366073</v>
      </c>
      <c r="Y2817" s="3">
        <f t="shared" si="305"/>
        <v>12.609830197349766</v>
      </c>
      <c r="AA2817" s="3"/>
    </row>
    <row r="2818" spans="19:27" x14ac:dyDescent="0.25">
      <c r="S2818" s="4">
        <v>-0.12105000685614979</v>
      </c>
      <c r="T2818" s="4">
        <v>-2.1779248311751727</v>
      </c>
      <c r="U2818" s="4">
        <f t="shared" si="306"/>
        <v>-1.8002184165527313</v>
      </c>
      <c r="W2818" s="4">
        <f t="shared" si="307"/>
        <v>-0.17752480809967114</v>
      </c>
      <c r="X2818" s="4">
        <f t="shared" si="308"/>
        <v>-3.1081688418362194</v>
      </c>
      <c r="Y2818" s="3">
        <f t="shared" ref="Y2818:Y2881" si="309">(B$4*EXP(-B$8*B$7)*NORMSDIST((LN(B$4/(B$5+W2818))-B$8*B$7+B$9*B$7+0.5*B$6*B$6*B$7)/(B$6*SQRT(B$7)))-(B$5+W2818)*EXP(-B$9*B$7)*NORMSDIST((LN(B$4/(B$5+W2818))-B$8*B$7+B$9*B$7-0.5*B$6*B$6*B$7)/(B$6*SQRT(B$7))))*400+100*X2818-400*$B$13</f>
        <v>-282.28690904749828</v>
      </c>
      <c r="AA2818" s="3"/>
    </row>
    <row r="2819" spans="19:27" x14ac:dyDescent="0.25">
      <c r="S2819" s="4">
        <v>1.1556261747911514</v>
      </c>
      <c r="T2819" s="4">
        <v>-0.15776383190696081</v>
      </c>
      <c r="U2819" s="4">
        <f t="shared" ref="U2819:U2882" si="310">$B$19*S2819+SQRT(1-$B$19^2)*T2819</f>
        <v>0.57943736988425243</v>
      </c>
      <c r="W2819" s="4">
        <f t="shared" ref="W2819:W2882" si="311">S2819*SQRT($B$16)+$B$20</f>
        <v>1.9934078111254612</v>
      </c>
      <c r="X2819" s="4">
        <f t="shared" ref="X2819:X2882" si="312">U2819*SQRT($C$17)+$C$20</f>
        <v>1.087392211212334</v>
      </c>
      <c r="Y2819" s="3">
        <f t="shared" si="309"/>
        <v>-200.54580367370136</v>
      </c>
      <c r="AA2819" s="3"/>
    </row>
    <row r="2820" spans="19:27" x14ac:dyDescent="0.25">
      <c r="S2820" s="4">
        <v>1.1380250229493141</v>
      </c>
      <c r="T2820" s="4">
        <v>-0.65004203087410561</v>
      </c>
      <c r="U2820" s="4">
        <f t="shared" si="310"/>
        <v>0.17848231558786742</v>
      </c>
      <c r="W2820" s="4">
        <f t="shared" si="311"/>
        <v>1.9634778138256954</v>
      </c>
      <c r="X2820" s="4">
        <f t="shared" si="312"/>
        <v>0.38047005069782691</v>
      </c>
      <c r="Y2820" s="3">
        <f t="shared" si="309"/>
        <v>-266.74281584147911</v>
      </c>
      <c r="AA2820" s="3"/>
    </row>
    <row r="2821" spans="19:27" x14ac:dyDescent="0.25">
      <c r="S2821" s="4">
        <v>0.80839351010748395</v>
      </c>
      <c r="T2821" s="4">
        <v>0.522259229822855</v>
      </c>
      <c r="U2821" s="4">
        <f t="shared" si="310"/>
        <v>0.90680544381703942</v>
      </c>
      <c r="W2821" s="4">
        <f t="shared" si="311"/>
        <v>1.4029536857500036</v>
      </c>
      <c r="X2821" s="4">
        <f t="shared" si="312"/>
        <v>1.6645734778611658</v>
      </c>
      <c r="Y2821" s="3">
        <f t="shared" si="309"/>
        <v>-53.317320097305128</v>
      </c>
      <c r="AA2821" s="3"/>
    </row>
    <row r="2822" spans="19:27" x14ac:dyDescent="0.25">
      <c r="S2822" s="4">
        <v>0.38315868089524402</v>
      </c>
      <c r="T2822" s="4">
        <v>-1.0218058986458494</v>
      </c>
      <c r="U2822" s="4">
        <f t="shared" si="310"/>
        <v>-0.57639529990813276</v>
      </c>
      <c r="W2822" s="4">
        <f t="shared" si="311"/>
        <v>0.6798602538851376</v>
      </c>
      <c r="X2822" s="4">
        <f t="shared" si="312"/>
        <v>-0.95045148066166218</v>
      </c>
      <c r="Y2822" s="3">
        <f t="shared" si="309"/>
        <v>-202.80249729368961</v>
      </c>
      <c r="AA2822" s="3"/>
    </row>
    <row r="2823" spans="19:27" x14ac:dyDescent="0.25">
      <c r="S2823" s="4">
        <v>0.96580097635901052</v>
      </c>
      <c r="T2823" s="4">
        <v>0.44838208308570088</v>
      </c>
      <c r="U2823" s="4">
        <f t="shared" si="310"/>
        <v>0.9442027226956673</v>
      </c>
      <c r="W2823" s="4">
        <f t="shared" si="311"/>
        <v>1.6706182728296293</v>
      </c>
      <c r="X2823" s="4">
        <f t="shared" si="312"/>
        <v>1.7305084620918447</v>
      </c>
      <c r="Y2823" s="3">
        <f t="shared" si="309"/>
        <v>-87.517625135223625</v>
      </c>
      <c r="AA2823" s="3"/>
    </row>
    <row r="2824" spans="19:27" x14ac:dyDescent="0.25">
      <c r="S2824" s="4">
        <v>0.17388278706203875</v>
      </c>
      <c r="T2824" s="4">
        <v>-2.4717840857088627</v>
      </c>
      <c r="U2824" s="4">
        <f t="shared" si="310"/>
        <v>-1.8533606906434397</v>
      </c>
      <c r="W2824" s="4">
        <f t="shared" si="311"/>
        <v>0.32399564947637921</v>
      </c>
      <c r="X2824" s="4">
        <f t="shared" si="312"/>
        <v>-3.2018637605367277</v>
      </c>
      <c r="Y2824" s="3">
        <f t="shared" si="309"/>
        <v>-371.83589097314507</v>
      </c>
      <c r="AA2824" s="3"/>
    </row>
    <row r="2825" spans="19:27" x14ac:dyDescent="0.25">
      <c r="S2825" s="4">
        <v>-1.3009459435699042</v>
      </c>
      <c r="T2825" s="4">
        <v>-0.71815144239021445</v>
      </c>
      <c r="U2825" s="4">
        <f t="shared" si="310"/>
        <v>-1.3623585904879119</v>
      </c>
      <c r="W2825" s="4">
        <f t="shared" si="311"/>
        <v>-2.1838868074267044</v>
      </c>
      <c r="X2825" s="4">
        <f t="shared" si="312"/>
        <v>-2.336180034294109</v>
      </c>
      <c r="Y2825" s="3">
        <f t="shared" si="309"/>
        <v>128.82414338692934</v>
      </c>
      <c r="AA2825" s="3"/>
    </row>
    <row r="2826" spans="19:27" x14ac:dyDescent="0.25">
      <c r="S2826" s="4">
        <v>0.32684507706469046</v>
      </c>
      <c r="T2826" s="4">
        <v>-1.005281465125097</v>
      </c>
      <c r="U2826" s="4">
        <f t="shared" si="310"/>
        <v>-0.59762654269469917</v>
      </c>
      <c r="W2826" s="4">
        <f t="shared" si="311"/>
        <v>0.58410140663843302</v>
      </c>
      <c r="X2826" s="4">
        <f t="shared" si="312"/>
        <v>-0.98788419502767955</v>
      </c>
      <c r="Y2826" s="3">
        <f t="shared" si="309"/>
        <v>-191.51166197750945</v>
      </c>
      <c r="AA2826" s="3"/>
    </row>
    <row r="2827" spans="19:27" x14ac:dyDescent="0.25">
      <c r="S2827" s="4">
        <v>0.24696102990886878</v>
      </c>
      <c r="T2827" s="4">
        <v>0.59741862996126627</v>
      </c>
      <c r="U2827" s="4">
        <f t="shared" si="310"/>
        <v>0.62412193392690118</v>
      </c>
      <c r="W2827" s="4">
        <f t="shared" si="311"/>
        <v>0.44826204014964677</v>
      </c>
      <c r="X2827" s="4">
        <f t="shared" si="312"/>
        <v>1.1661753770963783</v>
      </c>
      <c r="Y2827" s="3">
        <f t="shared" si="309"/>
        <v>45.301597154442788</v>
      </c>
      <c r="AA2827" s="3"/>
    </row>
    <row r="2828" spans="19:27" x14ac:dyDescent="0.25">
      <c r="S2828" s="4">
        <v>0.14160612808274006</v>
      </c>
      <c r="T2828" s="4">
        <v>1.3046295410847555</v>
      </c>
      <c r="U2828" s="4">
        <f t="shared" si="310"/>
        <v>1.1204956800652812</v>
      </c>
      <c r="W2828" s="4">
        <f t="shared" si="311"/>
        <v>0.26911058713633224</v>
      </c>
      <c r="X2828" s="4">
        <f t="shared" si="312"/>
        <v>2.0413298296536477</v>
      </c>
      <c r="Y2828" s="3">
        <f t="shared" si="309"/>
        <v>161.19486554289324</v>
      </c>
      <c r="AA2828" s="3"/>
    </row>
    <row r="2829" spans="19:27" x14ac:dyDescent="0.25">
      <c r="S2829" s="4">
        <v>-0.97124603418822175</v>
      </c>
      <c r="T2829" s="4">
        <v>-1.4165811753741082</v>
      </c>
      <c r="U2829" s="4">
        <f t="shared" si="310"/>
        <v>-1.7150058446394065</v>
      </c>
      <c r="W2829" s="4">
        <f t="shared" si="311"/>
        <v>-1.6232463739937559</v>
      </c>
      <c r="X2829" s="4">
        <f t="shared" si="312"/>
        <v>-2.9579309166760668</v>
      </c>
      <c r="Y2829" s="3">
        <f t="shared" si="309"/>
        <v>-28.795891050844148</v>
      </c>
      <c r="AA2829" s="3"/>
    </row>
    <row r="2830" spans="19:27" x14ac:dyDescent="0.25">
      <c r="S2830" s="4">
        <v>-2.2272487078564174</v>
      </c>
      <c r="T2830" s="4">
        <v>-1.0391968329931729</v>
      </c>
      <c r="U2830" s="4">
        <f t="shared" si="310"/>
        <v>-2.1815435419766214</v>
      </c>
      <c r="W2830" s="4">
        <f t="shared" si="311"/>
        <v>-3.759024587214586</v>
      </c>
      <c r="X2830" s="4">
        <f t="shared" si="312"/>
        <v>-3.7804815577743467</v>
      </c>
      <c r="Y2830" s="3">
        <f t="shared" si="309"/>
        <v>261.58270652446208</v>
      </c>
      <c r="AA2830" s="3"/>
    </row>
    <row r="2831" spans="19:27" x14ac:dyDescent="0.25">
      <c r="S2831" s="4">
        <v>-0.592538019116846</v>
      </c>
      <c r="T2831" s="4">
        <v>-0.22510297916051247</v>
      </c>
      <c r="U2831" s="4">
        <f t="shared" si="310"/>
        <v>-0.53966173209502355</v>
      </c>
      <c r="W2831" s="4">
        <f t="shared" si="311"/>
        <v>-0.97926977687448535</v>
      </c>
      <c r="X2831" s="4">
        <f t="shared" si="312"/>
        <v>-0.88568668260363836</v>
      </c>
      <c r="Y2831" s="3">
        <f t="shared" si="309"/>
        <v>70.852049653104586</v>
      </c>
      <c r="AA2831" s="3"/>
    </row>
    <row r="2832" spans="19:27" x14ac:dyDescent="0.25">
      <c r="S2832" s="4">
        <v>1.2129623814226849</v>
      </c>
      <c r="T2832" s="4">
        <v>1.4523941962838585</v>
      </c>
      <c r="U2832" s="4">
        <f t="shared" si="310"/>
        <v>1.8907502189024719</v>
      </c>
      <c r="W2832" s="4">
        <f t="shared" si="311"/>
        <v>2.0909055501985132</v>
      </c>
      <c r="X2832" s="4">
        <f t="shared" si="312"/>
        <v>3.3993623495240457</v>
      </c>
      <c r="Y2832" s="3">
        <f t="shared" si="309"/>
        <v>16.038983666087461</v>
      </c>
      <c r="AA2832" s="3"/>
    </row>
    <row r="2833" spans="19:27" x14ac:dyDescent="0.25">
      <c r="S2833" s="4">
        <v>0.79857178198013079</v>
      </c>
      <c r="T2833" s="4">
        <v>-5.9795273593497643E-2</v>
      </c>
      <c r="U2833" s="4">
        <f t="shared" si="310"/>
        <v>0.43942793976357247</v>
      </c>
      <c r="W2833" s="4">
        <f t="shared" si="311"/>
        <v>1.386252261947047</v>
      </c>
      <c r="X2833" s="4">
        <f t="shared" si="312"/>
        <v>0.84054217709316481</v>
      </c>
      <c r="Y2833" s="3">
        <f t="shared" si="309"/>
        <v>-133.16307519740803</v>
      </c>
      <c r="AA2833" s="3"/>
    </row>
    <row r="2834" spans="19:27" x14ac:dyDescent="0.25">
      <c r="S2834" s="4">
        <v>8.0656243117642745E-2</v>
      </c>
      <c r="T2834" s="4">
        <v>-2.0047653038200832</v>
      </c>
      <c r="U2834" s="4">
        <f t="shared" si="310"/>
        <v>-1.5399916107907117</v>
      </c>
      <c r="W2834" s="4">
        <f t="shared" si="311"/>
        <v>0.16546794438097151</v>
      </c>
      <c r="X2834" s="4">
        <f t="shared" si="312"/>
        <v>-2.6493640611460303</v>
      </c>
      <c r="Y2834" s="3">
        <f t="shared" si="309"/>
        <v>-291.3819855506772</v>
      </c>
      <c r="AA2834" s="3"/>
    </row>
    <row r="2835" spans="19:27" x14ac:dyDescent="0.25">
      <c r="S2835" s="4">
        <v>0.92601182179232611</v>
      </c>
      <c r="T2835" s="4">
        <v>-0.42269594836729318</v>
      </c>
      <c r="U2835" s="4">
        <f t="shared" si="310"/>
        <v>0.22944976289551289</v>
      </c>
      <c r="W2835" s="4">
        <f t="shared" si="311"/>
        <v>1.6029585367258745</v>
      </c>
      <c r="X2835" s="4">
        <f t="shared" si="312"/>
        <v>0.47033054149487452</v>
      </c>
      <c r="Y2835" s="3">
        <f t="shared" si="309"/>
        <v>-203.25770264222319</v>
      </c>
      <c r="AA2835" s="3"/>
    </row>
    <row r="2836" spans="19:27" x14ac:dyDescent="0.25">
      <c r="S2836" s="4">
        <v>2.6923355418595665</v>
      </c>
      <c r="T2836" s="4">
        <v>-1.6544103993398163</v>
      </c>
      <c r="U2836" s="4">
        <f t="shared" si="310"/>
        <v>0.32986989770538422</v>
      </c>
      <c r="W2836" s="4">
        <f t="shared" si="311"/>
        <v>4.6065156133976508</v>
      </c>
      <c r="X2836" s="4">
        <f t="shared" si="312"/>
        <v>0.64738085648224275</v>
      </c>
      <c r="Y2836" s="3">
        <f t="shared" si="309"/>
        <v>-620.0395701038733</v>
      </c>
      <c r="AA2836" s="3"/>
    </row>
    <row r="2837" spans="19:27" x14ac:dyDescent="0.25">
      <c r="S2837" s="4">
        <v>-3.3145003821671111</v>
      </c>
      <c r="T2837" s="4">
        <v>0.59205216710915443</v>
      </c>
      <c r="U2837" s="4">
        <f t="shared" si="310"/>
        <v>-1.5512783579516225</v>
      </c>
      <c r="W2837" s="4">
        <f t="shared" si="311"/>
        <v>-5.6078490260183669</v>
      </c>
      <c r="X2837" s="4">
        <f t="shared" si="312"/>
        <v>-2.6692636773316241</v>
      </c>
      <c r="Y2837" s="3">
        <f t="shared" si="309"/>
        <v>715.34627655441636</v>
      </c>
      <c r="AA2837" s="3"/>
    </row>
    <row r="2838" spans="19:27" x14ac:dyDescent="0.25">
      <c r="S2838" s="4">
        <v>-0.72446270779261479</v>
      </c>
      <c r="T2838" s="4">
        <v>0.523704029444791</v>
      </c>
      <c r="U2838" s="4">
        <f t="shared" si="310"/>
        <v>-2.6512626348494162E-2</v>
      </c>
      <c r="W2838" s="4">
        <f t="shared" si="311"/>
        <v>-1.2036020030446362</v>
      </c>
      <c r="X2838" s="4">
        <f t="shared" si="312"/>
        <v>1.9044335532561754E-2</v>
      </c>
      <c r="Y2838" s="3">
        <f t="shared" si="309"/>
        <v>198.55163751369491</v>
      </c>
      <c r="AA2838" s="3"/>
    </row>
    <row r="2839" spans="19:27" x14ac:dyDescent="0.25">
      <c r="S2839" s="4">
        <v>0.70841738700329815</v>
      </c>
      <c r="T2839" s="4">
        <v>-1.6993103714277309</v>
      </c>
      <c r="U2839" s="4">
        <f t="shared" si="310"/>
        <v>-0.91516272391033415</v>
      </c>
      <c r="W2839" s="4">
        <f t="shared" si="311"/>
        <v>1.2329486132730543</v>
      </c>
      <c r="X2839" s="4">
        <f t="shared" si="312"/>
        <v>-1.5477308932078515</v>
      </c>
      <c r="Y2839" s="3">
        <f t="shared" si="309"/>
        <v>-348.45018076484348</v>
      </c>
      <c r="AA2839" s="3"/>
    </row>
    <row r="2840" spans="19:27" x14ac:dyDescent="0.25">
      <c r="S2840" s="4">
        <v>-1.2162609356759917</v>
      </c>
      <c r="T2840" s="4">
        <v>2.0446212281295946</v>
      </c>
      <c r="U2840" s="4">
        <f t="shared" si="310"/>
        <v>0.87929512586956549</v>
      </c>
      <c r="W2840" s="4">
        <f t="shared" si="311"/>
        <v>-2.0398836148872963</v>
      </c>
      <c r="X2840" s="4">
        <f t="shared" si="312"/>
        <v>1.6160701526343597</v>
      </c>
      <c r="Y2840" s="3">
        <f t="shared" si="309"/>
        <v>499.37384654999369</v>
      </c>
      <c r="AA2840" s="3"/>
    </row>
    <row r="2841" spans="19:27" x14ac:dyDescent="0.25">
      <c r="S2841" s="4">
        <v>1.687782647945766</v>
      </c>
      <c r="T2841" s="4">
        <v>1.93030700036088</v>
      </c>
      <c r="U2841" s="4">
        <f t="shared" si="310"/>
        <v>2.559048913035991</v>
      </c>
      <c r="W2841" s="4">
        <f t="shared" si="311"/>
        <v>2.8983168731967055</v>
      </c>
      <c r="X2841" s="4">
        <f t="shared" si="312"/>
        <v>4.5776369507881274</v>
      </c>
      <c r="Y2841" s="3">
        <f t="shared" si="309"/>
        <v>14.67124389880837</v>
      </c>
      <c r="AA2841" s="3"/>
    </row>
    <row r="2842" spans="19:27" x14ac:dyDescent="0.25">
      <c r="S2842" s="4">
        <v>-0.13546287023841011</v>
      </c>
      <c r="T2842" s="4">
        <v>-0.80566601293905604</v>
      </c>
      <c r="U2842" s="4">
        <f t="shared" si="310"/>
        <v>-0.72122620651280034</v>
      </c>
      <c r="W2842" s="4">
        <f t="shared" si="311"/>
        <v>-0.2020332587959249</v>
      </c>
      <c r="X2842" s="4">
        <f t="shared" si="312"/>
        <v>-1.2058022395788057</v>
      </c>
      <c r="Y2842" s="3">
        <f t="shared" si="309"/>
        <v>-88.0986729334968</v>
      </c>
      <c r="AA2842" s="3"/>
    </row>
    <row r="2843" spans="19:27" x14ac:dyDescent="0.25">
      <c r="S2843" s="4">
        <v>-1.0690992805068569</v>
      </c>
      <c r="T2843" s="4">
        <v>-0.64299936465822949</v>
      </c>
      <c r="U2843" s="4">
        <f t="shared" si="310"/>
        <v>-1.1614472395310838</v>
      </c>
      <c r="W2843" s="4">
        <f t="shared" si="311"/>
        <v>-1.7896415863302886</v>
      </c>
      <c r="X2843" s="4">
        <f t="shared" si="312"/>
        <v>-1.9819540811145735</v>
      </c>
      <c r="Y2843" s="3">
        <f t="shared" si="309"/>
        <v>96.954825025797618</v>
      </c>
      <c r="AA2843" s="3"/>
    </row>
    <row r="2844" spans="19:27" x14ac:dyDescent="0.25">
      <c r="S2844" s="4">
        <v>-2.192679064687431</v>
      </c>
      <c r="T2844" s="4">
        <v>-0.11085103706879884</v>
      </c>
      <c r="U2844" s="4">
        <f t="shared" si="310"/>
        <v>-1.4245768129424921</v>
      </c>
      <c r="W2844" s="4">
        <f t="shared" si="311"/>
        <v>-3.7002404044520545</v>
      </c>
      <c r="X2844" s="4">
        <f t="shared" si="312"/>
        <v>-2.445876719171042</v>
      </c>
      <c r="Y2844" s="3">
        <f t="shared" si="309"/>
        <v>384.45693260306234</v>
      </c>
      <c r="AA2844" s="3"/>
    </row>
    <row r="2845" spans="19:27" x14ac:dyDescent="0.25">
      <c r="S2845" s="4">
        <v>3.3583359100161053E-2</v>
      </c>
      <c r="T2845" s="4">
        <v>-1.8789665365226653</v>
      </c>
      <c r="U2845" s="4">
        <f t="shared" si="310"/>
        <v>-1.4689686123419257</v>
      </c>
      <c r="W2845" s="4">
        <f t="shared" si="311"/>
        <v>8.5422541432595436E-2</v>
      </c>
      <c r="X2845" s="4">
        <f t="shared" si="312"/>
        <v>-2.5241437129507913</v>
      </c>
      <c r="Y2845" s="3">
        <f t="shared" si="309"/>
        <v>-266.08450979310192</v>
      </c>
      <c r="AA2845" s="3"/>
    </row>
    <row r="2846" spans="19:27" x14ac:dyDescent="0.25">
      <c r="S2846" s="4">
        <v>0.12906849616996993</v>
      </c>
      <c r="T2846" s="4">
        <v>0.40287727092097658</v>
      </c>
      <c r="U2846" s="4">
        <f t="shared" si="310"/>
        <v>0.39804063229383435</v>
      </c>
      <c r="W2846" s="4">
        <f t="shared" si="311"/>
        <v>0.24779088643340949</v>
      </c>
      <c r="X2846" s="4">
        <f t="shared" si="312"/>
        <v>0.76757239032809177</v>
      </c>
      <c r="Y2846" s="3">
        <f t="shared" si="309"/>
        <v>37.20718116713806</v>
      </c>
      <c r="AA2846" s="3"/>
    </row>
    <row r="2847" spans="19:27" x14ac:dyDescent="0.25">
      <c r="S2847" s="4">
        <v>1.173871004036015</v>
      </c>
      <c r="T2847" s="4">
        <v>1.0268974324301483</v>
      </c>
      <c r="U2847" s="4">
        <f t="shared" si="310"/>
        <v>1.5296313542549609</v>
      </c>
      <c r="W2847" s="4">
        <f t="shared" si="311"/>
        <v>2.0244323540042672</v>
      </c>
      <c r="X2847" s="4">
        <f t="shared" si="312"/>
        <v>2.7626752065046198</v>
      </c>
      <c r="Y2847" s="3">
        <f t="shared" si="309"/>
        <v>-37.672375466302583</v>
      </c>
      <c r="AA2847" s="3"/>
    </row>
    <row r="2848" spans="19:27" x14ac:dyDescent="0.25">
      <c r="S2848" s="4">
        <v>-0.45130762232509003</v>
      </c>
      <c r="T2848" s="4">
        <v>0.23794898830748695</v>
      </c>
      <c r="U2848" s="4">
        <f t="shared" si="310"/>
        <v>-8.6506932132661501E-2</v>
      </c>
      <c r="W2848" s="4">
        <f t="shared" si="311"/>
        <v>-0.73911359660822396</v>
      </c>
      <c r="X2848" s="4">
        <f t="shared" si="312"/>
        <v>-8.6731371268134239E-2</v>
      </c>
      <c r="Y2848" s="3">
        <f t="shared" si="309"/>
        <v>111.18809366621281</v>
      </c>
      <c r="AA2848" s="3"/>
    </row>
    <row r="2849" spans="19:27" x14ac:dyDescent="0.25">
      <c r="S2849" s="4">
        <v>-0.89568365413722251</v>
      </c>
      <c r="T2849" s="4">
        <v>1.3218401495033276</v>
      </c>
      <c r="U2849" s="4">
        <f t="shared" si="310"/>
        <v>0.50178339690114548</v>
      </c>
      <c r="W2849" s="4">
        <f t="shared" si="311"/>
        <v>-1.4947558154659559</v>
      </c>
      <c r="X2849" s="4">
        <f t="shared" si="312"/>
        <v>0.95048081985929056</v>
      </c>
      <c r="Y2849" s="3">
        <f t="shared" si="309"/>
        <v>340.40595728512653</v>
      </c>
      <c r="AA2849" s="3"/>
    </row>
    <row r="2850" spans="19:27" x14ac:dyDescent="0.25">
      <c r="S2850" s="4">
        <v>-0.18119262623441731</v>
      </c>
      <c r="T2850" s="4">
        <v>1.0127403494992169</v>
      </c>
      <c r="U2850" s="4">
        <f t="shared" si="310"/>
        <v>0.69233212461049387</v>
      </c>
      <c r="W2850" s="4">
        <f t="shared" si="311"/>
        <v>-0.27979473064608629</v>
      </c>
      <c r="X2850" s="4">
        <f t="shared" si="312"/>
        <v>1.2864364758167059</v>
      </c>
      <c r="Y2850" s="3">
        <f t="shared" si="309"/>
        <v>173.6835633860228</v>
      </c>
      <c r="AA2850" s="3"/>
    </row>
    <row r="2851" spans="19:27" x14ac:dyDescent="0.25">
      <c r="S2851" s="4">
        <v>-1.276208750537962</v>
      </c>
      <c r="T2851" s="4">
        <v>-0.43839637221506089</v>
      </c>
      <c r="U2851" s="4">
        <f t="shared" si="310"/>
        <v>-1.1255186342972494</v>
      </c>
      <c r="W2851" s="4">
        <f t="shared" si="311"/>
        <v>-2.1418222807807861</v>
      </c>
      <c r="X2851" s="4">
        <f t="shared" si="312"/>
        <v>-1.918608509175729</v>
      </c>
      <c r="Y2851" s="3">
        <f t="shared" si="309"/>
        <v>163.36198092435825</v>
      </c>
      <c r="AA2851" s="3"/>
    </row>
    <row r="2852" spans="19:27" x14ac:dyDescent="0.25">
      <c r="S2852" s="4">
        <v>0.18828202090334845</v>
      </c>
      <c r="T2852" s="4">
        <v>-0.55988273408366906</v>
      </c>
      <c r="U2852" s="4">
        <f t="shared" si="310"/>
        <v>-0.32903365398679352</v>
      </c>
      <c r="W2852" s="4">
        <f t="shared" si="311"/>
        <v>0.348480923727846</v>
      </c>
      <c r="X2852" s="4">
        <f t="shared" si="312"/>
        <v>-0.51432920887736</v>
      </c>
      <c r="Y2852" s="3">
        <f t="shared" si="309"/>
        <v>-106.96375812537644</v>
      </c>
      <c r="AA2852" s="3"/>
    </row>
    <row r="2853" spans="19:27" x14ac:dyDescent="0.25">
      <c r="S2853" s="4">
        <v>-0.46068424514557976</v>
      </c>
      <c r="T2853" s="4">
        <v>0.37793912281735348</v>
      </c>
      <c r="U2853" s="4">
        <f t="shared" si="310"/>
        <v>1.8745931742407906E-2</v>
      </c>
      <c r="W2853" s="4">
        <f t="shared" si="311"/>
        <v>-0.75505813809164579</v>
      </c>
      <c r="X2853" s="4">
        <f t="shared" si="312"/>
        <v>9.8839507895551154E-2</v>
      </c>
      <c r="Y2853" s="3">
        <f t="shared" si="309"/>
        <v>132.36226557077089</v>
      </c>
      <c r="AA2853" s="3"/>
    </row>
    <row r="2854" spans="19:27" x14ac:dyDescent="0.25">
      <c r="S2854" s="4">
        <v>0.74207788680748754</v>
      </c>
      <c r="T2854" s="4">
        <v>-0.53838964271302048</v>
      </c>
      <c r="U2854" s="4">
        <f t="shared" si="310"/>
        <v>2.5610064072287775E-2</v>
      </c>
      <c r="W2854" s="4">
        <f t="shared" si="311"/>
        <v>1.2901868370723322</v>
      </c>
      <c r="X2854" s="4">
        <f t="shared" si="312"/>
        <v>0.11094163057663667</v>
      </c>
      <c r="Y2854" s="3">
        <f t="shared" si="309"/>
        <v>-191.38592120887915</v>
      </c>
      <c r="AA2854" s="3"/>
    </row>
    <row r="2855" spans="19:27" x14ac:dyDescent="0.25">
      <c r="S2855" s="4">
        <v>1.5444956492844397</v>
      </c>
      <c r="T2855" s="4">
        <v>-0.38274104201215214</v>
      </c>
      <c r="U2855" s="4">
        <f t="shared" si="310"/>
        <v>0.63816323904027539</v>
      </c>
      <c r="W2855" s="4">
        <f t="shared" si="311"/>
        <v>2.6546635304176691</v>
      </c>
      <c r="X2855" s="4">
        <f t="shared" si="312"/>
        <v>1.1909315427584093</v>
      </c>
      <c r="Y2855" s="3">
        <f t="shared" si="309"/>
        <v>-288.36918394536178</v>
      </c>
      <c r="AA2855" s="3"/>
    </row>
    <row r="2856" spans="19:27" x14ac:dyDescent="0.25">
      <c r="S2856" s="4">
        <v>-1.0100692372858675</v>
      </c>
      <c r="T2856" s="4">
        <v>-5.7454695573355445E-3</v>
      </c>
      <c r="U2856" s="4">
        <f t="shared" si="310"/>
        <v>-0.62031513142916928</v>
      </c>
      <c r="W2856" s="4">
        <f t="shared" si="311"/>
        <v>-1.689263551410453</v>
      </c>
      <c r="X2856" s="4">
        <f t="shared" si="312"/>
        <v>-1.0278863498710518</v>
      </c>
      <c r="Y2856" s="3">
        <f t="shared" si="309"/>
        <v>175.36067128115337</v>
      </c>
      <c r="AA2856" s="3"/>
    </row>
    <row r="2857" spans="19:27" x14ac:dyDescent="0.25">
      <c r="S2857" s="4">
        <v>1.1450195220053108</v>
      </c>
      <c r="T2857" s="4">
        <v>0.97655052690293453</v>
      </c>
      <c r="U2857" s="4">
        <f t="shared" si="310"/>
        <v>1.4721332568892764</v>
      </c>
      <c r="W2857" s="4">
        <f t="shared" si="311"/>
        <v>1.9753716568957602</v>
      </c>
      <c r="X2857" s="4">
        <f t="shared" si="312"/>
        <v>2.6613005542096091</v>
      </c>
      <c r="Y2857" s="3">
        <f t="shared" si="309"/>
        <v>-40.446644694720362</v>
      </c>
      <c r="AA2857" s="3"/>
    </row>
    <row r="2858" spans="19:27" x14ac:dyDescent="0.25">
      <c r="S2858" s="4">
        <v>1.8322296933592368</v>
      </c>
      <c r="T2858" s="4">
        <v>-0.12615659524921549</v>
      </c>
      <c r="U2858" s="4">
        <f t="shared" si="310"/>
        <v>1.0169647753210718</v>
      </c>
      <c r="W2858" s="4">
        <f t="shared" si="311"/>
        <v>3.1439428252953636</v>
      </c>
      <c r="X2858" s="4">
        <f t="shared" si="312"/>
        <v>1.8587949293510877</v>
      </c>
      <c r="Y2858" s="3">
        <f t="shared" si="309"/>
        <v>-292.8364322863049</v>
      </c>
      <c r="AA2858" s="3"/>
    </row>
    <row r="2859" spans="19:27" x14ac:dyDescent="0.25">
      <c r="S2859" s="4">
        <v>-0.50112783900294811</v>
      </c>
      <c r="T2859" s="4">
        <v>0.39700521317575194</v>
      </c>
      <c r="U2859" s="4">
        <f t="shared" si="310"/>
        <v>9.2041522149136079E-3</v>
      </c>
      <c r="W2859" s="4">
        <f t="shared" si="311"/>
        <v>-0.8238307198988547</v>
      </c>
      <c r="X2859" s="4">
        <f t="shared" si="312"/>
        <v>8.2016436764632689E-2</v>
      </c>
      <c r="Y2859" s="3">
        <f t="shared" si="309"/>
        <v>141.98331090281317</v>
      </c>
      <c r="AA2859" s="3"/>
    </row>
    <row r="2860" spans="19:27" x14ac:dyDescent="0.25">
      <c r="S2860" s="4">
        <v>1.1284302329652443</v>
      </c>
      <c r="T2860" s="4">
        <v>1.3958148541279269</v>
      </c>
      <c r="U2860" s="4">
        <f t="shared" si="310"/>
        <v>1.7943675421700611</v>
      </c>
      <c r="W2860" s="4">
        <f t="shared" si="311"/>
        <v>1.9471622885182873</v>
      </c>
      <c r="X2860" s="4">
        <f t="shared" si="312"/>
        <v>3.2294304597978676</v>
      </c>
      <c r="Y2860" s="3">
        <f t="shared" si="309"/>
        <v>20.605548711503616</v>
      </c>
      <c r="AA2860" s="3"/>
    </row>
    <row r="2861" spans="19:27" x14ac:dyDescent="0.25">
      <c r="S2861" s="4">
        <v>-0.13889640281747467</v>
      </c>
      <c r="T2861" s="4">
        <v>1.2316288171869547</v>
      </c>
      <c r="U2861" s="4">
        <f t="shared" si="310"/>
        <v>0.89162798748660876</v>
      </c>
      <c r="W2861" s="4">
        <f t="shared" si="311"/>
        <v>-0.20787183241562349</v>
      </c>
      <c r="X2861" s="4">
        <f t="shared" si="312"/>
        <v>1.6378141687933432</v>
      </c>
      <c r="Y2861" s="3">
        <f t="shared" si="309"/>
        <v>197.20479934355535</v>
      </c>
      <c r="AA2861" s="3"/>
    </row>
    <row r="2862" spans="19:27" x14ac:dyDescent="0.25">
      <c r="S2862" s="4">
        <v>-0.18866364244155107</v>
      </c>
      <c r="T2862" s="4">
        <v>0.43684153060919262</v>
      </c>
      <c r="U2862" s="4">
        <f t="shared" si="310"/>
        <v>0.23126722898746332</v>
      </c>
      <c r="W2862" s="4">
        <f t="shared" si="311"/>
        <v>-0.29249887051802997</v>
      </c>
      <c r="X2862" s="4">
        <f t="shared" si="312"/>
        <v>0.4735349082751813</v>
      </c>
      <c r="Y2862" s="3">
        <f t="shared" si="309"/>
        <v>94.448090556787065</v>
      </c>
      <c r="AA2862" s="3"/>
    </row>
    <row r="2863" spans="19:27" x14ac:dyDescent="0.25">
      <c r="S2863" s="4">
        <v>-0.98066494722977504</v>
      </c>
      <c r="T2863" s="4">
        <v>4.5082561890794626E-2</v>
      </c>
      <c r="U2863" s="4">
        <f t="shared" si="310"/>
        <v>-0.56209864527942122</v>
      </c>
      <c r="W2863" s="4">
        <f t="shared" si="311"/>
        <v>-1.6392628281686659</v>
      </c>
      <c r="X2863" s="4">
        <f t="shared" si="312"/>
        <v>-0.92524510934906179</v>
      </c>
      <c r="Y2863" s="3">
        <f t="shared" si="309"/>
        <v>177.17618245655285</v>
      </c>
      <c r="AA2863" s="3"/>
    </row>
    <row r="2864" spans="19:27" x14ac:dyDescent="0.25">
      <c r="S2864" s="4">
        <v>-1.2082024721209494</v>
      </c>
      <c r="T2864" s="4">
        <v>0.89871053354071817</v>
      </c>
      <c r="U2864" s="4">
        <f t="shared" si="310"/>
        <v>-2.4146516966320974E-2</v>
      </c>
      <c r="W2864" s="4">
        <f t="shared" si="311"/>
        <v>-2.0261805462125873</v>
      </c>
      <c r="X2864" s="4">
        <f t="shared" si="312"/>
        <v>2.3216012977543138E-2</v>
      </c>
      <c r="Y2864" s="3">
        <f t="shared" si="309"/>
        <v>337.74614445424686</v>
      </c>
      <c r="AA2864" s="3"/>
    </row>
    <row r="2865" spans="19:27" x14ac:dyDescent="0.25">
      <c r="S2865" s="4">
        <v>2.6931121546345724</v>
      </c>
      <c r="T2865" s="4">
        <v>0.12795120069026078</v>
      </c>
      <c r="U2865" s="4">
        <f t="shared" si="310"/>
        <v>1.7432071533892051</v>
      </c>
      <c r="W2865" s="4">
        <f t="shared" si="311"/>
        <v>4.6078362098260985</v>
      </c>
      <c r="X2865" s="4">
        <f t="shared" si="312"/>
        <v>3.1392297947053889</v>
      </c>
      <c r="Y2865" s="3">
        <f t="shared" si="309"/>
        <v>-371.03610112097249</v>
      </c>
      <c r="AA2865" s="3"/>
    </row>
    <row r="2866" spans="19:27" x14ac:dyDescent="0.25">
      <c r="S2866" s="4">
        <v>-5.9353444962574442E-2</v>
      </c>
      <c r="T2866" s="4">
        <v>0.70667505838742484</v>
      </c>
      <c r="U2866" s="4">
        <f t="shared" si="310"/>
        <v>0.52399249443295004</v>
      </c>
      <c r="W2866" s="4">
        <f t="shared" si="311"/>
        <v>-7.2612473527890492E-2</v>
      </c>
      <c r="X2866" s="4">
        <f t="shared" si="312"/>
        <v>0.98963758579110306</v>
      </c>
      <c r="Y2866" s="3">
        <f t="shared" si="309"/>
        <v>110.61357225279835</v>
      </c>
      <c r="AA2866" s="3"/>
    </row>
    <row r="2867" spans="19:27" x14ac:dyDescent="0.25">
      <c r="S2867" s="4">
        <v>-0.38413796071871503</v>
      </c>
      <c r="T2867" s="4">
        <v>1.5827682917728805</v>
      </c>
      <c r="U2867" s="4">
        <f t="shared" si="310"/>
        <v>1.0204687210353314</v>
      </c>
      <c r="W2867" s="4">
        <f t="shared" si="311"/>
        <v>-0.62489449273535291</v>
      </c>
      <c r="X2867" s="4">
        <f t="shared" si="312"/>
        <v>1.8649727212210438</v>
      </c>
      <c r="Y2867" s="3">
        <f t="shared" si="309"/>
        <v>287.64983274869792</v>
      </c>
      <c r="AA2867" s="3"/>
    </row>
    <row r="2868" spans="19:27" x14ac:dyDescent="0.25">
      <c r="S2868" s="4">
        <v>-0.6318681741132619</v>
      </c>
      <c r="T2868" s="4">
        <v>-0.1582926201039104</v>
      </c>
      <c r="U2868" s="4">
        <f t="shared" si="310"/>
        <v>-0.5106782337028164</v>
      </c>
      <c r="W2868" s="4">
        <f t="shared" si="311"/>
        <v>-1.0461490040648362</v>
      </c>
      <c r="X2868" s="4">
        <f t="shared" si="312"/>
        <v>-0.83458599916508436</v>
      </c>
      <c r="Y2868" s="3">
        <f t="shared" si="309"/>
        <v>87.032602840554318</v>
      </c>
      <c r="AA2868" s="3"/>
    </row>
    <row r="2869" spans="19:27" x14ac:dyDescent="0.25">
      <c r="S2869" s="4">
        <v>-5.728529973117868E-3</v>
      </c>
      <c r="T2869" s="4">
        <v>-1.9300620863756635</v>
      </c>
      <c r="U2869" s="4">
        <f t="shared" si="310"/>
        <v>-1.5334370516139035</v>
      </c>
      <c r="W2869" s="4">
        <f t="shared" si="311"/>
        <v>1.8574374654374344E-2</v>
      </c>
      <c r="X2869" s="4">
        <f t="shared" si="312"/>
        <v>-2.6378077455818816</v>
      </c>
      <c r="Y2869" s="3">
        <f t="shared" si="309"/>
        <v>-266.75643335867971</v>
      </c>
      <c r="AA2869" s="3"/>
    </row>
    <row r="2870" spans="19:27" x14ac:dyDescent="0.25">
      <c r="S2870" s="4">
        <v>-0.75594844920081927</v>
      </c>
      <c r="T2870" s="4">
        <v>0.29725994257128574</v>
      </c>
      <c r="U2870" s="4">
        <f t="shared" si="310"/>
        <v>-0.2252074572169005</v>
      </c>
      <c r="W2870" s="4">
        <f t="shared" si="311"/>
        <v>-1.257142144269298</v>
      </c>
      <c r="X2870" s="4">
        <f t="shared" si="312"/>
        <v>-0.33127368045316363</v>
      </c>
      <c r="Y2870" s="3">
        <f t="shared" si="309"/>
        <v>172.4436416794797</v>
      </c>
      <c r="AA2870" s="3"/>
    </row>
    <row r="2871" spans="19:27" x14ac:dyDescent="0.25">
      <c r="S2871" s="4">
        <v>0.22710218220277484</v>
      </c>
      <c r="T2871" s="4">
        <v>0.49321216831169817</v>
      </c>
      <c r="U2871" s="4">
        <f t="shared" si="310"/>
        <v>0.5294119068060088</v>
      </c>
      <c r="W2871" s="4">
        <f t="shared" si="311"/>
        <v>0.41449292869825616</v>
      </c>
      <c r="X2871" s="4">
        <f t="shared" si="312"/>
        <v>0.99919252882631371</v>
      </c>
      <c r="Y2871" s="3">
        <f t="shared" si="309"/>
        <v>33.939769808157052</v>
      </c>
      <c r="AA2871" s="3"/>
    </row>
    <row r="2872" spans="19:27" x14ac:dyDescent="0.25">
      <c r="S2872" s="4">
        <v>-1.7828968911104413</v>
      </c>
      <c r="T2872" s="4">
        <v>-1.300586831979379</v>
      </c>
      <c r="U2872" s="4">
        <f t="shared" si="310"/>
        <v>-2.1178585262028027</v>
      </c>
      <c r="W2872" s="4">
        <f t="shared" si="311"/>
        <v>-3.0034235450293347</v>
      </c>
      <c r="X2872" s="4">
        <f t="shared" si="312"/>
        <v>-3.6681987757996133</v>
      </c>
      <c r="Y2872" s="3">
        <f t="shared" si="309"/>
        <v>138.16913181621658</v>
      </c>
      <c r="AA2872" s="3"/>
    </row>
    <row r="2873" spans="19:27" x14ac:dyDescent="0.25">
      <c r="S2873" s="4">
        <v>0.9085538932143522</v>
      </c>
      <c r="T2873" s="4">
        <v>-2.6043557227440952</v>
      </c>
      <c r="U2873" s="4">
        <f t="shared" si="310"/>
        <v>-1.5105772710747241</v>
      </c>
      <c r="W2873" s="4">
        <f t="shared" si="311"/>
        <v>1.5732720843906207</v>
      </c>
      <c r="X2873" s="4">
        <f t="shared" si="312"/>
        <v>-2.5975037631916291</v>
      </c>
      <c r="Y2873" s="3">
        <f t="shared" si="309"/>
        <v>-505.52440585502927</v>
      </c>
      <c r="AA2873" s="3"/>
    </row>
    <row r="2874" spans="19:27" x14ac:dyDescent="0.25">
      <c r="S2874" s="4">
        <v>-1.0598761117268021</v>
      </c>
      <c r="T2874" s="4">
        <v>1.20014511154329</v>
      </c>
      <c r="U2874" s="4">
        <f t="shared" si="310"/>
        <v>0.30522132598103713</v>
      </c>
      <c r="W2874" s="4">
        <f t="shared" si="311"/>
        <v>-1.7739579868043664</v>
      </c>
      <c r="X2874" s="4">
        <f t="shared" si="312"/>
        <v>0.60392306391856054</v>
      </c>
      <c r="Y2874" s="3">
        <f t="shared" si="309"/>
        <v>352.8826957207466</v>
      </c>
      <c r="AA2874" s="3"/>
    </row>
    <row r="2875" spans="19:27" x14ac:dyDescent="0.25">
      <c r="S2875" s="4">
        <v>0.37632094399844468</v>
      </c>
      <c r="T2875" s="4">
        <v>-0.29880866407620305</v>
      </c>
      <c r="U2875" s="4">
        <f t="shared" si="310"/>
        <v>-7.4495993241417702E-3</v>
      </c>
      <c r="W2875" s="4">
        <f t="shared" si="311"/>
        <v>0.66823297808542204</v>
      </c>
      <c r="X2875" s="4">
        <f t="shared" si="312"/>
        <v>5.2654277858017878E-2</v>
      </c>
      <c r="Y2875" s="3">
        <f t="shared" si="309"/>
        <v>-100.66894509974645</v>
      </c>
      <c r="AA2875" s="3"/>
    </row>
    <row r="2876" spans="19:27" x14ac:dyDescent="0.25">
      <c r="S2876" s="4">
        <v>-1.2016086982483194</v>
      </c>
      <c r="T2876" s="4">
        <v>-0.69975554384670413</v>
      </c>
      <c r="U2876" s="4">
        <f t="shared" si="310"/>
        <v>-1.2872181073851732</v>
      </c>
      <c r="W2876" s="4">
        <f t="shared" si="311"/>
        <v>-2.0149681189818884</v>
      </c>
      <c r="X2876" s="4">
        <f t="shared" si="312"/>
        <v>-2.2037001663191145</v>
      </c>
      <c r="Y2876" s="3">
        <f t="shared" si="309"/>
        <v>113.13871285391997</v>
      </c>
      <c r="AA2876" s="3"/>
    </row>
    <row r="2877" spans="19:27" x14ac:dyDescent="0.25">
      <c r="S2877" s="4">
        <v>-0.70680933509833477</v>
      </c>
      <c r="T2877" s="4">
        <v>1.5673521333924585</v>
      </c>
      <c r="U2877" s="4">
        <f t="shared" si="310"/>
        <v>0.81154078610630709</v>
      </c>
      <c r="W2877" s="4">
        <f t="shared" si="311"/>
        <v>-1.1735832064443106</v>
      </c>
      <c r="X2877" s="4">
        <f t="shared" si="312"/>
        <v>1.4966127627437931</v>
      </c>
      <c r="Y2877" s="3">
        <f t="shared" si="309"/>
        <v>341.31170548535101</v>
      </c>
      <c r="AA2877" s="3"/>
    </row>
    <row r="2878" spans="19:27" x14ac:dyDescent="0.25">
      <c r="S2878" s="4">
        <v>-0.67845287055068026</v>
      </c>
      <c r="T2878" s="4">
        <v>0.3149677604439291</v>
      </c>
      <c r="U2878" s="4">
        <f t="shared" si="310"/>
        <v>-0.16392757750131848</v>
      </c>
      <c r="W2878" s="4">
        <f t="shared" si="311"/>
        <v>-1.125364265151795</v>
      </c>
      <c r="X2878" s="4">
        <f t="shared" si="312"/>
        <v>-0.2232313836909279</v>
      </c>
      <c r="Y2878" s="3">
        <f t="shared" si="309"/>
        <v>161.31094784467859</v>
      </c>
      <c r="AA2878" s="3"/>
    </row>
    <row r="2879" spans="19:27" x14ac:dyDescent="0.25">
      <c r="S2879" s="4">
        <v>1.412963971348417</v>
      </c>
      <c r="T2879" s="4">
        <v>-8.4508872400571713E-2</v>
      </c>
      <c r="U2879" s="4">
        <f t="shared" si="310"/>
        <v>0.7943848540971693</v>
      </c>
      <c r="W2879" s="4">
        <f t="shared" si="311"/>
        <v>2.4309996020092259</v>
      </c>
      <c r="X2879" s="4">
        <f t="shared" si="312"/>
        <v>1.466365211574193</v>
      </c>
      <c r="Y2879" s="3">
        <f t="shared" si="309"/>
        <v>-227.86099511282509</v>
      </c>
      <c r="AA2879" s="3"/>
    </row>
    <row r="2880" spans="19:27" x14ac:dyDescent="0.25">
      <c r="S2880" s="4">
        <v>0.24303341252886584</v>
      </c>
      <c r="T2880" s="4">
        <v>-1.6627684698112351</v>
      </c>
      <c r="U2880" s="4">
        <f t="shared" si="310"/>
        <v>-1.1699047045605901</v>
      </c>
      <c r="W2880" s="4">
        <f t="shared" si="311"/>
        <v>0.44158329669954022</v>
      </c>
      <c r="X2880" s="4">
        <f t="shared" si="312"/>
        <v>-1.9968654019398626</v>
      </c>
      <c r="Y2880" s="3">
        <f t="shared" si="309"/>
        <v>-269.94751820574038</v>
      </c>
      <c r="AA2880" s="3"/>
    </row>
    <row r="2881" spans="19:27" x14ac:dyDescent="0.25">
      <c r="S2881" s="4">
        <v>0.10911884286719505</v>
      </c>
      <c r="T2881" s="4">
        <v>-0.79122051487604184</v>
      </c>
      <c r="U2881" s="4">
        <f t="shared" si="310"/>
        <v>-0.56067290610818465</v>
      </c>
      <c r="W2881" s="4">
        <f t="shared" si="311"/>
        <v>0.21386736399301734</v>
      </c>
      <c r="X2881" s="4">
        <f t="shared" si="312"/>
        <v>-0.92273139464597764</v>
      </c>
      <c r="Y2881" s="3">
        <f t="shared" si="309"/>
        <v>-126.42735251889098</v>
      </c>
      <c r="AA2881" s="3"/>
    </row>
    <row r="2882" spans="19:27" x14ac:dyDescent="0.25">
      <c r="S2882" s="4">
        <v>0.59157860805498286</v>
      </c>
      <c r="T2882" s="4">
        <v>-0.66654535654263924</v>
      </c>
      <c r="U2882" s="4">
        <f t="shared" si="310"/>
        <v>-0.16772566570731717</v>
      </c>
      <c r="W2882" s="4">
        <f t="shared" si="311"/>
        <v>1.0342693239938825</v>
      </c>
      <c r="X2882" s="4">
        <f t="shared" si="312"/>
        <v>-0.22992777694408426</v>
      </c>
      <c r="Y2882" s="3">
        <f t="shared" ref="Y2882:Y2945" si="313">(B$4*EXP(-B$8*B$7)*NORMSDIST((LN(B$4/(B$5+W2882))-B$8*B$7+B$9*B$7+0.5*B$6*B$6*B$7)/(B$6*SQRT(B$7)))-(B$5+W2882)*EXP(-B$9*B$7)*NORMSDIST((LN(B$4/(B$5+W2882))-B$8*B$7+B$9*B$7-0.5*B$6*B$6*B$7)/(B$6*SQRT(B$7))))*400+100*X2882-400*$B$13</f>
        <v>-185.98500905398078</v>
      </c>
      <c r="AA2882" s="3"/>
    </row>
    <row r="2883" spans="19:27" x14ac:dyDescent="0.25">
      <c r="S2883" s="4">
        <v>0.14842891056172539</v>
      </c>
      <c r="T2883" s="4">
        <v>-0.815710241193629</v>
      </c>
      <c r="U2883" s="4">
        <f t="shared" ref="U2883:U2946" si="314">$B$19*S2883+SQRT(1-$B$19^2)*T2883</f>
        <v>-0.55612142235910911</v>
      </c>
      <c r="W2883" s="4">
        <f t="shared" ref="W2883:W2946" si="315">S2883*SQRT($B$16)+$B$20</f>
        <v>0.28071243359546738</v>
      </c>
      <c r="X2883" s="4">
        <f t="shared" ref="X2883:X2946" si="316">U2883*SQRT($C$17)+$C$20</f>
        <v>-0.91470669289707607</v>
      </c>
      <c r="Y2883" s="3">
        <f t="shared" si="313"/>
        <v>-136.25153237733139</v>
      </c>
      <c r="AA2883" s="3"/>
    </row>
    <row r="2884" spans="19:27" x14ac:dyDescent="0.25">
      <c r="S2884" s="4">
        <v>-0.30401589192041556</v>
      </c>
      <c r="T2884" s="4">
        <v>0.82557434030486687</v>
      </c>
      <c r="U2884" s="4">
        <f t="shared" si="314"/>
        <v>0.46909131972847268</v>
      </c>
      <c r="W2884" s="4">
        <f t="shared" si="315"/>
        <v>-0.48865038074009859</v>
      </c>
      <c r="X2884" s="4">
        <f t="shared" si="316"/>
        <v>0.89284155685718503</v>
      </c>
      <c r="Y2884" s="3">
        <f t="shared" si="313"/>
        <v>168.20953156633368</v>
      </c>
      <c r="AA2884" s="3"/>
    </row>
    <row r="2885" spans="19:27" x14ac:dyDescent="0.25">
      <c r="S2885" s="4">
        <v>-1.0034715768001692</v>
      </c>
      <c r="T2885" s="4">
        <v>-0.72039073164796497</v>
      </c>
      <c r="U2885" s="4">
        <f t="shared" si="314"/>
        <v>-1.1827866460233958</v>
      </c>
      <c r="W2885" s="4">
        <f t="shared" si="315"/>
        <v>-1.6780445151623622</v>
      </c>
      <c r="X2885" s="4">
        <f t="shared" si="316"/>
        <v>-2.0195774984527461</v>
      </c>
      <c r="Y2885" s="3">
        <f t="shared" si="313"/>
        <v>74.294723630717272</v>
      </c>
      <c r="AA2885" s="3"/>
    </row>
    <row r="2886" spans="19:27" x14ac:dyDescent="0.25">
      <c r="S2886" s="4">
        <v>0.69265107909548895</v>
      </c>
      <c r="T2886" s="4">
        <v>1.8156333990830151</v>
      </c>
      <c r="U2886" s="4">
        <f t="shared" si="314"/>
        <v>1.8614936569193428</v>
      </c>
      <c r="W2886" s="4">
        <f t="shared" si="315"/>
        <v>1.2061386887096883</v>
      </c>
      <c r="X2886" s="4">
        <f t="shared" si="316"/>
        <v>3.3477802288231753</v>
      </c>
      <c r="Y2886" s="3">
        <f t="shared" si="313"/>
        <v>145.22988665796856</v>
      </c>
      <c r="AA2886" s="3"/>
    </row>
    <row r="2887" spans="19:27" x14ac:dyDescent="0.25">
      <c r="S2887" s="4">
        <v>0.63437727831604618</v>
      </c>
      <c r="T2887" s="4">
        <v>1.767709540906752</v>
      </c>
      <c r="U2887" s="4">
        <f t="shared" si="314"/>
        <v>1.7879797878745824</v>
      </c>
      <c r="W2887" s="4">
        <f t="shared" si="315"/>
        <v>1.1070466113474517</v>
      </c>
      <c r="X2887" s="4">
        <f t="shared" si="316"/>
        <v>3.2181682372145413</v>
      </c>
      <c r="Y2887" s="3">
        <f t="shared" si="313"/>
        <v>147.56132103932759</v>
      </c>
      <c r="AA2887" s="3"/>
    </row>
    <row r="2888" spans="19:27" x14ac:dyDescent="0.25">
      <c r="S2888" s="4">
        <v>-6.7944784033393282E-2</v>
      </c>
      <c r="T2888" s="4">
        <v>-0.46598719782055265</v>
      </c>
      <c r="U2888" s="4">
        <f t="shared" si="314"/>
        <v>-0.41080498896124934</v>
      </c>
      <c r="W2888" s="4">
        <f t="shared" si="315"/>
        <v>-8.7221673965544311E-2</v>
      </c>
      <c r="X2888" s="4">
        <f t="shared" si="316"/>
        <v>-0.65849990374424083</v>
      </c>
      <c r="Y2888" s="3">
        <f t="shared" si="313"/>
        <v>-51.853005824950742</v>
      </c>
      <c r="AA2888" s="3"/>
    </row>
    <row r="2889" spans="19:27" x14ac:dyDescent="0.25">
      <c r="S2889" s="4">
        <v>-0.65551926611285272</v>
      </c>
      <c r="T2889" s="4">
        <v>-1.7853283027171427</v>
      </c>
      <c r="U2889" s="4">
        <f t="shared" si="314"/>
        <v>-1.8148346672231406</v>
      </c>
      <c r="W2889" s="4">
        <f t="shared" si="315"/>
        <v>-1.0863666628888269</v>
      </c>
      <c r="X2889" s="4">
        <f t="shared" si="316"/>
        <v>-3.1339386915783045</v>
      </c>
      <c r="Y2889" s="3">
        <f t="shared" si="313"/>
        <v>-136.2341377270759</v>
      </c>
      <c r="AA2889" s="3"/>
    </row>
    <row r="2890" spans="19:27" x14ac:dyDescent="0.25">
      <c r="S2890" s="4">
        <v>0.31915357991084403</v>
      </c>
      <c r="T2890" s="4">
        <v>6.8170594975735133E-2</v>
      </c>
      <c r="U2890" s="4">
        <f t="shared" si="314"/>
        <v>0.24860142978511224</v>
      </c>
      <c r="W2890" s="4">
        <f t="shared" si="315"/>
        <v>0.57102234845437783</v>
      </c>
      <c r="X2890" s="4">
        <f t="shared" si="316"/>
        <v>0.50409676439187256</v>
      </c>
      <c r="Y2890" s="3">
        <f t="shared" si="313"/>
        <v>-40.256515359430978</v>
      </c>
      <c r="AA2890" s="3"/>
    </row>
    <row r="2891" spans="19:27" x14ac:dyDescent="0.25">
      <c r="S2891" s="4">
        <v>-0.3200240397012486</v>
      </c>
      <c r="T2891" s="4">
        <v>-0.7000039966501127</v>
      </c>
      <c r="U2891" s="4">
        <f t="shared" si="314"/>
        <v>-0.74998137630173978</v>
      </c>
      <c r="W2891" s="4">
        <f t="shared" si="315"/>
        <v>-0.51587154354580356</v>
      </c>
      <c r="X2891" s="4">
        <f t="shared" si="316"/>
        <v>-1.2565003578225835</v>
      </c>
      <c r="Y2891" s="3">
        <f t="shared" si="313"/>
        <v>-42.291475320906557</v>
      </c>
      <c r="AA2891" s="3"/>
    </row>
    <row r="2892" spans="19:27" x14ac:dyDescent="0.25">
      <c r="S2892" s="4">
        <v>-0.67068850607774433</v>
      </c>
      <c r="T2892" s="4">
        <v>-0.42212184400487612</v>
      </c>
      <c r="U2892" s="4">
        <f t="shared" si="314"/>
        <v>-0.74347929437127402</v>
      </c>
      <c r="W2892" s="4">
        <f t="shared" si="315"/>
        <v>-1.1121612992437915</v>
      </c>
      <c r="X2892" s="4">
        <f t="shared" si="316"/>
        <v>-1.2450365646695249</v>
      </c>
      <c r="Y2892" s="3">
        <f t="shared" si="313"/>
        <v>56.93758652125598</v>
      </c>
      <c r="AA2892" s="3"/>
    </row>
    <row r="2893" spans="19:27" x14ac:dyDescent="0.25">
      <c r="S2893" s="4">
        <v>-0.99642885049461971</v>
      </c>
      <c r="T2893" s="4">
        <v>0.8305735068347716</v>
      </c>
      <c r="U2893" s="4">
        <f t="shared" si="314"/>
        <v>5.0943730574959156E-2</v>
      </c>
      <c r="W2893" s="4">
        <f t="shared" si="315"/>
        <v>-1.666068663740693</v>
      </c>
      <c r="X2893" s="4">
        <f t="shared" si="316"/>
        <v>0.15560731084658586</v>
      </c>
      <c r="Y2893" s="3">
        <f t="shared" si="313"/>
        <v>289.78915204169425</v>
      </c>
      <c r="AA2893" s="3"/>
    </row>
    <row r="2894" spans="19:27" x14ac:dyDescent="0.25">
      <c r="S2894" s="4">
        <v>0.77303167305402876</v>
      </c>
      <c r="T2894" s="4">
        <v>0.13974159100312569</v>
      </c>
      <c r="U2894" s="4">
        <f t="shared" si="314"/>
        <v>0.5820293995650625</v>
      </c>
      <c r="W2894" s="4">
        <f t="shared" si="315"/>
        <v>1.3428224115564054</v>
      </c>
      <c r="X2894" s="4">
        <f t="shared" si="316"/>
        <v>1.0919622077803821</v>
      </c>
      <c r="Y2894" s="3">
        <f t="shared" si="313"/>
        <v>-101.36436064969848</v>
      </c>
      <c r="AA2894" s="3"/>
    </row>
    <row r="2895" spans="19:27" x14ac:dyDescent="0.25">
      <c r="S2895" s="4">
        <v>0.45794161883975765</v>
      </c>
      <c r="T2895" s="4">
        <v>0.57474346865675763</v>
      </c>
      <c r="U2895" s="4">
        <f t="shared" si="314"/>
        <v>0.73476598891284395</v>
      </c>
      <c r="W2895" s="4">
        <f t="shared" si="315"/>
        <v>0.80702540482870289</v>
      </c>
      <c r="X2895" s="4">
        <f t="shared" si="316"/>
        <v>1.3612514425072684</v>
      </c>
      <c r="Y2895" s="3">
        <f t="shared" si="313"/>
        <v>8.4753594739822802</v>
      </c>
      <c r="AA2895" s="3"/>
    </row>
    <row r="2896" spans="19:27" x14ac:dyDescent="0.25">
      <c r="S2896" s="4">
        <v>-1.1617567077686655</v>
      </c>
      <c r="T2896" s="4">
        <v>-0.51804575056284186</v>
      </c>
      <c r="U2896" s="4">
        <f t="shared" si="314"/>
        <v>-1.1188835419177072</v>
      </c>
      <c r="W2896" s="4">
        <f t="shared" si="315"/>
        <v>-1.9472015331263444</v>
      </c>
      <c r="X2896" s="4">
        <f t="shared" si="316"/>
        <v>-1.9069102058624301</v>
      </c>
      <c r="Y2896" s="3">
        <f t="shared" si="313"/>
        <v>131.2530242205612</v>
      </c>
      <c r="AA2896" s="3"/>
    </row>
    <row r="2897" spans="19:27" x14ac:dyDescent="0.25">
      <c r="S2897" s="4">
        <v>0.97161891420895252</v>
      </c>
      <c r="T2897" s="4">
        <v>2.7675682313076191</v>
      </c>
      <c r="U2897" s="4">
        <f t="shared" si="314"/>
        <v>2.7861498175490782</v>
      </c>
      <c r="W2897" s="4">
        <f t="shared" si="315"/>
        <v>1.6805114244655959</v>
      </c>
      <c r="X2897" s="4">
        <f t="shared" si="316"/>
        <v>4.9780375950820828</v>
      </c>
      <c r="Y2897" s="3">
        <f t="shared" si="313"/>
        <v>235.73441723259384</v>
      </c>
      <c r="AA2897" s="3"/>
    </row>
    <row r="2898" spans="19:27" x14ac:dyDescent="0.25">
      <c r="S2898" s="4">
        <v>-2.1420091332572402</v>
      </c>
      <c r="T2898" s="4">
        <v>1.9644134591220157</v>
      </c>
      <c r="U2898" s="4">
        <f t="shared" si="314"/>
        <v>0.25135831111688267</v>
      </c>
      <c r="W2898" s="4">
        <f t="shared" si="315"/>
        <v>-3.6140783779828465</v>
      </c>
      <c r="X2898" s="4">
        <f t="shared" si="316"/>
        <v>0.5089574102085398</v>
      </c>
      <c r="Y2898" s="3">
        <f t="shared" si="313"/>
        <v>664.45775125710225</v>
      </c>
      <c r="AA2898" s="3"/>
    </row>
    <row r="2899" spans="19:27" x14ac:dyDescent="0.25">
      <c r="S2899" s="4">
        <v>1.0482532551400314</v>
      </c>
      <c r="T2899" s="4">
        <v>0.11017040143356463</v>
      </c>
      <c r="U2899" s="4">
        <f t="shared" si="314"/>
        <v>0.72636977074588127</v>
      </c>
      <c r="W2899" s="4">
        <f t="shared" si="315"/>
        <v>1.8108248060980734</v>
      </c>
      <c r="X2899" s="4">
        <f t="shared" si="316"/>
        <v>1.3464481057663056</v>
      </c>
      <c r="Y2899" s="3">
        <f t="shared" si="313"/>
        <v>-147.14826459080359</v>
      </c>
      <c r="AA2899" s="3"/>
    </row>
    <row r="2900" spans="19:27" x14ac:dyDescent="0.25">
      <c r="S2900" s="4">
        <v>-0.93902094041302131</v>
      </c>
      <c r="T2900" s="4">
        <v>3.8924188353467136E-2</v>
      </c>
      <c r="U2900" s="4">
        <f t="shared" si="314"/>
        <v>-0.54159322312165059</v>
      </c>
      <c r="W2900" s="4">
        <f t="shared" si="315"/>
        <v>-1.5684489960526216</v>
      </c>
      <c r="X2900" s="4">
        <f t="shared" si="316"/>
        <v>-0.88909208626404035</v>
      </c>
      <c r="Y2900" s="3">
        <f t="shared" si="313"/>
        <v>168.84877050800424</v>
      </c>
      <c r="AA2900" s="3"/>
    </row>
    <row r="2901" spans="19:27" x14ac:dyDescent="0.25">
      <c r="S2901" s="4">
        <v>1.0238504619280482</v>
      </c>
      <c r="T2901" s="4">
        <v>-0.48858446901358416</v>
      </c>
      <c r="U2901" s="4">
        <f t="shared" si="314"/>
        <v>0.23686507642756383</v>
      </c>
      <c r="W2901" s="4">
        <f t="shared" si="315"/>
        <v>1.7693289118802116</v>
      </c>
      <c r="X2901" s="4">
        <f t="shared" si="316"/>
        <v>0.48340444942245731</v>
      </c>
      <c r="Y2901" s="3">
        <f t="shared" si="313"/>
        <v>-227.18121611322977</v>
      </c>
      <c r="AA2901" s="3"/>
    </row>
    <row r="2902" spans="19:27" x14ac:dyDescent="0.25">
      <c r="S2902" s="4">
        <v>1.603356819523118</v>
      </c>
      <c r="T2902" s="4">
        <v>0.11477212279252333</v>
      </c>
      <c r="U2902" s="4">
        <f t="shared" si="314"/>
        <v>1.068421036777681</v>
      </c>
      <c r="W2902" s="4">
        <f t="shared" si="315"/>
        <v>2.7547544041363521</v>
      </c>
      <c r="X2902" s="4">
        <f t="shared" si="316"/>
        <v>1.9495172463068851</v>
      </c>
      <c r="Y2902" s="3">
        <f t="shared" si="313"/>
        <v>-227.18255450978222</v>
      </c>
      <c r="AA2902" s="3"/>
    </row>
    <row r="2903" spans="19:27" x14ac:dyDescent="0.25">
      <c r="S2903" s="4">
        <v>-0.23715326659315952</v>
      </c>
      <c r="T2903" s="4">
        <v>-1.0939948098566266</v>
      </c>
      <c r="U2903" s="4">
        <f t="shared" si="314"/>
        <v>-1.0117748771789061</v>
      </c>
      <c r="W2903" s="4">
        <f t="shared" si="315"/>
        <v>-0.37495337877780355</v>
      </c>
      <c r="X2903" s="4">
        <f t="shared" si="316"/>
        <v>-1.7180673720444355</v>
      </c>
      <c r="Y2903" s="3">
        <f t="shared" si="313"/>
        <v>-111.35609893705714</v>
      </c>
      <c r="AA2903" s="3"/>
    </row>
    <row r="2904" spans="19:27" x14ac:dyDescent="0.25">
      <c r="S2904" s="4">
        <v>-0.85623778060226463</v>
      </c>
      <c r="T2904" s="4">
        <v>0.32769448330625167</v>
      </c>
      <c r="U2904" s="4">
        <f t="shared" si="314"/>
        <v>-0.26222085373935733</v>
      </c>
      <c r="W2904" s="4">
        <f t="shared" si="315"/>
        <v>-1.4276798139066764</v>
      </c>
      <c r="X2904" s="4">
        <f t="shared" si="316"/>
        <v>-0.39653184332518909</v>
      </c>
      <c r="Y2904" s="3">
        <f t="shared" si="313"/>
        <v>194.44302519897883</v>
      </c>
      <c r="AA2904" s="3"/>
    </row>
    <row r="2905" spans="19:27" x14ac:dyDescent="0.25">
      <c r="S2905" s="4">
        <v>-0.26894681107918078</v>
      </c>
      <c r="T2905" s="4">
        <v>0.5004211898361749</v>
      </c>
      <c r="U2905" s="4">
        <f t="shared" si="314"/>
        <v>0.23272390655582853</v>
      </c>
      <c r="W2905" s="4">
        <f t="shared" si="315"/>
        <v>-0.42901692582105605</v>
      </c>
      <c r="X2905" s="4">
        <f t="shared" si="316"/>
        <v>0.47610317033539862</v>
      </c>
      <c r="Y2905" s="3">
        <f t="shared" si="313"/>
        <v>116.83740089147886</v>
      </c>
      <c r="AA2905" s="3"/>
    </row>
    <row r="2906" spans="19:27" x14ac:dyDescent="0.25">
      <c r="S2906" s="4">
        <v>-0.65506043286590876</v>
      </c>
      <c r="T2906" s="4">
        <v>0.30610603867500447</v>
      </c>
      <c r="U2906" s="4">
        <f t="shared" si="314"/>
        <v>-0.15669164168033731</v>
      </c>
      <c r="W2906" s="4">
        <f t="shared" si="315"/>
        <v>-1.0855864368010415</v>
      </c>
      <c r="X2906" s="4">
        <f t="shared" si="316"/>
        <v>-0.21047373584710963</v>
      </c>
      <c r="Y2906" s="3">
        <f t="shared" si="313"/>
        <v>155.9829068967947</v>
      </c>
      <c r="AA2906" s="3"/>
    </row>
    <row r="2907" spans="19:27" x14ac:dyDescent="0.25">
      <c r="S2907" s="4">
        <v>1.0808990402893861</v>
      </c>
      <c r="T2907" s="4">
        <v>-0.58897477851262303</v>
      </c>
      <c r="U2907" s="4">
        <f t="shared" si="314"/>
        <v>0.19206456553736262</v>
      </c>
      <c r="W2907" s="4">
        <f t="shared" si="315"/>
        <v>1.8663375515222915</v>
      </c>
      <c r="X2907" s="4">
        <f t="shared" si="316"/>
        <v>0.40441685814185457</v>
      </c>
      <c r="Y2907" s="3">
        <f t="shared" si="313"/>
        <v>-249.72772395057791</v>
      </c>
      <c r="AA2907" s="3"/>
    </row>
    <row r="2908" spans="19:27" x14ac:dyDescent="0.25">
      <c r="S2908" s="4">
        <v>0.43999495770810571</v>
      </c>
      <c r="T2908" s="4">
        <v>0.61602035599247018</v>
      </c>
      <c r="U2908" s="4">
        <f t="shared" si="314"/>
        <v>0.75654516302141439</v>
      </c>
      <c r="W2908" s="4">
        <f t="shared" si="315"/>
        <v>0.77650788392797487</v>
      </c>
      <c r="X2908" s="4">
        <f t="shared" si="316"/>
        <v>1.3996502122698049</v>
      </c>
      <c r="Y2908" s="3">
        <f t="shared" si="313"/>
        <v>17.081560334317146</v>
      </c>
      <c r="AA2908" s="3"/>
    </row>
    <row r="2909" spans="19:27" x14ac:dyDescent="0.25">
      <c r="S2909" s="4">
        <v>-0.93304411377526542</v>
      </c>
      <c r="T2909" s="4">
        <v>0.21424582487528207</v>
      </c>
      <c r="U2909" s="4">
        <f t="shared" si="314"/>
        <v>-0.39897355423089942</v>
      </c>
      <c r="W2909" s="4">
        <f t="shared" si="315"/>
        <v>-1.5582856609063389</v>
      </c>
      <c r="X2909" s="4">
        <f t="shared" si="316"/>
        <v>-0.63763995120855643</v>
      </c>
      <c r="Y2909" s="3">
        <f t="shared" si="313"/>
        <v>192.28212397287734</v>
      </c>
      <c r="AA2909" s="3"/>
    </row>
    <row r="2910" spans="19:27" x14ac:dyDescent="0.25">
      <c r="S2910" s="4">
        <v>-2.3008513567531419</v>
      </c>
      <c r="T2910" s="4">
        <v>0.80591437956533785</v>
      </c>
      <c r="U2910" s="4">
        <f t="shared" si="314"/>
        <v>-0.76380842670420479</v>
      </c>
      <c r="W2910" s="4">
        <f t="shared" si="315"/>
        <v>-3.8841827076904463</v>
      </c>
      <c r="X2910" s="4">
        <f t="shared" si="316"/>
        <v>-1.2808787719099346</v>
      </c>
      <c r="Y2910" s="3">
        <f t="shared" si="313"/>
        <v>534.14515845194728</v>
      </c>
      <c r="AA2910" s="3"/>
    </row>
    <row r="2911" spans="19:27" x14ac:dyDescent="0.25">
      <c r="S2911" s="4">
        <v>0.80633486004486743</v>
      </c>
      <c r="T2911" s="4">
        <v>2.8743684110775589E-2</v>
      </c>
      <c r="U2911" s="4">
        <f t="shared" si="314"/>
        <v>0.51434461049791469</v>
      </c>
      <c r="W2911" s="4">
        <f t="shared" si="315"/>
        <v>1.3994530403735561</v>
      </c>
      <c r="X2911" s="4">
        <f t="shared" si="316"/>
        <v>0.97262744242798471</v>
      </c>
      <c r="Y2911" s="3">
        <f t="shared" si="313"/>
        <v>-121.9760103820613</v>
      </c>
      <c r="AA2911" s="3"/>
    </row>
    <row r="2912" spans="19:27" x14ac:dyDescent="0.25">
      <c r="S2912" s="4">
        <v>-0.44939587188388141</v>
      </c>
      <c r="T2912" s="4">
        <v>0.6773215611068838</v>
      </c>
      <c r="U2912" s="4">
        <f t="shared" si="314"/>
        <v>0.26294564539009618</v>
      </c>
      <c r="W2912" s="4">
        <f t="shared" si="315"/>
        <v>-0.73586274768325799</v>
      </c>
      <c r="X2912" s="4">
        <f t="shared" si="316"/>
        <v>0.52938699026059433</v>
      </c>
      <c r="Y2912" s="3">
        <f t="shared" si="313"/>
        <v>172.26650954909655</v>
      </c>
      <c r="AA2912" s="3"/>
    </row>
    <row r="2913" spans="19:27" x14ac:dyDescent="0.25">
      <c r="S2913" s="4">
        <v>-0.75594961938238481</v>
      </c>
      <c r="T2913" s="4">
        <v>-0.46705484242216799</v>
      </c>
      <c r="U2913" s="4">
        <f t="shared" si="314"/>
        <v>-0.83107440060764581</v>
      </c>
      <c r="W2913" s="4">
        <f t="shared" si="315"/>
        <v>-1.2571441341124294</v>
      </c>
      <c r="X2913" s="4">
        <f t="shared" si="316"/>
        <v>-1.3994751260184497</v>
      </c>
      <c r="Y2913" s="3">
        <f t="shared" si="313"/>
        <v>65.623829061012657</v>
      </c>
      <c r="AA2913" s="3"/>
    </row>
    <row r="2914" spans="19:27" x14ac:dyDescent="0.25">
      <c r="S2914" s="4">
        <v>0.49380686826049031</v>
      </c>
      <c r="T2914" s="4">
        <v>0.13791045457965845</v>
      </c>
      <c r="U2914" s="4">
        <f t="shared" si="314"/>
        <v>0.410356201311595</v>
      </c>
      <c r="W2914" s="4">
        <f t="shared" si="315"/>
        <v>0.86801270997576785</v>
      </c>
      <c r="X2914" s="4">
        <f t="shared" si="316"/>
        <v>0.78928591797841374</v>
      </c>
      <c r="Y2914" s="3">
        <f t="shared" si="313"/>
        <v>-58.232153385504262</v>
      </c>
      <c r="AA2914" s="3"/>
    </row>
    <row r="2915" spans="19:27" x14ac:dyDescent="0.25">
      <c r="S2915" s="4">
        <v>0.29052047804275744</v>
      </c>
      <c r="T2915" s="4">
        <v>0.21303411482350168</v>
      </c>
      <c r="U2915" s="4">
        <f t="shared" si="314"/>
        <v>0.34597820804760426</v>
      </c>
      <c r="W2915" s="4">
        <f t="shared" si="315"/>
        <v>0.52233299736550631</v>
      </c>
      <c r="X2915" s="4">
        <f t="shared" si="316"/>
        <v>0.67578135032149211</v>
      </c>
      <c r="Y2915" s="3">
        <f t="shared" si="313"/>
        <v>-15.422580054514583</v>
      </c>
      <c r="AA2915" s="3"/>
    </row>
    <row r="2916" spans="19:27" x14ac:dyDescent="0.25">
      <c r="S2916" s="4">
        <v>-1.1254206030502396</v>
      </c>
      <c r="T2916" s="4">
        <v>-0.26543571731504745</v>
      </c>
      <c r="U2916" s="4">
        <f t="shared" si="314"/>
        <v>-0.89649028449589163</v>
      </c>
      <c r="W2916" s="4">
        <f t="shared" si="315"/>
        <v>-1.885413558914256</v>
      </c>
      <c r="X2916" s="4">
        <f t="shared" si="316"/>
        <v>-1.5148095942455579</v>
      </c>
      <c r="Y2916" s="3">
        <f t="shared" si="313"/>
        <v>159.94000262159443</v>
      </c>
      <c r="AA2916" s="3"/>
    </row>
    <row r="2917" spans="19:27" x14ac:dyDescent="0.25">
      <c r="S2917" s="4">
        <v>-1.1596562423444605</v>
      </c>
      <c r="T2917" s="4">
        <v>0.82011844114636689</v>
      </c>
      <c r="U2917" s="4">
        <f t="shared" si="314"/>
        <v>-5.6850976530998021E-2</v>
      </c>
      <c r="W2917" s="4">
        <f t="shared" si="315"/>
        <v>-1.9436297825364044</v>
      </c>
      <c r="X2917" s="4">
        <f t="shared" si="316"/>
        <v>-3.4445081367537614E-2</v>
      </c>
      <c r="Y2917" s="3">
        <f t="shared" si="313"/>
        <v>317.89067967928713</v>
      </c>
      <c r="AA2917" s="3"/>
    </row>
    <row r="2918" spans="19:27" x14ac:dyDescent="0.25">
      <c r="S2918" s="4">
        <v>0.83390846053582013</v>
      </c>
      <c r="T2918" s="4">
        <v>-0.69916906526080458</v>
      </c>
      <c r="U2918" s="4">
        <f t="shared" si="314"/>
        <v>-4.5856534336008892E-2</v>
      </c>
      <c r="W2918" s="4">
        <f t="shared" si="315"/>
        <v>1.4463407552035243</v>
      </c>
      <c r="X2918" s="4">
        <f t="shared" si="316"/>
        <v>-1.5060826831146679E-2</v>
      </c>
      <c r="Y2918" s="3">
        <f t="shared" si="313"/>
        <v>-227.91773638172845</v>
      </c>
      <c r="AA2918" s="3"/>
    </row>
    <row r="2919" spans="19:27" x14ac:dyDescent="0.25">
      <c r="S2919" s="4">
        <v>-0.80542249827629619</v>
      </c>
      <c r="T2919" s="4">
        <v>0.88774100049457827</v>
      </c>
      <c r="U2919" s="4">
        <f t="shared" si="314"/>
        <v>0.21270168055985689</v>
      </c>
      <c r="W2919" s="4">
        <f t="shared" si="315"/>
        <v>-1.3412706245269252</v>
      </c>
      <c r="X2919" s="4">
        <f t="shared" si="316"/>
        <v>0.44080206835971603</v>
      </c>
      <c r="Y2919" s="3">
        <f t="shared" si="313"/>
        <v>263.70388024662952</v>
      </c>
      <c r="AA2919" s="3"/>
    </row>
    <row r="2920" spans="19:27" x14ac:dyDescent="0.25">
      <c r="S2920" s="4">
        <v>0.42510748134006909</v>
      </c>
      <c r="T2920" s="4">
        <v>0.41418333964250881</v>
      </c>
      <c r="U2920" s="4">
        <f t="shared" si="314"/>
        <v>0.58747483327304795</v>
      </c>
      <c r="W2920" s="4">
        <f t="shared" si="315"/>
        <v>0.75119237438066611</v>
      </c>
      <c r="X2920" s="4">
        <f t="shared" si="316"/>
        <v>1.1015630289211527</v>
      </c>
      <c r="Y2920" s="3">
        <f t="shared" si="313"/>
        <v>-8.7696939055813345</v>
      </c>
      <c r="AA2920" s="3"/>
    </row>
    <row r="2921" spans="19:27" x14ac:dyDescent="0.25">
      <c r="S2921" s="4">
        <v>-0.10598198974278988</v>
      </c>
      <c r="T2921" s="4">
        <v>0.51450359185868144</v>
      </c>
      <c r="U2921" s="4">
        <f t="shared" si="314"/>
        <v>0.34323390538040449</v>
      </c>
      <c r="W2921" s="4">
        <f t="shared" si="315"/>
        <v>-0.15190229682494244</v>
      </c>
      <c r="X2921" s="4">
        <f t="shared" si="316"/>
        <v>0.67094288189513196</v>
      </c>
      <c r="Y2921" s="3">
        <f t="shared" si="313"/>
        <v>91.496394310500818</v>
      </c>
      <c r="AA2921" s="3"/>
    </row>
    <row r="2922" spans="19:27" x14ac:dyDescent="0.25">
      <c r="S2922" s="4">
        <v>0.11834844344011658</v>
      </c>
      <c r="T2922" s="4">
        <v>-0.32798599416763602</v>
      </c>
      <c r="U2922" s="4">
        <f t="shared" si="314"/>
        <v>-0.18784402820650964</v>
      </c>
      <c r="W2922" s="4">
        <f t="shared" si="315"/>
        <v>0.22956190050447689</v>
      </c>
      <c r="X2922" s="4">
        <f t="shared" si="316"/>
        <v>-0.26539837678201583</v>
      </c>
      <c r="Y2922" s="3">
        <f t="shared" si="313"/>
        <v>-63.191146380618648</v>
      </c>
      <c r="AA2922" s="3"/>
    </row>
    <row r="2923" spans="19:27" x14ac:dyDescent="0.25">
      <c r="S2923" s="4">
        <v>0.22681249016723723</v>
      </c>
      <c r="T2923" s="4">
        <v>-0.47092623062493016</v>
      </c>
      <c r="U2923" s="4">
        <f t="shared" si="314"/>
        <v>-0.23502950991282526</v>
      </c>
      <c r="W2923" s="4">
        <f t="shared" si="315"/>
        <v>0.41400031992359659</v>
      </c>
      <c r="X2923" s="4">
        <f t="shared" si="316"/>
        <v>-0.34859090002201309</v>
      </c>
      <c r="Y2923" s="3">
        <f t="shared" si="313"/>
        <v>-100.76068388079693</v>
      </c>
      <c r="AA2923" s="3"/>
    </row>
    <row r="2924" spans="19:27" x14ac:dyDescent="0.25">
      <c r="S2924" s="4">
        <v>0.72987232673001301</v>
      </c>
      <c r="T2924" s="4">
        <v>0.25759168400959892</v>
      </c>
      <c r="U2924" s="4">
        <f t="shared" si="314"/>
        <v>0.6491373272384805</v>
      </c>
      <c r="W2924" s="4">
        <f t="shared" si="315"/>
        <v>1.269431810160252</v>
      </c>
      <c r="X2924" s="4">
        <f t="shared" si="316"/>
        <v>1.2102799112491511</v>
      </c>
      <c r="Y2924" s="3">
        <f t="shared" si="313"/>
        <v>-78.261975285822245</v>
      </c>
      <c r="AA2924" s="3"/>
    </row>
    <row r="2925" spans="19:27" x14ac:dyDescent="0.25">
      <c r="S2925" s="4">
        <v>1.440959646794044</v>
      </c>
      <c r="T2925" s="4">
        <v>3.2310658062876189E-2</v>
      </c>
      <c r="U2925" s="4">
        <f t="shared" si="314"/>
        <v>0.90405355193888726</v>
      </c>
      <c r="W2925" s="4">
        <f t="shared" si="315"/>
        <v>2.4786050370411004</v>
      </c>
      <c r="X2925" s="4">
        <f t="shared" si="316"/>
        <v>1.6597216289290717</v>
      </c>
      <c r="Y2925" s="3">
        <f t="shared" si="313"/>
        <v>-215.5624330569085</v>
      </c>
      <c r="AA2925" s="3"/>
    </row>
    <row r="2926" spans="19:27" x14ac:dyDescent="0.25">
      <c r="S2926" s="4">
        <v>-0.60152153040900302</v>
      </c>
      <c r="T2926" s="4">
        <v>0.19240481069490675</v>
      </c>
      <c r="U2926" s="4">
        <f t="shared" si="314"/>
        <v>-0.2141831881539468</v>
      </c>
      <c r="W2926" s="4">
        <f t="shared" si="315"/>
        <v>-0.99454584920956779</v>
      </c>
      <c r="X2926" s="4">
        <f t="shared" si="316"/>
        <v>-0.31183683829200781</v>
      </c>
      <c r="Y2926" s="3">
        <f t="shared" si="313"/>
        <v>130.76360388942931</v>
      </c>
      <c r="AA2926" s="3"/>
    </row>
    <row r="2927" spans="19:27" x14ac:dyDescent="0.25">
      <c r="S2927" s="4">
        <v>-0.40837967629732724</v>
      </c>
      <c r="T2927" s="4">
        <v>0.99326380829987959</v>
      </c>
      <c r="U2927" s="4">
        <f t="shared" si="314"/>
        <v>0.53839493116276849</v>
      </c>
      <c r="W2927" s="4">
        <f t="shared" si="315"/>
        <v>-0.66611648140571589</v>
      </c>
      <c r="X2927" s="4">
        <f t="shared" si="316"/>
        <v>1.0150304610787921</v>
      </c>
      <c r="Y2927" s="3">
        <f t="shared" si="313"/>
        <v>209.39975296944613</v>
      </c>
      <c r="AA2927" s="3"/>
    </row>
    <row r="2928" spans="19:27" x14ac:dyDescent="0.25">
      <c r="S2928" s="4">
        <v>2.5215569003953511E-2</v>
      </c>
      <c r="T2928" s="4">
        <v>1.1688735707818287</v>
      </c>
      <c r="U2928" s="4">
        <f t="shared" si="314"/>
        <v>0.94192872417923479</v>
      </c>
      <c r="W2928" s="4">
        <f t="shared" si="315"/>
        <v>7.1193476355775082E-2</v>
      </c>
      <c r="X2928" s="4">
        <f t="shared" si="316"/>
        <v>1.7264991849246965</v>
      </c>
      <c r="Y2928" s="3">
        <f t="shared" si="313"/>
        <v>161.25423537352435</v>
      </c>
      <c r="AA2928" s="3"/>
    </row>
    <row r="2929" spans="19:27" x14ac:dyDescent="0.25">
      <c r="S2929" s="4">
        <v>-1.8684367709284675</v>
      </c>
      <c r="T2929" s="4">
        <v>-0.17353472014367344</v>
      </c>
      <c r="U2929" s="4">
        <f t="shared" si="314"/>
        <v>-1.2766003315117698</v>
      </c>
      <c r="W2929" s="4">
        <f t="shared" si="315"/>
        <v>-3.1488804102948396</v>
      </c>
      <c r="X2929" s="4">
        <f t="shared" si="316"/>
        <v>-2.1849800105813175</v>
      </c>
      <c r="Y2929" s="3">
        <f t="shared" si="313"/>
        <v>312.16941226970721</v>
      </c>
      <c r="AA2929" s="3"/>
    </row>
    <row r="2930" spans="19:27" x14ac:dyDescent="0.25">
      <c r="S2930" s="4">
        <v>0.28755759740025799</v>
      </c>
      <c r="T2930" s="4">
        <v>2.1076929504841427E-2</v>
      </c>
      <c r="U2930" s="4">
        <f t="shared" si="314"/>
        <v>0.19200904112034006</v>
      </c>
      <c r="W2930" s="4">
        <f t="shared" si="315"/>
        <v>0.51729474700403</v>
      </c>
      <c r="X2930" s="4">
        <f t="shared" si="316"/>
        <v>0.40431896327702543</v>
      </c>
      <c r="Y2930" s="3">
        <f t="shared" si="313"/>
        <v>-41.774921079386786</v>
      </c>
      <c r="AA2930" s="3"/>
    </row>
    <row r="2931" spans="19:27" x14ac:dyDescent="0.25">
      <c r="S2931" s="4">
        <v>0.97993926186637459</v>
      </c>
      <c r="T2931" s="4">
        <v>-1.9202828215985304</v>
      </c>
      <c r="U2931" s="4">
        <f t="shared" si="314"/>
        <v>-0.92480002849354259</v>
      </c>
      <c r="W2931" s="4">
        <f t="shared" si="315"/>
        <v>1.6946598157275714</v>
      </c>
      <c r="X2931" s="4">
        <f t="shared" si="316"/>
        <v>-1.5647223841605058</v>
      </c>
      <c r="Y2931" s="3">
        <f t="shared" si="313"/>
        <v>-420.68715145877741</v>
      </c>
      <c r="AA2931" s="3"/>
    </row>
    <row r="2932" spans="19:27" x14ac:dyDescent="0.25">
      <c r="S2932" s="4">
        <v>-0.19519357579715058</v>
      </c>
      <c r="T2932" s="4">
        <v>-0.5057671682383581</v>
      </c>
      <c r="U2932" s="4">
        <f t="shared" si="314"/>
        <v>-0.51991195664065071</v>
      </c>
      <c r="W2932" s="4">
        <f t="shared" si="315"/>
        <v>-0.303602739711192</v>
      </c>
      <c r="X2932" s="4">
        <f t="shared" si="316"/>
        <v>-0.85086593702560331</v>
      </c>
      <c r="Y2932" s="3">
        <f t="shared" si="313"/>
        <v>-36.195440581600906</v>
      </c>
      <c r="AA2932" s="3"/>
    </row>
    <row r="2933" spans="19:27" x14ac:dyDescent="0.25">
      <c r="S2933" s="4">
        <v>-1.388203097129888</v>
      </c>
      <c r="T2933" s="4">
        <v>0.31051382223303481</v>
      </c>
      <c r="U2933" s="4">
        <f t="shared" si="314"/>
        <v>-0.60013775273949377</v>
      </c>
      <c r="W2933" s="4">
        <f t="shared" si="315"/>
        <v>-2.3322638224029557</v>
      </c>
      <c r="X2933" s="4">
        <f t="shared" si="316"/>
        <v>-0.99231169883727022</v>
      </c>
      <c r="Y2933" s="3">
        <f t="shared" si="313"/>
        <v>288.75171055394367</v>
      </c>
      <c r="AA2933" s="3"/>
    </row>
    <row r="2934" spans="19:27" x14ac:dyDescent="0.25">
      <c r="S2934" s="4">
        <v>-0.58966045971378966</v>
      </c>
      <c r="T2934" s="4">
        <v>0.13369151975833221</v>
      </c>
      <c r="U2934" s="4">
        <f t="shared" si="314"/>
        <v>-0.25349397194678619</v>
      </c>
      <c r="W2934" s="4">
        <f t="shared" si="315"/>
        <v>-0.97437661158977518</v>
      </c>
      <c r="X2934" s="4">
        <f t="shared" si="316"/>
        <v>-0.38114551494435567</v>
      </c>
      <c r="Y2934" s="3">
        <f t="shared" si="313"/>
        <v>120.49712568624545</v>
      </c>
      <c r="AA2934" s="3"/>
    </row>
    <row r="2935" spans="19:27" x14ac:dyDescent="0.25">
      <c r="S2935" s="4">
        <v>-1.6961867144885456</v>
      </c>
      <c r="T2935" s="4">
        <v>-0.76268098799438455</v>
      </c>
      <c r="U2935" s="4">
        <f t="shared" si="314"/>
        <v>-1.6386043984014136</v>
      </c>
      <c r="W2935" s="4">
        <f t="shared" si="315"/>
        <v>-2.8559766406746561</v>
      </c>
      <c r="X2935" s="4">
        <f t="shared" si="316"/>
        <v>-2.8232278499301593</v>
      </c>
      <c r="Y2935" s="3">
        <f t="shared" si="313"/>
        <v>196.7532314866703</v>
      </c>
      <c r="AA2935" s="3"/>
    </row>
    <row r="2936" spans="19:27" x14ac:dyDescent="0.25">
      <c r="S2936" s="4">
        <v>0.33999346972262762</v>
      </c>
      <c r="T2936" s="4">
        <v>-0.15772461558427078</v>
      </c>
      <c r="U2936" s="4">
        <f t="shared" si="314"/>
        <v>8.2240561063308959E-2</v>
      </c>
      <c r="W2936" s="4">
        <f t="shared" si="315"/>
        <v>0.60645967956764613</v>
      </c>
      <c r="X2936" s="4">
        <f t="shared" si="316"/>
        <v>0.21078662032032605</v>
      </c>
      <c r="Y2936" s="3">
        <f t="shared" si="313"/>
        <v>-75.159020770332518</v>
      </c>
      <c r="AA2936" s="3"/>
    </row>
    <row r="2937" spans="19:27" x14ac:dyDescent="0.25">
      <c r="S2937" s="4">
        <v>1.0462388632193087</v>
      </c>
      <c r="T2937" s="4">
        <v>2.0746619084961377</v>
      </c>
      <c r="U2937" s="4">
        <f t="shared" si="314"/>
        <v>2.2823784914095953</v>
      </c>
      <c r="W2937" s="4">
        <f t="shared" si="315"/>
        <v>1.807399419777356</v>
      </c>
      <c r="X2937" s="4">
        <f t="shared" si="316"/>
        <v>4.089840500510646</v>
      </c>
      <c r="Y2937" s="3">
        <f t="shared" si="313"/>
        <v>127.70833817636321</v>
      </c>
      <c r="AA2937" s="3"/>
    </row>
    <row r="2938" spans="19:27" x14ac:dyDescent="0.25">
      <c r="S2938" s="4">
        <v>-0.83337068645255696</v>
      </c>
      <c r="T2938" s="4">
        <v>0.60886991738209839</v>
      </c>
      <c r="U2938" s="4">
        <f t="shared" si="314"/>
        <v>-2.5395040424607163E-2</v>
      </c>
      <c r="W2938" s="4">
        <f t="shared" si="315"/>
        <v>-1.3887953095114913</v>
      </c>
      <c r="X2938" s="4">
        <f t="shared" si="316"/>
        <v>2.1014746548482753E-2</v>
      </c>
      <c r="Y2938" s="3">
        <f t="shared" si="313"/>
        <v>229.68009874992731</v>
      </c>
      <c r="AA2938" s="3"/>
    </row>
    <row r="2939" spans="19:27" x14ac:dyDescent="0.25">
      <c r="S2939" s="4">
        <v>-1.024417619263706</v>
      </c>
      <c r="T2939" s="4">
        <v>0.98441899905961339</v>
      </c>
      <c r="U2939" s="4">
        <f t="shared" si="314"/>
        <v>0.15583324648851193</v>
      </c>
      <c r="W2939" s="4">
        <f t="shared" si="315"/>
        <v>-1.713662354267885</v>
      </c>
      <c r="X2939" s="4">
        <f t="shared" si="316"/>
        <v>0.34053757275598917</v>
      </c>
      <c r="Y2939" s="3">
        <f t="shared" si="313"/>
        <v>316.33054154806268</v>
      </c>
      <c r="AA2939" s="3"/>
    </row>
    <row r="2940" spans="19:27" x14ac:dyDescent="0.25">
      <c r="S2940" s="4">
        <v>1.3145937344327121</v>
      </c>
      <c r="T2940" s="4">
        <v>1.7862153101684668</v>
      </c>
      <c r="U2940" s="4">
        <f t="shared" si="314"/>
        <v>2.2173242920111158</v>
      </c>
      <c r="W2940" s="4">
        <f t="shared" si="315"/>
        <v>2.2637252695268444</v>
      </c>
      <c r="X2940" s="4">
        <f t="shared" si="316"/>
        <v>3.9751437166778123</v>
      </c>
      <c r="Y2940" s="3">
        <f t="shared" si="313"/>
        <v>47.832615280704886</v>
      </c>
      <c r="AA2940" s="3"/>
    </row>
    <row r="2941" spans="19:27" x14ac:dyDescent="0.25">
      <c r="S2941" s="4">
        <v>-1.2826982848517094E-2</v>
      </c>
      <c r="T2941" s="4">
        <v>-0.10129642679806848</v>
      </c>
      <c r="U2941" s="4">
        <f t="shared" si="314"/>
        <v>-8.8116484008156803E-2</v>
      </c>
      <c r="W2941" s="4">
        <f t="shared" si="315"/>
        <v>6.5037626113481455E-3</v>
      </c>
      <c r="X2941" s="4">
        <f t="shared" si="316"/>
        <v>-8.9569165372717946E-2</v>
      </c>
      <c r="Y2941" s="3">
        <f t="shared" si="313"/>
        <v>-9.9990376416849358</v>
      </c>
      <c r="AA2941" s="3"/>
    </row>
    <row r="2942" spans="19:27" x14ac:dyDescent="0.25">
      <c r="S2942" s="4">
        <v>-0.77560065854466198</v>
      </c>
      <c r="T2942" s="4">
        <v>-0.83753963119281094</v>
      </c>
      <c r="U2942" s="4">
        <f t="shared" si="314"/>
        <v>-1.136734447729135</v>
      </c>
      <c r="W2942" s="4">
        <f t="shared" si="315"/>
        <v>-1.2905598761246382</v>
      </c>
      <c r="X2942" s="4">
        <f t="shared" si="316"/>
        <v>-1.9383830624036709</v>
      </c>
      <c r="Y2942" s="3">
        <f t="shared" si="313"/>
        <v>17.310267551228208</v>
      </c>
      <c r="AA2942" s="3"/>
    </row>
    <row r="2943" spans="19:27" x14ac:dyDescent="0.25">
      <c r="S2943" s="4">
        <v>-0.26904077087048489</v>
      </c>
      <c r="T2943" s="4">
        <v>-0.78728208432256996</v>
      </c>
      <c r="U2943" s="4">
        <f t="shared" si="314"/>
        <v>-0.78808548161757641</v>
      </c>
      <c r="W2943" s="4">
        <f t="shared" si="315"/>
        <v>-0.42917670038156713</v>
      </c>
      <c r="X2943" s="4">
        <f t="shared" si="316"/>
        <v>-1.3236815447554013</v>
      </c>
      <c r="Y2943" s="3">
        <f t="shared" si="313"/>
        <v>-63.115110949695008</v>
      </c>
      <c r="AA2943" s="3"/>
    </row>
    <row r="2944" spans="19:27" x14ac:dyDescent="0.25">
      <c r="S2944" s="4">
        <v>-0.13566866478996692</v>
      </c>
      <c r="T2944" s="4">
        <v>0.3526392240317236</v>
      </c>
      <c r="U2944" s="4">
        <f t="shared" si="314"/>
        <v>0.19682765337975383</v>
      </c>
      <c r="W2944" s="4">
        <f t="shared" si="315"/>
        <v>-0.20238320352839184</v>
      </c>
      <c r="X2944" s="4">
        <f t="shared" si="316"/>
        <v>0.41281463817276698</v>
      </c>
      <c r="Y2944" s="3">
        <f t="shared" si="313"/>
        <v>73.81946011127593</v>
      </c>
      <c r="AA2944" s="3"/>
    </row>
    <row r="2945" spans="19:27" x14ac:dyDescent="0.25">
      <c r="S2945" s="4">
        <v>-0.99539901099770745</v>
      </c>
      <c r="T2945" s="4">
        <v>0.44334238464928666</v>
      </c>
      <c r="U2945" s="4">
        <f t="shared" si="314"/>
        <v>-0.25538347633160868</v>
      </c>
      <c r="W2945" s="4">
        <f t="shared" si="315"/>
        <v>-1.6643174662259648</v>
      </c>
      <c r="X2945" s="4">
        <f t="shared" si="316"/>
        <v>-0.38447689213416147</v>
      </c>
      <c r="Y2945" s="3">
        <f t="shared" si="313"/>
        <v>235.48482360048365</v>
      </c>
      <c r="AA2945" s="3"/>
    </row>
    <row r="2946" spans="19:27" x14ac:dyDescent="0.25">
      <c r="S2946" s="4">
        <v>-0.99237936029524454</v>
      </c>
      <c r="T2946" s="4">
        <v>0.73918578529002166</v>
      </c>
      <c r="U2946" s="4">
        <f t="shared" si="314"/>
        <v>-1.902992734548159E-2</v>
      </c>
      <c r="W2946" s="4">
        <f t="shared" si="315"/>
        <v>-1.6591826808333336</v>
      </c>
      <c r="X2946" s="4">
        <f t="shared" si="316"/>
        <v>3.2237050499011016E-2</v>
      </c>
      <c r="Y2946" s="3">
        <f t="shared" ref="Y2946:Y3009" si="317">(B$4*EXP(-B$8*B$7)*NORMSDIST((LN(B$4/(B$5+W2946))-B$8*B$7+B$9*B$7+0.5*B$6*B$6*B$7)/(B$6*SQRT(B$7)))-(B$5+W2946)*EXP(-B$9*B$7)*NORMSDIST((LN(B$4/(B$5+W2946))-B$8*B$7+B$9*B$7-0.5*B$6*B$6*B$7)/(B$6*SQRT(B$7))))*400+100*X2946-400*$B$13</f>
        <v>276.28866264127646</v>
      </c>
      <c r="AA2946" s="3"/>
    </row>
    <row r="2947" spans="19:27" x14ac:dyDescent="0.25">
      <c r="S2947" s="4">
        <v>-0.42038984331776891</v>
      </c>
      <c r="T2947" s="4">
        <v>0.34932221763953814</v>
      </c>
      <c r="U2947" s="4">
        <f t="shared" ref="U2947:U3010" si="318">$B$19*S2947+SQRT(1-$B$19^2)*T2947</f>
        <v>2.0625905798210276E-2</v>
      </c>
      <c r="W2947" s="4">
        <f t="shared" ref="W2947:W3010" si="319">S2947*SQRT($B$16)+$B$20</f>
        <v>-0.68653925087680945</v>
      </c>
      <c r="X2947" s="4">
        <f t="shared" ref="X2947:X3010" si="320">U2947*SQRT($C$17)+$C$20</f>
        <v>0.10215408220256722</v>
      </c>
      <c r="Y2947" s="3">
        <f t="shared" si="317"/>
        <v>121.45668295821497</v>
      </c>
      <c r="AA2947" s="3"/>
    </row>
    <row r="2948" spans="19:27" x14ac:dyDescent="0.25">
      <c r="S2948" s="4">
        <v>-1.547579409490226</v>
      </c>
      <c r="T2948" s="4">
        <v>0.11558953930253169</v>
      </c>
      <c r="U2948" s="4">
        <f t="shared" si="318"/>
        <v>-0.85181203211180201</v>
      </c>
      <c r="W2948" s="4">
        <f t="shared" si="319"/>
        <v>-2.6032763471204077</v>
      </c>
      <c r="X2948" s="4">
        <f t="shared" si="320"/>
        <v>-1.4360375564200258</v>
      </c>
      <c r="Y2948" s="3">
        <f t="shared" si="317"/>
        <v>291.33418954378612</v>
      </c>
      <c r="AA2948" s="3"/>
    </row>
    <row r="2949" spans="19:27" x14ac:dyDescent="0.25">
      <c r="S2949" s="4">
        <v>1.081033691512358</v>
      </c>
      <c r="T2949" s="4">
        <v>-0.32871077368713497</v>
      </c>
      <c r="U2949" s="4">
        <f t="shared" si="318"/>
        <v>0.39845585136966277</v>
      </c>
      <c r="W2949" s="4">
        <f t="shared" si="319"/>
        <v>1.8665665201020851</v>
      </c>
      <c r="X2949" s="4">
        <f t="shared" si="320"/>
        <v>0.76830446132464414</v>
      </c>
      <c r="Y2949" s="3">
        <f t="shared" si="317"/>
        <v>-213.3734808082213</v>
      </c>
      <c r="AA2949" s="3"/>
    </row>
    <row r="2950" spans="19:27" x14ac:dyDescent="0.25">
      <c r="S2950" s="4">
        <v>-0.56544334744950209</v>
      </c>
      <c r="T2950" s="4">
        <v>2.3269354367103876</v>
      </c>
      <c r="U2950" s="4">
        <f t="shared" si="318"/>
        <v>1.4998362685742053</v>
      </c>
      <c r="W2950" s="4">
        <f t="shared" si="319"/>
        <v>-0.93319645979110777</v>
      </c>
      <c r="X2950" s="4">
        <f t="shared" si="320"/>
        <v>2.7101436169499835</v>
      </c>
      <c r="Y2950" s="3">
        <f t="shared" si="317"/>
        <v>422.82225294852924</v>
      </c>
      <c r="AA2950" s="3"/>
    </row>
    <row r="2951" spans="19:27" x14ac:dyDescent="0.25">
      <c r="S2951" s="4">
        <v>-3.1818879390943247</v>
      </c>
      <c r="T2951" s="4">
        <v>-0.19758085803709186</v>
      </c>
      <c r="U2951" s="4">
        <f t="shared" si="318"/>
        <v>-2.0963706507497619</v>
      </c>
      <c r="W2951" s="4">
        <f t="shared" si="319"/>
        <v>-5.3823473032476175</v>
      </c>
      <c r="X2951" s="4">
        <f t="shared" si="320"/>
        <v>-3.6303135934646833</v>
      </c>
      <c r="Y2951" s="3">
        <f t="shared" si="317"/>
        <v>576.43666775973088</v>
      </c>
      <c r="AA2951" s="3"/>
    </row>
    <row r="2952" spans="19:27" x14ac:dyDescent="0.25">
      <c r="S2952" s="4">
        <v>-0.58416934800608311</v>
      </c>
      <c r="T2952" s="4">
        <v>8.6344924404672327E-2</v>
      </c>
      <c r="U2952" s="4">
        <f t="shared" si="318"/>
        <v>-0.2876777359937055</v>
      </c>
      <c r="W2952" s="4">
        <f t="shared" si="319"/>
        <v>-0.96503921367052536</v>
      </c>
      <c r="X2952" s="4">
        <f t="shared" si="320"/>
        <v>-0.44141476476581665</v>
      </c>
      <c r="Y2952" s="3">
        <f t="shared" si="317"/>
        <v>112.92669507402616</v>
      </c>
      <c r="AA2952" s="3"/>
    </row>
    <row r="2953" spans="19:27" x14ac:dyDescent="0.25">
      <c r="S2953" s="4">
        <v>0.49224550579817367</v>
      </c>
      <c r="T2953" s="4">
        <v>2.5140505473631136</v>
      </c>
      <c r="U2953" s="4">
        <f t="shared" si="318"/>
        <v>2.2929516473498546</v>
      </c>
      <c r="W2953" s="4">
        <f t="shared" si="319"/>
        <v>0.86535768065149299</v>
      </c>
      <c r="X2953" s="4">
        <f t="shared" si="320"/>
        <v>4.1084819870330227</v>
      </c>
      <c r="Y2953" s="3">
        <f t="shared" si="317"/>
        <v>274.10111015742496</v>
      </c>
      <c r="AA2953" s="3"/>
    </row>
    <row r="2954" spans="19:27" x14ac:dyDescent="0.25">
      <c r="S2954" s="4">
        <v>-0.64795740765987975</v>
      </c>
      <c r="T2954" s="4">
        <v>-0.63623344250943903</v>
      </c>
      <c r="U2954" s="4">
        <f t="shared" si="318"/>
        <v>-0.89934646489980985</v>
      </c>
      <c r="W2954" s="4">
        <f t="shared" si="319"/>
        <v>-1.0735080497075735</v>
      </c>
      <c r="X2954" s="4">
        <f t="shared" si="320"/>
        <v>-1.5198453138363741</v>
      </c>
      <c r="Y2954" s="3">
        <f t="shared" si="317"/>
        <v>23.042176016354006</v>
      </c>
      <c r="AA2954" s="3"/>
    </row>
    <row r="2955" spans="19:27" x14ac:dyDescent="0.25">
      <c r="S2955" s="4">
        <v>-1.1299521419199283</v>
      </c>
      <c r="T2955" s="4">
        <v>0.6972473292972301</v>
      </c>
      <c r="U2955" s="4">
        <f t="shared" si="318"/>
        <v>-0.13614164387973793</v>
      </c>
      <c r="W2955" s="4">
        <f t="shared" si="319"/>
        <v>-1.893119244732566</v>
      </c>
      <c r="X2955" s="4">
        <f t="shared" si="320"/>
        <v>-0.17424212163473562</v>
      </c>
      <c r="Y2955" s="3">
        <f t="shared" si="317"/>
        <v>295.30799236166877</v>
      </c>
      <c r="AA2955" s="3"/>
    </row>
    <row r="2956" spans="19:27" x14ac:dyDescent="0.25">
      <c r="S2956" s="4">
        <v>-1.1027290830606649</v>
      </c>
      <c r="T2956" s="4">
        <v>-0.24150853833486771</v>
      </c>
      <c r="U2956" s="4">
        <f t="shared" si="318"/>
        <v>-0.86369014380705289</v>
      </c>
      <c r="W2956" s="4">
        <f t="shared" si="319"/>
        <v>-1.8468276107832238</v>
      </c>
      <c r="X2956" s="4">
        <f t="shared" si="320"/>
        <v>-1.4569798049151215</v>
      </c>
      <c r="Y2956" s="3">
        <f t="shared" si="317"/>
        <v>159.16173452787007</v>
      </c>
      <c r="AA2956" s="3"/>
    </row>
    <row r="2957" spans="19:27" x14ac:dyDescent="0.25">
      <c r="S2957" s="4">
        <v>0.81871171157005274</v>
      </c>
      <c r="T2957" s="4">
        <v>-0.34925102006418446</v>
      </c>
      <c r="U2957" s="4">
        <f t="shared" si="318"/>
        <v>0.22225643013718316</v>
      </c>
      <c r="W2957" s="4">
        <f t="shared" si="319"/>
        <v>1.420499340982581</v>
      </c>
      <c r="X2957" s="4">
        <f t="shared" si="320"/>
        <v>0.45764800693064045</v>
      </c>
      <c r="Y2957" s="3">
        <f t="shared" si="317"/>
        <v>-176.69499677633121</v>
      </c>
      <c r="AA2957" s="3"/>
    </row>
    <row r="2958" spans="19:27" x14ac:dyDescent="0.25">
      <c r="S2958" s="4">
        <v>-1.2869525626416125</v>
      </c>
      <c r="T2958" s="4">
        <v>-1.0137797661753649</v>
      </c>
      <c r="U2958" s="4">
        <f t="shared" si="318"/>
        <v>-1.5881701260927863</v>
      </c>
      <c r="W2958" s="4">
        <f t="shared" si="319"/>
        <v>-2.160091668497055</v>
      </c>
      <c r="X2958" s="4">
        <f t="shared" si="320"/>
        <v>-2.7343073977189816</v>
      </c>
      <c r="Y2958" s="3">
        <f t="shared" si="317"/>
        <v>84.926410107287211</v>
      </c>
      <c r="AA2958" s="3"/>
    </row>
    <row r="2959" spans="19:27" x14ac:dyDescent="0.25">
      <c r="S2959" s="4">
        <v>0.68731222877269305</v>
      </c>
      <c r="T2959" s="4">
        <v>-0.36845611827509211</v>
      </c>
      <c r="U2959" s="4">
        <f t="shared" si="318"/>
        <v>0.12692864558320172</v>
      </c>
      <c r="W2959" s="4">
        <f t="shared" si="319"/>
        <v>1.1970602046888121</v>
      </c>
      <c r="X2959" s="4">
        <f t="shared" si="320"/>
        <v>0.28957599314291055</v>
      </c>
      <c r="Y2959" s="3">
        <f t="shared" si="317"/>
        <v>-159.19154834995106</v>
      </c>
      <c r="AA2959" s="3"/>
    </row>
    <row r="2960" spans="19:27" x14ac:dyDescent="0.25">
      <c r="S2960" s="4">
        <v>-0.25299563680834264</v>
      </c>
      <c r="T2960" s="4">
        <v>-8.2614194776203673E-2</v>
      </c>
      <c r="U2960" s="4">
        <f t="shared" si="318"/>
        <v>-0.21971939785010397</v>
      </c>
      <c r="W2960" s="4">
        <f t="shared" si="319"/>
        <v>-0.40189264400448349</v>
      </c>
      <c r="X2960" s="4">
        <f t="shared" si="320"/>
        <v>-0.32159770619361516</v>
      </c>
      <c r="Y2960" s="3">
        <f t="shared" si="317"/>
        <v>32.662171599778958</v>
      </c>
      <c r="AA2960" s="3"/>
    </row>
    <row r="2961" spans="19:27" x14ac:dyDescent="0.25">
      <c r="S2961" s="4">
        <v>-0.78014021640463416</v>
      </c>
      <c r="T2961" s="4">
        <v>0.6602023465568938</v>
      </c>
      <c r="U2961" s="4">
        <f t="shared" si="318"/>
        <v>4.7746248706689753E-2</v>
      </c>
      <c r="W2961" s="4">
        <f t="shared" si="319"/>
        <v>-1.2982791978890322</v>
      </c>
      <c r="X2961" s="4">
        <f t="shared" si="320"/>
        <v>0.14996984408740116</v>
      </c>
      <c r="Y2961" s="3">
        <f t="shared" si="317"/>
        <v>227.43478407291241</v>
      </c>
      <c r="AA2961" s="3"/>
    </row>
    <row r="2962" spans="19:27" x14ac:dyDescent="0.25">
      <c r="S2962" s="4">
        <v>-3.308746537718834E-2</v>
      </c>
      <c r="T2962" s="4">
        <v>-1.6427200149470477E-2</v>
      </c>
      <c r="U2962" s="4">
        <f t="shared" si="318"/>
        <v>-3.3192567588615191E-2</v>
      </c>
      <c r="W2962" s="4">
        <f t="shared" si="319"/>
        <v>-2.7948311481536047E-2</v>
      </c>
      <c r="X2962" s="4">
        <f t="shared" si="320"/>
        <v>7.2669593828507822E-3</v>
      </c>
      <c r="Y2962" s="3">
        <f t="shared" si="317"/>
        <v>5.2074433486714042</v>
      </c>
      <c r="AA2962" s="3"/>
    </row>
    <row r="2963" spans="19:27" x14ac:dyDescent="0.25">
      <c r="S2963" s="4">
        <v>-0.29801577646626193</v>
      </c>
      <c r="T2963" s="4">
        <v>-0.47015797887891703</v>
      </c>
      <c r="U2963" s="4">
        <f t="shared" si="318"/>
        <v>-0.55436754411624511</v>
      </c>
      <c r="W2963" s="4">
        <f t="shared" si="319"/>
        <v>-0.47844744396898131</v>
      </c>
      <c r="X2963" s="4">
        <f t="shared" si="320"/>
        <v>-0.91161443758456839</v>
      </c>
      <c r="Y2963" s="3">
        <f t="shared" si="317"/>
        <v>-13.896702853971874</v>
      </c>
      <c r="AA2963" s="3"/>
    </row>
    <row r="2964" spans="19:27" x14ac:dyDescent="0.25">
      <c r="S2964" s="4">
        <v>0.91754414129573936</v>
      </c>
      <c r="T2964" s="4">
        <v>-1.869932353778087</v>
      </c>
      <c r="U2964" s="4">
        <f t="shared" si="318"/>
        <v>-0.92292507215302455</v>
      </c>
      <c r="W2964" s="4">
        <f t="shared" si="319"/>
        <v>1.5885596123443626</v>
      </c>
      <c r="X2964" s="4">
        <f t="shared" si="320"/>
        <v>-1.5614166565660867</v>
      </c>
      <c r="Y2964" s="3">
        <f t="shared" si="317"/>
        <v>-404.2422121579084</v>
      </c>
      <c r="AA2964" s="3"/>
    </row>
    <row r="2965" spans="19:27" x14ac:dyDescent="0.25">
      <c r="S2965" s="4">
        <v>0.58544821223962484</v>
      </c>
      <c r="T2965" s="4">
        <v>0.31063291370032181</v>
      </c>
      <c r="U2965" s="4">
        <f t="shared" si="318"/>
        <v>0.6031385241260846</v>
      </c>
      <c r="W2965" s="4">
        <f t="shared" si="319"/>
        <v>1.0238448511043283</v>
      </c>
      <c r="X2965" s="4">
        <f t="shared" si="320"/>
        <v>1.1291796160194034</v>
      </c>
      <c r="Y2965" s="3">
        <f t="shared" si="317"/>
        <v>-48.458738533693122</v>
      </c>
      <c r="AA2965" s="3"/>
    </row>
    <row r="2966" spans="19:27" x14ac:dyDescent="0.25">
      <c r="S2966" s="4">
        <v>0.23508204811404643</v>
      </c>
      <c r="T2966" s="4">
        <v>-0.16175744389080324</v>
      </c>
      <c r="U2966" s="4">
        <f t="shared" si="318"/>
        <v>1.5087426870137477E-2</v>
      </c>
      <c r="W2966" s="4">
        <f t="shared" si="319"/>
        <v>0.42806234547978428</v>
      </c>
      <c r="X2966" s="4">
        <f t="shared" si="320"/>
        <v>9.2389213427766514E-2</v>
      </c>
      <c r="Y2966" s="3">
        <f t="shared" si="317"/>
        <v>-58.885610056483529</v>
      </c>
      <c r="AA2966" s="3"/>
    </row>
    <row r="2967" spans="19:27" x14ac:dyDescent="0.25">
      <c r="S2967" s="4">
        <v>-0.58523339706021715</v>
      </c>
      <c r="T2967" s="4">
        <v>0.67937927917386842</v>
      </c>
      <c r="U2967" s="4">
        <f t="shared" si="318"/>
        <v>0.18176719594460811</v>
      </c>
      <c r="W2967" s="4">
        <f t="shared" si="319"/>
        <v>-0.9668485830574397</v>
      </c>
      <c r="X2967" s="4">
        <f t="shared" si="320"/>
        <v>0.38626160936241039</v>
      </c>
      <c r="Y2967" s="3">
        <f t="shared" si="317"/>
        <v>195.99339202710325</v>
      </c>
      <c r="AA2967" s="3"/>
    </row>
    <row r="2968" spans="19:27" x14ac:dyDescent="0.25">
      <c r="S2968" s="4">
        <v>9.3921224918519994E-2</v>
      </c>
      <c r="T2968" s="4">
        <v>-0.74878237504876421</v>
      </c>
      <c r="U2968" s="4">
        <f t="shared" si="318"/>
        <v>-0.5362973383569859</v>
      </c>
      <c r="W2968" s="4">
        <f t="shared" si="319"/>
        <v>0.18802447210423079</v>
      </c>
      <c r="X2968" s="4">
        <f t="shared" si="320"/>
        <v>-0.8797549342327674</v>
      </c>
      <c r="Y2968" s="3">
        <f t="shared" si="317"/>
        <v>-118.01518048044272</v>
      </c>
      <c r="AA2968" s="3"/>
    </row>
    <row r="2969" spans="19:27" x14ac:dyDescent="0.25">
      <c r="S2969" s="4">
        <v>1.8409945723657037</v>
      </c>
      <c r="T2969" s="4">
        <v>0.35716368439495599</v>
      </c>
      <c r="U2969" s="4">
        <f t="shared" si="318"/>
        <v>1.4054321693897658</v>
      </c>
      <c r="W2969" s="4">
        <f t="shared" si="319"/>
        <v>3.1588471228864323</v>
      </c>
      <c r="X2969" s="4">
        <f t="shared" si="320"/>
        <v>2.5437001489308511</v>
      </c>
      <c r="Y2969" s="3">
        <f t="shared" si="317"/>
        <v>-226.49799746528015</v>
      </c>
      <c r="AA2969" s="3"/>
    </row>
    <row r="2970" spans="19:27" x14ac:dyDescent="0.25">
      <c r="S2970" s="4">
        <v>-1.0851887724664353</v>
      </c>
      <c r="T2970" s="4">
        <v>-0.65577766028841078</v>
      </c>
      <c r="U2970" s="4">
        <f t="shared" si="318"/>
        <v>-1.1813850057777229</v>
      </c>
      <c r="W2970" s="4">
        <f t="shared" si="319"/>
        <v>-1.8170010713930866</v>
      </c>
      <c r="X2970" s="4">
        <f t="shared" si="320"/>
        <v>-2.0171062724634043</v>
      </c>
      <c r="Y2970" s="3">
        <f t="shared" si="317"/>
        <v>98.082739428919012</v>
      </c>
      <c r="AA2970" s="3"/>
    </row>
    <row r="2971" spans="19:27" x14ac:dyDescent="0.25">
      <c r="S2971" s="4">
        <v>0.59000326364634625</v>
      </c>
      <c r="T2971" s="4">
        <v>0.40961798209112643</v>
      </c>
      <c r="U2971" s="4">
        <f t="shared" si="318"/>
        <v>0.68438005880285546</v>
      </c>
      <c r="W2971" s="4">
        <f t="shared" si="319"/>
        <v>1.031590518974735</v>
      </c>
      <c r="X2971" s="4">
        <f t="shared" si="320"/>
        <v>1.2724162222220625</v>
      </c>
      <c r="Y2971" s="3">
        <f t="shared" si="317"/>
        <v>-35.335514425534711</v>
      </c>
      <c r="AA2971" s="3"/>
    </row>
    <row r="2972" spans="19:27" x14ac:dyDescent="0.25">
      <c r="S2972" s="4">
        <v>0.91067316255406794</v>
      </c>
      <c r="T2972" s="4">
        <v>-0.23044024513870609</v>
      </c>
      <c r="U2972" s="4">
        <f t="shared" si="318"/>
        <v>0.37249853553490564</v>
      </c>
      <c r="W2972" s="4">
        <f t="shared" si="319"/>
        <v>1.5768758102254494</v>
      </c>
      <c r="X2972" s="4">
        <f t="shared" si="320"/>
        <v>0.72253922755482669</v>
      </c>
      <c r="Y2972" s="3">
        <f t="shared" si="317"/>
        <v>-174.0686420984639</v>
      </c>
      <c r="AA2972" s="3"/>
    </row>
    <row r="2973" spans="19:27" x14ac:dyDescent="0.25">
      <c r="S2973" s="4">
        <v>-3.9719545990285883</v>
      </c>
      <c r="T2973" s="4">
        <v>0.82194416545254068</v>
      </c>
      <c r="U2973" s="4">
        <f t="shared" si="318"/>
        <v>-1.7698435652674405</v>
      </c>
      <c r="W2973" s="4">
        <f t="shared" si="319"/>
        <v>-6.7258214810147914</v>
      </c>
      <c r="X2973" s="4">
        <f t="shared" si="320"/>
        <v>-3.0546150699961667</v>
      </c>
      <c r="Y2973" s="3">
        <f t="shared" si="317"/>
        <v>893.221677152761</v>
      </c>
      <c r="AA2973" s="3"/>
    </row>
    <row r="2974" spans="19:27" x14ac:dyDescent="0.25">
      <c r="S2974" s="4">
        <v>-1.2110123651031921</v>
      </c>
      <c r="T2974" s="4">
        <v>1.0516796310140906</v>
      </c>
      <c r="U2974" s="4">
        <f t="shared" si="318"/>
        <v>9.539789228934159E-2</v>
      </c>
      <c r="W2974" s="4">
        <f t="shared" si="319"/>
        <v>-2.0309586476758819</v>
      </c>
      <c r="X2974" s="4">
        <f t="shared" si="320"/>
        <v>0.23398425536007927</v>
      </c>
      <c r="Y2974" s="3">
        <f t="shared" si="317"/>
        <v>359.63958372322941</v>
      </c>
      <c r="AA2974" s="3"/>
    </row>
    <row r="2975" spans="19:27" x14ac:dyDescent="0.25">
      <c r="S2975" s="4">
        <v>1.6113021612252796</v>
      </c>
      <c r="T2975" s="4">
        <v>0.9683513042018238</v>
      </c>
      <c r="U2975" s="4">
        <f t="shared" si="318"/>
        <v>1.749890098990885</v>
      </c>
      <c r="W2975" s="4">
        <f t="shared" si="319"/>
        <v>2.7682651139937695</v>
      </c>
      <c r="X2975" s="4">
        <f t="shared" si="320"/>
        <v>3.1510124678322584</v>
      </c>
      <c r="Y2975" s="3">
        <f t="shared" si="317"/>
        <v>-109.0097347346391</v>
      </c>
      <c r="AA2975" s="3"/>
    </row>
    <row r="2976" spans="19:27" x14ac:dyDescent="0.25">
      <c r="S2976" s="4">
        <v>-0.50458827805970519</v>
      </c>
      <c r="T2976" s="4">
        <v>0.32184592904664305</v>
      </c>
      <c r="U2976" s="4">
        <f t="shared" si="318"/>
        <v>-5.2483573321262633E-2</v>
      </c>
      <c r="W2976" s="4">
        <f t="shared" si="319"/>
        <v>-0.82971504681992359</v>
      </c>
      <c r="X2976" s="4">
        <f t="shared" si="320"/>
        <v>-2.6744931239034875E-2</v>
      </c>
      <c r="Y2976" s="3">
        <f t="shared" si="317"/>
        <v>132.07546313029616</v>
      </c>
      <c r="AA2976" s="3"/>
    </row>
    <row r="2977" spans="19:27" x14ac:dyDescent="0.25">
      <c r="S2977" s="4">
        <v>-0.29872997874841001</v>
      </c>
      <c r="T2977" s="4">
        <v>2.1762176785664278</v>
      </c>
      <c r="U2977" s="4">
        <f t="shared" si="318"/>
        <v>1.5429579250107126</v>
      </c>
      <c r="W2977" s="4">
        <f t="shared" si="319"/>
        <v>-0.47966191405413605</v>
      </c>
      <c r="X2977" s="4">
        <f t="shared" si="320"/>
        <v>2.7861712270434742</v>
      </c>
      <c r="Y2977" s="3">
        <f t="shared" si="317"/>
        <v>356.07950291115503</v>
      </c>
      <c r="AA2977" s="3"/>
    </row>
    <row r="2978" spans="19:27" x14ac:dyDescent="0.25">
      <c r="S2978" s="4">
        <v>1.070395132716409</v>
      </c>
      <c r="T2978" s="4">
        <v>-0.41978168727440257</v>
      </c>
      <c r="U2978" s="4">
        <f t="shared" si="318"/>
        <v>0.31977916220351249</v>
      </c>
      <c r="W2978" s="4">
        <f t="shared" si="319"/>
        <v>1.8484761110824153</v>
      </c>
      <c r="X2978" s="4">
        <f t="shared" si="320"/>
        <v>0.62958992339453901</v>
      </c>
      <c r="Y2978" s="3">
        <f t="shared" si="317"/>
        <v>-224.51698363850119</v>
      </c>
      <c r="AA2978" s="3"/>
    </row>
    <row r="2979" spans="19:27" x14ac:dyDescent="0.25">
      <c r="S2979" s="4">
        <v>-1.4084447231222874</v>
      </c>
      <c r="T2979" s="4">
        <v>0.99168880453316621</v>
      </c>
      <c r="U2979" s="4">
        <f t="shared" si="318"/>
        <v>-7.2515527601915264E-2</v>
      </c>
      <c r="W2979" s="4">
        <f t="shared" si="319"/>
        <v>-2.3666838317716237</v>
      </c>
      <c r="X2979" s="4">
        <f t="shared" si="320"/>
        <v>-6.2063185112295666E-2</v>
      </c>
      <c r="Y2979" s="3">
        <f t="shared" si="317"/>
        <v>387.71825944775992</v>
      </c>
      <c r="AA2979" s="3"/>
    </row>
    <row r="2980" spans="19:27" x14ac:dyDescent="0.25">
      <c r="S2980" s="4">
        <v>0.98818224817638378</v>
      </c>
      <c r="T2980" s="4">
        <v>-1.1387222745883732</v>
      </c>
      <c r="U2980" s="4">
        <f t="shared" si="318"/>
        <v>-0.30023811218953145</v>
      </c>
      <c r="W2980" s="4">
        <f t="shared" si="319"/>
        <v>1.7086766573648418</v>
      </c>
      <c r="X2980" s="4">
        <f t="shared" si="320"/>
        <v>-0.46355991091644921</v>
      </c>
      <c r="Y2980" s="3">
        <f t="shared" si="317"/>
        <v>-312.69553434609134</v>
      </c>
      <c r="AA2980" s="3"/>
    </row>
    <row r="2981" spans="19:27" x14ac:dyDescent="0.25">
      <c r="S2981" s="4">
        <v>-0.35287525059087999</v>
      </c>
      <c r="T2981" s="4">
        <v>-1.2547172425953763</v>
      </c>
      <c r="U2981" s="4">
        <f t="shared" si="318"/>
        <v>-1.2097249702924213</v>
      </c>
      <c r="W2981" s="4">
        <f t="shared" si="319"/>
        <v>-0.57173360655486116</v>
      </c>
      <c r="X2981" s="4">
        <f t="shared" si="320"/>
        <v>-2.0670723440441505</v>
      </c>
      <c r="Y2981" s="3">
        <f t="shared" si="317"/>
        <v>-114.23898818563202</v>
      </c>
      <c r="AA2981" s="3"/>
    </row>
    <row r="2982" spans="19:27" x14ac:dyDescent="0.25">
      <c r="S2982" s="4">
        <v>-2.0963820098725354</v>
      </c>
      <c r="T2982" s="4">
        <v>-0.42977356553389856</v>
      </c>
      <c r="U2982" s="4">
        <f t="shared" si="318"/>
        <v>-1.6186793227359479</v>
      </c>
      <c r="W2982" s="4">
        <f t="shared" si="319"/>
        <v>-3.5364914284484263</v>
      </c>
      <c r="X2982" s="4">
        <f t="shared" si="320"/>
        <v>-2.7880980332913246</v>
      </c>
      <c r="Y2982" s="3">
        <f t="shared" si="317"/>
        <v>320.84509173369679</v>
      </c>
      <c r="AA2982" s="3"/>
    </row>
    <row r="2983" spans="19:27" x14ac:dyDescent="0.25">
      <c r="S2983" s="4">
        <v>-0.93232396260279826</v>
      </c>
      <c r="T2983" s="4">
        <v>-5.3503897143429173E-2</v>
      </c>
      <c r="U2983" s="4">
        <f t="shared" si="318"/>
        <v>-0.61077760172582252</v>
      </c>
      <c r="W2983" s="4">
        <f t="shared" si="319"/>
        <v>-1.5570610749905394</v>
      </c>
      <c r="X2983" s="4">
        <f t="shared" si="320"/>
        <v>-1.0110707715871146</v>
      </c>
      <c r="Y2983" s="3">
        <f t="shared" si="317"/>
        <v>154.7328159046192</v>
      </c>
      <c r="AA2983" s="3"/>
    </row>
    <row r="2984" spans="19:27" x14ac:dyDescent="0.25">
      <c r="S2984" s="4">
        <v>0.46457653899841167</v>
      </c>
      <c r="T2984" s="4">
        <v>1.0067691043777798</v>
      </c>
      <c r="U2984" s="4">
        <f t="shared" si="318"/>
        <v>1.0812740576923456</v>
      </c>
      <c r="W2984" s="4">
        <f t="shared" si="319"/>
        <v>0.81830779953884059</v>
      </c>
      <c r="X2984" s="4">
        <f t="shared" si="320"/>
        <v>1.9721783531236519</v>
      </c>
      <c r="Y2984" s="3">
        <f t="shared" si="317"/>
        <v>67.807133116754812</v>
      </c>
      <c r="AA2984" s="3"/>
    </row>
    <row r="2985" spans="19:27" x14ac:dyDescent="0.25">
      <c r="S2985" s="4">
        <v>-0.98825888013542373</v>
      </c>
      <c r="T2985" s="4">
        <v>-1.321420641722441</v>
      </c>
      <c r="U2985" s="4">
        <f t="shared" si="318"/>
        <v>-1.649944259573219</v>
      </c>
      <c r="W2985" s="4">
        <f t="shared" si="319"/>
        <v>-1.6521759825691873</v>
      </c>
      <c r="X2985" s="4">
        <f t="shared" si="320"/>
        <v>-2.8432211112037322</v>
      </c>
      <c r="Y2985" s="3">
        <f t="shared" si="317"/>
        <v>-12.440754878638018</v>
      </c>
      <c r="AA2985" s="3"/>
    </row>
    <row r="2986" spans="19:27" x14ac:dyDescent="0.25">
      <c r="S2986" s="4">
        <v>0.8396001242912885</v>
      </c>
      <c r="T2986" s="4">
        <v>0.45966772074024437</v>
      </c>
      <c r="U2986" s="4">
        <f t="shared" si="318"/>
        <v>0.87621390239770147</v>
      </c>
      <c r="W2986" s="4">
        <f t="shared" si="319"/>
        <v>1.4560191832043228</v>
      </c>
      <c r="X2986" s="4">
        <f t="shared" si="320"/>
        <v>1.6106376605621984</v>
      </c>
      <c r="Y2986" s="3">
        <f t="shared" si="317"/>
        <v>-66.827115759260778</v>
      </c>
      <c r="AA2986" s="3"/>
    </row>
    <row r="2987" spans="19:27" x14ac:dyDescent="0.25">
      <c r="S2987" s="4">
        <v>0.58717790220339305</v>
      </c>
      <c r="T2987" s="4">
        <v>-0.32445669961322471</v>
      </c>
      <c r="U2987" s="4">
        <f t="shared" si="318"/>
        <v>0.10076251393541236</v>
      </c>
      <c r="W2987" s="4">
        <f t="shared" si="319"/>
        <v>1.0267861140631513</v>
      </c>
      <c r="X2987" s="4">
        <f t="shared" si="320"/>
        <v>0.24344259709625785</v>
      </c>
      <c r="Y2987" s="3">
        <f t="shared" si="317"/>
        <v>-137.48831816623851</v>
      </c>
      <c r="AA2987" s="3"/>
    </row>
    <row r="2988" spans="19:27" x14ac:dyDescent="0.25">
      <c r="S2988" s="4">
        <v>3.8790856580523461E-2</v>
      </c>
      <c r="T2988" s="4">
        <v>0.24636155013871389</v>
      </c>
      <c r="U2988" s="4">
        <f t="shared" si="318"/>
        <v>0.21893660623596567</v>
      </c>
      <c r="W2988" s="4">
        <f t="shared" si="319"/>
        <v>9.4277665627098994E-2</v>
      </c>
      <c r="X2988" s="4">
        <f t="shared" si="320"/>
        <v>0.45179483945057286</v>
      </c>
      <c r="Y2988" s="3">
        <f t="shared" si="317"/>
        <v>30.094419361268137</v>
      </c>
      <c r="AA2988" s="3"/>
    </row>
    <row r="2989" spans="19:27" x14ac:dyDescent="0.25">
      <c r="S2989" s="4">
        <v>1.6362330123532345</v>
      </c>
      <c r="T2989" s="4">
        <v>0.56299172769914829</v>
      </c>
      <c r="U2989" s="4">
        <f t="shared" si="318"/>
        <v>1.443763200997513</v>
      </c>
      <c r="W2989" s="4">
        <f t="shared" si="319"/>
        <v>2.8106589478545123</v>
      </c>
      <c r="X2989" s="4">
        <f t="shared" si="320"/>
        <v>2.6112814286492219</v>
      </c>
      <c r="Y2989" s="3">
        <f t="shared" si="317"/>
        <v>-169.17949189321735</v>
      </c>
      <c r="AA2989" s="3"/>
    </row>
    <row r="2990" spans="19:27" x14ac:dyDescent="0.25">
      <c r="S2990" s="4">
        <v>-0.8988995310338761</v>
      </c>
      <c r="T2990" s="4">
        <v>0.26066277159942147</v>
      </c>
      <c r="U2990" s="4">
        <f t="shared" si="318"/>
        <v>-0.34136391155105433</v>
      </c>
      <c r="W2990" s="4">
        <f t="shared" si="319"/>
        <v>-1.5002242750132702</v>
      </c>
      <c r="X2990" s="4">
        <f t="shared" si="320"/>
        <v>-0.53606863384189563</v>
      </c>
      <c r="Y2990" s="3">
        <f t="shared" si="317"/>
        <v>192.67018355517394</v>
      </c>
      <c r="AA2990" s="3"/>
    </row>
    <row r="2991" spans="19:27" x14ac:dyDescent="0.25">
      <c r="S2991" s="4">
        <v>2.1801996027307546E-2</v>
      </c>
      <c r="T2991" s="4">
        <v>2.9755117565639182E-2</v>
      </c>
      <c r="U2991" s="4">
        <f t="shared" si="318"/>
        <v>3.6877627438077334E-2</v>
      </c>
      <c r="W2991" s="4">
        <f t="shared" si="319"/>
        <v>6.5388843176557951E-2</v>
      </c>
      <c r="X2991" s="4">
        <f t="shared" si="320"/>
        <v>0.13080742389418426</v>
      </c>
      <c r="Y2991" s="3">
        <f t="shared" si="317"/>
        <v>2.6132054155327751</v>
      </c>
      <c r="AA2991" s="3"/>
    </row>
    <row r="2992" spans="19:27" x14ac:dyDescent="0.25">
      <c r="S2992" s="4">
        <v>-0.58565479608645243</v>
      </c>
      <c r="T2992" s="4">
        <v>-1.6152918050604923</v>
      </c>
      <c r="U2992" s="4">
        <f t="shared" si="318"/>
        <v>-1.6374571528683552</v>
      </c>
      <c r="W2992" s="4">
        <f t="shared" si="319"/>
        <v>-0.96756515387227504</v>
      </c>
      <c r="X2992" s="4">
        <f t="shared" si="320"/>
        <v>-2.8212051461827445</v>
      </c>
      <c r="Y2992" s="3">
        <f t="shared" si="317"/>
        <v>-124.6348411917852</v>
      </c>
      <c r="AA2992" s="3"/>
    </row>
    <row r="2993" spans="19:27" x14ac:dyDescent="0.25">
      <c r="S2993" s="4">
        <v>0.4832470888420351</v>
      </c>
      <c r="T2993" s="4">
        <v>-1.1953593460832825</v>
      </c>
      <c r="U2993" s="4">
        <f t="shared" si="318"/>
        <v>-0.65295360590903462</v>
      </c>
      <c r="W2993" s="4">
        <f t="shared" si="319"/>
        <v>0.85005626187961325</v>
      </c>
      <c r="X2993" s="4">
        <f t="shared" si="320"/>
        <v>-1.0854311061921644</v>
      </c>
      <c r="Y2993" s="3">
        <f t="shared" si="317"/>
        <v>-242.90552027463718</v>
      </c>
      <c r="AA2993" s="3"/>
    </row>
    <row r="2994" spans="19:27" x14ac:dyDescent="0.25">
      <c r="S2994" s="4">
        <v>0.94522692836259892</v>
      </c>
      <c r="T2994" s="4">
        <v>0.23877006978036544</v>
      </c>
      <c r="U2994" s="4">
        <f t="shared" si="318"/>
        <v>0.76550255397088629</v>
      </c>
      <c r="W2994" s="4">
        <f t="shared" si="319"/>
        <v>1.6356329942233643</v>
      </c>
      <c r="X2994" s="4">
        <f t="shared" si="320"/>
        <v>1.415442950370303</v>
      </c>
      <c r="Y2994" s="3">
        <f t="shared" si="317"/>
        <v>-113.7126822755281</v>
      </c>
      <c r="AA2994" s="3"/>
    </row>
    <row r="2995" spans="19:27" x14ac:dyDescent="0.25">
      <c r="S2995" s="4">
        <v>-0.72415726141344727</v>
      </c>
      <c r="T2995" s="4">
        <v>-0.24239896213606862</v>
      </c>
      <c r="U2995" s="4">
        <f t="shared" si="318"/>
        <v>-0.63361014653268499</v>
      </c>
      <c r="W2995" s="4">
        <f t="shared" si="319"/>
        <v>-1.2030826046901502</v>
      </c>
      <c r="X2995" s="4">
        <f t="shared" si="320"/>
        <v>-1.0513267347729041</v>
      </c>
      <c r="Y2995" s="3">
        <f t="shared" si="317"/>
        <v>91.428033736211091</v>
      </c>
      <c r="AA2995" s="3"/>
    </row>
    <row r="2996" spans="19:27" x14ac:dyDescent="0.25">
      <c r="S2996" s="4">
        <v>0.50306966545340004</v>
      </c>
      <c r="T2996" s="4">
        <v>-0.74833407297187038</v>
      </c>
      <c r="U2996" s="4">
        <f t="shared" si="318"/>
        <v>-0.28651595466855334</v>
      </c>
      <c r="W2996" s="4">
        <f t="shared" si="319"/>
        <v>0.8837636959034666</v>
      </c>
      <c r="X2996" s="4">
        <f t="shared" si="320"/>
        <v>-0.43936643302483591</v>
      </c>
      <c r="Y2996" s="3">
        <f t="shared" si="317"/>
        <v>-183.55067166570961</v>
      </c>
      <c r="AA2996" s="3"/>
    </row>
    <row r="2997" spans="19:27" x14ac:dyDescent="0.25">
      <c r="S2997" s="4">
        <v>-1.0626242572400997</v>
      </c>
      <c r="T2997" s="4">
        <v>1.7169008155861996</v>
      </c>
      <c r="U2997" s="4">
        <f t="shared" si="318"/>
        <v>0.71317411749631232</v>
      </c>
      <c r="W2997" s="4">
        <f t="shared" si="319"/>
        <v>-1.7786310893678505</v>
      </c>
      <c r="X2997" s="4">
        <f t="shared" si="320"/>
        <v>1.3231829053289266</v>
      </c>
      <c r="Y2997" s="3">
        <f t="shared" si="317"/>
        <v>425.60107311694992</v>
      </c>
      <c r="AA2997" s="3"/>
    </row>
    <row r="2998" spans="19:27" x14ac:dyDescent="0.25">
      <c r="S2998" s="4">
        <v>-1.790716917058971</v>
      </c>
      <c r="T2998" s="4">
        <v>2.0581007588737741</v>
      </c>
      <c r="U2998" s="4">
        <f t="shared" si="318"/>
        <v>0.53977905888093924</v>
      </c>
      <c r="W2998" s="4">
        <f t="shared" si="319"/>
        <v>-3.0167211608687285</v>
      </c>
      <c r="X2998" s="4">
        <f t="shared" si="320"/>
        <v>1.0174708108049588</v>
      </c>
      <c r="Y2998" s="3">
        <f t="shared" si="317"/>
        <v>609.07884805353206</v>
      </c>
      <c r="AA2998" s="3"/>
    </row>
    <row r="2999" spans="19:27" x14ac:dyDescent="0.25">
      <c r="S2999" s="4">
        <v>-0.98635649853783969</v>
      </c>
      <c r="T2999" s="4">
        <v>-1.6409007266477091</v>
      </c>
      <c r="U2999" s="4">
        <f t="shared" si="318"/>
        <v>-1.9020338388361233</v>
      </c>
      <c r="W2999" s="4">
        <f t="shared" si="319"/>
        <v>-1.6489410649575187</v>
      </c>
      <c r="X2999" s="4">
        <f t="shared" si="320"/>
        <v>-3.2876791822672153</v>
      </c>
      <c r="Y2999" s="3">
        <f t="shared" si="317"/>
        <v>-57.432930184374982</v>
      </c>
      <c r="AA2999" s="3"/>
    </row>
    <row r="3000" spans="19:27" x14ac:dyDescent="0.25">
      <c r="S3000" s="4">
        <v>-1.0875582690656496</v>
      </c>
      <c r="T3000" s="4">
        <v>-1.0746566584286372</v>
      </c>
      <c r="U3000" s="4">
        <f t="shared" si="318"/>
        <v>-1.5148715424996957</v>
      </c>
      <c r="W3000" s="4">
        <f t="shared" si="319"/>
        <v>-1.821030297858125</v>
      </c>
      <c r="X3000" s="4">
        <f t="shared" si="320"/>
        <v>-2.6050749749797033</v>
      </c>
      <c r="Y3000" s="3">
        <f t="shared" si="317"/>
        <v>39.969998846769613</v>
      </c>
      <c r="AA3000" s="3"/>
    </row>
    <row r="3001" spans="19:27" x14ac:dyDescent="0.25">
      <c r="S3001" s="4">
        <v>1.1248505026998514</v>
      </c>
      <c r="T3001" s="4">
        <v>-1.7253253493775196</v>
      </c>
      <c r="U3001" s="4">
        <f t="shared" si="318"/>
        <v>-0.68191767058086128</v>
      </c>
      <c r="W3001" s="4">
        <f t="shared" si="319"/>
        <v>1.9410751120573453</v>
      </c>
      <c r="X3001" s="4">
        <f t="shared" si="320"/>
        <v>-1.1364975261205046</v>
      </c>
      <c r="Y3001" s="3">
        <f t="shared" si="317"/>
        <v>-415.07196902600435</v>
      </c>
      <c r="AA3001" s="3"/>
    </row>
    <row r="3002" spans="19:27" x14ac:dyDescent="0.25">
      <c r="S3002" s="4">
        <v>-0.44988266762217261</v>
      </c>
      <c r="T3002" s="4">
        <v>-1.3571519764276321</v>
      </c>
      <c r="U3002" s="4">
        <f t="shared" si="318"/>
        <v>-1.3500620521009912</v>
      </c>
      <c r="W3002" s="4">
        <f t="shared" si="319"/>
        <v>-0.73669052277795155</v>
      </c>
      <c r="X3002" s="4">
        <f t="shared" si="320"/>
        <v>-2.314500059468537</v>
      </c>
      <c r="Y3002" s="3">
        <f t="shared" si="317"/>
        <v>-111.98637399151266</v>
      </c>
      <c r="AA3002" s="3"/>
    </row>
    <row r="3003" spans="19:27" x14ac:dyDescent="0.25">
      <c r="S3003" s="4">
        <v>-0.3551999194342727</v>
      </c>
      <c r="T3003" s="4">
        <v>0.45809050223132153</v>
      </c>
      <c r="U3003" s="4">
        <f t="shared" si="318"/>
        <v>0.14658688901527425</v>
      </c>
      <c r="W3003" s="4">
        <f t="shared" si="319"/>
        <v>-0.57568660536032634</v>
      </c>
      <c r="X3003" s="4">
        <f t="shared" si="320"/>
        <v>0.32423535899953426</v>
      </c>
      <c r="Y3003" s="3">
        <f t="shared" si="317"/>
        <v>125.53703274642385</v>
      </c>
      <c r="AA3003" s="3"/>
    </row>
    <row r="3004" spans="19:27" x14ac:dyDescent="0.25">
      <c r="S3004" s="4">
        <v>1.3339886571954107</v>
      </c>
      <c r="T3004" s="4">
        <v>1.1103657306538102</v>
      </c>
      <c r="U3004" s="4">
        <f t="shared" si="318"/>
        <v>1.6934073019788793</v>
      </c>
      <c r="W3004" s="4">
        <f t="shared" si="319"/>
        <v>2.2967054966808953</v>
      </c>
      <c r="X3004" s="4">
        <f t="shared" si="320"/>
        <v>3.0514278872969198</v>
      </c>
      <c r="Y3004" s="3">
        <f t="shared" si="317"/>
        <v>-49.442698141484016</v>
      </c>
      <c r="AA3004" s="3"/>
    </row>
    <row r="3005" spans="19:27" x14ac:dyDescent="0.25">
      <c r="S3005" s="4">
        <v>0.3661431747700109</v>
      </c>
      <c r="T3005" s="4">
        <v>0.84829799112368287</v>
      </c>
      <c r="U3005" s="4">
        <f t="shared" si="318"/>
        <v>0.89564809591892169</v>
      </c>
      <c r="W3005" s="4">
        <f t="shared" si="319"/>
        <v>0.65092612179204068</v>
      </c>
      <c r="X3005" s="4">
        <f t="shared" si="320"/>
        <v>1.6449020049685483</v>
      </c>
      <c r="Y3005" s="3">
        <f t="shared" si="317"/>
        <v>61.270554333259952</v>
      </c>
      <c r="AA3005" s="3"/>
    </row>
    <row r="3006" spans="19:27" x14ac:dyDescent="0.25">
      <c r="S3006" s="4">
        <v>0.84723591981930102</v>
      </c>
      <c r="T3006" s="4">
        <v>2.0967222291264531</v>
      </c>
      <c r="U3006" s="4">
        <f t="shared" si="318"/>
        <v>2.1785488970873939</v>
      </c>
      <c r="W3006" s="4">
        <f t="shared" si="319"/>
        <v>1.469003523183241</v>
      </c>
      <c r="X3006" s="4">
        <f t="shared" si="320"/>
        <v>3.9067789818763439</v>
      </c>
      <c r="Y3006" s="3">
        <f t="shared" si="317"/>
        <v>160.80326253780459</v>
      </c>
      <c r="AA3006" s="3"/>
    </row>
    <row r="3007" spans="19:27" x14ac:dyDescent="0.25">
      <c r="S3007" s="4">
        <v>1.443471869381562</v>
      </c>
      <c r="T3007" s="4">
        <v>1.8776485476267535</v>
      </c>
      <c r="U3007" s="4">
        <f t="shared" si="318"/>
        <v>2.3683696761849684</v>
      </c>
      <c r="W3007" s="4">
        <f t="shared" si="319"/>
        <v>2.4828769628750731</v>
      </c>
      <c r="X3007" s="4">
        <f t="shared" si="320"/>
        <v>4.2414511947149744</v>
      </c>
      <c r="Y3007" s="3">
        <f t="shared" si="317"/>
        <v>41.979592154927104</v>
      </c>
      <c r="AA3007" s="3"/>
    </row>
    <row r="3008" spans="19:27" x14ac:dyDescent="0.25">
      <c r="S3008" s="4">
        <v>-0.90044261790230651</v>
      </c>
      <c r="T3008" s="4">
        <v>-0.9755179618628278</v>
      </c>
      <c r="U3008" s="4">
        <f t="shared" si="318"/>
        <v>-1.3222152131177762</v>
      </c>
      <c r="W3008" s="4">
        <f t="shared" si="319"/>
        <v>-1.5028482274807244</v>
      </c>
      <c r="X3008" s="4">
        <f t="shared" si="320"/>
        <v>-2.2654034154268277</v>
      </c>
      <c r="Y3008" s="3">
        <f t="shared" si="317"/>
        <v>20.177811337596722</v>
      </c>
      <c r="AA3008" s="3"/>
    </row>
    <row r="3009" spans="19:27" x14ac:dyDescent="0.25">
      <c r="S3009" s="4">
        <v>-0.10925038044260205</v>
      </c>
      <c r="T3009" s="4">
        <v>0.69337422724344</v>
      </c>
      <c r="U3009" s="4">
        <f t="shared" si="318"/>
        <v>0.48303074657812378</v>
      </c>
      <c r="W3009" s="4">
        <f t="shared" si="319"/>
        <v>-0.15746005382283598</v>
      </c>
      <c r="X3009" s="4">
        <f t="shared" si="320"/>
        <v>0.91741810138330837</v>
      </c>
      <c r="Y3009" s="3">
        <f t="shared" si="317"/>
        <v>117.03899972710633</v>
      </c>
      <c r="AA3009" s="3"/>
    </row>
    <row r="3010" spans="19:27" x14ac:dyDescent="0.25">
      <c r="S3010" s="4">
        <v>9.2555139751579283E-3</v>
      </c>
      <c r="T3010" s="4">
        <v>1.4630714344144202</v>
      </c>
      <c r="U3010" s="4">
        <f t="shared" si="318"/>
        <v>1.1654074170259532</v>
      </c>
      <c r="W3010" s="4">
        <f t="shared" si="319"/>
        <v>4.4054093194468118E-2</v>
      </c>
      <c r="X3010" s="4">
        <f t="shared" si="320"/>
        <v>2.1205135231487011</v>
      </c>
      <c r="Y3010" s="3">
        <f t="shared" ref="Y3010:Y3073" si="321">(B$4*EXP(-B$8*B$7)*NORMSDIST((LN(B$4/(B$5+W3010))-B$8*B$7+B$9*B$7+0.5*B$6*B$6*B$7)/(B$6*SQRT(B$7)))-(B$5+W3010)*EXP(-B$9*B$7)*NORMSDIST((LN(B$4/(B$5+W3010))-B$8*B$7+B$9*B$7-0.5*B$6*B$6*B$7)/(B$6*SQRT(B$7))))*400+100*X3010-400*$B$13</f>
        <v>204.99668331086923</v>
      </c>
      <c r="AA3010" s="3"/>
    </row>
    <row r="3011" spans="19:27" x14ac:dyDescent="0.25">
      <c r="S3011" s="4">
        <v>0.55499293342077471</v>
      </c>
      <c r="T3011" s="4">
        <v>-0.67967048922540929</v>
      </c>
      <c r="U3011" s="4">
        <f t="shared" ref="U3011:U3074" si="322">$B$19*S3011+SQRT(1-$B$19^2)*T3011</f>
        <v>-0.20043329718368907</v>
      </c>
      <c r="W3011" s="4">
        <f t="shared" ref="W3011:W3074" si="323">S3011*SQRT($B$16)+$B$20</f>
        <v>0.97205696693613797</v>
      </c>
      <c r="X3011" s="4">
        <f t="shared" ref="X3011:X3074" si="324">U3011*SQRT($C$17)+$C$20</f>
        <v>-0.28759446367325958</v>
      </c>
      <c r="Y3011" s="3">
        <f t="shared" si="321"/>
        <v>-182.1021373917547</v>
      </c>
      <c r="AA3011" s="3"/>
    </row>
    <row r="3012" spans="19:27" x14ac:dyDescent="0.25">
      <c r="S3012" s="4">
        <v>1.1077754818613488</v>
      </c>
      <c r="T3012" s="4">
        <v>-0.87348604136770136</v>
      </c>
      <c r="U3012" s="4">
        <f t="shared" si="322"/>
        <v>-1.7080763380837194E-2</v>
      </c>
      <c r="W3012" s="4">
        <f t="shared" si="323"/>
        <v>1.9120397777688773</v>
      </c>
      <c r="X3012" s="4">
        <f t="shared" si="324"/>
        <v>3.5673613241689134E-2</v>
      </c>
      <c r="Y3012" s="3">
        <f t="shared" si="321"/>
        <v>-293.48649045333377</v>
      </c>
      <c r="AA3012" s="3"/>
    </row>
    <row r="3013" spans="19:27" x14ac:dyDescent="0.25">
      <c r="S3013" s="4">
        <v>0.27027602674509021</v>
      </c>
      <c r="T3013" s="4">
        <v>0.94541088320068323</v>
      </c>
      <c r="U3013" s="4">
        <f t="shared" si="322"/>
        <v>0.91418595799479119</v>
      </c>
      <c r="W3013" s="4">
        <f t="shared" si="323"/>
        <v>0.48790818368745031</v>
      </c>
      <c r="X3013" s="4">
        <f t="shared" si="324"/>
        <v>1.6775860311943569</v>
      </c>
      <c r="Y3013" s="3">
        <f t="shared" si="321"/>
        <v>90.184939873128769</v>
      </c>
      <c r="AA3013" s="3"/>
    </row>
    <row r="3014" spans="19:27" x14ac:dyDescent="0.25">
      <c r="S3014" s="4">
        <v>-0.79626780524938778</v>
      </c>
      <c r="T3014" s="4">
        <v>0.60573364294467424</v>
      </c>
      <c r="U3014" s="4">
        <f t="shared" si="322"/>
        <v>-5.2623959248673802E-3</v>
      </c>
      <c r="W3014" s="4">
        <f t="shared" si="323"/>
        <v>-1.3257034650570396</v>
      </c>
      <c r="X3014" s="4">
        <f t="shared" si="324"/>
        <v>5.6510526921177931E-2</v>
      </c>
      <c r="Y3014" s="3">
        <f t="shared" si="321"/>
        <v>222.6716004194559</v>
      </c>
      <c r="AA3014" s="3"/>
    </row>
    <row r="3015" spans="19:27" x14ac:dyDescent="0.25">
      <c r="S3015" s="4">
        <v>0.49732172030598021</v>
      </c>
      <c r="T3015" s="4">
        <v>1.0767032722653336</v>
      </c>
      <c r="U3015" s="4">
        <f t="shared" si="322"/>
        <v>1.1566725075587734</v>
      </c>
      <c r="W3015" s="4">
        <f t="shared" si="323"/>
        <v>0.87398956383032833</v>
      </c>
      <c r="X3015" s="4">
        <f t="shared" si="324"/>
        <v>2.1051130412087158</v>
      </c>
      <c r="Y3015" s="3">
        <f t="shared" si="321"/>
        <v>72.419489649755633</v>
      </c>
      <c r="AA3015" s="3"/>
    </row>
    <row r="3016" spans="19:27" x14ac:dyDescent="0.25">
      <c r="S3016" s="4">
        <v>1.1933186005877168</v>
      </c>
      <c r="T3016" s="4">
        <v>8.62428028092357E-2</v>
      </c>
      <c r="U3016" s="4">
        <f t="shared" si="322"/>
        <v>0.79583762554558324</v>
      </c>
      <c r="W3016" s="4">
        <f t="shared" si="323"/>
        <v>2.0575021506579056</v>
      </c>
      <c r="X3016" s="4">
        <f t="shared" si="324"/>
        <v>1.4689265867708439</v>
      </c>
      <c r="Y3016" s="3">
        <f t="shared" si="321"/>
        <v>-172.00368462338429</v>
      </c>
      <c r="AA3016" s="3"/>
    </row>
    <row r="3017" spans="19:27" x14ac:dyDescent="0.25">
      <c r="S3017" s="4">
        <v>0.46237544468350938</v>
      </c>
      <c r="T3017" s="4">
        <v>0.27084743610007839</v>
      </c>
      <c r="U3017" s="4">
        <f t="shared" si="322"/>
        <v>0.49657298847893527</v>
      </c>
      <c r="W3017" s="4">
        <f t="shared" si="323"/>
        <v>0.81456493387336959</v>
      </c>
      <c r="X3017" s="4">
        <f t="shared" si="324"/>
        <v>0.94129437080590339</v>
      </c>
      <c r="Y3017" s="3">
        <f t="shared" si="321"/>
        <v>-34.697163466072197</v>
      </c>
      <c r="AA3017" s="3"/>
    </row>
    <row r="3018" spans="19:27" x14ac:dyDescent="0.25">
      <c r="S3018" s="4">
        <v>0.14985952465224467</v>
      </c>
      <c r="T3018" s="4">
        <v>-1.7234897599761587</v>
      </c>
      <c r="U3018" s="4">
        <f t="shared" si="322"/>
        <v>-1.274838867585746</v>
      </c>
      <c r="W3018" s="4">
        <f t="shared" si="323"/>
        <v>0.28314513096953764</v>
      </c>
      <c r="X3018" s="4">
        <f t="shared" si="324"/>
        <v>-2.1818743809829124</v>
      </c>
      <c r="Y3018" s="3">
        <f t="shared" si="321"/>
        <v>-263.35460375878165</v>
      </c>
      <c r="AA3018" s="3"/>
    </row>
    <row r="3019" spans="19:27" x14ac:dyDescent="0.25">
      <c r="S3019" s="4">
        <v>-0.19660090815847489</v>
      </c>
      <c r="T3019" s="4">
        <v>2.3388515056586052</v>
      </c>
      <c r="U3019" s="4">
        <f t="shared" si="322"/>
        <v>1.7341366218767622</v>
      </c>
      <c r="W3019" s="4">
        <f t="shared" si="323"/>
        <v>-0.30599584751190922</v>
      </c>
      <c r="X3019" s="4">
        <f t="shared" si="324"/>
        <v>3.1232375789568096</v>
      </c>
      <c r="Y3019" s="3">
        <f t="shared" si="321"/>
        <v>361.60218842704307</v>
      </c>
      <c r="AA3019" s="3"/>
    </row>
    <row r="3020" spans="19:27" x14ac:dyDescent="0.25">
      <c r="S3020" s="4">
        <v>0.1335630851353489</v>
      </c>
      <c r="T3020" s="4">
        <v>0.92824885044549887</v>
      </c>
      <c r="U3020" s="4">
        <f t="shared" si="322"/>
        <v>0.81723849207659216</v>
      </c>
      <c r="W3020" s="4">
        <f t="shared" si="323"/>
        <v>0.25543374053785473</v>
      </c>
      <c r="X3020" s="4">
        <f t="shared" si="324"/>
        <v>1.5066583640433167</v>
      </c>
      <c r="Y3020" s="3">
        <f t="shared" si="321"/>
        <v>109.90093117909782</v>
      </c>
      <c r="AA3020" s="3"/>
    </row>
    <row r="3021" spans="19:27" x14ac:dyDescent="0.25">
      <c r="S3021" s="4">
        <v>0.6407583574905692</v>
      </c>
      <c r="T3021" s="4">
        <v>-1.049065197072077E-2</v>
      </c>
      <c r="U3021" s="4">
        <f t="shared" si="322"/>
        <v>0.38230473514199464</v>
      </c>
      <c r="W3021" s="4">
        <f t="shared" si="323"/>
        <v>1.117897360444968</v>
      </c>
      <c r="X3021" s="4">
        <f t="shared" si="324"/>
        <v>0.73982849660979555</v>
      </c>
      <c r="Y3021" s="3">
        <f t="shared" si="321"/>
        <v>-101.94965010510032</v>
      </c>
      <c r="AA3021" s="3"/>
    </row>
    <row r="3022" spans="19:27" x14ac:dyDescent="0.25">
      <c r="S3022" s="4">
        <v>0.10207985749532004</v>
      </c>
      <c r="T3022" s="4">
        <v>-1.0336374741606076</v>
      </c>
      <c r="U3022" s="4">
        <f t="shared" si="322"/>
        <v>-0.75712601752420317</v>
      </c>
      <c r="W3022" s="4">
        <f t="shared" si="323"/>
        <v>0.20189787386723254</v>
      </c>
      <c r="X3022" s="4">
        <f t="shared" si="324"/>
        <v>-1.2690970445458574</v>
      </c>
      <c r="Y3022" s="3">
        <f t="shared" si="321"/>
        <v>-159.15864621226046</v>
      </c>
      <c r="AA3022" s="3"/>
    </row>
    <row r="3023" spans="19:27" x14ac:dyDescent="0.25">
      <c r="S3023" s="4">
        <v>-0.4670806207751913</v>
      </c>
      <c r="T3023" s="4">
        <v>0.45831888077813221</v>
      </c>
      <c r="U3023" s="4">
        <f t="shared" si="322"/>
        <v>7.8562951063419983E-2</v>
      </c>
      <c r="W3023" s="4">
        <f t="shared" si="323"/>
        <v>-0.76593489814933169</v>
      </c>
      <c r="X3023" s="4">
        <f t="shared" si="324"/>
        <v>0.20430264168283641</v>
      </c>
      <c r="Y3023" s="3">
        <f t="shared" si="321"/>
        <v>144.6946175055391</v>
      </c>
      <c r="AA3023" s="3"/>
    </row>
    <row r="3024" spans="19:27" x14ac:dyDescent="0.25">
      <c r="S3024" s="4">
        <v>-0.38204656076664323</v>
      </c>
      <c r="T3024" s="4">
        <v>0.7798624082331802</v>
      </c>
      <c r="U3024" s="4">
        <f t="shared" si="322"/>
        <v>0.38528659926744235</v>
      </c>
      <c r="W3024" s="4">
        <f t="shared" si="323"/>
        <v>-0.62133815758861255</v>
      </c>
      <c r="X3024" s="4">
        <f t="shared" si="324"/>
        <v>0.74508580863849994</v>
      </c>
      <c r="Y3024" s="3">
        <f t="shared" si="321"/>
        <v>175.07972125033302</v>
      </c>
      <c r="AA3024" s="3"/>
    </row>
    <row r="3025" spans="19:27" x14ac:dyDescent="0.25">
      <c r="S3025" s="4">
        <v>1.6062297327805835</v>
      </c>
      <c r="T3025" s="4">
        <v>0.10513249957382556</v>
      </c>
      <c r="U3025" s="4">
        <f t="shared" si="322"/>
        <v>1.0625311764084027</v>
      </c>
      <c r="W3025" s="4">
        <f t="shared" si="323"/>
        <v>2.7596396688514724</v>
      </c>
      <c r="X3025" s="4">
        <f t="shared" si="324"/>
        <v>1.9391328583991541</v>
      </c>
      <c r="Y3025" s="3">
        <f t="shared" si="321"/>
        <v>-228.93584219474087</v>
      </c>
      <c r="AA3025" s="3"/>
    </row>
    <row r="3026" spans="19:27" x14ac:dyDescent="0.25">
      <c r="S3026" s="4">
        <v>0.11808130684855324</v>
      </c>
      <c r="T3026" s="4">
        <v>-1.3123550383958857</v>
      </c>
      <c r="U3026" s="4">
        <f t="shared" si="322"/>
        <v>-0.96830836568411249</v>
      </c>
      <c r="W3026" s="4">
        <f t="shared" si="323"/>
        <v>0.22910764628657082</v>
      </c>
      <c r="X3026" s="4">
        <f t="shared" si="324"/>
        <v>-1.6414317494561379</v>
      </c>
      <c r="Y3026" s="3">
        <f t="shared" si="321"/>
        <v>-200.72222688794818</v>
      </c>
      <c r="AA3026" s="3"/>
    </row>
    <row r="3027" spans="19:27" x14ac:dyDescent="0.25">
      <c r="S3027" s="4">
        <v>1.6916060248511555</v>
      </c>
      <c r="T3027" s="4">
        <v>-0.3981539401672845</v>
      </c>
      <c r="U3027" s="4">
        <f t="shared" si="322"/>
        <v>0.71562732493454451</v>
      </c>
      <c r="W3027" s="4">
        <f t="shared" si="323"/>
        <v>2.9048183602290649</v>
      </c>
      <c r="X3027" s="4">
        <f t="shared" si="324"/>
        <v>1.3275081449881914</v>
      </c>
      <c r="Y3027" s="3">
        <f t="shared" si="321"/>
        <v>-311.28836775189438</v>
      </c>
      <c r="AA3027" s="3"/>
    </row>
    <row r="3028" spans="19:27" x14ac:dyDescent="0.25">
      <c r="S3028" s="4">
        <v>-6.0375461506703434E-2</v>
      </c>
      <c r="T3028" s="4">
        <v>0.75616462149645736</v>
      </c>
      <c r="U3028" s="4">
        <f t="shared" si="322"/>
        <v>0.56259943204191065</v>
      </c>
      <c r="W3028" s="4">
        <f t="shared" si="323"/>
        <v>-7.4350368449823276E-2</v>
      </c>
      <c r="X3028" s="4">
        <f t="shared" si="324"/>
        <v>1.0577053142133539</v>
      </c>
      <c r="Y3028" s="3">
        <f t="shared" si="321"/>
        <v>117.69950413663446</v>
      </c>
      <c r="AA3028" s="3"/>
    </row>
    <row r="3029" spans="19:27" x14ac:dyDescent="0.25">
      <c r="S3029" s="4">
        <v>-1.1111748723822716</v>
      </c>
      <c r="T3029" s="4">
        <v>-0.77283244231468051</v>
      </c>
      <c r="U3029" s="4">
        <f t="shared" si="322"/>
        <v>-1.2900151035754182</v>
      </c>
      <c r="W3029" s="4">
        <f t="shared" si="323"/>
        <v>-1.8611893101686712</v>
      </c>
      <c r="X3029" s="4">
        <f t="shared" si="324"/>
        <v>-2.2086315384731048</v>
      </c>
      <c r="Y3029" s="3">
        <f t="shared" si="321"/>
        <v>86.437733299243064</v>
      </c>
      <c r="AA3029" s="3"/>
    </row>
    <row r="3030" spans="19:27" x14ac:dyDescent="0.25">
      <c r="S3030" s="4">
        <v>-0.86895406864310709</v>
      </c>
      <c r="T3030" s="4">
        <v>1.7837623080565994</v>
      </c>
      <c r="U3030" s="4">
        <f t="shared" si="322"/>
        <v>0.88424035706154158</v>
      </c>
      <c r="W3030" s="4">
        <f t="shared" si="323"/>
        <v>-1.4493033116269103</v>
      </c>
      <c r="X3030" s="4">
        <f t="shared" si="324"/>
        <v>1.6247890688346063</v>
      </c>
      <c r="Y3030" s="3">
        <f t="shared" si="321"/>
        <v>400.20297495066097</v>
      </c>
      <c r="AA3030" s="3"/>
    </row>
    <row r="3031" spans="19:27" x14ac:dyDescent="0.25">
      <c r="S3031" s="4">
        <v>0.63590660262059218</v>
      </c>
      <c r="T3031" s="4">
        <v>-0.97908546398425755</v>
      </c>
      <c r="U3031" s="4">
        <f t="shared" si="322"/>
        <v>-0.38845037994795401</v>
      </c>
      <c r="W3031" s="4">
        <f t="shared" si="323"/>
        <v>1.1096471611703744</v>
      </c>
      <c r="X3031" s="4">
        <f t="shared" si="324"/>
        <v>-0.61908658713480791</v>
      </c>
      <c r="Y3031" s="3">
        <f t="shared" si="321"/>
        <v>-236.56613411721446</v>
      </c>
      <c r="AA3031" s="3"/>
    </row>
    <row r="3032" spans="19:27" x14ac:dyDescent="0.25">
      <c r="S3032" s="4">
        <v>-2.2454474074546154</v>
      </c>
      <c r="T3032" s="4">
        <v>1.1113067953847824</v>
      </c>
      <c r="U3032" s="4">
        <f t="shared" si="322"/>
        <v>-0.48795081238223947</v>
      </c>
      <c r="W3032" s="4">
        <f t="shared" si="323"/>
        <v>-3.7899706886247571</v>
      </c>
      <c r="X3032" s="4">
        <f t="shared" si="324"/>
        <v>-0.79451537875337752</v>
      </c>
      <c r="Y3032" s="3">
        <f t="shared" si="321"/>
        <v>565.75988697742559</v>
      </c>
      <c r="AA3032" s="3"/>
    </row>
    <row r="3033" spans="19:27" x14ac:dyDescent="0.25">
      <c r="S3033" s="4">
        <v>-0.65888279812885187</v>
      </c>
      <c r="T3033" s="4">
        <v>0.38718745593887216</v>
      </c>
      <c r="U3033" s="4">
        <f t="shared" si="322"/>
        <v>-9.4749248479289228E-2</v>
      </c>
      <c r="W3033" s="4">
        <f t="shared" si="323"/>
        <v>-1.0920862035791834</v>
      </c>
      <c r="X3033" s="4">
        <f t="shared" si="324"/>
        <v>-0.10126336436054467</v>
      </c>
      <c r="Y3033" s="3">
        <f t="shared" si="321"/>
        <v>167.98244844511464</v>
      </c>
      <c r="AA3033" s="3"/>
    </row>
    <row r="3034" spans="19:27" x14ac:dyDescent="0.25">
      <c r="S3034" s="4">
        <v>-0.92267062167971536</v>
      </c>
      <c r="T3034" s="4">
        <v>-0.87463825168041698</v>
      </c>
      <c r="U3034" s="4">
        <f t="shared" si="322"/>
        <v>-1.2557993590338905</v>
      </c>
      <c r="W3034" s="4">
        <f t="shared" si="323"/>
        <v>-1.5406459863441913</v>
      </c>
      <c r="X3034" s="4">
        <f t="shared" si="324"/>
        <v>-2.1483059039768513</v>
      </c>
      <c r="Y3034" s="3">
        <f t="shared" si="321"/>
        <v>38.245691394203277</v>
      </c>
      <c r="AA3034" s="3"/>
    </row>
    <row r="3035" spans="19:27" x14ac:dyDescent="0.25">
      <c r="S3035" s="4">
        <v>0.54931652771671891</v>
      </c>
      <c r="T3035" s="4">
        <v>5.1657790219284995E-2</v>
      </c>
      <c r="U3035" s="4">
        <f t="shared" si="322"/>
        <v>0.37582432958872869</v>
      </c>
      <c r="W3035" s="4">
        <f t="shared" si="323"/>
        <v>0.96240448459171934</v>
      </c>
      <c r="X3035" s="4">
        <f t="shared" si="324"/>
        <v>0.72840292098570425</v>
      </c>
      <c r="Y3035" s="3">
        <f t="shared" si="321"/>
        <v>-79.003472519454135</v>
      </c>
      <c r="AA3035" s="3"/>
    </row>
    <row r="3036" spans="19:27" x14ac:dyDescent="0.25">
      <c r="S3036" s="4">
        <v>-1.3391188068316771</v>
      </c>
      <c r="T3036" s="4">
        <v>0.41960278398655698</v>
      </c>
      <c r="U3036" s="4">
        <f t="shared" si="322"/>
        <v>-0.48374092487578518</v>
      </c>
      <c r="W3036" s="4">
        <f t="shared" si="323"/>
        <v>-2.2487981100855152</v>
      </c>
      <c r="X3036" s="4">
        <f t="shared" si="324"/>
        <v>-0.78709294389516571</v>
      </c>
      <c r="Y3036" s="3">
        <f t="shared" si="321"/>
        <v>294.89180156709608</v>
      </c>
      <c r="AA3036" s="3"/>
    </row>
    <row r="3037" spans="19:27" x14ac:dyDescent="0.25">
      <c r="S3037" s="4">
        <v>0.24808584105663134</v>
      </c>
      <c r="T3037" s="4">
        <v>-1.7632327304095075</v>
      </c>
      <c r="U3037" s="4">
        <f t="shared" si="322"/>
        <v>-1.2464618489659536</v>
      </c>
      <c r="W3037" s="4">
        <f t="shared" si="323"/>
        <v>0.4501747328482722</v>
      </c>
      <c r="X3037" s="4">
        <f t="shared" si="324"/>
        <v>-2.131842979466184</v>
      </c>
      <c r="Y3037" s="3">
        <f t="shared" si="321"/>
        <v>-284.80232189789513</v>
      </c>
      <c r="AA3037" s="3"/>
    </row>
    <row r="3038" spans="19:27" x14ac:dyDescent="0.25">
      <c r="S3038" s="4">
        <v>-0.46438765785536595</v>
      </c>
      <c r="T3038" s="4">
        <v>1.8840055015993622</v>
      </c>
      <c r="U3038" s="4">
        <f t="shared" si="322"/>
        <v>1.210335047178495</v>
      </c>
      <c r="W3038" s="4">
        <f t="shared" si="323"/>
        <v>-0.76135563119890648</v>
      </c>
      <c r="X3038" s="4">
        <f t="shared" si="324"/>
        <v>2.1997252378631251</v>
      </c>
      <c r="Y3038" s="3">
        <f t="shared" si="321"/>
        <v>343.48485463467205</v>
      </c>
      <c r="AA3038" s="3"/>
    </row>
    <row r="3039" spans="19:27" x14ac:dyDescent="0.25">
      <c r="S3039" s="4">
        <v>0.26851304488838185</v>
      </c>
      <c r="T3039" s="4">
        <v>-0.61510207656792493</v>
      </c>
      <c r="U3039" s="4">
        <f t="shared" si="322"/>
        <v>-0.32389496374105764</v>
      </c>
      <c r="W3039" s="4">
        <f t="shared" si="323"/>
        <v>0.48491030930485485</v>
      </c>
      <c r="X3039" s="4">
        <f t="shared" si="324"/>
        <v>-0.50526920583760482</v>
      </c>
      <c r="Y3039" s="3">
        <f t="shared" si="321"/>
        <v>-127.62768302044924</v>
      </c>
      <c r="AA3039" s="3"/>
    </row>
    <row r="3040" spans="19:27" x14ac:dyDescent="0.25">
      <c r="S3040" s="4">
        <v>0.46138222967212378</v>
      </c>
      <c r="T3040" s="4">
        <v>-1.1151926900974982</v>
      </c>
      <c r="U3040" s="4">
        <f t="shared" si="322"/>
        <v>-0.6027354435195218</v>
      </c>
      <c r="W3040" s="4">
        <f t="shared" si="323"/>
        <v>0.81287601471194293</v>
      </c>
      <c r="X3040" s="4">
        <f t="shared" si="324"/>
        <v>-0.99689167646540766</v>
      </c>
      <c r="Y3040" s="3">
        <f t="shared" si="321"/>
        <v>-228.25217657039457</v>
      </c>
      <c r="AA3040" s="3"/>
    </row>
    <row r="3041" spans="19:27" x14ac:dyDescent="0.25">
      <c r="S3041" s="4">
        <v>-0.19893996871373787</v>
      </c>
      <c r="T3041" s="4">
        <v>-0.38170181834669231</v>
      </c>
      <c r="U3041" s="4">
        <f t="shared" si="322"/>
        <v>-0.42385022866548139</v>
      </c>
      <c r="W3041" s="4">
        <f t="shared" si="323"/>
        <v>-0.3099733188008395</v>
      </c>
      <c r="X3041" s="4">
        <f t="shared" si="324"/>
        <v>-0.68149991069596394</v>
      </c>
      <c r="Y3041" s="3">
        <f t="shared" si="321"/>
        <v>-18.227819235598417</v>
      </c>
      <c r="AA3041" s="3"/>
    </row>
    <row r="3042" spans="19:27" x14ac:dyDescent="0.25">
      <c r="S3042" s="4">
        <v>-0.39081509177588408</v>
      </c>
      <c r="T3042" s="4">
        <v>-2.9858653243439046</v>
      </c>
      <c r="U3042" s="4">
        <f t="shared" si="322"/>
        <v>-2.6051212119918654</v>
      </c>
      <c r="W3042" s="4">
        <f t="shared" si="323"/>
        <v>-0.63624866525241652</v>
      </c>
      <c r="X3042" s="4">
        <f t="shared" si="324"/>
        <v>-4.5272895563874149</v>
      </c>
      <c r="Y3042" s="3">
        <f t="shared" si="321"/>
        <v>-349.7196751718061</v>
      </c>
      <c r="AA3042" s="3"/>
    </row>
    <row r="3043" spans="19:27" x14ac:dyDescent="0.25">
      <c r="S3043" s="4">
        <v>1.1056188908595317</v>
      </c>
      <c r="T3043" s="4">
        <v>-1.6446655233984016</v>
      </c>
      <c r="U3043" s="4">
        <f t="shared" si="322"/>
        <v>-0.62970328994890534</v>
      </c>
      <c r="W3043" s="4">
        <f t="shared" si="323"/>
        <v>1.9083725880621412</v>
      </c>
      <c r="X3043" s="4">
        <f t="shared" si="324"/>
        <v>-1.0444385724528842</v>
      </c>
      <c r="Y3043" s="3">
        <f t="shared" si="321"/>
        <v>-400.94568059058065</v>
      </c>
      <c r="AA3043" s="3"/>
    </row>
    <row r="3044" spans="19:27" x14ac:dyDescent="0.25">
      <c r="S3044" s="4">
        <v>0.67904342170276477</v>
      </c>
      <c r="T3044" s="4">
        <v>7.3085982260964702E-2</v>
      </c>
      <c r="U3044" s="4">
        <f t="shared" si="322"/>
        <v>0.47189469542178436</v>
      </c>
      <c r="W3044" s="4">
        <f t="shared" si="323"/>
        <v>1.1829994559662782</v>
      </c>
      <c r="X3044" s="4">
        <f t="shared" si="324"/>
        <v>0.89778417668605204</v>
      </c>
      <c r="Y3044" s="3">
        <f t="shared" si="321"/>
        <v>-96.203153352411846</v>
      </c>
      <c r="AA3044" s="3"/>
    </row>
    <row r="3045" spans="19:27" x14ac:dyDescent="0.25">
      <c r="S3045" s="4">
        <v>-0.58925445655361874</v>
      </c>
      <c r="T3045" s="4">
        <v>1.3737378094444923</v>
      </c>
      <c r="U3045" s="4">
        <f t="shared" si="322"/>
        <v>0.72972833358839284</v>
      </c>
      <c r="W3045" s="4">
        <f t="shared" si="323"/>
        <v>-0.97368622077917322</v>
      </c>
      <c r="X3045" s="4">
        <f t="shared" si="324"/>
        <v>1.3523695737099346</v>
      </c>
      <c r="Y3045" s="3">
        <f t="shared" si="321"/>
        <v>293.73449478144539</v>
      </c>
      <c r="AA3045" s="3"/>
    </row>
    <row r="3046" spans="19:27" x14ac:dyDescent="0.25">
      <c r="S3046" s="4">
        <v>-0.57460630351109621</v>
      </c>
      <c r="T3046" s="4">
        <v>-1.5452972175495963</v>
      </c>
      <c r="U3046" s="4">
        <f t="shared" si="322"/>
        <v>-1.5752375943932075</v>
      </c>
      <c r="W3046" s="4">
        <f t="shared" si="323"/>
        <v>-0.94877767019402637</v>
      </c>
      <c r="X3046" s="4">
        <f t="shared" si="324"/>
        <v>-2.7115061057735992</v>
      </c>
      <c r="Y3046" s="3">
        <f t="shared" si="321"/>
        <v>-116.76943816372977</v>
      </c>
      <c r="AA3046" s="3"/>
    </row>
    <row r="3047" spans="19:27" x14ac:dyDescent="0.25">
      <c r="S3047" s="4">
        <v>-9.4820749111553214E-3</v>
      </c>
      <c r="T3047" s="4">
        <v>-0.40248958774880084</v>
      </c>
      <c r="U3047" s="4">
        <f t="shared" si="322"/>
        <v>-0.32483076834332419</v>
      </c>
      <c r="W3047" s="4">
        <f t="shared" si="323"/>
        <v>1.2191633861639736E-2</v>
      </c>
      <c r="X3047" s="4">
        <f t="shared" si="324"/>
        <v>-0.50691911897416475</v>
      </c>
      <c r="Y3047" s="3">
        <f t="shared" si="321"/>
        <v>-52.645241658359282</v>
      </c>
      <c r="AA3047" s="3"/>
    </row>
    <row r="3048" spans="19:27" x14ac:dyDescent="0.25">
      <c r="S3048" s="4">
        <v>-0.55164049735462906</v>
      </c>
      <c r="T3048" s="4">
        <v>0.14877691623599909</v>
      </c>
      <c r="U3048" s="4">
        <f t="shared" si="322"/>
        <v>-0.21835808120643488</v>
      </c>
      <c r="W3048" s="4">
        <f t="shared" si="323"/>
        <v>-0.90972531030152415</v>
      </c>
      <c r="X3048" s="4">
        <f t="shared" si="324"/>
        <v>-0.31919757457643005</v>
      </c>
      <c r="Y3048" s="3">
        <f t="shared" si="321"/>
        <v>116.01421179519275</v>
      </c>
      <c r="AA3048" s="3"/>
    </row>
    <row r="3049" spans="19:27" x14ac:dyDescent="0.25">
      <c r="S3049" s="4">
        <v>0.5378414136363866</v>
      </c>
      <c r="T3049" s="4">
        <v>-0.80776540778047901</v>
      </c>
      <c r="U3049" s="4">
        <f t="shared" si="322"/>
        <v>-0.31242906593178338</v>
      </c>
      <c r="W3049" s="4">
        <f t="shared" si="323"/>
        <v>0.94289154949945553</v>
      </c>
      <c r="X3049" s="4">
        <f t="shared" si="324"/>
        <v>-0.4850537299015435</v>
      </c>
      <c r="Y3049" s="3">
        <f t="shared" si="321"/>
        <v>-197.31754145772038</v>
      </c>
      <c r="AA3049" s="3"/>
    </row>
    <row r="3050" spans="19:27" x14ac:dyDescent="0.25">
      <c r="S3050" s="4">
        <v>-1.6049347651173109</v>
      </c>
      <c r="T3050" s="4">
        <v>1.4501602682493204</v>
      </c>
      <c r="U3050" s="4">
        <f t="shared" si="322"/>
        <v>0.17112642894036223</v>
      </c>
      <c r="W3050" s="4">
        <f t="shared" si="323"/>
        <v>-2.700806648232029</v>
      </c>
      <c r="X3050" s="4">
        <f t="shared" si="324"/>
        <v>0.36750091805905905</v>
      </c>
      <c r="Y3050" s="3">
        <f t="shared" si="321"/>
        <v>488.68248577360646</v>
      </c>
      <c r="AA3050" s="3"/>
    </row>
    <row r="3051" spans="19:27" x14ac:dyDescent="0.25">
      <c r="S3051" s="4">
        <v>0.42445620795557021</v>
      </c>
      <c r="T3051" s="4">
        <v>0.25672952644716945</v>
      </c>
      <c r="U3051" s="4">
        <f t="shared" si="322"/>
        <v>0.46226542141516702</v>
      </c>
      <c r="W3051" s="4">
        <f t="shared" si="323"/>
        <v>0.75008491216372597</v>
      </c>
      <c r="X3051" s="4">
        <f t="shared" si="324"/>
        <v>0.88080684440902257</v>
      </c>
      <c r="Y3051" s="3">
        <f t="shared" si="321"/>
        <v>-30.672112880165514</v>
      </c>
      <c r="AA3051" s="3"/>
    </row>
    <row r="3052" spans="19:27" x14ac:dyDescent="0.25">
      <c r="S3052" s="4">
        <v>0.17150130933543711</v>
      </c>
      <c r="T3052" s="4">
        <v>-3.0070861863016218</v>
      </c>
      <c r="U3052" s="4">
        <f t="shared" si="322"/>
        <v>-2.2791421954623154</v>
      </c>
      <c r="W3052" s="4">
        <f t="shared" si="323"/>
        <v>0.31994604962250972</v>
      </c>
      <c r="X3052" s="4">
        <f t="shared" si="324"/>
        <v>-3.9525573309716409</v>
      </c>
      <c r="Y3052" s="3">
        <f t="shared" si="321"/>
        <v>-446.26302211100028</v>
      </c>
      <c r="AA3052" s="3"/>
    </row>
    <row r="3053" spans="19:27" x14ac:dyDescent="0.25">
      <c r="S3053" s="4">
        <v>-0.55622652426520303</v>
      </c>
      <c r="T3053" s="4">
        <v>0.23937424969832016</v>
      </c>
      <c r="U3053" s="4">
        <f t="shared" si="322"/>
        <v>-0.14933804236107581</v>
      </c>
      <c r="W3053" s="4">
        <f t="shared" si="323"/>
        <v>-0.9175236506762644</v>
      </c>
      <c r="X3053" s="4">
        <f t="shared" si="324"/>
        <v>-0.19750863598709464</v>
      </c>
      <c r="Y3053" s="3">
        <f t="shared" si="321"/>
        <v>129.46990401121457</v>
      </c>
      <c r="AA3053" s="3"/>
    </row>
    <row r="3054" spans="19:27" x14ac:dyDescent="0.25">
      <c r="S3054" s="4">
        <v>0.57187814456063635</v>
      </c>
      <c r="T3054" s="4">
        <v>-0.25633318065079574</v>
      </c>
      <c r="U3054" s="4">
        <f t="shared" si="322"/>
        <v>0.14543641009404881</v>
      </c>
      <c r="W3054" s="4">
        <f t="shared" si="323"/>
        <v>1.0007695380430344</v>
      </c>
      <c r="X3054" s="4">
        <f t="shared" si="324"/>
        <v>0.32220695447911663</v>
      </c>
      <c r="Y3054" s="3">
        <f t="shared" si="321"/>
        <v>-125.57794681475343</v>
      </c>
      <c r="AA3054" s="3"/>
    </row>
    <row r="3055" spans="19:27" x14ac:dyDescent="0.25">
      <c r="S3055" s="4">
        <v>0.28654051119108054</v>
      </c>
      <c r="T3055" s="4">
        <v>-0.67469199029317262</v>
      </c>
      <c r="U3055" s="4">
        <f t="shared" si="322"/>
        <v>-0.36014146707606237</v>
      </c>
      <c r="W3055" s="4">
        <f t="shared" si="323"/>
        <v>0.5155652359034012</v>
      </c>
      <c r="X3055" s="4">
        <f t="shared" si="324"/>
        <v>-0.56917526257417117</v>
      </c>
      <c r="Y3055" s="3">
        <f t="shared" si="321"/>
        <v>-138.85178753716445</v>
      </c>
      <c r="AA3055" s="3"/>
    </row>
    <row r="3056" spans="19:27" x14ac:dyDescent="0.25">
      <c r="S3056" s="4">
        <v>1.4481098271242709</v>
      </c>
      <c r="T3056" s="4">
        <v>-1.3689778470818215</v>
      </c>
      <c r="U3056" s="4">
        <f t="shared" si="322"/>
        <v>-0.2023777528582329</v>
      </c>
      <c r="W3056" s="4">
        <f t="shared" si="323"/>
        <v>2.4907636093833858</v>
      </c>
      <c r="X3056" s="4">
        <f t="shared" si="324"/>
        <v>-0.29102272524957362</v>
      </c>
      <c r="Y3056" s="3">
        <f t="shared" si="321"/>
        <v>-412.43236098912303</v>
      </c>
      <c r="AA3056" s="3"/>
    </row>
    <row r="3057" spans="19:27" x14ac:dyDescent="0.25">
      <c r="S3057" s="4">
        <v>1.1315377413661971</v>
      </c>
      <c r="T3057" s="4">
        <v>-1.8546558509791098</v>
      </c>
      <c r="U3057" s="4">
        <f t="shared" si="322"/>
        <v>-0.7803602371102234</v>
      </c>
      <c r="W3057" s="4">
        <f t="shared" si="323"/>
        <v>1.9524464721265693</v>
      </c>
      <c r="X3057" s="4">
        <f t="shared" si="324"/>
        <v>-1.3100611988360207</v>
      </c>
      <c r="Y3057" s="3">
        <f t="shared" si="321"/>
        <v>-434.13800808584392</v>
      </c>
      <c r="AA3057" s="3"/>
    </row>
    <row r="3058" spans="19:27" x14ac:dyDescent="0.25">
      <c r="S3058" s="4">
        <v>1.0427315121030025</v>
      </c>
      <c r="T3058" s="4">
        <v>0.60943194499220044</v>
      </c>
      <c r="U3058" s="4">
        <f t="shared" si="322"/>
        <v>1.1187642339326542</v>
      </c>
      <c r="W3058" s="4">
        <f t="shared" si="323"/>
        <v>1.80143532092839</v>
      </c>
      <c r="X3058" s="4">
        <f t="shared" si="324"/>
        <v>2.0382771242998294</v>
      </c>
      <c r="Y3058" s="3">
        <f t="shared" si="321"/>
        <v>-76.547053904068889</v>
      </c>
      <c r="AA3058" s="3"/>
    </row>
    <row r="3059" spans="19:27" x14ac:dyDescent="0.25">
      <c r="S3059" s="4">
        <v>0.47189984410685165</v>
      </c>
      <c r="T3059" s="4">
        <v>0.18985925489565825</v>
      </c>
      <c r="U3059" s="4">
        <f t="shared" si="322"/>
        <v>0.4381805900052172</v>
      </c>
      <c r="W3059" s="4">
        <f t="shared" si="323"/>
        <v>0.83076076307728197</v>
      </c>
      <c r="X3059" s="4">
        <f t="shared" si="324"/>
        <v>0.83834298000948881</v>
      </c>
      <c r="Y3059" s="3">
        <f t="shared" si="321"/>
        <v>-47.519266220538611</v>
      </c>
      <c r="AA3059" s="3"/>
    </row>
    <row r="3060" spans="19:27" x14ac:dyDescent="0.25">
      <c r="S3060" s="4">
        <v>-0.58992292407100488</v>
      </c>
      <c r="T3060" s="4">
        <v>0.23354234721307202</v>
      </c>
      <c r="U3060" s="4">
        <f t="shared" si="322"/>
        <v>-0.17450302206710946</v>
      </c>
      <c r="W3060" s="4">
        <f t="shared" si="323"/>
        <v>-0.9748229208752881</v>
      </c>
      <c r="X3060" s="4">
        <f t="shared" si="324"/>
        <v>-0.24187690527930053</v>
      </c>
      <c r="Y3060" s="3">
        <f t="shared" si="321"/>
        <v>134.49777465532998</v>
      </c>
      <c r="AA3060" s="3"/>
    </row>
    <row r="3061" spans="19:27" x14ac:dyDescent="0.25">
      <c r="S3061" s="4">
        <v>-6.9997688951886322E-2</v>
      </c>
      <c r="T3061" s="4">
        <v>-0.98092348272313168</v>
      </c>
      <c r="U3061" s="4">
        <f t="shared" si="322"/>
        <v>-0.82024236890843039</v>
      </c>
      <c r="W3061" s="4">
        <f t="shared" si="323"/>
        <v>-9.0712549972938553E-2</v>
      </c>
      <c r="X3061" s="4">
        <f t="shared" si="324"/>
        <v>-1.3803772167402923</v>
      </c>
      <c r="Y3061" s="3">
        <f t="shared" si="321"/>
        <v>-123.47971584987863</v>
      </c>
      <c r="AA3061" s="3"/>
    </row>
    <row r="3062" spans="19:27" x14ac:dyDescent="0.25">
      <c r="S3062" s="4">
        <v>0.26629521250611499</v>
      </c>
      <c r="T3062" s="4">
        <v>0.57563431257728603</v>
      </c>
      <c r="U3062" s="4">
        <f t="shared" si="322"/>
        <v>0.61864022849129485</v>
      </c>
      <c r="W3062" s="4">
        <f t="shared" si="323"/>
        <v>0.48113898127990146</v>
      </c>
      <c r="X3062" s="4">
        <f t="shared" si="324"/>
        <v>1.1565106054260392</v>
      </c>
      <c r="Y3062" s="3">
        <f t="shared" si="321"/>
        <v>39.145273120772345</v>
      </c>
      <c r="AA3062" s="3"/>
    </row>
    <row r="3063" spans="19:27" x14ac:dyDescent="0.25">
      <c r="S3063" s="4">
        <v>0.64838180808028756</v>
      </c>
      <c r="T3063" s="4">
        <v>0.74491548842540278</v>
      </c>
      <c r="U3063" s="4">
        <f t="shared" si="322"/>
        <v>0.98575657926487714</v>
      </c>
      <c r="W3063" s="4">
        <f t="shared" si="323"/>
        <v>1.1308607083903461</v>
      </c>
      <c r="X3063" s="4">
        <f t="shared" si="324"/>
        <v>1.8037718908698284</v>
      </c>
      <c r="Y3063" s="3">
        <f t="shared" si="321"/>
        <v>2.4419705696491292</v>
      </c>
      <c r="AA3063" s="3"/>
    </row>
    <row r="3064" spans="19:27" x14ac:dyDescent="0.25">
      <c r="S3064" s="4">
        <v>-0.93461579486701751</v>
      </c>
      <c r="T3064" s="4">
        <v>1.4617650179969153</v>
      </c>
      <c r="U3064" s="4">
        <f t="shared" si="322"/>
        <v>0.58896682177011339</v>
      </c>
      <c r="W3064" s="4">
        <f t="shared" si="323"/>
        <v>-1.5609582366135957</v>
      </c>
      <c r="X3064" s="4">
        <f t="shared" si="324"/>
        <v>1.1041935475304248</v>
      </c>
      <c r="Y3064" s="3">
        <f t="shared" si="321"/>
        <v>366.91557575973548</v>
      </c>
      <c r="AA3064" s="3"/>
    </row>
    <row r="3065" spans="19:27" x14ac:dyDescent="0.25">
      <c r="S3065" s="4">
        <v>1.098278511018759</v>
      </c>
      <c r="T3065" s="4">
        <v>-0.67571284348212457</v>
      </c>
      <c r="U3065" s="4">
        <f t="shared" si="322"/>
        <v>0.13390290682258732</v>
      </c>
      <c r="W3065" s="4">
        <f t="shared" si="323"/>
        <v>1.8958905896800029</v>
      </c>
      <c r="X3065" s="4">
        <f t="shared" si="324"/>
        <v>0.30187228363858942</v>
      </c>
      <c r="Y3065" s="3">
        <f t="shared" si="321"/>
        <v>-264.4351538518049</v>
      </c>
      <c r="AA3065" s="3"/>
    </row>
    <row r="3066" spans="19:27" x14ac:dyDescent="0.25">
      <c r="S3066" s="4">
        <v>0.76450378493621296</v>
      </c>
      <c r="T3066" s="4">
        <v>-1.5317953659877757</v>
      </c>
      <c r="U3066" s="4">
        <f t="shared" si="322"/>
        <v>-0.74818339647405252</v>
      </c>
      <c r="W3066" s="4">
        <f t="shared" si="323"/>
        <v>1.3283211067195118</v>
      </c>
      <c r="X3066" s="4">
        <f t="shared" si="324"/>
        <v>-1.253330347192388</v>
      </c>
      <c r="Y3066" s="3">
        <f t="shared" si="321"/>
        <v>-333.66880579508779</v>
      </c>
      <c r="AA3066" s="3"/>
    </row>
    <row r="3067" spans="19:27" x14ac:dyDescent="0.25">
      <c r="S3067" s="4">
        <v>0.99570454604493797</v>
      </c>
      <c r="T3067" s="4">
        <v>-0.47687293001993641</v>
      </c>
      <c r="U3067" s="4">
        <f t="shared" si="322"/>
        <v>0.22899034160744264</v>
      </c>
      <c r="W3067" s="4">
        <f t="shared" si="323"/>
        <v>1.7214679994836404</v>
      </c>
      <c r="X3067" s="4">
        <f t="shared" si="324"/>
        <v>0.46952053776485814</v>
      </c>
      <c r="Y3067" s="3">
        <f t="shared" si="321"/>
        <v>-221.32550131781227</v>
      </c>
      <c r="AA3067" s="3"/>
    </row>
    <row r="3068" spans="19:27" x14ac:dyDescent="0.25">
      <c r="S3068" s="4">
        <v>9.0786968783340249E-2</v>
      </c>
      <c r="T3068" s="4">
        <v>2.1146759749118574E-2</v>
      </c>
      <c r="U3068" s="4">
        <f t="shared" si="322"/>
        <v>7.2108629475406527E-2</v>
      </c>
      <c r="W3068" s="4">
        <f t="shared" si="323"/>
        <v>0.1826948051309748</v>
      </c>
      <c r="X3068" s="4">
        <f t="shared" si="324"/>
        <v>0.1929230545875677</v>
      </c>
      <c r="Y3068" s="3">
        <f t="shared" si="321"/>
        <v>-9.8984008345837537</v>
      </c>
      <c r="AA3068" s="3"/>
    </row>
    <row r="3069" spans="19:27" x14ac:dyDescent="0.25">
      <c r="S3069" s="4">
        <v>0.47381607858217917</v>
      </c>
      <c r="T3069" s="4">
        <v>0.77946948483955525</v>
      </c>
      <c r="U3069" s="4">
        <f t="shared" si="322"/>
        <v>0.90672809285787115</v>
      </c>
      <c r="W3069" s="4">
        <f t="shared" si="323"/>
        <v>0.8340192369082926</v>
      </c>
      <c r="X3069" s="4">
        <f t="shared" si="324"/>
        <v>1.6644371007121883</v>
      </c>
      <c r="Y3069" s="3">
        <f t="shared" si="321"/>
        <v>34.581902208894462</v>
      </c>
      <c r="AA3069" s="3"/>
    </row>
    <row r="3070" spans="19:27" x14ac:dyDescent="0.25">
      <c r="S3070" s="4">
        <v>-0.63521845994180892</v>
      </c>
      <c r="T3070" s="4">
        <v>-1.10571928169936</v>
      </c>
      <c r="U3070" s="4">
        <f t="shared" si="322"/>
        <v>-1.2637381958724188</v>
      </c>
      <c r="W3070" s="4">
        <f t="shared" si="323"/>
        <v>-1.0518460201864466</v>
      </c>
      <c r="X3070" s="4">
        <f t="shared" si="324"/>
        <v>-2.1623028336320043</v>
      </c>
      <c r="Y3070" s="3">
        <f t="shared" si="321"/>
        <v>-44.794969936919188</v>
      </c>
      <c r="AA3070" s="3"/>
    </row>
    <row r="3071" spans="19:27" x14ac:dyDescent="0.25">
      <c r="S3071" s="4">
        <v>-0.67386525643340489</v>
      </c>
      <c r="T3071" s="4">
        <v>-9.0938976670106933E-2</v>
      </c>
      <c r="U3071" s="4">
        <f t="shared" si="322"/>
        <v>-0.48288989652142217</v>
      </c>
      <c r="W3071" s="4">
        <f t="shared" si="323"/>
        <v>-1.1175632258007198</v>
      </c>
      <c r="X3071" s="4">
        <f t="shared" si="324"/>
        <v>-0.78559249940274967</v>
      </c>
      <c r="Y3071" s="3">
        <f t="shared" si="321"/>
        <v>103.77907284710682</v>
      </c>
      <c r="AA3071" s="3"/>
    </row>
    <row r="3072" spans="19:27" x14ac:dyDescent="0.25">
      <c r="S3072" s="4">
        <v>0.70701471943514771</v>
      </c>
      <c r="T3072" s="4">
        <v>-0.35278968190936433</v>
      </c>
      <c r="U3072" s="4">
        <f t="shared" si="322"/>
        <v>0.1513583825624531</v>
      </c>
      <c r="W3072" s="4">
        <f t="shared" si="323"/>
        <v>1.230563437751335</v>
      </c>
      <c r="X3072" s="4">
        <f t="shared" si="324"/>
        <v>0.33264795909300837</v>
      </c>
      <c r="Y3072" s="3">
        <f t="shared" si="321"/>
        <v>-160.04510584718037</v>
      </c>
      <c r="AA3072" s="3"/>
    </row>
    <row r="3073" spans="19:27" x14ac:dyDescent="0.25">
      <c r="S3073" s="4">
        <v>-0.1066160555618756</v>
      </c>
      <c r="T3073" s="4">
        <v>0.20776522797502714</v>
      </c>
      <c r="U3073" s="4">
        <f t="shared" si="322"/>
        <v>9.9698311756699853E-2</v>
      </c>
      <c r="W3073" s="4">
        <f t="shared" si="323"/>
        <v>-0.15298049832127864</v>
      </c>
      <c r="X3073" s="4">
        <f t="shared" si="324"/>
        <v>0.24156630673568394</v>
      </c>
      <c r="Y3073" s="3">
        <f t="shared" si="321"/>
        <v>48.732369927697619</v>
      </c>
      <c r="AA3073" s="3"/>
    </row>
    <row r="3074" spans="19:27" x14ac:dyDescent="0.25">
      <c r="S3074" s="4">
        <v>-0.66607243919176828</v>
      </c>
      <c r="T3074" s="4">
        <v>0.23776691087219734</v>
      </c>
      <c r="U3074" s="4">
        <f t="shared" si="322"/>
        <v>-0.21757668762543789</v>
      </c>
      <c r="W3074" s="4">
        <f t="shared" si="323"/>
        <v>-1.1043118771903777</v>
      </c>
      <c r="X3074" s="4">
        <f t="shared" si="324"/>
        <v>-0.31781990285843686</v>
      </c>
      <c r="Y3074" s="3">
        <f t="shared" ref="Y3074:Y3137" si="325">(B$4*EXP(-B$8*B$7)*NORMSDIST((LN(B$4/(B$5+W3074))-B$8*B$7+B$9*B$7+0.5*B$6*B$6*B$7)/(B$6*SQRT(B$7)))-(B$5+W3074)*EXP(-B$9*B$7)*NORMSDIST((LN(B$4/(B$5+W3074))-B$8*B$7+B$9*B$7-0.5*B$6*B$6*B$7)/(B$6*SQRT(B$7))))*400+100*X3074-400*$B$13</f>
        <v>148.35599922158508</v>
      </c>
      <c r="AA3074" s="3"/>
    </row>
    <row r="3075" spans="19:27" x14ac:dyDescent="0.25">
      <c r="S3075" s="4">
        <v>-0.86829177367988553</v>
      </c>
      <c r="T3075" s="4">
        <v>0.56170436888951414</v>
      </c>
      <c r="U3075" s="4">
        <f t="shared" ref="U3075:U3138" si="326">$B$19*S3075+SQRT(1-$B$19^2)*T3075</f>
        <v>-8.4071468211545264E-2</v>
      </c>
      <c r="W3075" s="4">
        <f t="shared" ref="W3075:W3138" si="327">S3075*SQRT($B$16)+$B$20</f>
        <v>-1.4481771076921341</v>
      </c>
      <c r="X3075" s="4">
        <f t="shared" ref="X3075:X3138" si="328">U3075*SQRT($C$17)+$C$20</f>
        <v>-8.243741512885594E-2</v>
      </c>
      <c r="Y3075" s="3">
        <f t="shared" si="325"/>
        <v>229.29131788940504</v>
      </c>
      <c r="AA3075" s="3"/>
    </row>
    <row r="3076" spans="19:27" x14ac:dyDescent="0.25">
      <c r="S3076" s="4">
        <v>-2.0674372001664349E-2</v>
      </c>
      <c r="T3076" s="4">
        <v>-1.7623882619322302</v>
      </c>
      <c r="U3076" s="4">
        <f t="shared" si="326"/>
        <v>-1.4096346679625265</v>
      </c>
      <c r="W3076" s="4">
        <f t="shared" si="327"/>
        <v>-6.8403831737945155E-3</v>
      </c>
      <c r="X3076" s="4">
        <f t="shared" si="328"/>
        <v>-2.4195322865500475</v>
      </c>
      <c r="Y3076" s="3">
        <f t="shared" si="325"/>
        <v>-240.85693364638246</v>
      </c>
      <c r="AA3076" s="3"/>
    </row>
    <row r="3077" spans="19:27" x14ac:dyDescent="0.25">
      <c r="S3077" s="4">
        <v>-1.5813792359995376</v>
      </c>
      <c r="T3077" s="4">
        <v>-0.35649022779274059</v>
      </c>
      <c r="U3077" s="4">
        <f t="shared" si="326"/>
        <v>-1.2466310241679992</v>
      </c>
      <c r="W3077" s="4">
        <f t="shared" si="327"/>
        <v>-2.6607514899546194</v>
      </c>
      <c r="X3077" s="4">
        <f t="shared" si="328"/>
        <v>-2.1321412515494362</v>
      </c>
      <c r="Y3077" s="3">
        <f t="shared" si="325"/>
        <v>231.73254886096038</v>
      </c>
      <c r="AA3077" s="3"/>
    </row>
    <row r="3078" spans="19:27" x14ac:dyDescent="0.25">
      <c r="S3078" s="4">
        <v>1.2515467143880283</v>
      </c>
      <c r="T3078" s="4">
        <v>-0.69869720163721283</v>
      </c>
      <c r="U3078" s="4">
        <f t="shared" si="326"/>
        <v>0.20911910602415662</v>
      </c>
      <c r="W3078" s="4">
        <f t="shared" si="327"/>
        <v>2.1565165392885004</v>
      </c>
      <c r="X3078" s="4">
        <f t="shared" si="328"/>
        <v>0.43448564634721443</v>
      </c>
      <c r="Y3078" s="3">
        <f t="shared" si="325"/>
        <v>-290.25528208135802</v>
      </c>
      <c r="AA3078" s="3"/>
    </row>
    <row r="3079" spans="19:27" x14ac:dyDescent="0.25">
      <c r="S3079" s="4">
        <v>-0.77313972336401449</v>
      </c>
      <c r="T3079" s="4">
        <v>-0.47913400657237182</v>
      </c>
      <c r="U3079" s="4">
        <f t="shared" si="326"/>
        <v>-0.85112892855525346</v>
      </c>
      <c r="W3079" s="4">
        <f t="shared" si="327"/>
        <v>-1.2863751623074093</v>
      </c>
      <c r="X3079" s="4">
        <f t="shared" si="328"/>
        <v>-1.4348331794284506</v>
      </c>
      <c r="Y3079" s="3">
        <f t="shared" si="325"/>
        <v>66.966486323581194</v>
      </c>
      <c r="AA3079" s="3"/>
    </row>
    <row r="3080" spans="19:27" x14ac:dyDescent="0.25">
      <c r="S3080" s="4">
        <v>0.59436561096421048</v>
      </c>
      <c r="T3080" s="4">
        <v>0.34737828553137667</v>
      </c>
      <c r="U3080" s="4">
        <f t="shared" si="326"/>
        <v>0.63770253233573349</v>
      </c>
      <c r="W3080" s="4">
        <f t="shared" si="327"/>
        <v>1.0390085018782156</v>
      </c>
      <c r="X3080" s="4">
        <f t="shared" si="328"/>
        <v>1.1901192727160479</v>
      </c>
      <c r="Y3080" s="3">
        <f t="shared" si="325"/>
        <v>-44.714574930550498</v>
      </c>
      <c r="AA3080" s="3"/>
    </row>
    <row r="3081" spans="19:27" x14ac:dyDescent="0.25">
      <c r="S3081" s="4">
        <v>-0.36892768652305025</v>
      </c>
      <c r="T3081" s="4">
        <v>0.15544985661384519</v>
      </c>
      <c r="U3081" s="4">
        <f t="shared" si="326"/>
        <v>-0.10168268848171222</v>
      </c>
      <c r="W3081" s="4">
        <f t="shared" si="327"/>
        <v>-0.59903007944605624</v>
      </c>
      <c r="X3081" s="4">
        <f t="shared" si="328"/>
        <v>-0.11348768310597557</v>
      </c>
      <c r="Y3081" s="3">
        <f t="shared" si="325"/>
        <v>85.576762200096255</v>
      </c>
      <c r="AA3081" s="3"/>
    </row>
    <row r="3082" spans="19:27" x14ac:dyDescent="0.25">
      <c r="S3082" s="4">
        <v>1.2175135785134654</v>
      </c>
      <c r="T3082" s="4">
        <v>-0.97837964178343206</v>
      </c>
      <c r="U3082" s="4">
        <f t="shared" si="326"/>
        <v>-3.3330291088807917E-2</v>
      </c>
      <c r="W3082" s="4">
        <f t="shared" si="327"/>
        <v>2.0986446639713958</v>
      </c>
      <c r="X3082" s="4">
        <f t="shared" si="328"/>
        <v>7.0241396621199478E-3</v>
      </c>
      <c r="Y3082" s="3">
        <f t="shared" si="325"/>
        <v>-324.35268581448327</v>
      </c>
      <c r="AA3082" s="3"/>
    </row>
    <row r="3083" spans="19:27" x14ac:dyDescent="0.25">
      <c r="S3083" s="4">
        <v>0.42922824917678343</v>
      </c>
      <c r="T3083" s="4">
        <v>-1.3408578735682397</v>
      </c>
      <c r="U3083" s="4">
        <f t="shared" si="326"/>
        <v>-0.80122021733420246</v>
      </c>
      <c r="W3083" s="4">
        <f t="shared" si="327"/>
        <v>0.75819956182692516</v>
      </c>
      <c r="X3083" s="4">
        <f t="shared" si="328"/>
        <v>-1.3468393417480806</v>
      </c>
      <c r="Y3083" s="3">
        <f t="shared" si="325"/>
        <v>-254.70566174736314</v>
      </c>
      <c r="AA3083" s="3"/>
    </row>
    <row r="3084" spans="19:27" x14ac:dyDescent="0.25">
      <c r="S3084" s="4">
        <v>1.6637801152872798</v>
      </c>
      <c r="T3084" s="4">
        <v>-0.92505003674666109</v>
      </c>
      <c r="U3084" s="4">
        <f t="shared" si="326"/>
        <v>0.28099769904782246</v>
      </c>
      <c r="W3084" s="4">
        <f t="shared" si="327"/>
        <v>2.8575016047352157</v>
      </c>
      <c r="X3084" s="4">
        <f t="shared" si="328"/>
        <v>0.56121448971895127</v>
      </c>
      <c r="Y3084" s="3">
        <f t="shared" si="325"/>
        <v>-381.0228366851602</v>
      </c>
      <c r="AA3084" s="3"/>
    </row>
    <row r="3085" spans="19:27" x14ac:dyDescent="0.25">
      <c r="S3085" s="4">
        <v>-0.20986543566312507</v>
      </c>
      <c r="T3085" s="4">
        <v>1.3115982038941112</v>
      </c>
      <c r="U3085" s="4">
        <f t="shared" si="326"/>
        <v>0.91175477621552647</v>
      </c>
      <c r="W3085" s="4">
        <f t="shared" si="327"/>
        <v>-0.32855160272408679</v>
      </c>
      <c r="X3085" s="4">
        <f t="shared" si="328"/>
        <v>1.673299624881267</v>
      </c>
      <c r="Y3085" s="3">
        <f t="shared" si="325"/>
        <v>220.26006046044859</v>
      </c>
      <c r="AA3085" s="3"/>
    </row>
    <row r="3086" spans="19:27" x14ac:dyDescent="0.25">
      <c r="S3086" s="4">
        <v>-0.25948874770418207</v>
      </c>
      <c r="T3086" s="4">
        <v>-7.5615051662142024E-2</v>
      </c>
      <c r="U3086" s="4">
        <f t="shared" si="326"/>
        <v>-0.2181295782396111</v>
      </c>
      <c r="W3086" s="4">
        <f t="shared" si="327"/>
        <v>-0.4129338981977243</v>
      </c>
      <c r="X3086" s="4">
        <f t="shared" si="328"/>
        <v>-0.31879470196200577</v>
      </c>
      <c r="Y3086" s="3">
        <f t="shared" si="325"/>
        <v>34.735173948512056</v>
      </c>
      <c r="AA3086" s="3"/>
    </row>
    <row r="3087" spans="19:27" x14ac:dyDescent="0.25">
      <c r="S3087" s="4">
        <v>5.1077361001150304E-2</v>
      </c>
      <c r="T3087" s="4">
        <v>-1.452708791164252</v>
      </c>
      <c r="U3087" s="4">
        <f t="shared" si="326"/>
        <v>-1.1204127657026179</v>
      </c>
      <c r="W3087" s="4">
        <f t="shared" si="327"/>
        <v>0.1151703348931427</v>
      </c>
      <c r="X3087" s="4">
        <f t="shared" si="328"/>
        <v>-1.9096063738502271</v>
      </c>
      <c r="Y3087" s="3">
        <f t="shared" si="325"/>
        <v>-209.3824566369949</v>
      </c>
      <c r="AA3087" s="3"/>
    </row>
    <row r="3088" spans="19:27" x14ac:dyDescent="0.25">
      <c r="S3088" s="4">
        <v>-0.92680406939669802</v>
      </c>
      <c r="T3088" s="4">
        <v>-0.78501214340735814</v>
      </c>
      <c r="U3088" s="4">
        <f t="shared" si="326"/>
        <v>-1.187273300270359</v>
      </c>
      <c r="W3088" s="4">
        <f t="shared" si="327"/>
        <v>-1.5476747353783284</v>
      </c>
      <c r="X3088" s="4">
        <f t="shared" si="328"/>
        <v>-2.0274878995806502</v>
      </c>
      <c r="Y3088" s="3">
        <f t="shared" si="325"/>
        <v>51.510663143485999</v>
      </c>
      <c r="AA3088" s="3"/>
    </row>
    <row r="3089" spans="19:27" x14ac:dyDescent="0.25">
      <c r="S3089" s="4">
        <v>1.5504355191774422</v>
      </c>
      <c r="T3089" s="4">
        <v>0.23039905611546349</v>
      </c>
      <c r="U3089" s="4">
        <f t="shared" si="326"/>
        <v>1.1278155785342445</v>
      </c>
      <c r="W3089" s="4">
        <f t="shared" si="327"/>
        <v>2.6647640222182085</v>
      </c>
      <c r="X3089" s="4">
        <f t="shared" si="328"/>
        <v>2.0542355116870294</v>
      </c>
      <c r="Y3089" s="3">
        <f t="shared" si="325"/>
        <v>-203.52162053695884</v>
      </c>
      <c r="AA3089" s="3"/>
    </row>
    <row r="3090" spans="19:27" x14ac:dyDescent="0.25">
      <c r="S3090" s="4">
        <v>-1.3324880106622978</v>
      </c>
      <c r="T3090" s="4">
        <v>-0.41266652115007341</v>
      </c>
      <c r="U3090" s="4">
        <f t="shared" si="326"/>
        <v>-1.1394318793759108</v>
      </c>
      <c r="W3090" s="4">
        <f t="shared" si="327"/>
        <v>-2.2375227280407399</v>
      </c>
      <c r="X3090" s="4">
        <f t="shared" si="328"/>
        <v>-1.9431388927321482</v>
      </c>
      <c r="Y3090" s="3">
        <f t="shared" si="325"/>
        <v>177.34723029501583</v>
      </c>
      <c r="AA3090" s="3"/>
    </row>
    <row r="3091" spans="19:27" x14ac:dyDescent="0.25">
      <c r="S3091" s="4">
        <v>1.3445866533352486</v>
      </c>
      <c r="T3091" s="4">
        <v>0.45907054078913634</v>
      </c>
      <c r="U3091" s="4">
        <f t="shared" si="326"/>
        <v>1.1835915779070891</v>
      </c>
      <c r="W3091" s="4">
        <f t="shared" si="327"/>
        <v>2.3147269306585465</v>
      </c>
      <c r="X3091" s="4">
        <f t="shared" si="328"/>
        <v>2.1525739402939448</v>
      </c>
      <c r="Y3091" s="3">
        <f t="shared" si="325"/>
        <v>-142.0053625650653</v>
      </c>
      <c r="AA3091" s="3"/>
    </row>
    <row r="3092" spans="19:27" x14ac:dyDescent="0.25">
      <c r="S3092" s="4">
        <v>-1.6987946468553627</v>
      </c>
      <c r="T3092" s="4">
        <v>-0.61383636529819974</v>
      </c>
      <c r="U3092" s="4">
        <f t="shared" si="326"/>
        <v>-1.5222063076866668</v>
      </c>
      <c r="W3092" s="4">
        <f t="shared" si="327"/>
        <v>-2.860411316848023</v>
      </c>
      <c r="X3092" s="4">
        <f t="shared" si="328"/>
        <v>-2.6180068684607298</v>
      </c>
      <c r="Y3092" s="3">
        <f t="shared" si="325"/>
        <v>218.0529879641299</v>
      </c>
      <c r="AA3092" s="3"/>
    </row>
    <row r="3093" spans="19:27" x14ac:dyDescent="0.25">
      <c r="S3093" s="4">
        <v>-8.399627905114368E-2</v>
      </c>
      <c r="T3093" s="4">
        <v>-0.56118585019456335</v>
      </c>
      <c r="U3093" s="4">
        <f t="shared" si="326"/>
        <v>-0.49605355041336752</v>
      </c>
      <c r="W3093" s="4">
        <f t="shared" si="327"/>
        <v>-0.11451654687247138</v>
      </c>
      <c r="X3093" s="4">
        <f t="shared" si="328"/>
        <v>-0.8088012819080338</v>
      </c>
      <c r="Y3093" s="3">
        <f t="shared" si="325"/>
        <v>-62.49488190480497</v>
      </c>
      <c r="AA3093" s="3"/>
    </row>
    <row r="3094" spans="19:27" x14ac:dyDescent="0.25">
      <c r="S3094" s="4">
        <v>1.2726951119682497</v>
      </c>
      <c r="T3094" s="4">
        <v>0.22588047113280679</v>
      </c>
      <c r="U3094" s="4">
        <f t="shared" si="326"/>
        <v>0.95491698314367479</v>
      </c>
      <c r="W3094" s="4">
        <f t="shared" si="327"/>
        <v>2.1924784745162764</v>
      </c>
      <c r="X3094" s="4">
        <f t="shared" si="328"/>
        <v>1.7493987293750746</v>
      </c>
      <c r="Y3094" s="3">
        <f t="shared" si="325"/>
        <v>-164.12995406309528</v>
      </c>
      <c r="AA3094" s="3"/>
    </row>
    <row r="3095" spans="19:27" x14ac:dyDescent="0.25">
      <c r="S3095" s="4">
        <v>-0.55083724729620076</v>
      </c>
      <c r="T3095" s="4">
        <v>0.96406559311472995</v>
      </c>
      <c r="U3095" s="4">
        <f t="shared" si="326"/>
        <v>0.4284044252448907</v>
      </c>
      <c r="W3095" s="4">
        <f t="shared" si="327"/>
        <v>-0.90835941832491784</v>
      </c>
      <c r="X3095" s="4">
        <f t="shared" si="328"/>
        <v>0.82110666526582377</v>
      </c>
      <c r="Y3095" s="3">
        <f t="shared" si="325"/>
        <v>229.81928379210967</v>
      </c>
      <c r="AA3095" s="3"/>
    </row>
    <row r="3096" spans="19:27" x14ac:dyDescent="0.25">
      <c r="S3096" s="4">
        <v>-0.58538575473195487</v>
      </c>
      <c r="T3096" s="4">
        <v>1.280275016734759</v>
      </c>
      <c r="U3096" s="4">
        <f t="shared" si="326"/>
        <v>0.65799957068796111</v>
      </c>
      <c r="W3096" s="4">
        <f t="shared" si="327"/>
        <v>-0.9671076606873974</v>
      </c>
      <c r="X3096" s="4">
        <f t="shared" si="328"/>
        <v>1.2259048951948115</v>
      </c>
      <c r="Y3096" s="3">
        <f t="shared" si="325"/>
        <v>280.00054336560152</v>
      </c>
      <c r="AA3096" s="3"/>
    </row>
    <row r="3097" spans="19:27" x14ac:dyDescent="0.25">
      <c r="S3097" s="4">
        <v>-2.8125866732265803</v>
      </c>
      <c r="T3097" s="4">
        <v>-0.15165942539635888</v>
      </c>
      <c r="U3097" s="4">
        <f t="shared" si="326"/>
        <v>-1.8348348061285669</v>
      </c>
      <c r="W3097" s="4">
        <f t="shared" si="327"/>
        <v>-4.7543664762230655</v>
      </c>
      <c r="X3097" s="4">
        <f t="shared" si="328"/>
        <v>-3.169200851898057</v>
      </c>
      <c r="Y3097" s="3">
        <f t="shared" si="325"/>
        <v>504.83283347412089</v>
      </c>
      <c r="AA3097" s="3"/>
    </row>
    <row r="3098" spans="19:27" x14ac:dyDescent="0.25">
      <c r="S3098" s="4">
        <v>-0.50702265319928297</v>
      </c>
      <c r="T3098" s="4">
        <v>3.0385239885875322E-2</v>
      </c>
      <c r="U3098" s="4">
        <f t="shared" si="326"/>
        <v>-0.28500618485418694</v>
      </c>
      <c r="W3098" s="4">
        <f t="shared" si="327"/>
        <v>-0.83385459643627269</v>
      </c>
      <c r="X3098" s="4">
        <f t="shared" si="328"/>
        <v>-0.43670456425023119</v>
      </c>
      <c r="Y3098" s="3">
        <f t="shared" si="325"/>
        <v>91.760787625607463</v>
      </c>
      <c r="AA3098" s="3"/>
    </row>
    <row r="3099" spans="19:27" x14ac:dyDescent="0.25">
      <c r="S3099" s="4">
        <v>0.7687625287374481</v>
      </c>
      <c r="T3099" s="4">
        <v>-1.9807237615297577</v>
      </c>
      <c r="U3099" s="4">
        <f t="shared" si="326"/>
        <v>-1.1014491274539049</v>
      </c>
      <c r="W3099" s="4">
        <f t="shared" si="327"/>
        <v>1.3355629163247438</v>
      </c>
      <c r="X3099" s="4">
        <f t="shared" si="328"/>
        <v>-1.8761716634547665</v>
      </c>
      <c r="Y3099" s="3">
        <f t="shared" si="325"/>
        <v>-397.06411878376684</v>
      </c>
      <c r="AA3099" s="3"/>
    </row>
    <row r="3100" spans="19:27" x14ac:dyDescent="0.25">
      <c r="S3100" s="4">
        <v>1.9738173211096381</v>
      </c>
      <c r="T3100" s="4">
        <v>4.2822181265652626E-2</v>
      </c>
      <c r="U3100" s="4">
        <f t="shared" si="326"/>
        <v>1.2372278797936196</v>
      </c>
      <c r="W3100" s="4">
        <f t="shared" si="327"/>
        <v>3.3847064613533666</v>
      </c>
      <c r="X3100" s="4">
        <f t="shared" si="328"/>
        <v>2.2471398773119291</v>
      </c>
      <c r="Y3100" s="3">
        <f t="shared" si="325"/>
        <v>-288.63402032534896</v>
      </c>
      <c r="AA3100" s="3"/>
    </row>
    <row r="3101" spans="19:27" x14ac:dyDescent="0.25">
      <c r="S3101" s="4">
        <v>0.18006510680845553</v>
      </c>
      <c r="T3101" s="4">
        <v>-0.73483855903846851</v>
      </c>
      <c r="U3101" s="4">
        <f t="shared" si="326"/>
        <v>-0.47272895426230888</v>
      </c>
      <c r="W3101" s="4">
        <f t="shared" si="327"/>
        <v>0.33450841676452436</v>
      </c>
      <c r="X3101" s="4">
        <f t="shared" si="328"/>
        <v>-0.76767778507827111</v>
      </c>
      <c r="Y3101" s="3">
        <f t="shared" si="325"/>
        <v>-130.08411917179592</v>
      </c>
      <c r="AA3101" s="3"/>
    </row>
    <row r="3102" spans="19:27" x14ac:dyDescent="0.25">
      <c r="S3102" s="4">
        <v>-0.51826243306179343</v>
      </c>
      <c r="T3102" s="4">
        <v>1.2436014926847379</v>
      </c>
      <c r="U3102" s="4">
        <f t="shared" si="326"/>
        <v>0.66984863540294448</v>
      </c>
      <c r="W3102" s="4">
        <f t="shared" si="327"/>
        <v>-0.85296735587144068</v>
      </c>
      <c r="X3102" s="4">
        <f t="shared" si="328"/>
        <v>1.2467959310818426</v>
      </c>
      <c r="Y3102" s="3">
        <f t="shared" si="325"/>
        <v>263.257582854877</v>
      </c>
      <c r="AA3102" s="3"/>
    </row>
    <row r="3103" spans="19:27" x14ac:dyDescent="0.25">
      <c r="S3103" s="4">
        <v>-1.3611867225663521</v>
      </c>
      <c r="T3103" s="4">
        <v>0.70778997028999935</v>
      </c>
      <c r="U3103" s="4">
        <f t="shared" si="326"/>
        <v>-0.26875033614030064</v>
      </c>
      <c r="W3103" s="4">
        <f t="shared" si="327"/>
        <v>-2.2863236461575536</v>
      </c>
      <c r="X3103" s="4">
        <f t="shared" si="328"/>
        <v>-0.40804394613186501</v>
      </c>
      <c r="Y3103" s="3">
        <f t="shared" si="325"/>
        <v>339.25802553914127</v>
      </c>
      <c r="AA3103" s="3"/>
    </row>
    <row r="3104" spans="19:27" x14ac:dyDescent="0.25">
      <c r="S3104" s="4">
        <v>-0.37908878619198794</v>
      </c>
      <c r="T3104" s="4">
        <v>2.4613272033896734</v>
      </c>
      <c r="U3104" s="4">
        <f t="shared" si="326"/>
        <v>1.7199734478902811</v>
      </c>
      <c r="W3104" s="4">
        <f t="shared" si="327"/>
        <v>-0.61630858987462211</v>
      </c>
      <c r="X3104" s="4">
        <f t="shared" si="328"/>
        <v>3.0982665468000108</v>
      </c>
      <c r="Y3104" s="3">
        <f t="shared" si="325"/>
        <v>409.57563086368282</v>
      </c>
      <c r="AA3104" s="3"/>
    </row>
    <row r="3105" spans="19:27" x14ac:dyDescent="0.25">
      <c r="S3105" s="4">
        <v>2.4558372242792745</v>
      </c>
      <c r="T3105" s="4">
        <v>-0.64934671279637135</v>
      </c>
      <c r="U3105" s="4">
        <f t="shared" si="326"/>
        <v>0.98240120944183595</v>
      </c>
      <c r="W3105" s="4">
        <f t="shared" si="327"/>
        <v>4.2043604550203328</v>
      </c>
      <c r="X3105" s="4">
        <f t="shared" si="328"/>
        <v>1.797856052525324</v>
      </c>
      <c r="Y3105" s="3">
        <f t="shared" si="325"/>
        <v>-449.35743772663909</v>
      </c>
      <c r="AA3105" s="3"/>
    </row>
    <row r="3106" spans="19:27" x14ac:dyDescent="0.25">
      <c r="S3106" s="4">
        <v>-1.0657512568772129</v>
      </c>
      <c r="T3106" s="4">
        <v>1.1585110172176134</v>
      </c>
      <c r="U3106" s="4">
        <f t="shared" si="326"/>
        <v>0.26863669212422236</v>
      </c>
      <c r="W3106" s="4">
        <f t="shared" si="327"/>
        <v>-1.7839484169800528</v>
      </c>
      <c r="X3106" s="4">
        <f t="shared" si="328"/>
        <v>0.53942085068900936</v>
      </c>
      <c r="Y3106" s="3">
        <f t="shared" si="325"/>
        <v>348.12663990124292</v>
      </c>
      <c r="AA3106" s="3"/>
    </row>
    <row r="3107" spans="19:27" x14ac:dyDescent="0.25">
      <c r="S3107" s="4">
        <v>0.81512454624140329</v>
      </c>
      <c r="T3107" s="4">
        <v>-2.0963977164137573</v>
      </c>
      <c r="U3107" s="4">
        <f t="shared" si="326"/>
        <v>-1.1648796279967071</v>
      </c>
      <c r="W3107" s="4">
        <f t="shared" si="327"/>
        <v>1.4143995215182041</v>
      </c>
      <c r="X3107" s="4">
        <f t="shared" si="328"/>
        <v>-1.9880057107020883</v>
      </c>
      <c r="Y3107" s="3">
        <f t="shared" si="325"/>
        <v>-420.32704836260336</v>
      </c>
      <c r="AA3107" s="3"/>
    </row>
    <row r="3108" spans="19:27" x14ac:dyDescent="0.25">
      <c r="S3108" s="4">
        <v>0.90722133161590057</v>
      </c>
      <c r="T3108" s="4">
        <v>0.24079494398979426</v>
      </c>
      <c r="U3108" s="4">
        <f t="shared" si="326"/>
        <v>0.7439385958439747</v>
      </c>
      <c r="W3108" s="4">
        <f t="shared" si="327"/>
        <v>1.5710061210376642</v>
      </c>
      <c r="X3108" s="4">
        <f t="shared" si="328"/>
        <v>1.3774236269948397</v>
      </c>
      <c r="Y3108" s="3">
        <f t="shared" si="325"/>
        <v>-107.68672340596731</v>
      </c>
      <c r="AA3108" s="3"/>
    </row>
    <row r="3109" spans="19:27" x14ac:dyDescent="0.25">
      <c r="S3109" s="4">
        <v>0.27711116444755579</v>
      </c>
      <c r="T3109" s="4">
        <v>-0.14934449095915411</v>
      </c>
      <c r="U3109" s="4">
        <f t="shared" si="326"/>
        <v>5.054896265491142E-2</v>
      </c>
      <c r="W3109" s="4">
        <f t="shared" si="327"/>
        <v>0.49953103966963974</v>
      </c>
      <c r="X3109" s="4">
        <f t="shared" si="328"/>
        <v>0.15491129719629856</v>
      </c>
      <c r="Y3109" s="3">
        <f t="shared" si="325"/>
        <v>-63.915549488674515</v>
      </c>
      <c r="AA3109" s="3"/>
    </row>
    <row r="3110" spans="19:27" x14ac:dyDescent="0.25">
      <c r="S3110" s="4">
        <v>0.2965213299458101</v>
      </c>
      <c r="T3110" s="4">
        <v>0.54256547018168821</v>
      </c>
      <c r="U3110" s="4">
        <f t="shared" si="326"/>
        <v>0.61085333664066166</v>
      </c>
      <c r="W3110" s="4">
        <f t="shared" si="327"/>
        <v>0.53253718643611847</v>
      </c>
      <c r="X3110" s="4">
        <f t="shared" si="328"/>
        <v>1.1427815693364398</v>
      </c>
      <c r="Y3110" s="3">
        <f t="shared" si="325"/>
        <v>29.669924746413926</v>
      </c>
      <c r="AA3110" s="3"/>
    </row>
    <row r="3111" spans="19:27" x14ac:dyDescent="0.25">
      <c r="S3111" s="4">
        <v>-0.34289135160052764</v>
      </c>
      <c r="T3111" s="4">
        <v>-0.53117720562578685</v>
      </c>
      <c r="U3111" s="4">
        <f t="shared" si="326"/>
        <v>-0.63009415001945612</v>
      </c>
      <c r="W3111" s="4">
        <f t="shared" si="327"/>
        <v>-0.55475641821471511</v>
      </c>
      <c r="X3111" s="4">
        <f t="shared" si="328"/>
        <v>-1.0451276961902505</v>
      </c>
      <c r="Y3111" s="3">
        <f t="shared" si="325"/>
        <v>-14.814794080225056</v>
      </c>
      <c r="AA3111" s="3"/>
    </row>
    <row r="3112" spans="19:27" x14ac:dyDescent="0.25">
      <c r="S3112" s="4">
        <v>0.97300403548552084</v>
      </c>
      <c r="T3112" s="4">
        <v>-1.0587469291670755</v>
      </c>
      <c r="U3112" s="4">
        <f t="shared" si="326"/>
        <v>-0.2460952712725234</v>
      </c>
      <c r="W3112" s="4">
        <f t="shared" si="327"/>
        <v>1.6828667632775138</v>
      </c>
      <c r="X3112" s="4">
        <f t="shared" si="328"/>
        <v>-0.36810089707608018</v>
      </c>
      <c r="Y3112" s="3">
        <f t="shared" si="325"/>
        <v>-299.23668342037399</v>
      </c>
      <c r="AA3112" s="3"/>
    </row>
    <row r="3113" spans="19:27" x14ac:dyDescent="0.25">
      <c r="S3113" s="4">
        <v>0.44850317476709772</v>
      </c>
      <c r="T3113" s="4">
        <v>0.86298152599317024</v>
      </c>
      <c r="U3113" s="4">
        <f t="shared" si="326"/>
        <v>0.95749611042224125</v>
      </c>
      <c r="W3113" s="4">
        <f t="shared" si="327"/>
        <v>0.79097573898028783</v>
      </c>
      <c r="X3113" s="4">
        <f t="shared" si="328"/>
        <v>1.7539459777722934</v>
      </c>
      <c r="Y3113" s="3">
        <f t="shared" si="325"/>
        <v>50.250908646749849</v>
      </c>
      <c r="AA3113" s="3"/>
    </row>
    <row r="3114" spans="19:27" x14ac:dyDescent="0.25">
      <c r="S3114" s="4">
        <v>-4.2389712952740022E-2</v>
      </c>
      <c r="T3114" s="4">
        <v>0.23798053189743676</v>
      </c>
      <c r="U3114" s="4">
        <f t="shared" si="326"/>
        <v>0.16280355348908943</v>
      </c>
      <c r="W3114" s="4">
        <f t="shared" si="327"/>
        <v>-4.3766381078335387E-2</v>
      </c>
      <c r="X3114" s="4">
        <f t="shared" si="328"/>
        <v>0.35282689154994873</v>
      </c>
      <c r="Y3114" s="3">
        <f t="shared" si="325"/>
        <v>42.301221971903942</v>
      </c>
      <c r="AA3114" s="3"/>
    </row>
    <row r="3115" spans="19:27" x14ac:dyDescent="0.25">
      <c r="S3115" s="4">
        <v>-9.9197187468139103E-2</v>
      </c>
      <c r="T3115" s="4">
        <v>0.25484972416345142</v>
      </c>
      <c r="U3115" s="4">
        <f t="shared" si="326"/>
        <v>0.14154452361969994</v>
      </c>
      <c r="W3115" s="4">
        <f t="shared" si="327"/>
        <v>-0.14036503406029455</v>
      </c>
      <c r="X3115" s="4">
        <f t="shared" si="328"/>
        <v>0.3153451858957228</v>
      </c>
      <c r="Y3115" s="3">
        <f t="shared" si="325"/>
        <v>54.079045782117191</v>
      </c>
      <c r="AA3115" s="3"/>
    </row>
    <row r="3116" spans="19:27" x14ac:dyDescent="0.25">
      <c r="S3116" s="4">
        <v>-0.60424883985137201</v>
      </c>
      <c r="T3116" s="4">
        <v>2.1507239707625421E-2</v>
      </c>
      <c r="U3116" s="4">
        <f t="shared" si="326"/>
        <v>-0.35131495741914837</v>
      </c>
      <c r="W3116" s="4">
        <f t="shared" si="327"/>
        <v>-0.99918352093578422</v>
      </c>
      <c r="X3116" s="4">
        <f t="shared" si="328"/>
        <v>-0.55361328072706006</v>
      </c>
      <c r="Y3116" s="3">
        <f t="shared" si="325"/>
        <v>107.35324499413036</v>
      </c>
      <c r="AA3116" s="3"/>
    </row>
    <row r="3117" spans="19:27" x14ac:dyDescent="0.25">
      <c r="S3117" s="4">
        <v>1.0527878552803821E-2</v>
      </c>
      <c r="T3117" s="4">
        <v>0.46792089580065488</v>
      </c>
      <c r="U3117" s="4">
        <f t="shared" si="326"/>
        <v>0.37733518925858273</v>
      </c>
      <c r="W3117" s="4">
        <f t="shared" si="327"/>
        <v>4.6217694117604305E-2</v>
      </c>
      <c r="X3117" s="4">
        <f t="shared" si="328"/>
        <v>0.73106671127991008</v>
      </c>
      <c r="Y3117" s="3">
        <f t="shared" si="325"/>
        <v>65.705789009888576</v>
      </c>
      <c r="AA3117" s="3"/>
    </row>
    <row r="3118" spans="19:27" x14ac:dyDescent="0.25">
      <c r="S3118" s="4">
        <v>1.9768477292822473</v>
      </c>
      <c r="T3118" s="4">
        <v>-0.39603462516902227</v>
      </c>
      <c r="U3118" s="4">
        <f t="shared" si="326"/>
        <v>0.89119699631151539</v>
      </c>
      <c r="W3118" s="4">
        <f t="shared" si="327"/>
        <v>3.3898595393586248</v>
      </c>
      <c r="X3118" s="4">
        <f t="shared" si="328"/>
        <v>1.63705429007528</v>
      </c>
      <c r="Y3118" s="3">
        <f t="shared" si="325"/>
        <v>-350.38072429257363</v>
      </c>
      <c r="AA3118" s="3"/>
    </row>
    <row r="3119" spans="19:27" x14ac:dyDescent="0.25">
      <c r="S3119" s="4">
        <v>0.94361315691098202</v>
      </c>
      <c r="T3119" s="4">
        <v>0.52990755067578432</v>
      </c>
      <c r="U3119" s="4">
        <f t="shared" si="326"/>
        <v>0.99530112040776841</v>
      </c>
      <c r="W3119" s="4">
        <f t="shared" si="327"/>
        <v>1.632888845679942</v>
      </c>
      <c r="X3119" s="4">
        <f t="shared" si="328"/>
        <v>1.8205998309931739</v>
      </c>
      <c r="Y3119" s="3">
        <f t="shared" si="325"/>
        <v>-72.780115088890852</v>
      </c>
      <c r="AA3119" s="3"/>
    </row>
    <row r="3120" spans="19:27" x14ac:dyDescent="0.25">
      <c r="S3120" s="4">
        <v>-0.58998423569968739</v>
      </c>
      <c r="T3120" s="4">
        <v>-1.9481993828936806</v>
      </c>
      <c r="U3120" s="4">
        <f t="shared" si="326"/>
        <v>-1.903989655847333</v>
      </c>
      <c r="W3120" s="4">
        <f t="shared" si="327"/>
        <v>-0.97492717864758638</v>
      </c>
      <c r="X3120" s="4">
        <f t="shared" si="328"/>
        <v>-3.2911274749681558</v>
      </c>
      <c r="Y3120" s="3">
        <f t="shared" si="325"/>
        <v>-170.41004529813154</v>
      </c>
      <c r="AA3120" s="3"/>
    </row>
    <row r="3121" spans="19:27" x14ac:dyDescent="0.25">
      <c r="S3121" s="4">
        <v>0.57627033253586601</v>
      </c>
      <c r="T3121" s="4">
        <v>-5.0118045350524665E-2</v>
      </c>
      <c r="U3121" s="4">
        <f t="shared" si="326"/>
        <v>0.31157907781870564</v>
      </c>
      <c r="W3121" s="4">
        <f t="shared" si="327"/>
        <v>1.0082382636934897</v>
      </c>
      <c r="X3121" s="4">
        <f t="shared" si="328"/>
        <v>0.61513238929540792</v>
      </c>
      <c r="Y3121" s="3">
        <f t="shared" si="325"/>
        <v>-97.443800138825281</v>
      </c>
      <c r="AA3121" s="3"/>
    </row>
    <row r="3122" spans="19:27" x14ac:dyDescent="0.25">
      <c r="S3122" s="4">
        <v>0.57574345985461184</v>
      </c>
      <c r="T3122" s="4">
        <v>1.9847028913455241E-2</v>
      </c>
      <c r="U3122" s="4">
        <f t="shared" si="326"/>
        <v>0.36671864045029023</v>
      </c>
      <c r="W3122" s="4">
        <f t="shared" si="327"/>
        <v>1.007342339490974</v>
      </c>
      <c r="X3122" s="4">
        <f t="shared" si="328"/>
        <v>0.71234871897542074</v>
      </c>
      <c r="Y3122" s="3">
        <f t="shared" si="325"/>
        <v>-87.583224600720314</v>
      </c>
      <c r="AA3122" s="3"/>
    </row>
    <row r="3123" spans="19:27" x14ac:dyDescent="0.25">
      <c r="S3123" s="4">
        <v>0.94921639977500649</v>
      </c>
      <c r="T3123" s="4">
        <v>-0.41326866450802174</v>
      </c>
      <c r="U3123" s="4">
        <f t="shared" si="326"/>
        <v>0.25106872404641617</v>
      </c>
      <c r="W3123" s="4">
        <f t="shared" si="327"/>
        <v>1.6424169177798347</v>
      </c>
      <c r="X3123" s="4">
        <f t="shared" si="328"/>
        <v>0.50844684046931921</v>
      </c>
      <c r="Y3123" s="3">
        <f t="shared" si="325"/>
        <v>-205.44271497696673</v>
      </c>
      <c r="AA3123" s="3"/>
    </row>
    <row r="3124" spans="19:27" x14ac:dyDescent="0.25">
      <c r="S3124" s="4">
        <v>-0.73503825725209859</v>
      </c>
      <c r="T3124" s="4">
        <v>0.13075870196533598</v>
      </c>
      <c r="U3124" s="4">
        <f t="shared" si="326"/>
        <v>-0.34444434223172893</v>
      </c>
      <c r="W3124" s="4">
        <f t="shared" si="327"/>
        <v>-1.2215852674133645</v>
      </c>
      <c r="X3124" s="4">
        <f t="shared" si="328"/>
        <v>-0.54149972814726377</v>
      </c>
      <c r="Y3124" s="3">
        <f t="shared" si="325"/>
        <v>145.49290728962842</v>
      </c>
      <c r="AA3124" s="3"/>
    </row>
    <row r="3125" spans="19:27" x14ac:dyDescent="0.25">
      <c r="S3125" s="4">
        <v>0.70735912117968813</v>
      </c>
      <c r="T3125" s="4">
        <v>-0.37845072963590415</v>
      </c>
      <c r="U3125" s="4">
        <f t="shared" si="326"/>
        <v>0.13122702981970624</v>
      </c>
      <c r="W3125" s="4">
        <f t="shared" si="327"/>
        <v>1.2311490780194696</v>
      </c>
      <c r="X3125" s="4">
        <f t="shared" si="328"/>
        <v>0.29715445621160441</v>
      </c>
      <c r="Y3125" s="3">
        <f t="shared" si="325"/>
        <v>-163.68461613803402</v>
      </c>
      <c r="AA3125" s="3"/>
    </row>
    <row r="3126" spans="19:27" x14ac:dyDescent="0.25">
      <c r="S3126" s="4">
        <v>-9.8614607394521117E-2</v>
      </c>
      <c r="T3126" s="4">
        <v>1.3255076882862498</v>
      </c>
      <c r="U3126" s="4">
        <f t="shared" si="326"/>
        <v>0.99060170060543107</v>
      </c>
      <c r="W3126" s="4">
        <f t="shared" si="327"/>
        <v>-0.13937438184690715</v>
      </c>
      <c r="X3126" s="4">
        <f t="shared" si="328"/>
        <v>1.8123143038144163</v>
      </c>
      <c r="Y3126" s="3">
        <f t="shared" si="325"/>
        <v>203.61648789234732</v>
      </c>
      <c r="AA3126" s="3"/>
    </row>
    <row r="3127" spans="19:27" x14ac:dyDescent="0.25">
      <c r="S3127" s="4">
        <v>2.8383510482909742</v>
      </c>
      <c r="T3127" s="4">
        <v>1.163448261563516</v>
      </c>
      <c r="U3127" s="4">
        <f t="shared" si="326"/>
        <v>2.6525782793008088</v>
      </c>
      <c r="W3127" s="4">
        <f t="shared" si="327"/>
        <v>4.8548086656073401</v>
      </c>
      <c r="X3127" s="4">
        <f t="shared" si="328"/>
        <v>4.7425381808960871</v>
      </c>
      <c r="Y3127" s="3">
        <f t="shared" si="325"/>
        <v>-244.48930478809734</v>
      </c>
      <c r="AA3127" s="3"/>
    </row>
    <row r="3128" spans="19:27" x14ac:dyDescent="0.25">
      <c r="S3128" s="4">
        <v>-1.0039435605470799</v>
      </c>
      <c r="T3128" s="4">
        <v>0.84334396811743062</v>
      </c>
      <c r="U3128" s="4">
        <f t="shared" si="326"/>
        <v>5.6485638396814641E-2</v>
      </c>
      <c r="W3128" s="4">
        <f t="shared" si="327"/>
        <v>-1.6788471031064645</v>
      </c>
      <c r="X3128" s="4">
        <f t="shared" si="328"/>
        <v>0.16537822508951339</v>
      </c>
      <c r="Y3128" s="3">
        <f t="shared" si="325"/>
        <v>292.92596951446285</v>
      </c>
      <c r="AA3128" s="3"/>
    </row>
    <row r="3129" spans="19:27" x14ac:dyDescent="0.25">
      <c r="S3129" s="4">
        <v>-0.309528636184288</v>
      </c>
      <c r="T3129" s="4">
        <v>1.7749226836567256</v>
      </c>
      <c r="U3129" s="4">
        <f t="shared" si="326"/>
        <v>1.2182714827943575</v>
      </c>
      <c r="W3129" s="4">
        <f t="shared" si="327"/>
        <v>-0.4980245638853068</v>
      </c>
      <c r="X3129" s="4">
        <f t="shared" si="328"/>
        <v>2.2137179339327511</v>
      </c>
      <c r="Y3129" s="3">
        <f t="shared" si="325"/>
        <v>301.8233941138169</v>
      </c>
      <c r="AA3129" s="3"/>
    </row>
    <row r="3130" spans="19:27" x14ac:dyDescent="0.25">
      <c r="S3130" s="4">
        <v>0.393344115388502</v>
      </c>
      <c r="T3130" s="4">
        <v>-0.53644473634707379</v>
      </c>
      <c r="U3130" s="4">
        <f t="shared" si="326"/>
        <v>-0.18544411212756823</v>
      </c>
      <c r="W3130" s="4">
        <f t="shared" si="327"/>
        <v>0.6971801446297613</v>
      </c>
      <c r="X3130" s="4">
        <f t="shared" si="328"/>
        <v>-0.26116709489293732</v>
      </c>
      <c r="Y3130" s="3">
        <f t="shared" si="325"/>
        <v>-136.58826717501825</v>
      </c>
      <c r="AA3130" s="3"/>
    </row>
    <row r="3131" spans="19:27" x14ac:dyDescent="0.25">
      <c r="S3131" s="4">
        <v>0.61503971617037834</v>
      </c>
      <c r="T3131" s="4">
        <v>1.6747797081851625</v>
      </c>
      <c r="U3131" s="4">
        <f t="shared" si="326"/>
        <v>1.7025264418139263</v>
      </c>
      <c r="W3131" s="4">
        <f t="shared" si="327"/>
        <v>1.0741639234413016</v>
      </c>
      <c r="X3131" s="4">
        <f t="shared" si="328"/>
        <v>3.0675058041735084</v>
      </c>
      <c r="Y3131" s="3">
        <f t="shared" si="325"/>
        <v>137.58078848378136</v>
      </c>
      <c r="AA3131" s="3"/>
    </row>
    <row r="3132" spans="19:27" x14ac:dyDescent="0.25">
      <c r="S3132" s="4">
        <v>0.61480182433864483</v>
      </c>
      <c r="T3132" s="4">
        <v>2.1143259674530217</v>
      </c>
      <c r="U3132" s="4">
        <f t="shared" si="326"/>
        <v>2.0508062293219433</v>
      </c>
      <c r="W3132" s="4">
        <f t="shared" si="327"/>
        <v>1.0737593986723888</v>
      </c>
      <c r="X3132" s="4">
        <f t="shared" si="328"/>
        <v>3.6815564245872006</v>
      </c>
      <c r="Y3132" s="3">
        <f t="shared" si="325"/>
        <v>199.04844942011277</v>
      </c>
      <c r="AA3132" s="3"/>
    </row>
    <row r="3133" spans="19:27" x14ac:dyDescent="0.25">
      <c r="S3133" s="4">
        <v>-5.6821779706595701E-2</v>
      </c>
      <c r="T3133" s="4">
        <v>-1.9772796954705152</v>
      </c>
      <c r="U3133" s="4">
        <f t="shared" si="326"/>
        <v>-1.6020136585194249</v>
      </c>
      <c r="W3133" s="4">
        <f t="shared" si="327"/>
        <v>-6.8307486277269444E-2</v>
      </c>
      <c r="X3133" s="4">
        <f t="shared" si="328"/>
        <v>-2.7587148711934475</v>
      </c>
      <c r="Y3133" s="3">
        <f t="shared" si="325"/>
        <v>-264.91311864036652</v>
      </c>
      <c r="AA3133" s="3"/>
    </row>
    <row r="3134" spans="19:27" x14ac:dyDescent="0.25">
      <c r="S3134" s="4">
        <v>0.52085177253302672</v>
      </c>
      <c r="T3134" s="4">
        <v>-1.4125716080162829</v>
      </c>
      <c r="U3134" s="4">
        <f t="shared" si="326"/>
        <v>-0.80221137815096166</v>
      </c>
      <c r="W3134" s="4">
        <f t="shared" si="327"/>
        <v>0.91400139975716044</v>
      </c>
      <c r="X3134" s="4">
        <f t="shared" si="328"/>
        <v>-1.3485868531923004</v>
      </c>
      <c r="Y3134" s="3">
        <f t="shared" si="325"/>
        <v>-279.1788229855656</v>
      </c>
      <c r="AA3134" s="3"/>
    </row>
    <row r="3135" spans="19:27" x14ac:dyDescent="0.25">
      <c r="S3135" s="4">
        <v>0.67852072104719219</v>
      </c>
      <c r="T3135" s="4">
        <v>0.75294346623693109</v>
      </c>
      <c r="U3135" s="4">
        <f t="shared" si="326"/>
        <v>1.0104936470039276</v>
      </c>
      <c r="W3135" s="4">
        <f t="shared" si="327"/>
        <v>1.1821106261129566</v>
      </c>
      <c r="X3135" s="4">
        <f t="shared" si="328"/>
        <v>1.8473857103827678</v>
      </c>
      <c r="Y3135" s="3">
        <f t="shared" si="325"/>
        <v>-1.1059460974320245</v>
      </c>
      <c r="AA3135" s="3"/>
    </row>
    <row r="3136" spans="19:27" x14ac:dyDescent="0.25">
      <c r="S3136" s="4">
        <v>-0.9192864648323148</v>
      </c>
      <c r="T3136" s="4">
        <v>-1.8213048024013323</v>
      </c>
      <c r="U3136" s="4">
        <f t="shared" si="326"/>
        <v>-2.0041513208665864</v>
      </c>
      <c r="W3136" s="4">
        <f t="shared" si="327"/>
        <v>-1.5348913740202452</v>
      </c>
      <c r="X3136" s="4">
        <f t="shared" si="328"/>
        <v>-3.4677220829608033</v>
      </c>
      <c r="Y3136" s="3">
        <f t="shared" si="325"/>
        <v>-94.664423593867923</v>
      </c>
      <c r="AA3136" s="3"/>
    </row>
    <row r="3137" spans="19:27" x14ac:dyDescent="0.25">
      <c r="S3137" s="4">
        <v>-0.54346256736996823</v>
      </c>
      <c r="T3137" s="4">
        <v>1.0569747579329312</v>
      </c>
      <c r="U3137" s="4">
        <f t="shared" si="326"/>
        <v>0.50654854810844296</v>
      </c>
      <c r="W3137" s="4">
        <f t="shared" si="327"/>
        <v>-0.89581909413124072</v>
      </c>
      <c r="X3137" s="4">
        <f t="shared" si="328"/>
        <v>0.95888223780014292</v>
      </c>
      <c r="Y3137" s="3">
        <f t="shared" si="325"/>
        <v>241.52833029124304</v>
      </c>
      <c r="AA3137" s="3"/>
    </row>
    <row r="3138" spans="19:27" x14ac:dyDescent="0.25">
      <c r="S3138" s="4">
        <v>1.4825814414281144</v>
      </c>
      <c r="T3138" s="4">
        <v>0.34014386232694804</v>
      </c>
      <c r="U3138" s="4">
        <f t="shared" si="326"/>
        <v>1.1734440507919648</v>
      </c>
      <c r="W3138" s="4">
        <f t="shared" si="327"/>
        <v>2.5493810983013674</v>
      </c>
      <c r="X3138" s="4">
        <f t="shared" si="328"/>
        <v>2.134682878153098</v>
      </c>
      <c r="Y3138" s="3">
        <f t="shared" ref="Y3138:Y3201" si="329">(B$4*EXP(-B$8*B$7)*NORMSDIST((LN(B$4/(B$5+W3138))-B$8*B$7+B$9*B$7+0.5*B$6*B$6*B$7)/(B$6*SQRT(B$7)))-(B$5+W3138)*EXP(-B$9*B$7)*NORMSDIST((LN(B$4/(B$5+W3138))-B$8*B$7+B$9*B$7-0.5*B$6*B$6*B$7)/(B$6*SQRT(B$7))))*400+100*X3138-400*$B$13</f>
        <v>-178.50775608147433</v>
      </c>
      <c r="AA3138" s="3"/>
    </row>
    <row r="3139" spans="19:27" x14ac:dyDescent="0.25">
      <c r="S3139" s="4">
        <v>-0.14768312294509922</v>
      </c>
      <c r="T3139" s="4">
        <v>0.1310787043252038</v>
      </c>
      <c r="U3139" s="4">
        <f t="shared" ref="U3139:U3202" si="330">$B$19*S3139+SQRT(1-$B$19^2)*T3139</f>
        <v>1.3874115940059384E-2</v>
      </c>
      <c r="W3139" s="4">
        <f t="shared" ref="W3139:W3202" si="331">S3139*SQRT($B$16)+$B$20</f>
        <v>-0.22281326988839678</v>
      </c>
      <c r="X3139" s="4">
        <f t="shared" ref="X3139:X3202" si="332">U3139*SQRT($C$17)+$C$20</f>
        <v>9.0250030058269315E-2</v>
      </c>
      <c r="Y3139" s="3">
        <f t="shared" si="329"/>
        <v>44.859422694387831</v>
      </c>
      <c r="AA3139" s="3"/>
    </row>
    <row r="3140" spans="19:27" x14ac:dyDescent="0.25">
      <c r="S3140" s="4">
        <v>-1.7434101060498377</v>
      </c>
      <c r="T3140" s="4">
        <v>1.4041311500550755</v>
      </c>
      <c r="U3140" s="4">
        <f t="shared" si="330"/>
        <v>5.0221856835003242E-2</v>
      </c>
      <c r="W3140" s="4">
        <f t="shared" si="331"/>
        <v>-2.9362779751904839</v>
      </c>
      <c r="X3140" s="4">
        <f t="shared" si="332"/>
        <v>0.15433457830861141</v>
      </c>
      <c r="Y3140" s="3">
        <f t="shared" si="329"/>
        <v>508.60743869732778</v>
      </c>
      <c r="AA3140" s="3"/>
    </row>
    <row r="3141" spans="19:27" x14ac:dyDescent="0.25">
      <c r="S3141" s="4">
        <v>-0.26923599940068121</v>
      </c>
      <c r="T3141" s="4">
        <v>-1.3897990817805574</v>
      </c>
      <c r="U3141" s="4">
        <f t="shared" si="330"/>
        <v>-1.2658149124459763</v>
      </c>
      <c r="W3141" s="4">
        <f t="shared" si="331"/>
        <v>-0.42950867805178555</v>
      </c>
      <c r="X3141" s="4">
        <f t="shared" si="332"/>
        <v>-2.165964283840013</v>
      </c>
      <c r="Y3141" s="3">
        <f t="shared" si="329"/>
        <v>-147.28944574576553</v>
      </c>
      <c r="AA3141" s="3"/>
    </row>
    <row r="3142" spans="19:27" x14ac:dyDescent="0.25">
      <c r="S3142" s="4">
        <v>-0.94110349175179109</v>
      </c>
      <c r="T3142" s="4">
        <v>1.7251754311125365</v>
      </c>
      <c r="U3142" s="4">
        <f t="shared" si="330"/>
        <v>0.79381510917898757</v>
      </c>
      <c r="W3142" s="4">
        <f t="shared" si="331"/>
        <v>-1.5719902845152236</v>
      </c>
      <c r="X3142" s="4">
        <f t="shared" si="332"/>
        <v>1.4653606967185067</v>
      </c>
      <c r="Y3142" s="3">
        <f t="shared" si="329"/>
        <v>404.8906538352785</v>
      </c>
      <c r="AA3142" s="3"/>
    </row>
    <row r="3143" spans="19:27" x14ac:dyDescent="0.25">
      <c r="S3143" s="4">
        <v>0.81774189221884441</v>
      </c>
      <c r="T3143" s="4">
        <v>-1.6855702230064817</v>
      </c>
      <c r="U3143" s="4">
        <f t="shared" si="330"/>
        <v>-0.83762436030605403</v>
      </c>
      <c r="W3143" s="4">
        <f t="shared" si="331"/>
        <v>1.4188502051292142</v>
      </c>
      <c r="X3143" s="4">
        <f t="shared" si="332"/>
        <v>-1.4110233322616834</v>
      </c>
      <c r="Y3143" s="3">
        <f t="shared" si="329"/>
        <v>-363.30981850971057</v>
      </c>
      <c r="AA3143" s="3"/>
    </row>
    <row r="3144" spans="19:27" x14ac:dyDescent="0.25">
      <c r="S3144" s="4">
        <v>0.86916495900277602</v>
      </c>
      <c r="T3144" s="4">
        <v>0.94102613257805534</v>
      </c>
      <c r="U3144" s="4">
        <f t="shared" si="330"/>
        <v>1.2758062565974173</v>
      </c>
      <c r="W3144" s="4">
        <f t="shared" si="331"/>
        <v>1.5062929056876166</v>
      </c>
      <c r="X3144" s="4">
        <f t="shared" si="332"/>
        <v>2.3151572502993867</v>
      </c>
      <c r="Y3144" s="3">
        <f t="shared" si="329"/>
        <v>-4.051274856670716</v>
      </c>
      <c r="AA3144" s="3"/>
    </row>
    <row r="3145" spans="19:27" x14ac:dyDescent="0.25">
      <c r="S3145" s="4">
        <v>0.77335304853158782</v>
      </c>
      <c r="T3145" s="4">
        <v>1.7031588233630492</v>
      </c>
      <c r="U3145" s="4">
        <f t="shared" si="330"/>
        <v>1.8215336795912331</v>
      </c>
      <c r="W3145" s="4">
        <f t="shared" si="331"/>
        <v>1.3433688966536301</v>
      </c>
      <c r="X3145" s="4">
        <f t="shared" si="332"/>
        <v>3.2773269617943561</v>
      </c>
      <c r="Y3145" s="3">
        <f t="shared" si="329"/>
        <v>117.08829302995946</v>
      </c>
      <c r="AA3145" s="3"/>
    </row>
    <row r="3146" spans="19:27" x14ac:dyDescent="0.25">
      <c r="S3146" s="4">
        <v>-0.40452457574316658</v>
      </c>
      <c r="T3146" s="4">
        <v>-0.46934873138004024</v>
      </c>
      <c r="U3146" s="4">
        <f t="shared" si="330"/>
        <v>-0.61865620053043346</v>
      </c>
      <c r="W3146" s="4">
        <f t="shared" si="331"/>
        <v>-0.65956104968095275</v>
      </c>
      <c r="X3146" s="4">
        <f t="shared" si="332"/>
        <v>-1.024961495819426</v>
      </c>
      <c r="Y3146" s="3">
        <f t="shared" si="329"/>
        <v>4.3274585655140072</v>
      </c>
      <c r="AA3146" s="3"/>
    </row>
    <row r="3147" spans="19:27" x14ac:dyDescent="0.25">
      <c r="S3147" s="4">
        <v>0.43886683861269715</v>
      </c>
      <c r="T3147" s="4">
        <v>1.7102893661410012</v>
      </c>
      <c r="U3147" s="4">
        <f t="shared" si="330"/>
        <v>1.6232757473682555</v>
      </c>
      <c r="W3147" s="4">
        <f t="shared" si="331"/>
        <v>0.77458956620747577</v>
      </c>
      <c r="X3147" s="4">
        <f t="shared" si="332"/>
        <v>2.9277792399626583</v>
      </c>
      <c r="Y3147" s="3">
        <f t="shared" si="329"/>
        <v>170.19423085570725</v>
      </c>
      <c r="AA3147" s="3"/>
    </row>
    <row r="3148" spans="19:27" x14ac:dyDescent="0.25">
      <c r="S3148" s="4">
        <v>-1.0733878578862277</v>
      </c>
      <c r="T3148" s="4">
        <v>0.88694566269081776</v>
      </c>
      <c r="U3148" s="4">
        <f t="shared" si="330"/>
        <v>4.8713560608474427E-2</v>
      </c>
      <c r="W3148" s="4">
        <f t="shared" si="331"/>
        <v>-1.7969341266445711</v>
      </c>
      <c r="X3148" s="4">
        <f t="shared" si="332"/>
        <v>0.15167530761049106</v>
      </c>
      <c r="Y3148" s="3">
        <f t="shared" si="329"/>
        <v>311.5549800126264</v>
      </c>
      <c r="AA3148" s="3"/>
    </row>
    <row r="3149" spans="19:27" x14ac:dyDescent="0.25">
      <c r="S3149" s="4">
        <v>-0.74127632712205782</v>
      </c>
      <c r="T3149" s="4">
        <v>-3.1671417025949675</v>
      </c>
      <c r="U3149" s="4">
        <f t="shared" si="330"/>
        <v>-2.962466538760447</v>
      </c>
      <c r="W3149" s="4">
        <f t="shared" si="331"/>
        <v>-1.2321928353749021</v>
      </c>
      <c r="X3149" s="4">
        <f t="shared" si="332"/>
        <v>-5.1573235907315125</v>
      </c>
      <c r="Y3149" s="3">
        <f t="shared" si="329"/>
        <v>-314.32165690035708</v>
      </c>
      <c r="AA3149" s="3"/>
    </row>
    <row r="3150" spans="19:27" x14ac:dyDescent="0.25">
      <c r="S3150" s="4">
        <v>0.14351400352679633</v>
      </c>
      <c r="T3150" s="4">
        <v>-0.98071548206304759</v>
      </c>
      <c r="U3150" s="4">
        <f t="shared" si="330"/>
        <v>-0.68991599686870364</v>
      </c>
      <c r="W3150" s="4">
        <f t="shared" si="331"/>
        <v>0.27235484679626898</v>
      </c>
      <c r="X3150" s="4">
        <f t="shared" si="332"/>
        <v>-1.1505993413721511</v>
      </c>
      <c r="Y3150" s="3">
        <f t="shared" si="329"/>
        <v>-158.51341392618315</v>
      </c>
      <c r="AA3150" s="3"/>
    </row>
    <row r="3151" spans="19:27" x14ac:dyDescent="0.25">
      <c r="S3151" s="4">
        <v>0.13557835354157269</v>
      </c>
      <c r="T3151" s="4">
        <v>0.162287421191495</v>
      </c>
      <c r="U3151" s="4">
        <f t="shared" si="330"/>
        <v>0.211295532876074</v>
      </c>
      <c r="W3151" s="4">
        <f t="shared" si="331"/>
        <v>0.25886061728425097</v>
      </c>
      <c r="X3151" s="4">
        <f t="shared" si="332"/>
        <v>0.43832289532530544</v>
      </c>
      <c r="Y3151" s="3">
        <f t="shared" si="329"/>
        <v>2.5227728740464954</v>
      </c>
      <c r="AA3151" s="3"/>
    </row>
    <row r="3152" spans="19:27" x14ac:dyDescent="0.25">
      <c r="S3152" s="4">
        <v>0.42079426103470313</v>
      </c>
      <c r="T3152" s="4">
        <v>0.26974920258308277</v>
      </c>
      <c r="U3152" s="4">
        <f t="shared" si="330"/>
        <v>0.47035361022950306</v>
      </c>
      <c r="W3152" s="4">
        <f t="shared" si="331"/>
        <v>0.74385792983675592</v>
      </c>
      <c r="X3152" s="4">
        <f t="shared" si="332"/>
        <v>0.89506709590108424</v>
      </c>
      <c r="Y3152" s="3">
        <f t="shared" si="329"/>
        <v>-28.272113898711268</v>
      </c>
      <c r="AA3152" s="3"/>
    </row>
    <row r="3153" spans="19:27" x14ac:dyDescent="0.25">
      <c r="S3153" s="4">
        <v>-0.72979198495271713</v>
      </c>
      <c r="T3153" s="4">
        <v>-0.29574971159971902</v>
      </c>
      <c r="U3153" s="4">
        <f t="shared" si="330"/>
        <v>-0.67933591302763763</v>
      </c>
      <c r="W3153" s="4">
        <f t="shared" si="331"/>
        <v>-1.2126642083164769</v>
      </c>
      <c r="X3153" s="4">
        <f t="shared" si="332"/>
        <v>-1.1319456402971615</v>
      </c>
      <c r="Y3153" s="3">
        <f t="shared" si="329"/>
        <v>84.962021125265892</v>
      </c>
      <c r="AA3153" s="3"/>
    </row>
    <row r="3154" spans="19:27" x14ac:dyDescent="0.25">
      <c r="S3154" s="4">
        <v>0.68638647231470418</v>
      </c>
      <c r="T3154" s="4">
        <v>0.40388892117378583</v>
      </c>
      <c r="U3154" s="4">
        <f t="shared" si="330"/>
        <v>0.73859603242989358</v>
      </c>
      <c r="W3154" s="4">
        <f t="shared" si="331"/>
        <v>1.1954859958792508</v>
      </c>
      <c r="X3154" s="4">
        <f t="shared" si="332"/>
        <v>1.3680041760341937</v>
      </c>
      <c r="Y3154" s="3">
        <f t="shared" si="329"/>
        <v>-51.106103010968582</v>
      </c>
      <c r="AA3154" s="3"/>
    </row>
    <row r="3155" spans="19:27" x14ac:dyDescent="0.25">
      <c r="S3155" s="4">
        <v>-0.31574396937114335</v>
      </c>
      <c r="T3155" s="4">
        <v>0.9476208807062555</v>
      </c>
      <c r="U3155" s="4">
        <f t="shared" si="330"/>
        <v>0.55868694055475387</v>
      </c>
      <c r="W3155" s="4">
        <f t="shared" si="331"/>
        <v>-0.50859346910079117</v>
      </c>
      <c r="X3155" s="4">
        <f t="shared" si="332"/>
        <v>1.050807217019021</v>
      </c>
      <c r="Y3155" s="3">
        <f t="shared" si="329"/>
        <v>187.25361107952722</v>
      </c>
      <c r="AA3155" s="3"/>
    </row>
    <row r="3156" spans="19:27" x14ac:dyDescent="0.25">
      <c r="S3156" s="4">
        <v>0.53568640797176614</v>
      </c>
      <c r="T3156" s="4">
        <v>-0.15476492698829208</v>
      </c>
      <c r="U3156" s="4">
        <f t="shared" si="330"/>
        <v>0.20388546402067342</v>
      </c>
      <c r="W3156" s="4">
        <f t="shared" si="331"/>
        <v>0.93922705559004227</v>
      </c>
      <c r="X3156" s="4">
        <f t="shared" si="332"/>
        <v>0.42525823426494402</v>
      </c>
      <c r="Y3156" s="3">
        <f t="shared" si="329"/>
        <v>-105.71680065973669</v>
      </c>
      <c r="AA3156" s="3"/>
    </row>
    <row r="3157" spans="19:27" x14ac:dyDescent="0.25">
      <c r="S3157" s="4">
        <v>0.15693574626838333</v>
      </c>
      <c r="T3157" s="4">
        <v>0.7410508688485139</v>
      </c>
      <c r="U3157" s="4">
        <f t="shared" si="330"/>
        <v>0.68309664181711571</v>
      </c>
      <c r="W3157" s="4">
        <f t="shared" si="331"/>
        <v>0.29517793971789208</v>
      </c>
      <c r="X3157" s="4">
        <f t="shared" si="332"/>
        <v>1.2701534351623203</v>
      </c>
      <c r="Y3157" s="3">
        <f t="shared" si="329"/>
        <v>79.93786404155162</v>
      </c>
      <c r="AA3157" s="3"/>
    </row>
    <row r="3158" spans="19:27" x14ac:dyDescent="0.25">
      <c r="S3158" s="4">
        <v>-2.006067059053851</v>
      </c>
      <c r="T3158" s="4">
        <v>-0.11461280358265152</v>
      </c>
      <c r="U3158" s="4">
        <f t="shared" si="330"/>
        <v>-1.3137958929412328</v>
      </c>
      <c r="W3158" s="4">
        <f t="shared" si="331"/>
        <v>-3.382914761510841</v>
      </c>
      <c r="X3158" s="4">
        <f t="shared" si="332"/>
        <v>-2.2505593476304755</v>
      </c>
      <c r="Y3158" s="3">
        <f t="shared" si="329"/>
        <v>347.16760888751742</v>
      </c>
      <c r="AA3158" s="3"/>
    </row>
    <row r="3159" spans="19:27" x14ac:dyDescent="0.25">
      <c r="S3159" s="4">
        <v>0.55359411818323401</v>
      </c>
      <c r="T3159" s="4">
        <v>-1.1349507075549434</v>
      </c>
      <c r="U3159" s="4">
        <f t="shared" si="330"/>
        <v>-0.5621830416136181</v>
      </c>
      <c r="W3159" s="4">
        <f t="shared" si="331"/>
        <v>0.96967834213597293</v>
      </c>
      <c r="X3159" s="4">
        <f t="shared" si="332"/>
        <v>-0.92539390816895617</v>
      </c>
      <c r="Y3159" s="3">
        <f t="shared" si="329"/>
        <v>-245.51275107153606</v>
      </c>
      <c r="AA3159" s="3"/>
    </row>
    <row r="3160" spans="19:27" x14ac:dyDescent="0.25">
      <c r="S3160" s="4">
        <v>0.20675785162394533</v>
      </c>
      <c r="T3160" s="4">
        <v>-1.5125477939306948</v>
      </c>
      <c r="U3160" s="4">
        <f t="shared" si="330"/>
        <v>-1.0729403650129816</v>
      </c>
      <c r="W3160" s="4">
        <f t="shared" si="331"/>
        <v>0.37989827462325609</v>
      </c>
      <c r="X3160" s="4">
        <f t="shared" si="332"/>
        <v>-1.8259079849641722</v>
      </c>
      <c r="Y3160" s="3">
        <f t="shared" si="329"/>
        <v>-243.0972927899661</v>
      </c>
      <c r="AA3160" s="3"/>
    </row>
    <row r="3161" spans="19:27" x14ac:dyDescent="0.25">
      <c r="S3161" s="4">
        <v>-0.39117957209089144</v>
      </c>
      <c r="T3161" s="4">
        <v>-0.79212238277774361</v>
      </c>
      <c r="U3161" s="4">
        <f t="shared" si="330"/>
        <v>-0.86638088593924145</v>
      </c>
      <c r="W3161" s="4">
        <f t="shared" si="331"/>
        <v>-0.63686844826105227</v>
      </c>
      <c r="X3161" s="4">
        <f t="shared" si="332"/>
        <v>-1.461723840988721</v>
      </c>
      <c r="Y3161" s="3">
        <f t="shared" si="329"/>
        <v>-43.061732662345548</v>
      </c>
      <c r="AA3161" s="3"/>
    </row>
    <row r="3162" spans="19:27" x14ac:dyDescent="0.25">
      <c r="S3162" s="4">
        <v>0.31964928081065802</v>
      </c>
      <c r="T3162" s="4">
        <v>-0.11919287519681043</v>
      </c>
      <c r="U3162" s="4">
        <f t="shared" si="330"/>
        <v>0.10038209266701369</v>
      </c>
      <c r="W3162" s="4">
        <f t="shared" si="331"/>
        <v>0.57186526639101298</v>
      </c>
      <c r="X3162" s="4">
        <f t="shared" si="332"/>
        <v>0.24277187796681829</v>
      </c>
      <c r="Y3162" s="3">
        <f t="shared" si="329"/>
        <v>-66.521603025736567</v>
      </c>
      <c r="AA3162" s="3"/>
    </row>
    <row r="3163" spans="19:27" x14ac:dyDescent="0.25">
      <c r="S3163" s="4">
        <v>0.56968618053709719</v>
      </c>
      <c r="T3163" s="4">
        <v>-0.88100025160127304</v>
      </c>
      <c r="U3163" s="4">
        <f t="shared" si="330"/>
        <v>-0.35106846171838768</v>
      </c>
      <c r="W3163" s="4">
        <f t="shared" si="331"/>
        <v>0.99704219804305949</v>
      </c>
      <c r="X3163" s="4">
        <f t="shared" si="332"/>
        <v>-0.55317868519952629</v>
      </c>
      <c r="Y3163" s="3">
        <f t="shared" si="329"/>
        <v>-212.53829553294872</v>
      </c>
      <c r="AA3163" s="3"/>
    </row>
    <row r="3164" spans="19:27" x14ac:dyDescent="0.25">
      <c r="S3164" s="4">
        <v>0.55030462250096901</v>
      </c>
      <c r="T3164" s="4">
        <v>0.79317975008393982</v>
      </c>
      <c r="U3164" s="4">
        <f t="shared" si="330"/>
        <v>0.96422523366869939</v>
      </c>
      <c r="W3164" s="4">
        <f t="shared" si="331"/>
        <v>0.96408469702839761</v>
      </c>
      <c r="X3164" s="4">
        <f t="shared" si="332"/>
        <v>1.7658100665093774</v>
      </c>
      <c r="Y3164" s="3">
        <f t="shared" si="329"/>
        <v>24.47628909002924</v>
      </c>
      <c r="AA3164" s="3"/>
    </row>
    <row r="3165" spans="19:27" x14ac:dyDescent="0.25">
      <c r="S3165" s="4">
        <v>-1.0390999150995313</v>
      </c>
      <c r="T3165" s="4">
        <v>0.27204024344205197</v>
      </c>
      <c r="U3165" s="4">
        <f t="shared" si="330"/>
        <v>-0.41781436268250072</v>
      </c>
      <c r="W3165" s="4">
        <f t="shared" si="331"/>
        <v>-1.7386289631960621</v>
      </c>
      <c r="X3165" s="4">
        <f t="shared" si="332"/>
        <v>-0.67085810090819986</v>
      </c>
      <c r="Y3165" s="3">
        <f t="shared" si="329"/>
        <v>219.41777838565849</v>
      </c>
      <c r="AA3165" s="3"/>
    </row>
    <row r="3166" spans="19:27" x14ac:dyDescent="0.25">
      <c r="S3166" s="4">
        <v>0.42826257067309242</v>
      </c>
      <c r="T3166" s="4">
        <v>-1.0190065659846694</v>
      </c>
      <c r="U3166" s="4">
        <f t="shared" si="330"/>
        <v>-0.5466799536893141</v>
      </c>
      <c r="W3166" s="4">
        <f t="shared" si="331"/>
        <v>0.756557467305633</v>
      </c>
      <c r="X3166" s="4">
        <f t="shared" si="332"/>
        <v>-0.89806047941513345</v>
      </c>
      <c r="Y3166" s="3">
        <f t="shared" si="329"/>
        <v>-209.57101973049248</v>
      </c>
      <c r="AA3166" s="3"/>
    </row>
    <row r="3167" spans="19:27" x14ac:dyDescent="0.25">
      <c r="S3167" s="4">
        <v>1.0960392075467869</v>
      </c>
      <c r="T3167" s="4">
        <v>-1.8227718570445333</v>
      </c>
      <c r="U3167" s="4">
        <f t="shared" si="330"/>
        <v>-0.77672674784074947</v>
      </c>
      <c r="W3167" s="4">
        <f t="shared" si="331"/>
        <v>1.8920827509958225</v>
      </c>
      <c r="X3167" s="4">
        <f t="shared" si="332"/>
        <v>-1.3036550092717307</v>
      </c>
      <c r="Y3167" s="3">
        <f t="shared" si="329"/>
        <v>-424.41437356003826</v>
      </c>
      <c r="AA3167" s="3"/>
    </row>
    <row r="3168" spans="19:27" x14ac:dyDescent="0.25">
      <c r="S3168" s="4">
        <v>-1.3662199795437973</v>
      </c>
      <c r="T3168" s="4">
        <v>1.1447281354955767</v>
      </c>
      <c r="U3168" s="4">
        <f t="shared" si="330"/>
        <v>7.4538674433592633E-2</v>
      </c>
      <c r="W3168" s="4">
        <f t="shared" si="331"/>
        <v>-2.2948824819143065</v>
      </c>
      <c r="X3168" s="4">
        <f t="shared" si="332"/>
        <v>0.19720745657622171</v>
      </c>
      <c r="Y3168" s="3">
        <f t="shared" si="329"/>
        <v>401.25792218884726</v>
      </c>
      <c r="AA3168" s="3"/>
    </row>
    <row r="3169" spans="19:27" x14ac:dyDescent="0.25">
      <c r="S3169" s="4">
        <v>0.30363267242101494</v>
      </c>
      <c r="T3169" s="4">
        <v>-1.5315705793304264</v>
      </c>
      <c r="U3169" s="4">
        <f t="shared" si="330"/>
        <v>-1.0289625229626784</v>
      </c>
      <c r="W3169" s="4">
        <f t="shared" si="331"/>
        <v>0.54462971668602367</v>
      </c>
      <c r="X3169" s="4">
        <f t="shared" si="332"/>
        <v>-1.7483708376359701</v>
      </c>
      <c r="Y3169" s="3">
        <f t="shared" si="329"/>
        <v>-261.34962198562971</v>
      </c>
      <c r="AA3169" s="3"/>
    </row>
    <row r="3170" spans="19:27" x14ac:dyDescent="0.25">
      <c r="S3170" s="4">
        <v>-1.0513881337064064</v>
      </c>
      <c r="T3170" s="4">
        <v>-0.16271470308901964</v>
      </c>
      <c r="U3170" s="4">
        <f t="shared" si="330"/>
        <v>-0.76993231122793526</v>
      </c>
      <c r="W3170" s="4">
        <f t="shared" si="331"/>
        <v>-1.759524547361667</v>
      </c>
      <c r="X3170" s="4">
        <f t="shared" si="332"/>
        <v>-1.2916757668146472</v>
      </c>
      <c r="Y3170" s="3">
        <f t="shared" si="329"/>
        <v>160.87614348422812</v>
      </c>
      <c r="AA3170" s="3"/>
    </row>
    <row r="3171" spans="19:27" x14ac:dyDescent="0.25">
      <c r="S3171" s="4">
        <v>-1.0437613126117664</v>
      </c>
      <c r="T3171" s="4">
        <v>-0.62307876698523368</v>
      </c>
      <c r="U3171" s="4">
        <f t="shared" si="330"/>
        <v>-1.1302097501773234</v>
      </c>
      <c r="W3171" s="4">
        <f t="shared" si="331"/>
        <v>-1.7465554680184743</v>
      </c>
      <c r="X3171" s="4">
        <f t="shared" si="332"/>
        <v>-1.9268793957442631</v>
      </c>
      <c r="Y3171" s="3">
        <f t="shared" si="329"/>
        <v>95.158284989861386</v>
      </c>
      <c r="AA3171" s="3"/>
    </row>
    <row r="3172" spans="19:27" x14ac:dyDescent="0.25">
      <c r="S3172" s="4">
        <v>-0.90231149013545386</v>
      </c>
      <c r="T3172" s="4">
        <v>1.4872950267957286</v>
      </c>
      <c r="U3172" s="4">
        <f t="shared" si="330"/>
        <v>0.62889768092165999</v>
      </c>
      <c r="W3172" s="4">
        <f t="shared" si="331"/>
        <v>-1.5060261638677483</v>
      </c>
      <c r="X3172" s="4">
        <f t="shared" si="332"/>
        <v>1.1745954764252922</v>
      </c>
      <c r="Y3172" s="3">
        <f t="shared" si="329"/>
        <v>364.71198408227792</v>
      </c>
      <c r="AA3172" s="3"/>
    </row>
    <row r="3173" spans="19:27" x14ac:dyDescent="0.25">
      <c r="S3173" s="4">
        <v>-1.4372339352498016</v>
      </c>
      <c r="T3173" s="4">
        <v>0.46522353167888869</v>
      </c>
      <c r="U3173" s="4">
        <f t="shared" si="330"/>
        <v>-0.50739089369604085</v>
      </c>
      <c r="W3173" s="4">
        <f t="shared" si="331"/>
        <v>-2.4156386416034863</v>
      </c>
      <c r="X3173" s="4">
        <f t="shared" si="332"/>
        <v>-0.82879010390192664</v>
      </c>
      <c r="Y3173" s="3">
        <f t="shared" si="329"/>
        <v>319.50724881359019</v>
      </c>
      <c r="AA3173" s="3"/>
    </row>
    <row r="3174" spans="19:27" x14ac:dyDescent="0.25">
      <c r="S3174" s="4">
        <v>-0.14988497118663496</v>
      </c>
      <c r="T3174" s="4">
        <v>-1.0673207427216553</v>
      </c>
      <c r="U3174" s="4">
        <f t="shared" si="330"/>
        <v>-0.93742985705113813</v>
      </c>
      <c r="W3174" s="4">
        <f t="shared" si="331"/>
        <v>-0.22655741757349396</v>
      </c>
      <c r="X3174" s="4">
        <f t="shared" si="332"/>
        <v>-1.586989981476447</v>
      </c>
      <c r="Y3174" s="3">
        <f t="shared" si="329"/>
        <v>-122.26021949870119</v>
      </c>
      <c r="AA3174" s="3"/>
    </row>
    <row r="3175" spans="19:27" x14ac:dyDescent="0.25">
      <c r="S3175" s="4">
        <v>0.28934357482932727</v>
      </c>
      <c r="T3175" s="4">
        <v>2.1359937645428659</v>
      </c>
      <c r="U3175" s="4">
        <f t="shared" si="330"/>
        <v>1.8695755086655033</v>
      </c>
      <c r="W3175" s="4">
        <f t="shared" si="331"/>
        <v>0.52033172436266095</v>
      </c>
      <c r="X3175" s="4">
        <f t="shared" si="332"/>
        <v>3.3620293074571377</v>
      </c>
      <c r="Y3175" s="3">
        <f t="shared" si="329"/>
        <v>253.51754883866761</v>
      </c>
      <c r="AA3175" s="3"/>
    </row>
    <row r="3176" spans="19:27" x14ac:dyDescent="0.25">
      <c r="S3176" s="4">
        <v>-1.2762507433361929</v>
      </c>
      <c r="T3176" s="4">
        <v>0.51845218657691972</v>
      </c>
      <c r="U3176" s="4">
        <f t="shared" si="330"/>
        <v>-0.36705801815559269</v>
      </c>
      <c r="W3176" s="4">
        <f t="shared" si="331"/>
        <v>-2.1418936877176136</v>
      </c>
      <c r="X3176" s="4">
        <f t="shared" si="332"/>
        <v>-0.58136980453107656</v>
      </c>
      <c r="Y3176" s="3">
        <f t="shared" si="329"/>
        <v>297.09809857706114</v>
      </c>
      <c r="AA3176" s="3"/>
    </row>
    <row r="3177" spans="19:27" x14ac:dyDescent="0.25">
      <c r="S3177" s="4">
        <v>-9.3320472300696164E-2</v>
      </c>
      <c r="T3177" s="4">
        <v>0.24843262378762934</v>
      </c>
      <c r="U3177" s="4">
        <f t="shared" si="330"/>
        <v>0.14004031605352993</v>
      </c>
      <c r="W3177" s="4">
        <f t="shared" si="331"/>
        <v>-0.13037193413856238</v>
      </c>
      <c r="X3177" s="4">
        <f t="shared" si="332"/>
        <v>0.31269312389738935</v>
      </c>
      <c r="Y3177" s="3">
        <f t="shared" si="329"/>
        <v>52.205439058499906</v>
      </c>
      <c r="AA3177" s="3"/>
    </row>
    <row r="3178" spans="19:27" x14ac:dyDescent="0.25">
      <c r="S3178" s="4">
        <v>1.1936073281455786</v>
      </c>
      <c r="T3178" s="4">
        <v>0.64269287857975821</v>
      </c>
      <c r="U3178" s="4">
        <f t="shared" si="330"/>
        <v>1.2371071743086093</v>
      </c>
      <c r="W3178" s="4">
        <f t="shared" si="331"/>
        <v>2.0579931193799998</v>
      </c>
      <c r="X3178" s="4">
        <f t="shared" si="332"/>
        <v>2.2469270619817943</v>
      </c>
      <c r="Y3178" s="3">
        <f t="shared" si="329"/>
        <v>-94.277181581271634</v>
      </c>
      <c r="AA3178" s="3"/>
    </row>
    <row r="3179" spans="19:27" x14ac:dyDescent="0.25">
      <c r="S3179" s="4">
        <v>0.44012946424423743</v>
      </c>
      <c r="T3179" s="4">
        <v>0.72202598363013792</v>
      </c>
      <c r="U3179" s="4">
        <f t="shared" si="330"/>
        <v>0.84065697619800761</v>
      </c>
      <c r="W3179" s="4">
        <f t="shared" si="331"/>
        <v>0.77673660647405596</v>
      </c>
      <c r="X3179" s="4">
        <f t="shared" si="332"/>
        <v>1.5479473943565454</v>
      </c>
      <c r="Y3179" s="3">
        <f t="shared" si="329"/>
        <v>31.875538248944849</v>
      </c>
      <c r="AA3179" s="3"/>
    </row>
    <row r="3180" spans="19:27" x14ac:dyDescent="0.25">
      <c r="S3180" s="4">
        <v>3.1113824195847974</v>
      </c>
      <c r="T3180" s="4">
        <v>-0.96395087661736345</v>
      </c>
      <c r="U3180" s="4">
        <f t="shared" si="330"/>
        <v>1.1326519771421348</v>
      </c>
      <c r="W3180" s="4">
        <f t="shared" si="331"/>
        <v>5.3190867014431182</v>
      </c>
      <c r="X3180" s="4">
        <f t="shared" si="332"/>
        <v>2.0627625456185479</v>
      </c>
      <c r="Y3180" s="3">
        <f t="shared" si="329"/>
        <v>-575.19829872093351</v>
      </c>
      <c r="AA3180" s="3"/>
    </row>
    <row r="3181" spans="19:27" x14ac:dyDescent="0.25">
      <c r="S3181" s="4">
        <v>-1.8962663062107279</v>
      </c>
      <c r="T3181" s="4">
        <v>-0.30504448842400794</v>
      </c>
      <c r="U3181" s="4">
        <f t="shared" si="330"/>
        <v>-1.3978125808767774</v>
      </c>
      <c r="W3181" s="4">
        <f t="shared" si="331"/>
        <v>-3.196203331165957</v>
      </c>
      <c r="X3181" s="4">
        <f t="shared" si="332"/>
        <v>-2.3986888148070258</v>
      </c>
      <c r="Y3181" s="3">
        <f t="shared" si="329"/>
        <v>299.17743452515424</v>
      </c>
      <c r="AA3181" s="3"/>
    </row>
    <row r="3182" spans="19:27" x14ac:dyDescent="0.25">
      <c r="S3182" s="4">
        <v>1.4087537794082011E-2</v>
      </c>
      <c r="T3182" s="4">
        <v>-0.42238967440790554</v>
      </c>
      <c r="U3182" s="4">
        <f t="shared" si="330"/>
        <v>-0.3262368464273544</v>
      </c>
      <c r="W3182" s="4">
        <f t="shared" si="331"/>
        <v>5.227074067029068E-2</v>
      </c>
      <c r="X3182" s="4">
        <f t="shared" si="332"/>
        <v>-0.50939816929754578</v>
      </c>
      <c r="Y3182" s="3">
        <f t="shared" si="329"/>
        <v>-59.309161431365737</v>
      </c>
      <c r="AA3182" s="3"/>
    </row>
    <row r="3183" spans="19:27" x14ac:dyDescent="0.25">
      <c r="S3183" s="4">
        <v>-0.20296371178664172</v>
      </c>
      <c r="T3183" s="4">
        <v>0.3579022581615981</v>
      </c>
      <c r="U3183" s="4">
        <f t="shared" si="330"/>
        <v>0.15997505640353024</v>
      </c>
      <c r="W3183" s="4">
        <f t="shared" si="331"/>
        <v>-0.31681551983342787</v>
      </c>
      <c r="X3183" s="4">
        <f t="shared" si="332"/>
        <v>0.34783998030065333</v>
      </c>
      <c r="Y3183" s="3">
        <f t="shared" si="329"/>
        <v>85.813751087383935</v>
      </c>
      <c r="AA3183" s="3"/>
    </row>
    <row r="3184" spans="19:27" x14ac:dyDescent="0.25">
      <c r="S3184" s="4">
        <v>0.78609058303766077</v>
      </c>
      <c r="T3184" s="4">
        <v>-0.188593248518476</v>
      </c>
      <c r="U3184" s="4">
        <f t="shared" si="330"/>
        <v>0.32972199563093318</v>
      </c>
      <c r="W3184" s="4">
        <f t="shared" si="331"/>
        <v>1.3650285230688888</v>
      </c>
      <c r="X3184" s="4">
        <f t="shared" si="332"/>
        <v>0.64712009096028422</v>
      </c>
      <c r="Y3184" s="3">
        <f t="shared" si="329"/>
        <v>-149.25340514613072</v>
      </c>
      <c r="AA3184" s="3"/>
    </row>
    <row r="3185" spans="19:27" x14ac:dyDescent="0.25">
      <c r="S3185" s="4">
        <v>-0.55418458658011738</v>
      </c>
      <c r="T3185" s="4">
        <v>0.39664936863918676</v>
      </c>
      <c r="U3185" s="4">
        <f t="shared" si="330"/>
        <v>-2.3422500026610504E-2</v>
      </c>
      <c r="W3185" s="4">
        <f t="shared" si="331"/>
        <v>-0.9140514239748484</v>
      </c>
      <c r="X3185" s="4">
        <f t="shared" si="332"/>
        <v>2.4492524181940846E-2</v>
      </c>
      <c r="Y3185" s="3">
        <f t="shared" si="329"/>
        <v>151.09703107429505</v>
      </c>
      <c r="AA3185" s="3"/>
    </row>
    <row r="3186" spans="19:27" x14ac:dyDescent="0.25">
      <c r="S3186" s="4">
        <v>0.50028282313122119</v>
      </c>
      <c r="T3186" s="4">
        <v>2.5296048253372682E-2</v>
      </c>
      <c r="U3186" s="4">
        <f t="shared" si="330"/>
        <v>0.32503554677886326</v>
      </c>
      <c r="W3186" s="4">
        <f t="shared" si="331"/>
        <v>0.87902479109046316</v>
      </c>
      <c r="X3186" s="4">
        <f t="shared" si="332"/>
        <v>0.63885743280908636</v>
      </c>
      <c r="Y3186" s="3">
        <f t="shared" si="329"/>
        <v>-74.990313408969541</v>
      </c>
      <c r="AA3186" s="3"/>
    </row>
    <row r="3187" spans="19:27" x14ac:dyDescent="0.25">
      <c r="S3187" s="4">
        <v>-0.8278612086615823</v>
      </c>
      <c r="T3187" s="4">
        <v>-1.6087328208521467</v>
      </c>
      <c r="U3187" s="4">
        <f t="shared" si="330"/>
        <v>-1.7799123316137684</v>
      </c>
      <c r="W3187" s="4">
        <f t="shared" si="331"/>
        <v>-1.3794266808621416</v>
      </c>
      <c r="X3187" s="4">
        <f t="shared" si="332"/>
        <v>-3.0723672693586428</v>
      </c>
      <c r="Y3187" s="3">
        <f t="shared" si="329"/>
        <v>-81.227221124604057</v>
      </c>
      <c r="AA3187" s="3"/>
    </row>
    <row r="3188" spans="19:27" x14ac:dyDescent="0.25">
      <c r="S3188" s="4">
        <v>-0.88689189728497186</v>
      </c>
      <c r="T3188" s="4">
        <v>-0.24139204957980059</v>
      </c>
      <c r="U3188" s="4">
        <f t="shared" si="330"/>
        <v>-0.73201863992414851</v>
      </c>
      <c r="W3188" s="4">
        <f t="shared" si="331"/>
        <v>-1.4798058132608394</v>
      </c>
      <c r="X3188" s="4">
        <f t="shared" si="332"/>
        <v>-1.2248303332830928</v>
      </c>
      <c r="Y3188" s="3">
        <f t="shared" si="329"/>
        <v>120.36276324855817</v>
      </c>
      <c r="AA3188" s="3"/>
    </row>
    <row r="3189" spans="19:27" x14ac:dyDescent="0.25">
      <c r="S3189" s="4">
        <v>1.2864964810330659</v>
      </c>
      <c r="T3189" s="4">
        <v>1.0049185817957242</v>
      </c>
      <c r="U3189" s="4">
        <f t="shared" si="330"/>
        <v>1.5808678984320959</v>
      </c>
      <c r="W3189" s="4">
        <f t="shared" si="331"/>
        <v>2.2159471055783158</v>
      </c>
      <c r="X3189" s="4">
        <f t="shared" si="332"/>
        <v>2.8530101408542023</v>
      </c>
      <c r="Y3189" s="3">
        <f t="shared" si="329"/>
        <v>-57.267161610376661</v>
      </c>
      <c r="AA3189" s="3"/>
    </row>
    <row r="3190" spans="19:27" x14ac:dyDescent="0.25">
      <c r="S3190" s="4">
        <v>0.307894878924519</v>
      </c>
      <c r="T3190" s="4">
        <v>0.99502996016919942</v>
      </c>
      <c r="U3190" s="4">
        <f t="shared" si="330"/>
        <v>0.97645189592977777</v>
      </c>
      <c r="W3190" s="4">
        <f t="shared" si="331"/>
        <v>0.55187741446667093</v>
      </c>
      <c r="X3190" s="4">
        <f t="shared" si="332"/>
        <v>1.7873668430329965</v>
      </c>
      <c r="Y3190" s="3">
        <f t="shared" si="329"/>
        <v>91.083153134721215</v>
      </c>
      <c r="AA3190" s="3"/>
    </row>
    <row r="3191" spans="19:27" x14ac:dyDescent="0.25">
      <c r="S3191" s="4">
        <v>0.27483653069391584</v>
      </c>
      <c r="T3191" s="4">
        <v>-0.75097030078100102</v>
      </c>
      <c r="U3191" s="4">
        <f t="shared" si="330"/>
        <v>-0.42774168266653767</v>
      </c>
      <c r="W3191" s="4">
        <f t="shared" si="331"/>
        <v>0.49566312336983387</v>
      </c>
      <c r="X3191" s="4">
        <f t="shared" si="332"/>
        <v>-0.68836091678752453</v>
      </c>
      <c r="Y3191" s="3">
        <f t="shared" si="329"/>
        <v>-147.63284692756361</v>
      </c>
      <c r="AA3191" s="3"/>
    </row>
    <row r="3192" spans="19:27" x14ac:dyDescent="0.25">
      <c r="S3192" s="4">
        <v>-1.0721011146677704</v>
      </c>
      <c r="T3192" s="4">
        <v>-8.5494653611621924E-2</v>
      </c>
      <c r="U3192" s="4">
        <f t="shared" si="330"/>
        <v>-0.72134768964410823</v>
      </c>
      <c r="W3192" s="4">
        <f t="shared" si="331"/>
        <v>-1.79474607546474</v>
      </c>
      <c r="X3192" s="4">
        <f t="shared" si="332"/>
        <v>-1.2060164259738393</v>
      </c>
      <c r="Y3192" s="3">
        <f t="shared" si="329"/>
        <v>175.41456308937904</v>
      </c>
      <c r="AA3192" s="3"/>
    </row>
    <row r="3193" spans="19:27" x14ac:dyDescent="0.25">
      <c r="S3193" s="4">
        <v>0.64382464003560813</v>
      </c>
      <c r="T3193" s="4">
        <v>0.70130188284685546</v>
      </c>
      <c r="U3193" s="4">
        <f t="shared" si="330"/>
        <v>0.94840627088667595</v>
      </c>
      <c r="W3193" s="4">
        <f t="shared" si="331"/>
        <v>1.1231114412686556</v>
      </c>
      <c r="X3193" s="4">
        <f t="shared" si="332"/>
        <v>1.7379197201298047</v>
      </c>
      <c r="Y3193" s="3">
        <f t="shared" si="329"/>
        <v>-2.9461580705237793</v>
      </c>
      <c r="AA3193" s="3"/>
    </row>
    <row r="3194" spans="19:27" x14ac:dyDescent="0.25">
      <c r="S3194" s="4">
        <v>1.122454387013736</v>
      </c>
      <c r="T3194" s="4">
        <v>-0.38724164337202988</v>
      </c>
      <c r="U3194" s="4">
        <f t="shared" si="330"/>
        <v>0.37730987825896212</v>
      </c>
      <c r="W3194" s="4">
        <f t="shared" si="331"/>
        <v>1.9370006209865454</v>
      </c>
      <c r="X3194" s="4">
        <f t="shared" si="332"/>
        <v>0.73102208556352399</v>
      </c>
      <c r="Y3194" s="3">
        <f t="shared" si="329"/>
        <v>-227.70725517309529</v>
      </c>
      <c r="AA3194" s="3"/>
    </row>
    <row r="3195" spans="19:27" x14ac:dyDescent="0.25">
      <c r="S3195" s="4">
        <v>0.69908886791378111</v>
      </c>
      <c r="T3195" s="4">
        <v>-0.63781777496378533</v>
      </c>
      <c r="U3195" s="4">
        <f t="shared" si="330"/>
        <v>-7.9412887903260621E-2</v>
      </c>
      <c r="W3195" s="4">
        <f t="shared" si="331"/>
        <v>1.2170858701032348</v>
      </c>
      <c r="X3195" s="4">
        <f t="shared" si="332"/>
        <v>-7.4223891889344529E-2</v>
      </c>
      <c r="Y3195" s="3">
        <f t="shared" si="329"/>
        <v>-198.65692374149558</v>
      </c>
      <c r="AA3195" s="3"/>
    </row>
    <row r="3196" spans="19:27" x14ac:dyDescent="0.25">
      <c r="S3196" s="4">
        <v>0.47542832589748574</v>
      </c>
      <c r="T3196" s="4">
        <v>-0.73440859041781104</v>
      </c>
      <c r="U3196" s="4">
        <f t="shared" si="330"/>
        <v>-0.29232811311086171</v>
      </c>
      <c r="W3196" s="4">
        <f t="shared" si="331"/>
        <v>0.8367607937238517</v>
      </c>
      <c r="X3196" s="4">
        <f t="shared" si="332"/>
        <v>-0.44961382499374247</v>
      </c>
      <c r="Y3196" s="3">
        <f t="shared" si="329"/>
        <v>-177.25076542855322</v>
      </c>
      <c r="AA3196" s="3"/>
    </row>
    <row r="3197" spans="19:27" x14ac:dyDescent="0.25">
      <c r="S3197" s="4">
        <v>0.46511640764199846</v>
      </c>
      <c r="T3197" s="4">
        <v>-0.20763832001242749</v>
      </c>
      <c r="U3197" s="4">
        <f t="shared" si="330"/>
        <v>0.11895210060766312</v>
      </c>
      <c r="W3197" s="4">
        <f t="shared" si="331"/>
        <v>0.8192258228131114</v>
      </c>
      <c r="X3197" s="4">
        <f t="shared" si="332"/>
        <v>0.27551258043086957</v>
      </c>
      <c r="Y3197" s="3">
        <f t="shared" si="329"/>
        <v>-102.00269750836833</v>
      </c>
      <c r="AA3197" s="3"/>
    </row>
    <row r="3198" spans="19:27" x14ac:dyDescent="0.25">
      <c r="S3198" s="4">
        <v>-0.73230041138132973</v>
      </c>
      <c r="T3198" s="4">
        <v>-1.0730220030914202</v>
      </c>
      <c r="U3198" s="4">
        <f t="shared" si="330"/>
        <v>-1.2970026477546366</v>
      </c>
      <c r="W3198" s="4">
        <f t="shared" si="331"/>
        <v>-1.216929678946449</v>
      </c>
      <c r="X3198" s="4">
        <f t="shared" si="332"/>
        <v>-2.2209512480638267</v>
      </c>
      <c r="Y3198" s="3">
        <f t="shared" si="329"/>
        <v>-23.227942342158258</v>
      </c>
      <c r="AA3198" s="3"/>
    </row>
    <row r="3199" spans="19:27" x14ac:dyDescent="0.25">
      <c r="S3199" s="4">
        <v>0.65970635167465952</v>
      </c>
      <c r="T3199" s="4">
        <v>-1.4253494048557682</v>
      </c>
      <c r="U3199" s="4">
        <f t="shared" si="330"/>
        <v>-0.72769138617752993</v>
      </c>
      <c r="W3199" s="4">
        <f t="shared" si="331"/>
        <v>1.150117604884755</v>
      </c>
      <c r="X3199" s="4">
        <f t="shared" si="332"/>
        <v>-1.2172009705032116</v>
      </c>
      <c r="Y3199" s="3">
        <f t="shared" si="329"/>
        <v>-302.62875636903891</v>
      </c>
      <c r="AA3199" s="3"/>
    </row>
    <row r="3200" spans="19:27" x14ac:dyDescent="0.25">
      <c r="S3200" s="4">
        <v>1.006388142287795E-2</v>
      </c>
      <c r="T3200" s="4">
        <v>1.6565290862444058</v>
      </c>
      <c r="U3200" s="4">
        <f t="shared" si="330"/>
        <v>1.3192525524667118</v>
      </c>
      <c r="W3200" s="4">
        <f t="shared" si="331"/>
        <v>4.5428687070192181E-2</v>
      </c>
      <c r="X3200" s="4">
        <f t="shared" si="332"/>
        <v>2.3917572308038624</v>
      </c>
      <c r="Y3200" s="3">
        <f t="shared" si="329"/>
        <v>231.90109276860221</v>
      </c>
      <c r="AA3200" s="3"/>
    </row>
    <row r="3201" spans="19:27" x14ac:dyDescent="0.25">
      <c r="S3201" s="4">
        <v>2.492176880016379</v>
      </c>
      <c r="T3201" s="4">
        <v>0.65529745137373774</v>
      </c>
      <c r="U3201" s="4">
        <f t="shared" si="330"/>
        <v>2.038735690878192</v>
      </c>
      <c r="W3201" s="4">
        <f t="shared" si="331"/>
        <v>4.2661544675860705</v>
      </c>
      <c r="X3201" s="4">
        <f t="shared" si="332"/>
        <v>3.6602749093056333</v>
      </c>
      <c r="Y3201" s="3">
        <f t="shared" si="329"/>
        <v>-271.71437699919898</v>
      </c>
      <c r="AA3201" s="3"/>
    </row>
    <row r="3202" spans="19:27" x14ac:dyDescent="0.25">
      <c r="S3202" s="4">
        <v>-8.9212985049281809E-2</v>
      </c>
      <c r="T3202" s="4">
        <v>0.74453691564685776</v>
      </c>
      <c r="U3202" s="4">
        <f t="shared" si="330"/>
        <v>0.5358022446462064</v>
      </c>
      <c r="W3202" s="4">
        <f t="shared" si="331"/>
        <v>-0.12338732975310181</v>
      </c>
      <c r="X3202" s="4">
        <f t="shared" si="332"/>
        <v>1.0104593064464076</v>
      </c>
      <c r="Y3202" s="3">
        <f t="shared" ref="Y3202:Y3265" si="333">(B$4*EXP(-B$8*B$7)*NORMSDIST((LN(B$4/(B$5+W3202))-B$8*B$7+B$9*B$7+0.5*B$6*B$6*B$7)/(B$6*SQRT(B$7)))-(B$5+W3202)*EXP(-B$9*B$7)*NORMSDIST((LN(B$4/(B$5+W3202))-B$8*B$7+B$9*B$7-0.5*B$6*B$6*B$7)/(B$6*SQRT(B$7))))*400+100*X3202-400*$B$13</f>
        <v>120.85818472023857</v>
      </c>
      <c r="AA3202" s="3"/>
    </row>
    <row r="3203" spans="19:27" x14ac:dyDescent="0.25">
      <c r="S3203" s="4">
        <v>1.5792975921763228</v>
      </c>
      <c r="T3203" s="4">
        <v>1.1137386530658004</v>
      </c>
      <c r="U3203" s="4">
        <f t="shared" ref="U3203:U3266" si="334">$B$19*S3203+SQRT(1-$B$19^2)*T3203</f>
        <v>1.8456267907166766</v>
      </c>
      <c r="W3203" s="4">
        <f t="shared" ref="W3203:W3266" si="335">S3203*SQRT($B$16)+$B$20</f>
        <v>2.7138427288099454</v>
      </c>
      <c r="X3203" s="4">
        <f t="shared" ref="X3203:X3266" si="336">U3203*SQRT($C$17)+$C$20</f>
        <v>3.3198054241252599</v>
      </c>
      <c r="Y3203" s="3">
        <f t="shared" si="333"/>
        <v>-84.162616438084115</v>
      </c>
      <c r="AA3203" s="3"/>
    </row>
    <row r="3204" spans="19:27" x14ac:dyDescent="0.25">
      <c r="S3204" s="4">
        <v>-0.36729571490969803</v>
      </c>
      <c r="T3204" s="4">
        <v>-0.39580146093543861</v>
      </c>
      <c r="U3204" s="4">
        <f t="shared" si="334"/>
        <v>-0.53766032202523506</v>
      </c>
      <c r="W3204" s="4">
        <f t="shared" si="335"/>
        <v>-0.5962549823149228</v>
      </c>
      <c r="X3204" s="4">
        <f t="shared" si="336"/>
        <v>-0.88215800497393948</v>
      </c>
      <c r="Y3204" s="3">
        <f t="shared" si="333"/>
        <v>8.2564024049393083</v>
      </c>
      <c r="AA3204" s="3"/>
    </row>
    <row r="3205" spans="19:27" x14ac:dyDescent="0.25">
      <c r="S3205" s="4">
        <v>1.2355800692015988</v>
      </c>
      <c r="T3205" s="4">
        <v>-0.16690510465604891</v>
      </c>
      <c r="U3205" s="4">
        <f t="shared" si="334"/>
        <v>0.62093283388526244</v>
      </c>
      <c r="W3205" s="4">
        <f t="shared" si="335"/>
        <v>2.1293659498492201</v>
      </c>
      <c r="X3205" s="4">
        <f t="shared" si="336"/>
        <v>1.1605526883002779</v>
      </c>
      <c r="Y3205" s="3">
        <f t="shared" si="333"/>
        <v>-213.59309642606058</v>
      </c>
      <c r="AA3205" s="3"/>
    </row>
    <row r="3206" spans="19:27" x14ac:dyDescent="0.25">
      <c r="S3206" s="4">
        <v>-2.1250016194399124</v>
      </c>
      <c r="T3206" s="4">
        <v>0.34098235176611613</v>
      </c>
      <c r="U3206" s="4">
        <f t="shared" si="334"/>
        <v>-1.0251544110904482</v>
      </c>
      <c r="W3206" s="4">
        <f t="shared" si="335"/>
        <v>-3.5851578364636039</v>
      </c>
      <c r="X3206" s="4">
        <f t="shared" si="336"/>
        <v>-1.741656771699273</v>
      </c>
      <c r="Y3206" s="3">
        <f t="shared" si="333"/>
        <v>434.20862251859944</v>
      </c>
      <c r="AA3206" s="3"/>
    </row>
    <row r="3207" spans="19:27" x14ac:dyDescent="0.25">
      <c r="S3207" s="4">
        <v>-0.62960935288351882</v>
      </c>
      <c r="T3207" s="4">
        <v>-1.4161146295387617</v>
      </c>
      <c r="U3207" s="4">
        <f t="shared" si="334"/>
        <v>-1.5063666740084303</v>
      </c>
      <c r="W3207" s="4">
        <f t="shared" si="335"/>
        <v>-1.042307976277884</v>
      </c>
      <c r="X3207" s="4">
        <f t="shared" si="336"/>
        <v>-2.5900800773114652</v>
      </c>
      <c r="Y3207" s="3">
        <f t="shared" si="333"/>
        <v>-89.153244581585113</v>
      </c>
      <c r="AA3207" s="3"/>
    </row>
    <row r="3208" spans="19:27" x14ac:dyDescent="0.25">
      <c r="S3208" s="4">
        <v>-0.3666453074304914</v>
      </c>
      <c r="T3208" s="4">
        <v>-1.0016186569419543</v>
      </c>
      <c r="U3208" s="4">
        <f t="shared" si="334"/>
        <v>-1.0174902753249315</v>
      </c>
      <c r="W3208" s="4">
        <f t="shared" si="335"/>
        <v>-0.595148992532474</v>
      </c>
      <c r="X3208" s="4">
        <f t="shared" si="336"/>
        <v>-1.7281441663441832</v>
      </c>
      <c r="Y3208" s="3">
        <f t="shared" si="333"/>
        <v>-76.522872132966768</v>
      </c>
      <c r="AA3208" s="3"/>
    </row>
    <row r="3209" spans="19:27" x14ac:dyDescent="0.25">
      <c r="S3209" s="4">
        <v>1.9647164166487392</v>
      </c>
      <c r="T3209" s="4">
        <v>0.91191828021400367</v>
      </c>
      <c r="U3209" s="4">
        <f t="shared" si="334"/>
        <v>1.9206053067042317</v>
      </c>
      <c r="W3209" s="4">
        <f t="shared" si="335"/>
        <v>3.3692307670131432</v>
      </c>
      <c r="X3209" s="4">
        <f t="shared" si="336"/>
        <v>3.4519997285644641</v>
      </c>
      <c r="Y3209" s="3">
        <f t="shared" si="333"/>
        <v>-165.93046503166079</v>
      </c>
      <c r="AA3209" s="3"/>
    </row>
    <row r="3210" spans="19:27" x14ac:dyDescent="0.25">
      <c r="S3210" s="4">
        <v>1.5076779776589331</v>
      </c>
      <c r="T3210" s="4">
        <v>-0.57518058588805809</v>
      </c>
      <c r="U3210" s="4">
        <f t="shared" si="334"/>
        <v>0.46317307438804756</v>
      </c>
      <c r="W3210" s="4">
        <f t="shared" si="335"/>
        <v>2.5920566725121668</v>
      </c>
      <c r="X3210" s="4">
        <f t="shared" si="336"/>
        <v>0.88240712352687056</v>
      </c>
      <c r="Y3210" s="3">
        <f t="shared" si="333"/>
        <v>-310.01920205251781</v>
      </c>
      <c r="AA3210" s="3"/>
    </row>
    <row r="3211" spans="19:27" x14ac:dyDescent="0.25">
      <c r="S3211" s="4">
        <v>0.39624667229814925</v>
      </c>
      <c r="T3211" s="4">
        <v>1.0613722760454667</v>
      </c>
      <c r="U3211" s="4">
        <f t="shared" si="334"/>
        <v>1.0829021447756826</v>
      </c>
      <c r="W3211" s="4">
        <f t="shared" si="335"/>
        <v>0.70211581709306359</v>
      </c>
      <c r="X3211" s="4">
        <f t="shared" si="336"/>
        <v>1.9750488265747921</v>
      </c>
      <c r="Y3211" s="3">
        <f t="shared" si="333"/>
        <v>86.260134076597751</v>
      </c>
      <c r="AA3211" s="3"/>
    </row>
    <row r="3212" spans="19:27" x14ac:dyDescent="0.25">
      <c r="S3212" s="4">
        <v>0.57399437508979645</v>
      </c>
      <c r="T3212" s="4">
        <v>-0.88886211918960112</v>
      </c>
      <c r="U3212" s="4">
        <f t="shared" si="334"/>
        <v>-0.35467412988648656</v>
      </c>
      <c r="W3212" s="4">
        <f t="shared" si="335"/>
        <v>1.0043680965119688</v>
      </c>
      <c r="X3212" s="4">
        <f t="shared" si="336"/>
        <v>-0.55953582349764253</v>
      </c>
      <c r="Y3212" s="3">
        <f t="shared" si="333"/>
        <v>-214.31039520786635</v>
      </c>
      <c r="AA3212" s="3"/>
    </row>
    <row r="3213" spans="19:27" x14ac:dyDescent="0.25">
      <c r="S3213" s="4">
        <v>-1.7265577614600758</v>
      </c>
      <c r="T3213" s="4">
        <v>-0.50561979370061971</v>
      </c>
      <c r="U3213" s="4">
        <f t="shared" si="334"/>
        <v>-1.4533489091738145</v>
      </c>
      <c r="W3213" s="4">
        <f t="shared" si="335"/>
        <v>-2.9076212922302598</v>
      </c>
      <c r="X3213" s="4">
        <f t="shared" si="336"/>
        <v>-2.4966046803538005</v>
      </c>
      <c r="Y3213" s="3">
        <f t="shared" si="333"/>
        <v>238.47845752207286</v>
      </c>
      <c r="AA3213" s="3"/>
    </row>
    <row r="3214" spans="19:27" x14ac:dyDescent="0.25">
      <c r="S3214" s="4">
        <v>-0.58939797500456614</v>
      </c>
      <c r="T3214" s="4">
        <v>-0.15216379888213169</v>
      </c>
      <c r="U3214" s="4">
        <f t="shared" si="334"/>
        <v>-0.47992918506929516</v>
      </c>
      <c r="W3214" s="4">
        <f t="shared" si="335"/>
        <v>-0.97393026769655244</v>
      </c>
      <c r="X3214" s="4">
        <f t="shared" si="336"/>
        <v>-0.78037248156291827</v>
      </c>
      <c r="Y3214" s="3">
        <f t="shared" si="333"/>
        <v>80.5006363462644</v>
      </c>
      <c r="AA3214" s="3"/>
    </row>
    <row r="3215" spans="19:27" x14ac:dyDescent="0.25">
      <c r="S3215" s="4">
        <v>0.6953335437671222</v>
      </c>
      <c r="T3215" s="4">
        <v>-0.59640993701401779</v>
      </c>
      <c r="U3215" s="4">
        <f t="shared" si="334"/>
        <v>-4.8878554626974158E-2</v>
      </c>
      <c r="W3215" s="4">
        <f t="shared" si="335"/>
        <v>1.2107001038432061</v>
      </c>
      <c r="X3215" s="4">
        <f t="shared" si="336"/>
        <v>-2.0388938025446959E-2</v>
      </c>
      <c r="Y3215" s="3">
        <f t="shared" si="333"/>
        <v>-192.28978356836024</v>
      </c>
      <c r="AA3215" s="3"/>
    </row>
    <row r="3216" spans="19:27" x14ac:dyDescent="0.25">
      <c r="S3216" s="4">
        <v>0.6549712753424165</v>
      </c>
      <c r="T3216" s="4">
        <v>0.25794573997153442</v>
      </c>
      <c r="U3216" s="4">
        <f t="shared" si="334"/>
        <v>0.60375663246662292</v>
      </c>
      <c r="W3216" s="4">
        <f t="shared" si="335"/>
        <v>1.1420658124161875</v>
      </c>
      <c r="X3216" s="4">
        <f t="shared" si="336"/>
        <v>1.1302694002205085</v>
      </c>
      <c r="Y3216" s="3">
        <f t="shared" si="333"/>
        <v>-66.638677750997431</v>
      </c>
      <c r="AA3216" s="3"/>
    </row>
    <row r="3217" spans="19:27" x14ac:dyDescent="0.25">
      <c r="S3217" s="4">
        <v>2.0519070514306916</v>
      </c>
      <c r="T3217" s="4">
        <v>0.74887754603834844</v>
      </c>
      <c r="U3217" s="4">
        <f t="shared" si="334"/>
        <v>1.8445175743088358</v>
      </c>
      <c r="W3217" s="4">
        <f t="shared" si="335"/>
        <v>3.5174946696848846</v>
      </c>
      <c r="X3217" s="4">
        <f t="shared" si="336"/>
        <v>3.3178497693676841</v>
      </c>
      <c r="Y3217" s="3">
        <f t="shared" si="333"/>
        <v>-200.54289776224959</v>
      </c>
      <c r="AA3217" s="3"/>
    </row>
    <row r="3218" spans="19:27" x14ac:dyDescent="0.25">
      <c r="S3218" s="4">
        <v>-1.1831252555893169E-2</v>
      </c>
      <c r="T3218" s="4">
        <v>0.55109633256005042</v>
      </c>
      <c r="U3218" s="4">
        <f t="shared" si="334"/>
        <v>0.42963706895206999</v>
      </c>
      <c r="W3218" s="4">
        <f t="shared" si="335"/>
        <v>8.1969588997120903E-3</v>
      </c>
      <c r="X3218" s="4">
        <f t="shared" si="336"/>
        <v>0.82327993417286605</v>
      </c>
      <c r="Y3218" s="3">
        <f t="shared" si="333"/>
        <v>81.014601305643282</v>
      </c>
      <c r="AA3218" s="3"/>
    </row>
    <row r="3219" spans="19:27" x14ac:dyDescent="0.25">
      <c r="S3219" s="4">
        <v>1.3320734952173774</v>
      </c>
      <c r="T3219" s="4">
        <v>1.8442334948774888</v>
      </c>
      <c r="U3219" s="4">
        <f t="shared" si="334"/>
        <v>2.2739708961635179</v>
      </c>
      <c r="W3219" s="4">
        <f t="shared" si="335"/>
        <v>2.2934488465851386</v>
      </c>
      <c r="X3219" s="4">
        <f t="shared" si="336"/>
        <v>4.0750171048896124</v>
      </c>
      <c r="Y3219" s="3">
        <f t="shared" si="333"/>
        <v>53.400204633166595</v>
      </c>
      <c r="AA3219" s="3"/>
    </row>
    <row r="3220" spans="19:27" x14ac:dyDescent="0.25">
      <c r="S3220" s="4">
        <v>1.1787616229823925</v>
      </c>
      <c r="T3220" s="4">
        <v>-1.5232735604693388</v>
      </c>
      <c r="U3220" s="4">
        <f t="shared" si="334"/>
        <v>-0.48888740831961086</v>
      </c>
      <c r="W3220" s="4">
        <f t="shared" si="335"/>
        <v>2.0327486399595611</v>
      </c>
      <c r="X3220" s="4">
        <f t="shared" si="336"/>
        <v>-0.7961666870895141</v>
      </c>
      <c r="Y3220" s="3">
        <f t="shared" si="333"/>
        <v>-394.80350991181604</v>
      </c>
      <c r="AA3220" s="3"/>
    </row>
    <row r="3221" spans="19:27" x14ac:dyDescent="0.25">
      <c r="S3221" s="4">
        <v>-0.19994555225324692</v>
      </c>
      <c r="T3221" s="4">
        <v>-9.1194927066776774E-2</v>
      </c>
      <c r="U3221" s="4">
        <f t="shared" si="334"/>
        <v>-0.19418076066301465</v>
      </c>
      <c r="W3221" s="4">
        <f t="shared" si="335"/>
        <v>-0.31168327010929053</v>
      </c>
      <c r="X3221" s="4">
        <f t="shared" si="336"/>
        <v>-0.27657064297682887</v>
      </c>
      <c r="Y3221" s="3">
        <f t="shared" si="333"/>
        <v>22.541883083123594</v>
      </c>
      <c r="AA3221" s="3"/>
    </row>
    <row r="3222" spans="19:27" x14ac:dyDescent="0.25">
      <c r="S3222" s="4">
        <v>0.94225764668899004</v>
      </c>
      <c r="T3222" s="4">
        <v>0.3575583168103087</v>
      </c>
      <c r="U3222" s="4">
        <f t="shared" si="334"/>
        <v>0.85785490897695582</v>
      </c>
      <c r="W3222" s="4">
        <f t="shared" si="335"/>
        <v>1.6305838591853883</v>
      </c>
      <c r="X3222" s="4">
        <f t="shared" si="336"/>
        <v>1.5782689969057688</v>
      </c>
      <c r="Y3222" s="3">
        <f t="shared" si="333"/>
        <v>-96.663005706440345</v>
      </c>
      <c r="AA3222" s="3"/>
    </row>
    <row r="3223" spans="19:27" x14ac:dyDescent="0.25">
      <c r="S3223" s="4">
        <v>0.28671173099823904</v>
      </c>
      <c r="T3223" s="4">
        <v>0.16036818290770394</v>
      </c>
      <c r="U3223" s="4">
        <f t="shared" si="334"/>
        <v>0.30190844696938435</v>
      </c>
      <c r="W3223" s="4">
        <f t="shared" si="335"/>
        <v>0.51585638777868592</v>
      </c>
      <c r="X3223" s="4">
        <f t="shared" si="336"/>
        <v>0.59808214094391321</v>
      </c>
      <c r="Y3223" s="3">
        <f t="shared" si="333"/>
        <v>-22.171931299144489</v>
      </c>
      <c r="AA3223" s="3"/>
    </row>
    <row r="3224" spans="19:27" x14ac:dyDescent="0.25">
      <c r="S3224" s="4">
        <v>-0.84315663403828733</v>
      </c>
      <c r="T3224" s="4">
        <v>-1.0775963067097711</v>
      </c>
      <c r="U3224" s="4">
        <f t="shared" si="334"/>
        <v>-1.3682090884645581</v>
      </c>
      <c r="W3224" s="4">
        <f t="shared" si="335"/>
        <v>-1.4054358900512469</v>
      </c>
      <c r="X3224" s="4">
        <f t="shared" si="336"/>
        <v>-2.3464950225338614</v>
      </c>
      <c r="Y3224" s="3">
        <f t="shared" si="333"/>
        <v>-4.2826629512592262</v>
      </c>
      <c r="AA3224" s="3"/>
    </row>
    <row r="3225" spans="19:27" x14ac:dyDescent="0.25">
      <c r="S3225" s="4">
        <v>0.36566107386855767</v>
      </c>
      <c r="T3225" s="4">
        <v>-0.59315210975256505</v>
      </c>
      <c r="U3225" s="4">
        <f t="shared" si="334"/>
        <v>-0.24727179421165338</v>
      </c>
      <c r="W3225" s="4">
        <f t="shared" si="335"/>
        <v>0.65010633006429641</v>
      </c>
      <c r="X3225" s="4">
        <f t="shared" si="336"/>
        <v>-0.3701752196943201</v>
      </c>
      <c r="Y3225" s="3">
        <f t="shared" si="333"/>
        <v>-140.10853886967743</v>
      </c>
      <c r="AA3225" s="3"/>
    </row>
    <row r="3226" spans="19:27" x14ac:dyDescent="0.25">
      <c r="S3226" s="4">
        <v>0.18954166929971217</v>
      </c>
      <c r="T3226" s="4">
        <v>-1.6826394941763179</v>
      </c>
      <c r="U3226" s="4">
        <f t="shared" si="334"/>
        <v>-1.2182660671553629</v>
      </c>
      <c r="W3226" s="4">
        <f t="shared" si="335"/>
        <v>0.35062290133480045</v>
      </c>
      <c r="X3226" s="4">
        <f t="shared" si="336"/>
        <v>-2.0821311158012743</v>
      </c>
      <c r="Y3226" s="3">
        <f t="shared" si="333"/>
        <v>-264.08334118851826</v>
      </c>
      <c r="AA3226" s="3"/>
    </row>
    <row r="3227" spans="19:27" x14ac:dyDescent="0.25">
      <c r="S3227" s="4">
        <v>0.96262928036129092</v>
      </c>
      <c r="T3227" s="4">
        <v>-4.2973114991142541E-3</v>
      </c>
      <c r="U3227" s="4">
        <f t="shared" si="334"/>
        <v>0.58343384282318578</v>
      </c>
      <c r="W3227" s="4">
        <f t="shared" si="335"/>
        <v>1.6652249409897333</v>
      </c>
      <c r="X3227" s="4">
        <f t="shared" si="336"/>
        <v>1.0944383757491205</v>
      </c>
      <c r="Y3227" s="3">
        <f t="shared" si="333"/>
        <v>-150.30621469698826</v>
      </c>
      <c r="AA3227" s="3"/>
    </row>
    <row r="3228" spans="19:27" x14ac:dyDescent="0.25">
      <c r="S3228" s="4">
        <v>-0.54126780283083586</v>
      </c>
      <c r="T3228" s="4">
        <v>-9.171145153082845E-2</v>
      </c>
      <c r="U3228" s="4">
        <f t="shared" si="334"/>
        <v>-0.40266786496730222</v>
      </c>
      <c r="W3228" s="4">
        <f t="shared" si="335"/>
        <v>-0.892086991975647</v>
      </c>
      <c r="X3228" s="4">
        <f t="shared" si="336"/>
        <v>-0.64415337484396307</v>
      </c>
      <c r="Y3228" s="3">
        <f t="shared" si="333"/>
        <v>80.609322723154946</v>
      </c>
      <c r="AA3228" s="3"/>
    </row>
    <row r="3229" spans="19:27" x14ac:dyDescent="0.25">
      <c r="S3229" s="4">
        <v>-0.78725383739767352</v>
      </c>
      <c r="T3229" s="4">
        <v>-0.33560022048707566</v>
      </c>
      <c r="U3229" s="4">
        <f t="shared" si="334"/>
        <v>-0.74595512070419412</v>
      </c>
      <c r="W3229" s="4">
        <f t="shared" si="335"/>
        <v>-1.3103756026599487</v>
      </c>
      <c r="X3229" s="4">
        <f t="shared" si="336"/>
        <v>-1.2494016836063542</v>
      </c>
      <c r="Y3229" s="3">
        <f t="shared" si="333"/>
        <v>89.518518721547025</v>
      </c>
      <c r="AA3229" s="3"/>
    </row>
    <row r="3230" spans="19:27" x14ac:dyDescent="0.25">
      <c r="S3230" s="4">
        <v>-0.33126706226409597</v>
      </c>
      <c r="T3230" s="4">
        <v>-1.0455520453777145</v>
      </c>
      <c r="U3230" s="4">
        <f t="shared" si="334"/>
        <v>-1.0307485540952908</v>
      </c>
      <c r="W3230" s="4">
        <f t="shared" si="335"/>
        <v>-0.53498981705261861</v>
      </c>
      <c r="X3230" s="4">
        <f t="shared" si="336"/>
        <v>-1.7515197815724124</v>
      </c>
      <c r="Y3230" s="3">
        <f t="shared" si="333"/>
        <v>-88.677544160329035</v>
      </c>
      <c r="AA3230" s="3"/>
    </row>
    <row r="3231" spans="19:27" x14ac:dyDescent="0.25">
      <c r="S3231" s="4">
        <v>-0.42640226425344363</v>
      </c>
      <c r="T3231" s="4">
        <v>1.0530538273812675</v>
      </c>
      <c r="U3231" s="4">
        <f t="shared" si="334"/>
        <v>0.57480303036545422</v>
      </c>
      <c r="W3231" s="4">
        <f t="shared" si="335"/>
        <v>-0.69676311258693124</v>
      </c>
      <c r="X3231" s="4">
        <f t="shared" si="336"/>
        <v>1.0792214268062472</v>
      </c>
      <c r="Y3231" s="3">
        <f t="shared" si="333"/>
        <v>220.83856363400446</v>
      </c>
      <c r="AA3231" s="3"/>
    </row>
    <row r="3232" spans="19:27" x14ac:dyDescent="0.25">
      <c r="S3232" s="4">
        <v>-0.27557073899412832</v>
      </c>
      <c r="T3232" s="4">
        <v>-0.69568733314885078</v>
      </c>
      <c r="U3232" s="4">
        <f t="shared" si="334"/>
        <v>-0.71945986764926095</v>
      </c>
      <c r="W3232" s="4">
        <f t="shared" si="335"/>
        <v>-0.44028062869628382</v>
      </c>
      <c r="X3232" s="4">
        <f t="shared" si="336"/>
        <v>-1.2026880149986836</v>
      </c>
      <c r="Y3232" s="3">
        <f t="shared" si="333"/>
        <v>-49.211301017161986</v>
      </c>
      <c r="AA3232" s="3"/>
    </row>
    <row r="3233" spans="19:27" x14ac:dyDescent="0.25">
      <c r="S3233" s="4">
        <v>0.70931349115262532</v>
      </c>
      <c r="T3233" s="4">
        <v>7.4622586408796654E-2</v>
      </c>
      <c r="U3233" s="4">
        <f t="shared" si="334"/>
        <v>0.49156605898402139</v>
      </c>
      <c r="W3233" s="4">
        <f t="shared" si="335"/>
        <v>1.234472399614464</v>
      </c>
      <c r="X3233" s="4">
        <f t="shared" si="336"/>
        <v>0.93246667458868127</v>
      </c>
      <c r="Y3233" s="3">
        <f t="shared" si="333"/>
        <v>-100.66499064714071</v>
      </c>
      <c r="AA3233" s="3"/>
    </row>
    <row r="3234" spans="19:27" x14ac:dyDescent="0.25">
      <c r="S3234" s="4">
        <v>0.28814353197894188</v>
      </c>
      <c r="T3234" s="4">
        <v>0.63675784092030063</v>
      </c>
      <c r="U3234" s="4">
        <f t="shared" si="334"/>
        <v>0.68041158460537154</v>
      </c>
      <c r="W3234" s="4">
        <f t="shared" si="335"/>
        <v>0.51829110340816964</v>
      </c>
      <c r="X3234" s="4">
        <f t="shared" si="336"/>
        <v>1.2654194221479136</v>
      </c>
      <c r="Y3234" s="3">
        <f t="shared" si="333"/>
        <v>44.17811453893728</v>
      </c>
      <c r="AA3234" s="3"/>
    </row>
    <row r="3235" spans="19:27" x14ac:dyDescent="0.25">
      <c r="S3235" s="4">
        <v>0.95780590502265495</v>
      </c>
      <c r="T3235" s="4">
        <v>0.15275259922282761</v>
      </c>
      <c r="U3235" s="4">
        <f t="shared" si="334"/>
        <v>0.70498561640279278</v>
      </c>
      <c r="W3235" s="4">
        <f t="shared" si="335"/>
        <v>1.6570229998805164</v>
      </c>
      <c r="X3235" s="4">
        <f t="shared" si="336"/>
        <v>1.3087457936816762</v>
      </c>
      <c r="Y3235" s="3">
        <f t="shared" si="333"/>
        <v>-127.63057712464024</v>
      </c>
      <c r="AA3235" s="3"/>
    </row>
    <row r="3236" spans="19:27" x14ac:dyDescent="0.25">
      <c r="S3236" s="4">
        <v>1.1221493522572348</v>
      </c>
      <c r="T3236" s="4">
        <v>-0.94901133216412381</v>
      </c>
      <c r="U3236" s="4">
        <f t="shared" si="334"/>
        <v>-6.8186426522245935E-2</v>
      </c>
      <c r="W3236" s="4">
        <f t="shared" si="335"/>
        <v>1.936481922578597</v>
      </c>
      <c r="X3236" s="4">
        <f t="shared" si="336"/>
        <v>-5.443056530732536E-2</v>
      </c>
      <c r="Y3236" s="3">
        <f t="shared" si="333"/>
        <v>-306.17450852684669</v>
      </c>
      <c r="AA3236" s="3"/>
    </row>
    <row r="3237" spans="19:27" x14ac:dyDescent="0.25">
      <c r="S3237" s="4">
        <v>0.50959540095800115</v>
      </c>
      <c r="T3237" s="4">
        <v>-0.50440596985911978</v>
      </c>
      <c r="U3237" s="4">
        <f t="shared" si="334"/>
        <v>-8.9177860171108625E-2</v>
      </c>
      <c r="W3237" s="4">
        <f t="shared" si="335"/>
        <v>0.89486042683260048</v>
      </c>
      <c r="X3237" s="4">
        <f t="shared" si="336"/>
        <v>-9.1440473196855943E-2</v>
      </c>
      <c r="Y3237" s="3">
        <f t="shared" si="333"/>
        <v>-150.48567990342599</v>
      </c>
      <c r="AA3237" s="3"/>
    </row>
    <row r="3238" spans="19:27" x14ac:dyDescent="0.25">
      <c r="S3238" s="4">
        <v>-0.8978300556456702</v>
      </c>
      <c r="T3238" s="4">
        <v>2.1386484726220814</v>
      </c>
      <c r="U3238" s="4">
        <f t="shared" si="334"/>
        <v>1.1479523413911887</v>
      </c>
      <c r="W3238" s="4">
        <f t="shared" si="335"/>
        <v>-1.4984056783800042</v>
      </c>
      <c r="X3238" s="4">
        <f t="shared" si="336"/>
        <v>2.0897385531178942</v>
      </c>
      <c r="Y3238" s="3">
        <f t="shared" si="333"/>
        <v>454.94520400219608</v>
      </c>
      <c r="AA3238" s="3"/>
    </row>
    <row r="3239" spans="19:27" x14ac:dyDescent="0.25">
      <c r="S3239" s="4">
        <v>1.5100456994035076</v>
      </c>
      <c r="T3239" s="4">
        <v>1.084366209838564</v>
      </c>
      <c r="U3239" s="4">
        <f t="shared" si="334"/>
        <v>1.7801259904213123</v>
      </c>
      <c r="W3239" s="4">
        <f t="shared" si="335"/>
        <v>2.5960828809136687</v>
      </c>
      <c r="X3239" s="4">
        <f t="shared" si="336"/>
        <v>3.2043212401398891</v>
      </c>
      <c r="Y3239" s="3">
        <f t="shared" si="333"/>
        <v>-78.420174882917763</v>
      </c>
      <c r="AA3239" s="3"/>
    </row>
    <row r="3240" spans="19:27" x14ac:dyDescent="0.25">
      <c r="S3240" s="4">
        <v>-0.22688548649236018</v>
      </c>
      <c r="T3240" s="4">
        <v>3.9416470531391037E-2</v>
      </c>
      <c r="U3240" s="4">
        <f t="shared" si="334"/>
        <v>-0.10706933319640327</v>
      </c>
      <c r="W3240" s="4">
        <f t="shared" si="335"/>
        <v>-0.35749346288973999</v>
      </c>
      <c r="X3240" s="4">
        <f t="shared" si="336"/>
        <v>-0.1229848536212988</v>
      </c>
      <c r="Y3240" s="3">
        <f t="shared" si="333"/>
        <v>45.321033475700915</v>
      </c>
      <c r="AA3240" s="3"/>
    </row>
    <row r="3241" spans="19:27" x14ac:dyDescent="0.25">
      <c r="S3241" s="4">
        <v>0.10428541131115218</v>
      </c>
      <c r="T3241" s="4">
        <v>1.0327203232727531</v>
      </c>
      <c r="U3241" s="4">
        <f t="shared" si="334"/>
        <v>0.8822038715912458</v>
      </c>
      <c r="W3241" s="4">
        <f t="shared" si="335"/>
        <v>0.20564832272112152</v>
      </c>
      <c r="X3241" s="4">
        <f t="shared" si="336"/>
        <v>1.6211985499146135</v>
      </c>
      <c r="Y3241" s="3">
        <f t="shared" si="333"/>
        <v>129.27384743347193</v>
      </c>
      <c r="AA3241" s="3"/>
    </row>
    <row r="3242" spans="19:27" x14ac:dyDescent="0.25">
      <c r="S3242" s="4">
        <v>-2.602452960032863</v>
      </c>
      <c r="T3242" s="4">
        <v>0.50960326009573143</v>
      </c>
      <c r="U3242" s="4">
        <f t="shared" si="334"/>
        <v>-1.1825549528808765</v>
      </c>
      <c r="W3242" s="4">
        <f t="shared" si="335"/>
        <v>-4.3970431871001177</v>
      </c>
      <c r="X3242" s="4">
        <f t="shared" si="336"/>
        <v>-2.019169001253045</v>
      </c>
      <c r="Y3242" s="3">
        <f t="shared" si="333"/>
        <v>553.82879196080648</v>
      </c>
      <c r="AA3242" s="3"/>
    </row>
    <row r="3243" spans="19:27" x14ac:dyDescent="0.25">
      <c r="S3243" s="4">
        <v>1.03994607720492</v>
      </c>
      <c r="T3243" s="4">
        <v>-0.36272285174192104</v>
      </c>
      <c r="U3243" s="4">
        <f t="shared" si="334"/>
        <v>0.34644682212544553</v>
      </c>
      <c r="W3243" s="4">
        <f t="shared" si="335"/>
        <v>1.7966988093791789</v>
      </c>
      <c r="X3243" s="4">
        <f t="shared" si="336"/>
        <v>0.6766075618202757</v>
      </c>
      <c r="Y3243" s="3">
        <f t="shared" si="333"/>
        <v>-211.99837872758599</v>
      </c>
      <c r="AA3243" s="3"/>
    </row>
    <row r="3244" spans="19:27" x14ac:dyDescent="0.25">
      <c r="S3244" s="4">
        <v>-0.62490174035347379</v>
      </c>
      <c r="T3244" s="4">
        <v>1.255176437306823</v>
      </c>
      <c r="U3244" s="4">
        <f t="shared" si="334"/>
        <v>0.61401430057896311</v>
      </c>
      <c r="W3244" s="4">
        <f t="shared" si="335"/>
        <v>-1.0343028848168989</v>
      </c>
      <c r="X3244" s="4">
        <f t="shared" si="336"/>
        <v>1.1483546514877392</v>
      </c>
      <c r="Y3244" s="3">
        <f t="shared" si="333"/>
        <v>283.36407284666802</v>
      </c>
      <c r="AA3244" s="3"/>
    </row>
    <row r="3245" spans="19:27" x14ac:dyDescent="0.25">
      <c r="S3245" s="4">
        <v>0.65451188114771286</v>
      </c>
      <c r="T3245" s="4">
        <v>0.34495659859132882</v>
      </c>
      <c r="U3245" s="4">
        <f t="shared" si="334"/>
        <v>0.6724493887046008</v>
      </c>
      <c r="W3245" s="4">
        <f t="shared" si="335"/>
        <v>1.1412846324610026</v>
      </c>
      <c r="X3245" s="4">
        <f t="shared" si="336"/>
        <v>1.2513813082289107</v>
      </c>
      <c r="Y3245" s="3">
        <f t="shared" si="333"/>
        <v>-54.406870326416538</v>
      </c>
      <c r="AA3245" s="3"/>
    </row>
    <row r="3246" spans="19:27" x14ac:dyDescent="0.25">
      <c r="S3246" s="4">
        <v>-1.9176157298331262</v>
      </c>
      <c r="T3246" s="4">
        <v>0.87335704107726952</v>
      </c>
      <c r="U3246" s="4">
        <f t="shared" si="334"/>
        <v>-0.47671817832015217</v>
      </c>
      <c r="W3246" s="4">
        <f t="shared" si="335"/>
        <v>-3.2325071024822805</v>
      </c>
      <c r="X3246" s="4">
        <f t="shared" si="336"/>
        <v>-0.77471116914346472</v>
      </c>
      <c r="Y3246" s="3">
        <f t="shared" si="333"/>
        <v>468.01129877016865</v>
      </c>
      <c r="AA3246" s="3"/>
    </row>
    <row r="3247" spans="19:27" x14ac:dyDescent="0.25">
      <c r="S3247" s="4">
        <v>1.4633699786808505</v>
      </c>
      <c r="T3247" s="4">
        <v>0.5491228751532119</v>
      </c>
      <c r="U3247" s="4">
        <f t="shared" si="334"/>
        <v>1.327388310051181</v>
      </c>
      <c r="W3247" s="4">
        <f t="shared" si="335"/>
        <v>2.516712836967276</v>
      </c>
      <c r="X3247" s="4">
        <f t="shared" si="336"/>
        <v>2.4061013505933686</v>
      </c>
      <c r="Y3247" s="3">
        <f t="shared" si="333"/>
        <v>-146.54950613623259</v>
      </c>
      <c r="AA3247" s="3"/>
    </row>
    <row r="3248" spans="19:27" x14ac:dyDescent="0.25">
      <c r="S3248" s="4">
        <v>-0.52845758327426817</v>
      </c>
      <c r="T3248" s="4">
        <v>2.6508748932760766</v>
      </c>
      <c r="U3248" s="4">
        <f t="shared" si="334"/>
        <v>1.7791678374756668</v>
      </c>
      <c r="W3248" s="4">
        <f t="shared" si="335"/>
        <v>-0.8703037677763007</v>
      </c>
      <c r="X3248" s="4">
        <f t="shared" si="336"/>
        <v>3.202631924733633</v>
      </c>
      <c r="Y3248" s="3">
        <f t="shared" si="333"/>
        <v>461.69712410157717</v>
      </c>
      <c r="AA3248" s="3"/>
    </row>
    <row r="3249" spans="19:27" x14ac:dyDescent="0.25">
      <c r="S3249" s="4">
        <v>-1.2175648967084796</v>
      </c>
      <c r="T3249" s="4">
        <v>-0.22074039227756961</v>
      </c>
      <c r="U3249" s="4">
        <f t="shared" si="334"/>
        <v>-0.91723387437878168</v>
      </c>
      <c r="W3249" s="4">
        <f t="shared" si="335"/>
        <v>-2.0421009442150617</v>
      </c>
      <c r="X3249" s="4">
        <f t="shared" si="336"/>
        <v>-1.5513825298394806</v>
      </c>
      <c r="Y3249" s="3">
        <f t="shared" si="333"/>
        <v>183.00768421447628</v>
      </c>
      <c r="AA3249" s="3"/>
    </row>
    <row r="3250" spans="19:27" x14ac:dyDescent="0.25">
      <c r="S3250" s="4">
        <v>-2.2208576364574464</v>
      </c>
      <c r="T3250" s="4">
        <v>-1.7420921632333495</v>
      </c>
      <c r="U3250" s="4">
        <f t="shared" si="334"/>
        <v>-2.7348269206865625</v>
      </c>
      <c r="W3250" s="4">
        <f t="shared" si="335"/>
        <v>-3.7481568467716491</v>
      </c>
      <c r="X3250" s="4">
        <f t="shared" si="336"/>
        <v>-4.7559731428368375</v>
      </c>
      <c r="Y3250" s="3">
        <f t="shared" si="333"/>
        <v>162.0749902933685</v>
      </c>
      <c r="AA3250" s="3"/>
    </row>
    <row r="3251" spans="19:27" x14ac:dyDescent="0.25">
      <c r="S3251" s="4">
        <v>-0.77096059551863583</v>
      </c>
      <c r="T3251" s="4">
        <v>-0.27991421275029255</v>
      </c>
      <c r="U3251" s="4">
        <f t="shared" si="334"/>
        <v>-0.69188054302274726</v>
      </c>
      <c r="W3251" s="4">
        <f t="shared" si="335"/>
        <v>-1.2826696496731169</v>
      </c>
      <c r="X3251" s="4">
        <f t="shared" si="336"/>
        <v>-1.1540630243879046</v>
      </c>
      <c r="Y3251" s="3">
        <f t="shared" si="333"/>
        <v>94.424827134694169</v>
      </c>
      <c r="AA3251" s="3"/>
    </row>
    <row r="3252" spans="19:27" x14ac:dyDescent="0.25">
      <c r="S3252" s="4">
        <v>-0.49254268071106266</v>
      </c>
      <c r="T3252" s="4">
        <v>0.37504991249619912</v>
      </c>
      <c r="U3252" s="4">
        <f t="shared" si="334"/>
        <v>-2.9659353616652839E-3</v>
      </c>
      <c r="W3252" s="4">
        <f t="shared" si="335"/>
        <v>-0.80923202960840313</v>
      </c>
      <c r="X3252" s="4">
        <f t="shared" si="336"/>
        <v>6.0559406827989534E-2</v>
      </c>
      <c r="Y3252" s="3">
        <f t="shared" si="333"/>
        <v>137.43611954173184</v>
      </c>
      <c r="AA3252" s="3"/>
    </row>
    <row r="3253" spans="19:27" x14ac:dyDescent="0.25">
      <c r="S3253" s="4">
        <v>0.1128489036273925</v>
      </c>
      <c r="T3253" s="4">
        <v>1.5443296841589911</v>
      </c>
      <c r="U3253" s="4">
        <f t="shared" si="334"/>
        <v>1.2929730247639915</v>
      </c>
      <c r="W3253" s="4">
        <f t="shared" si="335"/>
        <v>0.2202101709572358</v>
      </c>
      <c r="X3253" s="4">
        <f t="shared" si="336"/>
        <v>2.3454239066523344</v>
      </c>
      <c r="Y3253" s="3">
        <f t="shared" si="333"/>
        <v>199.37884587797271</v>
      </c>
      <c r="AA3253" s="3"/>
    </row>
    <row r="3254" spans="19:27" x14ac:dyDescent="0.25">
      <c r="S3254" s="4">
        <v>-1.1465954825743592E-2</v>
      </c>
      <c r="T3254" s="4">
        <v>1.5614748972742023</v>
      </c>
      <c r="U3254" s="4">
        <f t="shared" si="334"/>
        <v>1.230778786955536</v>
      </c>
      <c r="W3254" s="4">
        <f t="shared" si="335"/>
        <v>8.8181318874366345E-3</v>
      </c>
      <c r="X3254" s="4">
        <f t="shared" si="336"/>
        <v>2.2357695090035485</v>
      </c>
      <c r="Y3254" s="3">
        <f t="shared" si="333"/>
        <v>222.16404290222181</v>
      </c>
      <c r="AA3254" s="3"/>
    </row>
    <row r="3255" spans="19:27" x14ac:dyDescent="0.25">
      <c r="S3255" s="4">
        <v>-1.2120799723433482</v>
      </c>
      <c r="T3255" s="4">
        <v>0.63759188705603964</v>
      </c>
      <c r="U3255" s="4">
        <f t="shared" si="334"/>
        <v>-0.23349699468086293</v>
      </c>
      <c r="W3255" s="4">
        <f t="shared" si="335"/>
        <v>-2.0327740676042034</v>
      </c>
      <c r="X3255" s="4">
        <f t="shared" si="336"/>
        <v>-0.34588892889783973</v>
      </c>
      <c r="Y3255" s="3">
        <f t="shared" si="333"/>
        <v>301.96256673073367</v>
      </c>
      <c r="AA3255" s="3"/>
    </row>
    <row r="3256" spans="19:27" x14ac:dyDescent="0.25">
      <c r="S3256" s="4">
        <v>1.4685473869290713</v>
      </c>
      <c r="T3256" s="4">
        <v>1.1857619695262691</v>
      </c>
      <c r="U3256" s="4">
        <f t="shared" si="334"/>
        <v>1.8352033026914154</v>
      </c>
      <c r="W3256" s="4">
        <f t="shared" si="335"/>
        <v>2.5255167957241511</v>
      </c>
      <c r="X3256" s="4">
        <f t="shared" si="336"/>
        <v>3.3014278164708424</v>
      </c>
      <c r="Y3256" s="3">
        <f t="shared" si="333"/>
        <v>-58.315379301964185</v>
      </c>
      <c r="AA3256" s="3"/>
    </row>
    <row r="3257" spans="19:27" x14ac:dyDescent="0.25">
      <c r="S3257" s="4">
        <v>-1.139517738491127</v>
      </c>
      <c r="T3257" s="4">
        <v>-0.2201939576790925</v>
      </c>
      <c r="U3257" s="4">
        <f t="shared" si="334"/>
        <v>-0.86922143100766158</v>
      </c>
      <c r="W3257" s="4">
        <f t="shared" si="335"/>
        <v>-1.9093851279042631</v>
      </c>
      <c r="X3257" s="4">
        <f t="shared" si="336"/>
        <v>-1.4667319939856454</v>
      </c>
      <c r="Y3257" s="3">
        <f t="shared" si="333"/>
        <v>168.82793642602519</v>
      </c>
      <c r="AA3257" s="3"/>
    </row>
    <row r="3258" spans="19:27" x14ac:dyDescent="0.25">
      <c r="S3258" s="4">
        <v>-0.20145262929560812</v>
      </c>
      <c r="T3258" s="4">
        <v>-0.98855149528494435</v>
      </c>
      <c r="U3258" s="4">
        <f t="shared" si="334"/>
        <v>-0.90642689822341538</v>
      </c>
      <c r="W3258" s="4">
        <f t="shared" si="335"/>
        <v>-0.31424598942526122</v>
      </c>
      <c r="X3258" s="4">
        <f t="shared" si="336"/>
        <v>-1.5323287958847192</v>
      </c>
      <c r="Y3258" s="3">
        <f t="shared" si="333"/>
        <v>-102.61909776866059</v>
      </c>
      <c r="AA3258" s="3"/>
    </row>
    <row r="3259" spans="19:27" x14ac:dyDescent="0.25">
      <c r="S3259" s="4">
        <v>-2.8124502204662036</v>
      </c>
      <c r="T3259" s="4">
        <v>-0.37405950958789286</v>
      </c>
      <c r="U3259" s="4">
        <f t="shared" si="334"/>
        <v>-2.0110463932314824</v>
      </c>
      <c r="W3259" s="4">
        <f t="shared" si="335"/>
        <v>-4.7541344442068478</v>
      </c>
      <c r="X3259" s="4">
        <f t="shared" si="336"/>
        <v>-3.4798787558867743</v>
      </c>
      <c r="Y3259" s="3">
        <f t="shared" si="333"/>
        <v>473.72195204706895</v>
      </c>
      <c r="AA3259" s="3"/>
    </row>
    <row r="3260" spans="19:27" x14ac:dyDescent="0.25">
      <c r="S3260" s="4">
        <v>-1.1418279642426814</v>
      </c>
      <c r="T3260" s="4">
        <v>8.0680316751457398E-2</v>
      </c>
      <c r="U3260" s="4">
        <f t="shared" si="334"/>
        <v>-0.63212916012584497</v>
      </c>
      <c r="W3260" s="4">
        <f t="shared" si="335"/>
        <v>-1.9133135668568502</v>
      </c>
      <c r="X3260" s="4">
        <f t="shared" si="336"/>
        <v>-1.0487156139023786</v>
      </c>
      <c r="Y3260" s="3">
        <f t="shared" si="333"/>
        <v>211.29852137978287</v>
      </c>
      <c r="AA3260" s="3"/>
    </row>
    <row r="3261" spans="19:27" x14ac:dyDescent="0.25">
      <c r="S3261" s="4">
        <v>1.0743762267165762</v>
      </c>
      <c r="T3261" s="4">
        <v>-1.8528391981518582</v>
      </c>
      <c r="U3261" s="4">
        <f t="shared" si="334"/>
        <v>-0.81376712562260911</v>
      </c>
      <c r="W3261" s="4">
        <f t="shared" si="335"/>
        <v>1.8552457892117689</v>
      </c>
      <c r="X3261" s="4">
        <f t="shared" si="336"/>
        <v>-1.3689607426881005</v>
      </c>
      <c r="Y3261" s="3">
        <f t="shared" si="333"/>
        <v>-425.39307863714794</v>
      </c>
      <c r="AA3261" s="3"/>
    </row>
    <row r="3262" spans="19:27" x14ac:dyDescent="0.25">
      <c r="S3262" s="4">
        <v>-0.91669267352243589</v>
      </c>
      <c r="T3262" s="4">
        <v>5.3787868356089952E-2</v>
      </c>
      <c r="U3262" s="4">
        <f t="shared" si="334"/>
        <v>-0.51619909292998345</v>
      </c>
      <c r="W3262" s="4">
        <f t="shared" si="335"/>
        <v>-1.5304807441024746</v>
      </c>
      <c r="X3262" s="4">
        <f t="shared" si="336"/>
        <v>-0.84431980271973517</v>
      </c>
      <c r="Y3262" s="3">
        <f t="shared" si="333"/>
        <v>166.93361732436551</v>
      </c>
      <c r="AA3262" s="3"/>
    </row>
    <row r="3263" spans="19:27" x14ac:dyDescent="0.25">
      <c r="S3263" s="4">
        <v>-0.14718587628082713</v>
      </c>
      <c r="T3263" s="4">
        <v>0.75807260495537376</v>
      </c>
      <c r="U3263" s="4">
        <f t="shared" si="334"/>
        <v>0.51119030955452627</v>
      </c>
      <c r="W3263" s="4">
        <f t="shared" si="335"/>
        <v>-0.22196772344616877</v>
      </c>
      <c r="X3263" s="4">
        <f t="shared" si="336"/>
        <v>0.96706610777483726</v>
      </c>
      <c r="Y3263" s="3">
        <f t="shared" si="333"/>
        <v>132.40455725263973</v>
      </c>
      <c r="AA3263" s="3"/>
    </row>
    <row r="3264" spans="19:27" x14ac:dyDescent="0.25">
      <c r="S3264" s="4">
        <v>0.77137280429267441</v>
      </c>
      <c r="T3264" s="4">
        <v>0.36617101780782241</v>
      </c>
      <c r="U3264" s="4">
        <f t="shared" si="334"/>
        <v>0.76050691563688766</v>
      </c>
      <c r="W3264" s="4">
        <f t="shared" si="335"/>
        <v>1.3400015769886366</v>
      </c>
      <c r="X3264" s="4">
        <f t="shared" si="336"/>
        <v>1.4066351615511379</v>
      </c>
      <c r="Y3264" s="3">
        <f t="shared" si="333"/>
        <v>-69.464372178843405</v>
      </c>
      <c r="AA3264" s="3"/>
    </row>
    <row r="3265" spans="19:27" x14ac:dyDescent="0.25">
      <c r="S3265" s="4">
        <v>-1.7333993978643807</v>
      </c>
      <c r="T3265" s="4">
        <v>0.73446893000101909</v>
      </c>
      <c r="U3265" s="4">
        <f t="shared" si="334"/>
        <v>-0.47451128932000886</v>
      </c>
      <c r="W3265" s="4">
        <f t="shared" si="335"/>
        <v>-2.9192551989738003</v>
      </c>
      <c r="X3265" s="4">
        <f t="shared" si="336"/>
        <v>-0.77082021248066679</v>
      </c>
      <c r="Y3265" s="3">
        <f t="shared" si="333"/>
        <v>413.10047794848015</v>
      </c>
      <c r="AA3265" s="3"/>
    </row>
    <row r="3266" spans="19:27" x14ac:dyDescent="0.25">
      <c r="S3266" s="4">
        <v>0.15521524565379036</v>
      </c>
      <c r="T3266" s="4">
        <v>-4.2770325463229945E-2</v>
      </c>
      <c r="U3266" s="4">
        <f t="shared" si="334"/>
        <v>6.0718981248168387E-2</v>
      </c>
      <c r="W3266" s="4">
        <f t="shared" si="335"/>
        <v>0.29225230284982007</v>
      </c>
      <c r="X3266" s="4">
        <f t="shared" si="336"/>
        <v>0.17284201396712029</v>
      </c>
      <c r="Y3266" s="3">
        <f t="shared" ref="Y3266:Y3329" si="337">(B$4*EXP(-B$8*B$7)*NORMSDIST((LN(B$4/(B$5+W3266))-B$8*B$7+B$9*B$7+0.5*B$6*B$6*B$7)/(B$6*SQRT(B$7)))-(B$5+W3266)*EXP(-B$9*B$7)*NORMSDIST((LN(B$4/(B$5+W3266))-B$8*B$7+B$9*B$7-0.5*B$6*B$6*B$7)/(B$6*SQRT(B$7))))*400+100*X3266-400*$B$13</f>
        <v>-29.328876148303607</v>
      </c>
      <c r="AA3266" s="3"/>
    </row>
    <row r="3267" spans="19:27" x14ac:dyDescent="0.25">
      <c r="S3267" s="4">
        <v>-0.34031874252552119</v>
      </c>
      <c r="T3267" s="4">
        <v>-0.36900293261097555</v>
      </c>
      <c r="U3267" s="4">
        <f t="shared" ref="U3267:U3330" si="338">$B$19*S3267+SQRT(1-$B$19^2)*T3267</f>
        <v>-0.49997157823146088</v>
      </c>
      <c r="W3267" s="4">
        <f t="shared" ref="W3267:W3330" si="339">S3267*SQRT($B$16)+$B$20</f>
        <v>-0.55038180777102386</v>
      </c>
      <c r="X3267" s="4">
        <f t="shared" ref="X3267:X3330" si="340">U3267*SQRT($C$17)+$C$20</f>
        <v>-0.81570914018402685</v>
      </c>
      <c r="Y3267" s="3">
        <f t="shared" si="337"/>
        <v>7.4134734957224282</v>
      </c>
      <c r="AA3267" s="3"/>
    </row>
    <row r="3268" spans="19:27" x14ac:dyDescent="0.25">
      <c r="S3268" s="4">
        <v>0.27360955301198336</v>
      </c>
      <c r="T3268" s="4">
        <v>-0.1297237836145759</v>
      </c>
      <c r="U3268" s="4">
        <f t="shared" si="338"/>
        <v>6.3967480314345626E-2</v>
      </c>
      <c r="W3268" s="4">
        <f t="shared" si="339"/>
        <v>0.49357670089946909</v>
      </c>
      <c r="X3268" s="4">
        <f t="shared" si="340"/>
        <v>0.17856942893217481</v>
      </c>
      <c r="Y3268" s="3">
        <f t="shared" si="337"/>
        <v>-60.610776727972734</v>
      </c>
      <c r="AA3268" s="3"/>
    </row>
    <row r="3269" spans="19:27" x14ac:dyDescent="0.25">
      <c r="S3269" s="4">
        <v>-0.31849456155012101</v>
      </c>
      <c r="T3269" s="4">
        <v>0.54145461441203635</v>
      </c>
      <c r="U3269" s="4">
        <f t="shared" si="338"/>
        <v>0.23504536053765968</v>
      </c>
      <c r="W3269" s="4">
        <f t="shared" si="339"/>
        <v>-0.51327073211342389</v>
      </c>
      <c r="X3269" s="4">
        <f t="shared" si="340"/>
        <v>0.48019611603289314</v>
      </c>
      <c r="Y3269" s="3">
        <f t="shared" si="337"/>
        <v>130.95444217234217</v>
      </c>
      <c r="AA3269" s="3"/>
    </row>
    <row r="3270" spans="19:27" x14ac:dyDescent="0.25">
      <c r="S3270" s="4">
        <v>-0.99386347252357576</v>
      </c>
      <c r="T3270" s="4">
        <v>1.2846388559816384</v>
      </c>
      <c r="U3270" s="4">
        <f t="shared" si="338"/>
        <v>0.41244162057025202</v>
      </c>
      <c r="W3270" s="4">
        <f t="shared" si="339"/>
        <v>-1.6617063494764799</v>
      </c>
      <c r="X3270" s="4">
        <f t="shared" si="340"/>
        <v>0.79296271185371592</v>
      </c>
      <c r="Y3270" s="3">
        <f t="shared" si="337"/>
        <v>352.78760144545504</v>
      </c>
      <c r="AA3270" s="3"/>
    </row>
    <row r="3271" spans="19:27" x14ac:dyDescent="0.25">
      <c r="S3271" s="4">
        <v>0.22944738141752277</v>
      </c>
      <c r="T3271" s="4">
        <v>0.44939560464410117</v>
      </c>
      <c r="U3271" s="4">
        <f t="shared" si="338"/>
        <v>0.49610855225639067</v>
      </c>
      <c r="W3271" s="4">
        <f t="shared" si="339"/>
        <v>0.41848083851208862</v>
      </c>
      <c r="X3271" s="4">
        <f t="shared" si="340"/>
        <v>0.94047552526612443</v>
      </c>
      <c r="Y3271" s="3">
        <f t="shared" si="337"/>
        <v>27.437564059940541</v>
      </c>
      <c r="AA3271" s="3"/>
    </row>
    <row r="3272" spans="19:27" x14ac:dyDescent="0.25">
      <c r="S3272" s="4">
        <v>0.15066916013492759</v>
      </c>
      <c r="T3272" s="4">
        <v>-0.43256958883075908</v>
      </c>
      <c r="U3272" s="4">
        <f t="shared" si="338"/>
        <v>-0.25104317897575312</v>
      </c>
      <c r="W3272" s="4">
        <f t="shared" si="339"/>
        <v>0.28452188108386223</v>
      </c>
      <c r="X3272" s="4">
        <f t="shared" si="340"/>
        <v>-0.37682453222199841</v>
      </c>
      <c r="Y3272" s="3">
        <f t="shared" si="337"/>
        <v>-83.068227775333526</v>
      </c>
      <c r="AA3272" s="3"/>
    </row>
    <row r="3273" spans="19:27" x14ac:dyDescent="0.25">
      <c r="S3273" s="4">
        <v>-0.89736403435959944</v>
      </c>
      <c r="T3273" s="4">
        <v>0.61548747321212682</v>
      </c>
      <c r="U3273" s="4">
        <f t="shared" si="338"/>
        <v>-5.9161129427572789E-2</v>
      </c>
      <c r="W3273" s="4">
        <f t="shared" si="339"/>
        <v>-1.4976132293426305</v>
      </c>
      <c r="X3273" s="4">
        <f t="shared" si="340"/>
        <v>-3.8518102169411095E-2</v>
      </c>
      <c r="Y3273" s="3">
        <f t="shared" si="337"/>
        <v>241.98633668456114</v>
      </c>
      <c r="AA3273" s="3"/>
    </row>
    <row r="3274" spans="19:27" x14ac:dyDescent="0.25">
      <c r="S3274" s="4">
        <v>-0.75561136878918145</v>
      </c>
      <c r="T3274" s="4">
        <v>-1.9452967238273364</v>
      </c>
      <c r="U3274" s="4">
        <f t="shared" si="338"/>
        <v>-2.002658736951374</v>
      </c>
      <c r="W3274" s="4">
        <f t="shared" si="339"/>
        <v>-1.2565689536110514</v>
      </c>
      <c r="X3274" s="4">
        <f t="shared" si="340"/>
        <v>-3.4650905145723145</v>
      </c>
      <c r="Y3274" s="3">
        <f t="shared" si="337"/>
        <v>-141.03365834978877</v>
      </c>
      <c r="AA3274" s="3"/>
    </row>
    <row r="3275" spans="19:27" x14ac:dyDescent="0.25">
      <c r="S3275" s="4">
        <v>-4.368242262372405E-2</v>
      </c>
      <c r="T3275" s="4">
        <v>-0.29550475873736493</v>
      </c>
      <c r="U3275" s="4">
        <f t="shared" si="338"/>
        <v>-0.26087404327704566</v>
      </c>
      <c r="W3275" s="4">
        <f t="shared" si="339"/>
        <v>-4.5964577952585781E-2</v>
      </c>
      <c r="X3275" s="4">
        <f t="shared" si="340"/>
        <v>-0.39415728749500589</v>
      </c>
      <c r="Y3275" s="3">
        <f t="shared" si="337"/>
        <v>-32.044423899063077</v>
      </c>
      <c r="AA3275" s="3"/>
    </row>
    <row r="3276" spans="19:27" x14ac:dyDescent="0.25">
      <c r="S3276" s="4">
        <v>-0.47702144490797099</v>
      </c>
      <c r="T3276" s="4">
        <v>-0.24020931505915269</v>
      </c>
      <c r="U3276" s="4">
        <f t="shared" si="338"/>
        <v>-0.48121492297072255</v>
      </c>
      <c r="W3276" s="4">
        <f t="shared" si="339"/>
        <v>-0.7828388395575484</v>
      </c>
      <c r="X3276" s="4">
        <f t="shared" si="340"/>
        <v>-0.78263936061929396</v>
      </c>
      <c r="Y3276" s="3">
        <f t="shared" si="337"/>
        <v>48.777389384247726</v>
      </c>
      <c r="AA3276" s="3"/>
    </row>
    <row r="3277" spans="19:27" x14ac:dyDescent="0.25">
      <c r="S3277" s="4">
        <v>6.4935374303749349E-2</v>
      </c>
      <c r="T3277" s="4">
        <v>-0.96625071439231103</v>
      </c>
      <c r="U3277" s="4">
        <f t="shared" si="338"/>
        <v>-0.72635317658950249</v>
      </c>
      <c r="W3277" s="4">
        <f t="shared" si="339"/>
        <v>0.13873528703116214</v>
      </c>
      <c r="X3277" s="4">
        <f t="shared" si="340"/>
        <v>-1.2148415788381042</v>
      </c>
      <c r="Y3277" s="3">
        <f t="shared" si="337"/>
        <v>-143.66681699220317</v>
      </c>
      <c r="AA3277" s="3"/>
    </row>
    <row r="3278" spans="19:27" x14ac:dyDescent="0.25">
      <c r="S3278" s="4">
        <v>0.43338674452425446</v>
      </c>
      <c r="T3278" s="4">
        <v>1.3381276879581625</v>
      </c>
      <c r="U3278" s="4">
        <f t="shared" si="338"/>
        <v>1.3249253676901298</v>
      </c>
      <c r="W3278" s="4">
        <f t="shared" si="339"/>
        <v>0.76527090327317371</v>
      </c>
      <c r="X3278" s="4">
        <f t="shared" si="340"/>
        <v>2.4017589473328527</v>
      </c>
      <c r="Y3278" s="3">
        <f t="shared" si="337"/>
        <v>119.04865860936525</v>
      </c>
      <c r="AA3278" s="3"/>
    </row>
    <row r="3279" spans="19:27" x14ac:dyDescent="0.25">
      <c r="S3279" s="4">
        <v>0.21186601705772337</v>
      </c>
      <c r="T3279" s="4">
        <v>-0.14966256128825475</v>
      </c>
      <c r="U3279" s="4">
        <f t="shared" si="338"/>
        <v>1.0521933254579424E-2</v>
      </c>
      <c r="W3279" s="4">
        <f t="shared" si="339"/>
        <v>0.38858448896954262</v>
      </c>
      <c r="X3279" s="4">
        <f t="shared" si="340"/>
        <v>8.4339810942519966E-2</v>
      </c>
      <c r="Y3279" s="3">
        <f t="shared" si="337"/>
        <v>-53.447279101188542</v>
      </c>
      <c r="AA3279" s="3"/>
    </row>
    <row r="3280" spans="19:27" x14ac:dyDescent="0.25">
      <c r="S3280" s="4">
        <v>0.10908402015485831</v>
      </c>
      <c r="T3280" s="4">
        <v>-1.5068155835930688</v>
      </c>
      <c r="U3280" s="4">
        <f t="shared" si="338"/>
        <v>-1.1279406345752063</v>
      </c>
      <c r="W3280" s="4">
        <f t="shared" si="339"/>
        <v>0.21380814947708254</v>
      </c>
      <c r="X3280" s="4">
        <f t="shared" si="340"/>
        <v>-1.9228787276226935</v>
      </c>
      <c r="Y3280" s="3">
        <f t="shared" si="337"/>
        <v>-226.43266202599807</v>
      </c>
      <c r="AA3280" s="3"/>
    </row>
    <row r="3281" spans="19:27" x14ac:dyDescent="0.25">
      <c r="S3281" s="4">
        <v>4.4184709687695368E-2</v>
      </c>
      <c r="T3281" s="4">
        <v>-0.85501491932724827</v>
      </c>
      <c r="U3281" s="4">
        <f t="shared" si="338"/>
        <v>-0.65082751775673986</v>
      </c>
      <c r="W3281" s="4">
        <f t="shared" si="339"/>
        <v>0.10344967950344409</v>
      </c>
      <c r="X3281" s="4">
        <f t="shared" si="340"/>
        <v>-1.0816826091624863</v>
      </c>
      <c r="Y3281" s="3">
        <f t="shared" si="337"/>
        <v>-124.71845934824023</v>
      </c>
      <c r="AA3281" s="3"/>
    </row>
    <row r="3282" spans="19:27" x14ac:dyDescent="0.25">
      <c r="S3282" s="4">
        <v>0.36240467142746158</v>
      </c>
      <c r="T3282" s="4">
        <v>0.63216633854391679</v>
      </c>
      <c r="U3282" s="4">
        <f t="shared" si="338"/>
        <v>0.72204318482812868</v>
      </c>
      <c r="W3282" s="4">
        <f t="shared" si="339"/>
        <v>0.64456895858175012</v>
      </c>
      <c r="X3282" s="4">
        <f t="shared" si="340"/>
        <v>1.3388199204326736</v>
      </c>
      <c r="Y3282" s="3">
        <f t="shared" si="337"/>
        <v>31.659905381211956</v>
      </c>
      <c r="AA3282" s="3"/>
    </row>
    <row r="3283" spans="19:27" x14ac:dyDescent="0.25">
      <c r="S3283" s="4">
        <v>9.0708974379609911E-2</v>
      </c>
      <c r="T3283" s="4">
        <v>1.6758460023410584</v>
      </c>
      <c r="U3283" s="4">
        <f t="shared" si="338"/>
        <v>1.3837279656949559</v>
      </c>
      <c r="W3283" s="4">
        <f t="shared" si="339"/>
        <v>0.18256217902138705</v>
      </c>
      <c r="X3283" s="4">
        <f t="shared" si="340"/>
        <v>2.5054335591877517</v>
      </c>
      <c r="Y3283" s="3">
        <f t="shared" si="337"/>
        <v>221.37377795640259</v>
      </c>
      <c r="AA3283" s="3"/>
    </row>
    <row r="3284" spans="19:27" x14ac:dyDescent="0.25">
      <c r="S3284" s="4">
        <v>1.5482086733787757</v>
      </c>
      <c r="T3284" s="4">
        <v>0.14400923511209116</v>
      </c>
      <c r="U3284" s="4">
        <f t="shared" si="338"/>
        <v>1.057977522023315</v>
      </c>
      <c r="W3284" s="4">
        <f t="shared" si="339"/>
        <v>2.6609773672685781</v>
      </c>
      <c r="X3284" s="4">
        <f t="shared" si="340"/>
        <v>1.9311043296110795</v>
      </c>
      <c r="Y3284" s="3">
        <f t="shared" si="337"/>
        <v>-215.27888629767131</v>
      </c>
      <c r="AA3284" s="3"/>
    </row>
    <row r="3285" spans="19:27" x14ac:dyDescent="0.25">
      <c r="S3285" s="4">
        <v>0.54930014042224762</v>
      </c>
      <c r="T3285" s="4">
        <v>0.23347247857792941</v>
      </c>
      <c r="U3285" s="4">
        <f t="shared" si="338"/>
        <v>0.51993739191630151</v>
      </c>
      <c r="W3285" s="4">
        <f t="shared" si="339"/>
        <v>0.96237661870636793</v>
      </c>
      <c r="X3285" s="4">
        <f t="shared" si="340"/>
        <v>0.98248805169380249</v>
      </c>
      <c r="Y3285" s="3">
        <f t="shared" si="337"/>
        <v>-53.590631491023942</v>
      </c>
      <c r="AA3285" s="3"/>
    </row>
    <row r="3286" spans="19:27" x14ac:dyDescent="0.25">
      <c r="S3286" s="4">
        <v>-2.2462613257275028</v>
      </c>
      <c r="T3286" s="4">
        <v>0.5104383553010795</v>
      </c>
      <c r="U3286" s="4">
        <f t="shared" si="338"/>
        <v>-0.9647506120085394</v>
      </c>
      <c r="W3286" s="4">
        <f t="shared" si="339"/>
        <v>-3.7913547214385557</v>
      </c>
      <c r="X3286" s="4">
        <f t="shared" si="340"/>
        <v>-1.6351590889971541</v>
      </c>
      <c r="Y3286" s="3">
        <f t="shared" si="337"/>
        <v>481.94522306129329</v>
      </c>
      <c r="AA3286" s="3"/>
    </row>
    <row r="3287" spans="19:27" x14ac:dyDescent="0.25">
      <c r="S3287" s="4">
        <v>-0.92962709602568283</v>
      </c>
      <c r="T3287" s="4">
        <v>-0.26137370677662924</v>
      </c>
      <c r="U3287" s="4">
        <f t="shared" si="338"/>
        <v>-0.7739102707630825</v>
      </c>
      <c r="W3287" s="4">
        <f t="shared" si="339"/>
        <v>-1.5524751700397603</v>
      </c>
      <c r="X3287" s="4">
        <f t="shared" si="340"/>
        <v>-1.2986892904475154</v>
      </c>
      <c r="Y3287" s="3">
        <f t="shared" si="337"/>
        <v>125.19874662374741</v>
      </c>
      <c r="AA3287" s="3"/>
    </row>
    <row r="3288" spans="19:27" x14ac:dyDescent="0.25">
      <c r="S3288" s="4">
        <v>1.1338098618053223</v>
      </c>
      <c r="T3288" s="4">
        <v>0.36700995293686178</v>
      </c>
      <c r="U3288" s="4">
        <f t="shared" si="338"/>
        <v>0.98212164972021665</v>
      </c>
      <c r="W3288" s="4">
        <f t="shared" si="339"/>
        <v>1.956310114643766</v>
      </c>
      <c r="X3288" s="4">
        <f t="shared" si="340"/>
        <v>1.7973631619624484</v>
      </c>
      <c r="Y3288" s="3">
        <f t="shared" si="337"/>
        <v>-123.97631938612676</v>
      </c>
      <c r="AA3288" s="3"/>
    </row>
    <row r="3289" spans="19:27" x14ac:dyDescent="0.25">
      <c r="S3289" s="4">
        <v>0.67378983659638703</v>
      </c>
      <c r="T3289" s="4">
        <v>-1.4013641109118395</v>
      </c>
      <c r="U3289" s="4">
        <f t="shared" si="338"/>
        <v>-0.70009282845932075</v>
      </c>
      <c r="W3289" s="4">
        <f t="shared" si="339"/>
        <v>1.1740659617574378</v>
      </c>
      <c r="X3289" s="4">
        <f t="shared" si="340"/>
        <v>-1.168542070109805</v>
      </c>
      <c r="Y3289" s="3">
        <f t="shared" si="337"/>
        <v>-301.45808806691548</v>
      </c>
      <c r="AA3289" s="3"/>
    </row>
    <row r="3290" spans="19:27" x14ac:dyDescent="0.25">
      <c r="S3290" s="4">
        <v>1.3376606632083752</v>
      </c>
      <c r="T3290" s="4">
        <v>0.68903529262509389</v>
      </c>
      <c r="U3290" s="4">
        <f t="shared" si="338"/>
        <v>1.3616605632118934</v>
      </c>
      <c r="W3290" s="4">
        <f t="shared" si="339"/>
        <v>2.3029495840588314</v>
      </c>
      <c r="X3290" s="4">
        <f t="shared" si="340"/>
        <v>2.4665266151971208</v>
      </c>
      <c r="Y3290" s="3">
        <f t="shared" si="337"/>
        <v>-108.86063148719541</v>
      </c>
      <c r="AA3290" s="3"/>
    </row>
    <row r="3291" spans="19:27" x14ac:dyDescent="0.25">
      <c r="S3291" s="4">
        <v>-1.2128178231614759</v>
      </c>
      <c r="T3291" s="4">
        <v>0.73879686206600603</v>
      </c>
      <c r="U3291" s="4">
        <f t="shared" si="338"/>
        <v>-0.15372242903501654</v>
      </c>
      <c r="W3291" s="4">
        <f t="shared" si="339"/>
        <v>-2.0340287510017809</v>
      </c>
      <c r="X3291" s="4">
        <f t="shared" si="340"/>
        <v>-0.20523872958951153</v>
      </c>
      <c r="Y3291" s="3">
        <f t="shared" si="337"/>
        <v>316.24205423518833</v>
      </c>
      <c r="AA3291" s="3"/>
    </row>
    <row r="3292" spans="19:27" x14ac:dyDescent="0.25">
      <c r="S3292" s="4">
        <v>0.76063970002456227</v>
      </c>
      <c r="T3292" s="4">
        <v>0.33181264281744344</v>
      </c>
      <c r="U3292" s="4">
        <f t="shared" si="338"/>
        <v>0.72672816616098757</v>
      </c>
      <c r="W3292" s="4">
        <f t="shared" si="339"/>
        <v>1.3217503974834908</v>
      </c>
      <c r="X3292" s="4">
        <f t="shared" si="340"/>
        <v>1.3470799912069569</v>
      </c>
      <c r="Y3292" s="3">
        <f t="shared" si="337"/>
        <v>-72.61933465866241</v>
      </c>
      <c r="AA3292" s="3"/>
    </row>
    <row r="3293" spans="19:27" x14ac:dyDescent="0.25">
      <c r="S3293" s="4">
        <v>1.03203936602307</v>
      </c>
      <c r="T3293" s="4">
        <v>-0.21061868112483456</v>
      </c>
      <c r="U3293" s="4">
        <f t="shared" si="338"/>
        <v>0.46219847667122349</v>
      </c>
      <c r="W3293" s="4">
        <f t="shared" si="339"/>
        <v>1.7832537890504356</v>
      </c>
      <c r="X3293" s="4">
        <f t="shared" si="340"/>
        <v>0.88068881441409785</v>
      </c>
      <c r="Y3293" s="3">
        <f t="shared" si="337"/>
        <v>-189.55825560815674</v>
      </c>
      <c r="AA3293" s="3"/>
    </row>
    <row r="3294" spans="19:27" x14ac:dyDescent="0.25">
      <c r="S3294" s="4">
        <v>-1.2459868558848048</v>
      </c>
      <c r="T3294" s="4">
        <v>-0.23560828485023461</v>
      </c>
      <c r="U3294" s="4">
        <f t="shared" si="338"/>
        <v>-0.94634619462005543</v>
      </c>
      <c r="W3294" s="4">
        <f t="shared" si="339"/>
        <v>-2.0904312562904037</v>
      </c>
      <c r="X3294" s="4">
        <f t="shared" si="340"/>
        <v>-1.6027103385353119</v>
      </c>
      <c r="Y3294" s="3">
        <f t="shared" si="337"/>
        <v>186.14465331637257</v>
      </c>
      <c r="AA3294" s="3"/>
    </row>
    <row r="3295" spans="19:27" x14ac:dyDescent="0.25">
      <c r="S3295" s="4">
        <v>0.76580955893856084</v>
      </c>
      <c r="T3295" s="4">
        <v>0.60855487209827974</v>
      </c>
      <c r="U3295" s="4">
        <f t="shared" si="338"/>
        <v>0.94925118395860475</v>
      </c>
      <c r="W3295" s="4">
        <f t="shared" si="339"/>
        <v>1.3305415189240972</v>
      </c>
      <c r="X3295" s="4">
        <f t="shared" si="340"/>
        <v>1.7394093827936237</v>
      </c>
      <c r="Y3295" s="3">
        <f t="shared" si="337"/>
        <v>-34.735560441545658</v>
      </c>
      <c r="AA3295" s="3"/>
    </row>
    <row r="3296" spans="19:27" x14ac:dyDescent="0.25">
      <c r="S3296" s="4">
        <v>-1.4270791728255219</v>
      </c>
      <c r="T3296" s="4">
        <v>0.52022508812213475</v>
      </c>
      <c r="U3296" s="4">
        <f t="shared" si="338"/>
        <v>-0.45760102912880674</v>
      </c>
      <c r="W3296" s="4">
        <f t="shared" si="339"/>
        <v>-2.3983709073853188</v>
      </c>
      <c r="X3296" s="4">
        <f t="shared" si="340"/>
        <v>-0.74100580425427609</v>
      </c>
      <c r="Y3296" s="3">
        <f t="shared" si="337"/>
        <v>325.2995398062958</v>
      </c>
      <c r="AA3296" s="3"/>
    </row>
    <row r="3297" spans="19:27" x14ac:dyDescent="0.25">
      <c r="S3297" s="4">
        <v>0.30086144678613874</v>
      </c>
      <c r="T3297" s="4">
        <v>-0.1587078834546142</v>
      </c>
      <c r="U3297" s="4">
        <f t="shared" si="338"/>
        <v>5.7605378179973077E-2</v>
      </c>
      <c r="W3297" s="4">
        <f t="shared" si="339"/>
        <v>0.53991736737421692</v>
      </c>
      <c r="X3297" s="4">
        <f t="shared" si="340"/>
        <v>0.16735243356560675</v>
      </c>
      <c r="Y3297" s="3">
        <f t="shared" si="337"/>
        <v>-69.035293194932365</v>
      </c>
      <c r="AA3297" s="3"/>
    </row>
    <row r="3298" spans="19:27" x14ac:dyDescent="0.25">
      <c r="S3298" s="4">
        <v>-1.4468132464296928</v>
      </c>
      <c r="T3298" s="4">
        <v>2.3832658059566098E-2</v>
      </c>
      <c r="U3298" s="4">
        <f t="shared" si="338"/>
        <v>-0.8631176782743637</v>
      </c>
      <c r="W3298" s="4">
        <f t="shared" si="339"/>
        <v>-2.4319278458739855</v>
      </c>
      <c r="X3298" s="4">
        <f t="shared" si="340"/>
        <v>-1.4559704933555031</v>
      </c>
      <c r="Y3298" s="3">
        <f t="shared" si="337"/>
        <v>259.60759565988337</v>
      </c>
      <c r="AA3298" s="3"/>
    </row>
    <row r="3299" spans="19:27" x14ac:dyDescent="0.25">
      <c r="S3299" s="4">
        <v>0.21809336223483206</v>
      </c>
      <c r="T3299" s="4">
        <v>-0.492316582153914</v>
      </c>
      <c r="U3299" s="4">
        <f t="shared" si="338"/>
        <v>-0.25730084577966289</v>
      </c>
      <c r="W3299" s="4">
        <f t="shared" si="339"/>
        <v>0.39917382005482666</v>
      </c>
      <c r="X3299" s="4">
        <f t="shared" si="340"/>
        <v>-0.38785739809910458</v>
      </c>
      <c r="Y3299" s="3">
        <f t="shared" si="337"/>
        <v>-102.34244759751346</v>
      </c>
      <c r="AA3299" s="3"/>
    </row>
    <row r="3300" spans="19:27" x14ac:dyDescent="0.25">
      <c r="S3300" s="4">
        <v>-1.0737544000185624</v>
      </c>
      <c r="T3300" s="4">
        <v>-0.90529387491815161</v>
      </c>
      <c r="U3300" s="4">
        <f t="shared" si="338"/>
        <v>-1.3722038691445106</v>
      </c>
      <c r="W3300" s="4">
        <f t="shared" si="339"/>
        <v>-1.7975574156843799</v>
      </c>
      <c r="X3300" s="4">
        <f t="shared" si="340"/>
        <v>-2.353538203455996</v>
      </c>
      <c r="Y3300" s="3">
        <f t="shared" si="337"/>
        <v>61.13938613786695</v>
      </c>
      <c r="AA3300" s="3"/>
    </row>
    <row r="3301" spans="19:27" x14ac:dyDescent="0.25">
      <c r="S3301" s="4">
        <v>-1.0399149700474237</v>
      </c>
      <c r="T3301" s="4">
        <v>-1.6834702567803901</v>
      </c>
      <c r="U3301" s="4">
        <f t="shared" si="338"/>
        <v>-1.9684288048433105</v>
      </c>
      <c r="W3301" s="4">
        <f t="shared" si="339"/>
        <v>-1.7400149288765352</v>
      </c>
      <c r="X3301" s="4">
        <f t="shared" si="340"/>
        <v>-3.4047398660375037</v>
      </c>
      <c r="Y3301" s="3">
        <f t="shared" si="337"/>
        <v>-53.735659519763885</v>
      </c>
      <c r="AA3301" s="3"/>
    </row>
    <row r="3302" spans="19:27" x14ac:dyDescent="0.25">
      <c r="S3302" s="4">
        <v>-5.9086823009786925E-2</v>
      </c>
      <c r="T3302" s="4">
        <v>-0.45458849663969442</v>
      </c>
      <c r="U3302" s="4">
        <f t="shared" si="338"/>
        <v>-0.3963693188313876</v>
      </c>
      <c r="W3302" s="4">
        <f t="shared" si="339"/>
        <v>-7.2159094430959997E-2</v>
      </c>
      <c r="X3302" s="4">
        <f t="shared" si="340"/>
        <v>-0.63304843478948569</v>
      </c>
      <c r="Y3302" s="3">
        <f t="shared" si="337"/>
        <v>-51.727853773775223</v>
      </c>
      <c r="AA3302" s="3"/>
    </row>
    <row r="3303" spans="19:27" x14ac:dyDescent="0.25">
      <c r="S3303" s="4">
        <v>1.2508796163477112</v>
      </c>
      <c r="T3303" s="4">
        <v>-1.5893838678236385</v>
      </c>
      <c r="U3303" s="4">
        <f t="shared" si="338"/>
        <v>-0.49732778348743822</v>
      </c>
      <c r="W3303" s="4">
        <f t="shared" si="339"/>
        <v>2.1553821679288991</v>
      </c>
      <c r="X3303" s="4">
        <f t="shared" si="340"/>
        <v>-0.81104787685195301</v>
      </c>
      <c r="Y3303" s="3">
        <f t="shared" si="337"/>
        <v>-414.63926693750545</v>
      </c>
      <c r="AA3303" s="3"/>
    </row>
    <row r="3304" spans="19:27" x14ac:dyDescent="0.25">
      <c r="S3304" s="4">
        <v>-2.4761570653005553</v>
      </c>
      <c r="T3304" s="4">
        <v>0.14674196196085385</v>
      </c>
      <c r="U3304" s="4">
        <f t="shared" si="338"/>
        <v>-1.3931994125702298</v>
      </c>
      <c r="W3304" s="4">
        <f t="shared" si="339"/>
        <v>-4.1822824815351289</v>
      </c>
      <c r="X3304" s="4">
        <f t="shared" si="340"/>
        <v>-2.390555357275721</v>
      </c>
      <c r="Y3304" s="3">
        <f t="shared" si="337"/>
        <v>477.35611547710505</v>
      </c>
      <c r="AA3304" s="3"/>
    </row>
    <row r="3305" spans="19:27" x14ac:dyDescent="0.25">
      <c r="S3305" s="4">
        <v>-7.9411654425142197E-2</v>
      </c>
      <c r="T3305" s="4">
        <v>9.905205313702449E-2</v>
      </c>
      <c r="U3305" s="4">
        <f t="shared" si="338"/>
        <v>3.0106655622571817E-2</v>
      </c>
      <c r="W3305" s="4">
        <f t="shared" si="339"/>
        <v>-0.10672059102198538</v>
      </c>
      <c r="X3305" s="4">
        <f t="shared" si="340"/>
        <v>0.1188695521219986</v>
      </c>
      <c r="Y3305" s="3">
        <f t="shared" si="337"/>
        <v>29.018433438887769</v>
      </c>
      <c r="AA3305" s="3"/>
    </row>
    <row r="3306" spans="19:27" x14ac:dyDescent="0.25">
      <c r="S3306" s="4">
        <v>0.41272940013264214</v>
      </c>
      <c r="T3306" s="4">
        <v>0.88920801905254165</v>
      </c>
      <c r="U3306" s="4">
        <f t="shared" si="338"/>
        <v>0.95647715095881125</v>
      </c>
      <c r="W3306" s="4">
        <f t="shared" si="339"/>
        <v>0.73014398275018411</v>
      </c>
      <c r="X3306" s="4">
        <f t="shared" si="340"/>
        <v>1.7521494546516942</v>
      </c>
      <c r="Y3306" s="3">
        <f t="shared" si="337"/>
        <v>59.581844130531863</v>
      </c>
      <c r="AA3306" s="3"/>
    </row>
    <row r="3307" spans="19:27" x14ac:dyDescent="0.25">
      <c r="S3307" s="4">
        <v>0.7529404219012813</v>
      </c>
      <c r="T3307" s="4">
        <v>-0.18453405215897695</v>
      </c>
      <c r="U3307" s="4">
        <f t="shared" si="338"/>
        <v>0.31273061031815153</v>
      </c>
      <c r="W3307" s="4">
        <f t="shared" si="339"/>
        <v>1.3086581080975086</v>
      </c>
      <c r="X3307" s="4">
        <f t="shared" si="340"/>
        <v>0.61716265137513027</v>
      </c>
      <c r="Y3307" s="3">
        <f t="shared" si="337"/>
        <v>-143.60108333059543</v>
      </c>
      <c r="AA3307" s="3"/>
    </row>
    <row r="3308" spans="19:27" x14ac:dyDescent="0.25">
      <c r="S3308" s="4">
        <v>-0.497808808877721</v>
      </c>
      <c r="T3308" s="4">
        <v>-1.9018381261398287</v>
      </c>
      <c r="U3308" s="4">
        <f t="shared" si="338"/>
        <v>-1.8110472608352761</v>
      </c>
      <c r="W3308" s="4">
        <f t="shared" si="339"/>
        <v>-0.81818685274865122</v>
      </c>
      <c r="X3308" s="4">
        <f t="shared" si="340"/>
        <v>-3.1272611313935252</v>
      </c>
      <c r="Y3308" s="3">
        <f t="shared" si="337"/>
        <v>-179.87299590955536</v>
      </c>
      <c r="AA3308" s="3"/>
    </row>
    <row r="3309" spans="19:27" x14ac:dyDescent="0.25">
      <c r="S3309" s="4">
        <v>1.9103686398238016</v>
      </c>
      <c r="T3309" s="4">
        <v>-0.80080070993060115</v>
      </c>
      <c r="U3309" s="4">
        <f t="shared" si="338"/>
        <v>0.52981501517797236</v>
      </c>
      <c r="W3309" s="4">
        <f t="shared" si="339"/>
        <v>3.2768147235498843</v>
      </c>
      <c r="X3309" s="4">
        <f t="shared" si="340"/>
        <v>0.99990324749210036</v>
      </c>
      <c r="Y3309" s="3">
        <f t="shared" si="337"/>
        <v>-397.87319890600202</v>
      </c>
      <c r="AA3309" s="3"/>
    </row>
    <row r="3310" spans="19:27" x14ac:dyDescent="0.25">
      <c r="S3310" s="4">
        <v>0.70864683856283828</v>
      </c>
      <c r="T3310" s="4">
        <v>0.37134397827469012</v>
      </c>
      <c r="U3310" s="4">
        <f t="shared" si="338"/>
        <v>0.72636833187181726</v>
      </c>
      <c r="W3310" s="4">
        <f t="shared" si="339"/>
        <v>1.2333387857242195</v>
      </c>
      <c r="X3310" s="4">
        <f t="shared" si="340"/>
        <v>1.3464455688935286</v>
      </c>
      <c r="Y3310" s="3">
        <f t="shared" si="337"/>
        <v>-59.092597539492544</v>
      </c>
      <c r="AA3310" s="3"/>
    </row>
    <row r="3311" spans="19:27" x14ac:dyDescent="0.25">
      <c r="S3311" s="4">
        <v>-0.12137272263730511</v>
      </c>
      <c r="T3311" s="4">
        <v>-7.8964151404218572E-2</v>
      </c>
      <c r="U3311" s="4">
        <f t="shared" si="338"/>
        <v>-0.13658577237054437</v>
      </c>
      <c r="W3311" s="4">
        <f t="shared" si="339"/>
        <v>-0.17807357232518117</v>
      </c>
      <c r="X3311" s="4">
        <f t="shared" si="340"/>
        <v>-0.1750251626985723</v>
      </c>
      <c r="Y3311" s="3">
        <f t="shared" si="337"/>
        <v>11.115903781669203</v>
      </c>
      <c r="AA3311" s="3"/>
    </row>
    <row r="3312" spans="19:27" x14ac:dyDescent="0.25">
      <c r="S3312" s="4">
        <v>-0.12791620567651132</v>
      </c>
      <c r="T3312" s="4">
        <v>5.267412282817208E-3</v>
      </c>
      <c r="U3312" s="4">
        <f t="shared" si="338"/>
        <v>-7.380513735094979E-2</v>
      </c>
      <c r="W3312" s="4">
        <f t="shared" si="339"/>
        <v>-0.18920048216917137</v>
      </c>
      <c r="X3312" s="4">
        <f t="shared" si="340"/>
        <v>-6.4336890606812663E-2</v>
      </c>
      <c r="Y3312" s="3">
        <f t="shared" si="337"/>
        <v>23.978403783500198</v>
      </c>
      <c r="AA3312" s="3"/>
    </row>
    <row r="3313" spans="19:27" x14ac:dyDescent="0.25">
      <c r="S3313" s="4">
        <v>-1.366604106122502</v>
      </c>
      <c r="T3313" s="4">
        <v>-1.3059416128018448</v>
      </c>
      <c r="U3313" s="4">
        <f t="shared" si="338"/>
        <v>-1.8683218482317887</v>
      </c>
      <c r="W3313" s="4">
        <f t="shared" si="339"/>
        <v>-2.2955356725444833</v>
      </c>
      <c r="X3313" s="4">
        <f t="shared" si="340"/>
        <v>-3.2282417142071553</v>
      </c>
      <c r="Y3313" s="3">
        <f t="shared" si="337"/>
        <v>58.825571227227101</v>
      </c>
      <c r="AA3313" s="3"/>
    </row>
    <row r="3314" spans="19:27" x14ac:dyDescent="0.25">
      <c r="S3314" s="4">
        <v>0.27192965706134931</v>
      </c>
      <c r="T3314" s="4">
        <v>1.2410533872416338</v>
      </c>
      <c r="U3314" s="4">
        <f t="shared" si="338"/>
        <v>1.1495475013437608</v>
      </c>
      <c r="W3314" s="4">
        <f t="shared" si="339"/>
        <v>0.49072011050594422</v>
      </c>
      <c r="X3314" s="4">
        <f t="shared" si="340"/>
        <v>2.0925509728840379</v>
      </c>
      <c r="Y3314" s="3">
        <f t="shared" si="337"/>
        <v>131.23790749594764</v>
      </c>
      <c r="AA3314" s="3"/>
    </row>
    <row r="3315" spans="19:27" x14ac:dyDescent="0.25">
      <c r="S3315" s="4">
        <v>0.57424355225068036</v>
      </c>
      <c r="T3315" s="4">
        <v>0.36445194251034951</v>
      </c>
      <c r="U3315" s="4">
        <f t="shared" si="338"/>
        <v>0.6389698280048921</v>
      </c>
      <c r="W3315" s="4">
        <f t="shared" si="339"/>
        <v>1.0047918114949106</v>
      </c>
      <c r="X3315" s="4">
        <f t="shared" si="340"/>
        <v>1.1923536363507063</v>
      </c>
      <c r="Y3315" s="3">
        <f t="shared" si="337"/>
        <v>-39.187167108715585</v>
      </c>
      <c r="AA3315" s="3"/>
    </row>
    <row r="3316" spans="19:27" x14ac:dyDescent="0.25">
      <c r="S3316" s="4">
        <v>-9.0816259872537011E-2</v>
      </c>
      <c r="T3316" s="4">
        <v>0.5421220095225201</v>
      </c>
      <c r="U3316" s="4">
        <f t="shared" si="338"/>
        <v>0.37437217194271838</v>
      </c>
      <c r="W3316" s="4">
        <f t="shared" si="339"/>
        <v>-0.12611362923406816</v>
      </c>
      <c r="X3316" s="4">
        <f t="shared" si="340"/>
        <v>0.72584262798147536</v>
      </c>
      <c r="Y3316" s="3">
        <f t="shared" si="337"/>
        <v>92.835167801726129</v>
      </c>
      <c r="AA3316" s="3"/>
    </row>
    <row r="3317" spans="19:27" x14ac:dyDescent="0.25">
      <c r="S3317" s="4">
        <v>-1.723418656679929</v>
      </c>
      <c r="T3317" s="4">
        <v>0.29504903453698295</v>
      </c>
      <c r="U3317" s="4">
        <f t="shared" si="338"/>
        <v>-0.8167514509028112</v>
      </c>
      <c r="W3317" s="4">
        <f t="shared" si="339"/>
        <v>-2.9022833803459847</v>
      </c>
      <c r="X3317" s="4">
        <f t="shared" si="340"/>
        <v>-1.3742223939683438</v>
      </c>
      <c r="Y3317" s="3">
        <f t="shared" si="337"/>
        <v>349.77929073750511</v>
      </c>
      <c r="AA3317" s="3"/>
    </row>
    <row r="3318" spans="19:27" x14ac:dyDescent="0.25">
      <c r="S3318" s="4">
        <v>1.4065335534935317</v>
      </c>
      <c r="T3318" s="4">
        <v>-2.7804298133142167</v>
      </c>
      <c r="U3318" s="4">
        <f t="shared" si="338"/>
        <v>-1.3465702856564681</v>
      </c>
      <c r="W3318" s="4">
        <f t="shared" si="339"/>
        <v>2.4200649546200927</v>
      </c>
      <c r="X3318" s="4">
        <f t="shared" si="340"/>
        <v>-2.3083437408175449</v>
      </c>
      <c r="Y3318" s="3">
        <f t="shared" si="337"/>
        <v>-603.71393517052047</v>
      </c>
      <c r="AA3318" s="3"/>
    </row>
    <row r="3319" spans="19:27" x14ac:dyDescent="0.25">
      <c r="S3319" s="4">
        <v>0.97707388691560548</v>
      </c>
      <c r="T3319" s="4">
        <v>0.64421377621013465</v>
      </c>
      <c r="U3319" s="4">
        <f t="shared" si="338"/>
        <v>1.1063091606856881</v>
      </c>
      <c r="W3319" s="4">
        <f t="shared" si="339"/>
        <v>1.689787369576889</v>
      </c>
      <c r="X3319" s="4">
        <f t="shared" si="340"/>
        <v>2.016317637332985</v>
      </c>
      <c r="Y3319" s="3">
        <f t="shared" si="337"/>
        <v>-61.844367642162069</v>
      </c>
      <c r="AA3319" s="3"/>
    </row>
    <row r="3320" spans="19:27" x14ac:dyDescent="0.25">
      <c r="S3320" s="4">
        <v>-0.45578606268382305</v>
      </c>
      <c r="T3320" s="4">
        <v>2.6702897935643632E-2</v>
      </c>
      <c r="U3320" s="4">
        <f t="shared" si="338"/>
        <v>-0.2566901791676322</v>
      </c>
      <c r="W3320" s="4">
        <f t="shared" si="339"/>
        <v>-0.74672899070563947</v>
      </c>
      <c r="X3320" s="4">
        <f t="shared" si="340"/>
        <v>-0.38678073437805882</v>
      </c>
      <c r="Y3320" s="3">
        <f t="shared" si="337"/>
        <v>82.432956848065714</v>
      </c>
      <c r="AA3320" s="3"/>
    </row>
    <row r="3321" spans="19:27" x14ac:dyDescent="0.25">
      <c r="S3321" s="4">
        <v>-0.86743547405708654</v>
      </c>
      <c r="T3321" s="4">
        <v>0.14593474749777</v>
      </c>
      <c r="U3321" s="4">
        <f t="shared" si="338"/>
        <v>-0.41312670945068841</v>
      </c>
      <c r="W3321" s="4">
        <f t="shared" si="339"/>
        <v>-1.4467210072261836</v>
      </c>
      <c r="X3321" s="4">
        <f t="shared" si="340"/>
        <v>-0.66259331932017185</v>
      </c>
      <c r="Y3321" s="3">
        <f t="shared" si="337"/>
        <v>171.03136284120683</v>
      </c>
      <c r="AA3321" s="3"/>
    </row>
    <row r="3322" spans="19:27" x14ac:dyDescent="0.25">
      <c r="S3322" s="4">
        <v>1.3977163833897073</v>
      </c>
      <c r="T3322" s="4">
        <v>-0.12164119393872949</v>
      </c>
      <c r="U3322" s="4">
        <f t="shared" si="338"/>
        <v>0.75565508934759384</v>
      </c>
      <c r="W3322" s="4">
        <f t="shared" si="339"/>
        <v>2.4050717382800255</v>
      </c>
      <c r="X3322" s="4">
        <f t="shared" si="340"/>
        <v>1.3980809271397834</v>
      </c>
      <c r="Y3322" s="3">
        <f t="shared" si="337"/>
        <v>-230.85202001963353</v>
      </c>
      <c r="AA3322" s="3"/>
    </row>
    <row r="3323" spans="19:27" x14ac:dyDescent="0.25">
      <c r="S3323" s="4">
        <v>-0.16924536286027861</v>
      </c>
      <c r="T3323" s="4">
        <v>-2.1361199403416529</v>
      </c>
      <c r="U3323" s="4">
        <f t="shared" si="338"/>
        <v>-1.796460977584178</v>
      </c>
      <c r="W3323" s="4">
        <f t="shared" si="339"/>
        <v>-0.2594789261043855</v>
      </c>
      <c r="X3323" s="4">
        <f t="shared" si="340"/>
        <v>-3.1015441170816898</v>
      </c>
      <c r="Y3323" s="3">
        <f t="shared" si="337"/>
        <v>-268.39849821010421</v>
      </c>
      <c r="AA3323" s="3"/>
    </row>
    <row r="3324" spans="19:27" x14ac:dyDescent="0.25">
      <c r="S3324" s="4">
        <v>-1.6070148100839639</v>
      </c>
      <c r="T3324" s="4">
        <v>-0.70382010602391731</v>
      </c>
      <c r="U3324" s="4">
        <f t="shared" si="338"/>
        <v>-1.5375846645201965</v>
      </c>
      <c r="W3324" s="4">
        <f t="shared" si="339"/>
        <v>-2.7043436747172693</v>
      </c>
      <c r="X3324" s="4">
        <f t="shared" si="340"/>
        <v>-2.6451203843559199</v>
      </c>
      <c r="Y3324" s="3">
        <f t="shared" si="337"/>
        <v>188.03763679393342</v>
      </c>
      <c r="AA3324" s="3"/>
    </row>
    <row r="3325" spans="19:27" x14ac:dyDescent="0.25">
      <c r="S3325" s="4">
        <v>-1.6132009651431478</v>
      </c>
      <c r="T3325" s="4">
        <v>1.7084505519081357</v>
      </c>
      <c r="U3325" s="4">
        <f t="shared" si="338"/>
        <v>0.37083181539639487</v>
      </c>
      <c r="W3325" s="4">
        <f t="shared" si="339"/>
        <v>-2.7148629637888635</v>
      </c>
      <c r="X3325" s="4">
        <f t="shared" si="340"/>
        <v>0.71960064032749593</v>
      </c>
      <c r="Y3325" s="3">
        <f t="shared" si="337"/>
        <v>526.34596186292856</v>
      </c>
      <c r="AA3325" s="3"/>
    </row>
    <row r="3326" spans="19:27" x14ac:dyDescent="0.25">
      <c r="S3326" s="4">
        <v>-0.47934592408938237</v>
      </c>
      <c r="T3326" s="4">
        <v>1.7476458370475831</v>
      </c>
      <c r="U3326" s="4">
        <f t="shared" si="338"/>
        <v>1.0931249365401028</v>
      </c>
      <c r="W3326" s="4">
        <f t="shared" si="339"/>
        <v>-0.78679151585101892</v>
      </c>
      <c r="X3326" s="4">
        <f t="shared" si="340"/>
        <v>1.993072587500504</v>
      </c>
      <c r="Y3326" s="3">
        <f t="shared" si="337"/>
        <v>326.99814392959979</v>
      </c>
      <c r="AA3326" s="3"/>
    </row>
    <row r="3327" spans="19:27" x14ac:dyDescent="0.25">
      <c r="S3327" s="4">
        <v>0.14475358352182741</v>
      </c>
      <c r="T3327" s="4">
        <v>-0.78811430753635048</v>
      </c>
      <c r="U3327" s="4">
        <f t="shared" si="338"/>
        <v>-0.53648690736067306</v>
      </c>
      <c r="W3327" s="4">
        <f t="shared" si="339"/>
        <v>0.27446269895489511</v>
      </c>
      <c r="X3327" s="4">
        <f t="shared" si="340"/>
        <v>-0.88008916254144476</v>
      </c>
      <c r="Y3327" s="3">
        <f t="shared" si="337"/>
        <v>-131.79720693673517</v>
      </c>
      <c r="AA3327" s="3"/>
    </row>
    <row r="3328" spans="19:27" x14ac:dyDescent="0.25">
      <c r="S3328" s="4">
        <v>-5.82678060929505E-2</v>
      </c>
      <c r="T3328" s="4">
        <v>-0.10134036818159405</v>
      </c>
      <c r="U3328" s="4">
        <f t="shared" si="338"/>
        <v>-0.11585305571096276</v>
      </c>
      <c r="W3328" s="4">
        <f t="shared" si="339"/>
        <v>-7.0766391593688305E-2</v>
      </c>
      <c r="X3328" s="4">
        <f t="shared" si="340"/>
        <v>-0.13847139763867969</v>
      </c>
      <c r="Y3328" s="3">
        <f t="shared" si="337"/>
        <v>-2.4938461467763773</v>
      </c>
      <c r="AA3328" s="3"/>
    </row>
    <row r="3329" spans="19:27" x14ac:dyDescent="0.25">
      <c r="S3329" s="4">
        <v>-0.25695833809784757</v>
      </c>
      <c r="T3329" s="4">
        <v>0.63792154863804962</v>
      </c>
      <c r="U3329" s="4">
        <f t="shared" si="338"/>
        <v>0.34902778419389524</v>
      </c>
      <c r="W3329" s="4">
        <f t="shared" si="339"/>
        <v>-0.40863104612500523</v>
      </c>
      <c r="X3329" s="4">
        <f t="shared" si="340"/>
        <v>0.68115804512777822</v>
      </c>
      <c r="Y3329" s="3">
        <f t="shared" si="337"/>
        <v>134.03174503302489</v>
      </c>
      <c r="AA3329" s="3"/>
    </row>
    <row r="3330" spans="19:27" x14ac:dyDescent="0.25">
      <c r="S3330" s="4">
        <v>-0.41482562593994554</v>
      </c>
      <c r="T3330" s="4">
        <v>-0.74365352838804566</v>
      </c>
      <c r="U3330" s="4">
        <f t="shared" si="338"/>
        <v>-0.84237517391104111</v>
      </c>
      <c r="W3330" s="4">
        <f t="shared" si="339"/>
        <v>-0.67707753992800024</v>
      </c>
      <c r="X3330" s="4">
        <f t="shared" si="340"/>
        <v>-1.4193994716365388</v>
      </c>
      <c r="Y3330" s="3">
        <f t="shared" ref="Y3330:Y3393" si="341">(B$4*EXP(-B$8*B$7)*NORMSDIST((LN(B$4/(B$5+W3330))-B$8*B$7+B$9*B$7+0.5*B$6*B$6*B$7)/(B$6*SQRT(B$7)))-(B$5+W3330)*EXP(-B$9*B$7)*NORMSDIST((LN(B$4/(B$5+W3330))-B$8*B$7+B$9*B$7-0.5*B$6*B$6*B$7)/(B$6*SQRT(B$7))))*400+100*X3330-400*$B$13</f>
        <v>-32.24845587108257</v>
      </c>
      <c r="AA3330" s="3"/>
    </row>
    <row r="3331" spans="19:27" x14ac:dyDescent="0.25">
      <c r="S3331" s="4">
        <v>0.23330088216415465</v>
      </c>
      <c r="T3331" s="4">
        <v>0.97381216729269393</v>
      </c>
      <c r="U3331" s="4">
        <f t="shared" ref="U3331:U3394" si="342">$B$19*S3331+SQRT(1-$B$19^2)*T3331</f>
        <v>0.91415855610163188</v>
      </c>
      <c r="W3331" s="4">
        <f t="shared" ref="W3331:W3394" si="343">S3331*SQRT($B$16)+$B$20</f>
        <v>0.42503354983335512</v>
      </c>
      <c r="X3331" s="4">
        <f t="shared" ref="X3331:X3394" si="344">U3331*SQRT($C$17)+$C$20</f>
        <v>1.6775377190324157</v>
      </c>
      <c r="Y3331" s="3">
        <f t="shared" si="341"/>
        <v>100.10794942282064</v>
      </c>
      <c r="AA3331" s="3"/>
    </row>
    <row r="3332" spans="19:27" x14ac:dyDescent="0.25">
      <c r="S3332" s="4">
        <v>0.16680040895810877</v>
      </c>
      <c r="T3332" s="4">
        <v>-1.7144533903577126</v>
      </c>
      <c r="U3332" s="4">
        <f t="shared" si="342"/>
        <v>-1.2573482684536357</v>
      </c>
      <c r="W3332" s="4">
        <f t="shared" si="343"/>
        <v>0.31195237188685881</v>
      </c>
      <c r="X3332" s="4">
        <f t="shared" si="344"/>
        <v>-2.1510367796241705</v>
      </c>
      <c r="Y3332" s="3">
        <f t="shared" si="341"/>
        <v>-264.8430023040637</v>
      </c>
      <c r="AA3332" s="3"/>
    </row>
    <row r="3333" spans="19:27" x14ac:dyDescent="0.25">
      <c r="S3333" s="4">
        <v>-1.5237090005418084</v>
      </c>
      <c r="T3333" s="4">
        <v>-1.8317473974398912</v>
      </c>
      <c r="U3333" s="4">
        <f t="shared" si="342"/>
        <v>-2.3808985461660663</v>
      </c>
      <c r="W3333" s="4">
        <f t="shared" si="343"/>
        <v>-2.5626857493123572</v>
      </c>
      <c r="X3333" s="4">
        <f t="shared" si="344"/>
        <v>-4.1319635225503966</v>
      </c>
      <c r="Y3333" s="3">
        <f t="shared" si="341"/>
        <v>14.683842712042861</v>
      </c>
      <c r="AA3333" s="3"/>
    </row>
    <row r="3334" spans="19:27" x14ac:dyDescent="0.25">
      <c r="S3334" s="4">
        <v>-1.1515958031004256</v>
      </c>
      <c r="T3334" s="4">
        <v>1.4800006168761437</v>
      </c>
      <c r="U3334" s="4">
        <f t="shared" si="342"/>
        <v>0.47114618121708773</v>
      </c>
      <c r="W3334" s="4">
        <f t="shared" si="343"/>
        <v>-1.9299233542880296</v>
      </c>
      <c r="X3334" s="4">
        <f t="shared" si="344"/>
        <v>0.89646447445736077</v>
      </c>
      <c r="Y3334" s="3">
        <f t="shared" si="341"/>
        <v>408.64580540314819</v>
      </c>
      <c r="AA3334" s="3"/>
    </row>
    <row r="3335" spans="19:27" x14ac:dyDescent="0.25">
      <c r="S3335" s="4">
        <v>1.3727374426171068</v>
      </c>
      <c r="T3335" s="4">
        <v>1.4740908794501657</v>
      </c>
      <c r="U3335" s="4">
        <f t="shared" si="342"/>
        <v>2.0053514486676973</v>
      </c>
      <c r="W3335" s="4">
        <f t="shared" si="343"/>
        <v>2.3625961300588707</v>
      </c>
      <c r="X3335" s="4">
        <f t="shared" si="344"/>
        <v>3.601415293052642</v>
      </c>
      <c r="Y3335" s="3">
        <f t="shared" si="341"/>
        <v>-4.2248606708308216</v>
      </c>
      <c r="AA3335" s="3"/>
    </row>
    <row r="3336" spans="19:27" x14ac:dyDescent="0.25">
      <c r="S3336" s="4">
        <v>-0.5849603175908783</v>
      </c>
      <c r="T3336" s="4">
        <v>-0.75720106770799644</v>
      </c>
      <c r="U3336" s="4">
        <f t="shared" si="342"/>
        <v>-0.95683210425691123</v>
      </c>
      <c r="W3336" s="4">
        <f t="shared" si="343"/>
        <v>-0.96638422323295903</v>
      </c>
      <c r="X3336" s="4">
        <f t="shared" si="344"/>
        <v>-1.6211980014691392</v>
      </c>
      <c r="Y3336" s="3">
        <f t="shared" si="341"/>
        <v>-4.8293218757689829</v>
      </c>
      <c r="AA3336" s="3"/>
    </row>
    <row r="3337" spans="19:27" x14ac:dyDescent="0.25">
      <c r="S3337" s="4">
        <v>-0.36242953430428249</v>
      </c>
      <c r="T3337" s="4">
        <v>1.5234029711656236</v>
      </c>
      <c r="U3337" s="4">
        <f t="shared" si="342"/>
        <v>0.98664424628562142</v>
      </c>
      <c r="W3337" s="4">
        <f t="shared" si="343"/>
        <v>-0.58798025270125809</v>
      </c>
      <c r="X3337" s="4">
        <f t="shared" si="344"/>
        <v>1.8053369328399895</v>
      </c>
      <c r="Y3337" s="3">
        <f t="shared" si="341"/>
        <v>275.65441156621364</v>
      </c>
      <c r="AA3337" s="3"/>
    </row>
    <row r="3338" spans="19:27" x14ac:dyDescent="0.25">
      <c r="S3338" s="4">
        <v>-1.1808854610460418</v>
      </c>
      <c r="T3338" s="4">
        <v>-0.85069987843397976</v>
      </c>
      <c r="U3338" s="4">
        <f t="shared" si="342"/>
        <v>-1.3942371289443416</v>
      </c>
      <c r="W3338" s="4">
        <f t="shared" si="343"/>
        <v>-1.9797291505848162</v>
      </c>
      <c r="X3338" s="4">
        <f t="shared" si="344"/>
        <v>-2.3923849506262171</v>
      </c>
      <c r="Y3338" s="3">
        <f t="shared" si="341"/>
        <v>88.253484942027171</v>
      </c>
      <c r="AA3338" s="3"/>
    </row>
    <row r="3339" spans="19:27" x14ac:dyDescent="0.25">
      <c r="S3339" s="4">
        <v>-0.7232530847988764</v>
      </c>
      <c r="T3339" s="4">
        <v>-1.3456881872900797</v>
      </c>
      <c r="U3339" s="4">
        <f t="shared" si="342"/>
        <v>-1.5076275036563809</v>
      </c>
      <c r="W3339" s="4">
        <f t="shared" si="343"/>
        <v>-1.2015450914707999</v>
      </c>
      <c r="X3339" s="4">
        <f t="shared" si="344"/>
        <v>-2.5923030407314775</v>
      </c>
      <c r="Y3339" s="3">
        <f t="shared" si="341"/>
        <v>-62.925634567198358</v>
      </c>
      <c r="AA3339" s="3"/>
    </row>
    <row r="3340" spans="19:27" x14ac:dyDescent="0.25">
      <c r="S3340" s="4">
        <v>-0.58892513728483886</v>
      </c>
      <c r="T3340" s="4">
        <v>0.57671828019791849</v>
      </c>
      <c r="U3340" s="4">
        <f t="shared" si="342"/>
        <v>9.8138074189496438E-2</v>
      </c>
      <c r="W3340" s="4">
        <f t="shared" si="343"/>
        <v>-0.97312622760861767</v>
      </c>
      <c r="X3340" s="4">
        <f t="shared" si="344"/>
        <v>0.23881545847949007</v>
      </c>
      <c r="Y3340" s="3">
        <f t="shared" si="341"/>
        <v>182.28650348822703</v>
      </c>
      <c r="AA3340" s="3"/>
    </row>
    <row r="3341" spans="19:27" x14ac:dyDescent="0.25">
      <c r="S3341" s="4">
        <v>-0.35704333463282345</v>
      </c>
      <c r="T3341" s="4">
        <v>9.6088745149301005E-2</v>
      </c>
      <c r="U3341" s="4">
        <f t="shared" si="342"/>
        <v>-0.14149280170085171</v>
      </c>
      <c r="W3341" s="4">
        <f t="shared" si="343"/>
        <v>-0.57882125316126321</v>
      </c>
      <c r="X3341" s="4">
        <f t="shared" si="344"/>
        <v>-0.18367672535807361</v>
      </c>
      <c r="Y3341" s="3">
        <f t="shared" si="341"/>
        <v>75.257552931607279</v>
      </c>
      <c r="AA3341" s="3"/>
    </row>
    <row r="3342" spans="19:27" x14ac:dyDescent="0.25">
      <c r="S3342" s="4">
        <v>0.26736837142980441</v>
      </c>
      <c r="T3342" s="4">
        <v>-0.53813417684206877</v>
      </c>
      <c r="U3342" s="4">
        <f t="shared" si="342"/>
        <v>-0.2635809423939523</v>
      </c>
      <c r="W3342" s="4">
        <f t="shared" si="343"/>
        <v>0.48296384160591133</v>
      </c>
      <c r="X3342" s="4">
        <f t="shared" si="344"/>
        <v>-0.39892980988003102</v>
      </c>
      <c r="Y3342" s="3">
        <f t="shared" si="341"/>
        <v>-116.68667247151097</v>
      </c>
      <c r="AA3342" s="3"/>
    </row>
    <row r="3343" spans="19:27" x14ac:dyDescent="0.25">
      <c r="S3343" s="4">
        <v>-0.6169623090471954</v>
      </c>
      <c r="T3343" s="4">
        <v>0.52032371476735595</v>
      </c>
      <c r="U3343" s="4">
        <f t="shared" si="342"/>
        <v>3.6342466793521544E-2</v>
      </c>
      <c r="W3343" s="4">
        <f t="shared" si="343"/>
        <v>-1.0208022253320035</v>
      </c>
      <c r="X3343" s="4">
        <f t="shared" si="344"/>
        <v>0.12986388442506447</v>
      </c>
      <c r="Y3343" s="3">
        <f t="shared" si="341"/>
        <v>179.27918592100559</v>
      </c>
      <c r="AA3343" s="3"/>
    </row>
    <row r="3344" spans="19:27" x14ac:dyDescent="0.25">
      <c r="S3344" s="4">
        <v>-0.11589983867522718</v>
      </c>
      <c r="T3344" s="4">
        <v>0.43689444079706075</v>
      </c>
      <c r="U3344" s="4">
        <f t="shared" si="342"/>
        <v>0.2756676087423659</v>
      </c>
      <c r="W3344" s="4">
        <f t="shared" si="343"/>
        <v>-0.16876716989885987</v>
      </c>
      <c r="X3344" s="4">
        <f t="shared" si="344"/>
        <v>0.55181703004337002</v>
      </c>
      <c r="Y3344" s="3">
        <f t="shared" si="341"/>
        <v>82.300411564691331</v>
      </c>
      <c r="AA3344" s="3"/>
    </row>
    <row r="3345" spans="19:27" x14ac:dyDescent="0.25">
      <c r="S3345" s="4">
        <v>-0.79258273326525497</v>
      </c>
      <c r="T3345" s="4">
        <v>0.31545085881369284</v>
      </c>
      <c r="U3345" s="4">
        <f t="shared" si="342"/>
        <v>-0.23312074003879124</v>
      </c>
      <c r="W3345" s="4">
        <f t="shared" si="343"/>
        <v>-1.319437159560352</v>
      </c>
      <c r="X3345" s="4">
        <f t="shared" si="344"/>
        <v>-0.34522555592965587</v>
      </c>
      <c r="Y3345" s="3">
        <f t="shared" si="341"/>
        <v>181.45050761325274</v>
      </c>
      <c r="AA3345" s="3"/>
    </row>
    <row r="3346" spans="19:27" x14ac:dyDescent="0.25">
      <c r="S3346" s="4">
        <v>-0.44127858449249446</v>
      </c>
      <c r="T3346" s="4">
        <v>-0.49955050588929967</v>
      </c>
      <c r="U3346" s="4">
        <f t="shared" si="342"/>
        <v>-0.66500296992537911</v>
      </c>
      <c r="W3346" s="4">
        <f t="shared" si="343"/>
        <v>-0.72205965161950203</v>
      </c>
      <c r="X3346" s="4">
        <f t="shared" si="344"/>
        <v>-1.1066752889303213</v>
      </c>
      <c r="Y3346" s="3">
        <f t="shared" si="341"/>
        <v>6.395996301798732</v>
      </c>
      <c r="AA3346" s="3"/>
    </row>
    <row r="3347" spans="19:27" x14ac:dyDescent="0.25">
      <c r="S3347" s="4">
        <v>0.14457852560792961</v>
      </c>
      <c r="T3347" s="4">
        <v>-1.7008687121146009</v>
      </c>
      <c r="U3347" s="4">
        <f t="shared" si="342"/>
        <v>-1.2601267583321252</v>
      </c>
      <c r="W3347" s="4">
        <f t="shared" si="343"/>
        <v>0.27416502054513281</v>
      </c>
      <c r="X3347" s="4">
        <f t="shared" si="344"/>
        <v>-2.1559355233781714</v>
      </c>
      <c r="Y3347" s="3">
        <f t="shared" si="341"/>
        <v>-259.33456121712561</v>
      </c>
      <c r="AA3347" s="3"/>
    </row>
    <row r="3348" spans="19:27" x14ac:dyDescent="0.25">
      <c r="S3348" s="4">
        <v>-0.32213319408876523</v>
      </c>
      <c r="T3348" s="4">
        <v>-0.75864445116269685</v>
      </c>
      <c r="U3348" s="4">
        <f t="shared" si="342"/>
        <v>-0.79775098415463741</v>
      </c>
      <c r="W3348" s="4">
        <f t="shared" si="343"/>
        <v>-0.51945806934197958</v>
      </c>
      <c r="X3348" s="4">
        <f t="shared" si="344"/>
        <v>-1.3407227514012388</v>
      </c>
      <c r="Y3348" s="3">
        <f t="shared" si="341"/>
        <v>-50.12933219419665</v>
      </c>
      <c r="AA3348" s="3"/>
    </row>
    <row r="3349" spans="19:27" x14ac:dyDescent="0.25">
      <c r="S3349" s="4">
        <v>-0.26810098623117118</v>
      </c>
      <c r="T3349" s="4">
        <v>0.79668615576901947</v>
      </c>
      <c r="U3349" s="4">
        <f t="shared" si="342"/>
        <v>0.46808641424151481</v>
      </c>
      <c r="W3349" s="4">
        <f t="shared" si="343"/>
        <v>-0.42757863725650724</v>
      </c>
      <c r="X3349" s="4">
        <f t="shared" si="344"/>
        <v>0.89106981224306669</v>
      </c>
      <c r="Y3349" s="3">
        <f t="shared" si="341"/>
        <v>158.10038246502972</v>
      </c>
      <c r="AA3349" s="3"/>
    </row>
    <row r="3350" spans="19:27" x14ac:dyDescent="0.25">
      <c r="S3350" s="4">
        <v>1.1678924596844191</v>
      </c>
      <c r="T3350" s="4">
        <v>-0.97273419833252617</v>
      </c>
      <c r="U3350" s="4">
        <f t="shared" si="342"/>
        <v>-5.9105334299204615E-2</v>
      </c>
      <c r="W3350" s="4">
        <f t="shared" si="343"/>
        <v>2.0142660979599065</v>
      </c>
      <c r="X3350" s="4">
        <f t="shared" si="344"/>
        <v>-3.8419730014553413E-2</v>
      </c>
      <c r="Y3350" s="3">
        <f t="shared" si="341"/>
        <v>-316.25707023748191</v>
      </c>
      <c r="AA3350" s="3"/>
    </row>
    <row r="3351" spans="19:27" x14ac:dyDescent="0.25">
      <c r="S3351" s="4">
        <v>-0.70114351026562216</v>
      </c>
      <c r="T3351" s="4">
        <v>0.92395498326416836</v>
      </c>
      <c r="U3351" s="4">
        <f t="shared" si="342"/>
        <v>0.30497901342411127</v>
      </c>
      <c r="W3351" s="4">
        <f t="shared" si="343"/>
        <v>-1.1639487164138937</v>
      </c>
      <c r="X3351" s="4">
        <f t="shared" si="344"/>
        <v>0.60349584367423059</v>
      </c>
      <c r="Y3351" s="3">
        <f t="shared" si="341"/>
        <v>250.3973120722394</v>
      </c>
      <c r="AA3351" s="3"/>
    </row>
    <row r="3352" spans="19:27" x14ac:dyDescent="0.25">
      <c r="S3352" s="4">
        <v>-0.42458578026131261</v>
      </c>
      <c r="T3352" s="4">
        <v>0.34047878607522092</v>
      </c>
      <c r="U3352" s="4">
        <f t="shared" si="342"/>
        <v>1.1057851397222818E-2</v>
      </c>
      <c r="W3352" s="4">
        <f t="shared" si="343"/>
        <v>-0.69367426013749545</v>
      </c>
      <c r="X3352" s="4">
        <f t="shared" si="344"/>
        <v>8.5284685953314426E-2</v>
      </c>
      <c r="Y3352" s="3">
        <f t="shared" si="341"/>
        <v>120.93873359054805</v>
      </c>
      <c r="AA3352" s="3"/>
    </row>
    <row r="3353" spans="19:27" x14ac:dyDescent="0.25">
      <c r="S3353" s="4">
        <v>-1.3604739836936175</v>
      </c>
      <c r="T3353" s="4">
        <v>-0.7246271670251172</v>
      </c>
      <c r="U3353" s="4">
        <f t="shared" si="342"/>
        <v>-1.4037814671631588</v>
      </c>
      <c r="W3353" s="4">
        <f t="shared" si="343"/>
        <v>-2.2851116645368008</v>
      </c>
      <c r="X3353" s="4">
        <f t="shared" si="344"/>
        <v>-2.4092125329749856</v>
      </c>
      <c r="Y3353" s="3">
        <f t="shared" si="341"/>
        <v>138.93236435118979</v>
      </c>
      <c r="AA3353" s="3"/>
    </row>
    <row r="3354" spans="19:27" x14ac:dyDescent="0.25">
      <c r="S3354" s="4">
        <v>-9.5195997161364905E-3</v>
      </c>
      <c r="T3354" s="4">
        <v>0.68667815714535341</v>
      </c>
      <c r="U3354" s="4">
        <f t="shared" si="342"/>
        <v>0.53852093436250192</v>
      </c>
      <c r="W3354" s="4">
        <f t="shared" si="343"/>
        <v>1.2127824554052771E-2</v>
      </c>
      <c r="X3354" s="4">
        <f t="shared" si="344"/>
        <v>1.0152526167873506</v>
      </c>
      <c r="Y3354" s="3">
        <f t="shared" si="341"/>
        <v>99.582153372277844</v>
      </c>
      <c r="AA3354" s="3"/>
    </row>
    <row r="3355" spans="19:27" x14ac:dyDescent="0.25">
      <c r="S3355" s="4">
        <v>-0.47383338842904327</v>
      </c>
      <c r="T3355" s="4">
        <v>0.671269636025003</v>
      </c>
      <c r="U3355" s="4">
        <f t="shared" si="342"/>
        <v>0.24325067734625572</v>
      </c>
      <c r="W3355" s="4">
        <f t="shared" si="343"/>
        <v>-0.77741768742709516</v>
      </c>
      <c r="X3355" s="4">
        <f t="shared" si="344"/>
        <v>0.49466287539627796</v>
      </c>
      <c r="Y3355" s="3">
        <f t="shared" si="341"/>
        <v>175.61686554082371</v>
      </c>
      <c r="AA3355" s="3"/>
    </row>
    <row r="3356" spans="19:27" x14ac:dyDescent="0.25">
      <c r="S3356" s="4">
        <v>0.12206543815395439</v>
      </c>
      <c r="T3356" s="4">
        <v>-1.10093151008704</v>
      </c>
      <c r="U3356" s="4">
        <f t="shared" si="342"/>
        <v>-0.798285806840485</v>
      </c>
      <c r="W3356" s="4">
        <f t="shared" si="343"/>
        <v>0.23588248922208419</v>
      </c>
      <c r="X3356" s="4">
        <f t="shared" si="344"/>
        <v>-1.3416656950167893</v>
      </c>
      <c r="Y3356" s="3">
        <f t="shared" si="341"/>
        <v>-171.82316367288649</v>
      </c>
      <c r="AA3356" s="3"/>
    </row>
    <row r="3357" spans="19:27" x14ac:dyDescent="0.25">
      <c r="S3357" s="4">
        <v>0.9581633324931309</v>
      </c>
      <c r="T3357" s="4">
        <v>-0.14768440818399858</v>
      </c>
      <c r="U3357" s="4">
        <f t="shared" si="342"/>
        <v>0.46704949419813357</v>
      </c>
      <c r="W3357" s="4">
        <f t="shared" si="343"/>
        <v>1.6576307898321252</v>
      </c>
      <c r="X3357" s="4">
        <f t="shared" si="344"/>
        <v>0.88924162289991404</v>
      </c>
      <c r="Y3357" s="3">
        <f t="shared" si="341"/>
        <v>-169.67325654155047</v>
      </c>
      <c r="AA3357" s="3"/>
    </row>
    <row r="3358" spans="19:27" x14ac:dyDescent="0.25">
      <c r="S3358" s="4">
        <v>-0.11526421029227928</v>
      </c>
      <c r="T3358" s="4">
        <v>-2.5382769329162511</v>
      </c>
      <c r="U3358" s="4">
        <f t="shared" si="342"/>
        <v>-2.0823395009338665</v>
      </c>
      <c r="W3358" s="4">
        <f t="shared" si="343"/>
        <v>-0.1676863113302709</v>
      </c>
      <c r="X3358" s="4">
        <f t="shared" si="344"/>
        <v>-3.6055753325646887</v>
      </c>
      <c r="Y3358" s="3">
        <f t="shared" si="341"/>
        <v>-333.61297417484411</v>
      </c>
      <c r="AA3358" s="3"/>
    </row>
    <row r="3359" spans="19:27" x14ac:dyDescent="0.25">
      <c r="S3359" s="4">
        <v>-0.74786608929293008</v>
      </c>
      <c r="T3359" s="4">
        <v>0.46784272920634329</v>
      </c>
      <c r="U3359" s="4">
        <f t="shared" si="342"/>
        <v>-8.5060656750512831E-2</v>
      </c>
      <c r="W3359" s="4">
        <f t="shared" si="343"/>
        <v>-1.2433984408803038</v>
      </c>
      <c r="X3359" s="4">
        <f t="shared" si="344"/>
        <v>-8.4181449258442537E-2</v>
      </c>
      <c r="Y3359" s="3">
        <f t="shared" si="341"/>
        <v>194.86069056614178</v>
      </c>
      <c r="AA3359" s="3"/>
    </row>
    <row r="3360" spans="19:27" x14ac:dyDescent="0.25">
      <c r="S3360" s="4">
        <v>-0.3964327608573478</v>
      </c>
      <c r="T3360" s="4">
        <v>1.5873400579395875</v>
      </c>
      <c r="U3360" s="4">
        <f t="shared" si="342"/>
        <v>1.0165975391038524</v>
      </c>
      <c r="W3360" s="4">
        <f t="shared" si="343"/>
        <v>-0.64580126851100172</v>
      </c>
      <c r="X3360" s="4">
        <f t="shared" si="344"/>
        <v>1.8581474567296203</v>
      </c>
      <c r="Y3360" s="3">
        <f t="shared" si="341"/>
        <v>290.38666141969406</v>
      </c>
      <c r="AA3360" s="3"/>
    </row>
    <row r="3361" spans="19:27" x14ac:dyDescent="0.25">
      <c r="S3361" s="4">
        <v>1.3143536193664784</v>
      </c>
      <c r="T3361" s="4">
        <v>1.7880631110949219</v>
      </c>
      <c r="U3361" s="4">
        <f t="shared" si="342"/>
        <v>2.2186426495563181</v>
      </c>
      <c r="W3361" s="4">
        <f t="shared" si="343"/>
        <v>2.2633169642438387</v>
      </c>
      <c r="X3361" s="4">
        <f t="shared" si="344"/>
        <v>3.9774681072901727</v>
      </c>
      <c r="Y3361" s="3">
        <f t="shared" si="341"/>
        <v>48.125797894635525</v>
      </c>
      <c r="AA3361" s="3"/>
    </row>
    <row r="3362" spans="19:27" x14ac:dyDescent="0.25">
      <c r="S3362" s="4">
        <v>0.23188916033858717</v>
      </c>
      <c r="T3362" s="4">
        <v>0.10352550940226588</v>
      </c>
      <c r="U3362" s="4">
        <f t="shared" si="342"/>
        <v>0.22342865107915383</v>
      </c>
      <c r="W3362" s="4">
        <f t="shared" si="343"/>
        <v>0.42263297793857596</v>
      </c>
      <c r="X3362" s="4">
        <f t="shared" si="344"/>
        <v>0.45971474471588292</v>
      </c>
      <c r="Y3362" s="3">
        <f t="shared" si="341"/>
        <v>-21.294898004921833</v>
      </c>
      <c r="AA3362" s="3"/>
    </row>
    <row r="3363" spans="19:27" x14ac:dyDescent="0.25">
      <c r="S3363" s="4">
        <v>0.55587753866349876</v>
      </c>
      <c r="T3363" s="4">
        <v>0.341990193692913</v>
      </c>
      <c r="U3363" s="4">
        <f t="shared" si="342"/>
        <v>0.6099682473233361</v>
      </c>
      <c r="W3363" s="4">
        <f t="shared" si="343"/>
        <v>0.97356119988429968</v>
      </c>
      <c r="X3363" s="4">
        <f t="shared" si="344"/>
        <v>1.1412210721042748</v>
      </c>
      <c r="Y3363" s="3">
        <f t="shared" si="341"/>
        <v>-39.454132281754028</v>
      </c>
      <c r="AA3363" s="3"/>
    </row>
    <row r="3364" spans="19:27" x14ac:dyDescent="0.25">
      <c r="S3364" s="4">
        <v>2.0701654210958358E-2</v>
      </c>
      <c r="T3364" s="4">
        <v>0.81532234944832449</v>
      </c>
      <c r="U3364" s="4">
        <f t="shared" si="342"/>
        <v>0.65891970957015444</v>
      </c>
      <c r="W3364" s="4">
        <f t="shared" si="343"/>
        <v>6.3517759517483466E-2</v>
      </c>
      <c r="X3364" s="4">
        <f t="shared" si="344"/>
        <v>1.2275271881665637</v>
      </c>
      <c r="Y3364" s="3">
        <f t="shared" si="341"/>
        <v>112.58440047145132</v>
      </c>
      <c r="AA3364" s="3"/>
    </row>
    <row r="3365" spans="19:27" x14ac:dyDescent="0.25">
      <c r="S3365" s="4">
        <v>2.1228108143812827</v>
      </c>
      <c r="T3365" s="4">
        <v>-8.3957546229108476E-2</v>
      </c>
      <c r="U3365" s="4">
        <f t="shared" si="342"/>
        <v>1.2275603594645115</v>
      </c>
      <c r="W3365" s="4">
        <f t="shared" si="343"/>
        <v>3.6380634513603067</v>
      </c>
      <c r="X3365" s="4">
        <f t="shared" si="344"/>
        <v>2.2300951131054672</v>
      </c>
      <c r="Y3365" s="3">
        <f t="shared" si="341"/>
        <v>-326.47754999350809</v>
      </c>
      <c r="AA3365" s="3"/>
    </row>
    <row r="3366" spans="19:27" x14ac:dyDescent="0.25">
      <c r="S3366" s="4">
        <v>0.77750400654440621</v>
      </c>
      <c r="T3366" s="4">
        <v>1.7403876991160225E-2</v>
      </c>
      <c r="U3366" s="4">
        <f t="shared" si="342"/>
        <v>0.48777970433422746</v>
      </c>
      <c r="W3366" s="4">
        <f t="shared" si="343"/>
        <v>1.3504274211883589</v>
      </c>
      <c r="X3366" s="4">
        <f t="shared" si="344"/>
        <v>0.92579096871884603</v>
      </c>
      <c r="Y3366" s="3">
        <f t="shared" si="341"/>
        <v>-119.14783086446278</v>
      </c>
      <c r="AA3366" s="3"/>
    </row>
    <row r="3367" spans="19:27" x14ac:dyDescent="0.25">
      <c r="S3367" s="4">
        <v>0.4223067044468527</v>
      </c>
      <c r="T3367" s="4">
        <v>-1.6769369600624593</v>
      </c>
      <c r="U3367" s="4">
        <f t="shared" si="342"/>
        <v>-1.0718469550305847</v>
      </c>
      <c r="W3367" s="4">
        <f t="shared" si="343"/>
        <v>0.74642977443240821</v>
      </c>
      <c r="X3367" s="4">
        <f t="shared" si="344"/>
        <v>-1.8239801984484476</v>
      </c>
      <c r="Y3367" s="3">
        <f t="shared" si="341"/>
        <v>-300.57913430939288</v>
      </c>
      <c r="AA3367" s="3"/>
    </row>
    <row r="3368" spans="19:27" x14ac:dyDescent="0.25">
      <c r="S3368" s="4">
        <v>1.0989117536256756</v>
      </c>
      <c r="T3368" s="4">
        <v>-1.2883393832245138</v>
      </c>
      <c r="U3368" s="4">
        <f t="shared" si="342"/>
        <v>-0.35133522299988151</v>
      </c>
      <c r="W3368" s="4">
        <f t="shared" si="343"/>
        <v>1.896967391339657</v>
      </c>
      <c r="X3368" s="4">
        <f t="shared" si="344"/>
        <v>-0.55364901088674368</v>
      </c>
      <c r="Y3368" s="3">
        <f t="shared" si="341"/>
        <v>-350.14945035243545</v>
      </c>
      <c r="AA3368" s="3"/>
    </row>
    <row r="3369" spans="19:27" x14ac:dyDescent="0.25">
      <c r="S3369" s="4">
        <v>-1.7075641851280621E-2</v>
      </c>
      <c r="T3369" s="4">
        <v>-1.0846692611982467</v>
      </c>
      <c r="U3369" s="4">
        <f t="shared" si="342"/>
        <v>-0.87021835880286913</v>
      </c>
      <c r="W3369" s="4">
        <f t="shared" si="343"/>
        <v>-7.2089823034052203E-4</v>
      </c>
      <c r="X3369" s="4">
        <f t="shared" si="344"/>
        <v>-1.4684896731651778</v>
      </c>
      <c r="Y3369" s="3">
        <f t="shared" si="341"/>
        <v>-146.73344175439479</v>
      </c>
      <c r="AA3369" s="3"/>
    </row>
    <row r="3370" spans="19:27" x14ac:dyDescent="0.25">
      <c r="S3370" s="4">
        <v>-1.0777964939716774E-2</v>
      </c>
      <c r="T3370" s="4">
        <v>0.55620513732748567</v>
      </c>
      <c r="U3370" s="4">
        <f t="shared" si="342"/>
        <v>0.43432888534915703</v>
      </c>
      <c r="W3370" s="4">
        <f t="shared" si="343"/>
        <v>9.9880289269078555E-3</v>
      </c>
      <c r="X3370" s="4">
        <f t="shared" si="344"/>
        <v>0.83155205581998326</v>
      </c>
      <c r="Y3370" s="3">
        <f t="shared" si="341"/>
        <v>81.554878010400898</v>
      </c>
      <c r="AA3370" s="3"/>
    </row>
    <row r="3371" spans="19:27" x14ac:dyDescent="0.25">
      <c r="S3371" s="4">
        <v>-1.5015604042315589</v>
      </c>
      <c r="T3371" s="4">
        <v>1.4773270787020578</v>
      </c>
      <c r="U3371" s="4">
        <f t="shared" si="342"/>
        <v>0.25568065963581499</v>
      </c>
      <c r="W3371" s="4">
        <f t="shared" si="343"/>
        <v>-2.5250230194117114</v>
      </c>
      <c r="X3371" s="4">
        <f t="shared" si="344"/>
        <v>0.51657812460223251</v>
      </c>
      <c r="Y3371" s="3">
        <f t="shared" si="341"/>
        <v>472.9972633587804</v>
      </c>
      <c r="AA3371" s="3"/>
    </row>
    <row r="3372" spans="19:27" x14ac:dyDescent="0.25">
      <c r="S3372" s="4">
        <v>-0.51873626609005763</v>
      </c>
      <c r="T3372" s="4">
        <v>-0.51865871683324372</v>
      </c>
      <c r="U3372" s="4">
        <f t="shared" si="342"/>
        <v>-0.7273698271631559</v>
      </c>
      <c r="W3372" s="4">
        <f t="shared" si="343"/>
        <v>-0.85377308843848654</v>
      </c>
      <c r="X3372" s="4">
        <f t="shared" si="344"/>
        <v>-1.2166340311649033</v>
      </c>
      <c r="Y3372" s="3">
        <f t="shared" si="341"/>
        <v>17.047285380017456</v>
      </c>
      <c r="AA3372" s="3"/>
    </row>
    <row r="3373" spans="19:27" x14ac:dyDescent="0.25">
      <c r="S3373" s="4">
        <v>0.55344955980952049</v>
      </c>
      <c r="T3373" s="4">
        <v>9.0441292634388465E-2</v>
      </c>
      <c r="U3373" s="4">
        <f t="shared" si="342"/>
        <v>0.40908729099908847</v>
      </c>
      <c r="W3373" s="4">
        <f t="shared" si="343"/>
        <v>0.96943252687491599</v>
      </c>
      <c r="X3373" s="4">
        <f t="shared" si="344"/>
        <v>0.78704870757289735</v>
      </c>
      <c r="Y3373" s="3">
        <f t="shared" si="341"/>
        <v>-74.230319945521387</v>
      </c>
      <c r="AA3373" s="3"/>
    </row>
    <row r="3374" spans="19:27" x14ac:dyDescent="0.25">
      <c r="S3374" s="4">
        <v>0.85214749052820715</v>
      </c>
      <c r="T3374" s="4">
        <v>1.3157581724393341</v>
      </c>
      <c r="U3374" s="4">
        <f t="shared" si="342"/>
        <v>1.5624791253631058</v>
      </c>
      <c r="W3374" s="4">
        <f t="shared" si="343"/>
        <v>1.4773554367043635</v>
      </c>
      <c r="X3374" s="4">
        <f t="shared" si="344"/>
        <v>2.8205889728258966</v>
      </c>
      <c r="Y3374" s="3">
        <f t="shared" si="341"/>
        <v>50.908701488950101</v>
      </c>
      <c r="AA3374" s="3"/>
    </row>
    <row r="3375" spans="19:27" x14ac:dyDescent="0.25">
      <c r="S3375" s="4">
        <v>0.69096554627118123</v>
      </c>
      <c r="T3375" s="4">
        <v>-0.50497184701915265</v>
      </c>
      <c r="U3375" s="4">
        <f t="shared" si="342"/>
        <v>2.0940860807404593E-2</v>
      </c>
      <c r="W3375" s="4">
        <f t="shared" si="343"/>
        <v>1.2032725130563267</v>
      </c>
      <c r="X3375" s="4">
        <f t="shared" si="344"/>
        <v>0.10270937804727287</v>
      </c>
      <c r="Y3375" s="3">
        <f t="shared" si="341"/>
        <v>-178.83556769652705</v>
      </c>
      <c r="AA3375" s="3"/>
    </row>
    <row r="3376" spans="19:27" x14ac:dyDescent="0.25">
      <c r="S3376" s="4">
        <v>0.81857370557097908</v>
      </c>
      <c r="T3376" s="4">
        <v>0.60243903206365135</v>
      </c>
      <c r="U3376" s="4">
        <f t="shared" si="342"/>
        <v>0.97656940742705867</v>
      </c>
      <c r="W3376" s="4">
        <f t="shared" si="343"/>
        <v>1.4202646677511503</v>
      </c>
      <c r="X3376" s="4">
        <f t="shared" si="344"/>
        <v>1.7875740270568738</v>
      </c>
      <c r="Y3376" s="3">
        <f t="shared" si="341"/>
        <v>-43.666491393784781</v>
      </c>
      <c r="AA3376" s="3"/>
    </row>
    <row r="3377" spans="19:27" x14ac:dyDescent="0.25">
      <c r="S3377" s="4">
        <v>-1.2817891149706249</v>
      </c>
      <c r="T3377" s="4">
        <v>1.0823067462618938</v>
      </c>
      <c r="U3377" s="4">
        <f t="shared" si="342"/>
        <v>7.6528676229782988E-2</v>
      </c>
      <c r="W3377" s="4">
        <f t="shared" si="343"/>
        <v>-2.1513114490978453</v>
      </c>
      <c r="X3377" s="4">
        <f t="shared" si="344"/>
        <v>0.20071602032698754</v>
      </c>
      <c r="Y3377" s="3">
        <f t="shared" si="341"/>
        <v>376.9221843741243</v>
      </c>
      <c r="AA3377" s="3"/>
    </row>
    <row r="3378" spans="19:27" x14ac:dyDescent="0.25">
      <c r="S3378" s="4">
        <v>0.87815010304192387</v>
      </c>
      <c r="T3378" s="4">
        <v>-2.144551827699734</v>
      </c>
      <c r="U3378" s="4">
        <f t="shared" si="342"/>
        <v>-1.1646292220496686</v>
      </c>
      <c r="W3378" s="4">
        <f t="shared" si="343"/>
        <v>1.521571754438326</v>
      </c>
      <c r="X3378" s="4">
        <f t="shared" si="344"/>
        <v>-1.987564221035879</v>
      </c>
      <c r="Y3378" s="3">
        <f t="shared" si="341"/>
        <v>-436.65377163873654</v>
      </c>
      <c r="AA3378" s="3"/>
    </row>
    <row r="3379" spans="19:27" x14ac:dyDescent="0.25">
      <c r="S3379" s="4">
        <v>0.2473199135027796</v>
      </c>
      <c r="T3379" s="4">
        <v>1.4170078989726702</v>
      </c>
      <c r="U3379" s="4">
        <f t="shared" si="342"/>
        <v>1.2740225897271027</v>
      </c>
      <c r="W3379" s="4">
        <f t="shared" si="343"/>
        <v>0.44887230617616608</v>
      </c>
      <c r="X3379" s="4">
        <f t="shared" si="344"/>
        <v>2.3120124747838027</v>
      </c>
      <c r="Y3379" s="3">
        <f t="shared" si="341"/>
        <v>159.78892179283412</v>
      </c>
      <c r="AA3379" s="3"/>
    </row>
    <row r="3380" spans="19:27" x14ac:dyDescent="0.25">
      <c r="S3380" s="4">
        <v>-3.9872638106023706E-2</v>
      </c>
      <c r="T3380" s="4">
        <v>0.21864366598865839</v>
      </c>
      <c r="U3380" s="4">
        <f t="shared" si="342"/>
        <v>0.14900983919905564</v>
      </c>
      <c r="W3380" s="4">
        <f t="shared" si="343"/>
        <v>-3.948620418749936E-2</v>
      </c>
      <c r="X3380" s="4">
        <f t="shared" si="344"/>
        <v>0.3285072522214405</v>
      </c>
      <c r="Y3380" s="3">
        <f t="shared" si="341"/>
        <v>39.182436477534338</v>
      </c>
      <c r="AA3380" s="3"/>
    </row>
    <row r="3381" spans="19:27" x14ac:dyDescent="0.25">
      <c r="S3381" s="4">
        <v>0.22948550486772634</v>
      </c>
      <c r="T3381" s="4">
        <v>0.56852539352446363</v>
      </c>
      <c r="U3381" s="4">
        <f t="shared" si="342"/>
        <v>0.59056502602567906</v>
      </c>
      <c r="W3381" s="4">
        <f t="shared" si="343"/>
        <v>0.41854566578997954</v>
      </c>
      <c r="X3381" s="4">
        <f t="shared" si="344"/>
        <v>1.1070113346943016</v>
      </c>
      <c r="Y3381" s="3">
        <f t="shared" si="341"/>
        <v>44.080896210768969</v>
      </c>
      <c r="AA3381" s="3"/>
    </row>
    <row r="3382" spans="19:27" x14ac:dyDescent="0.25">
      <c r="S3382" s="4">
        <v>-0.30083381685554578</v>
      </c>
      <c r="T3382" s="4">
        <v>0.94790859134145666</v>
      </c>
      <c r="U3382" s="4">
        <f t="shared" si="342"/>
        <v>0.56800456812568434</v>
      </c>
      <c r="W3382" s="4">
        <f t="shared" si="343"/>
        <v>-0.48323939974550123</v>
      </c>
      <c r="X3382" s="4">
        <f t="shared" si="344"/>
        <v>1.0672350867833031</v>
      </c>
      <c r="Y3382" s="3">
        <f t="shared" si="341"/>
        <v>184.76812308721765</v>
      </c>
      <c r="AA3382" s="3"/>
    </row>
    <row r="3383" spans="19:27" x14ac:dyDescent="0.25">
      <c r="S3383" s="4">
        <v>0.35789913885837588</v>
      </c>
      <c r="T3383" s="4">
        <v>2.3139244692790171</v>
      </c>
      <c r="U3383" s="4">
        <f t="shared" si="342"/>
        <v>2.0524127596679622</v>
      </c>
      <c r="W3383" s="4">
        <f t="shared" si="343"/>
        <v>0.63690749535261038</v>
      </c>
      <c r="X3383" s="4">
        <f t="shared" si="344"/>
        <v>3.6843888914459426</v>
      </c>
      <c r="Y3383" s="3">
        <f t="shared" si="341"/>
        <v>267.41930610910276</v>
      </c>
      <c r="AA3383" s="3"/>
    </row>
    <row r="3384" spans="19:27" x14ac:dyDescent="0.25">
      <c r="S3384" s="4">
        <v>-1.9133628187330876</v>
      </c>
      <c r="T3384" s="4">
        <v>1.0295734993307628</v>
      </c>
      <c r="U3384" s="4">
        <f t="shared" si="342"/>
        <v>-0.35029396913866317</v>
      </c>
      <c r="W3384" s="4">
        <f t="shared" si="343"/>
        <v>-3.2252752111331167</v>
      </c>
      <c r="X3384" s="4">
        <f t="shared" si="344"/>
        <v>-0.55181318060769091</v>
      </c>
      <c r="Y3384" s="3">
        <f t="shared" si="341"/>
        <v>489.01842480196774</v>
      </c>
      <c r="AA3384" s="3"/>
    </row>
    <row r="3385" spans="19:27" x14ac:dyDescent="0.25">
      <c r="S3385" s="4">
        <v>-1.6498203502240432</v>
      </c>
      <c r="T3385" s="4">
        <v>-0.93899554370314209</v>
      </c>
      <c r="U3385" s="4">
        <f t="shared" si="342"/>
        <v>-1.7501015693594986</v>
      </c>
      <c r="W3385" s="4">
        <f t="shared" si="343"/>
        <v>-2.7771326440029216</v>
      </c>
      <c r="X3385" s="4">
        <f t="shared" si="344"/>
        <v>-3.019808040503543</v>
      </c>
      <c r="Y3385" s="3">
        <f t="shared" si="341"/>
        <v>163.28695029145547</v>
      </c>
      <c r="AA3385" s="3"/>
    </row>
    <row r="3386" spans="19:27" x14ac:dyDescent="0.25">
      <c r="S3386" s="4">
        <v>-1.5546802282136909</v>
      </c>
      <c r="T3386" s="4">
        <v>-0.79116813250658002</v>
      </c>
      <c r="U3386" s="4">
        <f t="shared" si="342"/>
        <v>-1.574920419193514</v>
      </c>
      <c r="W3386" s="4">
        <f t="shared" si="343"/>
        <v>-2.6153509821857255</v>
      </c>
      <c r="X3386" s="4">
        <f t="shared" si="344"/>
        <v>-2.7109468955204141</v>
      </c>
      <c r="Y3386" s="3">
        <f t="shared" si="341"/>
        <v>165.94445997058028</v>
      </c>
      <c r="AA3386" s="3"/>
    </row>
    <row r="3387" spans="19:27" x14ac:dyDescent="0.25">
      <c r="S3387" s="4">
        <v>-1.532377179171565</v>
      </c>
      <c r="T3387" s="4">
        <v>6.6264198782504835E-2</v>
      </c>
      <c r="U3387" s="4">
        <f t="shared" si="342"/>
        <v>-0.88164421708132545</v>
      </c>
      <c r="W3387" s="4">
        <f t="shared" si="343"/>
        <v>-2.5774256120959862</v>
      </c>
      <c r="X3387" s="4">
        <f t="shared" si="344"/>
        <v>-1.4886345555737888</v>
      </c>
      <c r="Y3387" s="3">
        <f t="shared" si="341"/>
        <v>281.57863081508094</v>
      </c>
      <c r="AA3387" s="3"/>
    </row>
    <row r="3388" spans="19:27" x14ac:dyDescent="0.25">
      <c r="S3388" s="4">
        <v>0.66802302096641308</v>
      </c>
      <c r="T3388" s="4">
        <v>1.5130056321363294</v>
      </c>
      <c r="U3388" s="4">
        <f t="shared" si="342"/>
        <v>1.6065892276180473</v>
      </c>
      <c r="W3388" s="4">
        <f t="shared" si="343"/>
        <v>1.1642597412450335</v>
      </c>
      <c r="X3388" s="4">
        <f t="shared" si="344"/>
        <v>2.898359307561543</v>
      </c>
      <c r="Y3388" s="3">
        <f t="shared" si="341"/>
        <v>106.74479399136999</v>
      </c>
      <c r="AA3388" s="3"/>
    </row>
    <row r="3389" spans="19:27" x14ac:dyDescent="0.25">
      <c r="S3389" s="4">
        <v>0.68821179619410022</v>
      </c>
      <c r="T3389" s="4">
        <v>0.29762998448314243</v>
      </c>
      <c r="U3389" s="4">
        <f t="shared" si="342"/>
        <v>0.6554781795374357</v>
      </c>
      <c r="W3389" s="4">
        <f t="shared" si="343"/>
        <v>1.1985898801745765</v>
      </c>
      <c r="X3389" s="4">
        <f t="shared" si="344"/>
        <v>1.2214594411207644</v>
      </c>
      <c r="Y3389" s="3">
        <f t="shared" si="341"/>
        <v>-66.238954814995395</v>
      </c>
      <c r="AA3389" s="3"/>
    </row>
    <row r="3390" spans="19:27" x14ac:dyDescent="0.25">
      <c r="S3390" s="4">
        <v>-1.1564738528196357</v>
      </c>
      <c r="T3390" s="4">
        <v>1.218320761139204</v>
      </c>
      <c r="U3390" s="4">
        <f t="shared" si="342"/>
        <v>0.26074088010995344</v>
      </c>
      <c r="W3390" s="4">
        <f t="shared" si="343"/>
        <v>-1.9382182668162566</v>
      </c>
      <c r="X3390" s="4">
        <f t="shared" si="344"/>
        <v>0.52549977791954783</v>
      </c>
      <c r="Y3390" s="3">
        <f t="shared" si="341"/>
        <v>372.96282329988935</v>
      </c>
      <c r="AA3390" s="3"/>
    </row>
    <row r="3391" spans="19:27" x14ac:dyDescent="0.25">
      <c r="S3391" s="4">
        <v>-0.23318641666057013</v>
      </c>
      <c r="T3391" s="4">
        <v>0.59768226253259893</v>
      </c>
      <c r="U3391" s="4">
        <f t="shared" si="342"/>
        <v>0.33162231695405731</v>
      </c>
      <c r="W3391" s="4">
        <f t="shared" si="343"/>
        <v>-0.36820792206918262</v>
      </c>
      <c r="X3391" s="4">
        <f t="shared" si="344"/>
        <v>0.65047053944826283</v>
      </c>
      <c r="Y3391" s="3">
        <f t="shared" si="341"/>
        <v>124.4037307332942</v>
      </c>
      <c r="AA3391" s="3"/>
    </row>
    <row r="3392" spans="19:27" x14ac:dyDescent="0.25">
      <c r="S3392" s="4">
        <v>-1.0862354684340236</v>
      </c>
      <c r="T3392" s="4">
        <v>0.84740276223019706</v>
      </c>
      <c r="U3392" s="4">
        <f t="shared" si="342"/>
        <v>9.5360289636750029E-3</v>
      </c>
      <c r="W3392" s="4">
        <f t="shared" si="343"/>
        <v>-1.8187809326070061</v>
      </c>
      <c r="X3392" s="4">
        <f t="shared" si="344"/>
        <v>8.2601567256803787E-2</v>
      </c>
      <c r="Y3392" s="3">
        <f t="shared" si="341"/>
        <v>308.35571861975131</v>
      </c>
      <c r="AA3392" s="3"/>
    </row>
    <row r="3393" spans="19:27" x14ac:dyDescent="0.25">
      <c r="S3393" s="4">
        <v>-0.90101712908023668</v>
      </c>
      <c r="T3393" s="4">
        <v>1.706071312903318</v>
      </c>
      <c r="U3393" s="4">
        <f t="shared" si="342"/>
        <v>0.80310896823127753</v>
      </c>
      <c r="W3393" s="4">
        <f t="shared" si="343"/>
        <v>-1.5038251588860465</v>
      </c>
      <c r="X3393" s="4">
        <f t="shared" si="344"/>
        <v>1.4817466603080955</v>
      </c>
      <c r="Y3393" s="3">
        <f t="shared" si="341"/>
        <v>395.05705766217852</v>
      </c>
      <c r="AA3393" s="3"/>
    </row>
    <row r="3394" spans="19:27" x14ac:dyDescent="0.25">
      <c r="S3394" s="4">
        <v>-1.0667040393856646</v>
      </c>
      <c r="T3394" s="4">
        <v>-0.88081562697781668</v>
      </c>
      <c r="U3394" s="4">
        <f t="shared" si="342"/>
        <v>-1.348502100216153</v>
      </c>
      <c r="W3394" s="4">
        <f t="shared" si="343"/>
        <v>-1.7855685824193077</v>
      </c>
      <c r="X3394" s="4">
        <f t="shared" si="344"/>
        <v>-2.3117497148977129</v>
      </c>
      <c r="Y3394" s="3">
        <f t="shared" ref="Y3394:Y3457" si="345">(B$4*EXP(-B$8*B$7)*NORMSDIST((LN(B$4/(B$5+W3394))-B$8*B$7+B$9*B$7+0.5*B$6*B$6*B$7)/(B$6*SQRT(B$7)))-(B$5+W3394)*EXP(-B$9*B$7)*NORMSDIST((LN(B$4/(B$5+W3394))-B$8*B$7+B$9*B$7-0.5*B$6*B$6*B$7)/(B$6*SQRT(B$7))))*400+100*X3394-400*$B$13</f>
        <v>63.284379097869532</v>
      </c>
      <c r="AA3394" s="3"/>
    </row>
    <row r="3395" spans="19:27" x14ac:dyDescent="0.25">
      <c r="S3395" s="4">
        <v>1.4397357500457759</v>
      </c>
      <c r="T3395" s="4">
        <v>0.45161452572133925</v>
      </c>
      <c r="U3395" s="4">
        <f t="shared" ref="U3395:U3458" si="346">$B$19*S3395+SQRT(1-$B$19^2)*T3395</f>
        <v>1.2356862665771671</v>
      </c>
      <c r="W3395" s="4">
        <f t="shared" ref="W3395:W3458" si="347">S3395*SQRT($B$16)+$B$20</f>
        <v>2.4765238535651539</v>
      </c>
      <c r="X3395" s="4">
        <f t="shared" ref="X3395:X3458" si="348">U3395*SQRT($C$17)+$C$20</f>
        <v>2.2444218655697785</v>
      </c>
      <c r="Y3395" s="3">
        <f t="shared" si="345"/>
        <v>-156.78500149555339</v>
      </c>
      <c r="AA3395" s="3"/>
    </row>
    <row r="3396" spans="19:27" x14ac:dyDescent="0.25">
      <c r="S3396" s="4">
        <v>-9.5823454448714582E-2</v>
      </c>
      <c r="T3396" s="4">
        <v>0.47187805805185251</v>
      </c>
      <c r="U3396" s="4">
        <f t="shared" si="346"/>
        <v>0.31563785469970163</v>
      </c>
      <c r="W3396" s="4">
        <f t="shared" si="347"/>
        <v>-0.13462814700489792</v>
      </c>
      <c r="X3396" s="4">
        <f t="shared" si="348"/>
        <v>0.62228840164894994</v>
      </c>
      <c r="Y3396" s="3">
        <f t="shared" si="345"/>
        <v>83.849945751691848</v>
      </c>
      <c r="AA3396" s="3"/>
    </row>
    <row r="3397" spans="19:27" x14ac:dyDescent="0.25">
      <c r="S3397" s="4">
        <v>-0.22444598702885388</v>
      </c>
      <c r="T3397" s="4">
        <v>-0.80173477264917614</v>
      </c>
      <c r="U3397" s="4">
        <f t="shared" si="346"/>
        <v>-0.77235603708417178</v>
      </c>
      <c r="W3397" s="4">
        <f t="shared" si="347"/>
        <v>-0.35334519958222327</v>
      </c>
      <c r="X3397" s="4">
        <f t="shared" si="348"/>
        <v>-1.2959490276213788</v>
      </c>
      <c r="Y3397" s="3">
        <f t="shared" si="345"/>
        <v>-72.647790308274125</v>
      </c>
      <c r="AA3397" s="3"/>
    </row>
    <row r="3398" spans="19:27" x14ac:dyDescent="0.25">
      <c r="S3398" s="4">
        <v>0.18946129471421452</v>
      </c>
      <c r="T3398" s="4">
        <v>0.94099507112279901</v>
      </c>
      <c r="U3398" s="4">
        <f t="shared" si="346"/>
        <v>0.86141911523105541</v>
      </c>
      <c r="W3398" s="4">
        <f t="shared" si="347"/>
        <v>0.35048622782908156</v>
      </c>
      <c r="X3398" s="4">
        <f t="shared" si="348"/>
        <v>1.5845530338786633</v>
      </c>
      <c r="Y3398" s="3">
        <f t="shared" si="345"/>
        <v>102.6067287379492</v>
      </c>
      <c r="AA3398" s="3"/>
    </row>
    <row r="3399" spans="19:27" x14ac:dyDescent="0.25">
      <c r="S3399" s="4">
        <v>-6.8895107940075452E-3</v>
      </c>
      <c r="T3399" s="4">
        <v>-1.3904495351079869</v>
      </c>
      <c r="U3399" s="4">
        <f t="shared" si="346"/>
        <v>-1.1063982487163531</v>
      </c>
      <c r="W3399" s="4">
        <f t="shared" si="347"/>
        <v>1.6600176991258177E-2</v>
      </c>
      <c r="X3399" s="4">
        <f t="shared" si="348"/>
        <v>-1.8848974382218104</v>
      </c>
      <c r="Y3399" s="3">
        <f t="shared" si="345"/>
        <v>-191.14921619370898</v>
      </c>
      <c r="AA3399" s="3"/>
    </row>
    <row r="3400" spans="19:27" x14ac:dyDescent="0.25">
      <c r="S3400" s="4">
        <v>-0.94981446815267623</v>
      </c>
      <c r="T3400" s="4">
        <v>-3.477314584679958E-2</v>
      </c>
      <c r="U3400" s="4">
        <f t="shared" si="346"/>
        <v>-0.60659248709303681</v>
      </c>
      <c r="W3400" s="4">
        <f t="shared" si="347"/>
        <v>-1.5868029230572702</v>
      </c>
      <c r="X3400" s="4">
        <f t="shared" si="348"/>
        <v>-1.0036920136776986</v>
      </c>
      <c r="Y3400" s="3">
        <f t="shared" si="345"/>
        <v>160.48160572339566</v>
      </c>
      <c r="AA3400" s="3"/>
    </row>
    <row r="3401" spans="19:27" x14ac:dyDescent="0.25">
      <c r="S3401" s="4">
        <v>-0.1511584929818017</v>
      </c>
      <c r="T3401" s="4">
        <v>-0.28986596445434626</v>
      </c>
      <c r="U3401" s="4">
        <f t="shared" si="346"/>
        <v>-0.32192402653304214</v>
      </c>
      <c r="W3401" s="4">
        <f t="shared" si="347"/>
        <v>-0.22872298629496435</v>
      </c>
      <c r="X3401" s="4">
        <f t="shared" si="348"/>
        <v>-0.50179425478162232</v>
      </c>
      <c r="Y3401" s="3">
        <f t="shared" si="345"/>
        <v>-13.391059871167272</v>
      </c>
      <c r="AA3401" s="3"/>
    </row>
    <row r="3402" spans="19:27" x14ac:dyDescent="0.25">
      <c r="S3402" s="4">
        <v>0.91152136207627454</v>
      </c>
      <c r="T3402" s="4">
        <v>-1.3226127982511962</v>
      </c>
      <c r="U3402" s="4">
        <f t="shared" si="346"/>
        <v>-0.49274084926876394</v>
      </c>
      <c r="W3402" s="4">
        <f t="shared" si="347"/>
        <v>1.5783181368207442</v>
      </c>
      <c r="X3402" s="4">
        <f t="shared" si="348"/>
        <v>-0.80296067253002867</v>
      </c>
      <c r="Y3402" s="3">
        <f t="shared" si="345"/>
        <v>-326.83815520933967</v>
      </c>
      <c r="AA3402" s="3"/>
    </row>
    <row r="3403" spans="19:27" x14ac:dyDescent="0.25">
      <c r="S3403" s="4">
        <v>-0.47459618885647181</v>
      </c>
      <c r="T3403" s="4">
        <v>0.13917601500735352</v>
      </c>
      <c r="U3403" s="4">
        <f t="shared" si="346"/>
        <v>-0.17900070952323327</v>
      </c>
      <c r="W3403" s="4">
        <f t="shared" si="347"/>
        <v>-0.77871479655599485</v>
      </c>
      <c r="X3403" s="4">
        <f t="shared" si="348"/>
        <v>-0.24980675901161373</v>
      </c>
      <c r="Y3403" s="3">
        <f t="shared" si="345"/>
        <v>101.38301560472837</v>
      </c>
      <c r="AA3403" s="3"/>
    </row>
    <row r="3404" spans="19:27" x14ac:dyDescent="0.25">
      <c r="S3404" s="4">
        <v>-1.3614810770246735</v>
      </c>
      <c r="T3404" s="4">
        <v>-0.97727256964605813</v>
      </c>
      <c r="U3404" s="4">
        <f t="shared" si="346"/>
        <v>-1.6046654080073264</v>
      </c>
      <c r="W3404" s="4">
        <f t="shared" si="347"/>
        <v>-2.2868241831804652</v>
      </c>
      <c r="X3404" s="4">
        <f t="shared" si="348"/>
        <v>-2.7633901595008119</v>
      </c>
      <c r="Y3404" s="3">
        <f t="shared" si="345"/>
        <v>103.80963996887385</v>
      </c>
      <c r="AA3404" s="3"/>
    </row>
    <row r="3405" spans="19:27" x14ac:dyDescent="0.25">
      <c r="S3405" s="4">
        <v>2.4928500399561307E-2</v>
      </c>
      <c r="T3405" s="4">
        <v>0.70222001791625988</v>
      </c>
      <c r="U3405" s="4">
        <f t="shared" si="346"/>
        <v>0.5718411737865543</v>
      </c>
      <c r="W3405" s="4">
        <f t="shared" si="347"/>
        <v>7.0705328612291424E-2</v>
      </c>
      <c r="X3405" s="4">
        <f t="shared" si="348"/>
        <v>1.0739993899982454</v>
      </c>
      <c r="Y3405" s="3">
        <f t="shared" si="345"/>
        <v>96.082302766810699</v>
      </c>
      <c r="AA3405" s="3"/>
    </row>
    <row r="3406" spans="19:27" x14ac:dyDescent="0.25">
      <c r="S3406" s="4">
        <v>0.32766806711564039</v>
      </c>
      <c r="T3406" s="4">
        <v>-1.0326066799091691</v>
      </c>
      <c r="U3406" s="4">
        <f t="shared" si="346"/>
        <v>-0.61878530927235498</v>
      </c>
      <c r="W3406" s="4">
        <f t="shared" si="347"/>
        <v>0.5855008656183911</v>
      </c>
      <c r="X3406" s="4">
        <f t="shared" si="348"/>
        <v>-1.0251891268962823</v>
      </c>
      <c r="Y3406" s="3">
        <f t="shared" si="345"/>
        <v>-195.46220766660463</v>
      </c>
      <c r="AA3406" s="3"/>
    </row>
    <row r="3407" spans="19:27" x14ac:dyDescent="0.25">
      <c r="S3407" s="4">
        <v>-4.0222589171162584E-5</v>
      </c>
      <c r="T3407" s="4">
        <v>-0.42560794954469278</v>
      </c>
      <c r="U3407" s="4">
        <f t="shared" si="346"/>
        <v>-0.33740054538918468</v>
      </c>
      <c r="W3407" s="4">
        <f t="shared" si="347"/>
        <v>2.8247095290593306E-2</v>
      </c>
      <c r="X3407" s="4">
        <f t="shared" si="348"/>
        <v>-0.52908083972373521</v>
      </c>
      <c r="Y3407" s="3">
        <f t="shared" si="345"/>
        <v>-57.432629314404039</v>
      </c>
      <c r="AA3407" s="3"/>
    </row>
    <row r="3408" spans="19:27" x14ac:dyDescent="0.25">
      <c r="S3408" s="4">
        <v>-0.51521730275113309</v>
      </c>
      <c r="T3408" s="4">
        <v>-0.43873888737247008</v>
      </c>
      <c r="U3408" s="4">
        <f t="shared" si="346"/>
        <v>-0.66187277762857377</v>
      </c>
      <c r="W3408" s="4">
        <f t="shared" si="347"/>
        <v>-0.84778924350729068</v>
      </c>
      <c r="X3408" s="4">
        <f t="shared" si="348"/>
        <v>-1.1011564601300046</v>
      </c>
      <c r="Y3408" s="3">
        <f t="shared" si="345"/>
        <v>27.60962455673689</v>
      </c>
      <c r="AA3408" s="3"/>
    </row>
    <row r="3409" spans="19:27" x14ac:dyDescent="0.25">
      <c r="S3409" s="4">
        <v>0.20930804878156906</v>
      </c>
      <c r="T3409" s="4">
        <v>0.78864448608047744</v>
      </c>
      <c r="U3409" s="4">
        <f t="shared" si="346"/>
        <v>0.75275104648452951</v>
      </c>
      <c r="W3409" s="4">
        <f t="shared" si="347"/>
        <v>0.3842347745709539</v>
      </c>
      <c r="X3409" s="4">
        <f t="shared" si="348"/>
        <v>1.3929608214496663</v>
      </c>
      <c r="Y3409" s="3">
        <f t="shared" si="345"/>
        <v>78.103202167642394</v>
      </c>
      <c r="AA3409" s="3"/>
    </row>
    <row r="3410" spans="19:27" x14ac:dyDescent="0.25">
      <c r="S3410" s="4">
        <v>-0.31418058773461188</v>
      </c>
      <c r="T3410" s="4">
        <v>0.39236262283023488</v>
      </c>
      <c r="U3410" s="4">
        <f t="shared" si="346"/>
        <v>0.11949122341361959</v>
      </c>
      <c r="W3410" s="4">
        <f t="shared" si="347"/>
        <v>-0.50593500625811139</v>
      </c>
      <c r="X3410" s="4">
        <f t="shared" si="348"/>
        <v>0.27646310556999815</v>
      </c>
      <c r="Y3410" s="3">
        <f t="shared" si="345"/>
        <v>109.38617861917464</v>
      </c>
      <c r="AA3410" s="3"/>
    </row>
    <row r="3411" spans="19:27" x14ac:dyDescent="0.25">
      <c r="S3411" s="4">
        <v>0.39920803912452285</v>
      </c>
      <c r="T3411" s="4">
        <v>-2.5528149031837564</v>
      </c>
      <c r="U3411" s="4">
        <f t="shared" si="346"/>
        <v>-1.7802298718627141</v>
      </c>
      <c r="W3411" s="4">
        <f t="shared" si="347"/>
        <v>0.70715149327570404</v>
      </c>
      <c r="X3411" s="4">
        <f t="shared" si="348"/>
        <v>-3.0729271232286206</v>
      </c>
      <c r="Y3411" s="3">
        <f t="shared" si="345"/>
        <v>-419.32618943838497</v>
      </c>
      <c r="AA3411" s="3"/>
    </row>
    <row r="3412" spans="19:27" x14ac:dyDescent="0.25">
      <c r="S3412" s="4">
        <v>0.60056286307137385</v>
      </c>
      <c r="T3412" s="4">
        <v>0.77703674691816249</v>
      </c>
      <c r="U3412" s="4">
        <f t="shared" si="346"/>
        <v>0.98206734870367307</v>
      </c>
      <c r="W3412" s="4">
        <f t="shared" si="347"/>
        <v>1.0495466609998521</v>
      </c>
      <c r="X3412" s="4">
        <f t="shared" si="348"/>
        <v>1.7972674240698296</v>
      </c>
      <c r="Y3412" s="3">
        <f t="shared" si="345"/>
        <v>14.367905459020676</v>
      </c>
      <c r="AA3412" s="3"/>
    </row>
    <row r="3413" spans="19:27" x14ac:dyDescent="0.25">
      <c r="S3413" s="4">
        <v>-0.44872001086452917</v>
      </c>
      <c r="T3413" s="4">
        <v>0.75743825811025534</v>
      </c>
      <c r="U3413" s="4">
        <f t="shared" si="346"/>
        <v>0.32686553164559112</v>
      </c>
      <c r="W3413" s="4">
        <f t="shared" si="347"/>
        <v>-0.73471347525688491</v>
      </c>
      <c r="X3413" s="4">
        <f t="shared" si="348"/>
        <v>0.64208387138825906</v>
      </c>
      <c r="Y3413" s="3">
        <f t="shared" si="345"/>
        <v>183.34763085438044</v>
      </c>
      <c r="AA3413" s="3"/>
    </row>
    <row r="3414" spans="19:27" x14ac:dyDescent="0.25">
      <c r="S3414" s="4">
        <v>-0.56071696327288501</v>
      </c>
      <c r="T3414" s="4">
        <v>-1.3106394457854953</v>
      </c>
      <c r="U3414" s="4">
        <f t="shared" si="346"/>
        <v>-1.3807589998274874</v>
      </c>
      <c r="W3414" s="4">
        <f t="shared" si="347"/>
        <v>-0.92515944795716865</v>
      </c>
      <c r="X3414" s="4">
        <f t="shared" si="348"/>
        <v>-2.3686217181818718</v>
      </c>
      <c r="Y3414" s="3">
        <f t="shared" si="345"/>
        <v>-86.381117805292433</v>
      </c>
      <c r="AA3414" s="3"/>
    </row>
    <row r="3415" spans="19:27" x14ac:dyDescent="0.25">
      <c r="S3415" s="4">
        <v>-0.27377792485708718</v>
      </c>
      <c r="T3415" s="4">
        <v>0.79490011738273969</v>
      </c>
      <c r="U3415" s="4">
        <f t="shared" si="346"/>
        <v>0.46320984741781124</v>
      </c>
      <c r="W3415" s="4">
        <f t="shared" si="347"/>
        <v>-0.43723202581149551</v>
      </c>
      <c r="X3415" s="4">
        <f t="shared" si="348"/>
        <v>0.88247195790012678</v>
      </c>
      <c r="Y3415" s="3">
        <f t="shared" si="345"/>
        <v>158.80921553066401</v>
      </c>
      <c r="AA3415" s="3"/>
    </row>
    <row r="3416" spans="19:27" x14ac:dyDescent="0.25">
      <c r="S3416" s="4">
        <v>0.71917660132707728</v>
      </c>
      <c r="T3416" s="4">
        <v>1.0780791640037761</v>
      </c>
      <c r="U3416" s="4">
        <f t="shared" si="346"/>
        <v>1.2930108514227596</v>
      </c>
      <c r="W3416" s="4">
        <f t="shared" si="347"/>
        <v>1.2512441917983683</v>
      </c>
      <c r="X3416" s="4">
        <f t="shared" si="348"/>
        <v>2.3454905986744325</v>
      </c>
      <c r="Y3416" s="3">
        <f t="shared" si="345"/>
        <v>38.056383992712199</v>
      </c>
      <c r="AA3416" s="3"/>
    </row>
    <row r="3417" spans="19:27" x14ac:dyDescent="0.25">
      <c r="S3417" s="4">
        <v>-2.2740009656063784</v>
      </c>
      <c r="T3417" s="4">
        <v>-1.6178591517220955</v>
      </c>
      <c r="U3417" s="4">
        <f t="shared" si="346"/>
        <v>-2.6687457631480904</v>
      </c>
      <c r="W3417" s="4">
        <f t="shared" si="347"/>
        <v>-3.8385247790649974</v>
      </c>
      <c r="X3417" s="4">
        <f t="shared" si="348"/>
        <v>-4.6394657334505851</v>
      </c>
      <c r="Y3417" s="3">
        <f t="shared" si="345"/>
        <v>190.03123106802377</v>
      </c>
      <c r="AA3417" s="3"/>
    </row>
    <row r="3418" spans="19:27" x14ac:dyDescent="0.25">
      <c r="S3418" s="4">
        <v>0.10825779924667589</v>
      </c>
      <c r="T3418" s="4">
        <v>-0.61515334030834823</v>
      </c>
      <c r="U3418" s="4">
        <f t="shared" si="346"/>
        <v>-0.4216307734336513</v>
      </c>
      <c r="W3418" s="4">
        <f t="shared" si="347"/>
        <v>0.21240319656416407</v>
      </c>
      <c r="X3418" s="4">
        <f t="shared" si="348"/>
        <v>-0.67758679856322401</v>
      </c>
      <c r="Y3418" s="3">
        <f t="shared" si="345"/>
        <v>-101.6798703010777</v>
      </c>
      <c r="AA3418" s="3"/>
    </row>
    <row r="3419" spans="19:27" x14ac:dyDescent="0.25">
      <c r="S3419" s="4">
        <v>1.5539489055226052</v>
      </c>
      <c r="T3419" s="4">
        <v>1.2907209912208508</v>
      </c>
      <c r="U3419" s="4">
        <f t="shared" si="346"/>
        <v>1.9704661527051974</v>
      </c>
      <c r="W3419" s="4">
        <f t="shared" si="347"/>
        <v>2.6707383837127678</v>
      </c>
      <c r="X3419" s="4">
        <f t="shared" si="348"/>
        <v>3.539909175277733</v>
      </c>
      <c r="Y3419" s="3">
        <f t="shared" si="345"/>
        <v>-55.831101647429932</v>
      </c>
      <c r="AA3419" s="3"/>
    </row>
    <row r="3420" spans="19:27" x14ac:dyDescent="0.25">
      <c r="S3420" s="4">
        <v>-8.1303820623795375E-2</v>
      </c>
      <c r="T3420" s="4">
        <v>2.6078078807048946</v>
      </c>
      <c r="U3420" s="4">
        <f t="shared" si="346"/>
        <v>2.0176238708717511</v>
      </c>
      <c r="W3420" s="4">
        <f t="shared" si="347"/>
        <v>-0.10993813778967952</v>
      </c>
      <c r="X3420" s="4">
        <f t="shared" si="348"/>
        <v>3.6230527487381932</v>
      </c>
      <c r="Y3420" s="3">
        <f t="shared" si="345"/>
        <v>379.95417007877313</v>
      </c>
      <c r="AA3420" s="3"/>
    </row>
    <row r="3421" spans="19:27" x14ac:dyDescent="0.25">
      <c r="S3421" s="4">
        <v>-1.3857970123107415</v>
      </c>
      <c r="T3421" s="4">
        <v>-1.0670854533368275</v>
      </c>
      <c r="U3421" s="4">
        <f t="shared" si="346"/>
        <v>-1.6906829007909279</v>
      </c>
      <c r="W3421" s="4">
        <f t="shared" si="347"/>
        <v>-2.3281723792526905</v>
      </c>
      <c r="X3421" s="4">
        <f t="shared" si="348"/>
        <v>-2.9150472372431855</v>
      </c>
      <c r="Y3421" s="3">
        <f t="shared" si="345"/>
        <v>95.772300138560695</v>
      </c>
      <c r="AA3421" s="3"/>
    </row>
    <row r="3422" spans="19:27" x14ac:dyDescent="0.25">
      <c r="S3422" s="4">
        <v>1.2979801128790938</v>
      </c>
      <c r="T3422" s="4">
        <v>1.5207062156658331</v>
      </c>
      <c r="U3422" s="4">
        <f t="shared" si="346"/>
        <v>1.9967293174631902</v>
      </c>
      <c r="W3422" s="4">
        <f t="shared" si="347"/>
        <v>2.2354745247626755</v>
      </c>
      <c r="X3422" s="4">
        <f t="shared" si="348"/>
        <v>3.5862136499906136</v>
      </c>
      <c r="Y3422" s="3">
        <f t="shared" si="345"/>
        <v>13.144425287353897</v>
      </c>
      <c r="AA3422" s="3"/>
    </row>
    <row r="3423" spans="19:27" x14ac:dyDescent="0.25">
      <c r="S3423" s="4">
        <v>-0.68419091837873258</v>
      </c>
      <c r="T3423" s="4">
        <v>-0.48353438766656154</v>
      </c>
      <c r="U3423" s="4">
        <f t="shared" si="346"/>
        <v>-0.8003918993972039</v>
      </c>
      <c r="W3423" s="4">
        <f t="shared" si="347"/>
        <v>-1.1351215672614963</v>
      </c>
      <c r="X3423" s="4">
        <f t="shared" si="348"/>
        <v>-1.3453789378964731</v>
      </c>
      <c r="Y3423" s="3">
        <f t="shared" si="345"/>
        <v>50.717344666154077</v>
      </c>
      <c r="AA3423" s="3"/>
    </row>
    <row r="3424" spans="19:27" x14ac:dyDescent="0.25">
      <c r="S3424" s="4">
        <v>0.7718553626013045</v>
      </c>
      <c r="T3424" s="4">
        <v>-0.12137372665126372</v>
      </c>
      <c r="U3424" s="4">
        <f t="shared" si="346"/>
        <v>0.37432826613986625</v>
      </c>
      <c r="W3424" s="4">
        <f t="shared" si="347"/>
        <v>1.3408221465174981</v>
      </c>
      <c r="X3424" s="4">
        <f t="shared" si="348"/>
        <v>0.72576521784615278</v>
      </c>
      <c r="Y3424" s="3">
        <f t="shared" si="345"/>
        <v>-137.67723939287134</v>
      </c>
      <c r="AA3424" s="3"/>
    </row>
    <row r="3425" spans="19:27" x14ac:dyDescent="0.25">
      <c r="S3425" s="4">
        <v>0.11333213967246188</v>
      </c>
      <c r="T3425" s="4">
        <v>-0.89901833849315727</v>
      </c>
      <c r="U3425" s="4">
        <f t="shared" si="346"/>
        <v>-0.64355486080959534</v>
      </c>
      <c r="W3425" s="4">
        <f t="shared" si="347"/>
        <v>0.22103189294759426</v>
      </c>
      <c r="X3425" s="4">
        <f t="shared" si="348"/>
        <v>-1.06886021845643</v>
      </c>
      <c r="Y3425" s="3">
        <f t="shared" si="345"/>
        <v>-142.18031219868772</v>
      </c>
      <c r="AA3425" s="3"/>
    </row>
    <row r="3426" spans="19:27" x14ac:dyDescent="0.25">
      <c r="S3426" s="4">
        <v>5.0391532006393951E-3</v>
      </c>
      <c r="T3426" s="4">
        <v>-0.59007095829280187</v>
      </c>
      <c r="U3426" s="4">
        <f t="shared" si="346"/>
        <v>-0.46467255902287191</v>
      </c>
      <c r="W3426" s="4">
        <f t="shared" si="347"/>
        <v>3.6884354092722754E-2</v>
      </c>
      <c r="X3426" s="4">
        <f t="shared" si="348"/>
        <v>-0.75347358870365289</v>
      </c>
      <c r="Y3426" s="3">
        <f t="shared" si="345"/>
        <v>-81.254574232826599</v>
      </c>
      <c r="AA3426" s="3"/>
    </row>
    <row r="3427" spans="19:27" x14ac:dyDescent="0.25">
      <c r="S3427" s="4">
        <v>1.7655676192586949</v>
      </c>
      <c r="T3427" s="4">
        <v>-0.15422404324552752</v>
      </c>
      <c r="U3427" s="4">
        <f t="shared" si="346"/>
        <v>0.95407724557628759</v>
      </c>
      <c r="W3427" s="4">
        <f t="shared" si="347"/>
        <v>3.0305868520184611</v>
      </c>
      <c r="X3427" s="4">
        <f t="shared" si="348"/>
        <v>1.7479181916214246</v>
      </c>
      <c r="Y3427" s="3">
        <f t="shared" si="345"/>
        <v>-287.52065929287892</v>
      </c>
      <c r="AA3427" s="3"/>
    </row>
    <row r="3428" spans="19:27" x14ac:dyDescent="0.25">
      <c r="S3428" s="4">
        <v>-0.819849012552337</v>
      </c>
      <c r="T3428" s="4">
        <v>-0.32785041573110291</v>
      </c>
      <c r="U3428" s="4">
        <f t="shared" si="346"/>
        <v>-0.75968265835883919</v>
      </c>
      <c r="W3428" s="4">
        <f t="shared" si="347"/>
        <v>-1.3658022879775293</v>
      </c>
      <c r="X3428" s="4">
        <f t="shared" si="348"/>
        <v>-1.2736046471888822</v>
      </c>
      <c r="Y3428" s="3">
        <f t="shared" si="345"/>
        <v>96.367967548152137</v>
      </c>
      <c r="AA3428" s="3"/>
    </row>
    <row r="3429" spans="19:27" x14ac:dyDescent="0.25">
      <c r="S3429" s="4">
        <v>1.8448603994966732</v>
      </c>
      <c r="T3429" s="4">
        <v>-0.63041821454812574</v>
      </c>
      <c r="U3429" s="4">
        <f t="shared" si="346"/>
        <v>0.62494057452103879</v>
      </c>
      <c r="W3429" s="4">
        <f t="shared" si="347"/>
        <v>3.1654207946910384</v>
      </c>
      <c r="X3429" s="4">
        <f t="shared" si="348"/>
        <v>1.167618718865715</v>
      </c>
      <c r="Y3429" s="3">
        <f t="shared" si="345"/>
        <v>-365.05499249691502</v>
      </c>
      <c r="AA3429" s="3"/>
    </row>
    <row r="3430" spans="19:27" x14ac:dyDescent="0.25">
      <c r="S3430" s="4">
        <v>-0.18667559011328513</v>
      </c>
      <c r="T3430" s="4">
        <v>-0.47968820357034331</v>
      </c>
      <c r="U3430" s="4">
        <f t="shared" si="346"/>
        <v>-0.49404661536117345</v>
      </c>
      <c r="W3430" s="4">
        <f t="shared" si="347"/>
        <v>-0.28911827353486219</v>
      </c>
      <c r="X3430" s="4">
        <f t="shared" si="348"/>
        <v>-0.80526286320522178</v>
      </c>
      <c r="Y3430" s="3">
        <f t="shared" si="345"/>
        <v>-33.978523954043794</v>
      </c>
      <c r="AA3430" s="3"/>
    </row>
    <row r="3431" spans="19:27" x14ac:dyDescent="0.25">
      <c r="S3431" s="4">
        <v>-1.3574751900336559</v>
      </c>
      <c r="T3431" s="4">
        <v>-0.28962469064229973</v>
      </c>
      <c r="U3431" s="4">
        <f t="shared" si="346"/>
        <v>-1.0571303443917204</v>
      </c>
      <c r="W3431" s="4">
        <f t="shared" si="347"/>
        <v>-2.2800123456426893</v>
      </c>
      <c r="X3431" s="4">
        <f t="shared" si="348"/>
        <v>-1.7980334044704211</v>
      </c>
      <c r="Y3431" s="3">
        <f t="shared" si="345"/>
        <v>199.17184296165306</v>
      </c>
      <c r="AA3431" s="3"/>
    </row>
    <row r="3432" spans="19:27" x14ac:dyDescent="0.25">
      <c r="S3432" s="4">
        <v>-0.14382676870097627</v>
      </c>
      <c r="T3432" s="4">
        <v>2.4974627226473407</v>
      </c>
      <c r="U3432" s="4">
        <f t="shared" si="346"/>
        <v>1.8920387606001956</v>
      </c>
      <c r="W3432" s="4">
        <f t="shared" si="347"/>
        <v>-0.21625570631808605</v>
      </c>
      <c r="X3432" s="4">
        <f t="shared" si="348"/>
        <v>3.4016341719418137</v>
      </c>
      <c r="Y3432" s="3">
        <f t="shared" si="345"/>
        <v>374.93952766158873</v>
      </c>
      <c r="AA3432" s="3"/>
    </row>
    <row r="3433" spans="19:27" x14ac:dyDescent="0.25">
      <c r="S3433" s="4">
        <v>1.8653569092663196</v>
      </c>
      <c r="T3433" s="4">
        <v>-0.25423032509175403</v>
      </c>
      <c r="U3433" s="4">
        <f t="shared" si="346"/>
        <v>0.93563684178558315</v>
      </c>
      <c r="W3433" s="4">
        <f t="shared" si="347"/>
        <v>3.200274222896911</v>
      </c>
      <c r="X3433" s="4">
        <f t="shared" si="348"/>
        <v>1.7154059936860206</v>
      </c>
      <c r="Y3433" s="3">
        <f t="shared" si="345"/>
        <v>-315.30352591863493</v>
      </c>
      <c r="AA3433" s="3"/>
    </row>
    <row r="3434" spans="19:27" x14ac:dyDescent="0.25">
      <c r="S3434" s="4">
        <v>-8.8462294216020448E-2</v>
      </c>
      <c r="T3434" s="4">
        <v>2.0874663911249982</v>
      </c>
      <c r="U3434" s="4">
        <f t="shared" si="346"/>
        <v>1.600789359737919</v>
      </c>
      <c r="W3434" s="4">
        <f t="shared" si="347"/>
        <v>-0.12211081246523513</v>
      </c>
      <c r="X3434" s="4">
        <f t="shared" si="348"/>
        <v>2.8881335850308369</v>
      </c>
      <c r="Y3434" s="3">
        <f t="shared" si="345"/>
        <v>308.4202391746212</v>
      </c>
      <c r="AA3434" s="3"/>
    </row>
    <row r="3435" spans="19:27" x14ac:dyDescent="0.25">
      <c r="S3435" s="4">
        <v>1.2757169610840053</v>
      </c>
      <c r="T3435" s="4">
        <v>-0.2725136770436577</v>
      </c>
      <c r="U3435" s="4">
        <f t="shared" si="346"/>
        <v>0.56168610624193971</v>
      </c>
      <c r="W3435" s="4">
        <f t="shared" si="347"/>
        <v>2.1976169982156106</v>
      </c>
      <c r="X3435" s="4">
        <f t="shared" si="348"/>
        <v>1.0560950333580543</v>
      </c>
      <c r="Y3435" s="3">
        <f t="shared" si="345"/>
        <v>-234.22653142756872</v>
      </c>
      <c r="AA3435" s="3"/>
    </row>
    <row r="3436" spans="19:27" x14ac:dyDescent="0.25">
      <c r="S3436" s="4">
        <v>0.44222312506437167</v>
      </c>
      <c r="T3436" s="4">
        <v>-2.2375953827899465E-2</v>
      </c>
      <c r="U3436" s="4">
        <f t="shared" si="346"/>
        <v>0.25185184384114867</v>
      </c>
      <c r="W3436" s="4">
        <f t="shared" si="347"/>
        <v>0.78029678612913367</v>
      </c>
      <c r="X3436" s="4">
        <f t="shared" si="348"/>
        <v>0.50982755566744908</v>
      </c>
      <c r="Y3436" s="3">
        <f t="shared" si="345"/>
        <v>-72.49272656623225</v>
      </c>
      <c r="AA3436" s="3"/>
    </row>
    <row r="3437" spans="19:27" x14ac:dyDescent="0.25">
      <c r="S3437" s="4">
        <v>-1.6037987870096064</v>
      </c>
      <c r="T3437" s="4">
        <v>0.87567818320126201</v>
      </c>
      <c r="U3437" s="4">
        <f t="shared" si="346"/>
        <v>-0.28356841730086113</v>
      </c>
      <c r="W3437" s="4">
        <f t="shared" si="347"/>
        <v>-2.6988749666010934</v>
      </c>
      <c r="X3437" s="4">
        <f t="shared" si="348"/>
        <v>-0.43416964235755584</v>
      </c>
      <c r="Y3437" s="3">
        <f t="shared" si="345"/>
        <v>408.1783414181491</v>
      </c>
      <c r="AA3437" s="3"/>
    </row>
    <row r="3438" spans="19:27" x14ac:dyDescent="0.25">
      <c r="S3438" s="4">
        <v>-0.85657576471787811</v>
      </c>
      <c r="T3438" s="4">
        <v>-0.30339353452513684</v>
      </c>
      <c r="U3438" s="4">
        <f t="shared" si="346"/>
        <v>-0.76268533138072925</v>
      </c>
      <c r="W3438" s="4">
        <f t="shared" si="347"/>
        <v>-1.4282545412744405</v>
      </c>
      <c r="X3438" s="4">
        <f t="shared" si="348"/>
        <v>-1.2788986472948993</v>
      </c>
      <c r="Y3438" s="3">
        <f t="shared" si="345"/>
        <v>106.30273706919797</v>
      </c>
      <c r="AA3438" s="3"/>
    </row>
    <row r="3439" spans="19:27" x14ac:dyDescent="0.25">
      <c r="S3439" s="4">
        <v>0.29811878407019243</v>
      </c>
      <c r="T3439" s="4">
        <v>0.52322117688151426</v>
      </c>
      <c r="U3439" s="4">
        <f t="shared" si="346"/>
        <v>0.59649311340596967</v>
      </c>
      <c r="W3439" s="4">
        <f t="shared" si="347"/>
        <v>0.53525358807044876</v>
      </c>
      <c r="X3439" s="4">
        <f t="shared" si="348"/>
        <v>1.1174631204834791</v>
      </c>
      <c r="Y3439" s="3">
        <f t="shared" si="345"/>
        <v>26.710241427062556</v>
      </c>
      <c r="AA3439" s="3"/>
    </row>
    <row r="3440" spans="19:27" x14ac:dyDescent="0.25">
      <c r="S3440" s="4">
        <v>-0.66767422882303462</v>
      </c>
      <c r="T3440" s="4">
        <v>-0.2990228468565771</v>
      </c>
      <c r="U3440" s="4">
        <f t="shared" si="346"/>
        <v>-0.64406213112374899</v>
      </c>
      <c r="W3440" s="4">
        <f t="shared" si="347"/>
        <v>-1.1070356511666148</v>
      </c>
      <c r="X3440" s="4">
        <f t="shared" si="348"/>
        <v>-1.0697545846019711</v>
      </c>
      <c r="Y3440" s="3">
        <f t="shared" si="345"/>
        <v>73.614727345699976</v>
      </c>
      <c r="AA3440" s="3"/>
    </row>
    <row r="3441" spans="19:27" x14ac:dyDescent="0.25">
      <c r="S3441" s="4">
        <v>-1.1197135457897527</v>
      </c>
      <c r="T3441" s="4">
        <v>1.4123937098011432</v>
      </c>
      <c r="U3441" s="4">
        <f t="shared" si="346"/>
        <v>0.43699086096236528</v>
      </c>
      <c r="W3441" s="4">
        <f t="shared" si="347"/>
        <v>-1.8757089549240802</v>
      </c>
      <c r="X3441" s="4">
        <f t="shared" si="348"/>
        <v>0.8362453737656278</v>
      </c>
      <c r="Y3441" s="3">
        <f t="shared" si="345"/>
        <v>393.39455954612095</v>
      </c>
      <c r="AA3441" s="3"/>
    </row>
    <row r="3442" spans="19:27" x14ac:dyDescent="0.25">
      <c r="S3442" s="4">
        <v>0.94653243153320321</v>
      </c>
      <c r="T3442" s="4">
        <v>0.21738356209898776</v>
      </c>
      <c r="U3442" s="4">
        <f t="shared" si="346"/>
        <v>0.74934550387986021</v>
      </c>
      <c r="W3442" s="4">
        <f t="shared" si="347"/>
        <v>1.6378529458902855</v>
      </c>
      <c r="X3442" s="4">
        <f t="shared" si="348"/>
        <v>1.3869565236860635</v>
      </c>
      <c r="Y3442" s="3">
        <f t="shared" si="345"/>
        <v>-116.89854265408621</v>
      </c>
      <c r="AA3442" s="3"/>
    </row>
    <row r="3443" spans="19:27" x14ac:dyDescent="0.25">
      <c r="S3443" s="4">
        <v>-1.8269328029981549</v>
      </c>
      <c r="T3443" s="4">
        <v>-1.273685890797807</v>
      </c>
      <c r="U3443" s="4">
        <f t="shared" si="346"/>
        <v>-2.1233796392357549</v>
      </c>
      <c r="W3443" s="4">
        <f t="shared" si="347"/>
        <v>-3.0783047082472539</v>
      </c>
      <c r="X3443" s="4">
        <f t="shared" si="348"/>
        <v>-3.6779330268381707</v>
      </c>
      <c r="Y3443" s="3">
        <f t="shared" si="345"/>
        <v>150.40064626477852</v>
      </c>
      <c r="AA3443" s="3"/>
    </row>
    <row r="3444" spans="19:27" x14ac:dyDescent="0.25">
      <c r="S3444" s="4">
        <v>1.5820817049496896</v>
      </c>
      <c r="T3444" s="4">
        <v>0.64136740733190323</v>
      </c>
      <c r="U3444" s="4">
        <f t="shared" si="346"/>
        <v>1.4728791315121534</v>
      </c>
      <c r="W3444" s="4">
        <f t="shared" si="347"/>
        <v>2.7185769921432712</v>
      </c>
      <c r="X3444" s="4">
        <f t="shared" si="348"/>
        <v>2.6626156026027572</v>
      </c>
      <c r="Y3444" s="3">
        <f t="shared" si="345"/>
        <v>-150.57530772372684</v>
      </c>
      <c r="AA3444" s="3"/>
    </row>
    <row r="3445" spans="19:27" x14ac:dyDescent="0.25">
      <c r="S3445" s="4">
        <v>1.8494367741725519</v>
      </c>
      <c r="T3445" s="4">
        <v>-3.1683646859547814</v>
      </c>
      <c r="U3445" s="4">
        <f t="shared" si="346"/>
        <v>-1.3840794777494763</v>
      </c>
      <c r="W3445" s="4">
        <f t="shared" si="347"/>
        <v>3.1732027218582251</v>
      </c>
      <c r="X3445" s="4">
        <f t="shared" si="348"/>
        <v>-2.3744760387631954</v>
      </c>
      <c r="Y3445" s="3">
        <f t="shared" si="345"/>
        <v>-720.38744847373619</v>
      </c>
      <c r="AA3445" s="3"/>
    </row>
    <row r="3446" spans="19:27" x14ac:dyDescent="0.25">
      <c r="S3446" s="4">
        <v>0.67242651268622633</v>
      </c>
      <c r="T3446" s="4">
        <v>-0.27235466795189539</v>
      </c>
      <c r="U3446" s="4">
        <f t="shared" si="346"/>
        <v>0.1940328336087114</v>
      </c>
      <c r="W3446" s="4">
        <f t="shared" si="347"/>
        <v>1.1717476884241651</v>
      </c>
      <c r="X3446" s="4">
        <f t="shared" si="348"/>
        <v>0.40788710325426825</v>
      </c>
      <c r="Y3446" s="3">
        <f t="shared" si="345"/>
        <v>-143.45758920548224</v>
      </c>
      <c r="AA3446" s="3"/>
    </row>
    <row r="3447" spans="19:27" x14ac:dyDescent="0.25">
      <c r="S3447" s="4">
        <v>1.3392219087343087</v>
      </c>
      <c r="T3447" s="4">
        <v>0.58622537677534126</v>
      </c>
      <c r="U3447" s="4">
        <f t="shared" si="346"/>
        <v>1.2811157335568182</v>
      </c>
      <c r="W3447" s="4">
        <f t="shared" si="347"/>
        <v>2.3056044145378451</v>
      </c>
      <c r="X3447" s="4">
        <f t="shared" si="348"/>
        <v>2.3245183666717151</v>
      </c>
      <c r="Y3447" s="3">
        <f t="shared" si="345"/>
        <v>-123.4558777374059</v>
      </c>
      <c r="AA3447" s="3"/>
    </row>
    <row r="3448" spans="19:27" x14ac:dyDescent="0.25">
      <c r="S3448" s="4">
        <v>0.29019753219636746</v>
      </c>
      <c r="T3448" s="4">
        <v>-3.4910799504845276E-2</v>
      </c>
      <c r="U3448" s="4">
        <f t="shared" si="346"/>
        <v>0.14923737832934644</v>
      </c>
      <c r="W3448" s="4">
        <f t="shared" si="347"/>
        <v>0.52178384192401717</v>
      </c>
      <c r="X3448" s="4">
        <f t="shared" si="348"/>
        <v>0.32890842549974975</v>
      </c>
      <c r="Y3448" s="3">
        <f t="shared" si="345"/>
        <v>-50.02334619028079</v>
      </c>
      <c r="AA3448" s="3"/>
    </row>
    <row r="3449" spans="19:27" x14ac:dyDescent="0.25">
      <c r="S3449" s="4">
        <v>-0.11575939845351116</v>
      </c>
      <c r="T3449" s="4">
        <v>-0.58825117443366037</v>
      </c>
      <c r="U3449" s="4">
        <f t="shared" si="346"/>
        <v>-0.53687152320945641</v>
      </c>
      <c r="W3449" s="4">
        <f t="shared" si="347"/>
        <v>-0.16852835737712776</v>
      </c>
      <c r="X3449" s="4">
        <f t="shared" si="348"/>
        <v>-0.88076727711782088</v>
      </c>
      <c r="Y3449" s="3">
        <f t="shared" si="345"/>
        <v>-60.996497487865781</v>
      </c>
      <c r="AA3449" s="3"/>
    </row>
    <row r="3450" spans="19:27" x14ac:dyDescent="0.25">
      <c r="S3450" s="4">
        <v>0.72740970586285048</v>
      </c>
      <c r="T3450" s="4">
        <v>0.90470758174615606</v>
      </c>
      <c r="U3450" s="4">
        <f t="shared" si="346"/>
        <v>1.1605996660770166</v>
      </c>
      <c r="W3450" s="4">
        <f t="shared" si="347"/>
        <v>1.2652442299060254</v>
      </c>
      <c r="X3450" s="4">
        <f t="shared" si="348"/>
        <v>2.1120369977835272</v>
      </c>
      <c r="Y3450" s="3">
        <f t="shared" si="345"/>
        <v>12.557642873784971</v>
      </c>
      <c r="AA3450" s="3"/>
    </row>
    <row r="3451" spans="19:27" x14ac:dyDescent="0.25">
      <c r="S3451" s="4">
        <v>-0.49502215233548197</v>
      </c>
      <c r="T3451" s="4">
        <v>1.0597269598385513</v>
      </c>
      <c r="U3451" s="4">
        <f t="shared" si="346"/>
        <v>0.53826055439399079</v>
      </c>
      <c r="W3451" s="4">
        <f t="shared" si="347"/>
        <v>-0.8134482638463989</v>
      </c>
      <c r="X3451" s="4">
        <f t="shared" si="348"/>
        <v>1.0147935419660652</v>
      </c>
      <c r="Y3451" s="3">
        <f t="shared" si="345"/>
        <v>233.55299003561868</v>
      </c>
      <c r="AA3451" s="3"/>
    </row>
    <row r="3452" spans="19:27" x14ac:dyDescent="0.25">
      <c r="S3452" s="4">
        <v>0.11432404038234818</v>
      </c>
      <c r="T3452" s="4">
        <v>0.41609136803536334</v>
      </c>
      <c r="U3452" s="4">
        <f t="shared" si="346"/>
        <v>0.39952679238963607</v>
      </c>
      <c r="W3452" s="4">
        <f t="shared" si="347"/>
        <v>0.2227185771961766</v>
      </c>
      <c r="X3452" s="4">
        <f t="shared" si="348"/>
        <v>0.77019263290774509</v>
      </c>
      <c r="Y3452" s="3">
        <f t="shared" si="345"/>
        <v>41.456612673125619</v>
      </c>
      <c r="AA3452" s="3"/>
    </row>
    <row r="3453" spans="19:27" x14ac:dyDescent="0.25">
      <c r="S3453" s="4">
        <v>-0.49287426405851498</v>
      </c>
      <c r="T3453" s="4">
        <v>-1.8909156804635829</v>
      </c>
      <c r="U3453" s="4">
        <f t="shared" si="346"/>
        <v>-1.7993809166997856</v>
      </c>
      <c r="W3453" s="4">
        <f t="shared" si="347"/>
        <v>-0.80979587274679965</v>
      </c>
      <c r="X3453" s="4">
        <f t="shared" si="348"/>
        <v>-3.106692249387438</v>
      </c>
      <c r="Y3453" s="3">
        <f t="shared" si="345"/>
        <v>-179.19631446248741</v>
      </c>
      <c r="AA3453" s="3"/>
    </row>
    <row r="3454" spans="19:27" x14ac:dyDescent="0.25">
      <c r="S3454" s="4">
        <v>0.19388624117762956</v>
      </c>
      <c r="T3454" s="4">
        <v>-6.7262218662306458E-2</v>
      </c>
      <c r="U3454" s="4">
        <f t="shared" si="346"/>
        <v>6.4879154673443518E-2</v>
      </c>
      <c r="W3454" s="4">
        <f t="shared" si="347"/>
        <v>0.35801065787159841</v>
      </c>
      <c r="X3454" s="4">
        <f t="shared" si="348"/>
        <v>0.18017679813905546</v>
      </c>
      <c r="Y3454" s="3">
        <f t="shared" si="345"/>
        <v>-39.022945125768274</v>
      </c>
      <c r="AA3454" s="3"/>
    </row>
    <row r="3455" spans="19:27" x14ac:dyDescent="0.25">
      <c r="S3455" s="4">
        <v>-0.7324220227156808</v>
      </c>
      <c r="T3455" s="4">
        <v>0.41959233546198837</v>
      </c>
      <c r="U3455" s="4">
        <f t="shared" si="346"/>
        <v>-0.1138933112111255</v>
      </c>
      <c r="W3455" s="4">
        <f t="shared" si="347"/>
        <v>-1.2171364737597348</v>
      </c>
      <c r="X3455" s="4">
        <f t="shared" si="348"/>
        <v>-0.13501618039915014</v>
      </c>
      <c r="Y3455" s="3">
        <f t="shared" si="345"/>
        <v>185.40001741823016</v>
      </c>
      <c r="AA3455" s="3"/>
    </row>
    <row r="3456" spans="19:27" x14ac:dyDescent="0.25">
      <c r="S3456" s="4">
        <v>1.1451287581906726</v>
      </c>
      <c r="T3456" s="4">
        <v>-1.177452852252147E-2</v>
      </c>
      <c r="U3456" s="4">
        <f t="shared" si="346"/>
        <v>0.68876246615119974</v>
      </c>
      <c r="W3456" s="4">
        <f t="shared" si="347"/>
        <v>1.9755574083035259</v>
      </c>
      <c r="X3456" s="4">
        <f t="shared" si="348"/>
        <v>1.2801428260838914</v>
      </c>
      <c r="Y3456" s="3">
        <f t="shared" si="345"/>
        <v>-178.59031838394912</v>
      </c>
      <c r="AA3456" s="3"/>
    </row>
    <row r="3457" spans="19:27" x14ac:dyDescent="0.25">
      <c r="S3457" s="4">
        <v>-0.34971541613024831</v>
      </c>
      <c r="T3457" s="4">
        <v>8.6541092169082137E-2</v>
      </c>
      <c r="U3457" s="4">
        <f t="shared" si="346"/>
        <v>-0.14459388739926571</v>
      </c>
      <c r="W3457" s="4">
        <f t="shared" si="347"/>
        <v>-0.5663604447456656</v>
      </c>
      <c r="X3457" s="4">
        <f t="shared" si="348"/>
        <v>-0.18914423643786407</v>
      </c>
      <c r="Y3457" s="3">
        <f t="shared" si="345"/>
        <v>72.676888543088808</v>
      </c>
      <c r="AA3457" s="3"/>
    </row>
    <row r="3458" spans="19:27" x14ac:dyDescent="0.25">
      <c r="S3458" s="4">
        <v>-0.72689115698955686</v>
      </c>
      <c r="T3458" s="4">
        <v>-1.2219261164913324</v>
      </c>
      <c r="U3458" s="4">
        <f t="shared" si="346"/>
        <v>-1.4117401478663305</v>
      </c>
      <c r="W3458" s="4">
        <f t="shared" si="347"/>
        <v>-1.2077314758518833</v>
      </c>
      <c r="X3458" s="4">
        <f t="shared" si="348"/>
        <v>-2.4232444492639682</v>
      </c>
      <c r="Y3458" s="3">
        <f t="shared" ref="Y3458:Y3521" si="349">(B$4*EXP(-B$8*B$7)*NORMSDIST((LN(B$4/(B$5+W3458))-B$8*B$7+B$9*B$7+0.5*B$6*B$6*B$7)/(B$6*SQRT(B$7)))-(B$5+W3458)*EXP(-B$9*B$7)*NORMSDIST((LN(B$4/(B$5+W3458))-B$8*B$7+B$9*B$7-0.5*B$6*B$6*B$7)/(B$6*SQRT(B$7))))*400+100*X3458-400*$B$13</f>
        <v>-44.989498632106006</v>
      </c>
      <c r="AA3458" s="3"/>
    </row>
    <row r="3459" spans="19:27" x14ac:dyDescent="0.25">
      <c r="S3459" s="4">
        <v>-0.13477595791072786</v>
      </c>
      <c r="T3459" s="4">
        <v>1.1702864317938768</v>
      </c>
      <c r="U3459" s="4">
        <f t="shared" ref="U3459:U3522" si="350">$B$19*S3459+SQRT(1-$B$19^2)*T3459</f>
        <v>0.84551428331270495</v>
      </c>
      <c r="W3459" s="4">
        <f t="shared" ref="W3459:W3522" si="351">S3459*SQRT($B$16)+$B$20</f>
        <v>-0.20086519409780457</v>
      </c>
      <c r="X3459" s="4">
        <f t="shared" ref="X3459:X3522" si="352">U3459*SQRT($C$17)+$C$20</f>
        <v>1.5565112919879893</v>
      </c>
      <c r="Y3459" s="3">
        <f t="shared" si="349"/>
        <v>187.94427870942945</v>
      </c>
      <c r="AA3459" s="3"/>
    </row>
    <row r="3460" spans="19:27" x14ac:dyDescent="0.25">
      <c r="S3460" s="4">
        <v>-2.421665884103656</v>
      </c>
      <c r="T3460" s="4">
        <v>-1.6445536527610531</v>
      </c>
      <c r="U3460" s="4">
        <f t="shared" si="350"/>
        <v>-2.7799261100651753</v>
      </c>
      <c r="W3460" s="4">
        <f t="shared" si="351"/>
        <v>-4.0896225851408712</v>
      </c>
      <c r="X3460" s="4">
        <f t="shared" si="352"/>
        <v>-4.8354873328971903</v>
      </c>
      <c r="Y3460" s="3">
        <f t="shared" si="349"/>
        <v>215.97016413440542</v>
      </c>
      <c r="AA3460" s="3"/>
    </row>
    <row r="3461" spans="19:27" x14ac:dyDescent="0.25">
      <c r="S3461" s="4">
        <v>0.59644718624566551</v>
      </c>
      <c r="T3461" s="4">
        <v>-0.65859328925617788</v>
      </c>
      <c r="U3461" s="4">
        <f t="shared" si="350"/>
        <v>-0.15845413154322546</v>
      </c>
      <c r="W3461" s="4">
        <f t="shared" si="351"/>
        <v>1.042548130597577</v>
      </c>
      <c r="X3461" s="4">
        <f t="shared" si="352"/>
        <v>-0.21358117427046172</v>
      </c>
      <c r="Y3461" s="3">
        <f t="shared" si="349"/>
        <v>-185.63296227763021</v>
      </c>
      <c r="AA3461" s="3"/>
    </row>
    <row r="3462" spans="19:27" x14ac:dyDescent="0.25">
      <c r="S3462" s="4">
        <v>1.6460782159484133</v>
      </c>
      <c r="T3462" s="4">
        <v>-1.0233677474183209</v>
      </c>
      <c r="U3462" s="4">
        <f t="shared" si="350"/>
        <v>0.19227056167881873</v>
      </c>
      <c r="W3462" s="4">
        <f t="shared" si="351"/>
        <v>2.8274002906749822</v>
      </c>
      <c r="X3462" s="4">
        <f t="shared" si="352"/>
        <v>0.40478004906765885</v>
      </c>
      <c r="Y3462" s="3">
        <f t="shared" si="349"/>
        <v>-392.27425537392219</v>
      </c>
      <c r="AA3462" s="3"/>
    </row>
    <row r="3463" spans="19:27" x14ac:dyDescent="0.25">
      <c r="S3463" s="4">
        <v>0.61450563102935496</v>
      </c>
      <c r="T3463" s="4">
        <v>1.4630243043882309</v>
      </c>
      <c r="U3463" s="4">
        <f t="shared" si="350"/>
        <v>1.5343440330383395</v>
      </c>
      <c r="W3463" s="4">
        <f t="shared" si="351"/>
        <v>1.0732557347629517</v>
      </c>
      <c r="X3463" s="4">
        <f t="shared" si="352"/>
        <v>2.7709841105367765</v>
      </c>
      <c r="Y3463" s="3">
        <f t="shared" si="349"/>
        <v>108.06915953159296</v>
      </c>
      <c r="AA3463" s="3"/>
    </row>
    <row r="3464" spans="19:27" x14ac:dyDescent="0.25">
      <c r="S3464" s="4">
        <v>0.5710042989654065</v>
      </c>
      <c r="T3464" s="4">
        <v>9.4498111696349377E-2</v>
      </c>
      <c r="U3464" s="4">
        <f t="shared" si="350"/>
        <v>0.42300485975997865</v>
      </c>
      <c r="W3464" s="4">
        <f t="shared" si="351"/>
        <v>0.99928360140998551</v>
      </c>
      <c r="X3464" s="4">
        <f t="shared" si="352"/>
        <v>0.81158671419516826</v>
      </c>
      <c r="Y3464" s="3">
        <f t="shared" si="349"/>
        <v>-76.409468752705379</v>
      </c>
      <c r="AA3464" s="3"/>
    </row>
    <row r="3465" spans="19:27" x14ac:dyDescent="0.25">
      <c r="S3465" s="4">
        <v>0.13154046100997396</v>
      </c>
      <c r="T3465" s="4">
        <v>0.87082912936588208</v>
      </c>
      <c r="U3465" s="4">
        <f t="shared" si="350"/>
        <v>0.77048930065171284</v>
      </c>
      <c r="W3465" s="4">
        <f t="shared" si="351"/>
        <v>0.25199435570924261</v>
      </c>
      <c r="X3465" s="4">
        <f t="shared" si="352"/>
        <v>1.4242350623533648</v>
      </c>
      <c r="Y3465" s="3">
        <f t="shared" si="349"/>
        <v>102.2052610709311</v>
      </c>
      <c r="AA3465" s="3"/>
    </row>
    <row r="3466" spans="19:27" x14ac:dyDescent="0.25">
      <c r="S3466" s="4">
        <v>0.47827598871482069</v>
      </c>
      <c r="T3466" s="4">
        <v>0.80906724829294085</v>
      </c>
      <c r="U3466" s="4">
        <f t="shared" si="350"/>
        <v>0.93290886445155463</v>
      </c>
      <c r="W3466" s="4">
        <f t="shared" si="351"/>
        <v>0.84160312115783753</v>
      </c>
      <c r="X3466" s="4">
        <f t="shared" si="352"/>
        <v>1.7105963083855318</v>
      </c>
      <c r="Y3466" s="3">
        <f t="shared" si="349"/>
        <v>38.015128846933294</v>
      </c>
      <c r="AA3466" s="3"/>
    </row>
    <row r="3467" spans="19:27" x14ac:dyDescent="0.25">
      <c r="S3467" s="4">
        <v>1.0708679957302076</v>
      </c>
      <c r="T3467" s="4">
        <v>-1.5664864972605623</v>
      </c>
      <c r="U3467" s="4">
        <f t="shared" si="350"/>
        <v>-0.58891632090866552</v>
      </c>
      <c r="W3467" s="4">
        <f t="shared" si="351"/>
        <v>1.8492801941818242</v>
      </c>
      <c r="X3467" s="4">
        <f t="shared" si="352"/>
        <v>-0.97252723983391398</v>
      </c>
      <c r="Y3467" s="3">
        <f t="shared" si="349"/>
        <v>-384.84998681874777</v>
      </c>
      <c r="AA3467" s="3"/>
    </row>
    <row r="3468" spans="19:27" x14ac:dyDescent="0.25">
      <c r="S3468" s="4">
        <v>0.73204466041055438</v>
      </c>
      <c r="T3468" s="4">
        <v>2.2458762831633248</v>
      </c>
      <c r="U3468" s="4">
        <f t="shared" si="350"/>
        <v>2.2265589634488872</v>
      </c>
      <c r="W3468" s="4">
        <f t="shared" si="351"/>
        <v>1.2731257696111471</v>
      </c>
      <c r="X3468" s="4">
        <f t="shared" si="352"/>
        <v>3.991425326834559</v>
      </c>
      <c r="Y3468" s="3">
        <f t="shared" si="349"/>
        <v>199.28463276876846</v>
      </c>
      <c r="AA3468" s="3"/>
    </row>
    <row r="3469" spans="19:27" x14ac:dyDescent="0.25">
      <c r="S3469" s="4">
        <v>-1.3234432935004343</v>
      </c>
      <c r="T3469" s="4">
        <v>-0.15100467931779668</v>
      </c>
      <c r="U3469" s="4">
        <f t="shared" si="350"/>
        <v>-0.92650076430811901</v>
      </c>
      <c r="W3469" s="4">
        <f t="shared" si="351"/>
        <v>-2.222142577771923</v>
      </c>
      <c r="X3469" s="4">
        <f t="shared" si="352"/>
        <v>-1.5677209442824491</v>
      </c>
      <c r="Y3469" s="3">
        <f t="shared" si="349"/>
        <v>212.24390284017863</v>
      </c>
      <c r="AA3469" s="3"/>
    </row>
    <row r="3470" spans="19:27" x14ac:dyDescent="0.25">
      <c r="S3470" s="4">
        <v>-1.5238343130357102</v>
      </c>
      <c r="T3470" s="4">
        <v>0.21769216998770119</v>
      </c>
      <c r="U3470" s="4">
        <f t="shared" si="350"/>
        <v>-0.75640055105913728</v>
      </c>
      <c r="W3470" s="4">
        <f t="shared" si="351"/>
        <v>-2.5628988377873507</v>
      </c>
      <c r="X3470" s="4">
        <f t="shared" si="352"/>
        <v>-1.267817977689436</v>
      </c>
      <c r="Y3470" s="3">
        <f t="shared" si="349"/>
        <v>301.13542515021072</v>
      </c>
      <c r="AA3470" s="3"/>
    </row>
    <row r="3471" spans="19:27" x14ac:dyDescent="0.25">
      <c r="S3471" s="4">
        <v>0.16627986169884415</v>
      </c>
      <c r="T3471" s="4">
        <v>0.41227414327743295</v>
      </c>
      <c r="U3471" s="4">
        <f t="shared" si="350"/>
        <v>0.42817433669471949</v>
      </c>
      <c r="W3471" s="4">
        <f t="shared" si="351"/>
        <v>0.31106720379080516</v>
      </c>
      <c r="X3471" s="4">
        <f t="shared" si="352"/>
        <v>0.82070099711610534</v>
      </c>
      <c r="Y3471" s="3">
        <f t="shared" si="349"/>
        <v>32.471201778831528</v>
      </c>
      <c r="AA3471" s="3"/>
    </row>
    <row r="3472" spans="19:27" x14ac:dyDescent="0.25">
      <c r="S3472" s="4">
        <v>0.67947992156103543</v>
      </c>
      <c r="T3472" s="4">
        <v>-1.8392945708002608</v>
      </c>
      <c r="U3472" s="4">
        <f t="shared" si="350"/>
        <v>-1.0437680061126922</v>
      </c>
      <c r="W3472" s="4">
        <f t="shared" si="351"/>
        <v>1.1837417050927437</v>
      </c>
      <c r="X3472" s="4">
        <f t="shared" si="352"/>
        <v>-1.7744743223625452</v>
      </c>
      <c r="Y3472" s="3">
        <f t="shared" si="349"/>
        <v>-363.54345193315066</v>
      </c>
      <c r="AA3472" s="3"/>
    </row>
    <row r="3473" spans="19:27" x14ac:dyDescent="0.25">
      <c r="S3473" s="4">
        <v>1.1837370466804173</v>
      </c>
      <c r="T3473" s="4">
        <v>-0.48185653185884614</v>
      </c>
      <c r="U3473" s="4">
        <f t="shared" si="350"/>
        <v>0.33966868794510457</v>
      </c>
      <c r="W3473" s="4">
        <f t="shared" si="351"/>
        <v>2.041209132726467</v>
      </c>
      <c r="X3473" s="4">
        <f t="shared" si="352"/>
        <v>0.66465706211293962</v>
      </c>
      <c r="Y3473" s="3">
        <f t="shared" si="349"/>
        <v>-249.98934822487081</v>
      </c>
      <c r="AA3473" s="3"/>
    </row>
    <row r="3474" spans="19:27" x14ac:dyDescent="0.25">
      <c r="S3474" s="4">
        <v>0.7275359650479557</v>
      </c>
      <c r="T3474" s="4">
        <v>0.18408840928481013</v>
      </c>
      <c r="U3474" s="4">
        <f t="shared" si="350"/>
        <v>0.58944756978826429</v>
      </c>
      <c r="W3474" s="4">
        <f t="shared" si="351"/>
        <v>1.2654589281884576</v>
      </c>
      <c r="X3474" s="4">
        <f t="shared" si="352"/>
        <v>1.1050411523280514</v>
      </c>
      <c r="Y3474" s="3">
        <f t="shared" si="349"/>
        <v>-88.174957230794007</v>
      </c>
      <c r="AA3474" s="3"/>
    </row>
    <row r="3475" spans="19:27" x14ac:dyDescent="0.25">
      <c r="S3475" s="4">
        <v>2.0413384682708422</v>
      </c>
      <c r="T3475" s="4">
        <v>0.87720223776679007</v>
      </c>
      <c r="U3475" s="4">
        <f t="shared" si="350"/>
        <v>1.9397966891759539</v>
      </c>
      <c r="W3475" s="4">
        <f t="shared" si="351"/>
        <v>3.49952325120733</v>
      </c>
      <c r="X3475" s="4">
        <f t="shared" si="352"/>
        <v>3.4858359738363385</v>
      </c>
      <c r="Y3475" s="3">
        <f t="shared" si="349"/>
        <v>-181.18057288604405</v>
      </c>
      <c r="AA3475" s="3"/>
    </row>
    <row r="3476" spans="19:27" x14ac:dyDescent="0.25">
      <c r="S3476" s="4">
        <v>-1.0699492098893733</v>
      </c>
      <c r="T3476" s="4">
        <v>1.3871150572812589</v>
      </c>
      <c r="U3476" s="4">
        <f t="shared" si="350"/>
        <v>0.44729012435973037</v>
      </c>
      <c r="W3476" s="4">
        <f t="shared" si="351"/>
        <v>-1.7910868544782084</v>
      </c>
      <c r="X3476" s="4">
        <f t="shared" si="352"/>
        <v>0.85440396150397158</v>
      </c>
      <c r="Y3476" s="3">
        <f t="shared" si="349"/>
        <v>380.83580383128265</v>
      </c>
      <c r="AA3476" s="3"/>
    </row>
    <row r="3477" spans="19:27" x14ac:dyDescent="0.25">
      <c r="S3477" s="4">
        <v>0.58731107997181342</v>
      </c>
      <c r="T3477" s="4">
        <v>-9.3213949119519593E-2</v>
      </c>
      <c r="U3477" s="4">
        <f t="shared" si="350"/>
        <v>0.28414798482851789</v>
      </c>
      <c r="W3477" s="4">
        <f t="shared" si="351"/>
        <v>1.0270125770972203</v>
      </c>
      <c r="X3477" s="4">
        <f t="shared" si="352"/>
        <v>0.56676874525573562</v>
      </c>
      <c r="Y3477" s="3">
        <f t="shared" si="349"/>
        <v>-105.19080191038984</v>
      </c>
      <c r="AA3477" s="3"/>
    </row>
    <row r="3478" spans="19:27" x14ac:dyDescent="0.25">
      <c r="S3478" s="4">
        <v>-0.82266282356591092</v>
      </c>
      <c r="T3478" s="4">
        <v>-1.58445200653959</v>
      </c>
      <c r="U3478" s="4">
        <f t="shared" si="350"/>
        <v>-1.7574960723549207</v>
      </c>
      <c r="W3478" s="4">
        <f t="shared" si="351"/>
        <v>-1.370587051883613</v>
      </c>
      <c r="X3478" s="4">
        <f t="shared" si="352"/>
        <v>-3.0328452574620073</v>
      </c>
      <c r="Y3478" s="3">
        <f t="shared" si="349"/>
        <v>-78.755112744445341</v>
      </c>
      <c r="AA3478" s="3"/>
    </row>
    <row r="3479" spans="19:27" x14ac:dyDescent="0.25">
      <c r="S3479" s="4">
        <v>0.48863397691206617</v>
      </c>
      <c r="T3479" s="4">
        <v>-0.49151605604434317</v>
      </c>
      <c r="U3479" s="4">
        <f t="shared" si="350"/>
        <v>-9.173868015193215E-2</v>
      </c>
      <c r="W3479" s="4">
        <f t="shared" si="351"/>
        <v>0.85921643201160058</v>
      </c>
      <c r="X3479" s="4">
        <f t="shared" si="352"/>
        <v>-9.5955444074849433E-2</v>
      </c>
      <c r="Y3479" s="3">
        <f t="shared" si="349"/>
        <v>-145.38568166650384</v>
      </c>
      <c r="AA3479" s="3"/>
    </row>
    <row r="3480" spans="19:27" x14ac:dyDescent="0.25">
      <c r="S3480" s="4">
        <v>0.47069131124280816</v>
      </c>
      <c r="T3480" s="4">
        <v>-1.846723397181214</v>
      </c>
      <c r="U3480" s="4">
        <f t="shared" si="350"/>
        <v>-1.1769389728057771</v>
      </c>
      <c r="W3480" s="4">
        <f t="shared" si="351"/>
        <v>0.82870570522183407</v>
      </c>
      <c r="X3480" s="4">
        <f t="shared" si="352"/>
        <v>-2.0092674905336891</v>
      </c>
      <c r="Y3480" s="3">
        <f t="shared" si="349"/>
        <v>-331.95974577664083</v>
      </c>
      <c r="AA3480" s="3"/>
    </row>
    <row r="3481" spans="19:27" x14ac:dyDescent="0.25">
      <c r="S3481" s="4">
        <v>-0.38619093273916894</v>
      </c>
      <c r="T3481" s="4">
        <v>-0.37546228604097803</v>
      </c>
      <c r="U3481" s="4">
        <f t="shared" si="350"/>
        <v>-0.53305656679074853</v>
      </c>
      <c r="W3481" s="4">
        <f t="shared" si="351"/>
        <v>-0.6283854828467289</v>
      </c>
      <c r="X3481" s="4">
        <f t="shared" si="352"/>
        <v>-0.87404114359017582</v>
      </c>
      <c r="Y3481" s="3">
        <f t="shared" si="349"/>
        <v>14.319247585274297</v>
      </c>
      <c r="AA3481" s="3"/>
    </row>
    <row r="3482" spans="19:27" x14ac:dyDescent="0.25">
      <c r="S3482" s="4">
        <v>1.2717106050822256</v>
      </c>
      <c r="T3482" s="4">
        <v>-0.66923406853867462</v>
      </c>
      <c r="U3482" s="4">
        <f t="shared" si="350"/>
        <v>0.24476665414527887</v>
      </c>
      <c r="W3482" s="4">
        <f t="shared" si="351"/>
        <v>2.1908043631453222</v>
      </c>
      <c r="X3482" s="4">
        <f t="shared" si="352"/>
        <v>0.49733568767928049</v>
      </c>
      <c r="Y3482" s="3">
        <f t="shared" si="349"/>
        <v>-289.0866022938726</v>
      </c>
      <c r="AA3482" s="3"/>
    </row>
    <row r="3483" spans="19:27" x14ac:dyDescent="0.25">
      <c r="S3483" s="4">
        <v>0.73919564654407632</v>
      </c>
      <c r="T3483" s="4">
        <v>-0.51300021851065025</v>
      </c>
      <c r="U3483" s="4">
        <f t="shared" si="350"/>
        <v>4.3978980030284998E-2</v>
      </c>
      <c r="W3483" s="4">
        <f t="shared" si="351"/>
        <v>1.2852857121870775</v>
      </c>
      <c r="X3483" s="4">
        <f t="shared" si="352"/>
        <v>0.14332778861653017</v>
      </c>
      <c r="Y3483" s="3">
        <f t="shared" si="349"/>
        <v>-187.39418248892889</v>
      </c>
      <c r="AA3483" s="3"/>
    </row>
    <row r="3484" spans="19:27" x14ac:dyDescent="0.25">
      <c r="S3484" s="4">
        <v>-1.2109478897479293</v>
      </c>
      <c r="T3484" s="4">
        <v>-0.52443240789740642</v>
      </c>
      <c r="U3484" s="4">
        <f t="shared" si="350"/>
        <v>-1.1539342362955098</v>
      </c>
      <c r="W3484" s="4">
        <f t="shared" si="351"/>
        <v>-2.0308490101233936</v>
      </c>
      <c r="X3484" s="4">
        <f t="shared" si="352"/>
        <v>-1.968707936883858</v>
      </c>
      <c r="Y3484" s="3">
        <f t="shared" si="349"/>
        <v>139.35162521583698</v>
      </c>
      <c r="AA3484" s="3"/>
    </row>
    <row r="3485" spans="19:27" x14ac:dyDescent="0.25">
      <c r="S3485" s="4">
        <v>-0.91797528577131049</v>
      </c>
      <c r="T3485" s="4">
        <v>-0.71888636030245656</v>
      </c>
      <c r="U3485" s="4">
        <f t="shared" si="350"/>
        <v>-1.129473696272403</v>
      </c>
      <c r="W3485" s="4">
        <f t="shared" si="351"/>
        <v>-1.5326617707472316</v>
      </c>
      <c r="X3485" s="4">
        <f t="shared" si="352"/>
        <v>-1.9255816622174105</v>
      </c>
      <c r="Y3485" s="3">
        <f t="shared" si="349"/>
        <v>59.174424999986513</v>
      </c>
      <c r="AA3485" s="3"/>
    </row>
    <row r="3486" spans="19:27" x14ac:dyDescent="0.25">
      <c r="S3486" s="4">
        <v>1.0544699005117188</v>
      </c>
      <c r="T3486" s="4">
        <v>0.38078218877622999</v>
      </c>
      <c r="U3486" s="4">
        <f t="shared" si="350"/>
        <v>0.94467138052688981</v>
      </c>
      <c r="W3486" s="4">
        <f t="shared" si="351"/>
        <v>1.8213959426271009</v>
      </c>
      <c r="X3486" s="4">
        <f t="shared" si="352"/>
        <v>1.7313347507320298</v>
      </c>
      <c r="Y3486" s="3">
        <f t="shared" si="349"/>
        <v>-110.25587202895531</v>
      </c>
      <c r="AA3486" s="3"/>
    </row>
    <row r="3487" spans="19:27" x14ac:dyDescent="0.25">
      <c r="S3487" s="4">
        <v>-0.72770906389090873</v>
      </c>
      <c r="T3487" s="4">
        <v>-1.741283719877736</v>
      </c>
      <c r="U3487" s="4">
        <f t="shared" si="350"/>
        <v>-1.8239293893424862</v>
      </c>
      <c r="W3487" s="4">
        <f t="shared" si="351"/>
        <v>-1.2091222911558417</v>
      </c>
      <c r="X3487" s="4">
        <f t="shared" si="352"/>
        <v>-3.149973557683607</v>
      </c>
      <c r="Y3487" s="3">
        <f t="shared" si="349"/>
        <v>-117.43075615000271</v>
      </c>
      <c r="AA3487" s="3"/>
    </row>
    <row r="3488" spans="19:27" x14ac:dyDescent="0.25">
      <c r="S3488" s="4">
        <v>0.18252541808576134</v>
      </c>
      <c r="T3488" s="4">
        <v>1.448546683265455</v>
      </c>
      <c r="U3488" s="4">
        <f t="shared" si="350"/>
        <v>1.2595229622315711</v>
      </c>
      <c r="W3488" s="4">
        <f t="shared" si="351"/>
        <v>0.33869206966111004</v>
      </c>
      <c r="X3488" s="4">
        <f t="shared" si="352"/>
        <v>2.286448242868123</v>
      </c>
      <c r="Y3488" s="3">
        <f t="shared" si="349"/>
        <v>174.66531300358656</v>
      </c>
      <c r="AA3488" s="3"/>
    </row>
    <row r="3489" spans="19:27" x14ac:dyDescent="0.25">
      <c r="S3489" s="4">
        <v>0.13058324245097089</v>
      </c>
      <c r="T3489" s="4">
        <v>-0.11478710075696326</v>
      </c>
      <c r="U3489" s="4">
        <f t="shared" si="350"/>
        <v>-1.1384360495028847E-2</v>
      </c>
      <c r="W3489" s="4">
        <f t="shared" si="351"/>
        <v>0.25036664695792393</v>
      </c>
      <c r="X3489" s="4">
        <f t="shared" si="352"/>
        <v>4.5716917078482834E-2</v>
      </c>
      <c r="Y3489" s="3">
        <f t="shared" si="349"/>
        <v>-35.387822187997699</v>
      </c>
      <c r="AA3489" s="3"/>
    </row>
    <row r="3490" spans="19:27" x14ac:dyDescent="0.25">
      <c r="S3490" s="4">
        <v>1.0568302798965135</v>
      </c>
      <c r="T3490" s="4">
        <v>-0.31406739862832594</v>
      </c>
      <c r="U3490" s="4">
        <f t="shared" si="350"/>
        <v>0.3953085981651363</v>
      </c>
      <c r="W3490" s="4">
        <f t="shared" si="351"/>
        <v>1.8254096656634196</v>
      </c>
      <c r="X3490" s="4">
        <f t="shared" si="352"/>
        <v>0.76275555251007809</v>
      </c>
      <c r="Y3490" s="3">
        <f t="shared" si="349"/>
        <v>-207.71972887217407</v>
      </c>
      <c r="AA3490" s="3"/>
    </row>
    <row r="3491" spans="19:27" x14ac:dyDescent="0.25">
      <c r="S3491" s="4">
        <v>0.85155481204889183</v>
      </c>
      <c r="T3491" s="4">
        <v>-0.79696028392622598</v>
      </c>
      <c r="U3491" s="4">
        <f t="shared" si="350"/>
        <v>-0.11261724328930645</v>
      </c>
      <c r="W3491" s="4">
        <f t="shared" si="351"/>
        <v>1.4763476125889341</v>
      </c>
      <c r="X3491" s="4">
        <f t="shared" si="352"/>
        <v>-0.13276635044292576</v>
      </c>
      <c r="Y3491" s="3">
        <f t="shared" si="349"/>
        <v>-244.27292785199825</v>
      </c>
      <c r="AA3491" s="3"/>
    </row>
    <row r="3492" spans="19:27" x14ac:dyDescent="0.25">
      <c r="S3492" s="4">
        <v>-8.8665204712469178E-2</v>
      </c>
      <c r="T3492" s="4">
        <v>0.86341132261651066</v>
      </c>
      <c r="U3492" s="4">
        <f t="shared" si="350"/>
        <v>0.6303669774225602</v>
      </c>
      <c r="W3492" s="4">
        <f t="shared" si="351"/>
        <v>-0.12245585298675198</v>
      </c>
      <c r="X3492" s="4">
        <f t="shared" si="352"/>
        <v>1.177185986872094</v>
      </c>
      <c r="Y3492" s="3">
        <f t="shared" si="349"/>
        <v>137.38099061918592</v>
      </c>
      <c r="AA3492" s="3"/>
    </row>
    <row r="3493" spans="19:27" x14ac:dyDescent="0.25">
      <c r="S3493" s="4">
        <v>0.4664235291173473</v>
      </c>
      <c r="T3493" s="4">
        <v>0.50693640707347642</v>
      </c>
      <c r="U3493" s="4">
        <f t="shared" si="350"/>
        <v>0.68618663412037706</v>
      </c>
      <c r="W3493" s="4">
        <f t="shared" si="351"/>
        <v>0.82144852633724474</v>
      </c>
      <c r="X3493" s="4">
        <f t="shared" si="352"/>
        <v>1.2756013875240331</v>
      </c>
      <c r="Y3493" s="3">
        <f t="shared" si="349"/>
        <v>-2.3406417709679772</v>
      </c>
      <c r="AA3493" s="3"/>
    </row>
    <row r="3494" spans="19:27" x14ac:dyDescent="0.25">
      <c r="S3494" s="4">
        <v>7.4849632117698073E-2</v>
      </c>
      <c r="T3494" s="4">
        <v>1.6068367863543209</v>
      </c>
      <c r="U3494" s="4">
        <f t="shared" si="350"/>
        <v>1.3193567020548027</v>
      </c>
      <c r="W3494" s="4">
        <f t="shared" si="351"/>
        <v>0.15559405356343775</v>
      </c>
      <c r="X3494" s="4">
        <f t="shared" si="352"/>
        <v>2.3919408565021572</v>
      </c>
      <c r="Y3494" s="3">
        <f t="shared" si="349"/>
        <v>214.32261586986533</v>
      </c>
      <c r="AA3494" s="3"/>
    </row>
    <row r="3495" spans="19:27" x14ac:dyDescent="0.25">
      <c r="S3495" s="4">
        <v>-0.14206499286825822</v>
      </c>
      <c r="T3495" s="4">
        <v>-0.14128568442312042</v>
      </c>
      <c r="U3495" s="4">
        <f t="shared" si="350"/>
        <v>-0.19860202381840208</v>
      </c>
      <c r="W3495" s="4">
        <f t="shared" si="351"/>
        <v>-0.21325988272711474</v>
      </c>
      <c r="X3495" s="4">
        <f t="shared" si="352"/>
        <v>-0.28436575334772674</v>
      </c>
      <c r="Y3495" s="3">
        <f t="shared" si="349"/>
        <v>5.8561207115685647</v>
      </c>
      <c r="AA3495" s="3"/>
    </row>
    <row r="3496" spans="19:27" x14ac:dyDescent="0.25">
      <c r="S3496" s="4">
        <v>-0.77101793810241126</v>
      </c>
      <c r="T3496" s="4">
        <v>0.89497594079473319</v>
      </c>
      <c r="U3496" s="4">
        <f t="shared" si="350"/>
        <v>0.23941054750479129</v>
      </c>
      <c r="W3496" s="4">
        <f t="shared" si="351"/>
        <v>-1.2827671582562474</v>
      </c>
      <c r="X3496" s="4">
        <f t="shared" si="352"/>
        <v>0.48789235871343406</v>
      </c>
      <c r="Y3496" s="3">
        <f t="shared" si="349"/>
        <v>258.63664461042026</v>
      </c>
      <c r="AA3496" s="3"/>
    </row>
    <row r="3497" spans="19:27" x14ac:dyDescent="0.25">
      <c r="S3497" s="4">
        <v>1.9980923372912294</v>
      </c>
      <c r="T3497" s="4">
        <v>1.1096866090287527</v>
      </c>
      <c r="U3497" s="4">
        <f t="shared" si="350"/>
        <v>2.0977213884570372</v>
      </c>
      <c r="W3497" s="4">
        <f t="shared" si="351"/>
        <v>3.4259850762585464</v>
      </c>
      <c r="X3497" s="4">
        <f t="shared" si="352"/>
        <v>3.7642723432451222</v>
      </c>
      <c r="Y3497" s="3">
        <f t="shared" si="349"/>
        <v>-142.83004331142638</v>
      </c>
      <c r="AA3497" s="3"/>
    </row>
    <row r="3498" spans="19:27" x14ac:dyDescent="0.25">
      <c r="S3498" s="4">
        <v>-1.1585803557388916</v>
      </c>
      <c r="T3498" s="4">
        <v>-1.9478165896785813</v>
      </c>
      <c r="U3498" s="4">
        <f t="shared" si="350"/>
        <v>-2.2503150999298782</v>
      </c>
      <c r="W3498" s="4">
        <f t="shared" si="351"/>
        <v>-1.9418002839053552</v>
      </c>
      <c r="X3498" s="4">
        <f t="shared" si="352"/>
        <v>-3.9017324007536898</v>
      </c>
      <c r="Y3498" s="3">
        <f t="shared" si="349"/>
        <v>-69.149890667522413</v>
      </c>
      <c r="AA3498" s="3"/>
    </row>
    <row r="3499" spans="19:27" x14ac:dyDescent="0.25">
      <c r="S3499" s="4">
        <v>-0.88189817651304092</v>
      </c>
      <c r="T3499" s="4">
        <v>-2.067918485383673</v>
      </c>
      <c r="U3499" s="4">
        <f t="shared" si="350"/>
        <v>-2.1768472843665934</v>
      </c>
      <c r="W3499" s="4">
        <f t="shared" si="351"/>
        <v>-1.4713142071112684</v>
      </c>
      <c r="X3499" s="4">
        <f t="shared" si="352"/>
        <v>-3.7722016058434757</v>
      </c>
      <c r="Y3499" s="3">
        <f t="shared" si="349"/>
        <v>-135.80069888437902</v>
      </c>
      <c r="AA3499" s="3"/>
    </row>
    <row r="3500" spans="19:27" x14ac:dyDescent="0.25">
      <c r="S3500" s="4">
        <v>0.12366615073268586</v>
      </c>
      <c r="T3500" s="4">
        <v>-2.2178425485027535</v>
      </c>
      <c r="U3500" s="4">
        <f t="shared" si="350"/>
        <v>-1.6826764427554595</v>
      </c>
      <c r="W3500" s="4">
        <f t="shared" si="351"/>
        <v>0.2386044317170779</v>
      </c>
      <c r="X3500" s="4">
        <f t="shared" si="352"/>
        <v>-2.9009310849416905</v>
      </c>
      <c r="Y3500" s="3">
        <f t="shared" si="349"/>
        <v>-328.18256243616179</v>
      </c>
      <c r="AA3500" s="3"/>
    </row>
    <row r="3501" spans="19:27" x14ac:dyDescent="0.25">
      <c r="S3501" s="4">
        <v>0.5079924688724694</v>
      </c>
      <c r="T3501" s="4">
        <v>-0.2117136396621509</v>
      </c>
      <c r="U3501" s="4">
        <f t="shared" si="350"/>
        <v>0.14185983081717812</v>
      </c>
      <c r="W3501" s="4">
        <f t="shared" si="351"/>
        <v>0.89213471016230639</v>
      </c>
      <c r="X3501" s="4">
        <f t="shared" si="352"/>
        <v>0.31590110268210225</v>
      </c>
      <c r="Y3501" s="3">
        <f t="shared" si="349"/>
        <v>-109.32722485621207</v>
      </c>
      <c r="AA3501" s="3"/>
    </row>
    <row r="3502" spans="19:27" x14ac:dyDescent="0.25">
      <c r="S3502" s="4">
        <v>5.9774058070036995E-2</v>
      </c>
      <c r="T3502" s="4">
        <v>-1.7237468521734136</v>
      </c>
      <c r="U3502" s="4">
        <f t="shared" si="350"/>
        <v>-1.3299607729208613</v>
      </c>
      <c r="W3502" s="4">
        <f t="shared" si="351"/>
        <v>0.12995869204883492</v>
      </c>
      <c r="X3502" s="4">
        <f t="shared" si="352"/>
        <v>-2.2790595791581962</v>
      </c>
      <c r="Y3502" s="3">
        <f t="shared" si="349"/>
        <v>-248.68825443429841</v>
      </c>
      <c r="AA3502" s="3"/>
    </row>
    <row r="3503" spans="19:27" x14ac:dyDescent="0.25">
      <c r="S3503" s="4">
        <v>0.17459640997832271</v>
      </c>
      <c r="T3503" s="4">
        <v>-0.85869222577476567</v>
      </c>
      <c r="U3503" s="4">
        <f t="shared" si="350"/>
        <v>-0.5742406070050039</v>
      </c>
      <c r="W3503" s="4">
        <f t="shared" si="351"/>
        <v>0.32520913437494481</v>
      </c>
      <c r="X3503" s="4">
        <f t="shared" si="352"/>
        <v>-0.94665255071676313</v>
      </c>
      <c r="Y3503" s="3">
        <f t="shared" si="349"/>
        <v>-146.50720009669976</v>
      </c>
      <c r="AA3503" s="3"/>
    </row>
    <row r="3504" spans="19:27" x14ac:dyDescent="0.25">
      <c r="S3504" s="4">
        <v>1.3254244916728366</v>
      </c>
      <c r="T3504" s="4">
        <v>-0.36405200117399605</v>
      </c>
      <c r="U3504" s="4">
        <f t="shared" si="350"/>
        <v>0.51942722699077848</v>
      </c>
      <c r="W3504" s="4">
        <f t="shared" si="351"/>
        <v>2.2821425036865328</v>
      </c>
      <c r="X3504" s="4">
        <f t="shared" si="352"/>
        <v>0.9815885820711977</v>
      </c>
      <c r="Y3504" s="3">
        <f t="shared" si="349"/>
        <v>-254.26196748600751</v>
      </c>
      <c r="AA3504" s="3"/>
    </row>
    <row r="3505" spans="19:27" x14ac:dyDescent="0.25">
      <c r="S3505" s="4">
        <v>-0.22130106990494255</v>
      </c>
      <c r="T3505" s="4">
        <v>0.41343342256484555</v>
      </c>
      <c r="U3505" s="4">
        <f t="shared" si="350"/>
        <v>0.19281530457905652</v>
      </c>
      <c r="W3505" s="4">
        <f t="shared" si="351"/>
        <v>-0.34799740405881235</v>
      </c>
      <c r="X3505" s="4">
        <f t="shared" si="352"/>
        <v>0.40574048297124643</v>
      </c>
      <c r="Y3505" s="3">
        <f t="shared" si="349"/>
        <v>96.654450074287524</v>
      </c>
      <c r="AA3505" s="3"/>
    </row>
    <row r="3506" spans="19:27" x14ac:dyDescent="0.25">
      <c r="S3506" s="4">
        <v>-0.96829866340048754</v>
      </c>
      <c r="T3506" s="4">
        <v>0.85730031664545203</v>
      </c>
      <c r="U3506" s="4">
        <f t="shared" si="350"/>
        <v>8.9278649092793705E-2</v>
      </c>
      <c r="W3506" s="4">
        <f t="shared" si="351"/>
        <v>-1.6182344974693679</v>
      </c>
      <c r="X3506" s="4">
        <f t="shared" si="352"/>
        <v>0.22319544355969309</v>
      </c>
      <c r="Y3506" s="3">
        <f t="shared" si="349"/>
        <v>288.47104615530588</v>
      </c>
      <c r="AA3506" s="3"/>
    </row>
    <row r="3507" spans="19:27" x14ac:dyDescent="0.25">
      <c r="S3507" s="4">
        <v>2.6265071230015296</v>
      </c>
      <c r="T3507" s="4">
        <v>-2.0834716622224358</v>
      </c>
      <c r="U3507" s="4">
        <f t="shared" si="350"/>
        <v>-5.037401390775087E-2</v>
      </c>
      <c r="W3507" s="4">
        <f t="shared" si="351"/>
        <v>4.494577234797581</v>
      </c>
      <c r="X3507" s="4">
        <f t="shared" si="352"/>
        <v>-2.302557595880167E-2</v>
      </c>
      <c r="Y3507" s="3">
        <f t="shared" si="349"/>
        <v>-671.67189796840921</v>
      </c>
      <c r="AA3507" s="3"/>
    </row>
    <row r="3508" spans="19:27" x14ac:dyDescent="0.25">
      <c r="S3508" s="4">
        <v>-0.58245937137017245</v>
      </c>
      <c r="T3508" s="4">
        <v>0.13876113155819159</v>
      </c>
      <c r="U3508" s="4">
        <f t="shared" si="350"/>
        <v>-0.24508538701001989</v>
      </c>
      <c r="W3508" s="4">
        <f t="shared" si="351"/>
        <v>-0.96213147237294638</v>
      </c>
      <c r="X3508" s="4">
        <f t="shared" si="352"/>
        <v>-0.36632037440385345</v>
      </c>
      <c r="Y3508" s="3">
        <f t="shared" si="349"/>
        <v>119.95556743838324</v>
      </c>
      <c r="AA3508" s="3"/>
    </row>
    <row r="3509" spans="19:27" x14ac:dyDescent="0.25">
      <c r="S3509" s="4">
        <v>0.37804807784618533</v>
      </c>
      <c r="T3509" s="4">
        <v>0.43495834399829492</v>
      </c>
      <c r="U3509" s="4">
        <f t="shared" si="350"/>
        <v>0.57525455106694401</v>
      </c>
      <c r="W3509" s="4">
        <f t="shared" si="351"/>
        <v>0.67116989447951503</v>
      </c>
      <c r="X3509" s="4">
        <f t="shared" si="352"/>
        <v>1.0800175010454767</v>
      </c>
      <c r="Y3509" s="3">
        <f t="shared" si="349"/>
        <v>1.6068490727138851</v>
      </c>
      <c r="AA3509" s="3"/>
    </row>
    <row r="3510" spans="19:27" x14ac:dyDescent="0.25">
      <c r="S3510" s="4">
        <v>0.48052183313260927</v>
      </c>
      <c r="T3510" s="4">
        <v>-0.50023505767090137</v>
      </c>
      <c r="U3510" s="4">
        <f t="shared" si="350"/>
        <v>-0.10359550699934555</v>
      </c>
      <c r="W3510" s="4">
        <f t="shared" si="351"/>
        <v>0.84542208243742445</v>
      </c>
      <c r="X3510" s="4">
        <f t="shared" si="352"/>
        <v>-0.11686016534474034</v>
      </c>
      <c r="Y3510" s="3">
        <f t="shared" si="349"/>
        <v>-145.32596817375861</v>
      </c>
      <c r="AA3510" s="3"/>
    </row>
    <row r="3511" spans="19:27" x14ac:dyDescent="0.25">
      <c r="S3511" s="4">
        <v>-0.24629928730566369</v>
      </c>
      <c r="T3511" s="4">
        <v>-0.49782945755218488</v>
      </c>
      <c r="U3511" s="4">
        <f t="shared" si="350"/>
        <v>-0.54477497872979097</v>
      </c>
      <c r="W3511" s="4">
        <f t="shared" si="351"/>
        <v>-0.39050579135220004</v>
      </c>
      <c r="X3511" s="4">
        <f t="shared" si="352"/>
        <v>-0.89470182612050086</v>
      </c>
      <c r="Y3511" s="3">
        <f t="shared" si="349"/>
        <v>-26.496390498383334</v>
      </c>
      <c r="AA3511" s="3"/>
    </row>
    <row r="3512" spans="19:27" x14ac:dyDescent="0.25">
      <c r="S3512" s="4">
        <v>-0.86225383982414894</v>
      </c>
      <c r="T3512" s="4">
        <v>-0.79036860175031176</v>
      </c>
      <c r="U3512" s="4">
        <f t="shared" si="350"/>
        <v>-1.1521680618659296</v>
      </c>
      <c r="W3512" s="4">
        <f t="shared" si="351"/>
        <v>-1.4379098623651092</v>
      </c>
      <c r="X3512" s="4">
        <f t="shared" si="352"/>
        <v>-1.9655940022165537</v>
      </c>
      <c r="Y3512" s="3">
        <f t="shared" si="349"/>
        <v>39.252836252653196</v>
      </c>
      <c r="AA3512" s="3"/>
    </row>
    <row r="3513" spans="19:27" x14ac:dyDescent="0.25">
      <c r="S3513" s="4">
        <v>1.0354722877441407</v>
      </c>
      <c r="T3513" s="4">
        <v>0.36723636498774082</v>
      </c>
      <c r="U3513" s="4">
        <f t="shared" si="350"/>
        <v>0.92235234550472756</v>
      </c>
      <c r="W3513" s="4">
        <f t="shared" si="351"/>
        <v>1.7890913239325406</v>
      </c>
      <c r="X3513" s="4">
        <f t="shared" si="352"/>
        <v>1.6919841544759144</v>
      </c>
      <c r="Y3513" s="3">
        <f t="shared" si="349"/>
        <v>-109.3110821238206</v>
      </c>
      <c r="AA3513" s="3"/>
    </row>
    <row r="3514" spans="19:27" x14ac:dyDescent="0.25">
      <c r="S3514" s="4">
        <v>1.239889654329037</v>
      </c>
      <c r="T3514" s="4">
        <v>-1.2893389219895242</v>
      </c>
      <c r="U3514" s="4">
        <f t="shared" si="350"/>
        <v>-0.26618427565453207</v>
      </c>
      <c r="W3514" s="4">
        <f t="shared" si="351"/>
        <v>2.1366942129303181</v>
      </c>
      <c r="X3514" s="4">
        <f t="shared" si="352"/>
        <v>-0.40351973574176592</v>
      </c>
      <c r="Y3514" s="3">
        <f t="shared" si="349"/>
        <v>-371.09532274052799</v>
      </c>
      <c r="AA3514" s="3"/>
    </row>
    <row r="3515" spans="19:27" x14ac:dyDescent="0.25">
      <c r="S3515" s="4">
        <v>0.54010707973398375</v>
      </c>
      <c r="T3515" s="4">
        <v>-1.6318861527380448</v>
      </c>
      <c r="U3515" s="4">
        <f t="shared" si="350"/>
        <v>-0.96432180249801402</v>
      </c>
      <c r="W3515" s="4">
        <f t="shared" si="351"/>
        <v>0.94674421668809183</v>
      </c>
      <c r="X3515" s="4">
        <f t="shared" si="352"/>
        <v>-1.6344030567626642</v>
      </c>
      <c r="Y3515" s="3">
        <f t="shared" si="349"/>
        <v>-312.85119116828901</v>
      </c>
      <c r="AA3515" s="3"/>
    </row>
    <row r="3516" spans="19:27" x14ac:dyDescent="0.25">
      <c r="S3516" s="4">
        <v>-1.0834838903820136</v>
      </c>
      <c r="T3516" s="4">
        <v>-0.19358998400527225</v>
      </c>
      <c r="U3516" s="4">
        <f t="shared" si="350"/>
        <v>-0.81397318937803254</v>
      </c>
      <c r="W3516" s="4">
        <f t="shared" si="351"/>
        <v>-1.8141019931599298</v>
      </c>
      <c r="X3516" s="4">
        <f t="shared" si="352"/>
        <v>-1.3693240528238046</v>
      </c>
      <c r="Y3516" s="3">
        <f t="shared" si="349"/>
        <v>162.36877504537097</v>
      </c>
      <c r="AA3516" s="3"/>
    </row>
    <row r="3517" spans="19:27" x14ac:dyDescent="0.25">
      <c r="S3517" s="4">
        <v>-5.5630347902143086E-2</v>
      </c>
      <c r="T3517" s="4">
        <v>1.7852953677835648</v>
      </c>
      <c r="U3517" s="4">
        <f t="shared" si="350"/>
        <v>1.3812758881948171</v>
      </c>
      <c r="W3517" s="4">
        <f t="shared" si="351"/>
        <v>-6.6281508033881956E-2</v>
      </c>
      <c r="X3517" s="4">
        <f t="shared" si="352"/>
        <v>2.5011103117175604</v>
      </c>
      <c r="Y3517" s="3">
        <f t="shared" si="349"/>
        <v>260.74403050989531</v>
      </c>
      <c r="AA3517" s="3"/>
    </row>
    <row r="3518" spans="19:27" x14ac:dyDescent="0.25">
      <c r="S3518" s="4">
        <v>0.19934354033388582</v>
      </c>
      <c r="T3518" s="4">
        <v>0.27739730138291874</v>
      </c>
      <c r="U3518" s="4">
        <f t="shared" si="350"/>
        <v>0.34141489679300624</v>
      </c>
      <c r="W3518" s="4">
        <f t="shared" si="351"/>
        <v>0.36729055900980223</v>
      </c>
      <c r="X3518" s="4">
        <f t="shared" si="352"/>
        <v>0.66773579554762452</v>
      </c>
      <c r="Y3518" s="3">
        <f t="shared" si="349"/>
        <v>8.2631963609255763</v>
      </c>
      <c r="AA3518" s="3"/>
    </row>
    <row r="3519" spans="19:27" x14ac:dyDescent="0.25">
      <c r="S3519" s="4">
        <v>-0.9467855916824478</v>
      </c>
      <c r="T3519" s="4">
        <v>0.24797475529843424</v>
      </c>
      <c r="U3519" s="4">
        <f t="shared" si="350"/>
        <v>-0.3806140118071491</v>
      </c>
      <c r="W3519" s="4">
        <f t="shared" si="351"/>
        <v>-1.5816524496456508</v>
      </c>
      <c r="X3519" s="4">
        <f t="shared" si="352"/>
        <v>-0.60527031960725119</v>
      </c>
      <c r="Y3519" s="3">
        <f t="shared" si="349"/>
        <v>199.45568650878795</v>
      </c>
      <c r="AA3519" s="3"/>
    </row>
    <row r="3520" spans="19:27" x14ac:dyDescent="0.25">
      <c r="S3520" s="4">
        <v>1.2516320924925275</v>
      </c>
      <c r="T3520" s="4">
        <v>-0.57946795051319355</v>
      </c>
      <c r="U3520" s="4">
        <f t="shared" si="350"/>
        <v>0.30368323021177518</v>
      </c>
      <c r="W3520" s="4">
        <f t="shared" si="351"/>
        <v>2.1566617210618344</v>
      </c>
      <c r="X3520" s="4">
        <f t="shared" si="352"/>
        <v>0.60121125377267537</v>
      </c>
      <c r="Y3520" s="3">
        <f t="shared" si="349"/>
        <v>-273.6043972598336</v>
      </c>
      <c r="AA3520" s="3"/>
    </row>
    <row r="3521" spans="19:27" x14ac:dyDescent="0.25">
      <c r="S3521" s="4">
        <v>-4.9954693546022964E-2</v>
      </c>
      <c r="T3521" s="4">
        <v>-0.75565207153004599</v>
      </c>
      <c r="U3521" s="4">
        <f t="shared" si="350"/>
        <v>-0.62945286196459349</v>
      </c>
      <c r="W3521" s="4">
        <f t="shared" si="351"/>
        <v>-5.6630303324125456E-2</v>
      </c>
      <c r="X3521" s="4">
        <f t="shared" si="352"/>
        <v>-1.0439970439328516</v>
      </c>
      <c r="Y3521" s="3">
        <f t="shared" si="349"/>
        <v>-95.316382736581545</v>
      </c>
      <c r="AA3521" s="3"/>
    </row>
    <row r="3522" spans="19:27" x14ac:dyDescent="0.25">
      <c r="S3522" s="4">
        <v>0.97917016541536994</v>
      </c>
      <c r="T3522" s="4">
        <v>-0.91667243651275465</v>
      </c>
      <c r="U3522" s="4">
        <f t="shared" si="350"/>
        <v>-0.12971494446750875</v>
      </c>
      <c r="W3522" s="4">
        <f t="shared" si="351"/>
        <v>1.6933520004829399</v>
      </c>
      <c r="X3522" s="4">
        <f t="shared" si="352"/>
        <v>-0.16291123508077276</v>
      </c>
      <c r="Y3522" s="3">
        <f t="shared" ref="Y3522:Y3585" si="353">(B$4*EXP(-B$8*B$7)*NORMSDIST((LN(B$4/(B$5+W3522))-B$8*B$7+B$9*B$7+0.5*B$6*B$6*B$7)/(B$6*SQRT(B$7)))-(B$5+W3522)*EXP(-B$9*B$7)*NORMSDIST((LN(B$4/(B$5+W3522))-B$8*B$7+B$9*B$7-0.5*B$6*B$6*B$7)/(B$6*SQRT(B$7))))*400+100*X3522-400*$B$13</f>
        <v>-280.30775157125754</v>
      </c>
      <c r="AA3522" s="3"/>
    </row>
    <row r="3523" spans="19:27" x14ac:dyDescent="0.25">
      <c r="S3523" s="4">
        <v>-0.6618848426372167</v>
      </c>
      <c r="T3523" s="4">
        <v>-1.3077293680722697</v>
      </c>
      <c r="U3523" s="4">
        <f t="shared" ref="U3523:U3586" si="354">$B$19*S3523+SQRT(1-$B$19^2)*T3523</f>
        <v>-1.4401264009530887</v>
      </c>
      <c r="W3523" s="4">
        <f t="shared" ref="W3523:W3586" si="355">S3523*SQRT($B$16)+$B$20</f>
        <v>-1.0971910504003763</v>
      </c>
      <c r="X3523" s="4">
        <f t="shared" ref="X3523:X3586" si="356">U3523*SQRT($C$17)+$C$20</f>
        <v>-2.4732921320303496</v>
      </c>
      <c r="Y3523" s="3">
        <f t="shared" si="353"/>
        <v>-68.3732267636301</v>
      </c>
      <c r="AA3523" s="3"/>
    </row>
    <row r="3524" spans="19:27" x14ac:dyDescent="0.25">
      <c r="S3524" s="4">
        <v>-1.1732188415606286</v>
      </c>
      <c r="T3524" s="4">
        <v>0.61714049834989471</v>
      </c>
      <c r="U3524" s="4">
        <f t="shared" si="354"/>
        <v>-0.22601803489546735</v>
      </c>
      <c r="W3524" s="4">
        <f t="shared" si="355"/>
        <v>-1.96669239579975</v>
      </c>
      <c r="X3524" s="4">
        <f t="shared" si="356"/>
        <v>-0.33270280653015716</v>
      </c>
      <c r="Y3524" s="3">
        <f t="shared" si="353"/>
        <v>291.99746350341593</v>
      </c>
      <c r="AA3524" s="3"/>
    </row>
    <row r="3525" spans="19:27" x14ac:dyDescent="0.25">
      <c r="S3525" s="4">
        <v>1.2542516724656976</v>
      </c>
      <c r="T3525" s="4">
        <v>0.32532841142076974</v>
      </c>
      <c r="U3525" s="4">
        <f t="shared" si="354"/>
        <v>1.0225050394818684</v>
      </c>
      <c r="W3525" s="4">
        <f t="shared" si="355"/>
        <v>2.1611162034859412</v>
      </c>
      <c r="X3525" s="4">
        <f t="shared" si="356"/>
        <v>1.868562945662154</v>
      </c>
      <c r="Y3525" s="3">
        <f t="shared" si="353"/>
        <v>-147.53423994002242</v>
      </c>
      <c r="AA3525" s="3"/>
    </row>
    <row r="3526" spans="19:27" x14ac:dyDescent="0.25">
      <c r="S3526" s="4">
        <v>0.89642745190168982</v>
      </c>
      <c r="T3526" s="4">
        <v>-0.20873992020875398</v>
      </c>
      <c r="U3526" s="4">
        <f t="shared" si="354"/>
        <v>0.38101570685338326</v>
      </c>
      <c r="W3526" s="4">
        <f t="shared" si="355"/>
        <v>1.5526515955155094</v>
      </c>
      <c r="X3526" s="4">
        <f t="shared" si="356"/>
        <v>0.73755581628569145</v>
      </c>
      <c r="Y3526" s="3">
        <f t="shared" si="353"/>
        <v>-168.87847622891741</v>
      </c>
      <c r="AA3526" s="3"/>
    </row>
    <row r="3527" spans="19:27" x14ac:dyDescent="0.25">
      <c r="S3527" s="4">
        <v>0.27018898131213842</v>
      </c>
      <c r="T3527" s="4">
        <v>-0.45989191783053712</v>
      </c>
      <c r="U3527" s="4">
        <f t="shared" si="354"/>
        <v>-0.19983942141439073</v>
      </c>
      <c r="W3527" s="4">
        <f t="shared" si="355"/>
        <v>0.48776016669420946</v>
      </c>
      <c r="X3527" s="4">
        <f t="shared" si="356"/>
        <v>-0.28654740381602373</v>
      </c>
      <c r="Y3527" s="3">
        <f t="shared" si="353"/>
        <v>-106.20505571404783</v>
      </c>
      <c r="AA3527" s="3"/>
    </row>
    <row r="3528" spans="19:27" x14ac:dyDescent="0.25">
      <c r="S3528" s="4">
        <v>0.90356188901994972</v>
      </c>
      <c r="T3528" s="4">
        <v>1.1120641689330955</v>
      </c>
      <c r="U3528" s="4">
        <f t="shared" si="354"/>
        <v>1.4323558789489048</v>
      </c>
      <c r="W3528" s="4">
        <f t="shared" si="355"/>
        <v>1.5647833972068796</v>
      </c>
      <c r="X3528" s="4">
        <f t="shared" si="356"/>
        <v>2.591169227389063</v>
      </c>
      <c r="Y3528" s="3">
        <f t="shared" si="353"/>
        <v>14.635243370830722</v>
      </c>
      <c r="AA3528" s="3"/>
    </row>
    <row r="3529" spans="19:27" x14ac:dyDescent="0.25">
      <c r="S3529" s="4">
        <v>-0.26010056728461572</v>
      </c>
      <c r="T3529" s="4">
        <v>0.15911816106011054</v>
      </c>
      <c r="U3529" s="4">
        <f t="shared" si="354"/>
        <v>-3.2431412801658288E-2</v>
      </c>
      <c r="W3529" s="4">
        <f t="shared" si="355"/>
        <v>-0.41397427092758149</v>
      </c>
      <c r="X3529" s="4">
        <f t="shared" si="356"/>
        <v>8.6089481686656283E-3</v>
      </c>
      <c r="Y3529" s="3">
        <f t="shared" si="353"/>
        <v>67.644490725972901</v>
      </c>
      <c r="AA3529" s="3"/>
    </row>
    <row r="3530" spans="19:27" x14ac:dyDescent="0.25">
      <c r="S3530" s="4">
        <v>-1.4884702575028634</v>
      </c>
      <c r="T3530" s="4">
        <v>0.30211776308671895</v>
      </c>
      <c r="U3530" s="4">
        <f t="shared" si="354"/>
        <v>-0.66791833992485294</v>
      </c>
      <c r="W3530" s="4">
        <f t="shared" si="355"/>
        <v>-2.5027637911655165</v>
      </c>
      <c r="X3530" s="4">
        <f t="shared" si="356"/>
        <v>-1.1118153654467375</v>
      </c>
      <c r="Y3530" s="3">
        <f t="shared" si="353"/>
        <v>306.29582037496493</v>
      </c>
      <c r="AA3530" s="3"/>
    </row>
    <row r="3531" spans="19:27" x14ac:dyDescent="0.25">
      <c r="S3531" s="4">
        <v>-0.56394498802572102</v>
      </c>
      <c r="T3531" s="4">
        <v>-0.2213401083359573</v>
      </c>
      <c r="U3531" s="4">
        <f t="shared" si="354"/>
        <v>-0.51924798470743549</v>
      </c>
      <c r="W3531" s="4">
        <f t="shared" si="355"/>
        <v>-0.93064856440841759</v>
      </c>
      <c r="X3531" s="4">
        <f t="shared" si="356"/>
        <v>-0.84969529091821561</v>
      </c>
      <c r="Y3531" s="3">
        <f t="shared" si="353"/>
        <v>66.417691211901911</v>
      </c>
      <c r="AA3531" s="3"/>
    </row>
    <row r="3532" spans="19:27" x14ac:dyDescent="0.25">
      <c r="S3532" s="4">
        <v>0.58602067083297882</v>
      </c>
      <c r="T3532" s="4">
        <v>-8.5411912568207085E-2</v>
      </c>
      <c r="U3532" s="4">
        <f t="shared" si="354"/>
        <v>0.28954593473176654</v>
      </c>
      <c r="W3532" s="4">
        <f t="shared" si="355"/>
        <v>1.0248182921783713</v>
      </c>
      <c r="X3532" s="4">
        <f t="shared" si="356"/>
        <v>0.57628584790119297</v>
      </c>
      <c r="Y3532" s="3">
        <f t="shared" si="353"/>
        <v>-103.89899761615698</v>
      </c>
      <c r="AA3532" s="3"/>
    </row>
    <row r="3533" spans="19:27" x14ac:dyDescent="0.25">
      <c r="S3533" s="4">
        <v>1.8151746918193588</v>
      </c>
      <c r="T3533" s="4">
        <v>0.78324422935177984</v>
      </c>
      <c r="U3533" s="4">
        <f t="shared" si="354"/>
        <v>1.7274424415320988</v>
      </c>
      <c r="W3533" s="4">
        <f t="shared" si="355"/>
        <v>3.1149415329581931</v>
      </c>
      <c r="X3533" s="4">
        <f t="shared" si="356"/>
        <v>3.1114350979020999</v>
      </c>
      <c r="Y3533" s="3">
        <f t="shared" si="353"/>
        <v>-163.38169846008032</v>
      </c>
      <c r="AA3533" s="3"/>
    </row>
    <row r="3534" spans="19:27" x14ac:dyDescent="0.25">
      <c r="S3534" s="4">
        <v>1.1975874071901744</v>
      </c>
      <c r="T3534" s="4">
        <v>-1.5029848177254463</v>
      </c>
      <c r="U3534" s="4">
        <f t="shared" si="354"/>
        <v>-0.46132806578100838</v>
      </c>
      <c r="W3534" s="4">
        <f t="shared" si="355"/>
        <v>2.0647610716213105</v>
      </c>
      <c r="X3534" s="4">
        <f t="shared" si="356"/>
        <v>-0.74757692681342347</v>
      </c>
      <c r="Y3534" s="3">
        <f t="shared" si="353"/>
        <v>-394.74126082674275</v>
      </c>
      <c r="AA3534" s="3"/>
    </row>
    <row r="3535" spans="19:27" x14ac:dyDescent="0.25">
      <c r="S3535" s="4">
        <v>-0.99663927268974273</v>
      </c>
      <c r="T3535" s="4">
        <v>-0.98550033796484082</v>
      </c>
      <c r="U3535" s="4">
        <f t="shared" si="354"/>
        <v>-1.3887717900679575</v>
      </c>
      <c r="W3535" s="4">
        <f t="shared" si="355"/>
        <v>-1.6664264775808573</v>
      </c>
      <c r="X3535" s="4">
        <f t="shared" si="356"/>
        <v>-2.3827490347672255</v>
      </c>
      <c r="Y3535" s="3">
        <f t="shared" si="353"/>
        <v>36.013980982598241</v>
      </c>
      <c r="AA3535" s="3"/>
    </row>
    <row r="3536" spans="19:27" x14ac:dyDescent="0.25">
      <c r="S3536" s="4">
        <v>-0.82704330619734945</v>
      </c>
      <c r="T3536" s="4">
        <v>0.57620337865449556</v>
      </c>
      <c r="U3536" s="4">
        <f t="shared" si="354"/>
        <v>-4.7432232781210004E-2</v>
      </c>
      <c r="W3536" s="4">
        <f t="shared" si="355"/>
        <v>-1.3780358731033122</v>
      </c>
      <c r="X3536" s="4">
        <f t="shared" si="356"/>
        <v>-1.7838934095951317E-2</v>
      </c>
      <c r="Y3536" s="3">
        <f t="shared" si="353"/>
        <v>223.99271049137042</v>
      </c>
      <c r="AA3536" s="3"/>
    </row>
    <row r="3537" spans="19:27" x14ac:dyDescent="0.25">
      <c r="S3537" s="4">
        <v>1.5875421537833387</v>
      </c>
      <c r="T3537" s="4">
        <v>-0.50527042386372301</v>
      </c>
      <c r="U3537" s="4">
        <f t="shared" si="354"/>
        <v>0.56727728555073331</v>
      </c>
      <c r="W3537" s="4">
        <f t="shared" si="355"/>
        <v>2.72786224917163</v>
      </c>
      <c r="X3537" s="4">
        <f t="shared" si="356"/>
        <v>1.0659528179512239</v>
      </c>
      <c r="Y3537" s="3">
        <f t="shared" si="353"/>
        <v>-311.60182931504914</v>
      </c>
      <c r="AA3537" s="3"/>
    </row>
    <row r="3538" spans="19:27" x14ac:dyDescent="0.25">
      <c r="S3538" s="4">
        <v>-1.3565342831574789</v>
      </c>
      <c r="T3538" s="4">
        <v>0.40022814972359499</v>
      </c>
      <c r="U3538" s="4">
        <f t="shared" si="354"/>
        <v>-0.5097159057656715</v>
      </c>
      <c r="W3538" s="4">
        <f t="shared" si="355"/>
        <v>-2.2784123742023903</v>
      </c>
      <c r="X3538" s="4">
        <f t="shared" si="356"/>
        <v>-0.83288932284897266</v>
      </c>
      <c r="Y3538" s="3">
        <f t="shared" si="353"/>
        <v>295.41066070879515</v>
      </c>
      <c r="AA3538" s="3"/>
    </row>
    <row r="3539" spans="19:27" x14ac:dyDescent="0.25">
      <c r="S3539" s="4">
        <v>0.34005460095323098</v>
      </c>
      <c r="T3539" s="4">
        <v>-0.7849378738818702</v>
      </c>
      <c r="U3539" s="4">
        <f t="shared" si="354"/>
        <v>-0.41490911600026076</v>
      </c>
      <c r="W3539" s="4">
        <f t="shared" si="355"/>
        <v>0.60656363058081453</v>
      </c>
      <c r="X3539" s="4">
        <f t="shared" si="356"/>
        <v>-0.66573587276958535</v>
      </c>
      <c r="Y3539" s="3">
        <f t="shared" si="353"/>
        <v>-162.82760389912437</v>
      </c>
      <c r="AA3539" s="3"/>
    </row>
    <row r="3540" spans="19:27" x14ac:dyDescent="0.25">
      <c r="S3540" s="4">
        <v>-0.43773742119182801</v>
      </c>
      <c r="T3540" s="4">
        <v>0.35226768044628992</v>
      </c>
      <c r="U3540" s="4">
        <f t="shared" si="354"/>
        <v>1.2385280128568932E-2</v>
      </c>
      <c r="W3540" s="4">
        <f t="shared" si="355"/>
        <v>-0.716038056613711</v>
      </c>
      <c r="X3540" s="4">
        <f t="shared" si="356"/>
        <v>8.7625069935601305E-2</v>
      </c>
      <c r="Y3540" s="3">
        <f t="shared" si="353"/>
        <v>124.83855086603398</v>
      </c>
      <c r="AA3540" s="3"/>
    </row>
    <row r="3541" spans="19:27" x14ac:dyDescent="0.25">
      <c r="S3541" s="4">
        <v>-0.42669291117794361</v>
      </c>
      <c r="T3541" s="4">
        <v>1.0017354417051882</v>
      </c>
      <c r="U3541" s="4">
        <f t="shared" si="354"/>
        <v>0.53394617076510797</v>
      </c>
      <c r="W3541" s="4">
        <f t="shared" si="355"/>
        <v>-0.69725734510896376</v>
      </c>
      <c r="X3541" s="4">
        <f t="shared" si="356"/>
        <v>1.0071868704363336</v>
      </c>
      <c r="Y3541" s="3">
        <f t="shared" si="353"/>
        <v>213.71610022307596</v>
      </c>
      <c r="AA3541" s="3"/>
    </row>
    <row r="3542" spans="19:27" x14ac:dyDescent="0.25">
      <c r="S3542" s="4">
        <v>0.32488083143962848</v>
      </c>
      <c r="T3542" s="4">
        <v>-0.52028927628082944</v>
      </c>
      <c r="U3542" s="4">
        <f t="shared" si="354"/>
        <v>-0.21437455330873095</v>
      </c>
      <c r="W3542" s="4">
        <f t="shared" si="355"/>
        <v>0.58076129192421067</v>
      </c>
      <c r="X3542" s="4">
        <f t="shared" si="356"/>
        <v>-0.31217423338708805</v>
      </c>
      <c r="Y3542" s="3">
        <f t="shared" si="353"/>
        <v>-123.41542189068969</v>
      </c>
      <c r="AA3542" s="3"/>
    </row>
    <row r="3543" spans="19:27" x14ac:dyDescent="0.25">
      <c r="S3543" s="4">
        <v>0.56685895206627845</v>
      </c>
      <c r="T3543" s="4">
        <v>1.4356870312490553</v>
      </c>
      <c r="U3543" s="4">
        <f t="shared" si="354"/>
        <v>1.4836275162197414</v>
      </c>
      <c r="W3543" s="4">
        <f t="shared" si="355"/>
        <v>0.99223461833135629</v>
      </c>
      <c r="X3543" s="4">
        <f t="shared" si="356"/>
        <v>2.6815660342237355</v>
      </c>
      <c r="Y3543" s="3">
        <f t="shared" si="353"/>
        <v>111.68207153229832</v>
      </c>
      <c r="AA3543" s="3"/>
    </row>
    <row r="3544" spans="19:27" x14ac:dyDescent="0.25">
      <c r="S3544" s="4">
        <v>0.85576747148878407</v>
      </c>
      <c r="T3544" s="4">
        <v>-0.14409169824701254</v>
      </c>
      <c r="U3544" s="4">
        <f t="shared" si="354"/>
        <v>0.40747460518187906</v>
      </c>
      <c r="W3544" s="4">
        <f t="shared" si="355"/>
        <v>1.4835110577312633</v>
      </c>
      <c r="X3544" s="4">
        <f t="shared" si="356"/>
        <v>0.78420538802893158</v>
      </c>
      <c r="Y3544" s="3">
        <f t="shared" si="353"/>
        <v>-153.66955951396949</v>
      </c>
      <c r="AA3544" s="3"/>
    </row>
    <row r="3545" spans="19:27" x14ac:dyDescent="0.25">
      <c r="S3545" s="4">
        <v>0.12353972445001442</v>
      </c>
      <c r="T3545" s="4">
        <v>-0.20073556617608415</v>
      </c>
      <c r="U3545" s="4">
        <f t="shared" si="354"/>
        <v>-8.3808908800206916E-2</v>
      </c>
      <c r="W3545" s="4">
        <f t="shared" si="355"/>
        <v>0.23838944929246286</v>
      </c>
      <c r="X3545" s="4">
        <f t="shared" si="356"/>
        <v>-8.1974497741139185E-2</v>
      </c>
      <c r="Y3545" s="3">
        <f t="shared" si="353"/>
        <v>-46.252717297651543</v>
      </c>
      <c r="AA3545" s="3"/>
    </row>
    <row r="3546" spans="19:27" x14ac:dyDescent="0.25">
      <c r="S3546" s="4">
        <v>0.66309579016260989</v>
      </c>
      <c r="T3546" s="4">
        <v>-1.4971836592675287</v>
      </c>
      <c r="U3546" s="4">
        <f t="shared" si="354"/>
        <v>-0.78256754900931069</v>
      </c>
      <c r="W3546" s="4">
        <f t="shared" si="355"/>
        <v>1.1558811984099777</v>
      </c>
      <c r="X3546" s="4">
        <f t="shared" si="356"/>
        <v>-1.3139529011101583</v>
      </c>
      <c r="Y3546" s="3">
        <f t="shared" si="353"/>
        <v>-313.19353527042358</v>
      </c>
      <c r="AA3546" s="3"/>
    </row>
    <row r="3547" spans="19:27" x14ac:dyDescent="0.25">
      <c r="S3547" s="4">
        <v>0.95916588520948987</v>
      </c>
      <c r="T3547" s="4">
        <v>1.566499980178055</v>
      </c>
      <c r="U3547" s="4">
        <f t="shared" si="354"/>
        <v>1.8264809563485342</v>
      </c>
      <c r="W3547" s="4">
        <f t="shared" si="355"/>
        <v>1.6593355873569198</v>
      </c>
      <c r="X3547" s="4">
        <f t="shared" si="356"/>
        <v>3.2860494845221759</v>
      </c>
      <c r="Y3547" s="3">
        <f t="shared" si="353"/>
        <v>69.748751756460933</v>
      </c>
      <c r="AA3547" s="3"/>
    </row>
    <row r="3548" spans="19:27" x14ac:dyDescent="0.25">
      <c r="S3548" s="4">
        <v>-1.2996640503929553</v>
      </c>
      <c r="T3548" s="4">
        <v>-0.93762298812857436</v>
      </c>
      <c r="U3548" s="4">
        <f t="shared" si="354"/>
        <v>-1.5355504624969973</v>
      </c>
      <c r="W3548" s="4">
        <f t="shared" si="355"/>
        <v>-2.1817070035326505</v>
      </c>
      <c r="X3548" s="4">
        <f t="shared" si="356"/>
        <v>-2.6415338913718465</v>
      </c>
      <c r="Y3548" s="3">
        <f t="shared" si="353"/>
        <v>97.914417001279617</v>
      </c>
      <c r="AA3548" s="3"/>
    </row>
    <row r="3549" spans="19:27" x14ac:dyDescent="0.25">
      <c r="S3549" s="4">
        <v>0.28802017369828559</v>
      </c>
      <c r="T3549" s="4">
        <v>0.33141228008489859</v>
      </c>
      <c r="U3549" s="4">
        <f t="shared" si="354"/>
        <v>0.43829139355222968</v>
      </c>
      <c r="W3549" s="4">
        <f t="shared" si="355"/>
        <v>0.51808133798826284</v>
      </c>
      <c r="X3549" s="4">
        <f t="shared" si="356"/>
        <v>0.83853833727461713</v>
      </c>
      <c r="Y3549" s="3">
        <f t="shared" si="353"/>
        <v>1.5230613954904584</v>
      </c>
      <c r="AA3549" s="3"/>
    </row>
    <row r="3550" spans="19:27" x14ac:dyDescent="0.25">
      <c r="S3550" s="4">
        <v>-0.97443083494294869</v>
      </c>
      <c r="T3550" s="4">
        <v>-0.88320457145078435</v>
      </c>
      <c r="U3550" s="4">
        <f t="shared" si="354"/>
        <v>-1.2941439932190935</v>
      </c>
      <c r="W3550" s="4">
        <f t="shared" si="355"/>
        <v>-1.6286619899060448</v>
      </c>
      <c r="X3550" s="4">
        <f t="shared" si="356"/>
        <v>-2.2159111663420066</v>
      </c>
      <c r="Y3550" s="3">
        <f t="shared" si="353"/>
        <v>46.320059085528101</v>
      </c>
      <c r="AA3550" s="3"/>
    </row>
    <row r="3551" spans="19:27" x14ac:dyDescent="0.25">
      <c r="S3551" s="4">
        <v>-0.33979622454168645</v>
      </c>
      <c r="T3551" s="4">
        <v>-0.91654349793155454</v>
      </c>
      <c r="U3551" s="4">
        <f t="shared" si="354"/>
        <v>-0.93368407578554691</v>
      </c>
      <c r="W3551" s="4">
        <f t="shared" si="355"/>
        <v>-0.54949328854309021</v>
      </c>
      <c r="X3551" s="4">
        <f t="shared" si="356"/>
        <v>-1.580385810368707</v>
      </c>
      <c r="Y3551" s="3">
        <f t="shared" si="353"/>
        <v>-69.199116900133959</v>
      </c>
      <c r="AA3551" s="3"/>
    </row>
    <row r="3552" spans="19:27" x14ac:dyDescent="0.25">
      <c r="S3552" s="4">
        <v>1.1914764935146542</v>
      </c>
      <c r="T3552" s="4">
        <v>-0.54253351817598894</v>
      </c>
      <c r="U3552" s="4">
        <f t="shared" si="354"/>
        <v>0.29628866462974207</v>
      </c>
      <c r="W3552" s="4">
        <f t="shared" si="355"/>
        <v>2.0543697272677734</v>
      </c>
      <c r="X3552" s="4">
        <f t="shared" si="356"/>
        <v>0.58817392646802191</v>
      </c>
      <c r="Y3552" s="3">
        <f t="shared" si="353"/>
        <v>-259.60970213103792</v>
      </c>
      <c r="AA3552" s="3"/>
    </row>
    <row r="3553" spans="19:27" x14ac:dyDescent="0.25">
      <c r="S3553" s="4">
        <v>6.3737057015551393E-2</v>
      </c>
      <c r="T3553" s="4">
        <v>-1.6671230520633729</v>
      </c>
      <c r="U3553" s="4">
        <f t="shared" si="354"/>
        <v>-1.2826596059125566</v>
      </c>
      <c r="W3553" s="4">
        <f t="shared" si="355"/>
        <v>0.13669760032052447</v>
      </c>
      <c r="X3553" s="4">
        <f t="shared" si="356"/>
        <v>-2.1956630916515172</v>
      </c>
      <c r="Y3553" s="3">
        <f t="shared" si="353"/>
        <v>-241.42387758032919</v>
      </c>
      <c r="AA3553" s="3"/>
    </row>
    <row r="3554" spans="19:27" x14ac:dyDescent="0.25">
      <c r="S3554" s="4">
        <v>-0.7352465315121629</v>
      </c>
      <c r="T3554" s="4">
        <v>1.0573259468448555</v>
      </c>
      <c r="U3554" s="4">
        <f t="shared" si="354"/>
        <v>0.38991114915932973</v>
      </c>
      <c r="W3554" s="4">
        <f t="shared" si="355"/>
        <v>-1.2219394287828789</v>
      </c>
      <c r="X3554" s="4">
        <f t="shared" si="356"/>
        <v>0.75323933299478241</v>
      </c>
      <c r="Y3554" s="3">
        <f t="shared" si="353"/>
        <v>275.02582719120619</v>
      </c>
      <c r="AA3554" s="3"/>
    </row>
    <row r="3555" spans="19:27" x14ac:dyDescent="0.25">
      <c r="S3555" s="4">
        <v>0.41358991324000155</v>
      </c>
      <c r="T3555" s="4">
        <v>-0.242813162920888</v>
      </c>
      <c r="U3555" s="4">
        <f t="shared" si="354"/>
        <v>5.9657582727631109E-2</v>
      </c>
      <c r="W3555" s="4">
        <f t="shared" si="355"/>
        <v>0.73160724806435873</v>
      </c>
      <c r="X3555" s="4">
        <f t="shared" si="356"/>
        <v>0.17097066672441791</v>
      </c>
      <c r="Y3555" s="3">
        <f t="shared" si="353"/>
        <v>-98.765026986084649</v>
      </c>
      <c r="AA3555" s="3"/>
    </row>
    <row r="3556" spans="19:27" x14ac:dyDescent="0.25">
      <c r="S3556" s="4">
        <v>-0.57455694885883202</v>
      </c>
      <c r="T3556" s="4">
        <v>3.3363298161673445E-2</v>
      </c>
      <c r="U3556" s="4">
        <f t="shared" si="354"/>
        <v>-0.32381591527637604</v>
      </c>
      <c r="W3556" s="4">
        <f t="shared" si="355"/>
        <v>-0.94869374474288137</v>
      </c>
      <c r="X3556" s="4">
        <f t="shared" si="356"/>
        <v>-0.50512983582383575</v>
      </c>
      <c r="Y3556" s="3">
        <f t="shared" si="353"/>
        <v>103.85432489130289</v>
      </c>
      <c r="AA3556" s="3"/>
    </row>
    <row r="3557" spans="19:27" x14ac:dyDescent="0.25">
      <c r="S3557" s="4">
        <v>1.1822114361886653</v>
      </c>
      <c r="T3557" s="4">
        <v>-1.6446981859184009</v>
      </c>
      <c r="U3557" s="4">
        <f t="shared" si="354"/>
        <v>-0.58303665671355986</v>
      </c>
      <c r="W3557" s="4">
        <f t="shared" si="355"/>
        <v>2.0386148980815446</v>
      </c>
      <c r="X3557" s="4">
        <f t="shared" si="356"/>
        <v>-0.96216082875774522</v>
      </c>
      <c r="Y3557" s="3">
        <f t="shared" si="353"/>
        <v>-412.28230400314351</v>
      </c>
      <c r="AA3557" s="3"/>
    </row>
    <row r="3558" spans="19:27" x14ac:dyDescent="0.25">
      <c r="S3558" s="4">
        <v>-0.84623178531255983</v>
      </c>
      <c r="T3558" s="4">
        <v>-1.4114565042580303</v>
      </c>
      <c r="U3558" s="4">
        <f t="shared" si="354"/>
        <v>-1.6347320833318284</v>
      </c>
      <c r="W3558" s="4">
        <f t="shared" si="355"/>
        <v>-1.4106650517653441</v>
      </c>
      <c r="X3558" s="4">
        <f t="shared" si="356"/>
        <v>-2.8164005876077329</v>
      </c>
      <c r="Y3558" s="3">
        <f t="shared" si="353"/>
        <v>-50.396744197031694</v>
      </c>
      <c r="AA3558" s="3"/>
    </row>
    <row r="3559" spans="19:27" x14ac:dyDescent="0.25">
      <c r="S3559" s="4">
        <v>-0.89734387355391809</v>
      </c>
      <c r="T3559" s="4">
        <v>0.22338442058005628</v>
      </c>
      <c r="U3559" s="4">
        <f t="shared" si="354"/>
        <v>-0.36996579937395557</v>
      </c>
      <c r="W3559" s="4">
        <f t="shared" si="355"/>
        <v>-1.4975789467647045</v>
      </c>
      <c r="X3559" s="4">
        <f t="shared" si="356"/>
        <v>-0.5864965012996104</v>
      </c>
      <c r="Y3559" s="3">
        <f t="shared" si="353"/>
        <v>187.18273432998103</v>
      </c>
      <c r="AA3559" s="3"/>
    </row>
    <row r="3560" spans="19:27" x14ac:dyDescent="0.25">
      <c r="S3560" s="4">
        <v>0.52656406859260618</v>
      </c>
      <c r="T3560" s="4">
        <v>0.21015852348062636</v>
      </c>
      <c r="U3560" s="4">
        <f t="shared" si="354"/>
        <v>0.48759618910950353</v>
      </c>
      <c r="W3560" s="4">
        <f t="shared" si="355"/>
        <v>0.92371491209856804</v>
      </c>
      <c r="X3560" s="4">
        <f t="shared" si="356"/>
        <v>0.92546741380225617</v>
      </c>
      <c r="Y3560" s="3">
        <f t="shared" si="353"/>
        <v>-53.284191309277503</v>
      </c>
      <c r="AA3560" s="3"/>
    </row>
    <row r="3561" spans="19:27" x14ac:dyDescent="0.25">
      <c r="S3561" s="4">
        <v>0.7753274870024407</v>
      </c>
      <c r="T3561" s="4">
        <v>0.54014431372688865</v>
      </c>
      <c r="U3561" s="4">
        <f t="shared" si="354"/>
        <v>0.9008250216367466</v>
      </c>
      <c r="W3561" s="4">
        <f t="shared" si="355"/>
        <v>1.3467263438611881</v>
      </c>
      <c r="X3561" s="4">
        <f t="shared" si="356"/>
        <v>1.6540294208074384</v>
      </c>
      <c r="Y3561" s="3">
        <f t="shared" si="353"/>
        <v>-45.756404490259229</v>
      </c>
      <c r="AA3561" s="3"/>
    </row>
    <row r="3562" spans="19:27" x14ac:dyDescent="0.25">
      <c r="S3562" s="4">
        <v>0.4555664487327184</v>
      </c>
      <c r="T3562" s="4">
        <v>1.3880025035151866</v>
      </c>
      <c r="U3562" s="4">
        <f t="shared" si="354"/>
        <v>1.3779819784840583</v>
      </c>
      <c r="W3562" s="4">
        <f t="shared" si="355"/>
        <v>0.80298653080903815</v>
      </c>
      <c r="X3562" s="4">
        <f t="shared" si="356"/>
        <v>2.4953028334370946</v>
      </c>
      <c r="Y3562" s="3">
        <f t="shared" si="353"/>
        <v>122.51102998185524</v>
      </c>
      <c r="AA3562" s="3"/>
    </row>
    <row r="3563" spans="19:27" x14ac:dyDescent="0.25">
      <c r="S3563" s="4">
        <v>0.840307303994552</v>
      </c>
      <c r="T3563" s="4">
        <v>-1.2649054535036719</v>
      </c>
      <c r="U3563" s="4">
        <f t="shared" si="354"/>
        <v>-0.49041037637742513</v>
      </c>
      <c r="W3563" s="4">
        <f t="shared" si="355"/>
        <v>1.4572217116978738</v>
      </c>
      <c r="X3563" s="4">
        <f t="shared" si="356"/>
        <v>-0.79885182563132384</v>
      </c>
      <c r="Y3563" s="3">
        <f t="shared" si="353"/>
        <v>-307.95982299884554</v>
      </c>
      <c r="AA3563" s="3"/>
    </row>
    <row r="3564" spans="19:27" x14ac:dyDescent="0.25">
      <c r="S3564" s="4">
        <v>0.59200544207646688</v>
      </c>
      <c r="T3564" s="4">
        <v>-0.26004971435339008</v>
      </c>
      <c r="U3564" s="4">
        <f t="shared" si="354"/>
        <v>0.15476039313283951</v>
      </c>
      <c r="W3564" s="4">
        <f t="shared" si="355"/>
        <v>1.0349951367830263</v>
      </c>
      <c r="X3564" s="4">
        <f t="shared" si="356"/>
        <v>0.3386460295419047</v>
      </c>
      <c r="Y3564" s="3">
        <f t="shared" si="353"/>
        <v>-129.24009057789499</v>
      </c>
      <c r="AA3564" s="3"/>
    </row>
    <row r="3565" spans="19:27" x14ac:dyDescent="0.25">
      <c r="S3565" s="4">
        <v>-1.2179142436789896</v>
      </c>
      <c r="T3565" s="4">
        <v>0.45691154669349865</v>
      </c>
      <c r="U3565" s="4">
        <f t="shared" si="354"/>
        <v>-0.38027756044517752</v>
      </c>
      <c r="W3565" s="4">
        <f t="shared" si="355"/>
        <v>-2.0426949936260326</v>
      </c>
      <c r="X3565" s="4">
        <f t="shared" si="356"/>
        <v>-0.60467712363387616</v>
      </c>
      <c r="Y3565" s="3">
        <f t="shared" si="353"/>
        <v>277.77979636006239</v>
      </c>
      <c r="AA3565" s="3"/>
    </row>
    <row r="3566" spans="19:27" x14ac:dyDescent="0.25">
      <c r="S3566" s="4">
        <v>-0.68149478081746562</v>
      </c>
      <c r="T3566" s="4">
        <v>-0.40040392050747048</v>
      </c>
      <c r="U3566" s="4">
        <f t="shared" si="354"/>
        <v>-0.73285141593628644</v>
      </c>
      <c r="W3566" s="4">
        <f t="shared" si="355"/>
        <v>-1.1305369019706313</v>
      </c>
      <c r="X3566" s="4">
        <f t="shared" si="356"/>
        <v>-1.2262985971481246</v>
      </c>
      <c r="Y3566" s="3">
        <f t="shared" si="353"/>
        <v>61.863585232511468</v>
      </c>
      <c r="AA3566" s="3"/>
    </row>
    <row r="3567" spans="19:27" x14ac:dyDescent="0.25">
      <c r="S3567" s="4">
        <v>2.1780889332432598</v>
      </c>
      <c r="T3567" s="4">
        <v>-1.5512729984728764</v>
      </c>
      <c r="U3567" s="4">
        <f t="shared" si="354"/>
        <v>9.8129885819456142E-2</v>
      </c>
      <c r="W3567" s="4">
        <f t="shared" si="355"/>
        <v>3.7320615012119354</v>
      </c>
      <c r="X3567" s="4">
        <f t="shared" si="356"/>
        <v>0.23880102159890221</v>
      </c>
      <c r="Y3567" s="3">
        <f t="shared" si="353"/>
        <v>-538.93581123380181</v>
      </c>
      <c r="AA3567" s="3"/>
    </row>
    <row r="3568" spans="19:27" x14ac:dyDescent="0.25">
      <c r="S3568" s="4">
        <v>-0.34114994757189643</v>
      </c>
      <c r="T3568" s="4">
        <v>-1.1174115964255962</v>
      </c>
      <c r="U3568" s="4">
        <f t="shared" si="354"/>
        <v>-1.0937358740846608</v>
      </c>
      <c r="W3568" s="4">
        <f t="shared" si="355"/>
        <v>-0.55179523599533065</v>
      </c>
      <c r="X3568" s="4">
        <f t="shared" si="356"/>
        <v>-1.8625724590602728</v>
      </c>
      <c r="Y3568" s="3">
        <f t="shared" si="353"/>
        <v>-97.042310390237617</v>
      </c>
      <c r="AA3568" s="3"/>
    </row>
    <row r="3569" spans="19:27" x14ac:dyDescent="0.25">
      <c r="S3569" s="4">
        <v>-0.54608221471589324</v>
      </c>
      <c r="T3569" s="4">
        <v>0.54112270682580466</v>
      </c>
      <c r="U3569" s="4">
        <f t="shared" si="354"/>
        <v>9.6039748770866129E-2</v>
      </c>
      <c r="W3569" s="4">
        <f t="shared" si="355"/>
        <v>-0.90027369111980293</v>
      </c>
      <c r="X3569" s="4">
        <f t="shared" si="356"/>
        <v>0.23511590980812164</v>
      </c>
      <c r="Y3569" s="3">
        <f t="shared" si="353"/>
        <v>169.88638321619783</v>
      </c>
      <c r="AA3569" s="3"/>
    </row>
    <row r="3570" spans="19:27" x14ac:dyDescent="0.25">
      <c r="S3570" s="4">
        <v>0.69908719692618781</v>
      </c>
      <c r="T3570" s="4">
        <v>-0.73824947143606012</v>
      </c>
      <c r="U3570" s="4">
        <f t="shared" si="354"/>
        <v>-0.15902531081673099</v>
      </c>
      <c r="W3570" s="4">
        <f t="shared" si="355"/>
        <v>1.2170830286611176</v>
      </c>
      <c r="X3570" s="4">
        <f t="shared" si="356"/>
        <v>-0.21458821803195313</v>
      </c>
      <c r="Y3570" s="3">
        <f t="shared" si="353"/>
        <v>-212.69291871424412</v>
      </c>
      <c r="AA3570" s="3"/>
    </row>
    <row r="3571" spans="19:27" x14ac:dyDescent="0.25">
      <c r="S3571" s="4">
        <v>-0.67070692537063104</v>
      </c>
      <c r="T3571" s="4">
        <v>0.21291360700918865</v>
      </c>
      <c r="U3571" s="4">
        <f t="shared" si="354"/>
        <v>-0.24010298942053906</v>
      </c>
      <c r="W3571" s="4">
        <f t="shared" si="355"/>
        <v>-1.112192620454546</v>
      </c>
      <c r="X3571" s="4">
        <f t="shared" si="356"/>
        <v>-0.35753593028535013</v>
      </c>
      <c r="Y3571" s="3">
        <f t="shared" si="353"/>
        <v>145.69285092533937</v>
      </c>
      <c r="AA3571" s="3"/>
    </row>
    <row r="3572" spans="19:27" x14ac:dyDescent="0.25">
      <c r="S3572" s="4">
        <v>0.83213565648325194</v>
      </c>
      <c r="T3572" s="4">
        <v>0.93685241401468511</v>
      </c>
      <c r="U3572" s="4">
        <f t="shared" si="354"/>
        <v>1.2499238941946693</v>
      </c>
      <c r="W3572" s="4">
        <f t="shared" si="355"/>
        <v>1.443326178601767</v>
      </c>
      <c r="X3572" s="4">
        <f t="shared" si="356"/>
        <v>2.2695241666085519</v>
      </c>
      <c r="Y3572" s="3">
        <f t="shared" si="353"/>
        <v>1.0016002525012482</v>
      </c>
      <c r="AA3572" s="3"/>
    </row>
    <row r="3573" spans="19:27" x14ac:dyDescent="0.25">
      <c r="S3573" s="4">
        <v>-1.6924130731188234</v>
      </c>
      <c r="T3573" s="4">
        <v>0.68048839462012356</v>
      </c>
      <c r="U3573" s="4">
        <f t="shared" si="354"/>
        <v>-0.49231505084878635</v>
      </c>
      <c r="W3573" s="4">
        <f t="shared" si="355"/>
        <v>-2.8495597267691921</v>
      </c>
      <c r="X3573" s="4">
        <f t="shared" si="356"/>
        <v>-0.80220994913654897</v>
      </c>
      <c r="Y3573" s="3">
        <f t="shared" si="353"/>
        <v>397.72994875871336</v>
      </c>
      <c r="AA3573" s="3"/>
    </row>
    <row r="3574" spans="19:27" x14ac:dyDescent="0.25">
      <c r="S3574" s="4">
        <v>-1.5917319811952051</v>
      </c>
      <c r="T3574" s="4">
        <v>-0.69705627858909214</v>
      </c>
      <c r="U3574" s="4">
        <f t="shared" si="354"/>
        <v>-1.522906279016303</v>
      </c>
      <c r="W3574" s="4">
        <f t="shared" si="355"/>
        <v>-2.6783558853110061</v>
      </c>
      <c r="X3574" s="4">
        <f t="shared" si="356"/>
        <v>-2.6192409849516993</v>
      </c>
      <c r="Y3574" s="3">
        <f t="shared" si="353"/>
        <v>186.09176256219507</v>
      </c>
      <c r="AA3574" s="3"/>
    </row>
    <row r="3575" spans="19:27" x14ac:dyDescent="0.25">
      <c r="S3575" s="4">
        <v>9.1968481765208096E-2</v>
      </c>
      <c r="T3575" s="4">
        <v>0.31808836483492015</v>
      </c>
      <c r="U3575" s="4">
        <f t="shared" si="354"/>
        <v>0.30821214659356833</v>
      </c>
      <c r="W3575" s="4">
        <f t="shared" si="355"/>
        <v>0.1847039168456347</v>
      </c>
      <c r="X3575" s="4">
        <f t="shared" si="356"/>
        <v>0.60919616709176316</v>
      </c>
      <c r="Y3575" s="3">
        <f t="shared" si="353"/>
        <v>31.408854987847462</v>
      </c>
      <c r="AA3575" s="3"/>
    </row>
    <row r="3576" spans="19:27" x14ac:dyDescent="0.25">
      <c r="S3576" s="4">
        <v>-1.1801970794431083</v>
      </c>
      <c r="T3576" s="4">
        <v>0.27562077062652235</v>
      </c>
      <c r="U3576" s="4">
        <f t="shared" si="354"/>
        <v>-0.50099208688283636</v>
      </c>
      <c r="W3576" s="4">
        <f t="shared" si="355"/>
        <v>-1.9785585874476903</v>
      </c>
      <c r="X3576" s="4">
        <f t="shared" si="356"/>
        <v>-0.81750839467134107</v>
      </c>
      <c r="Y3576" s="3">
        <f t="shared" si="353"/>
        <v>245.54139059290992</v>
      </c>
      <c r="AA3576" s="3"/>
    </row>
    <row r="3577" spans="19:27" x14ac:dyDescent="0.25">
      <c r="S3577" s="4">
        <v>-0.3450731211105581</v>
      </c>
      <c r="T3577" s="4">
        <v>-0.82488961908151071</v>
      </c>
      <c r="U3577" s="4">
        <f t="shared" si="354"/>
        <v>-0.86424769140197299</v>
      </c>
      <c r="W3577" s="4">
        <f t="shared" si="355"/>
        <v>-0.55846642288547232</v>
      </c>
      <c r="X3577" s="4">
        <f t="shared" si="356"/>
        <v>-1.4579628147217498</v>
      </c>
      <c r="Y3577" s="3">
        <f t="shared" si="353"/>
        <v>-55.493050401670644</v>
      </c>
      <c r="AA3577" s="3"/>
    </row>
    <row r="3578" spans="19:27" x14ac:dyDescent="0.25">
      <c r="S3578" s="4">
        <v>5.2373504365760479E-2</v>
      </c>
      <c r="T3578" s="4">
        <v>0.27643693699579008</v>
      </c>
      <c r="U3578" s="4">
        <f t="shared" si="354"/>
        <v>0.251057410508019</v>
      </c>
      <c r="W3578" s="4">
        <f t="shared" si="355"/>
        <v>0.11737437061486639</v>
      </c>
      <c r="X3578" s="4">
        <f t="shared" si="356"/>
        <v>0.50842689361761828</v>
      </c>
      <c r="Y3578" s="3">
        <f t="shared" si="353"/>
        <v>32.068996368302123</v>
      </c>
      <c r="AA3578" s="3"/>
    </row>
    <row r="3579" spans="19:27" x14ac:dyDescent="0.25">
      <c r="S3579" s="4">
        <v>-0.60779903710668803</v>
      </c>
      <c r="T3579" s="4">
        <v>-0.99729118383981341</v>
      </c>
      <c r="U3579" s="4">
        <f t="shared" si="354"/>
        <v>-1.1610726161319125</v>
      </c>
      <c r="W3579" s="4">
        <f t="shared" si="355"/>
        <v>-1.0052204777906575</v>
      </c>
      <c r="X3579" s="4">
        <f t="shared" si="356"/>
        <v>-1.9812935841838486</v>
      </c>
      <c r="Y3579" s="3">
        <f t="shared" si="353"/>
        <v>-34.415824275402883</v>
      </c>
      <c r="AA3579" s="3"/>
    </row>
    <row r="3580" spans="19:27" x14ac:dyDescent="0.25">
      <c r="S3580" s="4">
        <v>-1.374237641668465</v>
      </c>
      <c r="T3580" s="4">
        <v>0.43111459617860576</v>
      </c>
      <c r="U3580" s="4">
        <f t="shared" si="354"/>
        <v>-0.4960248285104083</v>
      </c>
      <c r="W3580" s="4">
        <f t="shared" si="355"/>
        <v>-2.3085161695216905</v>
      </c>
      <c r="X3580" s="4">
        <f t="shared" si="356"/>
        <v>-0.80875064244239681</v>
      </c>
      <c r="Y3580" s="3">
        <f t="shared" si="353"/>
        <v>303.01211649778725</v>
      </c>
      <c r="AA3580" s="3"/>
    </row>
    <row r="3581" spans="19:27" x14ac:dyDescent="0.25">
      <c r="S3581" s="4">
        <v>-0.36907270600677272</v>
      </c>
      <c r="T3581" s="4">
        <v>-4.8341082899171902E-3</v>
      </c>
      <c r="U3581" s="4">
        <f t="shared" si="354"/>
        <v>-0.22882691533787269</v>
      </c>
      <c r="W3581" s="4">
        <f t="shared" si="355"/>
        <v>-0.59927667880473634</v>
      </c>
      <c r="X3581" s="4">
        <f t="shared" si="356"/>
        <v>-0.33765513175887052</v>
      </c>
      <c r="Y3581" s="3">
        <f t="shared" si="353"/>
        <v>63.200302661750811</v>
      </c>
      <c r="AA3581" s="3"/>
    </row>
    <row r="3582" spans="19:27" x14ac:dyDescent="0.25">
      <c r="S3582" s="4">
        <v>-0.54263468074594501</v>
      </c>
      <c r="T3582" s="4">
        <v>-0.34105261380528562</v>
      </c>
      <c r="U3582" s="4">
        <f t="shared" si="354"/>
        <v>-0.60115189357005283</v>
      </c>
      <c r="W3582" s="4">
        <f t="shared" si="355"/>
        <v>-0.89441130874059205</v>
      </c>
      <c r="X3582" s="4">
        <f t="shared" si="356"/>
        <v>-0.99409972624663379</v>
      </c>
      <c r="Y3582" s="3">
        <f t="shared" si="353"/>
        <v>45.997972948028291</v>
      </c>
      <c r="AA3582" s="3"/>
    </row>
    <row r="3583" spans="19:27" x14ac:dyDescent="0.25">
      <c r="S3583" s="4">
        <v>-1.1842302209703408</v>
      </c>
      <c r="T3583" s="4">
        <v>0.23462013968355303</v>
      </c>
      <c r="U3583" s="4">
        <f t="shared" si="354"/>
        <v>-0.5359516528646846</v>
      </c>
      <c r="W3583" s="4">
        <f t="shared" si="355"/>
        <v>-1.9854167701452974</v>
      </c>
      <c r="X3583" s="4">
        <f t="shared" si="356"/>
        <v>-0.8791454576032609</v>
      </c>
      <c r="Y3583" s="3">
        <f t="shared" si="353"/>
        <v>240.54809814355849</v>
      </c>
      <c r="AA3583" s="3"/>
    </row>
    <row r="3584" spans="19:27" x14ac:dyDescent="0.25">
      <c r="S3584" s="4">
        <v>-1.1399992764593168</v>
      </c>
      <c r="T3584" s="4">
        <v>-6.2625133451220602E-2</v>
      </c>
      <c r="U3584" s="4">
        <f t="shared" si="354"/>
        <v>-0.74461143789792172</v>
      </c>
      <c r="W3584" s="4">
        <f t="shared" si="355"/>
        <v>-1.9102039623883447</v>
      </c>
      <c r="X3584" s="4">
        <f t="shared" si="356"/>
        <v>-1.2470326421333064</v>
      </c>
      <c r="Y3584" s="3">
        <f t="shared" si="353"/>
        <v>190.93729854450703</v>
      </c>
      <c r="AA3584" s="3"/>
    </row>
    <row r="3585" spans="19:27" x14ac:dyDescent="0.25">
      <c r="S3585" s="4">
        <v>-0.60448126478277864</v>
      </c>
      <c r="T3585" s="4">
        <v>-0.69183740905186975</v>
      </c>
      <c r="U3585" s="4">
        <f t="shared" si="354"/>
        <v>-0.91691925866818869</v>
      </c>
      <c r="W3585" s="4">
        <f t="shared" si="355"/>
        <v>-0.9995787494771835</v>
      </c>
      <c r="X3585" s="4">
        <f t="shared" si="356"/>
        <v>-1.5508278322107041</v>
      </c>
      <c r="Y3585" s="3">
        <f t="shared" si="353"/>
        <v>7.6971841463487181</v>
      </c>
      <c r="AA3585" s="3"/>
    </row>
    <row r="3586" spans="19:27" x14ac:dyDescent="0.25">
      <c r="S3586" s="4">
        <v>-0.40011495967410415</v>
      </c>
      <c r="T3586" s="4">
        <v>-0.5168462196386453</v>
      </c>
      <c r="U3586" s="4">
        <f t="shared" si="354"/>
        <v>-0.65361888005030688</v>
      </c>
      <c r="W3586" s="4">
        <f t="shared" si="355"/>
        <v>-0.65206268831085579</v>
      </c>
      <c r="X3586" s="4">
        <f t="shared" si="356"/>
        <v>-1.0866040482170702</v>
      </c>
      <c r="Y3586" s="3">
        <f t="shared" ref="Y3586:Y3649" si="357">(B$4*EXP(-B$8*B$7)*NORMSDIST((LN(B$4/(B$5+W3586))-B$8*B$7+B$9*B$7+0.5*B$6*B$6*B$7)/(B$6*SQRT(B$7)))-(B$5+W3586)*EXP(-B$9*B$7)*NORMSDIST((LN(B$4/(B$5+W3586))-B$8*B$7+B$9*B$7-0.5*B$6*B$6*B$7)/(B$6*SQRT(B$7))))*400+100*X3586-400*$B$13</f>
        <v>-3.0639739718581041</v>
      </c>
      <c r="AA3586" s="3"/>
    </row>
    <row r="3587" spans="19:27" x14ac:dyDescent="0.25">
      <c r="S3587" s="4">
        <v>0.36989878169021989</v>
      </c>
      <c r="T3587" s="4">
        <v>1.0185258862334805</v>
      </c>
      <c r="U3587" s="4">
        <f t="shared" ref="U3587:U3650" si="358">$B$19*S3587+SQRT(1-$B$19^2)*T3587</f>
        <v>1.0328758915464791</v>
      </c>
      <c r="W3587" s="4">
        <f t="shared" ref="W3587:W3650" si="359">S3587*SQRT($B$16)+$B$20</f>
        <v>0.65731236889625888</v>
      </c>
      <c r="X3587" s="4">
        <f t="shared" ref="X3587:X3650" si="360">U3587*SQRT($C$17)+$C$20</f>
        <v>1.8868477510769561</v>
      </c>
      <c r="Y3587" s="3">
        <f t="shared" si="357"/>
        <v>84.463213759552673</v>
      </c>
      <c r="AA3587" s="3"/>
    </row>
    <row r="3588" spans="19:27" x14ac:dyDescent="0.25">
      <c r="S3588" s="4">
        <v>-0.29386772370590747</v>
      </c>
      <c r="T3588" s="4">
        <v>0.9458371502004963</v>
      </c>
      <c r="U3588" s="4">
        <f t="shared" si="358"/>
        <v>0.5706092390760088</v>
      </c>
      <c r="W3588" s="4">
        <f t="shared" si="359"/>
        <v>-0.47139385969038922</v>
      </c>
      <c r="X3588" s="4">
        <f t="shared" si="360"/>
        <v>1.0718273711201698</v>
      </c>
      <c r="Y3588" s="3">
        <f t="shared" si="357"/>
        <v>183.29975032162201</v>
      </c>
      <c r="AA3588" s="3"/>
    </row>
    <row r="3589" spans="19:27" x14ac:dyDescent="0.25">
      <c r="S3589" s="4">
        <v>0.5599638376738858</v>
      </c>
      <c r="T3589" s="4">
        <v>1.1599529685942811</v>
      </c>
      <c r="U3589" s="4">
        <f t="shared" si="358"/>
        <v>1.2608519098270892</v>
      </c>
      <c r="W3589" s="4">
        <f t="shared" si="359"/>
        <v>0.98050977458247424</v>
      </c>
      <c r="X3589" s="4">
        <f t="shared" si="360"/>
        <v>2.2887913047534076</v>
      </c>
      <c r="Y3589" s="3">
        <f t="shared" si="357"/>
        <v>74.224198831684134</v>
      </c>
      <c r="AA3589" s="3"/>
    </row>
    <row r="3590" spans="19:27" x14ac:dyDescent="0.25">
      <c r="S3590" s="4">
        <v>-0.19002109075838811</v>
      </c>
      <c r="T3590" s="4">
        <v>-0.49836813661049034</v>
      </c>
      <c r="U3590" s="4">
        <f t="shared" si="358"/>
        <v>-0.51089354103400075</v>
      </c>
      <c r="W3590" s="4">
        <f t="shared" si="359"/>
        <v>-0.29480715265902779</v>
      </c>
      <c r="X3590" s="4">
        <f t="shared" si="360"/>
        <v>-0.83496560661011965</v>
      </c>
      <c r="Y3590" s="3">
        <f t="shared" si="357"/>
        <v>-36.028544567809604</v>
      </c>
      <c r="AA3590" s="3"/>
    </row>
    <row r="3591" spans="19:27" x14ac:dyDescent="0.25">
      <c r="S3591" s="4">
        <v>1.4576180856324996</v>
      </c>
      <c r="T3591" s="4">
        <v>-1.126424682155726</v>
      </c>
      <c r="U3591" s="4">
        <f t="shared" si="358"/>
        <v>-4.3113483192582791E-3</v>
      </c>
      <c r="W3591" s="4">
        <f t="shared" si="359"/>
        <v>2.5069319916593864</v>
      </c>
      <c r="X3591" s="4">
        <f t="shared" si="360"/>
        <v>5.8187314932465505E-2</v>
      </c>
      <c r="Y3591" s="3">
        <f t="shared" si="357"/>
        <v>-379.89785670021683</v>
      </c>
      <c r="AA3591" s="3"/>
    </row>
    <row r="3592" spans="19:27" x14ac:dyDescent="0.25">
      <c r="S3592" s="4">
        <v>-0.39683666909991711</v>
      </c>
      <c r="T3592" s="4">
        <v>-1.0247471044545986</v>
      </c>
      <c r="U3592" s="4">
        <f t="shared" si="358"/>
        <v>-1.0542293387775827</v>
      </c>
      <c r="W3592" s="4">
        <f t="shared" si="359"/>
        <v>-0.64648809700484589</v>
      </c>
      <c r="X3592" s="4">
        <f t="shared" si="360"/>
        <v>-1.7929186537410415</v>
      </c>
      <c r="Y3592" s="3">
        <f t="shared" si="357"/>
        <v>-74.607578382448082</v>
      </c>
      <c r="AA3592" s="3"/>
    </row>
    <row r="3593" spans="19:27" x14ac:dyDescent="0.25">
      <c r="S3593" s="4">
        <v>-1.6300075224592052</v>
      </c>
      <c r="T3593" s="4">
        <v>-1.9432854216562709</v>
      </c>
      <c r="U3593" s="4">
        <f t="shared" si="358"/>
        <v>-2.5341157984485592</v>
      </c>
      <c r="W3593" s="4">
        <f t="shared" si="359"/>
        <v>-2.7434417874708625</v>
      </c>
      <c r="X3593" s="4">
        <f t="shared" si="360"/>
        <v>-4.4021002120646573</v>
      </c>
      <c r="Y3593" s="3">
        <f t="shared" si="357"/>
        <v>19.167538172339391</v>
      </c>
      <c r="AA3593" s="3"/>
    </row>
    <row r="3594" spans="19:27" x14ac:dyDescent="0.25">
      <c r="S3594" s="4">
        <v>-1.8393809929894833</v>
      </c>
      <c r="T3594" s="4">
        <v>0.53687266484506069</v>
      </c>
      <c r="U3594" s="4">
        <f t="shared" si="358"/>
        <v>-0.69575301671549261</v>
      </c>
      <c r="W3594" s="4">
        <f t="shared" si="359"/>
        <v>-3.0994723168319283</v>
      </c>
      <c r="X3594" s="4">
        <f t="shared" si="360"/>
        <v>-1.1608905663781537</v>
      </c>
      <c r="Y3594" s="3">
        <f t="shared" si="357"/>
        <v>405.84319929697267</v>
      </c>
      <c r="AA3594" s="3"/>
    </row>
    <row r="3595" spans="19:27" x14ac:dyDescent="0.25">
      <c r="S3595" s="4">
        <v>-0.87772742774444323</v>
      </c>
      <c r="T3595" s="4">
        <v>-1.7063243650815767</v>
      </c>
      <c r="U3595" s="4">
        <f t="shared" si="358"/>
        <v>-1.887671929601114</v>
      </c>
      <c r="W3595" s="4">
        <f t="shared" si="359"/>
        <v>-1.4642220292524641</v>
      </c>
      <c r="X3595" s="4">
        <f t="shared" si="360"/>
        <v>-3.2623577608342256</v>
      </c>
      <c r="Y3595" s="3">
        <f t="shared" si="357"/>
        <v>-86.007294949599327</v>
      </c>
      <c r="AA3595" s="3"/>
    </row>
    <row r="3596" spans="19:27" x14ac:dyDescent="0.25">
      <c r="S3596" s="4">
        <v>0.10786687813477985</v>
      </c>
      <c r="T3596" s="4">
        <v>0.80465581418536214</v>
      </c>
      <c r="U3596" s="4">
        <f t="shared" si="358"/>
        <v>0.70360229751910663</v>
      </c>
      <c r="W3596" s="4">
        <f t="shared" si="359"/>
        <v>0.21173845212422016</v>
      </c>
      <c r="X3596" s="4">
        <f t="shared" si="360"/>
        <v>1.3063068700081688</v>
      </c>
      <c r="Y3596" s="3">
        <f t="shared" si="357"/>
        <v>96.815294444567826</v>
      </c>
      <c r="AA3596" s="3"/>
    </row>
    <row r="3597" spans="19:27" x14ac:dyDescent="0.25">
      <c r="S3597" s="4">
        <v>0.37241527686675052</v>
      </c>
      <c r="T3597" s="4">
        <v>-0.45798901840162748</v>
      </c>
      <c r="U3597" s="4">
        <f t="shared" si="358"/>
        <v>-0.13601157759605803</v>
      </c>
      <c r="W3597" s="4">
        <f t="shared" si="359"/>
        <v>0.66159156008302</v>
      </c>
      <c r="X3597" s="4">
        <f t="shared" si="360"/>
        <v>-0.17401280232005473</v>
      </c>
      <c r="Y3597" s="3">
        <f t="shared" si="357"/>
        <v>-122.29407168188982</v>
      </c>
      <c r="AA3597" s="3"/>
    </row>
    <row r="3598" spans="19:27" x14ac:dyDescent="0.25">
      <c r="S3598" s="4">
        <v>0.62176250784318388</v>
      </c>
      <c r="T3598" s="4">
        <v>-0.35497439332741815</v>
      </c>
      <c r="U3598" s="4">
        <f t="shared" si="358"/>
        <v>9.7654928936384222E-2</v>
      </c>
      <c r="W3598" s="4">
        <f t="shared" si="359"/>
        <v>1.0855957398600249</v>
      </c>
      <c r="X3598" s="4">
        <f t="shared" si="360"/>
        <v>0.23796362712704139</v>
      </c>
      <c r="Y3598" s="3">
        <f t="shared" si="357"/>
        <v>-147.14212218873718</v>
      </c>
      <c r="AA3598" s="3"/>
    </row>
    <row r="3599" spans="19:27" x14ac:dyDescent="0.25">
      <c r="S3599" s="4">
        <v>-1.2624744994848294</v>
      </c>
      <c r="T3599" s="4">
        <v>-1.1083057564563294</v>
      </c>
      <c r="U3599" s="4">
        <f t="shared" si="358"/>
        <v>-1.6481777507195554</v>
      </c>
      <c r="W3599" s="4">
        <f t="shared" si="359"/>
        <v>-2.1184677809941599</v>
      </c>
      <c r="X3599" s="4">
        <f t="shared" si="360"/>
        <v>-2.8401065869147408</v>
      </c>
      <c r="Y3599" s="3">
        <f t="shared" si="357"/>
        <v>67.208043779854506</v>
      </c>
      <c r="AA3599" s="3"/>
    </row>
    <row r="3600" spans="19:27" x14ac:dyDescent="0.25">
      <c r="S3600" s="4">
        <v>-0.34542862401427937</v>
      </c>
      <c r="T3600" s="4">
        <v>-0.62675290218848134</v>
      </c>
      <c r="U3600" s="4">
        <f t="shared" si="358"/>
        <v>-0.70740301976398312</v>
      </c>
      <c r="W3600" s="4">
        <f t="shared" si="359"/>
        <v>-0.55907094019456938</v>
      </c>
      <c r="X3600" s="4">
        <f t="shared" si="360"/>
        <v>-1.1814306374828609</v>
      </c>
      <c r="Y3600" s="3">
        <f t="shared" si="357"/>
        <v>-27.741204045219092</v>
      </c>
      <c r="AA3600" s="3"/>
    </row>
    <row r="3601" spans="19:27" x14ac:dyDescent="0.25">
      <c r="S3601" s="4">
        <v>1.8230473234695894</v>
      </c>
      <c r="T3601" s="4">
        <v>1.0717883795759304</v>
      </c>
      <c r="U3601" s="4">
        <f t="shared" si="358"/>
        <v>1.9609684184335143</v>
      </c>
      <c r="W3601" s="4">
        <f t="shared" si="359"/>
        <v>3.1283286025176622</v>
      </c>
      <c r="X3601" s="4">
        <f t="shared" si="360"/>
        <v>3.5231637601510597</v>
      </c>
      <c r="Y3601" s="3">
        <f t="shared" si="357"/>
        <v>-124.14378873580381</v>
      </c>
      <c r="AA3601" s="3"/>
    </row>
    <row r="3602" spans="19:27" x14ac:dyDescent="0.25">
      <c r="S3602" s="4">
        <v>-0.98996507322703509</v>
      </c>
      <c r="T3602" s="4">
        <v>-0.75108711038472409</v>
      </c>
      <c r="U3602" s="4">
        <f t="shared" si="358"/>
        <v>-1.1988855545250687</v>
      </c>
      <c r="W3602" s="4">
        <f t="shared" si="359"/>
        <v>-1.6550772901133575</v>
      </c>
      <c r="X3602" s="4">
        <f t="shared" si="360"/>
        <v>-2.0479614159466895</v>
      </c>
      <c r="Y3602" s="3">
        <f t="shared" si="357"/>
        <v>67.575284295072834</v>
      </c>
      <c r="AA3602" s="3"/>
    </row>
    <row r="3603" spans="19:27" x14ac:dyDescent="0.25">
      <c r="S3603" s="4">
        <v>0.57817402371581028</v>
      </c>
      <c r="T3603" s="4">
        <v>0.30166583454918072</v>
      </c>
      <c r="U3603" s="4">
        <f t="shared" si="358"/>
        <v>0.59159588442503019</v>
      </c>
      <c r="W3603" s="4">
        <f t="shared" si="359"/>
        <v>1.0114754081933108</v>
      </c>
      <c r="X3603" s="4">
        <f t="shared" si="360"/>
        <v>1.1088288367785006</v>
      </c>
      <c r="Y3603" s="3">
        <f t="shared" si="357"/>
        <v>-48.576147308493091</v>
      </c>
      <c r="AA3603" s="3"/>
    </row>
    <row r="3604" spans="19:27" x14ac:dyDescent="0.25">
      <c r="S3604" s="4">
        <v>-1.3047009138454784</v>
      </c>
      <c r="T3604" s="4">
        <v>4.2153397818109672E-2</v>
      </c>
      <c r="U3604" s="4">
        <f t="shared" si="358"/>
        <v>-0.76196012535385471</v>
      </c>
      <c r="W3604" s="4">
        <f t="shared" si="359"/>
        <v>-2.1902719719442616</v>
      </c>
      <c r="X3604" s="4">
        <f t="shared" si="360"/>
        <v>-1.2776200396159514</v>
      </c>
      <c r="Y3604" s="3">
        <f t="shared" si="357"/>
        <v>235.77682198542243</v>
      </c>
      <c r="AA3604" s="3"/>
    </row>
    <row r="3605" spans="19:27" x14ac:dyDescent="0.25">
      <c r="S3605" s="4">
        <v>-1.2645222679987986</v>
      </c>
      <c r="T3605" s="4">
        <v>2.4778539252085139</v>
      </c>
      <c r="U3605" s="4">
        <f t="shared" si="358"/>
        <v>1.1932940422040177</v>
      </c>
      <c r="W3605" s="4">
        <f t="shared" si="359"/>
        <v>-2.1219499227678567</v>
      </c>
      <c r="X3605" s="4">
        <f t="shared" si="360"/>
        <v>2.1696803140622865</v>
      </c>
      <c r="Y3605" s="3">
        <f t="shared" si="357"/>
        <v>568.78356233950581</v>
      </c>
      <c r="AA3605" s="3"/>
    </row>
    <row r="3606" spans="19:27" x14ac:dyDescent="0.25">
      <c r="S3606" s="4">
        <v>0.97202681420574277</v>
      </c>
      <c r="T3606" s="4">
        <v>-1.4150857017013969</v>
      </c>
      <c r="U3606" s="4">
        <f t="shared" si="358"/>
        <v>-0.52915790819503383</v>
      </c>
      <c r="W3606" s="4">
        <f t="shared" si="359"/>
        <v>1.6812050407648138</v>
      </c>
      <c r="X3606" s="4">
        <f t="shared" si="360"/>
        <v>-0.86716743510824246</v>
      </c>
      <c r="Y3606" s="3">
        <f t="shared" si="357"/>
        <v>-348.89129453057831</v>
      </c>
      <c r="AA3606" s="3"/>
    </row>
    <row r="3607" spans="19:27" x14ac:dyDescent="0.25">
      <c r="S3607" s="4">
        <v>-1.5111094563345016</v>
      </c>
      <c r="T3607" s="4">
        <v>-0.867476360256071</v>
      </c>
      <c r="U3607" s="4">
        <f t="shared" si="358"/>
        <v>-1.6088476276277519</v>
      </c>
      <c r="W3607" s="4">
        <f t="shared" si="359"/>
        <v>-2.5412607694308353</v>
      </c>
      <c r="X3607" s="4">
        <f t="shared" si="360"/>
        <v>-2.7707638132261789</v>
      </c>
      <c r="Y3607" s="3">
        <f t="shared" si="357"/>
        <v>147.08208382493012</v>
      </c>
      <c r="AA3607" s="3"/>
    </row>
    <row r="3608" spans="19:27" x14ac:dyDescent="0.25">
      <c r="S3608" s="4">
        <v>1.2981171907102265</v>
      </c>
      <c r="T3608" s="4">
        <v>-0.99335492191319619</v>
      </c>
      <c r="U3608" s="4">
        <f t="shared" si="358"/>
        <v>3.9366842820494075E-3</v>
      </c>
      <c r="W3608" s="4">
        <f t="shared" si="359"/>
        <v>2.2357076196846744</v>
      </c>
      <c r="X3608" s="4">
        <f t="shared" si="360"/>
        <v>7.2729386329327031E-2</v>
      </c>
      <c r="Y3608" s="3">
        <f t="shared" si="357"/>
        <v>-338.23871096280527</v>
      </c>
      <c r="AA3608" s="3"/>
    </row>
    <row r="3609" spans="19:27" x14ac:dyDescent="0.25">
      <c r="S3609" s="4">
        <v>-4.3900032724347844E-2</v>
      </c>
      <c r="T3609" s="4">
        <v>1.4930925265195574</v>
      </c>
      <c r="U3609" s="4">
        <f t="shared" si="358"/>
        <v>1.1568000898707769</v>
      </c>
      <c r="W3609" s="4">
        <f t="shared" si="359"/>
        <v>-4.6334614515112935E-2</v>
      </c>
      <c r="X3609" s="4">
        <f t="shared" si="360"/>
        <v>2.1053379810434389</v>
      </c>
      <c r="Y3609" s="3">
        <f t="shared" si="357"/>
        <v>217.96448978999979</v>
      </c>
      <c r="AA3609" s="3"/>
    </row>
    <row r="3610" spans="19:27" x14ac:dyDescent="0.25">
      <c r="S3610" s="4">
        <v>-0.89115039598080492</v>
      </c>
      <c r="T3610" s="4">
        <v>0.24580371703873982</v>
      </c>
      <c r="U3610" s="4">
        <f t="shared" si="358"/>
        <v>-0.34841851988438094</v>
      </c>
      <c r="W3610" s="4">
        <f t="shared" si="359"/>
        <v>-1.487047206074938</v>
      </c>
      <c r="X3610" s="4">
        <f t="shared" si="360"/>
        <v>-0.54850658395909879</v>
      </c>
      <c r="Y3610" s="3">
        <f t="shared" si="357"/>
        <v>189.21177617336616</v>
      </c>
      <c r="AA3610" s="3"/>
    </row>
    <row r="3611" spans="19:27" x14ac:dyDescent="0.25">
      <c r="S3611" s="4">
        <v>0.25387648339146396</v>
      </c>
      <c r="T3611" s="4">
        <v>-1.20909226643159</v>
      </c>
      <c r="U3611" s="4">
        <f t="shared" si="358"/>
        <v>-0.80366902103181825</v>
      </c>
      <c r="W3611" s="4">
        <f t="shared" si="359"/>
        <v>0.46002146964157054</v>
      </c>
      <c r="X3611" s="4">
        <f t="shared" si="360"/>
        <v>-1.3511568171908888</v>
      </c>
      <c r="Y3611" s="3">
        <f t="shared" si="357"/>
        <v>-208.28856463099692</v>
      </c>
      <c r="AA3611" s="3"/>
    </row>
    <row r="3612" spans="19:27" x14ac:dyDescent="0.25">
      <c r="S3612" s="4">
        <v>0.50014371326274265</v>
      </c>
      <c r="T3612" s="4">
        <v>-0.17862921506054211</v>
      </c>
      <c r="U3612" s="4">
        <f t="shared" si="358"/>
        <v>0.16330081361011459</v>
      </c>
      <c r="W3612" s="4">
        <f t="shared" si="359"/>
        <v>0.87878824077686168</v>
      </c>
      <c r="X3612" s="4">
        <f t="shared" si="360"/>
        <v>0.35370360876632023</v>
      </c>
      <c r="Y3612" s="3">
        <f t="shared" si="357"/>
        <v>-103.46885573189911</v>
      </c>
      <c r="AA3612" s="3"/>
    </row>
    <row r="3613" spans="19:27" x14ac:dyDescent="0.25">
      <c r="S3613" s="4">
        <v>-0.15754390209587762</v>
      </c>
      <c r="T3613" s="4">
        <v>0.68281059974197944</v>
      </c>
      <c r="U3613" s="4">
        <f t="shared" si="358"/>
        <v>0.44521623504886126</v>
      </c>
      <c r="W3613" s="4">
        <f t="shared" si="359"/>
        <v>-0.23958109826738189</v>
      </c>
      <c r="X3613" s="4">
        <f t="shared" si="360"/>
        <v>0.85074749603085198</v>
      </c>
      <c r="Y3613" s="3">
        <f t="shared" si="357"/>
        <v>123.61630319061214</v>
      </c>
      <c r="AA3613" s="3"/>
    </row>
    <row r="3614" spans="19:27" x14ac:dyDescent="0.25">
      <c r="S3614" s="4">
        <v>1.3969672046698467</v>
      </c>
      <c r="T3614" s="4">
        <v>0.56873029735707026</v>
      </c>
      <c r="U3614" s="4">
        <f t="shared" si="358"/>
        <v>1.3024503445381077</v>
      </c>
      <c r="W3614" s="4">
        <f t="shared" si="359"/>
        <v>2.4037977922755847</v>
      </c>
      <c r="X3614" s="4">
        <f t="shared" si="360"/>
        <v>2.3621333290646849</v>
      </c>
      <c r="Y3614" s="3">
        <f t="shared" si="357"/>
        <v>-134.25814602410264</v>
      </c>
      <c r="AA3614" s="3"/>
    </row>
    <row r="3615" spans="19:27" x14ac:dyDescent="0.25">
      <c r="S3615" s="4">
        <v>0.83696556805499334</v>
      </c>
      <c r="T3615" s="4">
        <v>-0.16049838465504601</v>
      </c>
      <c r="U3615" s="4">
        <f t="shared" si="358"/>
        <v>0.3830070959704357</v>
      </c>
      <c r="W3615" s="4">
        <f t="shared" si="359"/>
        <v>1.451539234292629</v>
      </c>
      <c r="X3615" s="4">
        <f t="shared" si="360"/>
        <v>0.74106682601600204</v>
      </c>
      <c r="Y3615" s="3">
        <f t="shared" si="357"/>
        <v>-153.09955312122884</v>
      </c>
      <c r="AA3615" s="3"/>
    </row>
    <row r="3616" spans="19:27" x14ac:dyDescent="0.25">
      <c r="S3616" s="4">
        <v>-1.5947418284680039</v>
      </c>
      <c r="T3616" s="4">
        <v>-0.45468581523368146</v>
      </c>
      <c r="U3616" s="4">
        <f t="shared" si="358"/>
        <v>-1.332616017140511</v>
      </c>
      <c r="W3616" s="4">
        <f t="shared" si="359"/>
        <v>-2.6834740003955795</v>
      </c>
      <c r="X3616" s="4">
        <f t="shared" si="360"/>
        <v>-2.2837410290123259</v>
      </c>
      <c r="Y3616" s="3">
        <f t="shared" si="357"/>
        <v>220.53437396746267</v>
      </c>
      <c r="AA3616" s="3"/>
    </row>
    <row r="3617" spans="19:27" x14ac:dyDescent="0.25">
      <c r="S3617" s="4">
        <v>-0.2319699137345812</v>
      </c>
      <c r="T3617" s="4">
        <v>-1.1076961022184235</v>
      </c>
      <c r="U3617" s="4">
        <f t="shared" si="358"/>
        <v>-1.0194758947304652</v>
      </c>
      <c r="W3617" s="4">
        <f t="shared" si="359"/>
        <v>-0.36613931146817291</v>
      </c>
      <c r="X3617" s="4">
        <f t="shared" si="360"/>
        <v>-1.7316450035205162</v>
      </c>
      <c r="Y3617" s="3">
        <f t="shared" si="357"/>
        <v>-114.14325829150766</v>
      </c>
      <c r="AA3617" s="3"/>
    </row>
    <row r="3618" spans="19:27" x14ac:dyDescent="0.25">
      <c r="S3618" s="4">
        <v>-0.56834502122499109</v>
      </c>
      <c r="T3618" s="4">
        <v>-0.55695348982468329</v>
      </c>
      <c r="U3618" s="4">
        <f t="shared" si="358"/>
        <v>-0.78796839207409664</v>
      </c>
      <c r="W3618" s="4">
        <f t="shared" si="359"/>
        <v>-0.9381306305229774</v>
      </c>
      <c r="X3618" s="4">
        <f t="shared" si="360"/>
        <v>-1.3234751046764863</v>
      </c>
      <c r="Y3618" s="3">
        <f t="shared" si="357"/>
        <v>20.275135237704035</v>
      </c>
      <c r="AA3618" s="3"/>
    </row>
    <row r="3619" spans="19:27" x14ac:dyDescent="0.25">
      <c r="S3619" s="4">
        <v>0.52337562883682387</v>
      </c>
      <c r="T3619" s="4">
        <v>-0.69167993087867208</v>
      </c>
      <c r="U3619" s="4">
        <f t="shared" si="358"/>
        <v>-0.2292277000491878</v>
      </c>
      <c r="W3619" s="4">
        <f t="shared" si="359"/>
        <v>0.91829310822240373</v>
      </c>
      <c r="X3619" s="4">
        <f t="shared" si="360"/>
        <v>-0.33836175358839515</v>
      </c>
      <c r="Y3619" s="3">
        <f t="shared" si="357"/>
        <v>-178.82388485250203</v>
      </c>
      <c r="AA3619" s="3"/>
    </row>
    <row r="3620" spans="19:27" x14ac:dyDescent="0.25">
      <c r="S3620" s="4">
        <v>-0.7152571180550128</v>
      </c>
      <c r="T3620" s="4">
        <v>0.10897884749691893</v>
      </c>
      <c r="U3620" s="4">
        <f t="shared" si="358"/>
        <v>-0.34965003523409477</v>
      </c>
      <c r="W3620" s="4">
        <f t="shared" si="359"/>
        <v>-1.1879482959199541</v>
      </c>
      <c r="X3620" s="4">
        <f t="shared" si="360"/>
        <v>-0.55067786346386571</v>
      </c>
      <c r="Y3620" s="3">
        <f t="shared" si="357"/>
        <v>138.97318956220624</v>
      </c>
      <c r="AA3620" s="3"/>
    </row>
    <row r="3621" spans="19:27" x14ac:dyDescent="0.25">
      <c r="S3621" s="4">
        <v>0.47476780776650268</v>
      </c>
      <c r="T3621" s="4">
        <v>0.63789088103668579</v>
      </c>
      <c r="U3621" s="4">
        <f t="shared" si="358"/>
        <v>0.79508005891631051</v>
      </c>
      <c r="W3621" s="4">
        <f t="shared" si="359"/>
        <v>0.83563761121543323</v>
      </c>
      <c r="X3621" s="4">
        <f t="shared" si="360"/>
        <v>1.4675909242506671</v>
      </c>
      <c r="Y3621" s="3">
        <f t="shared" si="357"/>
        <v>14.644877170230302</v>
      </c>
      <c r="AA3621" s="3"/>
    </row>
    <row r="3622" spans="19:27" x14ac:dyDescent="0.25">
      <c r="S3622" s="4">
        <v>-0.57427592840361608</v>
      </c>
      <c r="T3622" s="4">
        <v>-0.41346335194516481</v>
      </c>
      <c r="U3622" s="4">
        <f t="shared" si="358"/>
        <v>-0.67784051832605963</v>
      </c>
      <c r="W3622" s="4">
        <f t="shared" si="359"/>
        <v>-0.94821588161543535</v>
      </c>
      <c r="X3622" s="4">
        <f t="shared" si="360"/>
        <v>-1.1293091162231188</v>
      </c>
      <c r="Y3622" s="3">
        <f t="shared" si="357"/>
        <v>41.357457668100778</v>
      </c>
      <c r="AA3622" s="3"/>
    </row>
    <row r="3623" spans="19:27" x14ac:dyDescent="0.25">
      <c r="S3623" s="4">
        <v>1.496810451173229</v>
      </c>
      <c r="T3623" s="4">
        <v>-3.0708618435075765</v>
      </c>
      <c r="U3623" s="4">
        <f t="shared" si="358"/>
        <v>-1.5217586269647785</v>
      </c>
      <c r="W3623" s="4">
        <f t="shared" si="359"/>
        <v>2.5735769138409692</v>
      </c>
      <c r="X3623" s="4">
        <f t="shared" si="360"/>
        <v>-2.6172175644732958</v>
      </c>
      <c r="Y3623" s="3">
        <f t="shared" si="357"/>
        <v>-657.26167785178677</v>
      </c>
      <c r="AA3623" s="3"/>
    </row>
    <row r="3624" spans="19:27" x14ac:dyDescent="0.25">
      <c r="S3624" s="4">
        <v>-0.75683250429586979</v>
      </c>
      <c r="T3624" s="4">
        <v>0.22205422240485201</v>
      </c>
      <c r="U3624" s="4">
        <f t="shared" si="358"/>
        <v>-0.28536137108229825</v>
      </c>
      <c r="W3624" s="4">
        <f t="shared" si="359"/>
        <v>-1.2586454417151398</v>
      </c>
      <c r="X3624" s="4">
        <f t="shared" si="360"/>
        <v>-0.43733079158686383</v>
      </c>
      <c r="Y3624" s="3">
        <f t="shared" si="357"/>
        <v>162.088710882751</v>
      </c>
      <c r="AA3624" s="3"/>
    </row>
    <row r="3625" spans="19:27" x14ac:dyDescent="0.25">
      <c r="S3625" s="4">
        <v>0.4902616899005301</v>
      </c>
      <c r="T3625" s="4">
        <v>-0.48038668898623194</v>
      </c>
      <c r="U3625" s="4">
        <f t="shared" si="358"/>
        <v>-8.1924229554055705E-2</v>
      </c>
      <c r="W3625" s="4">
        <f t="shared" si="359"/>
        <v>0.86198428753533507</v>
      </c>
      <c r="X3625" s="4">
        <f t="shared" si="360"/>
        <v>-7.86516277329182E-2</v>
      </c>
      <c r="Y3625" s="3">
        <f t="shared" si="357"/>
        <v>-144.08662095397449</v>
      </c>
      <c r="AA3625" s="3"/>
    </row>
    <row r="3626" spans="19:27" x14ac:dyDescent="0.25">
      <c r="S3626" s="4">
        <v>-0.15080020207186021</v>
      </c>
      <c r="T3626" s="4">
        <v>0.87893055419723065</v>
      </c>
      <c r="U3626" s="4">
        <f t="shared" si="358"/>
        <v>0.60479006769945021</v>
      </c>
      <c r="W3626" s="4">
        <f t="shared" si="359"/>
        <v>-0.22811372810189601</v>
      </c>
      <c r="X3626" s="4">
        <f t="shared" si="360"/>
        <v>1.1320914455089115</v>
      </c>
      <c r="Y3626" s="3">
        <f t="shared" si="357"/>
        <v>149.89915537252637</v>
      </c>
      <c r="AA3626" s="3"/>
    </row>
    <row r="3627" spans="19:27" x14ac:dyDescent="0.25">
      <c r="S3627" s="4">
        <v>-1.5193959630931628</v>
      </c>
      <c r="T3627" s="4">
        <v>-0.84964158896386155</v>
      </c>
      <c r="U3627" s="4">
        <f t="shared" si="358"/>
        <v>-1.5997617861722038</v>
      </c>
      <c r="W3627" s="4">
        <f t="shared" si="359"/>
        <v>-2.55535161570839</v>
      </c>
      <c r="X3627" s="4">
        <f t="shared" si="360"/>
        <v>-2.7547446045816599</v>
      </c>
      <c r="Y3627" s="3">
        <f t="shared" si="357"/>
        <v>151.13144570605527</v>
      </c>
      <c r="AA3627" s="3"/>
    </row>
    <row r="3628" spans="19:27" x14ac:dyDescent="0.25">
      <c r="S3628" s="4">
        <v>-0.36275527302000604</v>
      </c>
      <c r="T3628" s="4">
        <v>-0.95720795381564627</v>
      </c>
      <c r="U3628" s="4">
        <f t="shared" si="358"/>
        <v>-0.97991481363069644</v>
      </c>
      <c r="W3628" s="4">
        <f t="shared" si="359"/>
        <v>-0.58853415729623249</v>
      </c>
      <c r="X3628" s="4">
        <f t="shared" si="360"/>
        <v>-1.6618950287448764</v>
      </c>
      <c r="Y3628" s="3">
        <f t="shared" si="357"/>
        <v>-70.978328321870777</v>
      </c>
      <c r="AA3628" s="3"/>
    </row>
    <row r="3629" spans="19:27" x14ac:dyDescent="0.25">
      <c r="S3629" s="4">
        <v>1.6109821556557098</v>
      </c>
      <c r="T3629" s="4">
        <v>-0.47582770881399455</v>
      </c>
      <c r="U3629" s="4">
        <f t="shared" si="358"/>
        <v>0.6049058389178481</v>
      </c>
      <c r="W3629" s="4">
        <f t="shared" si="359"/>
        <v>2.7677209583658198</v>
      </c>
      <c r="X3629" s="4">
        <f t="shared" si="360"/>
        <v>1.1322955612544501</v>
      </c>
      <c r="Y3629" s="3">
        <f t="shared" si="357"/>
        <v>-310.80182934982895</v>
      </c>
      <c r="AA3629" s="3"/>
    </row>
    <row r="3630" spans="19:27" x14ac:dyDescent="0.25">
      <c r="S3630" s="4">
        <v>-0.71177812779163518</v>
      </c>
      <c r="T3630" s="4">
        <v>6.6310117165699456E-2</v>
      </c>
      <c r="U3630" s="4">
        <f t="shared" si="358"/>
        <v>-0.38135232713866946</v>
      </c>
      <c r="W3630" s="4">
        <f t="shared" si="359"/>
        <v>-1.1820324234745327</v>
      </c>
      <c r="X3630" s="4">
        <f t="shared" si="360"/>
        <v>-0.60657204024577838</v>
      </c>
      <c r="Y3630" s="3">
        <f t="shared" si="357"/>
        <v>132.3991584170285</v>
      </c>
      <c r="AA3630" s="3"/>
    </row>
    <row r="3631" spans="19:27" x14ac:dyDescent="0.25">
      <c r="S3631" s="4">
        <v>-1.0058040731937601</v>
      </c>
      <c r="T3631" s="4">
        <v>-1.7952396312940855</v>
      </c>
      <c r="U3631" s="4">
        <f t="shared" si="358"/>
        <v>-2.0362327321828868</v>
      </c>
      <c r="W3631" s="4">
        <f t="shared" si="359"/>
        <v>-1.6820108243783278</v>
      </c>
      <c r="X3631" s="4">
        <f t="shared" si="360"/>
        <v>-3.5242846835741615</v>
      </c>
      <c r="Y3631" s="3">
        <f t="shared" si="357"/>
        <v>-75.505476593715684</v>
      </c>
      <c r="AA3631" s="3"/>
    </row>
    <row r="3632" spans="19:27" x14ac:dyDescent="0.25">
      <c r="S3632" s="4">
        <v>-0.17791425362824026</v>
      </c>
      <c r="T3632" s="4">
        <v>-0.30977848420399418</v>
      </c>
      <c r="U3632" s="4">
        <f t="shared" si="358"/>
        <v>-0.3540194306762407</v>
      </c>
      <c r="W3632" s="4">
        <f t="shared" si="359"/>
        <v>-0.27421999984822598</v>
      </c>
      <c r="X3632" s="4">
        <f t="shared" si="360"/>
        <v>-0.55838152608890601</v>
      </c>
      <c r="Y3632" s="3">
        <f t="shared" si="357"/>
        <v>-11.699592398755613</v>
      </c>
      <c r="AA3632" s="3"/>
    </row>
    <row r="3633" spans="19:27" x14ac:dyDescent="0.25">
      <c r="S3633" s="4">
        <v>1.4115010787855087</v>
      </c>
      <c r="T3633" s="4">
        <v>-0.43593857564196326</v>
      </c>
      <c r="U3633" s="4">
        <f t="shared" si="358"/>
        <v>0.51491752117316403</v>
      </c>
      <c r="W3633" s="4">
        <f t="shared" si="359"/>
        <v>2.4285120164891909</v>
      </c>
      <c r="X3633" s="4">
        <f t="shared" si="360"/>
        <v>0.97363753881656823</v>
      </c>
      <c r="Y3633" s="3">
        <f t="shared" si="357"/>
        <v>-276.7657365645282</v>
      </c>
      <c r="AA3633" s="3"/>
    </row>
    <row r="3634" spans="19:27" x14ac:dyDescent="0.25">
      <c r="S3634" s="4">
        <v>-0.93390485794499778</v>
      </c>
      <c r="T3634" s="4">
        <v>0.21646779577424224</v>
      </c>
      <c r="U3634" s="4">
        <f t="shared" si="358"/>
        <v>-0.39773694448364372</v>
      </c>
      <c r="W3634" s="4">
        <f t="shared" si="359"/>
        <v>-1.5597493191320833</v>
      </c>
      <c r="X3634" s="4">
        <f t="shared" si="360"/>
        <v>-0.63545968979302858</v>
      </c>
      <c r="Y3634" s="3">
        <f t="shared" si="357"/>
        <v>192.74664746878716</v>
      </c>
      <c r="AA3634" s="3"/>
    </row>
    <row r="3635" spans="19:27" x14ac:dyDescent="0.25">
      <c r="S3635" s="4">
        <v>-0.7484565933230457</v>
      </c>
      <c r="T3635" s="4">
        <v>-1.0590451849829932</v>
      </c>
      <c r="U3635" s="4">
        <f t="shared" si="358"/>
        <v>-1.2957725045759438</v>
      </c>
      <c r="W3635" s="4">
        <f t="shared" si="359"/>
        <v>-1.2444025674389336</v>
      </c>
      <c r="X3635" s="4">
        <f t="shared" si="360"/>
        <v>-2.218782387827984</v>
      </c>
      <c r="Y3635" s="3">
        <f t="shared" si="357"/>
        <v>-18.431968835778662</v>
      </c>
      <c r="AA3635" s="3"/>
    </row>
    <row r="3636" spans="19:27" x14ac:dyDescent="0.25">
      <c r="S3636" s="4">
        <v>-1.0254369040411853</v>
      </c>
      <c r="T3636" s="4">
        <v>-1.0606104144054609</v>
      </c>
      <c r="U3636" s="4">
        <f t="shared" si="358"/>
        <v>-1.4658666268047533</v>
      </c>
      <c r="W3636" s="4">
        <f t="shared" si="359"/>
        <v>-1.7153956039388034</v>
      </c>
      <c r="X3636" s="4">
        <f t="shared" si="360"/>
        <v>-2.5186746153690915</v>
      </c>
      <c r="Y3636" s="3">
        <f t="shared" si="357"/>
        <v>30.702652020732785</v>
      </c>
      <c r="AA3636" s="3"/>
    </row>
    <row r="3637" spans="19:27" x14ac:dyDescent="0.25">
      <c r="S3637" s="4">
        <v>-6.6986918369483367E-2</v>
      </c>
      <c r="T3637" s="4">
        <v>2.0852369004223839</v>
      </c>
      <c r="U3637" s="4">
        <f t="shared" si="358"/>
        <v>1.6121139285231387</v>
      </c>
      <c r="W3637" s="4">
        <f t="shared" si="359"/>
        <v>-8.5592864840324606E-2</v>
      </c>
      <c r="X3637" s="4">
        <f t="shared" si="360"/>
        <v>2.9080998843622949</v>
      </c>
      <c r="Y3637" s="3">
        <f t="shared" si="357"/>
        <v>304.54522745218947</v>
      </c>
      <c r="AA3637" s="3"/>
    </row>
    <row r="3638" spans="19:27" x14ac:dyDescent="0.25">
      <c r="S3638" s="4">
        <v>1.5411047665646882</v>
      </c>
      <c r="T3638" s="4">
        <v>-0.61745567614131414</v>
      </c>
      <c r="U3638" s="4">
        <f t="shared" si="358"/>
        <v>0.4500396640748896</v>
      </c>
      <c r="W3638" s="4">
        <f t="shared" si="359"/>
        <v>2.6488974810387442</v>
      </c>
      <c r="X3638" s="4">
        <f t="shared" si="360"/>
        <v>0.85925166334744063</v>
      </c>
      <c r="Y3638" s="3">
        <f t="shared" si="357"/>
        <v>-320.69044374461782</v>
      </c>
      <c r="AA3638" s="3"/>
    </row>
    <row r="3639" spans="19:27" x14ac:dyDescent="0.25">
      <c r="S3639" s="4">
        <v>8.7379185155714335E-3</v>
      </c>
      <c r="T3639" s="4">
        <v>-2.7379885550077003</v>
      </c>
      <c r="U3639" s="4">
        <f t="shared" si="358"/>
        <v>-2.1650548454167073</v>
      </c>
      <c r="W3639" s="4">
        <f t="shared" si="359"/>
        <v>4.3173944506075361E-2</v>
      </c>
      <c r="X3639" s="4">
        <f t="shared" si="360"/>
        <v>-3.7514104066034069</v>
      </c>
      <c r="Y3639" s="3">
        <f t="shared" si="357"/>
        <v>-382.05486391533668</v>
      </c>
      <c r="AA3639" s="3"/>
    </row>
    <row r="3640" spans="19:27" x14ac:dyDescent="0.25">
      <c r="S3640" s="4">
        <v>-0.91372686594257091</v>
      </c>
      <c r="T3640" s="4">
        <v>-0.53737052410980157</v>
      </c>
      <c r="U3640" s="4">
        <f t="shared" si="358"/>
        <v>-0.98299761009359299</v>
      </c>
      <c r="W3640" s="4">
        <f t="shared" si="359"/>
        <v>-1.5254375166106242</v>
      </c>
      <c r="X3640" s="4">
        <f t="shared" si="360"/>
        <v>-1.6673302941508747</v>
      </c>
      <c r="Y3640" s="3">
        <f t="shared" si="357"/>
        <v>83.784058624001318</v>
      </c>
      <c r="AA3640" s="3"/>
    </row>
    <row r="3641" spans="19:27" x14ac:dyDescent="0.25">
      <c r="S3641" s="4">
        <v>1.2403441971508831</v>
      </c>
      <c r="T3641" s="4">
        <v>0.66491264114309789</v>
      </c>
      <c r="U3641" s="4">
        <f t="shared" si="358"/>
        <v>1.2832124408870986</v>
      </c>
      <c r="W3641" s="4">
        <f t="shared" si="359"/>
        <v>2.1374671433358241</v>
      </c>
      <c r="X3641" s="4">
        <f t="shared" si="360"/>
        <v>2.3282150624983569</v>
      </c>
      <c r="Y3641" s="3">
        <f t="shared" si="357"/>
        <v>-98.037318035399494</v>
      </c>
      <c r="AA3641" s="3"/>
    </row>
    <row r="3642" spans="19:27" x14ac:dyDescent="0.25">
      <c r="S3642" s="4">
        <v>-1.2116914029619479</v>
      </c>
      <c r="T3642" s="4">
        <v>0.47668378043983695</v>
      </c>
      <c r="U3642" s="4">
        <f t="shared" si="358"/>
        <v>-0.36081068601362704</v>
      </c>
      <c r="W3642" s="4">
        <f t="shared" si="359"/>
        <v>-2.0321133221802339</v>
      </c>
      <c r="X3642" s="4">
        <f t="shared" si="360"/>
        <v>-0.57035515965273687</v>
      </c>
      <c r="Y3642" s="3">
        <f t="shared" si="357"/>
        <v>279.40300342424416</v>
      </c>
      <c r="AA3642" s="3"/>
    </row>
    <row r="3643" spans="19:27" x14ac:dyDescent="0.25">
      <c r="S3643" s="4">
        <v>-0.75151554122799458</v>
      </c>
      <c r="T3643" s="4">
        <v>-1.5077429544244558</v>
      </c>
      <c r="U3643" s="4">
        <f t="shared" si="358"/>
        <v>-1.6533164482219083</v>
      </c>
      <c r="W3643" s="4">
        <f t="shared" si="359"/>
        <v>-1.2496041760244365</v>
      </c>
      <c r="X3643" s="4">
        <f t="shared" si="360"/>
        <v>-2.8491666027486069</v>
      </c>
      <c r="Y3643" s="3">
        <f t="shared" si="357"/>
        <v>-80.602955892554291</v>
      </c>
      <c r="AA3643" s="3"/>
    </row>
    <row r="3644" spans="19:27" x14ac:dyDescent="0.25">
      <c r="S3644" s="4">
        <v>8.0089382187553543E-2</v>
      </c>
      <c r="T3644" s="4">
        <v>0.37738289673298259</v>
      </c>
      <c r="U3644" s="4">
        <f t="shared" si="358"/>
        <v>0.34797268464866615</v>
      </c>
      <c r="W3644" s="4">
        <f t="shared" si="359"/>
        <v>0.16450402189116123</v>
      </c>
      <c r="X3644" s="4">
        <f t="shared" si="360"/>
        <v>0.67929780358180214</v>
      </c>
      <c r="Y3644" s="3">
        <f t="shared" si="357"/>
        <v>41.637848664926423</v>
      </c>
      <c r="AA3644" s="3"/>
    </row>
    <row r="3645" spans="19:27" x14ac:dyDescent="0.25">
      <c r="S3645" s="4">
        <v>-0.7798556754962247</v>
      </c>
      <c r="T3645" s="4">
        <v>0.37082561678860926</v>
      </c>
      <c r="U3645" s="4">
        <f t="shared" si="358"/>
        <v>-0.18146691296110984</v>
      </c>
      <c r="W3645" s="4">
        <f t="shared" si="359"/>
        <v>-1.2977953483832216</v>
      </c>
      <c r="X3645" s="4">
        <f t="shared" si="360"/>
        <v>-0.25415491186288885</v>
      </c>
      <c r="Y3645" s="3">
        <f t="shared" si="357"/>
        <v>186.94149015959374</v>
      </c>
      <c r="AA3645" s="3"/>
    </row>
    <row r="3646" spans="19:27" x14ac:dyDescent="0.25">
      <c r="S3646" s="4">
        <v>0.12931878731620336</v>
      </c>
      <c r="T3646" s="4">
        <v>1.7715601217832342</v>
      </c>
      <c r="U3646" s="4">
        <f t="shared" si="358"/>
        <v>1.4831371876992394</v>
      </c>
      <c r="W3646" s="4">
        <f t="shared" si="359"/>
        <v>0.24821649570024823</v>
      </c>
      <c r="X3646" s="4">
        <f t="shared" si="360"/>
        <v>2.6807015380829311</v>
      </c>
      <c r="Y3646" s="3">
        <f t="shared" si="357"/>
        <v>228.45243656657112</v>
      </c>
      <c r="AA3646" s="3"/>
    </row>
    <row r="3647" spans="19:27" x14ac:dyDescent="0.25">
      <c r="S3647" s="4">
        <v>-0.15126917804575926</v>
      </c>
      <c r="T3647" s="4">
        <v>0.3052310121202878</v>
      </c>
      <c r="U3647" s="4">
        <f t="shared" si="358"/>
        <v>0.14973712120826221</v>
      </c>
      <c r="W3647" s="4">
        <f t="shared" si="359"/>
        <v>-0.22891120145810495</v>
      </c>
      <c r="X3647" s="4">
        <f t="shared" si="360"/>
        <v>0.32978952005605822</v>
      </c>
      <c r="Y3647" s="3">
        <f t="shared" si="357"/>
        <v>69.797702266403576</v>
      </c>
      <c r="AA3647" s="3"/>
    </row>
    <row r="3648" spans="19:27" x14ac:dyDescent="0.25">
      <c r="S3648" s="4">
        <v>0.32344156849715122</v>
      </c>
      <c r="T3648" s="4">
        <v>-1.2358146170908393</v>
      </c>
      <c r="U3648" s="4">
        <f t="shared" si="358"/>
        <v>-0.78244318712032068</v>
      </c>
      <c r="W3648" s="4">
        <f t="shared" si="359"/>
        <v>0.57831388755152613</v>
      </c>
      <c r="X3648" s="4">
        <f t="shared" si="360"/>
        <v>-1.3137336391896302</v>
      </c>
      <c r="Y3648" s="3">
        <f t="shared" si="357"/>
        <v>-223.1864638906568</v>
      </c>
      <c r="AA3648" s="3"/>
    </row>
    <row r="3649" spans="19:27" x14ac:dyDescent="0.25">
      <c r="S3649" s="4">
        <v>0.79386084791668854</v>
      </c>
      <c r="T3649" s="4">
        <v>-0.29844151729957602</v>
      </c>
      <c r="U3649" s="4">
        <f t="shared" si="358"/>
        <v>0.2473830765130724</v>
      </c>
      <c r="W3649" s="4">
        <f t="shared" si="359"/>
        <v>1.378241522362206</v>
      </c>
      <c r="X3649" s="4">
        <f t="shared" si="360"/>
        <v>0.50194869089058769</v>
      </c>
      <c r="Y3649" s="3">
        <f t="shared" si="357"/>
        <v>-165.79529413821638</v>
      </c>
      <c r="AA3649" s="3"/>
    </row>
    <row r="3650" spans="19:27" x14ac:dyDescent="0.25">
      <c r="S3650" s="4">
        <v>0.44685791678956199</v>
      </c>
      <c r="T3650" s="4">
        <v>0.93180031914096118</v>
      </c>
      <c r="U3650" s="4">
        <f t="shared" si="358"/>
        <v>1.0110452325316996</v>
      </c>
      <c r="W3650" s="4">
        <f t="shared" si="359"/>
        <v>0.78817804896161447</v>
      </c>
      <c r="X3650" s="4">
        <f t="shared" si="360"/>
        <v>1.848358208494022</v>
      </c>
      <c r="Y3650" s="3">
        <f t="shared" ref="Y3650:Y3713" si="361">(B$4*EXP(-B$8*B$7)*NORMSDIST((LN(B$4/(B$5+W3650))-B$8*B$7+B$9*B$7+0.5*B$6*B$6*B$7)/(B$6*SQRT(B$7)))-(B$5+W3650)*EXP(-B$9*B$7)*NORMSDIST((LN(B$4/(B$5+W3650))-B$8*B$7+B$9*B$7-0.5*B$6*B$6*B$7)/(B$6*SQRT(B$7))))*400+100*X3650-400*$B$13</f>
        <v>60.129115132595416</v>
      </c>
      <c r="AA3650" s="3"/>
    </row>
    <row r="3651" spans="19:27" x14ac:dyDescent="0.25">
      <c r="S3651" s="4">
        <v>1.2917632335637481</v>
      </c>
      <c r="T3651" s="4">
        <v>-1.1194314522926279</v>
      </c>
      <c r="U3651" s="4">
        <f t="shared" ref="U3651:U3714" si="362">$B$19*S3651+SQRT(1-$B$19^2)*T3651</f>
        <v>-9.9876689170392052E-2</v>
      </c>
      <c r="W3651" s="4">
        <f t="shared" ref="W3651:W3714" si="363">S3651*SQRT($B$16)+$B$20</f>
        <v>2.2249029904225774</v>
      </c>
      <c r="X3651" s="4">
        <f t="shared" ref="X3651:X3714" si="364">U3651*SQRT($C$17)+$C$20</f>
        <v>-0.11030353335810278</v>
      </c>
      <c r="Y3651" s="3">
        <f t="shared" si="361"/>
        <v>-354.93281458477759</v>
      </c>
      <c r="AA3651" s="3"/>
    </row>
    <row r="3652" spans="19:27" x14ac:dyDescent="0.25">
      <c r="S3652" s="4">
        <v>0.22256902169241244</v>
      </c>
      <c r="T3652" s="4">
        <v>-2.2108912975998236</v>
      </c>
      <c r="U3652" s="4">
        <f t="shared" si="362"/>
        <v>-1.6168728447996721</v>
      </c>
      <c r="W3652" s="4">
        <f t="shared" si="363"/>
        <v>0.40678448535013095</v>
      </c>
      <c r="X3652" s="4">
        <f t="shared" si="364"/>
        <v>-2.7849130396818165</v>
      </c>
      <c r="Y3652" s="3">
        <f t="shared" si="361"/>
        <v>-343.25181806949604</v>
      </c>
      <c r="AA3652" s="3"/>
    </row>
    <row r="3653" spans="19:27" x14ac:dyDescent="0.25">
      <c r="S3653" s="4">
        <v>0.15103867027030218</v>
      </c>
      <c r="T3653" s="4">
        <v>-0.31239118062124066</v>
      </c>
      <c r="U3653" s="4">
        <f t="shared" si="362"/>
        <v>-0.15555345231620551</v>
      </c>
      <c r="W3653" s="4">
        <f t="shared" si="363"/>
        <v>0.28515021708444771</v>
      </c>
      <c r="X3653" s="4">
        <f t="shared" si="364"/>
        <v>-0.20846699899282892</v>
      </c>
      <c r="Y3653" s="3">
        <f t="shared" si="361"/>
        <v>-66.332242284272525</v>
      </c>
      <c r="AA3653" s="3"/>
    </row>
    <row r="3654" spans="19:27" x14ac:dyDescent="0.25">
      <c r="S3654" s="4">
        <v>0.70734251380944424</v>
      </c>
      <c r="T3654" s="4">
        <v>-0.23738016701542206</v>
      </c>
      <c r="U3654" s="4">
        <f t="shared" si="362"/>
        <v>0.24304241469285931</v>
      </c>
      <c r="W3654" s="4">
        <f t="shared" si="363"/>
        <v>1.2311208379047871</v>
      </c>
      <c r="X3654" s="4">
        <f t="shared" si="364"/>
        <v>0.49429568839285731</v>
      </c>
      <c r="Y3654" s="3">
        <f t="shared" si="361"/>
        <v>-143.96614536115158</v>
      </c>
      <c r="AA3654" s="3"/>
    </row>
    <row r="3655" spans="19:27" x14ac:dyDescent="0.25">
      <c r="S3655" s="4">
        <v>0.64381666717313546</v>
      </c>
      <c r="T3655" s="4">
        <v>0.30751020915389099</v>
      </c>
      <c r="U3655" s="4">
        <f t="shared" si="362"/>
        <v>0.636245893590488</v>
      </c>
      <c r="W3655" s="4">
        <f t="shared" si="363"/>
        <v>1.1230978837609185</v>
      </c>
      <c r="X3655" s="4">
        <f t="shared" si="364"/>
        <v>1.1875510791047088</v>
      </c>
      <c r="Y3655" s="3">
        <f t="shared" si="361"/>
        <v>-57.980927574376892</v>
      </c>
      <c r="AA3655" s="3"/>
    </row>
    <row r="3656" spans="19:27" x14ac:dyDescent="0.25">
      <c r="S3656" s="4">
        <v>8.7607098862475918E-2</v>
      </c>
      <c r="T3656" s="4">
        <v>0.29545306912576802</v>
      </c>
      <c r="U3656" s="4">
        <f t="shared" si="362"/>
        <v>0.28761053201054188</v>
      </c>
      <c r="W3656" s="4">
        <f t="shared" si="363"/>
        <v>0.17728757388836644</v>
      </c>
      <c r="X3656" s="4">
        <f t="shared" si="364"/>
        <v>0.57287354754858921</v>
      </c>
      <c r="Y3656" s="3">
        <f t="shared" si="361"/>
        <v>28.958134349218199</v>
      </c>
      <c r="AA3656" s="3"/>
    </row>
    <row r="3657" spans="19:27" x14ac:dyDescent="0.25">
      <c r="S3657" s="4">
        <v>-1.3075118782667565</v>
      </c>
      <c r="T3657" s="4">
        <v>-1.3472102738589946</v>
      </c>
      <c r="U3657" s="4">
        <f t="shared" si="362"/>
        <v>-1.8650112459261452</v>
      </c>
      <c r="W3657" s="4">
        <f t="shared" si="363"/>
        <v>-2.1950518953432865</v>
      </c>
      <c r="X3657" s="4">
        <f t="shared" si="364"/>
        <v>-3.2224048052832441</v>
      </c>
      <c r="Y3657" s="3">
        <f t="shared" si="361"/>
        <v>42.119460219379562</v>
      </c>
      <c r="AA3657" s="3"/>
    </row>
    <row r="3658" spans="19:27" x14ac:dyDescent="0.25">
      <c r="S3658" s="4">
        <v>-1.1640723071077328</v>
      </c>
      <c r="T3658" s="4">
        <v>-3.491791855561148E-2</v>
      </c>
      <c r="U3658" s="4">
        <f t="shared" si="362"/>
        <v>-0.73732360638032435</v>
      </c>
      <c r="W3658" s="4">
        <f t="shared" si="363"/>
        <v>-1.9511391096320414</v>
      </c>
      <c r="X3658" s="4">
        <f t="shared" si="364"/>
        <v>-1.2341834972062609</v>
      </c>
      <c r="Y3658" s="3">
        <f t="shared" si="361"/>
        <v>199.19699120484347</v>
      </c>
      <c r="AA3658" s="3"/>
    </row>
    <row r="3659" spans="19:27" x14ac:dyDescent="0.25">
      <c r="S3659" s="4">
        <v>-0.25370377885266393</v>
      </c>
      <c r="T3659" s="4">
        <v>-0.34801273850245013</v>
      </c>
      <c r="U3659" s="4">
        <f t="shared" si="362"/>
        <v>-0.43053040449030872</v>
      </c>
      <c r="W3659" s="4">
        <f t="shared" si="363"/>
        <v>-0.40309680891737332</v>
      </c>
      <c r="X3659" s="4">
        <f t="shared" si="364"/>
        <v>-0.69327770044097847</v>
      </c>
      <c r="Y3659" s="3">
        <f t="shared" si="361"/>
        <v>-4.3103456486737741</v>
      </c>
      <c r="AA3659" s="3"/>
    </row>
    <row r="3660" spans="19:27" x14ac:dyDescent="0.25">
      <c r="S3660" s="4">
        <v>0.48576079236746972</v>
      </c>
      <c r="T3660" s="4">
        <v>-1.514227414578752</v>
      </c>
      <c r="U3660" s="4">
        <f t="shared" si="362"/>
        <v>-0.90418536914563452</v>
      </c>
      <c r="W3660" s="4">
        <f t="shared" si="363"/>
        <v>0.8543307059844496</v>
      </c>
      <c r="X3660" s="4">
        <f t="shared" si="364"/>
        <v>-1.528376765447538</v>
      </c>
      <c r="Y3660" s="3">
        <f t="shared" si="361"/>
        <v>-287.86636524158575</v>
      </c>
      <c r="AA3660" s="3"/>
    </row>
    <row r="3661" spans="19:27" x14ac:dyDescent="0.25">
      <c r="S3661" s="4">
        <v>-0.890951938058965</v>
      </c>
      <c r="T3661" s="4">
        <v>-0.15190051349541189</v>
      </c>
      <c r="U3661" s="4">
        <f t="shared" si="362"/>
        <v>-0.66355450495025581</v>
      </c>
      <c r="W3661" s="4">
        <f t="shared" si="363"/>
        <v>-1.4867097369639297</v>
      </c>
      <c r="X3661" s="4">
        <f t="shared" si="364"/>
        <v>-1.1041215064585164</v>
      </c>
      <c r="Y3661" s="3">
        <f t="shared" si="361"/>
        <v>133.59357903362297</v>
      </c>
      <c r="AA3661" s="3"/>
    </row>
    <row r="3662" spans="19:27" x14ac:dyDescent="0.25">
      <c r="S3662" s="4">
        <v>0.64228664856860396</v>
      </c>
      <c r="T3662" s="4">
        <v>1.5115260315205079</v>
      </c>
      <c r="U3662" s="4">
        <f t="shared" si="362"/>
        <v>1.5897268931788</v>
      </c>
      <c r="W3662" s="4">
        <f t="shared" si="363"/>
        <v>1.1204961533109048</v>
      </c>
      <c r="X3662" s="4">
        <f t="shared" si="364"/>
        <v>2.8686293970257366</v>
      </c>
      <c r="Y3662" s="3">
        <f t="shared" si="361"/>
        <v>110.52888186851624</v>
      </c>
      <c r="AA3662" s="3"/>
    </row>
    <row r="3663" spans="19:27" x14ac:dyDescent="0.25">
      <c r="S3663" s="4">
        <v>2.5880984142063492</v>
      </c>
      <c r="T3663" s="4">
        <v>-0.89439506369941801</v>
      </c>
      <c r="U3663" s="4">
        <f t="shared" si="362"/>
        <v>0.86878270979844441</v>
      </c>
      <c r="W3663" s="4">
        <f t="shared" si="363"/>
        <v>4.42926488701164</v>
      </c>
      <c r="X3663" s="4">
        <f t="shared" si="364"/>
        <v>1.5975357563183801</v>
      </c>
      <c r="Y3663" s="3">
        <f t="shared" si="361"/>
        <v>-500.59799283382199</v>
      </c>
      <c r="AA3663" s="3"/>
    </row>
    <row r="3664" spans="19:27" x14ac:dyDescent="0.25">
      <c r="S3664" s="4">
        <v>-0.74962055924742388</v>
      </c>
      <c r="T3664" s="4">
        <v>-0.63152250718305614</v>
      </c>
      <c r="U3664" s="4">
        <f t="shared" si="362"/>
        <v>-0.95758826956592569</v>
      </c>
      <c r="W3664" s="4">
        <f t="shared" si="363"/>
        <v>-1.2463818411413994</v>
      </c>
      <c r="X3664" s="4">
        <f t="shared" si="364"/>
        <v>-1.6225311933274951</v>
      </c>
      <c r="Y3664" s="3">
        <f t="shared" si="361"/>
        <v>41.523202880156532</v>
      </c>
      <c r="AA3664" s="3"/>
    </row>
    <row r="3665" spans="19:27" x14ac:dyDescent="0.25">
      <c r="S3665" s="4">
        <v>0.65831719868797234</v>
      </c>
      <c r="T3665" s="4">
        <v>-1.3466022024990127</v>
      </c>
      <c r="U3665" s="4">
        <f t="shared" si="362"/>
        <v>-0.66611596601075918</v>
      </c>
      <c r="W3665" s="4">
        <f t="shared" si="363"/>
        <v>1.1477554103241876</v>
      </c>
      <c r="X3665" s="4">
        <f t="shared" si="364"/>
        <v>-1.108637607621382</v>
      </c>
      <c r="Y3665" s="3">
        <f t="shared" si="361"/>
        <v>-291.40777685520652</v>
      </c>
      <c r="AA3665" s="3"/>
    </row>
    <row r="3666" spans="19:27" x14ac:dyDescent="0.25">
      <c r="S3666" s="4">
        <v>0.31306236224443473</v>
      </c>
      <c r="T3666" s="4">
        <v>-0.48349355850140768</v>
      </c>
      <c r="U3666" s="4">
        <f t="shared" si="362"/>
        <v>-0.19241168400716407</v>
      </c>
      <c r="W3666" s="4">
        <f t="shared" si="363"/>
        <v>0.5606644963123053</v>
      </c>
      <c r="X3666" s="4">
        <f t="shared" si="364"/>
        <v>-0.27345159140666153</v>
      </c>
      <c r="Y3666" s="3">
        <f t="shared" si="361"/>
        <v>-116.38166497185193</v>
      </c>
      <c r="AA3666" s="3"/>
    </row>
    <row r="3667" spans="19:27" x14ac:dyDescent="0.25">
      <c r="S3667" s="4">
        <v>-0.60386561716867582</v>
      </c>
      <c r="T3667" s="4">
        <v>-0.83516341133886307</v>
      </c>
      <c r="U3667" s="4">
        <f t="shared" si="362"/>
        <v>-1.0301573242658308</v>
      </c>
      <c r="W3667" s="4">
        <f t="shared" si="363"/>
        <v>-0.99853186734166854</v>
      </c>
      <c r="X3667" s="4">
        <f t="shared" si="364"/>
        <v>-1.7504773867605152</v>
      </c>
      <c r="Y3667" s="3">
        <f t="shared" si="361"/>
        <v>-12.440986068382244</v>
      </c>
      <c r="AA3667" s="3"/>
    </row>
    <row r="3668" spans="19:27" x14ac:dyDescent="0.25">
      <c r="S3668" s="4">
        <v>-1.3646105515507161</v>
      </c>
      <c r="T3668" s="4">
        <v>-0.3977181530580664</v>
      </c>
      <c r="U3668" s="4">
        <f t="shared" si="362"/>
        <v>-1.1471650449322</v>
      </c>
      <c r="W3668" s="4">
        <f t="shared" si="363"/>
        <v>-2.2921457192342309</v>
      </c>
      <c r="X3668" s="4">
        <f t="shared" si="364"/>
        <v>-1.9567732042194084</v>
      </c>
      <c r="Y3668" s="3">
        <f t="shared" si="361"/>
        <v>185.38824719265449</v>
      </c>
      <c r="AA3668" s="3"/>
    </row>
    <row r="3669" spans="19:27" x14ac:dyDescent="0.25">
      <c r="S3669" s="4">
        <v>-0.58407394137418334</v>
      </c>
      <c r="T3669" s="4">
        <v>-1.1229696921785899</v>
      </c>
      <c r="U3669" s="4">
        <f t="shared" si="362"/>
        <v>-1.2462336189349241</v>
      </c>
      <c r="W3669" s="4">
        <f t="shared" si="363"/>
        <v>-0.96487697882017021</v>
      </c>
      <c r="X3669" s="4">
        <f t="shared" si="364"/>
        <v>-2.1314405880637044</v>
      </c>
      <c r="Y3669" s="3">
        <f t="shared" si="361"/>
        <v>-56.10270121688427</v>
      </c>
      <c r="AA3669" s="3"/>
    </row>
    <row r="3670" spans="19:27" x14ac:dyDescent="0.25">
      <c r="S3670" s="4">
        <v>4.7480637727332622E-4</v>
      </c>
      <c r="T3670" s="4">
        <v>-1.3846942919857466</v>
      </c>
      <c r="U3670" s="4">
        <f t="shared" si="362"/>
        <v>-1.0973466613671192</v>
      </c>
      <c r="W3670" s="4">
        <f t="shared" si="363"/>
        <v>2.9122879768421872E-2</v>
      </c>
      <c r="X3670" s="4">
        <f t="shared" si="364"/>
        <v>-1.8689386228472669</v>
      </c>
      <c r="Y3670" s="3">
        <f t="shared" si="361"/>
        <v>-191.55862255835382</v>
      </c>
      <c r="AA3670" s="3"/>
    </row>
    <row r="3671" spans="19:27" x14ac:dyDescent="0.25">
      <c r="S3671" s="4">
        <v>1.4754756254445671</v>
      </c>
      <c r="T3671" s="4">
        <v>9.436019756971889E-2</v>
      </c>
      <c r="U3671" s="4">
        <f t="shared" si="362"/>
        <v>0.9742814373856552</v>
      </c>
      <c r="W3671" s="4">
        <f t="shared" si="363"/>
        <v>2.5372979656114554</v>
      </c>
      <c r="X3671" s="4">
        <f t="shared" si="364"/>
        <v>1.7835401167531373</v>
      </c>
      <c r="Y3671" s="3">
        <f t="shared" si="361"/>
        <v>-211.84118624483335</v>
      </c>
      <c r="AA3671" s="3"/>
    </row>
    <row r="3672" spans="19:27" x14ac:dyDescent="0.25">
      <c r="S3672" s="4">
        <v>-1.9285408456917705</v>
      </c>
      <c r="T3672" s="4">
        <v>-0.23176490155249146</v>
      </c>
      <c r="U3672" s="4">
        <f t="shared" si="362"/>
        <v>-1.3593997165849556</v>
      </c>
      <c r="W3672" s="4">
        <f t="shared" si="363"/>
        <v>-3.2510847893909069</v>
      </c>
      <c r="X3672" s="4">
        <f t="shared" si="364"/>
        <v>-2.3309632562294493</v>
      </c>
      <c r="Y3672" s="3">
        <f t="shared" si="361"/>
        <v>315.68239160543089</v>
      </c>
      <c r="AA3672" s="3"/>
    </row>
    <row r="3673" spans="19:27" x14ac:dyDescent="0.25">
      <c r="S3673" s="4">
        <v>-0.98012513160264569</v>
      </c>
      <c r="T3673" s="4">
        <v>1.542741964873251</v>
      </c>
      <c r="U3673" s="4">
        <f t="shared" si="362"/>
        <v>0.62541309420541258</v>
      </c>
      <c r="W3673" s="4">
        <f t="shared" si="363"/>
        <v>-1.6383448950465875</v>
      </c>
      <c r="X3673" s="4">
        <f t="shared" si="364"/>
        <v>1.1684518163228585</v>
      </c>
      <c r="Y3673" s="3">
        <f t="shared" si="361"/>
        <v>386.3908960154622</v>
      </c>
      <c r="AA3673" s="3"/>
    </row>
    <row r="3674" spans="19:27" x14ac:dyDescent="0.25">
      <c r="S3674" s="4">
        <v>0.53505160512593131</v>
      </c>
      <c r="T3674" s="4">
        <v>-0.61596269906097778</v>
      </c>
      <c r="U3674" s="4">
        <f t="shared" si="362"/>
        <v>-0.16208931903258261</v>
      </c>
      <c r="W3674" s="4">
        <f t="shared" si="363"/>
        <v>0.9381476008116022</v>
      </c>
      <c r="X3674" s="4">
        <f t="shared" si="364"/>
        <v>-0.21999035795904562</v>
      </c>
      <c r="Y3674" s="3">
        <f t="shared" si="361"/>
        <v>-170.07387541490971</v>
      </c>
      <c r="AA3674" s="3"/>
    </row>
    <row r="3675" spans="19:27" x14ac:dyDescent="0.25">
      <c r="S3675" s="4">
        <v>0.2540254576899228</v>
      </c>
      <c r="T3675" s="4">
        <v>0.32315841314051058</v>
      </c>
      <c r="U3675" s="4">
        <f t="shared" si="362"/>
        <v>0.41102468173621165</v>
      </c>
      <c r="W3675" s="4">
        <f t="shared" si="363"/>
        <v>0.46027479399162863</v>
      </c>
      <c r="X3675" s="4">
        <f t="shared" si="364"/>
        <v>0.79046451298792408</v>
      </c>
      <c r="Y3675" s="3">
        <f t="shared" si="361"/>
        <v>5.8335735134178321</v>
      </c>
      <c r="AA3675" s="3"/>
    </row>
    <row r="3676" spans="19:27" x14ac:dyDescent="0.25">
      <c r="S3676" s="4">
        <v>-1.9216294780582315</v>
      </c>
      <c r="T3676" s="4">
        <v>1.9155100183153795</v>
      </c>
      <c r="U3676" s="4">
        <f t="shared" si="362"/>
        <v>0.34694129877860069</v>
      </c>
      <c r="W3676" s="4">
        <f t="shared" si="363"/>
        <v>-3.2393323077085538</v>
      </c>
      <c r="X3676" s="4">
        <f t="shared" si="364"/>
        <v>0.6774793715162174</v>
      </c>
      <c r="Y3676" s="3">
        <f t="shared" si="361"/>
        <v>614.44115451151811</v>
      </c>
      <c r="AA3676" s="3"/>
    </row>
    <row r="3677" spans="19:27" x14ac:dyDescent="0.25">
      <c r="S3677" s="4">
        <v>-0.1551995904359425</v>
      </c>
      <c r="T3677" s="4">
        <v>-0.36614669029965496</v>
      </c>
      <c r="U3677" s="4">
        <f t="shared" si="362"/>
        <v>-0.38485469228196612</v>
      </c>
      <c r="W3677" s="4">
        <f t="shared" si="363"/>
        <v>-0.23559469770211389</v>
      </c>
      <c r="X3677" s="4">
        <f t="shared" si="364"/>
        <v>-0.61274704541775404</v>
      </c>
      <c r="Y3677" s="3">
        <f t="shared" si="361"/>
        <v>-23.376879946797089</v>
      </c>
      <c r="AA3677" s="3"/>
    </row>
    <row r="3678" spans="19:27" x14ac:dyDescent="0.25">
      <c r="S3678" s="4">
        <v>-1.6483428754628577</v>
      </c>
      <c r="T3678" s="4">
        <v>0.32805547433279425</v>
      </c>
      <c r="U3678" s="4">
        <f t="shared" si="362"/>
        <v>-0.74481963819332053</v>
      </c>
      <c r="W3678" s="4">
        <f t="shared" si="363"/>
        <v>-2.7746202620855267</v>
      </c>
      <c r="X3678" s="4">
        <f t="shared" si="364"/>
        <v>-1.2473997191936053</v>
      </c>
      <c r="Y3678" s="3">
        <f t="shared" si="361"/>
        <v>340.08832997023001</v>
      </c>
      <c r="AA3678" s="3"/>
    </row>
    <row r="3679" spans="19:27" x14ac:dyDescent="0.25">
      <c r="S3679" s="4">
        <v>-1.4959041438199441</v>
      </c>
      <c r="T3679" s="4">
        <v>-0.71825987979282591</v>
      </c>
      <c r="U3679" s="4">
        <f t="shared" si="362"/>
        <v>-1.4812954167026848</v>
      </c>
      <c r="W3679" s="4">
        <f t="shared" si="363"/>
        <v>-2.5154047932656245</v>
      </c>
      <c r="X3679" s="4">
        <f t="shared" si="364"/>
        <v>-2.5458770495868372</v>
      </c>
      <c r="Y3679" s="3">
        <f t="shared" si="361"/>
        <v>165.08260630994027</v>
      </c>
      <c r="AA3679" s="3"/>
    </row>
    <row r="3680" spans="19:27" x14ac:dyDescent="0.25">
      <c r="S3680" s="4">
        <v>0.16638605386396657</v>
      </c>
      <c r="T3680" s="4">
        <v>1.0914501981844018</v>
      </c>
      <c r="U3680" s="4">
        <f t="shared" si="362"/>
        <v>0.96661651198765486</v>
      </c>
      <c r="W3680" s="4">
        <f t="shared" si="363"/>
        <v>0.31124777897383465</v>
      </c>
      <c r="X3680" s="4">
        <f t="shared" si="364"/>
        <v>1.7700261192003555</v>
      </c>
      <c r="Y3680" s="3">
        <f t="shared" si="361"/>
        <v>127.37506653116543</v>
      </c>
      <c r="AA3680" s="3"/>
    </row>
    <row r="3681" spans="19:27" x14ac:dyDescent="0.25">
      <c r="S3681" s="4">
        <v>0.35776245472472351</v>
      </c>
      <c r="T3681" s="4">
        <v>0.1717924798620844</v>
      </c>
      <c r="U3681" s="4">
        <f t="shared" si="362"/>
        <v>0.35427850244410175</v>
      </c>
      <c r="W3681" s="4">
        <f t="shared" si="363"/>
        <v>0.63667506989614608</v>
      </c>
      <c r="X3681" s="4">
        <f t="shared" si="364"/>
        <v>0.69041556426842765</v>
      </c>
      <c r="Y3681" s="3">
        <f t="shared" si="361"/>
        <v>-31.941541618441988</v>
      </c>
      <c r="AA3681" s="3"/>
    </row>
    <row r="3682" spans="19:27" x14ac:dyDescent="0.25">
      <c r="S3682" s="4">
        <v>0.43731201053214497</v>
      </c>
      <c r="T3682" s="4">
        <v>0.69967650942271353</v>
      </c>
      <c r="U3682" s="4">
        <f t="shared" si="362"/>
        <v>0.82122314372077754</v>
      </c>
      <c r="W3682" s="4">
        <f t="shared" si="363"/>
        <v>0.77194564831672086</v>
      </c>
      <c r="X3682" s="4">
        <f t="shared" si="364"/>
        <v>1.5136836865053276</v>
      </c>
      <c r="Y3682" s="3">
        <f t="shared" si="361"/>
        <v>29.197860649703671</v>
      </c>
      <c r="AA3682" s="3"/>
    </row>
    <row r="3683" spans="19:27" x14ac:dyDescent="0.25">
      <c r="S3683" s="4">
        <v>2.9613852572272375E-2</v>
      </c>
      <c r="T3683" s="4">
        <v>-1.8469925160472642</v>
      </c>
      <c r="U3683" s="4">
        <f t="shared" si="362"/>
        <v>-1.4460429612441072</v>
      </c>
      <c r="W3683" s="4">
        <f t="shared" si="363"/>
        <v>7.8672567298589582E-2</v>
      </c>
      <c r="X3683" s="4">
        <f t="shared" si="364"/>
        <v>-2.4837235944571816</v>
      </c>
      <c r="Y3683" s="3">
        <f t="shared" si="361"/>
        <v>-260.96367371141832</v>
      </c>
      <c r="AA3683" s="3"/>
    </row>
    <row r="3684" spans="19:27" x14ac:dyDescent="0.25">
      <c r="S3684" s="4">
        <v>-1.3896734322006163</v>
      </c>
      <c r="T3684" s="4">
        <v>0.27367371084848036</v>
      </c>
      <c r="U3684" s="4">
        <f t="shared" si="362"/>
        <v>-0.63023696407589735</v>
      </c>
      <c r="W3684" s="4">
        <f t="shared" si="363"/>
        <v>-2.3347640635855837</v>
      </c>
      <c r="X3684" s="4">
        <f t="shared" si="364"/>
        <v>-1.045379491049174</v>
      </c>
      <c r="Y3684" s="3">
        <f t="shared" si="361"/>
        <v>283.87631757213694</v>
      </c>
      <c r="AA3684" s="3"/>
    </row>
    <row r="3685" spans="19:27" x14ac:dyDescent="0.25">
      <c r="S3685" s="4">
        <v>1.2635136060296261</v>
      </c>
      <c r="T3685" s="4">
        <v>1.1271302964693908</v>
      </c>
      <c r="U3685" s="4">
        <f t="shared" si="362"/>
        <v>1.6637332758822219</v>
      </c>
      <c r="W3685" s="4">
        <f t="shared" si="363"/>
        <v>2.1768657208499174</v>
      </c>
      <c r="X3685" s="4">
        <f t="shared" si="364"/>
        <v>2.9991097373830229</v>
      </c>
      <c r="Y3685" s="3">
        <f t="shared" si="361"/>
        <v>-36.830021733491776</v>
      </c>
      <c r="AA3685" s="3"/>
    </row>
    <row r="3686" spans="19:27" x14ac:dyDescent="0.25">
      <c r="S3686" s="4">
        <v>2.1034521047181967</v>
      </c>
      <c r="T3686" s="4">
        <v>-0.80996341996640953</v>
      </c>
      <c r="U3686" s="4">
        <f t="shared" si="362"/>
        <v>0.64025979631027508</v>
      </c>
      <c r="W3686" s="4">
        <f t="shared" si="363"/>
        <v>3.6051448030156061</v>
      </c>
      <c r="X3686" s="4">
        <f t="shared" si="364"/>
        <v>1.1946279740144048</v>
      </c>
      <c r="Y3686" s="3">
        <f t="shared" si="361"/>
        <v>-425.34631671978377</v>
      </c>
      <c r="AA3686" s="3"/>
    </row>
    <row r="3687" spans="19:27" x14ac:dyDescent="0.25">
      <c r="S3687" s="4">
        <v>-0.97733916777569818</v>
      </c>
      <c r="T3687" s="4">
        <v>-5.3988097474491951E-2</v>
      </c>
      <c r="U3687" s="4">
        <f t="shared" si="362"/>
        <v>-0.63860369690987329</v>
      </c>
      <c r="W3687" s="4">
        <f t="shared" si="363"/>
        <v>-1.6336074840767223</v>
      </c>
      <c r="X3687" s="4">
        <f t="shared" si="364"/>
        <v>-1.060130842324247</v>
      </c>
      <c r="Y3687" s="3">
        <f t="shared" si="361"/>
        <v>162.73286160569023</v>
      </c>
      <c r="AA3687" s="3"/>
    </row>
    <row r="3688" spans="19:27" x14ac:dyDescent="0.25">
      <c r="S3688" s="4">
        <v>0.18241139937420572</v>
      </c>
      <c r="T3688" s="4">
        <v>-0.3134756507006447</v>
      </c>
      <c r="U3688" s="4">
        <f t="shared" si="362"/>
        <v>-0.13728758744746222</v>
      </c>
      <c r="W3688" s="4">
        <f t="shared" si="363"/>
        <v>0.33849818577443902</v>
      </c>
      <c r="X3688" s="4">
        <f t="shared" si="364"/>
        <v>-0.17626252989257626</v>
      </c>
      <c r="Y3688" s="3">
        <f t="shared" si="361"/>
        <v>-71.57503280887795</v>
      </c>
      <c r="AA3688" s="3"/>
    </row>
    <row r="3689" spans="19:27" x14ac:dyDescent="0.25">
      <c r="S3689" s="4">
        <v>1.1395468267629472</v>
      </c>
      <c r="T3689" s="4">
        <v>0.94960803053917231</v>
      </c>
      <c r="U3689" s="4">
        <f t="shared" si="362"/>
        <v>1.4474398779256914</v>
      </c>
      <c r="W3689" s="4">
        <f t="shared" si="363"/>
        <v>1.9660655753791494</v>
      </c>
      <c r="X3689" s="4">
        <f t="shared" si="364"/>
        <v>2.6177637621919247</v>
      </c>
      <c r="Y3689" s="3">
        <f t="shared" si="361"/>
        <v>-43.402278895196559</v>
      </c>
      <c r="AA3689" s="3"/>
    </row>
    <row r="3690" spans="19:27" x14ac:dyDescent="0.25">
      <c r="S3690" s="4">
        <v>0.2257231076653696</v>
      </c>
      <c r="T3690" s="4">
        <v>-1.2170109986943685</v>
      </c>
      <c r="U3690" s="4">
        <f t="shared" si="362"/>
        <v>-0.82710906289325681</v>
      </c>
      <c r="W3690" s="4">
        <f t="shared" si="363"/>
        <v>0.4121478721047096</v>
      </c>
      <c r="X3690" s="4">
        <f t="shared" si="364"/>
        <v>-1.3924838558643804</v>
      </c>
      <c r="Y3690" s="3">
        <f t="shared" si="361"/>
        <v>-204.85706717195399</v>
      </c>
      <c r="AA3690" s="3"/>
    </row>
    <row r="3691" spans="19:27" x14ac:dyDescent="0.25">
      <c r="S3691" s="4">
        <v>-1.9626278318460522</v>
      </c>
      <c r="T3691" s="4">
        <v>0.26853418814509322</v>
      </c>
      <c r="U3691" s="4">
        <f t="shared" si="362"/>
        <v>-0.98359680840234409</v>
      </c>
      <c r="W3691" s="4">
        <f t="shared" si="363"/>
        <v>-3.309048234779167</v>
      </c>
      <c r="X3691" s="4">
        <f t="shared" si="364"/>
        <v>-1.6683867381549098</v>
      </c>
      <c r="Y3691" s="3">
        <f t="shared" si="361"/>
        <v>392.23672458548117</v>
      </c>
      <c r="AA3691" s="3"/>
    </row>
    <row r="3692" spans="19:27" x14ac:dyDescent="0.25">
      <c r="S3692" s="4">
        <v>-0.73382573961995512</v>
      </c>
      <c r="T3692" s="4">
        <v>0.47395638893028913</v>
      </c>
      <c r="U3692" s="4">
        <f t="shared" si="362"/>
        <v>-7.1655097053961336E-2</v>
      </c>
      <c r="W3692" s="4">
        <f t="shared" si="363"/>
        <v>-1.2195234336321394</v>
      </c>
      <c r="X3692" s="4">
        <f t="shared" si="364"/>
        <v>-6.0546163652123092E-2</v>
      </c>
      <c r="Y3692" s="3">
        <f t="shared" si="361"/>
        <v>193.24471421258295</v>
      </c>
      <c r="AA3692" s="3"/>
    </row>
    <row r="3693" spans="19:27" x14ac:dyDescent="0.25">
      <c r="S3693" s="4">
        <v>-0.77046685110606861</v>
      </c>
      <c r="T3693" s="4">
        <v>1.0649004875557899</v>
      </c>
      <c r="U3693" s="4">
        <f t="shared" si="362"/>
        <v>0.37444433447297626</v>
      </c>
      <c r="W3693" s="4">
        <f t="shared" si="363"/>
        <v>-1.2818300586584093</v>
      </c>
      <c r="X3693" s="4">
        <f t="shared" si="364"/>
        <v>0.72596985743338394</v>
      </c>
      <c r="Y3693" s="3">
        <f t="shared" si="361"/>
        <v>282.28794674559867</v>
      </c>
      <c r="AA3693" s="3"/>
    </row>
    <row r="3694" spans="19:27" x14ac:dyDescent="0.25">
      <c r="S3694" s="4">
        <v>0.40310915160680821</v>
      </c>
      <c r="T3694" s="4">
        <v>-0.91055804490580017</v>
      </c>
      <c r="U3694" s="4">
        <f t="shared" si="362"/>
        <v>-0.47604776204647692</v>
      </c>
      <c r="W3694" s="4">
        <f t="shared" si="363"/>
        <v>0.71378516629381572</v>
      </c>
      <c r="X3694" s="4">
        <f t="shared" si="364"/>
        <v>-0.77352916104666625</v>
      </c>
      <c r="Y3694" s="3">
        <f t="shared" si="361"/>
        <v>-190.42521522555944</v>
      </c>
      <c r="AA3694" s="3"/>
    </row>
    <row r="3695" spans="19:27" x14ac:dyDescent="0.25">
      <c r="S3695" s="4">
        <v>-3.2427743174209378E-2</v>
      </c>
      <c r="T3695" s="4">
        <v>0.24735694245597389</v>
      </c>
      <c r="U3695" s="4">
        <f t="shared" si="362"/>
        <v>0.17630919835214368</v>
      </c>
      <c r="W3695" s="4">
        <f t="shared" si="363"/>
        <v>-2.6826482414257533E-2</v>
      </c>
      <c r="X3695" s="4">
        <f t="shared" si="364"/>
        <v>0.37663863689004984</v>
      </c>
      <c r="Y3695" s="3">
        <f t="shared" si="361"/>
        <v>41.964678659550373</v>
      </c>
      <c r="AA3695" s="3"/>
    </row>
    <row r="3696" spans="19:27" x14ac:dyDescent="0.25">
      <c r="S3696" s="4">
        <v>1.2571016914076889</v>
      </c>
      <c r="T3696" s="4">
        <v>1.6197790743641294</v>
      </c>
      <c r="U3696" s="4">
        <f t="shared" si="362"/>
        <v>2.0503431840445669</v>
      </c>
      <c r="W3696" s="4">
        <f t="shared" si="363"/>
        <v>2.1659625374079816</v>
      </c>
      <c r="X3696" s="4">
        <f t="shared" si="364"/>
        <v>3.6807400314169647</v>
      </c>
      <c r="Y3696" s="3">
        <f t="shared" si="361"/>
        <v>32.960069292336811</v>
      </c>
      <c r="AA3696" s="3"/>
    </row>
    <row r="3697" spans="19:27" x14ac:dyDescent="0.25">
      <c r="S3697" s="4">
        <v>0.19462867183031579</v>
      </c>
      <c r="T3697" s="4">
        <v>-0.35056788563551466</v>
      </c>
      <c r="U3697" s="4">
        <f t="shared" si="362"/>
        <v>-0.15924238416573722</v>
      </c>
      <c r="W3697" s="4">
        <f t="shared" si="363"/>
        <v>0.35927312907972375</v>
      </c>
      <c r="X3697" s="4">
        <f t="shared" si="364"/>
        <v>-0.21497093913554141</v>
      </c>
      <c r="Y3697" s="3">
        <f t="shared" si="361"/>
        <v>-78.737696077623241</v>
      </c>
      <c r="AA3697" s="3"/>
    </row>
    <row r="3698" spans="19:27" x14ac:dyDescent="0.25">
      <c r="S3698" s="4">
        <v>-0.80326647775326065</v>
      </c>
      <c r="T3698" s="4">
        <v>-0.26569815329345325</v>
      </c>
      <c r="U3698" s="4">
        <f t="shared" si="362"/>
        <v>-0.70030597276486706</v>
      </c>
      <c r="W3698" s="4">
        <f t="shared" si="363"/>
        <v>-1.3376044048946789</v>
      </c>
      <c r="X3698" s="4">
        <f t="shared" si="364"/>
        <v>-1.1689178639334856</v>
      </c>
      <c r="Y3698" s="3">
        <f t="shared" si="361"/>
        <v>102.11871005140438</v>
      </c>
      <c r="AA3698" s="3"/>
    </row>
    <row r="3699" spans="19:27" x14ac:dyDescent="0.25">
      <c r="S3699" s="4">
        <v>-0.4750073048811459</v>
      </c>
      <c r="T3699" s="4">
        <v>0.27719940580349733</v>
      </c>
      <c r="U3699" s="4">
        <f t="shared" si="362"/>
        <v>-6.9841294713531038E-2</v>
      </c>
      <c r="W3699" s="4">
        <f t="shared" si="363"/>
        <v>-0.77941388157150715</v>
      </c>
      <c r="X3699" s="4">
        <f t="shared" si="364"/>
        <v>-5.7348256416626706E-2</v>
      </c>
      <c r="Y3699" s="3">
        <f t="shared" si="361"/>
        <v>120.74372836323937</v>
      </c>
      <c r="AA3699" s="3"/>
    </row>
    <row r="3700" spans="19:27" x14ac:dyDescent="0.25">
      <c r="S3700" s="4">
        <v>-0.77902698716477969</v>
      </c>
      <c r="T3700" s="4">
        <v>1.7045138788796914</v>
      </c>
      <c r="U3700" s="4">
        <f t="shared" si="362"/>
        <v>0.87624231504852435</v>
      </c>
      <c r="W3700" s="4">
        <f t="shared" si="363"/>
        <v>-1.2963861997237833</v>
      </c>
      <c r="X3700" s="4">
        <f t="shared" si="364"/>
        <v>1.6106877547867018</v>
      </c>
      <c r="Y3700" s="3">
        <f t="shared" si="361"/>
        <v>373.19039103816976</v>
      </c>
      <c r="AA3700" s="3"/>
    </row>
    <row r="3701" spans="19:27" x14ac:dyDescent="0.25">
      <c r="S3701" s="4">
        <v>-0.5965315815456782</v>
      </c>
      <c r="T3701" s="4">
        <v>-1.5789320136346277</v>
      </c>
      <c r="U3701" s="4">
        <f t="shared" si="362"/>
        <v>-1.6152657674919433</v>
      </c>
      <c r="W3701" s="4">
        <f t="shared" si="363"/>
        <v>-0.98606065702741286</v>
      </c>
      <c r="X3701" s="4">
        <f t="shared" si="364"/>
        <v>-2.7820796084771966</v>
      </c>
      <c r="Y3701" s="3">
        <f t="shared" si="361"/>
        <v>-117.66422382393012</v>
      </c>
      <c r="AA3701" s="3"/>
    </row>
    <row r="3702" spans="19:27" x14ac:dyDescent="0.25">
      <c r="S3702" s="4">
        <v>-0.75343305629802559</v>
      </c>
      <c r="T3702" s="4">
        <v>1.1522675645102134</v>
      </c>
      <c r="U3702" s="4">
        <f t="shared" si="362"/>
        <v>0.45408370046335406</v>
      </c>
      <c r="W3702" s="4">
        <f t="shared" si="363"/>
        <v>-1.2528648274513434</v>
      </c>
      <c r="X3702" s="4">
        <f t="shared" si="364"/>
        <v>0.86638168680094052</v>
      </c>
      <c r="Y3702" s="3">
        <f t="shared" si="361"/>
        <v>291.49570093776219</v>
      </c>
      <c r="AA3702" s="3"/>
    </row>
    <row r="3703" spans="19:27" x14ac:dyDescent="0.25">
      <c r="S3703" s="4">
        <v>1.7784237996181116</v>
      </c>
      <c r="T3703" s="4">
        <v>0.26479433873920644</v>
      </c>
      <c r="U3703" s="4">
        <f t="shared" si="362"/>
        <v>1.2940671871569387</v>
      </c>
      <c r="W3703" s="4">
        <f t="shared" si="363"/>
        <v>3.0524482305748362</v>
      </c>
      <c r="X3703" s="4">
        <f t="shared" si="364"/>
        <v>2.3473530197399182</v>
      </c>
      <c r="Y3703" s="3">
        <f t="shared" si="361"/>
        <v>-230.74557424541081</v>
      </c>
      <c r="AA3703" s="3"/>
    </row>
    <row r="3704" spans="19:27" x14ac:dyDescent="0.25">
      <c r="S3704" s="4">
        <v>0.61950114843616999</v>
      </c>
      <c r="T3704" s="4">
        <v>0.5266302244502622</v>
      </c>
      <c r="U3704" s="4">
        <f t="shared" si="362"/>
        <v>0.79511729815953647</v>
      </c>
      <c r="W3704" s="4">
        <f t="shared" si="363"/>
        <v>1.0817503960124226</v>
      </c>
      <c r="X3704" s="4">
        <f t="shared" si="364"/>
        <v>1.4676565806029067</v>
      </c>
      <c r="Y3704" s="3">
        <f t="shared" si="361"/>
        <v>-23.57796196939853</v>
      </c>
      <c r="AA3704" s="3"/>
    </row>
    <row r="3705" spans="19:27" x14ac:dyDescent="0.25">
      <c r="S3705" s="4">
        <v>-1.255241533939822</v>
      </c>
      <c r="T3705" s="4">
        <v>-1.1498598599920618</v>
      </c>
      <c r="U3705" s="4">
        <f t="shared" si="362"/>
        <v>-1.6767079797694242</v>
      </c>
      <c r="W3705" s="4">
        <f t="shared" si="363"/>
        <v>-2.106168435975341</v>
      </c>
      <c r="X3705" s="4">
        <f t="shared" si="364"/>
        <v>-2.8904081130927808</v>
      </c>
      <c r="Y3705" s="3">
        <f t="shared" si="361"/>
        <v>60.070339285060982</v>
      </c>
      <c r="AA3705" s="3"/>
    </row>
    <row r="3706" spans="19:27" x14ac:dyDescent="0.25">
      <c r="S3706" s="4">
        <v>6.4357847447628957E-2</v>
      </c>
      <c r="T3706" s="4">
        <v>1.7844800448450933</v>
      </c>
      <c r="U3706" s="4">
        <f t="shared" si="362"/>
        <v>1.4537770692528535</v>
      </c>
      <c r="W3706" s="4">
        <f t="shared" si="363"/>
        <v>0.13775322759553255</v>
      </c>
      <c r="X3706" s="4">
        <f t="shared" si="364"/>
        <v>2.6289368374196527</v>
      </c>
      <c r="Y3706" s="3">
        <f t="shared" si="361"/>
        <v>240.86769883277066</v>
      </c>
      <c r="AA3706" s="3"/>
    </row>
    <row r="3707" spans="19:27" x14ac:dyDescent="0.25">
      <c r="S3707" s="4">
        <v>1.5391591653322902</v>
      </c>
      <c r="T3707" s="4">
        <v>-0.2304282624143103</v>
      </c>
      <c r="U3707" s="4">
        <f t="shared" si="362"/>
        <v>0.75564712412593527</v>
      </c>
      <c r="W3707" s="4">
        <f t="shared" si="363"/>
        <v>2.6455890703077105</v>
      </c>
      <c r="X3707" s="4">
        <f t="shared" si="364"/>
        <v>1.3980668836911636</v>
      </c>
      <c r="Y3707" s="3">
        <f t="shared" si="361"/>
        <v>-266.32301682518664</v>
      </c>
      <c r="AA3707" s="3"/>
    </row>
    <row r="3708" spans="19:27" x14ac:dyDescent="0.25">
      <c r="S3708" s="4">
        <v>-1.5365576928163656</v>
      </c>
      <c r="T3708" s="4">
        <v>-1.4756476224658652</v>
      </c>
      <c r="U3708" s="4">
        <f t="shared" si="362"/>
        <v>-2.1064539460866243</v>
      </c>
      <c r="W3708" s="4">
        <f t="shared" si="363"/>
        <v>-2.5845343947043555</v>
      </c>
      <c r="X3708" s="4">
        <f t="shared" si="364"/>
        <v>-3.6480914088289249</v>
      </c>
      <c r="Y3708" s="3">
        <f t="shared" si="361"/>
        <v>66.868919083199216</v>
      </c>
      <c r="AA3708" s="3"/>
    </row>
    <row r="3709" spans="19:27" x14ac:dyDescent="0.25">
      <c r="S3709" s="4">
        <v>-3.9439342254976535E-2</v>
      </c>
      <c r="T3709" s="4">
        <v>-0.22714737569975252</v>
      </c>
      <c r="U3709" s="4">
        <f t="shared" si="362"/>
        <v>-0.20410101484374879</v>
      </c>
      <c r="W3709" s="4">
        <f t="shared" si="363"/>
        <v>-3.8749403336715504E-2</v>
      </c>
      <c r="X3709" s="4">
        <f t="shared" si="364"/>
        <v>-0.29406100116823286</v>
      </c>
      <c r="Y3709" s="3">
        <f t="shared" si="361"/>
        <v>-23.192610559211062</v>
      </c>
      <c r="AA3709" s="3"/>
    </row>
    <row r="3710" spans="19:27" x14ac:dyDescent="0.25">
      <c r="S3710" s="4">
        <v>0.91919007773019834</v>
      </c>
      <c r="T3710" s="4">
        <v>-0.10285902069343635</v>
      </c>
      <c r="U3710" s="4">
        <f t="shared" si="362"/>
        <v>0.47882325543876081</v>
      </c>
      <c r="W3710" s="4">
        <f t="shared" si="363"/>
        <v>1.5913584560496847</v>
      </c>
      <c r="X3710" s="4">
        <f t="shared" si="364"/>
        <v>0.90999989154978056</v>
      </c>
      <c r="Y3710" s="3">
        <f t="shared" si="361"/>
        <v>-157.52636917491327</v>
      </c>
      <c r="AA3710" s="3"/>
    </row>
    <row r="3711" spans="19:27" x14ac:dyDescent="0.25">
      <c r="S3711" s="4">
        <v>-1.7713301068244689</v>
      </c>
      <c r="T3711" s="4">
        <v>-0.63731046936651847</v>
      </c>
      <c r="U3711" s="4">
        <f t="shared" si="362"/>
        <v>-1.5850332774310858</v>
      </c>
      <c r="W3711" s="4">
        <f t="shared" si="363"/>
        <v>-2.9837547287179365</v>
      </c>
      <c r="X3711" s="4">
        <f t="shared" si="364"/>
        <v>-2.7287768331098694</v>
      </c>
      <c r="Y3711" s="3">
        <f t="shared" si="361"/>
        <v>228.64785070827566</v>
      </c>
      <c r="AA3711" s="3"/>
    </row>
    <row r="3712" spans="19:27" x14ac:dyDescent="0.25">
      <c r="S3712" s="4">
        <v>0.12864963877696495</v>
      </c>
      <c r="T3712" s="4">
        <v>0.21101133502730018</v>
      </c>
      <c r="U3712" s="4">
        <f t="shared" si="362"/>
        <v>0.24569469139225275</v>
      </c>
      <c r="W3712" s="4">
        <f t="shared" si="363"/>
        <v>0.2470786375559339</v>
      </c>
      <c r="X3712" s="4">
        <f t="shared" si="364"/>
        <v>0.49897190622457344</v>
      </c>
      <c r="Y3712" s="3">
        <f t="shared" si="361"/>
        <v>10.460361500915951</v>
      </c>
      <c r="AA3712" s="3"/>
    </row>
    <row r="3713" spans="19:27" x14ac:dyDescent="0.25">
      <c r="S3713" s="4">
        <v>0.54740344486856995</v>
      </c>
      <c r="T3713" s="4">
        <v>-0.15130264959528941</v>
      </c>
      <c r="U3713" s="4">
        <f t="shared" si="362"/>
        <v>0.21377295079856087</v>
      </c>
      <c r="W3713" s="4">
        <f t="shared" si="363"/>
        <v>0.95915136996638983</v>
      </c>
      <c r="X3713" s="4">
        <f t="shared" si="364"/>
        <v>0.44269082038696872</v>
      </c>
      <c r="Y3713" s="3">
        <f t="shared" si="361"/>
        <v>-107.06940216856401</v>
      </c>
      <c r="AA3713" s="3"/>
    </row>
    <row r="3714" spans="19:27" x14ac:dyDescent="0.25">
      <c r="S3714" s="4">
        <v>-0.69139742639670942</v>
      </c>
      <c r="T3714" s="4">
        <v>1.3788726807114446</v>
      </c>
      <c r="U3714" s="4">
        <f t="shared" si="362"/>
        <v>0.67153007164469214</v>
      </c>
      <c r="W3714" s="4">
        <f t="shared" si="363"/>
        <v>-1.1473759224001241</v>
      </c>
      <c r="X3714" s="4">
        <f t="shared" si="364"/>
        <v>1.2497604642085531</v>
      </c>
      <c r="Y3714" s="3">
        <f t="shared" ref="Y3714:Y3777" si="365">(B$4*EXP(-B$8*B$7)*NORMSDIST((LN(B$4/(B$5+W3714))-B$8*B$7+B$9*B$7+0.5*B$6*B$6*B$7)/(B$6*SQRT(B$7)))-(B$5+W3714)*EXP(-B$9*B$7)*NORMSDIST((LN(B$4/(B$5+W3714))-B$8*B$7+B$9*B$7-0.5*B$6*B$6*B$7)/(B$6*SQRT(B$7))))*400+100*X3714-400*$B$13</f>
        <v>312.26802643869905</v>
      </c>
      <c r="AA3714" s="3"/>
    </row>
    <row r="3715" spans="19:27" x14ac:dyDescent="0.25">
      <c r="S3715" s="4">
        <v>-0.28481569452173977</v>
      </c>
      <c r="T3715" s="4">
        <v>-0.35601053865470594</v>
      </c>
      <c r="U3715" s="4">
        <f t="shared" ref="U3715:U3778" si="366">$B$19*S3715+SQRT(1-$B$19^2)*T3715</f>
        <v>-0.45583671479644072</v>
      </c>
      <c r="W3715" s="4">
        <f t="shared" ref="W3715:W3778" si="367">S3715*SQRT($B$16)+$B$20</f>
        <v>-0.45600127564395443</v>
      </c>
      <c r="X3715" s="4">
        <f t="shared" ref="X3715:X3778" si="368">U3715*SQRT($C$17)+$C$20</f>
        <v>-0.73789514911650367</v>
      </c>
      <c r="Y3715" s="3">
        <f t="shared" si="365"/>
        <v>-0.17621413052529533</v>
      </c>
      <c r="AA3715" s="3"/>
    </row>
    <row r="3716" spans="19:27" x14ac:dyDescent="0.25">
      <c r="S3716" s="4">
        <v>0.50030676144600528</v>
      </c>
      <c r="T3716" s="4">
        <v>0.58282483059287071</v>
      </c>
      <c r="U3716" s="4">
        <f t="shared" si="366"/>
        <v>0.7669987561993753</v>
      </c>
      <c r="W3716" s="4">
        <f t="shared" si="367"/>
        <v>0.87906549715920723</v>
      </c>
      <c r="X3716" s="4">
        <f t="shared" si="368"/>
        <v>1.4180808981916271</v>
      </c>
      <c r="Y3716" s="3">
        <f t="shared" si="365"/>
        <v>2.9256936404021872</v>
      </c>
      <c r="AA3716" s="3"/>
    </row>
    <row r="3717" spans="19:27" x14ac:dyDescent="0.25">
      <c r="S3717" s="4">
        <v>0.22780973336627033</v>
      </c>
      <c r="T3717" s="4">
        <v>-0.98625384975079555</v>
      </c>
      <c r="U3717" s="4">
        <f t="shared" si="366"/>
        <v>-0.64291765902864229</v>
      </c>
      <c r="W3717" s="4">
        <f t="shared" si="367"/>
        <v>0.41569608884386261</v>
      </c>
      <c r="X3717" s="4">
        <f t="shared" si="368"/>
        <v>-1.0677367706912795</v>
      </c>
      <c r="Y3717" s="3">
        <f t="shared" si="365"/>
        <v>-172.94339344924174</v>
      </c>
      <c r="AA3717" s="3"/>
    </row>
    <row r="3718" spans="19:27" x14ac:dyDescent="0.25">
      <c r="S3718" s="4">
        <v>0.39738949321303813</v>
      </c>
      <c r="T3718" s="4">
        <v>0.78406453314628011</v>
      </c>
      <c r="U3718" s="4">
        <f t="shared" si="366"/>
        <v>0.86377919931747282</v>
      </c>
      <c r="W3718" s="4">
        <f t="shared" si="367"/>
        <v>0.70405913462160374</v>
      </c>
      <c r="X3718" s="4">
        <f t="shared" si="368"/>
        <v>1.5887140881501798</v>
      </c>
      <c r="Y3718" s="3">
        <f t="shared" si="365"/>
        <v>47.322266692348876</v>
      </c>
      <c r="AA3718" s="3"/>
    </row>
    <row r="3719" spans="19:27" x14ac:dyDescent="0.25">
      <c r="S3719" s="4">
        <v>0.20479857015882563</v>
      </c>
      <c r="T3719" s="4">
        <v>1.0919856180298326</v>
      </c>
      <c r="U3719" s="4">
        <f t="shared" si="366"/>
        <v>0.99045806201368047</v>
      </c>
      <c r="W3719" s="4">
        <f t="shared" si="367"/>
        <v>0.37656660124827129</v>
      </c>
      <c r="X3719" s="4">
        <f t="shared" si="368"/>
        <v>1.8120610552207759</v>
      </c>
      <c r="Y3719" s="3">
        <f t="shared" si="365"/>
        <v>121.22701756242213</v>
      </c>
      <c r="AA3719" s="3"/>
    </row>
    <row r="3720" spans="19:27" x14ac:dyDescent="0.25">
      <c r="S3720" s="4">
        <v>-1.0915956007246952</v>
      </c>
      <c r="T3720" s="4">
        <v>-0.49737870189919858</v>
      </c>
      <c r="U3720" s="4">
        <f t="shared" si="366"/>
        <v>-1.059729161108673</v>
      </c>
      <c r="W3720" s="4">
        <f t="shared" si="367"/>
        <v>-1.8278956056936195</v>
      </c>
      <c r="X3720" s="4">
        <f t="shared" si="368"/>
        <v>-1.8026153672331884</v>
      </c>
      <c r="Y3720" s="3">
        <f t="shared" si="365"/>
        <v>121.38183156725927</v>
      </c>
      <c r="AA3720" s="3"/>
    </row>
    <row r="3721" spans="19:27" x14ac:dyDescent="0.25">
      <c r="S3721" s="4">
        <v>-0.30641625844281595</v>
      </c>
      <c r="T3721" s="4">
        <v>-1.3866009026893018</v>
      </c>
      <c r="U3721" s="4">
        <f t="shared" si="366"/>
        <v>-1.2859456568777652</v>
      </c>
      <c r="W3721" s="4">
        <f t="shared" si="367"/>
        <v>-0.49273210017411451</v>
      </c>
      <c r="X3721" s="4">
        <f t="shared" si="368"/>
        <v>-2.2014567142109396</v>
      </c>
      <c r="Y3721" s="3">
        <f t="shared" si="365"/>
        <v>-140.55580096274161</v>
      </c>
      <c r="AA3721" s="3"/>
    </row>
    <row r="3722" spans="19:27" x14ac:dyDescent="0.25">
      <c r="S3722" s="4">
        <v>0.6844050594862543</v>
      </c>
      <c r="T3722" s="4">
        <v>-1.2591639726980812</v>
      </c>
      <c r="U3722" s="4">
        <f t="shared" si="366"/>
        <v>-0.58090063708618878</v>
      </c>
      <c r="W3722" s="4">
        <f t="shared" si="367"/>
        <v>1.1921166890783024</v>
      </c>
      <c r="X3722" s="4">
        <f t="shared" si="368"/>
        <v>-0.9583948215863618</v>
      </c>
      <c r="Y3722" s="3">
        <f t="shared" si="365"/>
        <v>-283.22666163198073</v>
      </c>
      <c r="AA3722" s="3"/>
    </row>
    <row r="3723" spans="19:27" x14ac:dyDescent="0.25">
      <c r="S3723" s="4">
        <v>6.2753403528735111E-2</v>
      </c>
      <c r="T3723" s="4">
        <v>-8.3814789694692284E-3</v>
      </c>
      <c r="U3723" s="4">
        <f t="shared" si="366"/>
        <v>3.1611943449834673E-2</v>
      </c>
      <c r="W3723" s="4">
        <f t="shared" si="367"/>
        <v>0.13502494011800653</v>
      </c>
      <c r="X3723" s="4">
        <f t="shared" si="368"/>
        <v>0.12152351872409622</v>
      </c>
      <c r="Y3723" s="3">
        <f t="shared" si="365"/>
        <v>-9.4383458390930173</v>
      </c>
      <c r="AA3723" s="3"/>
    </row>
    <row r="3724" spans="19:27" x14ac:dyDescent="0.25">
      <c r="S3724" s="4">
        <v>-0.61415169156868976</v>
      </c>
      <c r="T3724" s="4">
        <v>-1.4117432894064239</v>
      </c>
      <c r="U3724" s="4">
        <f t="shared" si="366"/>
        <v>-1.4934782123468651</v>
      </c>
      <c r="W3724" s="4">
        <f t="shared" si="367"/>
        <v>-1.0160228918941545</v>
      </c>
      <c r="X3724" s="4">
        <f t="shared" si="368"/>
        <v>-2.5673564850637236</v>
      </c>
      <c r="Y3724" s="3">
        <f t="shared" si="365"/>
        <v>-91.234114841085557</v>
      </c>
      <c r="AA3724" s="3"/>
    </row>
    <row r="3725" spans="19:27" x14ac:dyDescent="0.25">
      <c r="S3725" s="4">
        <v>-1.5781186142413706</v>
      </c>
      <c r="T3725" s="4">
        <v>-0.74353925825802203</v>
      </c>
      <c r="U3725" s="4">
        <f t="shared" si="366"/>
        <v>-1.5514539537818994</v>
      </c>
      <c r="W3725" s="4">
        <f t="shared" si="367"/>
        <v>-2.6552069437059176</v>
      </c>
      <c r="X3725" s="4">
        <f t="shared" si="368"/>
        <v>-2.6695732695973571</v>
      </c>
      <c r="Y3725" s="3">
        <f t="shared" si="365"/>
        <v>177.02304462066149</v>
      </c>
      <c r="AA3725" s="3"/>
    </row>
    <row r="3726" spans="19:27" x14ac:dyDescent="0.25">
      <c r="S3726" s="4">
        <v>-0.26526641402859613</v>
      </c>
      <c r="T3726" s="4">
        <v>-2.5431085673201617</v>
      </c>
      <c r="U3726" s="4">
        <f t="shared" si="366"/>
        <v>-2.177614189189089</v>
      </c>
      <c r="W3726" s="4">
        <f t="shared" si="367"/>
        <v>-0.42275856984663446</v>
      </c>
      <c r="X3726" s="4">
        <f t="shared" si="368"/>
        <v>-3.7735537324926312</v>
      </c>
      <c r="Y3726" s="3">
        <f t="shared" si="365"/>
        <v>-309.14502281631712</v>
      </c>
      <c r="AA3726" s="3"/>
    </row>
    <row r="3727" spans="19:27" x14ac:dyDescent="0.25">
      <c r="S3727" s="4">
        <v>3.8512801020182078E-2</v>
      </c>
      <c r="T3727" s="4">
        <v>0.53321716856836798</v>
      </c>
      <c r="U3727" s="4">
        <f t="shared" si="366"/>
        <v>0.44615525667965689</v>
      </c>
      <c r="W3727" s="4">
        <f t="shared" si="367"/>
        <v>9.3804844175128965E-2</v>
      </c>
      <c r="X3727" s="4">
        <f t="shared" si="368"/>
        <v>0.85240308109680607</v>
      </c>
      <c r="Y3727" s="3">
        <f t="shared" si="365"/>
        <v>70.230783607754802</v>
      </c>
      <c r="AA3727" s="3"/>
    </row>
    <row r="3728" spans="19:27" x14ac:dyDescent="0.25">
      <c r="S3728" s="4">
        <v>1.3376993045132048</v>
      </c>
      <c r="T3728" s="4">
        <v>1.5961301012380396</v>
      </c>
      <c r="U3728" s="4">
        <f t="shared" si="366"/>
        <v>2.0807309350226295</v>
      </c>
      <c r="W3728" s="4">
        <f t="shared" si="367"/>
        <v>2.303015291926112</v>
      </c>
      <c r="X3728" s="4">
        <f t="shared" si="368"/>
        <v>3.7343165466507884</v>
      </c>
      <c r="Y3728" s="3">
        <f t="shared" si="365"/>
        <v>17.908599185339881</v>
      </c>
      <c r="AA3728" s="3"/>
    </row>
    <row r="3729" spans="19:27" x14ac:dyDescent="0.25">
      <c r="S3729" s="4">
        <v>1.4146630433400988</v>
      </c>
      <c r="T3729" s="4">
        <v>0.79099981145286169</v>
      </c>
      <c r="U3729" s="4">
        <f t="shared" si="366"/>
        <v>1.489429392495796</v>
      </c>
      <c r="W3729" s="4">
        <f t="shared" si="367"/>
        <v>2.4338888004310175</v>
      </c>
      <c r="X3729" s="4">
        <f t="shared" si="368"/>
        <v>2.6917952977488051</v>
      </c>
      <c r="Y3729" s="3">
        <f t="shared" si="365"/>
        <v>-105.74539045288338</v>
      </c>
      <c r="AA3729" s="3"/>
    </row>
    <row r="3730" spans="19:27" x14ac:dyDescent="0.25">
      <c r="S3730" s="4">
        <v>0.42529285825909946</v>
      </c>
      <c r="T3730" s="4">
        <v>-0.39438764409891541</v>
      </c>
      <c r="U3730" s="4">
        <f t="shared" si="366"/>
        <v>-5.3359922379089708E-2</v>
      </c>
      <c r="W3730" s="4">
        <f t="shared" si="367"/>
        <v>0.75150759981226711</v>
      </c>
      <c r="X3730" s="4">
        <f t="shared" si="368"/>
        <v>-2.8290018556642371E-2</v>
      </c>
      <c r="Y3730" s="3">
        <f t="shared" si="365"/>
        <v>-121.80429659862784</v>
      </c>
      <c r="AA3730" s="3"/>
    </row>
    <row r="3731" spans="19:27" x14ac:dyDescent="0.25">
      <c r="S3731" s="4">
        <v>0.83190290682275092</v>
      </c>
      <c r="T3731" s="4">
        <v>-0.12586186941114738</v>
      </c>
      <c r="U3731" s="4">
        <f t="shared" si="366"/>
        <v>0.40737687392362965</v>
      </c>
      <c r="W3731" s="4">
        <f t="shared" si="367"/>
        <v>1.44293039787259</v>
      </c>
      <c r="X3731" s="4">
        <f t="shared" si="368"/>
        <v>0.78403307846083614</v>
      </c>
      <c r="Y3731" s="3">
        <f t="shared" si="365"/>
        <v>-147.48700229344422</v>
      </c>
      <c r="AA3731" s="3"/>
    </row>
    <row r="3732" spans="19:27" x14ac:dyDescent="0.25">
      <c r="S3732" s="4">
        <v>0.33361908793997025</v>
      </c>
      <c r="T3732" s="4">
        <v>2.1075101357860904</v>
      </c>
      <c r="U3732" s="4">
        <f t="shared" si="366"/>
        <v>1.8739881041405615</v>
      </c>
      <c r="W3732" s="4">
        <f t="shared" si="367"/>
        <v>0.59562031909527502</v>
      </c>
      <c r="X3732" s="4">
        <f t="shared" si="368"/>
        <v>3.3698091358775044</v>
      </c>
      <c r="Y3732" s="3">
        <f t="shared" si="365"/>
        <v>242.44672280295708</v>
      </c>
      <c r="AA3732" s="3"/>
    </row>
    <row r="3733" spans="19:27" x14ac:dyDescent="0.25">
      <c r="S3733" s="4">
        <v>1.650613773961676</v>
      </c>
      <c r="T3733" s="4">
        <v>0.72400525719405906</v>
      </c>
      <c r="U3733" s="4">
        <f t="shared" si="366"/>
        <v>1.5801641739073951</v>
      </c>
      <c r="W3733" s="4">
        <f t="shared" si="367"/>
        <v>2.8351128108730759</v>
      </c>
      <c r="X3733" s="4">
        <f t="shared" si="368"/>
        <v>2.8517694071208877</v>
      </c>
      <c r="Y3733" s="3">
        <f t="shared" si="365"/>
        <v>-148.70106317264572</v>
      </c>
      <c r="AA3733" s="3"/>
    </row>
    <row r="3734" spans="19:27" x14ac:dyDescent="0.25">
      <c r="S3734" s="4">
        <v>0.12783913791030768</v>
      </c>
      <c r="T3734" s="4">
        <v>1.0321057309602444</v>
      </c>
      <c r="U3734" s="4">
        <f t="shared" si="366"/>
        <v>0.89607556643235375</v>
      </c>
      <c r="W3734" s="4">
        <f t="shared" si="367"/>
        <v>0.24570041589359651</v>
      </c>
      <c r="X3734" s="4">
        <f t="shared" si="368"/>
        <v>1.645655676422926</v>
      </c>
      <c r="Y3734" s="3">
        <f t="shared" si="365"/>
        <v>125.3478467520772</v>
      </c>
      <c r="AA3734" s="3"/>
    </row>
    <row r="3735" spans="19:27" x14ac:dyDescent="0.25">
      <c r="S3735" s="4">
        <v>0.27728503629989482</v>
      </c>
      <c r="T3735" s="4">
        <v>0.11791615677341931</v>
      </c>
      <c r="U3735" s="4">
        <f t="shared" si="366"/>
        <v>0.26251034124977674</v>
      </c>
      <c r="W3735" s="4">
        <f t="shared" si="367"/>
        <v>0.49982670123302914</v>
      </c>
      <c r="X3735" s="4">
        <f t="shared" si="368"/>
        <v>0.52861950737178143</v>
      </c>
      <c r="Y3735" s="3">
        <f t="shared" si="365"/>
        <v>-26.591347593358932</v>
      </c>
      <c r="AA3735" s="3"/>
    </row>
    <row r="3736" spans="19:27" x14ac:dyDescent="0.25">
      <c r="S3736" s="4">
        <v>-5.8185467343382216E-2</v>
      </c>
      <c r="T3736" s="4">
        <v>-0.62008298578421517</v>
      </c>
      <c r="U3736" s="4">
        <f t="shared" si="366"/>
        <v>-0.52700599302960305</v>
      </c>
      <c r="W3736" s="4">
        <f t="shared" si="367"/>
        <v>-7.0626378111934965E-2</v>
      </c>
      <c r="X3736" s="4">
        <f t="shared" si="368"/>
        <v>-0.86337340258093143</v>
      </c>
      <c r="Y3736" s="3">
        <f t="shared" si="365"/>
        <v>-75.006535066894685</v>
      </c>
      <c r="AA3736" s="3"/>
    </row>
    <row r="3737" spans="19:27" x14ac:dyDescent="0.25">
      <c r="S3737" s="4">
        <v>1.7022652605484139</v>
      </c>
      <c r="T3737" s="4">
        <v>-0.25687927721526926</v>
      </c>
      <c r="U3737" s="4">
        <f t="shared" si="366"/>
        <v>0.83411273064335956</v>
      </c>
      <c r="W3737" s="4">
        <f t="shared" si="367"/>
        <v>2.9229439294249504</v>
      </c>
      <c r="X3737" s="4">
        <f t="shared" si="368"/>
        <v>1.5364092626960089</v>
      </c>
      <c r="Y3737" s="3">
        <f t="shared" si="365"/>
        <v>-293.03656236016741</v>
      </c>
      <c r="AA3737" s="3"/>
    </row>
    <row r="3738" spans="19:27" x14ac:dyDescent="0.25">
      <c r="S3738" s="4">
        <v>-0.13791130919982822</v>
      </c>
      <c r="T3738" s="4">
        <v>-0.66843524306047808</v>
      </c>
      <c r="U3738" s="4">
        <f t="shared" si="366"/>
        <v>-0.61393709349718684</v>
      </c>
      <c r="W3738" s="4">
        <f t="shared" si="367"/>
        <v>-0.20619672333292738</v>
      </c>
      <c r="X3738" s="4">
        <f t="shared" si="368"/>
        <v>-1.0166412581671131</v>
      </c>
      <c r="Y3738" s="3">
        <f t="shared" si="365"/>
        <v>-68.510976482852584</v>
      </c>
      <c r="AA3738" s="3"/>
    </row>
    <row r="3739" spans="19:27" x14ac:dyDescent="0.25">
      <c r="S3739" s="4">
        <v>-0.37433961894339435</v>
      </c>
      <c r="T3739" s="4">
        <v>0.93874249528316189</v>
      </c>
      <c r="U3739" s="4">
        <f t="shared" si="366"/>
        <v>0.51592789993202115</v>
      </c>
      <c r="W3739" s="4">
        <f t="shared" si="367"/>
        <v>-0.60823283641235859</v>
      </c>
      <c r="X3739" s="4">
        <f t="shared" si="368"/>
        <v>0.9754189333332246</v>
      </c>
      <c r="Y3739" s="3">
        <f t="shared" si="365"/>
        <v>195.97103331282051</v>
      </c>
      <c r="AA3739" s="3"/>
    </row>
    <row r="3740" spans="19:27" x14ac:dyDescent="0.25">
      <c r="S3740" s="4">
        <v>0.22048846378298689</v>
      </c>
      <c r="T3740" s="4">
        <v>-0.81261215794919128</v>
      </c>
      <c r="U3740" s="4">
        <f t="shared" si="366"/>
        <v>-0.50973648507137836</v>
      </c>
      <c r="W3740" s="4">
        <f t="shared" si="367"/>
        <v>0.40324658662789525</v>
      </c>
      <c r="X3740" s="4">
        <f t="shared" si="368"/>
        <v>-0.83292560613583055</v>
      </c>
      <c r="Y3740" s="3">
        <f t="shared" si="365"/>
        <v>-147.49350954911642</v>
      </c>
      <c r="AA3740" s="3"/>
    </row>
    <row r="3741" spans="19:27" x14ac:dyDescent="0.25">
      <c r="S3741" s="4">
        <v>-1.7909264890825196</v>
      </c>
      <c r="T3741" s="4">
        <v>0.44144552476733584</v>
      </c>
      <c r="U3741" s="4">
        <f t="shared" si="366"/>
        <v>-0.74185840235388656</v>
      </c>
      <c r="W3741" s="4">
        <f t="shared" si="367"/>
        <v>-3.0170775290289082</v>
      </c>
      <c r="X3741" s="4">
        <f t="shared" si="368"/>
        <v>-1.2421787768087307</v>
      </c>
      <c r="Y3741" s="3">
        <f t="shared" si="365"/>
        <v>383.17668694838085</v>
      </c>
      <c r="AA3741" s="3"/>
    </row>
    <row r="3742" spans="19:27" x14ac:dyDescent="0.25">
      <c r="S3742" s="4">
        <v>0.99152603132964445</v>
      </c>
      <c r="T3742" s="4">
        <v>-0.6903459264521925</v>
      </c>
      <c r="U3742" s="4">
        <f t="shared" si="366"/>
        <v>5.7224685275591769E-2</v>
      </c>
      <c r="W3742" s="4">
        <f t="shared" si="367"/>
        <v>1.7143626159684264</v>
      </c>
      <c r="X3742" s="4">
        <f t="shared" si="368"/>
        <v>0.16668123551591502</v>
      </c>
      <c r="Y3742" s="3">
        <f t="shared" si="365"/>
        <v>-250.53299874758113</v>
      </c>
      <c r="AA3742" s="3"/>
    </row>
    <row r="3743" spans="19:27" x14ac:dyDescent="0.25">
      <c r="S3743" s="4">
        <v>-0.22947990615144634</v>
      </c>
      <c r="T3743" s="4">
        <v>-0.57985327073826665</v>
      </c>
      <c r="U3743" s="4">
        <f t="shared" si="366"/>
        <v>-0.59954113078222804</v>
      </c>
      <c r="W3743" s="4">
        <f t="shared" si="367"/>
        <v>-0.36190516128815586</v>
      </c>
      <c r="X3743" s="4">
        <f t="shared" si="368"/>
        <v>-0.99125979718764312</v>
      </c>
      <c r="Y3743" s="3">
        <f t="shared" si="365"/>
        <v>-40.791255190152242</v>
      </c>
      <c r="AA3743" s="3"/>
    </row>
    <row r="3744" spans="19:27" x14ac:dyDescent="0.25">
      <c r="S3744" s="4">
        <v>-1.7614411066095217</v>
      </c>
      <c r="T3744" s="4">
        <v>-0.66584825164046246</v>
      </c>
      <c r="U3744" s="4">
        <f t="shared" si="366"/>
        <v>-1.6016263945049283</v>
      </c>
      <c r="W3744" s="4">
        <f t="shared" si="367"/>
        <v>-2.9669389116401459</v>
      </c>
      <c r="X3744" s="4">
        <f t="shared" si="368"/>
        <v>-2.7580320876473019</v>
      </c>
      <c r="Y3744" s="3">
        <f t="shared" si="365"/>
        <v>222.76289135738898</v>
      </c>
      <c r="AA3744" s="3"/>
    </row>
    <row r="3745" spans="19:27" x14ac:dyDescent="0.25">
      <c r="S3745" s="4">
        <v>0.82695383645926501</v>
      </c>
      <c r="T3745" s="4">
        <v>-0.21920898975217043</v>
      </c>
      <c r="U3745" s="4">
        <f t="shared" si="366"/>
        <v>0.33036429292178077</v>
      </c>
      <c r="W3745" s="4">
        <f t="shared" si="367"/>
        <v>1.4345147178110502</v>
      </c>
      <c r="X3745" s="4">
        <f t="shared" si="368"/>
        <v>0.64825252259737975</v>
      </c>
      <c r="Y3745" s="3">
        <f t="shared" si="365"/>
        <v>-159.77829630293672</v>
      </c>
      <c r="AA3745" s="3"/>
    </row>
    <row r="3746" spans="19:27" x14ac:dyDescent="0.25">
      <c r="S3746" s="4">
        <v>-9.5979399093413686E-2</v>
      </c>
      <c r="T3746" s="4">
        <v>0.85508239731726587</v>
      </c>
      <c r="U3746" s="4">
        <f t="shared" si="366"/>
        <v>0.6193058087236486</v>
      </c>
      <c r="W3746" s="4">
        <f t="shared" si="367"/>
        <v>-0.13489332412720778</v>
      </c>
      <c r="X3746" s="4">
        <f t="shared" si="368"/>
        <v>1.1576840871188363</v>
      </c>
      <c r="Y3746" s="3">
        <f t="shared" si="365"/>
        <v>137.43219401558508</v>
      </c>
      <c r="AA3746" s="3"/>
    </row>
    <row r="3747" spans="19:27" x14ac:dyDescent="0.25">
      <c r="S3747" s="4">
        <v>3.5234354591134553E-2</v>
      </c>
      <c r="T3747" s="4">
        <v>-1.6188580894323024</v>
      </c>
      <c r="U3747" s="4">
        <f t="shared" si="366"/>
        <v>-1.2617762385865188</v>
      </c>
      <c r="W3747" s="4">
        <f t="shared" si="367"/>
        <v>8.822998784467094E-2</v>
      </c>
      <c r="X3747" s="4">
        <f t="shared" si="368"/>
        <v>-2.1588437150387261</v>
      </c>
      <c r="Y3747" s="3">
        <f t="shared" si="365"/>
        <v>-230.00314484968339</v>
      </c>
      <c r="AA3747" s="3"/>
    </row>
    <row r="3748" spans="19:27" x14ac:dyDescent="0.25">
      <c r="S3748" s="4">
        <v>-1.3670434467835715</v>
      </c>
      <c r="T3748" s="4">
        <v>0.73769956261966529</v>
      </c>
      <c r="U3748" s="4">
        <f t="shared" si="366"/>
        <v>-0.24861163076802117</v>
      </c>
      <c r="W3748" s="4">
        <f t="shared" si="367"/>
        <v>-2.2962827523332177</v>
      </c>
      <c r="X3748" s="4">
        <f t="shared" si="368"/>
        <v>-0.37253747986042773</v>
      </c>
      <c r="Y3748" s="3">
        <f t="shared" si="365"/>
        <v>344.5247437528642</v>
      </c>
      <c r="AA3748" s="3"/>
    </row>
    <row r="3749" spans="19:27" x14ac:dyDescent="0.25">
      <c r="S3749" s="4">
        <v>-1.3282025169736289</v>
      </c>
      <c r="T3749" s="4">
        <v>-1.305886219258249</v>
      </c>
      <c r="U3749" s="4">
        <f t="shared" si="366"/>
        <v>-1.8448674726561067</v>
      </c>
      <c r="W3749" s="4">
        <f t="shared" si="367"/>
        <v>-2.2302354314090986</v>
      </c>
      <c r="X3749" s="4">
        <f t="shared" si="368"/>
        <v>-3.1868894038227009</v>
      </c>
      <c r="Y3749" s="3">
        <f t="shared" si="365"/>
        <v>51.718731309654231</v>
      </c>
      <c r="AA3749" s="3"/>
    </row>
    <row r="3750" spans="19:27" x14ac:dyDescent="0.25">
      <c r="S3750" s="4">
        <v>1.024110489532134</v>
      </c>
      <c r="T3750" s="4">
        <v>0.17330551093899343</v>
      </c>
      <c r="U3750" s="4">
        <f t="shared" si="366"/>
        <v>0.76169849958130487</v>
      </c>
      <c r="W3750" s="4">
        <f t="shared" si="367"/>
        <v>1.7697710775724396</v>
      </c>
      <c r="X3750" s="4">
        <f t="shared" si="368"/>
        <v>1.4087360381641041</v>
      </c>
      <c r="Y3750" s="3">
        <f t="shared" si="365"/>
        <v>-134.71492873812349</v>
      </c>
      <c r="AA3750" s="3"/>
    </row>
    <row r="3751" spans="19:27" x14ac:dyDescent="0.25">
      <c r="S3751" s="4">
        <v>-0.4766885466780249</v>
      </c>
      <c r="T3751" s="4">
        <v>0.8996168414993595</v>
      </c>
      <c r="U3751" s="4">
        <f t="shared" si="366"/>
        <v>0.42251911650051999</v>
      </c>
      <c r="W3751" s="4">
        <f t="shared" si="367"/>
        <v>-0.78227276051835171</v>
      </c>
      <c r="X3751" s="4">
        <f t="shared" si="368"/>
        <v>0.81073030230871768</v>
      </c>
      <c r="Y3751" s="3">
        <f t="shared" si="365"/>
        <v>208.02133625085753</v>
      </c>
      <c r="AA3751" s="3"/>
    </row>
    <row r="3752" spans="19:27" x14ac:dyDescent="0.25">
      <c r="S3752" s="4">
        <v>-3.2425804600749664</v>
      </c>
      <c r="T3752" s="4">
        <v>-0.62869591752777421</v>
      </c>
      <c r="U3752" s="4">
        <f t="shared" si="366"/>
        <v>-2.4751116326051745</v>
      </c>
      <c r="W3752" s="4">
        <f t="shared" si="367"/>
        <v>-5.4855523096807062</v>
      </c>
      <c r="X3752" s="4">
        <f t="shared" si="368"/>
        <v>-4.2980702168060638</v>
      </c>
      <c r="Y3752" s="3">
        <f t="shared" si="365"/>
        <v>529.21619633566388</v>
      </c>
      <c r="AA3752" s="3"/>
    </row>
    <row r="3753" spans="19:27" x14ac:dyDescent="0.25">
      <c r="S3753" s="4">
        <v>-1.7920962325546008</v>
      </c>
      <c r="T3753" s="4">
        <v>-1.4083503252222667</v>
      </c>
      <c r="U3753" s="4">
        <f t="shared" si="366"/>
        <v>-2.2088899110282219</v>
      </c>
      <c r="W3753" s="4">
        <f t="shared" si="367"/>
        <v>-3.0190666272013127</v>
      </c>
      <c r="X3753" s="4">
        <f t="shared" si="368"/>
        <v>-3.8286958253962093</v>
      </c>
      <c r="Y3753" s="3">
        <f t="shared" si="365"/>
        <v>124.87550498023575</v>
      </c>
      <c r="AA3753" s="3"/>
    </row>
    <row r="3754" spans="19:27" x14ac:dyDescent="0.25">
      <c r="S3754" s="4">
        <v>1.4315759168014173</v>
      </c>
      <c r="T3754" s="4">
        <v>-0.6403074028726824</v>
      </c>
      <c r="U3754" s="4">
        <f t="shared" si="366"/>
        <v>0.36515405206863516</v>
      </c>
      <c r="W3754" s="4">
        <f t="shared" si="367"/>
        <v>2.4626484101189083</v>
      </c>
      <c r="X3754" s="4">
        <f t="shared" si="368"/>
        <v>0.70959019981666749</v>
      </c>
      <c r="Y3754" s="3">
        <f t="shared" si="365"/>
        <v>-308.21810300673678</v>
      </c>
      <c r="AA3754" s="3"/>
    </row>
    <row r="3755" spans="19:27" x14ac:dyDescent="0.25">
      <c r="S3755" s="4">
        <v>0.50056619678801106</v>
      </c>
      <c r="T3755" s="4">
        <v>1.6045466954550913</v>
      </c>
      <c r="U3755" s="4">
        <f t="shared" si="366"/>
        <v>1.577067681624855</v>
      </c>
      <c r="W3755" s="4">
        <f t="shared" si="367"/>
        <v>0.87950665573538866</v>
      </c>
      <c r="X3755" s="4">
        <f t="shared" si="368"/>
        <v>2.8463099946731978</v>
      </c>
      <c r="Y3755" s="3">
        <f t="shared" si="365"/>
        <v>145.67989859831232</v>
      </c>
      <c r="AA3755" s="3"/>
    </row>
    <row r="3756" spans="19:27" x14ac:dyDescent="0.25">
      <c r="S3756" s="4">
        <v>1.4876903018407523</v>
      </c>
      <c r="T3756" s="4">
        <v>-1.0449907976644481</v>
      </c>
      <c r="U3756" s="4">
        <f t="shared" si="366"/>
        <v>7.8573335955662515E-2</v>
      </c>
      <c r="W3756" s="4">
        <f t="shared" si="367"/>
        <v>2.5580684944291407</v>
      </c>
      <c r="X3756" s="4">
        <f t="shared" si="368"/>
        <v>0.20432095124242952</v>
      </c>
      <c r="Y3756" s="3">
        <f t="shared" si="365"/>
        <v>-372.82387553656872</v>
      </c>
      <c r="AA3756" s="3"/>
    </row>
    <row r="3757" spans="19:27" x14ac:dyDescent="0.25">
      <c r="S3757" s="4">
        <v>-0.71309073683962332</v>
      </c>
      <c r="T3757" s="4">
        <v>-0.53944084596448949</v>
      </c>
      <c r="U3757" s="4">
        <f t="shared" si="366"/>
        <v>-0.86232647683942476</v>
      </c>
      <c r="W3757" s="4">
        <f t="shared" si="367"/>
        <v>-1.1842644583785524</v>
      </c>
      <c r="X3757" s="4">
        <f t="shared" si="368"/>
        <v>-1.454575529451704</v>
      </c>
      <c r="Y3757" s="3">
        <f t="shared" si="365"/>
        <v>47.970278543228233</v>
      </c>
      <c r="AA3757" s="3"/>
    </row>
    <row r="3758" spans="19:27" x14ac:dyDescent="0.25">
      <c r="S3758" s="4">
        <v>0.48162678025472544</v>
      </c>
      <c r="T3758" s="4">
        <v>0.344686930362049</v>
      </c>
      <c r="U3758" s="4">
        <f t="shared" si="366"/>
        <v>0.56684100996013265</v>
      </c>
      <c r="W3758" s="4">
        <f t="shared" si="367"/>
        <v>0.84730099721973506</v>
      </c>
      <c r="X3758" s="4">
        <f t="shared" si="368"/>
        <v>1.0651836223025286</v>
      </c>
      <c r="Y3758" s="3">
        <f t="shared" si="365"/>
        <v>-27.414521137745396</v>
      </c>
      <c r="AA3758" s="3"/>
    </row>
    <row r="3759" spans="19:27" x14ac:dyDescent="0.25">
      <c r="S3759" s="4">
        <v>-0.1554821528680943</v>
      </c>
      <c r="T3759" s="4">
        <v>-0.59027415934010929</v>
      </c>
      <c r="U3759" s="4">
        <f t="shared" si="366"/>
        <v>-0.56269100457862908</v>
      </c>
      <c r="W3759" s="4">
        <f t="shared" si="367"/>
        <v>-0.23607518289463503</v>
      </c>
      <c r="X3759" s="4">
        <f t="shared" si="368"/>
        <v>-0.92628949552429463</v>
      </c>
      <c r="Y3759" s="3">
        <f t="shared" si="365"/>
        <v>-54.653539974305659</v>
      </c>
      <c r="AA3759" s="3"/>
    </row>
    <row r="3760" spans="19:27" x14ac:dyDescent="0.25">
      <c r="S3760" s="4">
        <v>0.27900565853943471</v>
      </c>
      <c r="T3760" s="4">
        <v>0.83845150652865696</v>
      </c>
      <c r="U3760" s="4">
        <f t="shared" si="366"/>
        <v>0.83472189207220204</v>
      </c>
      <c r="W3760" s="4">
        <f t="shared" si="367"/>
        <v>0.50275254491906207</v>
      </c>
      <c r="X3760" s="4">
        <f t="shared" si="368"/>
        <v>1.537483272634941</v>
      </c>
      <c r="Y3760" s="3">
        <f t="shared" si="365"/>
        <v>73.833713915697899</v>
      </c>
      <c r="AA3760" s="3"/>
    </row>
    <row r="3761" spans="19:27" x14ac:dyDescent="0.25">
      <c r="S3761" s="4">
        <v>-0.19916763432982021</v>
      </c>
      <c r="T3761" s="4">
        <v>-7.1497973519450309E-2</v>
      </c>
      <c r="U3761" s="4">
        <f t="shared" si="366"/>
        <v>-0.1780929066657107</v>
      </c>
      <c r="W3761" s="4">
        <f t="shared" si="367"/>
        <v>-0.31036045433241288</v>
      </c>
      <c r="X3761" s="4">
        <f t="shared" si="368"/>
        <v>-0.24820621563278725</v>
      </c>
      <c r="Y3761" s="3">
        <f t="shared" si="365"/>
        <v>25.164211337463257</v>
      </c>
      <c r="AA3761" s="3"/>
    </row>
    <row r="3762" spans="19:27" x14ac:dyDescent="0.25">
      <c r="S3762" s="4">
        <v>0.62587334474760314</v>
      </c>
      <c r="T3762" s="4">
        <v>0.33621162835885765</v>
      </c>
      <c r="U3762" s="4">
        <f t="shared" si="366"/>
        <v>0.64805862982712847</v>
      </c>
      <c r="W3762" s="4">
        <f t="shared" si="367"/>
        <v>1.0925860401855179</v>
      </c>
      <c r="X3762" s="4">
        <f t="shared" si="368"/>
        <v>1.2083780644052136</v>
      </c>
      <c r="Y3762" s="3">
        <f t="shared" si="365"/>
        <v>-51.181867802547458</v>
      </c>
      <c r="AA3762" s="3"/>
    </row>
    <row r="3763" spans="19:27" x14ac:dyDescent="0.25">
      <c r="S3763" s="4">
        <v>0.47477631360328559</v>
      </c>
      <c r="T3763" s="4">
        <v>-1.0588193780461619</v>
      </c>
      <c r="U3763" s="4">
        <f t="shared" si="366"/>
        <v>-0.54988343656395733</v>
      </c>
      <c r="W3763" s="4">
        <f t="shared" si="367"/>
        <v>0.83565207502292904</v>
      </c>
      <c r="X3763" s="4">
        <f t="shared" si="368"/>
        <v>-0.90370852652327638</v>
      </c>
      <c r="Y3763" s="3">
        <f t="shared" si="365"/>
        <v>-222.487323673633</v>
      </c>
      <c r="AA3763" s="3"/>
    </row>
    <row r="3764" spans="19:27" x14ac:dyDescent="0.25">
      <c r="S3764" s="4">
        <v>-0.6052631543479956</v>
      </c>
      <c r="T3764" s="4">
        <v>1.5768900730246169</v>
      </c>
      <c r="U3764" s="4">
        <f t="shared" si="366"/>
        <v>0.88100625219873252</v>
      </c>
      <c r="W3764" s="4">
        <f t="shared" si="367"/>
        <v>-1.0009083188591164</v>
      </c>
      <c r="X3764" s="4">
        <f t="shared" si="368"/>
        <v>1.6190870322286344</v>
      </c>
      <c r="Y3764" s="3">
        <f t="shared" si="365"/>
        <v>324.90866644419293</v>
      </c>
      <c r="AA3764" s="3"/>
    </row>
    <row r="3765" spans="19:27" x14ac:dyDescent="0.25">
      <c r="S3765" s="4">
        <v>0.50813696065698088</v>
      </c>
      <c r="T3765" s="4">
        <v>0.45987845259988891</v>
      </c>
      <c r="U3765" s="4">
        <f t="shared" si="366"/>
        <v>0.67431360775205618</v>
      </c>
      <c r="W3765" s="4">
        <f t="shared" si="367"/>
        <v>0.89238041219130582</v>
      </c>
      <c r="X3765" s="4">
        <f t="shared" si="368"/>
        <v>1.2546681049473412</v>
      </c>
      <c r="Y3765" s="3">
        <f t="shared" si="365"/>
        <v>-15.488773277420023</v>
      </c>
      <c r="AA3765" s="3"/>
    </row>
    <row r="3766" spans="19:27" x14ac:dyDescent="0.25">
      <c r="S3766" s="4">
        <v>-0.22999679603866391</v>
      </c>
      <c r="T3766" s="4">
        <v>0.38464263045032809</v>
      </c>
      <c r="U3766" s="4">
        <f t="shared" si="366"/>
        <v>0.16469196478204381</v>
      </c>
      <c r="W3766" s="4">
        <f t="shared" si="367"/>
        <v>-0.36278411018125756</v>
      </c>
      <c r="X3766" s="4">
        <f t="shared" si="368"/>
        <v>0.3561563415141048</v>
      </c>
      <c r="Y3766" s="3">
        <f t="shared" si="365"/>
        <v>94.092862211114152</v>
      </c>
      <c r="AA3766" s="3"/>
    </row>
    <row r="3767" spans="19:27" x14ac:dyDescent="0.25">
      <c r="S3767" s="4">
        <v>-0.92356609793403455</v>
      </c>
      <c r="T3767" s="4">
        <v>1.8732200286590448</v>
      </c>
      <c r="U3767" s="4">
        <f t="shared" si="366"/>
        <v>0.9218600666643112</v>
      </c>
      <c r="W3767" s="4">
        <f t="shared" si="367"/>
        <v>-1.5421687049773021</v>
      </c>
      <c r="X3767" s="4">
        <f t="shared" si="368"/>
        <v>1.6911162197343175</v>
      </c>
      <c r="Y3767" s="3">
        <f t="shared" si="365"/>
        <v>422.44420555289071</v>
      </c>
      <c r="AA3767" s="3"/>
    </row>
    <row r="3768" spans="19:27" x14ac:dyDescent="0.25">
      <c r="S3768" s="4">
        <v>-0.26890009852356034</v>
      </c>
      <c r="T3768" s="4">
        <v>-0.94282606952662629</v>
      </c>
      <c r="U3768" s="4">
        <f t="shared" si="366"/>
        <v>-0.91129820028156672</v>
      </c>
      <c r="W3768" s="4">
        <f t="shared" si="367"/>
        <v>-0.42893749314095941</v>
      </c>
      <c r="X3768" s="4">
        <f t="shared" si="368"/>
        <v>-1.5409173679417796</v>
      </c>
      <c r="Y3768" s="3">
        <f t="shared" si="365"/>
        <v>-84.877558858719112</v>
      </c>
      <c r="AA3768" s="3"/>
    </row>
    <row r="3769" spans="19:27" x14ac:dyDescent="0.25">
      <c r="S3769" s="4">
        <v>1.646056740001083</v>
      </c>
      <c r="T3769" s="4">
        <v>0.1327521764535991</v>
      </c>
      <c r="U3769" s="4">
        <f t="shared" si="366"/>
        <v>1.1087045060526488</v>
      </c>
      <c r="W3769" s="4">
        <f t="shared" si="367"/>
        <v>2.8273637717555742</v>
      </c>
      <c r="X3769" s="4">
        <f t="shared" si="368"/>
        <v>2.0205408606191009</v>
      </c>
      <c r="Y3769" s="3">
        <f t="shared" si="365"/>
        <v>-230.69284310713192</v>
      </c>
      <c r="AA3769" s="3"/>
    </row>
    <row r="3770" spans="19:27" x14ac:dyDescent="0.25">
      <c r="S3770" s="4">
        <v>-0.79060114913363555</v>
      </c>
      <c r="T3770" s="4">
        <v>-2.5323605838700431</v>
      </c>
      <c r="U3770" s="4">
        <f t="shared" si="366"/>
        <v>-2.4893501242000058</v>
      </c>
      <c r="W3770" s="4">
        <f t="shared" si="367"/>
        <v>-1.3160675614657742</v>
      </c>
      <c r="X3770" s="4">
        <f t="shared" si="368"/>
        <v>-4.3231740411196125</v>
      </c>
      <c r="Y3770" s="3">
        <f t="shared" si="365"/>
        <v>-216.90752200649649</v>
      </c>
      <c r="AA3770" s="3"/>
    </row>
    <row r="3771" spans="19:27" x14ac:dyDescent="0.25">
      <c r="S3771" s="4">
        <v>-0.74219771324904416</v>
      </c>
      <c r="T3771" s="4">
        <v>-0.2975051115695902</v>
      </c>
      <c r="U3771" s="4">
        <f t="shared" si="366"/>
        <v>-0.68829021333803109</v>
      </c>
      <c r="W3771" s="4">
        <f t="shared" si="367"/>
        <v>-1.2337596126256496</v>
      </c>
      <c r="X3771" s="4">
        <f t="shared" si="368"/>
        <v>-1.1477329293049712</v>
      </c>
      <c r="Y3771" s="3">
        <f t="shared" si="365"/>
        <v>86.898573415035116</v>
      </c>
      <c r="AA3771" s="3"/>
    </row>
    <row r="3772" spans="19:27" x14ac:dyDescent="0.25">
      <c r="S3772" s="4">
        <v>0.15053232561333299</v>
      </c>
      <c r="T3772" s="4">
        <v>0.66861953920231354</v>
      </c>
      <c r="U3772" s="4">
        <f t="shared" si="366"/>
        <v>0.62177723678187902</v>
      </c>
      <c r="W3772" s="4">
        <f t="shared" si="367"/>
        <v>0.28428919989920781</v>
      </c>
      <c r="X3772" s="4">
        <f t="shared" si="368"/>
        <v>1.1620414514761614</v>
      </c>
      <c r="Y3772" s="3">
        <f t="shared" si="365"/>
        <v>70.85531646613299</v>
      </c>
      <c r="AA3772" s="3"/>
    </row>
    <row r="3773" spans="19:27" x14ac:dyDescent="0.25">
      <c r="S3773" s="4">
        <v>-0.29868162041820795</v>
      </c>
      <c r="T3773" s="4">
        <v>1.1125407885481597</v>
      </c>
      <c r="U3773" s="4">
        <f t="shared" si="366"/>
        <v>0.69981922387964335</v>
      </c>
      <c r="W3773" s="4">
        <f t="shared" si="367"/>
        <v>-0.47957968280555785</v>
      </c>
      <c r="X3773" s="4">
        <f t="shared" si="368"/>
        <v>1.2996369488737716</v>
      </c>
      <c r="Y3773" s="3">
        <f t="shared" si="365"/>
        <v>207.41269277921492</v>
      </c>
      <c r="AA3773" s="3"/>
    </row>
    <row r="3774" spans="19:27" x14ac:dyDescent="0.25">
      <c r="S3774" s="4">
        <v>0.23873518662267779</v>
      </c>
      <c r="T3774" s="4">
        <v>1.1335276488186365</v>
      </c>
      <c r="U3774" s="4">
        <f t="shared" si="366"/>
        <v>1.0440766168556832</v>
      </c>
      <c r="W3774" s="4">
        <f t="shared" si="367"/>
        <v>0.43427434948279015</v>
      </c>
      <c r="X3774" s="4">
        <f t="shared" si="368"/>
        <v>1.906595702499609</v>
      </c>
      <c r="Y3774" s="3">
        <f t="shared" si="365"/>
        <v>121.55336304669299</v>
      </c>
      <c r="AA3774" s="3"/>
    </row>
    <row r="3775" spans="19:27" x14ac:dyDescent="0.25">
      <c r="S3775" s="4">
        <v>0.4787205261913095</v>
      </c>
      <c r="T3775" s="4">
        <v>-0.37074059601869352</v>
      </c>
      <c r="U3775" s="4">
        <f t="shared" si="366"/>
        <v>-2.0443976526545726E-3</v>
      </c>
      <c r="W3775" s="4">
        <f t="shared" si="367"/>
        <v>0.842359037906384</v>
      </c>
      <c r="X3775" s="4">
        <f t="shared" si="368"/>
        <v>6.2184166065387465E-2</v>
      </c>
      <c r="Y3775" s="3">
        <f t="shared" si="365"/>
        <v>-126.94395327337634</v>
      </c>
      <c r="AA3775" s="3"/>
    </row>
    <row r="3776" spans="19:27" x14ac:dyDescent="0.25">
      <c r="S3776" s="4">
        <v>0.28955530412695468</v>
      </c>
      <c r="T3776" s="4">
        <v>-7.4095456506542284E-2</v>
      </c>
      <c r="U3776" s="4">
        <f t="shared" si="366"/>
        <v>0.11778449689879761</v>
      </c>
      <c r="W3776" s="4">
        <f t="shared" si="367"/>
        <v>0.52069176087409019</v>
      </c>
      <c r="X3776" s="4">
        <f t="shared" si="368"/>
        <v>0.27345398326978765</v>
      </c>
      <c r="Y3776" s="3">
        <f t="shared" si="365"/>
        <v>-55.396714715082908</v>
      </c>
      <c r="AA3776" s="3"/>
    </row>
    <row r="3777" spans="19:27" x14ac:dyDescent="0.25">
      <c r="S3777" s="4">
        <v>0.67191542212115285</v>
      </c>
      <c r="T3777" s="4">
        <v>-0.34413942596347119</v>
      </c>
      <c r="U3777" s="4">
        <f t="shared" si="366"/>
        <v>0.13681805663956831</v>
      </c>
      <c r="W3777" s="4">
        <f t="shared" si="367"/>
        <v>1.1708786010274967</v>
      </c>
      <c r="X3777" s="4">
        <f t="shared" si="368"/>
        <v>0.30701197195218366</v>
      </c>
      <c r="Y3777" s="3">
        <f t="shared" si="365"/>
        <v>-153.41104313368533</v>
      </c>
      <c r="AA3777" s="3"/>
    </row>
    <row r="3778" spans="19:27" x14ac:dyDescent="0.25">
      <c r="S3778" s="4">
        <v>-0.21688912074829383</v>
      </c>
      <c r="T3778" s="4">
        <v>0.80498090773127828</v>
      </c>
      <c r="U3778" s="4">
        <f t="shared" si="366"/>
        <v>0.50588149375106894</v>
      </c>
      <c r="W3778" s="4">
        <f t="shared" si="367"/>
        <v>-0.34049507537420187</v>
      </c>
      <c r="X3778" s="4">
        <f t="shared" si="368"/>
        <v>0.95770615708375695</v>
      </c>
      <c r="Y3778" s="3">
        <f t="shared" ref="Y3778:Y3841" si="369">(B$4*EXP(-B$8*B$7)*NORMSDIST((LN(B$4/(B$5+W3778))-B$8*B$7+B$9*B$7+0.5*B$6*B$6*B$7)/(B$6*SQRT(B$7)))-(B$5+W3778)*EXP(-B$9*B$7)*NORMSDIST((LN(B$4/(B$5+W3778))-B$8*B$7+B$9*B$7-0.5*B$6*B$6*B$7)/(B$6*SQRT(B$7))))*400+100*X3778-400*$B$13</f>
        <v>150.63537490321778</v>
      </c>
      <c r="AA3778" s="3"/>
    </row>
    <row r="3779" spans="19:27" x14ac:dyDescent="0.25">
      <c r="S3779" s="4">
        <v>0.73256855409778809</v>
      </c>
      <c r="T3779" s="4">
        <v>-1.279138818414755</v>
      </c>
      <c r="U3779" s="4">
        <f t="shared" ref="U3779:U3842" si="370">$B$19*S3779+SQRT(1-$B$19^2)*T3779</f>
        <v>-0.56737299693333632</v>
      </c>
      <c r="W3779" s="4">
        <f t="shared" ref="W3779:W3842" si="371">S3779*SQRT($B$16)+$B$20</f>
        <v>1.2740166281631993</v>
      </c>
      <c r="X3779" s="4">
        <f t="shared" ref="X3779:X3842" si="372">U3779*SQRT($C$17)+$C$20</f>
        <v>-0.93454429644383974</v>
      </c>
      <c r="Y3779" s="3">
        <f t="shared" si="369"/>
        <v>-293.44928564979364</v>
      </c>
      <c r="AA3779" s="3"/>
    </row>
    <row r="3780" spans="19:27" x14ac:dyDescent="0.25">
      <c r="S3780" s="4">
        <v>-0.60881238209777055</v>
      </c>
      <c r="T3780" s="4">
        <v>-1.6332486896179863</v>
      </c>
      <c r="U3780" s="4">
        <f t="shared" si="370"/>
        <v>-1.6658088130632622</v>
      </c>
      <c r="W3780" s="4">
        <f t="shared" si="371"/>
        <v>-1.0069436271117569</v>
      </c>
      <c r="X3780" s="4">
        <f t="shared" si="372"/>
        <v>-2.8711918383678028</v>
      </c>
      <c r="Y3780" s="3">
        <f t="shared" si="369"/>
        <v>-123.12047767934564</v>
      </c>
      <c r="AA3780" s="3"/>
    </row>
    <row r="3781" spans="19:27" x14ac:dyDescent="0.25">
      <c r="S3781" s="4">
        <v>-0.23767664027325669</v>
      </c>
      <c r="T3781" s="4">
        <v>2.8517118443194569E-2</v>
      </c>
      <c r="U3781" s="4">
        <f t="shared" si="370"/>
        <v>-0.12228769072380434</v>
      </c>
      <c r="W3781" s="4">
        <f t="shared" si="371"/>
        <v>-0.37584335308021494</v>
      </c>
      <c r="X3781" s="4">
        <f t="shared" si="372"/>
        <v>-0.14981627541652112</v>
      </c>
      <c r="Y3781" s="3">
        <f t="shared" si="369"/>
        <v>45.61336223065473</v>
      </c>
      <c r="AA3781" s="3"/>
    </row>
    <row r="3782" spans="19:27" x14ac:dyDescent="0.25">
      <c r="S3782" s="4">
        <v>6.2905956854571399E-2</v>
      </c>
      <c r="T3782" s="4">
        <v>-1.2884843558640273</v>
      </c>
      <c r="U3782" s="4">
        <f t="shared" si="370"/>
        <v>-0.98302239057510465</v>
      </c>
      <c r="W3782" s="4">
        <f t="shared" si="371"/>
        <v>0.13528435044929504</v>
      </c>
      <c r="X3782" s="4">
        <f t="shared" si="372"/>
        <v>-1.6673739845130267</v>
      </c>
      <c r="Y3782" s="3">
        <f t="shared" si="369"/>
        <v>-188.36948568077469</v>
      </c>
      <c r="AA3782" s="3"/>
    </row>
    <row r="3783" spans="19:27" x14ac:dyDescent="0.25">
      <c r="S3783" s="4">
        <v>1.5113113674961458</v>
      </c>
      <c r="T3783" s="4">
        <v>-1.2858661466694474</v>
      </c>
      <c r="U3783" s="4">
        <f t="shared" si="370"/>
        <v>-9.7966702106647596E-2</v>
      </c>
      <c r="W3783" s="4">
        <f t="shared" si="371"/>
        <v>2.5982350947537318</v>
      </c>
      <c r="X3783" s="4">
        <f t="shared" si="372"/>
        <v>-0.10693604324371475</v>
      </c>
      <c r="Y3783" s="3">
        <f t="shared" si="369"/>
        <v>-409.86253011982171</v>
      </c>
      <c r="AA3783" s="3"/>
    </row>
    <row r="3784" spans="19:27" x14ac:dyDescent="0.25">
      <c r="S3784" s="4">
        <v>6.3063083632011352E-2</v>
      </c>
      <c r="T3784" s="4">
        <v>-2.1323569682493142</v>
      </c>
      <c r="U3784" s="4">
        <f t="shared" si="370"/>
        <v>-1.6518576874254332</v>
      </c>
      <c r="W3784" s="4">
        <f t="shared" si="371"/>
        <v>0.13555153773719289</v>
      </c>
      <c r="X3784" s="4">
        <f t="shared" si="372"/>
        <v>-2.8465946677577194</v>
      </c>
      <c r="Y3784" s="3">
        <f t="shared" si="369"/>
        <v>-306.33418399166794</v>
      </c>
      <c r="AA3784" s="3"/>
    </row>
    <row r="3785" spans="19:27" x14ac:dyDescent="0.25">
      <c r="S3785" s="4">
        <v>-0.54470452825446736</v>
      </c>
      <c r="T3785" s="4">
        <v>0.66055839136741878</v>
      </c>
      <c r="U3785" s="4">
        <f t="shared" si="370"/>
        <v>0.19155533108923134</v>
      </c>
      <c r="W3785" s="4">
        <f t="shared" si="371"/>
        <v>-0.89793099488941253</v>
      </c>
      <c r="X3785" s="4">
        <f t="shared" si="372"/>
        <v>0.40351902904000403</v>
      </c>
      <c r="Y3785" s="3">
        <f t="shared" si="369"/>
        <v>186.34030703753615</v>
      </c>
      <c r="AA3785" s="3"/>
    </row>
    <row r="3786" spans="19:27" x14ac:dyDescent="0.25">
      <c r="S3786" s="4">
        <v>1.3443820447991728</v>
      </c>
      <c r="T3786" s="4">
        <v>6.6791140510875915E-3</v>
      </c>
      <c r="U3786" s="4">
        <f t="shared" si="370"/>
        <v>0.82485977056628823</v>
      </c>
      <c r="W3786" s="4">
        <f t="shared" si="371"/>
        <v>2.3143790026940989</v>
      </c>
      <c r="X3786" s="4">
        <f t="shared" si="372"/>
        <v>1.5200954079166584</v>
      </c>
      <c r="Y3786" s="3">
        <f t="shared" si="369"/>
        <v>-205.20154278680548</v>
      </c>
      <c r="AA3786" s="3"/>
    </row>
    <row r="3787" spans="19:27" x14ac:dyDescent="0.25">
      <c r="S3787" s="4">
        <v>0.79533342565885312</v>
      </c>
      <c r="T3787" s="4">
        <v>-0.69155368753849766</v>
      </c>
      <c r="U3787" s="4">
        <f t="shared" si="370"/>
        <v>-6.3336087135839214E-2</v>
      </c>
      <c r="W3787" s="4">
        <f t="shared" si="371"/>
        <v>1.3807455771105956</v>
      </c>
      <c r="X3787" s="4">
        <f t="shared" si="372"/>
        <v>-4.587895244816266E-2</v>
      </c>
      <c r="Y3787" s="3">
        <f t="shared" si="369"/>
        <v>-220.96167833678328</v>
      </c>
      <c r="AA3787" s="3"/>
    </row>
    <row r="3788" spans="19:27" x14ac:dyDescent="0.25">
      <c r="S3788" s="4">
        <v>0.79300304237363695</v>
      </c>
      <c r="T3788" s="4">
        <v>1.0403667806546075</v>
      </c>
      <c r="U3788" s="4">
        <f t="shared" si="370"/>
        <v>1.3081227917933753</v>
      </c>
      <c r="W3788" s="4">
        <f t="shared" si="371"/>
        <v>1.3767828611440105</v>
      </c>
      <c r="X3788" s="4">
        <f t="shared" si="372"/>
        <v>2.3721343968305852</v>
      </c>
      <c r="Y3788" s="3">
        <f t="shared" si="369"/>
        <v>21.446757181022804</v>
      </c>
      <c r="AA3788" s="3"/>
    </row>
    <row r="3789" spans="19:27" x14ac:dyDescent="0.25">
      <c r="S3789" s="4">
        <v>-0.30710611916427305</v>
      </c>
      <c r="T3789" s="4">
        <v>-1.2631080236446839</v>
      </c>
      <c r="U3789" s="4">
        <f t="shared" si="370"/>
        <v>-1.1884743917510774</v>
      </c>
      <c r="W3789" s="4">
        <f t="shared" si="371"/>
        <v>-0.49390517848830462</v>
      </c>
      <c r="X3789" s="4">
        <f t="shared" si="372"/>
        <v>-2.0296055388906598</v>
      </c>
      <c r="Y3789" s="3">
        <f t="shared" si="369"/>
        <v>-123.17969290365454</v>
      </c>
      <c r="AA3789" s="3"/>
    </row>
    <row r="3790" spans="19:27" x14ac:dyDescent="0.25">
      <c r="S3790" s="4">
        <v>-0.38488906220477853</v>
      </c>
      <c r="T3790" s="4">
        <v>-1.7409277609589864</v>
      </c>
      <c r="U3790" s="4">
        <f t="shared" si="370"/>
        <v>-1.6146565015711067</v>
      </c>
      <c r="W3790" s="4">
        <f t="shared" si="371"/>
        <v>-0.62617170832054525</v>
      </c>
      <c r="X3790" s="4">
        <f t="shared" si="372"/>
        <v>-2.7810054143088716</v>
      </c>
      <c r="Y3790" s="3">
        <f t="shared" si="369"/>
        <v>-176.73915450028971</v>
      </c>
      <c r="AA3790" s="3"/>
    </row>
    <row r="3791" spans="19:27" x14ac:dyDescent="0.25">
      <c r="S3791" s="4">
        <v>-0.3916331541215588</v>
      </c>
      <c r="T3791" s="4">
        <v>-0.34634597454232413</v>
      </c>
      <c r="U3791" s="4">
        <f t="shared" si="370"/>
        <v>-0.51329399862555158</v>
      </c>
      <c r="W3791" s="4">
        <f t="shared" si="371"/>
        <v>-0.63763974488272146</v>
      </c>
      <c r="X3791" s="4">
        <f t="shared" si="372"/>
        <v>-0.83919784323778956</v>
      </c>
      <c r="Y3791" s="3">
        <f t="shared" si="369"/>
        <v>19.31702227052574</v>
      </c>
      <c r="AA3791" s="3"/>
    </row>
    <row r="3792" spans="19:27" x14ac:dyDescent="0.25">
      <c r="S3792" s="4">
        <v>-0.25124315343157011</v>
      </c>
      <c r="T3792" s="4">
        <v>-0.37222491724735957</v>
      </c>
      <c r="U3792" s="4">
        <f t="shared" si="370"/>
        <v>-0.44822315318472883</v>
      </c>
      <c r="W3792" s="4">
        <f t="shared" si="371"/>
        <v>-0.39891262183286569</v>
      </c>
      <c r="X3792" s="4">
        <f t="shared" si="372"/>
        <v>-0.72447171083809958</v>
      </c>
      <c r="Y3792" s="3">
        <f t="shared" si="369"/>
        <v>-8.1089683778836843</v>
      </c>
      <c r="AA3792" s="3"/>
    </row>
    <row r="3793" spans="19:27" x14ac:dyDescent="0.25">
      <c r="S3793" s="4">
        <v>0.64786629633292003</v>
      </c>
      <c r="T3793" s="4">
        <v>1.0962050476509317</v>
      </c>
      <c r="U3793" s="4">
        <f t="shared" si="370"/>
        <v>1.2639067417365952</v>
      </c>
      <c r="W3793" s="4">
        <f t="shared" si="371"/>
        <v>1.1299841029644426</v>
      </c>
      <c r="X3793" s="4">
        <f t="shared" si="372"/>
        <v>2.2941772659735906</v>
      </c>
      <c r="Y3793" s="3">
        <f t="shared" si="369"/>
        <v>51.617908728863767</v>
      </c>
      <c r="AA3793" s="3"/>
    </row>
    <row r="3794" spans="19:27" x14ac:dyDescent="0.25">
      <c r="S3794" s="4">
        <v>0.51358691519474375</v>
      </c>
      <c r="T3794" s="4">
        <v>-0.72824121983485179</v>
      </c>
      <c r="U3794" s="4">
        <f t="shared" si="370"/>
        <v>-0.26417696024745502</v>
      </c>
      <c r="W3794" s="4">
        <f t="shared" si="371"/>
        <v>0.9016478241234821</v>
      </c>
      <c r="X3794" s="4">
        <f t="shared" si="372"/>
        <v>-0.39998064643686837</v>
      </c>
      <c r="Y3794" s="3">
        <f t="shared" si="369"/>
        <v>-182.39608993291222</v>
      </c>
      <c r="AA3794" s="3"/>
    </row>
    <row r="3795" spans="19:27" x14ac:dyDescent="0.25">
      <c r="S3795" s="4">
        <v>1.5340004896405572</v>
      </c>
      <c r="T3795" s="4">
        <v>1.2216356879433472</v>
      </c>
      <c r="U3795" s="4">
        <f t="shared" si="370"/>
        <v>1.9035417847632659</v>
      </c>
      <c r="W3795" s="4">
        <f t="shared" si="371"/>
        <v>2.636816965452792</v>
      </c>
      <c r="X3795" s="4">
        <f t="shared" si="372"/>
        <v>3.4219151051952386</v>
      </c>
      <c r="Y3795" s="3">
        <f t="shared" si="369"/>
        <v>-62.649577863800005</v>
      </c>
      <c r="AA3795" s="3"/>
    </row>
    <row r="3796" spans="19:27" x14ac:dyDescent="0.25">
      <c r="S3796" s="4">
        <v>0.78706279456479866</v>
      </c>
      <c r="T3796" s="4">
        <v>-1.2963002190531869</v>
      </c>
      <c r="U3796" s="4">
        <f t="shared" si="370"/>
        <v>-0.5477557973970657</v>
      </c>
      <c r="W3796" s="4">
        <f t="shared" si="371"/>
        <v>1.3666817267139406</v>
      </c>
      <c r="X3796" s="4">
        <f t="shared" si="372"/>
        <v>-0.89995729490632193</v>
      </c>
      <c r="Y3796" s="3">
        <f t="shared" si="369"/>
        <v>-304.21452754815391</v>
      </c>
      <c r="AA3796" s="3"/>
    </row>
    <row r="3797" spans="19:27" x14ac:dyDescent="0.25">
      <c r="S3797" s="4">
        <v>-0.3695555367955804</v>
      </c>
      <c r="T3797" s="4">
        <v>2.1809047430657764</v>
      </c>
      <c r="U3797" s="4">
        <f t="shared" si="370"/>
        <v>1.5034964831965931</v>
      </c>
      <c r="W3797" s="4">
        <f t="shared" si="371"/>
        <v>-0.60009771167435266</v>
      </c>
      <c r="X3797" s="4">
        <f t="shared" si="372"/>
        <v>2.7165969258709692</v>
      </c>
      <c r="Y3797" s="3">
        <f t="shared" si="369"/>
        <v>368.75963749142284</v>
      </c>
      <c r="AA3797" s="3"/>
    </row>
    <row r="3798" spans="19:27" x14ac:dyDescent="0.25">
      <c r="S3798" s="4">
        <v>1.3275516163804739</v>
      </c>
      <c r="T3798" s="4">
        <v>-0.4686297570608885</v>
      </c>
      <c r="U3798" s="4">
        <f t="shared" si="370"/>
        <v>0.43782601722248032</v>
      </c>
      <c r="W3798" s="4">
        <f t="shared" si="371"/>
        <v>2.285759587234697</v>
      </c>
      <c r="X3798" s="4">
        <f t="shared" si="372"/>
        <v>0.83771783423580137</v>
      </c>
      <c r="Y3798" s="3">
        <f t="shared" si="369"/>
        <v>-269.18678836011668</v>
      </c>
      <c r="AA3798" s="3"/>
    </row>
    <row r="3799" spans="19:27" x14ac:dyDescent="0.25">
      <c r="S3799" s="4">
        <v>-1.1148654163955325</v>
      </c>
      <c r="T3799" s="4">
        <v>0.58510359987293059</v>
      </c>
      <c r="U3799" s="4">
        <f t="shared" si="370"/>
        <v>-0.21583987867604093</v>
      </c>
      <c r="W3799" s="4">
        <f t="shared" si="371"/>
        <v>-1.8674649206141769</v>
      </c>
      <c r="X3799" s="4">
        <f t="shared" si="372"/>
        <v>-0.31475774234505161</v>
      </c>
      <c r="Y3799" s="3">
        <f t="shared" si="369"/>
        <v>276.89217282051504</v>
      </c>
      <c r="AA3799" s="3"/>
    </row>
    <row r="3800" spans="19:27" x14ac:dyDescent="0.25">
      <c r="S3800" s="4">
        <v>0.99814961791547241</v>
      </c>
      <c r="T3800" s="4">
        <v>-1.2747798736164384</v>
      </c>
      <c r="U3800" s="4">
        <f t="shared" si="370"/>
        <v>-0.40201355407174333</v>
      </c>
      <c r="W3800" s="4">
        <f t="shared" si="371"/>
        <v>1.7256257384282518</v>
      </c>
      <c r="X3800" s="4">
        <f t="shared" si="372"/>
        <v>-0.6429997620712089</v>
      </c>
      <c r="Y3800" s="3">
        <f t="shared" si="369"/>
        <v>-333.20729201540416</v>
      </c>
      <c r="AA3800" s="3"/>
    </row>
    <row r="3801" spans="19:27" x14ac:dyDescent="0.25">
      <c r="S3801" s="4">
        <v>-0.2127998780446243</v>
      </c>
      <c r="T3801" s="4">
        <v>-0.90530465857719311</v>
      </c>
      <c r="U3801" s="4">
        <f t="shared" si="370"/>
        <v>-0.84735533117874973</v>
      </c>
      <c r="W3801" s="4">
        <f t="shared" si="371"/>
        <v>-0.33354149505294145</v>
      </c>
      <c r="X3801" s="4">
        <f t="shared" si="372"/>
        <v>-1.4281799658532002</v>
      </c>
      <c r="Y3801" s="3">
        <f t="shared" si="369"/>
        <v>-89.079702013161295</v>
      </c>
      <c r="AA3801" s="3"/>
    </row>
    <row r="3802" spans="19:27" x14ac:dyDescent="0.25">
      <c r="S3802" s="4">
        <v>2.3249556241001583</v>
      </c>
      <c r="T3802" s="4">
        <v>0.75415264312494534</v>
      </c>
      <c r="U3802" s="4">
        <f t="shared" si="370"/>
        <v>2.0151556037874903</v>
      </c>
      <c r="W3802" s="4">
        <f t="shared" si="371"/>
        <v>3.9818019557158304</v>
      </c>
      <c r="X3802" s="4">
        <f t="shared" si="372"/>
        <v>3.6187009574807059</v>
      </c>
      <c r="Y3802" s="3">
        <f t="shared" si="369"/>
        <v>-236.15165419573214</v>
      </c>
      <c r="AA3802" s="3"/>
    </row>
    <row r="3803" spans="19:27" x14ac:dyDescent="0.25">
      <c r="S3803" s="4">
        <v>-0.63760365526485829</v>
      </c>
      <c r="T3803" s="4">
        <v>0.51937766580867628</v>
      </c>
      <c r="U3803" s="4">
        <f t="shared" si="370"/>
        <v>2.3009116133476004E-2</v>
      </c>
      <c r="W3803" s="4">
        <f t="shared" si="371"/>
        <v>-1.0559019416522561</v>
      </c>
      <c r="X3803" s="4">
        <f t="shared" si="372"/>
        <v>0.10635591026562287</v>
      </c>
      <c r="Y3803" s="3">
        <f t="shared" si="369"/>
        <v>182.74315656580347</v>
      </c>
      <c r="AA3803" s="3"/>
    </row>
    <row r="3804" spans="19:27" x14ac:dyDescent="0.25">
      <c r="S3804" s="4">
        <v>0.18080852317272508</v>
      </c>
      <c r="T3804" s="4">
        <v>0.61945258668006531</v>
      </c>
      <c r="U3804" s="4">
        <f t="shared" si="370"/>
        <v>0.60126003147218454</v>
      </c>
      <c r="W3804" s="4">
        <f t="shared" si="371"/>
        <v>0.33577256413255635</v>
      </c>
      <c r="X3804" s="4">
        <f t="shared" si="372"/>
        <v>1.1258676535658163</v>
      </c>
      <c r="Y3804" s="3">
        <f t="shared" si="369"/>
        <v>59.070029222001722</v>
      </c>
      <c r="AA3804" s="3"/>
    </row>
    <row r="3805" spans="19:27" x14ac:dyDescent="0.25">
      <c r="S3805" s="4">
        <v>0.29033455052208851</v>
      </c>
      <c r="T3805" s="4">
        <v>-0.91151194636348487</v>
      </c>
      <c r="U3805" s="4">
        <f t="shared" si="370"/>
        <v>-0.54555382515042772</v>
      </c>
      <c r="W3805" s="4">
        <f t="shared" si="371"/>
        <v>0.52201683565963741</v>
      </c>
      <c r="X3805" s="4">
        <f t="shared" si="372"/>
        <v>-0.89607500695083542</v>
      </c>
      <c r="Y3805" s="3">
        <f t="shared" si="369"/>
        <v>-172.55840071749981</v>
      </c>
      <c r="AA3805" s="3"/>
    </row>
    <row r="3806" spans="19:27" x14ac:dyDescent="0.25">
      <c r="S3806" s="4">
        <v>-0.45619675343195376</v>
      </c>
      <c r="T3806" s="4">
        <v>1.8281353636898774</v>
      </c>
      <c r="U3806" s="4">
        <f t="shared" si="370"/>
        <v>1.171040592851353</v>
      </c>
      <c r="W3806" s="4">
        <f t="shared" si="371"/>
        <v>-0.74742735255678683</v>
      </c>
      <c r="X3806" s="4">
        <f t="shared" si="372"/>
        <v>2.1304453516226878</v>
      </c>
      <c r="Y3806" s="3">
        <f t="shared" si="369"/>
        <v>334.27019221006503</v>
      </c>
      <c r="AA3806" s="3"/>
    </row>
    <row r="3807" spans="19:27" x14ac:dyDescent="0.25">
      <c r="S3807" s="4">
        <v>1.0397447008573817</v>
      </c>
      <c r="T3807" s="4">
        <v>-0.14415656716310662</v>
      </c>
      <c r="U3807" s="4">
        <f t="shared" si="370"/>
        <v>0.5195798080058448</v>
      </c>
      <c r="W3807" s="4">
        <f t="shared" si="371"/>
        <v>1.7963563776115183</v>
      </c>
      <c r="X3807" s="4">
        <f t="shared" si="372"/>
        <v>0.9818575970135669</v>
      </c>
      <c r="Y3807" s="3">
        <f t="shared" si="369"/>
        <v>-181.42163341933065</v>
      </c>
      <c r="AA3807" s="3"/>
    </row>
    <row r="3808" spans="19:27" x14ac:dyDescent="0.25">
      <c r="S3808" s="4">
        <v>-0.50081589826423922</v>
      </c>
      <c r="T3808" s="4">
        <v>0.56142738128710801</v>
      </c>
      <c r="U3808" s="4">
        <f t="shared" si="370"/>
        <v>0.13973045864784661</v>
      </c>
      <c r="W3808" s="4">
        <f t="shared" si="371"/>
        <v>-0.82330027816690787</v>
      </c>
      <c r="X3808" s="4">
        <f t="shared" si="372"/>
        <v>0.31214681561587521</v>
      </c>
      <c r="Y3808" s="3">
        <f t="shared" si="369"/>
        <v>164.90907143818276</v>
      </c>
      <c r="AA3808" s="3"/>
    </row>
    <row r="3809" spans="19:27" x14ac:dyDescent="0.25">
      <c r="S3809" s="4">
        <v>-0.92991162342115885</v>
      </c>
      <c r="T3809" s="4">
        <v>-0.83288464775394344</v>
      </c>
      <c r="U3809" s="4">
        <f t="shared" si="370"/>
        <v>-1.2271158866611558</v>
      </c>
      <c r="W3809" s="4">
        <f t="shared" si="371"/>
        <v>-1.552958996567412</v>
      </c>
      <c r="X3809" s="4">
        <f t="shared" si="372"/>
        <v>-2.097734195144362</v>
      </c>
      <c r="Y3809" s="3">
        <f t="shared" si="369"/>
        <v>45.375722115123153</v>
      </c>
      <c r="AA3809" s="3"/>
    </row>
    <row r="3810" spans="19:27" x14ac:dyDescent="0.25">
      <c r="S3810" s="4">
        <v>-9.3293515691366846E-2</v>
      </c>
      <c r="T3810" s="4">
        <v>0.84394707387085333</v>
      </c>
      <c r="U3810" s="4">
        <f t="shared" si="370"/>
        <v>0.61211630114828874</v>
      </c>
      <c r="W3810" s="4">
        <f t="shared" si="371"/>
        <v>-0.13032609559051239</v>
      </c>
      <c r="X3810" s="4">
        <f t="shared" si="372"/>
        <v>1.1450082967185191</v>
      </c>
      <c r="Y3810" s="3">
        <f t="shared" si="369"/>
        <v>135.42957976772277</v>
      </c>
      <c r="AA3810" s="3"/>
    </row>
    <row r="3811" spans="19:27" x14ac:dyDescent="0.25">
      <c r="S3811" s="4">
        <v>6.2291607244122034E-2</v>
      </c>
      <c r="T3811" s="4">
        <v>-8.7849689672038114E-2</v>
      </c>
      <c r="U3811" s="4">
        <f t="shared" si="370"/>
        <v>-3.1663394252144338E-2</v>
      </c>
      <c r="W3811" s="4">
        <f t="shared" si="371"/>
        <v>0.13423967551284258</v>
      </c>
      <c r="X3811" s="4">
        <f t="shared" si="372"/>
        <v>9.9630384252166471E-3</v>
      </c>
      <c r="Y3811" s="3">
        <f t="shared" si="369"/>
        <v>-20.469100969932697</v>
      </c>
      <c r="AA3811" s="3"/>
    </row>
    <row r="3812" spans="19:27" x14ac:dyDescent="0.25">
      <c r="S3812" s="4">
        <v>-0.47077101993763504</v>
      </c>
      <c r="T3812" s="4">
        <v>0.86004963631354847</v>
      </c>
      <c r="U3812" s="4">
        <f t="shared" si="370"/>
        <v>0.39476196506990613</v>
      </c>
      <c r="W3812" s="4">
        <f t="shared" si="371"/>
        <v>-0.77221026228228895</v>
      </c>
      <c r="X3812" s="4">
        <f t="shared" si="372"/>
        <v>0.76179178601169339</v>
      </c>
      <c r="Y3812" s="3">
        <f t="shared" si="369"/>
        <v>201.47427143606183</v>
      </c>
      <c r="AA3812" s="3"/>
    </row>
    <row r="3813" spans="19:27" x14ac:dyDescent="0.25">
      <c r="S3813" s="4">
        <v>-1.154804573701266</v>
      </c>
      <c r="T3813" s="4">
        <v>-0.63663601403383641</v>
      </c>
      <c r="U3813" s="4">
        <f t="shared" si="370"/>
        <v>-1.2086509212526442</v>
      </c>
      <c r="W3813" s="4">
        <f t="shared" si="371"/>
        <v>-1.9353797298867244</v>
      </c>
      <c r="X3813" s="4">
        <f t="shared" si="372"/>
        <v>-2.0651786927244777</v>
      </c>
      <c r="Y3813" s="3">
        <f t="shared" si="369"/>
        <v>113.4112365025012</v>
      </c>
      <c r="AA3813" s="3"/>
    </row>
    <row r="3814" spans="19:27" x14ac:dyDescent="0.25">
      <c r="S3814" s="4">
        <v>2.3082228656486352</v>
      </c>
      <c r="T3814" s="4">
        <v>1.6418244940995943</v>
      </c>
      <c r="U3814" s="4">
        <f t="shared" si="370"/>
        <v>2.7086053326016613</v>
      </c>
      <c r="W3814" s="4">
        <f t="shared" si="371"/>
        <v>3.9533486238105113</v>
      </c>
      <c r="X3814" s="4">
        <f t="shared" si="372"/>
        <v>4.8413192416217186</v>
      </c>
      <c r="Y3814" s="3">
        <f t="shared" si="369"/>
        <v>-109.89393116424662</v>
      </c>
      <c r="AA3814" s="3"/>
    </row>
    <row r="3815" spans="19:27" x14ac:dyDescent="0.25">
      <c r="S3815" s="4">
        <v>1.6361457150674388</v>
      </c>
      <c r="T3815" s="4">
        <v>-1.6675426054848494</v>
      </c>
      <c r="U3815" s="4">
        <f t="shared" si="370"/>
        <v>-0.32441678126170159</v>
      </c>
      <c r="W3815" s="4">
        <f t="shared" si="371"/>
        <v>2.8105105025964052</v>
      </c>
      <c r="X3815" s="4">
        <f t="shared" si="372"/>
        <v>-0.50618922010138634</v>
      </c>
      <c r="Y3815" s="3">
        <f t="shared" si="369"/>
        <v>-480.90487414098061</v>
      </c>
      <c r="AA3815" s="3"/>
    </row>
    <row r="3816" spans="19:27" x14ac:dyDescent="0.25">
      <c r="S3816" s="4">
        <v>-0.59343254528435496</v>
      </c>
      <c r="T3816" s="4">
        <v>-8.651584367908588E-2</v>
      </c>
      <c r="U3816" s="4">
        <f t="shared" si="370"/>
        <v>-0.43035013898142627</v>
      </c>
      <c r="W3816" s="4">
        <f t="shared" si="371"/>
        <v>-0.98079087992607517</v>
      </c>
      <c r="X3816" s="4">
        <f t="shared" si="372"/>
        <v>-0.69295987508464507</v>
      </c>
      <c r="Y3816" s="3">
        <f t="shared" si="369"/>
        <v>90.376256689734873</v>
      </c>
      <c r="AA3816" s="3"/>
    </row>
    <row r="3817" spans="19:27" x14ac:dyDescent="0.25">
      <c r="S3817" s="4">
        <v>-0.82303455496950395</v>
      </c>
      <c r="T3817" s="4">
        <v>0.76738797974884287</v>
      </c>
      <c r="U3817" s="4">
        <f t="shared" si="370"/>
        <v>0.10656209884162049</v>
      </c>
      <c r="W3817" s="4">
        <f t="shared" si="371"/>
        <v>-1.3712191650547141</v>
      </c>
      <c r="X3817" s="4">
        <f t="shared" si="372"/>
        <v>0.25366782071684191</v>
      </c>
      <c r="Y3817" s="3">
        <f t="shared" si="369"/>
        <v>250.00202134958636</v>
      </c>
      <c r="AA3817" s="3"/>
    </row>
    <row r="3818" spans="19:27" x14ac:dyDescent="0.25">
      <c r="S3818" s="4">
        <v>0.23674220090719725</v>
      </c>
      <c r="T3818" s="4">
        <v>-0.80895157743943846</v>
      </c>
      <c r="U3818" s="4">
        <f t="shared" si="370"/>
        <v>-0.49692613131469565</v>
      </c>
      <c r="W3818" s="4">
        <f t="shared" si="371"/>
        <v>0.4308853634880771</v>
      </c>
      <c r="X3818" s="4">
        <f t="shared" si="372"/>
        <v>-0.81033972560485423</v>
      </c>
      <c r="Y3818" s="3">
        <f t="shared" si="369"/>
        <v>-149.60464678734479</v>
      </c>
      <c r="AA3818" s="3"/>
    </row>
    <row r="3819" spans="19:27" x14ac:dyDescent="0.25">
      <c r="S3819" s="4">
        <v>0.41169624350278128</v>
      </c>
      <c r="T3819" s="4">
        <v>-1.1435863951782763</v>
      </c>
      <c r="U3819" s="4">
        <f t="shared" si="370"/>
        <v>-0.65553259268044384</v>
      </c>
      <c r="W3819" s="4">
        <f t="shared" si="371"/>
        <v>0.7283871445943727</v>
      </c>
      <c r="X3819" s="4">
        <f t="shared" si="372"/>
        <v>-1.0899781068618088</v>
      </c>
      <c r="Y3819" s="3">
        <f t="shared" si="369"/>
        <v>-224.35596284374105</v>
      </c>
      <c r="AA3819" s="3"/>
    </row>
    <row r="3820" spans="19:27" x14ac:dyDescent="0.25">
      <c r="S3820" s="4">
        <v>-0.19198693632249192</v>
      </c>
      <c r="T3820" s="4">
        <v>2.5072817152156821</v>
      </c>
      <c r="U3820" s="4">
        <f t="shared" si="370"/>
        <v>1.8704626849184824</v>
      </c>
      <c r="W3820" s="4">
        <f t="shared" si="371"/>
        <v>-0.29814998800037906</v>
      </c>
      <c r="X3820" s="4">
        <f t="shared" si="372"/>
        <v>3.3635934841567274</v>
      </c>
      <c r="Y3820" s="3">
        <f t="shared" si="369"/>
        <v>384.36819211030434</v>
      </c>
      <c r="AA3820" s="3"/>
    </row>
    <row r="3821" spans="19:27" x14ac:dyDescent="0.25">
      <c r="S3821" s="4">
        <v>1.6675472628733921</v>
      </c>
      <c r="T3821" s="4">
        <v>0.27353570514557546</v>
      </c>
      <c r="U3821" s="4">
        <f t="shared" si="370"/>
        <v>1.2334035878813032</v>
      </c>
      <c r="W3821" s="4">
        <f t="shared" si="371"/>
        <v>2.8639074762425651</v>
      </c>
      <c r="X3821" s="4">
        <f t="shared" si="372"/>
        <v>2.2403972844149846</v>
      </c>
      <c r="Y3821" s="3">
        <f t="shared" si="369"/>
        <v>-214.03865093605918</v>
      </c>
      <c r="AA3821" s="3"/>
    </row>
    <row r="3822" spans="19:27" x14ac:dyDescent="0.25">
      <c r="S3822" s="4">
        <v>0.60918279062059744</v>
      </c>
      <c r="T3822" s="4">
        <v>-2.2121943621134892</v>
      </c>
      <c r="U3822" s="4">
        <f t="shared" si="370"/>
        <v>-1.3822173940315396</v>
      </c>
      <c r="W3822" s="4">
        <f t="shared" si="371"/>
        <v>1.0642044749083257</v>
      </c>
      <c r="X3822" s="4">
        <f t="shared" si="372"/>
        <v>-2.3711930068352087</v>
      </c>
      <c r="Y3822" s="3">
        <f t="shared" si="369"/>
        <v>-404.74765866394864</v>
      </c>
      <c r="AA3822" s="3"/>
    </row>
    <row r="3823" spans="19:27" x14ac:dyDescent="0.25">
      <c r="S3823" s="4">
        <v>-0.89894382761758718</v>
      </c>
      <c r="T3823" s="4">
        <v>0.88814349403278459</v>
      </c>
      <c r="U3823" s="4">
        <f t="shared" si="370"/>
        <v>0.1560080449746456</v>
      </c>
      <c r="W3823" s="4">
        <f t="shared" si="371"/>
        <v>-1.5002995994376473</v>
      </c>
      <c r="X3823" s="4">
        <f t="shared" si="372"/>
        <v>0.34084575922763527</v>
      </c>
      <c r="Y3823" s="3">
        <f t="shared" si="369"/>
        <v>280.3742849504697</v>
      </c>
      <c r="AA3823" s="3"/>
    </row>
    <row r="3824" spans="19:27" x14ac:dyDescent="0.25">
      <c r="S3824" s="4">
        <v>0.76503994539850406</v>
      </c>
      <c r="T3824" s="4">
        <v>-1.8742421702640637</v>
      </c>
      <c r="U3824" s="4">
        <f t="shared" si="370"/>
        <v>-1.019311389754739</v>
      </c>
      <c r="W3824" s="4">
        <f t="shared" si="371"/>
        <v>1.3292328243919014</v>
      </c>
      <c r="X3824" s="4">
        <f t="shared" si="372"/>
        <v>-1.7313549654935363</v>
      </c>
      <c r="Y3824" s="3">
        <f t="shared" si="369"/>
        <v>-381.61117593189556</v>
      </c>
      <c r="AA3824" s="3"/>
    </row>
    <row r="3825" spans="19:27" x14ac:dyDescent="0.25">
      <c r="S3825" s="4">
        <v>1.5025023181391517</v>
      </c>
      <c r="T3825" s="4">
        <v>0.3564902165154063</v>
      </c>
      <c r="U3825" s="4">
        <f t="shared" si="370"/>
        <v>1.1985458862106431</v>
      </c>
      <c r="W3825" s="4">
        <f t="shared" si="371"/>
        <v>2.5832556873923544</v>
      </c>
      <c r="X3825" s="4">
        <f t="shared" si="372"/>
        <v>2.1789398180193169</v>
      </c>
      <c r="Y3825" s="3">
        <f t="shared" si="369"/>
        <v>-179.07074635546815</v>
      </c>
      <c r="AA3825" s="3"/>
    </row>
    <row r="3826" spans="19:27" x14ac:dyDescent="0.25">
      <c r="S3826" s="4">
        <v>0.65686304555590802</v>
      </c>
      <c r="T3826" s="4">
        <v>0.77366524059584429</v>
      </c>
      <c r="U3826" s="4">
        <f t="shared" si="370"/>
        <v>1.0137166299541454</v>
      </c>
      <c r="W3826" s="4">
        <f t="shared" si="371"/>
        <v>1.1452826858282441</v>
      </c>
      <c r="X3826" s="4">
        <f t="shared" si="372"/>
        <v>1.8530681379916865</v>
      </c>
      <c r="Y3826" s="3">
        <f t="shared" si="369"/>
        <v>5.1445333430297069</v>
      </c>
      <c r="AA3826" s="3"/>
    </row>
    <row r="3827" spans="19:27" x14ac:dyDescent="0.25">
      <c r="S3827" s="4">
        <v>1.4455472502764251</v>
      </c>
      <c r="T3827" s="4">
        <v>-0.30175924127650361</v>
      </c>
      <c r="U3827" s="4">
        <f t="shared" si="370"/>
        <v>0.64203571440535356</v>
      </c>
      <c r="W3827" s="4">
        <f t="shared" si="371"/>
        <v>2.4864060583079977</v>
      </c>
      <c r="X3827" s="4">
        <f t="shared" si="372"/>
        <v>1.1977590876971411</v>
      </c>
      <c r="Y3827" s="3">
        <f t="shared" si="369"/>
        <v>-262.91077130428494</v>
      </c>
      <c r="AA3827" s="3"/>
    </row>
    <row r="3828" spans="19:27" x14ac:dyDescent="0.25">
      <c r="S3828" s="4">
        <v>-0.39030635781012563</v>
      </c>
      <c r="T3828" s="4">
        <v>-0.46822203355278302</v>
      </c>
      <c r="U3828" s="4">
        <f t="shared" si="370"/>
        <v>-0.60909533326823695</v>
      </c>
      <c r="W3828" s="4">
        <f t="shared" si="371"/>
        <v>-0.63538358515093951</v>
      </c>
      <c r="X3828" s="4">
        <f t="shared" si="372"/>
        <v>-1.0081047711841797</v>
      </c>
      <c r="Y3828" s="3">
        <f t="shared" si="369"/>
        <v>2.0573152340175511</v>
      </c>
      <c r="AA3828" s="3"/>
    </row>
    <row r="3829" spans="19:27" x14ac:dyDescent="0.25">
      <c r="S3829" s="4">
        <v>0.73910254006114251</v>
      </c>
      <c r="T3829" s="4">
        <v>1.6539394239714396</v>
      </c>
      <c r="U3829" s="4">
        <f t="shared" si="370"/>
        <v>1.7616379803605962</v>
      </c>
      <c r="W3829" s="4">
        <f t="shared" si="371"/>
        <v>1.285127388640537</v>
      </c>
      <c r="X3829" s="4">
        <f t="shared" si="372"/>
        <v>3.1717251077911635</v>
      </c>
      <c r="Y3829" s="3">
        <f t="shared" si="369"/>
        <v>115.46987996984808</v>
      </c>
      <c r="AA3829" s="3"/>
    </row>
    <row r="3830" spans="19:27" x14ac:dyDescent="0.25">
      <c r="S3830" s="4">
        <v>1.4891074421715134</v>
      </c>
      <c r="T3830" s="4">
        <v>1.0723434232799456</v>
      </c>
      <c r="U3830" s="4">
        <f t="shared" si="370"/>
        <v>1.7578311946909342</v>
      </c>
      <c r="W3830" s="4">
        <f t="shared" si="371"/>
        <v>2.5604782802576027</v>
      </c>
      <c r="X3830" s="4">
        <f t="shared" si="372"/>
        <v>3.1650133800766058</v>
      </c>
      <c r="Y3830" s="3">
        <f t="shared" si="369"/>
        <v>-77.109603826158491</v>
      </c>
      <c r="AA3830" s="3"/>
    </row>
    <row r="3831" spans="19:27" x14ac:dyDescent="0.25">
      <c r="S3831" s="4">
        <v>-0.74863515199378872</v>
      </c>
      <c r="T3831" s="4">
        <v>-0.78830978950033181</v>
      </c>
      <c r="U3831" s="4">
        <f t="shared" si="370"/>
        <v>-1.081271570682004</v>
      </c>
      <c r="W3831" s="4">
        <f t="shared" si="371"/>
        <v>-1.244706198734272</v>
      </c>
      <c r="X3831" s="4">
        <f t="shared" si="372"/>
        <v>-1.8405966984449667</v>
      </c>
      <c r="Y3831" s="3">
        <f t="shared" si="369"/>
        <v>19.437230564587026</v>
      </c>
      <c r="AA3831" s="3"/>
    </row>
    <row r="3832" spans="19:27" x14ac:dyDescent="0.25">
      <c r="S3832" s="4">
        <v>-2.1523502444035851</v>
      </c>
      <c r="T3832" s="4">
        <v>-7.9927183236493657E-2</v>
      </c>
      <c r="U3832" s="4">
        <f t="shared" si="370"/>
        <v>-1.3754783721590145</v>
      </c>
      <c r="W3832" s="4">
        <f t="shared" si="371"/>
        <v>-3.6316629901416366</v>
      </c>
      <c r="X3832" s="4">
        <f t="shared" si="372"/>
        <v>-2.3593114658723695</v>
      </c>
      <c r="Y3832" s="3">
        <f t="shared" si="369"/>
        <v>380.78738476397666</v>
      </c>
      <c r="AA3832" s="3"/>
    </row>
    <row r="3833" spans="19:27" x14ac:dyDescent="0.25">
      <c r="S3833" s="4">
        <v>0.3405530060447704</v>
      </c>
      <c r="T3833" s="4">
        <v>-0.19699399309072724</v>
      </c>
      <c r="U3833" s="4">
        <f t="shared" si="370"/>
        <v>5.1453144751479718E-2</v>
      </c>
      <c r="W3833" s="4">
        <f t="shared" si="371"/>
        <v>0.60741114687849829</v>
      </c>
      <c r="X3833" s="4">
        <f t="shared" si="372"/>
        <v>0.15650545682679948</v>
      </c>
      <c r="Y3833" s="3">
        <f t="shared" si="369"/>
        <v>-80.736639087928779</v>
      </c>
      <c r="AA3833" s="3"/>
    </row>
    <row r="3834" spans="19:27" x14ac:dyDescent="0.25">
      <c r="S3834" s="4">
        <v>-1.4844696332892611</v>
      </c>
      <c r="T3834" s="4">
        <v>6.4072845571854858E-2</v>
      </c>
      <c r="U3834" s="4">
        <f t="shared" si="370"/>
        <v>-0.85417577640610232</v>
      </c>
      <c r="W3834" s="4">
        <f t="shared" si="371"/>
        <v>-2.4959609027530725</v>
      </c>
      <c r="X3834" s="4">
        <f t="shared" si="372"/>
        <v>-1.4402050639885811</v>
      </c>
      <c r="Y3834" s="3">
        <f t="shared" si="369"/>
        <v>272.27704415802418</v>
      </c>
      <c r="AA3834" s="3"/>
    </row>
    <row r="3835" spans="19:27" x14ac:dyDescent="0.25">
      <c r="S3835" s="4">
        <v>0.53835718399098609</v>
      </c>
      <c r="T3835" s="4">
        <v>-0.82307438461747251</v>
      </c>
      <c r="U3835" s="4">
        <f t="shared" si="370"/>
        <v>-0.32424994457264528</v>
      </c>
      <c r="W3835" s="4">
        <f t="shared" si="371"/>
        <v>0.9437685946757699</v>
      </c>
      <c r="X3835" s="4">
        <f t="shared" si="372"/>
        <v>-0.50589507104049536</v>
      </c>
      <c r="Y3835" s="3">
        <f t="shared" si="369"/>
        <v>-199.53797788826614</v>
      </c>
      <c r="AA3835" s="3"/>
    </row>
    <row r="3836" spans="19:27" x14ac:dyDescent="0.25">
      <c r="S3836" s="4">
        <v>-0.72323064438565787</v>
      </c>
      <c r="T3836" s="4">
        <v>-0.23853860875084773</v>
      </c>
      <c r="U3836" s="4">
        <f t="shared" si="370"/>
        <v>-0.62998518879924992</v>
      </c>
      <c r="W3836" s="4">
        <f t="shared" si="371"/>
        <v>-1.2015069325188705</v>
      </c>
      <c r="X3836" s="4">
        <f t="shared" si="372"/>
        <v>-1.0449355871237227</v>
      </c>
      <c r="Y3836" s="3">
        <f t="shared" si="369"/>
        <v>91.804756450158948</v>
      </c>
      <c r="AA3836" s="3"/>
    </row>
    <row r="3837" spans="19:27" x14ac:dyDescent="0.25">
      <c r="S3837" s="4">
        <v>0.11903221831847206</v>
      </c>
      <c r="T3837" s="4">
        <v>0.23328947167362041</v>
      </c>
      <c r="U3837" s="4">
        <f t="shared" si="370"/>
        <v>0.25749139841466906</v>
      </c>
      <c r="W3837" s="4">
        <f t="shared" si="371"/>
        <v>0.23072463010573979</v>
      </c>
      <c r="X3837" s="4">
        <f t="shared" si="372"/>
        <v>0.51977063048527017</v>
      </c>
      <c r="Y3837" s="3">
        <f t="shared" si="369"/>
        <v>15.140807523770945</v>
      </c>
      <c r="AA3837" s="3"/>
    </row>
    <row r="3838" spans="19:27" x14ac:dyDescent="0.25">
      <c r="S3838" s="4">
        <v>0.63101717175711902</v>
      </c>
      <c r="T3838" s="4">
        <v>-0.4445805805277136</v>
      </c>
      <c r="U3838" s="4">
        <f t="shared" si="370"/>
        <v>3.226666910572723E-2</v>
      </c>
      <c r="W3838" s="4">
        <f t="shared" si="371"/>
        <v>1.1013328954986645</v>
      </c>
      <c r="X3838" s="4">
        <f t="shared" si="372"/>
        <v>0.12267786275904063</v>
      </c>
      <c r="Y3838" s="3">
        <f t="shared" si="369"/>
        <v>-161.10441420218331</v>
      </c>
      <c r="AA3838" s="3"/>
    </row>
    <row r="3839" spans="19:27" x14ac:dyDescent="0.25">
      <c r="S3839" s="4">
        <v>-0.45793354631339639</v>
      </c>
      <c r="T3839" s="4">
        <v>-1.0425249170959863</v>
      </c>
      <c r="U3839" s="4">
        <f t="shared" si="370"/>
        <v>-1.1055676885065089</v>
      </c>
      <c r="W3839" s="4">
        <f t="shared" si="371"/>
        <v>-0.75038069371985039</v>
      </c>
      <c r="X3839" s="4">
        <f t="shared" si="372"/>
        <v>-1.8834330810284319</v>
      </c>
      <c r="Y3839" s="3">
        <f t="shared" si="369"/>
        <v>-66.632871366947711</v>
      </c>
      <c r="AA3839" s="3"/>
    </row>
    <row r="3840" spans="19:27" x14ac:dyDescent="0.25">
      <c r="S3840" s="4">
        <v>1.2279812085210891</v>
      </c>
      <c r="T3840" s="4">
        <v>-0.7832896626227196</v>
      </c>
      <c r="U3840" s="4">
        <f t="shared" si="370"/>
        <v>0.12769727917188045</v>
      </c>
      <c r="W3840" s="4">
        <f t="shared" si="371"/>
        <v>2.1164444159807179</v>
      </c>
      <c r="X3840" s="4">
        <f t="shared" si="372"/>
        <v>0.2909311677724119</v>
      </c>
      <c r="Y3840" s="3">
        <f t="shared" si="369"/>
        <v>-298.62387009517352</v>
      </c>
      <c r="AA3840" s="3"/>
    </row>
    <row r="3841" spans="19:27" x14ac:dyDescent="0.25">
      <c r="S3841" s="4">
        <v>0.80642624557763432</v>
      </c>
      <c r="T3841" s="4">
        <v>-0.49803572248469946</v>
      </c>
      <c r="U3841" s="4">
        <f t="shared" si="370"/>
        <v>9.682648980762476E-2</v>
      </c>
      <c r="W3841" s="4">
        <f t="shared" si="371"/>
        <v>1.3996084375187845</v>
      </c>
      <c r="X3841" s="4">
        <f t="shared" si="372"/>
        <v>0.23650300960275278</v>
      </c>
      <c r="Y3841" s="3">
        <f t="shared" si="369"/>
        <v>-195.61224470174693</v>
      </c>
      <c r="AA3841" s="3"/>
    </row>
    <row r="3842" spans="19:27" x14ac:dyDescent="0.25">
      <c r="S3842" s="4">
        <v>0.13510075988454531</v>
      </c>
      <c r="T3842" s="4">
        <v>0.70918169830693623</v>
      </c>
      <c r="U3842" s="4">
        <f t="shared" si="370"/>
        <v>0.64452310979997929</v>
      </c>
      <c r="W3842" s="4">
        <f t="shared" si="371"/>
        <v>0.2580484899306742</v>
      </c>
      <c r="X3842" s="4">
        <f t="shared" si="372"/>
        <v>1.2021446039977359</v>
      </c>
      <c r="Y3842" s="3">
        <f t="shared" ref="Y3842:Y3905" si="373">(B$4*EXP(-B$8*B$7)*NORMSDIST((LN(B$4/(B$5+W3842))-B$8*B$7+B$9*B$7+0.5*B$6*B$6*B$7)/(B$6*SQRT(B$7)))-(B$5+W3842)*EXP(-B$9*B$7)*NORMSDIST((LN(B$4/(B$5+W3842))-B$8*B$7+B$9*B$7-0.5*B$6*B$6*B$7)/(B$6*SQRT(B$7))))*400+100*X3842-400*$B$13</f>
        <v>79.034004440211447</v>
      </c>
      <c r="AA3842" s="3"/>
    </row>
    <row r="3843" spans="19:27" x14ac:dyDescent="0.25">
      <c r="S3843" s="4">
        <v>1.7058923980245488</v>
      </c>
      <c r="T3843" s="4">
        <v>-1.4286863704647801</v>
      </c>
      <c r="U3843" s="4">
        <f t="shared" ref="U3843:U3906" si="374">$B$19*S3843+SQRT(1-$B$19^2)*T3843</f>
        <v>-9.2558215978892466E-2</v>
      </c>
      <c r="W3843" s="4">
        <f t="shared" ref="W3843:W3906" si="375">S3843*SQRT($B$16)+$B$20</f>
        <v>2.9291117197969734</v>
      </c>
      <c r="X3843" s="4">
        <f t="shared" ref="X3843:X3906" si="376">U3843*SQRT($C$17)+$C$20</f>
        <v>-9.7400364225389752E-2</v>
      </c>
      <c r="Y3843" s="3">
        <f t="shared" si="373"/>
        <v>-457.31492332297694</v>
      </c>
      <c r="AA3843" s="3"/>
    </row>
    <row r="3844" spans="19:27" x14ac:dyDescent="0.25">
      <c r="S3844" s="4">
        <v>1.562130979437092E-2</v>
      </c>
      <c r="T3844" s="4">
        <v>-0.13203086586409332</v>
      </c>
      <c r="U3844" s="4">
        <f t="shared" si="374"/>
        <v>-9.5136714633150682E-2</v>
      </c>
      <c r="W3844" s="4">
        <f t="shared" si="375"/>
        <v>5.4878853607421715E-2</v>
      </c>
      <c r="X3844" s="4">
        <f t="shared" si="376"/>
        <v>-0.10194650429774949</v>
      </c>
      <c r="Y3844" s="3">
        <f t="shared" si="373"/>
        <v>-18.981223848904392</v>
      </c>
      <c r="AA3844" s="3"/>
    </row>
    <row r="3845" spans="19:27" x14ac:dyDescent="0.25">
      <c r="S3845" s="4">
        <v>0.15050048282638193</v>
      </c>
      <c r="T3845" s="4">
        <v>0.93964112598429939</v>
      </c>
      <c r="U3845" s="4">
        <f t="shared" si="374"/>
        <v>0.8365944735109464</v>
      </c>
      <c r="W3845" s="4">
        <f t="shared" si="375"/>
        <v>0.28423505261748294</v>
      </c>
      <c r="X3845" s="4">
        <f t="shared" si="376"/>
        <v>1.540784813050087</v>
      </c>
      <c r="Y3845" s="3">
        <f t="shared" si="373"/>
        <v>108.73825034414813</v>
      </c>
      <c r="AA3845" s="3"/>
    </row>
    <row r="3846" spans="19:27" x14ac:dyDescent="0.25">
      <c r="S3846" s="4">
        <v>0.61608118313329752</v>
      </c>
      <c r="T3846" s="4">
        <v>0.18819323238387187</v>
      </c>
      <c r="U3846" s="4">
        <f t="shared" si="374"/>
        <v>0.52475610848014198</v>
      </c>
      <c r="W3846" s="4">
        <f t="shared" si="375"/>
        <v>1.0759348929589825</v>
      </c>
      <c r="X3846" s="4">
        <f t="shared" si="376"/>
        <v>0.99098391048823764</v>
      </c>
      <c r="Y3846" s="3">
        <f t="shared" si="373"/>
        <v>-70.345442887736681</v>
      </c>
      <c r="AA3846" s="3"/>
    </row>
    <row r="3847" spans="19:27" x14ac:dyDescent="0.25">
      <c r="S3847" s="4">
        <v>0.31949795981926471</v>
      </c>
      <c r="T3847" s="4">
        <v>-0.23964214862516484</v>
      </c>
      <c r="U3847" s="4">
        <f t="shared" si="374"/>
        <v>4.8106662806615685E-3</v>
      </c>
      <c r="W3847" s="4">
        <f t="shared" si="375"/>
        <v>0.5716079515911352</v>
      </c>
      <c r="X3847" s="4">
        <f t="shared" si="376"/>
        <v>7.4270300294843453E-2</v>
      </c>
      <c r="Y3847" s="3">
        <f t="shared" si="373"/>
        <v>-83.331283108787829</v>
      </c>
      <c r="AA3847" s="3"/>
    </row>
    <row r="3848" spans="19:27" x14ac:dyDescent="0.25">
      <c r="S3848" s="4">
        <v>1.2355846339439491</v>
      </c>
      <c r="T3848" s="4">
        <v>1.6375317210978302</v>
      </c>
      <c r="U3848" s="4">
        <f t="shared" si="374"/>
        <v>2.0512982871101051</v>
      </c>
      <c r="W3848" s="4">
        <f t="shared" si="375"/>
        <v>2.1293737119961209</v>
      </c>
      <c r="X3848" s="4">
        <f t="shared" si="376"/>
        <v>3.6824239695925018</v>
      </c>
      <c r="Y3848" s="3">
        <f t="shared" si="373"/>
        <v>38.592871747079698</v>
      </c>
      <c r="AA3848" s="3"/>
    </row>
    <row r="3849" spans="19:27" x14ac:dyDescent="0.25">
      <c r="S3849" s="4">
        <v>-0.43130281966866857</v>
      </c>
      <c r="T3849" s="4">
        <v>-0.17093806451062493</v>
      </c>
      <c r="U3849" s="4">
        <f t="shared" si="374"/>
        <v>-0.39843306150579594</v>
      </c>
      <c r="W3849" s="4">
        <f t="shared" si="375"/>
        <v>-0.7050962950776587</v>
      </c>
      <c r="X3849" s="4">
        <f t="shared" si="376"/>
        <v>-0.63668701077077339</v>
      </c>
      <c r="Y3849" s="3">
        <f t="shared" si="373"/>
        <v>50.613488775439691</v>
      </c>
      <c r="AA3849" s="3"/>
    </row>
    <row r="3850" spans="19:27" x14ac:dyDescent="0.25">
      <c r="S3850" s="4">
        <v>-0.70154836966250522</v>
      </c>
      <c r="T3850" s="4">
        <v>0.32950936443311746</v>
      </c>
      <c r="U3850" s="4">
        <f t="shared" si="374"/>
        <v>-0.16648009563846083</v>
      </c>
      <c r="W3850" s="4">
        <f t="shared" si="375"/>
        <v>-1.1646371623045024</v>
      </c>
      <c r="X3850" s="4">
        <f t="shared" si="376"/>
        <v>-0.22773171762343722</v>
      </c>
      <c r="Y3850" s="3">
        <f t="shared" si="373"/>
        <v>167.38906299023074</v>
      </c>
      <c r="AA3850" s="3"/>
    </row>
    <row r="3851" spans="19:27" x14ac:dyDescent="0.25">
      <c r="S3851" s="4">
        <v>1.8188185326217849</v>
      </c>
      <c r="T3851" s="4">
        <v>0.38835815426076709</v>
      </c>
      <c r="U3851" s="4">
        <f t="shared" si="374"/>
        <v>1.4166407680710142</v>
      </c>
      <c r="W3851" s="4">
        <f t="shared" si="375"/>
        <v>3.1211377266140059</v>
      </c>
      <c r="X3851" s="4">
        <f t="shared" si="376"/>
        <v>2.5634619818624573</v>
      </c>
      <c r="Y3851" s="3">
        <f t="shared" si="373"/>
        <v>-219.0747119583325</v>
      </c>
      <c r="AA3851" s="3"/>
    </row>
    <row r="3852" spans="19:27" x14ac:dyDescent="0.25">
      <c r="S3852" s="4">
        <v>-1.5594707569399993</v>
      </c>
      <c r="T3852" s="4">
        <v>0.81025299856476884</v>
      </c>
      <c r="U3852" s="4">
        <f t="shared" si="374"/>
        <v>-0.30840708282893603</v>
      </c>
      <c r="W3852" s="4">
        <f t="shared" si="375"/>
        <v>-2.6234970690515889</v>
      </c>
      <c r="X3852" s="4">
        <f t="shared" si="376"/>
        <v>-0.4779625885026475</v>
      </c>
      <c r="Y3852" s="3">
        <f t="shared" si="373"/>
        <v>390.66089963068134</v>
      </c>
      <c r="AA3852" s="3"/>
    </row>
    <row r="3853" spans="19:27" x14ac:dyDescent="0.25">
      <c r="S3853" s="4">
        <v>-1.8760580334530135</v>
      </c>
      <c r="T3853" s="4">
        <v>1.3917851248042628</v>
      </c>
      <c r="U3853" s="4">
        <f t="shared" si="374"/>
        <v>-4.0429875013003658E-2</v>
      </c>
      <c r="W3853" s="4">
        <f t="shared" si="375"/>
        <v>-3.1618400375300455</v>
      </c>
      <c r="X3853" s="4">
        <f t="shared" si="376"/>
        <v>-5.4931067291341396E-3</v>
      </c>
      <c r="Y3853" s="3">
        <f t="shared" si="373"/>
        <v>532.41150234841643</v>
      </c>
      <c r="AA3853" s="3"/>
    </row>
    <row r="3854" spans="19:27" x14ac:dyDescent="0.25">
      <c r="S3854" s="4">
        <v>0.56413656222532271</v>
      </c>
      <c r="T3854" s="4">
        <v>-0.49628344673618868</v>
      </c>
      <c r="U3854" s="4">
        <f t="shared" si="374"/>
        <v>-4.9489692094964899E-2</v>
      </c>
      <c r="W3854" s="4">
        <f t="shared" si="375"/>
        <v>0.98760531217452641</v>
      </c>
      <c r="X3854" s="4">
        <f t="shared" si="376"/>
        <v>-2.1466431910644443E-2</v>
      </c>
      <c r="Y3854" s="3">
        <f t="shared" si="373"/>
        <v>-157.90282799569195</v>
      </c>
      <c r="AA3854" s="3"/>
    </row>
    <row r="3855" spans="19:27" x14ac:dyDescent="0.25">
      <c r="S3855" s="4">
        <v>0.72606661919492388</v>
      </c>
      <c r="T3855" s="4">
        <v>-0.49444054188065528</v>
      </c>
      <c r="U3855" s="4">
        <f t="shared" si="374"/>
        <v>5.0687339564010281E-2</v>
      </c>
      <c r="W3855" s="4">
        <f t="shared" si="375"/>
        <v>1.26296036912773</v>
      </c>
      <c r="X3855" s="4">
        <f t="shared" si="376"/>
        <v>0.15515526893950843</v>
      </c>
      <c r="Y3855" s="3">
        <f t="shared" si="373"/>
        <v>-182.77931136251937</v>
      </c>
      <c r="AA3855" s="3"/>
    </row>
    <row r="3856" spans="19:27" x14ac:dyDescent="0.25">
      <c r="S3856" s="4">
        <v>-0.6613739952150216</v>
      </c>
      <c r="T3856" s="4">
        <v>-0.25070309722746115</v>
      </c>
      <c r="U3856" s="4">
        <f t="shared" si="374"/>
        <v>-0.60191868825825023</v>
      </c>
      <c r="W3856" s="4">
        <f t="shared" si="375"/>
        <v>-1.0963223764576546</v>
      </c>
      <c r="X3856" s="4">
        <f t="shared" si="376"/>
        <v>-0.99545165871847363</v>
      </c>
      <c r="Y3856" s="3">
        <f t="shared" si="373"/>
        <v>79.266645559588142</v>
      </c>
      <c r="AA3856" s="3"/>
    </row>
    <row r="3857" spans="19:27" x14ac:dyDescent="0.25">
      <c r="S3857" s="4">
        <v>1.1169067106314432</v>
      </c>
      <c r="T3857" s="4">
        <v>2.4655927624238173E-2</v>
      </c>
      <c r="U3857" s="4">
        <f t="shared" si="374"/>
        <v>0.70043580810678197</v>
      </c>
      <c r="W3857" s="4">
        <f t="shared" si="375"/>
        <v>1.9275670372850899</v>
      </c>
      <c r="X3857" s="4">
        <f t="shared" si="376"/>
        <v>1.3007240459169873</v>
      </c>
      <c r="Y3857" s="3">
        <f t="shared" si="373"/>
        <v>-169.31804710425467</v>
      </c>
      <c r="AA3857" s="3"/>
    </row>
    <row r="3858" spans="19:27" x14ac:dyDescent="0.25">
      <c r="S3858" s="4">
        <v>-0.3126303908094577</v>
      </c>
      <c r="T3858" s="4">
        <v>1.3365571612166218</v>
      </c>
      <c r="U3858" s="4">
        <f t="shared" si="374"/>
        <v>0.86889173295234046</v>
      </c>
      <c r="W3858" s="4">
        <f t="shared" si="375"/>
        <v>-0.50329896344677183</v>
      </c>
      <c r="X3858" s="4">
        <f t="shared" si="376"/>
        <v>1.5977279745799344</v>
      </c>
      <c r="Y3858" s="3">
        <f t="shared" si="373"/>
        <v>241.08333244886217</v>
      </c>
      <c r="AA3858" s="3"/>
    </row>
    <row r="3859" spans="19:27" x14ac:dyDescent="0.25">
      <c r="S3859" s="4">
        <v>-0.79909201823477982</v>
      </c>
      <c r="T3859" s="4">
        <v>-0.92785337223043329</v>
      </c>
      <c r="U3859" s="4">
        <f t="shared" si="374"/>
        <v>-1.2226462864531134</v>
      </c>
      <c r="W3859" s="4">
        <f t="shared" si="375"/>
        <v>-1.3305059170662215</v>
      </c>
      <c r="X3859" s="4">
        <f t="shared" si="376"/>
        <v>-2.0898538619203544</v>
      </c>
      <c r="Y3859" s="3">
        <f t="shared" si="373"/>
        <v>8.8380865436465683</v>
      </c>
      <c r="AA3859" s="3"/>
    </row>
    <row r="3860" spans="19:27" x14ac:dyDescent="0.25">
      <c r="S3860" s="4">
        <v>-0.35321633813741427</v>
      </c>
      <c r="T3860" s="4">
        <v>-0.42462582947581101</v>
      </c>
      <c r="U3860" s="4">
        <f t="shared" si="374"/>
        <v>-0.55192606670079414</v>
      </c>
      <c r="W3860" s="4">
        <f t="shared" si="375"/>
        <v>-0.57231361117265489</v>
      </c>
      <c r="X3860" s="4">
        <f t="shared" si="376"/>
        <v>-0.90730987907886074</v>
      </c>
      <c r="Y3860" s="3">
        <f t="shared" si="373"/>
        <v>1.8319277462983337</v>
      </c>
      <c r="AA3860" s="3"/>
    </row>
    <row r="3861" spans="19:27" x14ac:dyDescent="0.25">
      <c r="S3861" s="4">
        <v>1.002723737780272</v>
      </c>
      <c r="T3861" s="4">
        <v>-0.6261369731040699</v>
      </c>
      <c r="U3861" s="4">
        <f t="shared" si="374"/>
        <v>0.11494898183300778</v>
      </c>
      <c r="W3861" s="4">
        <f t="shared" si="375"/>
        <v>1.733403831386739</v>
      </c>
      <c r="X3861" s="4">
        <f t="shared" si="376"/>
        <v>0.268454698649228</v>
      </c>
      <c r="Y3861" s="3">
        <f t="shared" si="373"/>
        <v>-243.23973823536335</v>
      </c>
      <c r="AA3861" s="3"/>
    </row>
    <row r="3862" spans="19:27" x14ac:dyDescent="0.25">
      <c r="S3862" s="4">
        <v>-0.15876851455361526</v>
      </c>
      <c r="T3862" s="4">
        <v>-0.76529931958311326</v>
      </c>
      <c r="U3862" s="4">
        <f t="shared" si="374"/>
        <v>-0.70343549162522057</v>
      </c>
      <c r="W3862" s="4">
        <f t="shared" si="375"/>
        <v>-0.24166349877632048</v>
      </c>
      <c r="X3862" s="4">
        <f t="shared" si="376"/>
        <v>-1.1744355054008424</v>
      </c>
      <c r="Y3862" s="3">
        <f t="shared" si="373"/>
        <v>-78.565695491351107</v>
      </c>
      <c r="AA3862" s="3"/>
    </row>
    <row r="3863" spans="19:27" x14ac:dyDescent="0.25">
      <c r="S3863" s="4">
        <v>1.2583280213346553</v>
      </c>
      <c r="T3863" s="4">
        <v>3.1068948205579941E-2</v>
      </c>
      <c r="U3863" s="4">
        <f t="shared" si="374"/>
        <v>0.79173294471510958</v>
      </c>
      <c r="W3863" s="4">
        <f t="shared" si="375"/>
        <v>2.1680478583990479</v>
      </c>
      <c r="X3863" s="4">
        <f t="shared" si="376"/>
        <v>1.4616896413581144</v>
      </c>
      <c r="Y3863" s="3">
        <f t="shared" si="373"/>
        <v>-189.2562040307057</v>
      </c>
      <c r="AA3863" s="3"/>
    </row>
    <row r="3864" spans="19:27" x14ac:dyDescent="0.25">
      <c r="S3864" s="4">
        <v>0.6977434331696647</v>
      </c>
      <c r="T3864" s="4">
        <v>0.3470616004264272</v>
      </c>
      <c r="U3864" s="4">
        <f t="shared" si="374"/>
        <v>0.70047292554776108</v>
      </c>
      <c r="W3864" s="4">
        <f t="shared" si="375"/>
        <v>1.2147980165229539</v>
      </c>
      <c r="X3864" s="4">
        <f t="shared" si="376"/>
        <v>1.3007894875202008</v>
      </c>
      <c r="Y3864" s="3">
        <f t="shared" si="373"/>
        <v>-60.803195261024939</v>
      </c>
      <c r="AA3864" s="3"/>
    </row>
    <row r="3865" spans="19:27" x14ac:dyDescent="0.25">
      <c r="S3865" s="4">
        <v>-0.12767611940312654</v>
      </c>
      <c r="T3865" s="4">
        <v>-0.65330860784985989</v>
      </c>
      <c r="U3865" s="4">
        <f t="shared" si="374"/>
        <v>-0.59570673042619537</v>
      </c>
      <c r="W3865" s="4">
        <f t="shared" si="375"/>
        <v>-0.18879222584715968</v>
      </c>
      <c r="X3865" s="4">
        <f t="shared" si="376"/>
        <v>-0.98449938213633303</v>
      </c>
      <c r="Y3865" s="3">
        <f t="shared" si="373"/>
        <v>-68.103668183758145</v>
      </c>
      <c r="AA3865" s="3"/>
    </row>
    <row r="3866" spans="19:27" x14ac:dyDescent="0.25">
      <c r="S3866" s="4">
        <v>3.0713790120240732</v>
      </c>
      <c r="T3866" s="4">
        <v>0.6905036271733187</v>
      </c>
      <c r="U3866" s="4">
        <f t="shared" si="374"/>
        <v>2.4197378881967415</v>
      </c>
      <c r="W3866" s="4">
        <f t="shared" si="375"/>
        <v>5.2510626373913567</v>
      </c>
      <c r="X3866" s="4">
        <f t="shared" si="376"/>
        <v>4.3320182720669589</v>
      </c>
      <c r="Y3866" s="3">
        <f t="shared" si="373"/>
        <v>-339.14483596501032</v>
      </c>
      <c r="AA3866" s="3"/>
    </row>
    <row r="3867" spans="19:27" x14ac:dyDescent="0.25">
      <c r="S3867" s="4">
        <v>-0.91637543691775092</v>
      </c>
      <c r="T3867" s="4">
        <v>-0.56666336013055452</v>
      </c>
      <c r="U3867" s="4">
        <f t="shared" si="374"/>
        <v>-1.0078324353803509</v>
      </c>
      <c r="W3867" s="4">
        <f t="shared" si="375"/>
        <v>-1.529941296979529</v>
      </c>
      <c r="X3867" s="4">
        <f t="shared" si="376"/>
        <v>-1.7111164695827417</v>
      </c>
      <c r="Y3867" s="3">
        <f t="shared" si="373"/>
        <v>80.16318366776477</v>
      </c>
      <c r="AA3867" s="3"/>
    </row>
    <row r="3868" spans="19:27" x14ac:dyDescent="0.25">
      <c r="S3868" s="4">
        <v>0.77364755743936808</v>
      </c>
      <c r="T3868" s="4">
        <v>-1.0309493283256526</v>
      </c>
      <c r="U3868" s="4">
        <f t="shared" si="374"/>
        <v>-0.34559249196926201</v>
      </c>
      <c r="W3868" s="4">
        <f t="shared" si="375"/>
        <v>1.3438696963111654</v>
      </c>
      <c r="X3868" s="4">
        <f t="shared" si="376"/>
        <v>-0.54352402609376393</v>
      </c>
      <c r="Y3868" s="3">
        <f t="shared" si="373"/>
        <v>-265.07361876891764</v>
      </c>
      <c r="AA3868" s="3"/>
    </row>
    <row r="3869" spans="19:27" x14ac:dyDescent="0.25">
      <c r="S3869" s="4">
        <v>0.90289327854169932</v>
      </c>
      <c r="T3869" s="4">
        <v>-1.0410529331493161</v>
      </c>
      <c r="U3869" s="4">
        <f t="shared" si="374"/>
        <v>-0.27481046357996419</v>
      </c>
      <c r="W3869" s="4">
        <f t="shared" si="375"/>
        <v>1.5636464540119994</v>
      </c>
      <c r="X3869" s="4">
        <f t="shared" si="376"/>
        <v>-0.41872853119130027</v>
      </c>
      <c r="Y3869" s="3">
        <f t="shared" si="373"/>
        <v>-286.18141236739484</v>
      </c>
      <c r="AA3869" s="3"/>
    </row>
    <row r="3870" spans="19:27" x14ac:dyDescent="0.25">
      <c r="S3870" s="4">
        <v>2.3061210421660563E-2</v>
      </c>
      <c r="T3870" s="4">
        <v>-1.3312496847265267</v>
      </c>
      <c r="U3870" s="4">
        <f t="shared" si="374"/>
        <v>-1.0412123718873769</v>
      </c>
      <c r="W3870" s="4">
        <f t="shared" si="375"/>
        <v>6.7530082781867673E-2</v>
      </c>
      <c r="X3870" s="4">
        <f t="shared" si="376"/>
        <v>-1.7699684944681568</v>
      </c>
      <c r="Y3870" s="3">
        <f t="shared" si="373"/>
        <v>-187.80678546836907</v>
      </c>
      <c r="AA3870" s="3"/>
    </row>
    <row r="3871" spans="19:27" x14ac:dyDescent="0.25">
      <c r="S3871" s="4">
        <v>-0.41702124763013793</v>
      </c>
      <c r="T3871" s="4">
        <v>0.48020171328103023</v>
      </c>
      <c r="U3871" s="4">
        <f t="shared" si="374"/>
        <v>0.12642660852687182</v>
      </c>
      <c r="W3871" s="4">
        <f t="shared" si="375"/>
        <v>-0.68081109963189212</v>
      </c>
      <c r="X3871" s="4">
        <f t="shared" si="376"/>
        <v>0.28869085373210585</v>
      </c>
      <c r="Y3871" s="3">
        <f t="shared" si="373"/>
        <v>139.17206016647287</v>
      </c>
      <c r="AA3871" s="3"/>
    </row>
    <row r="3872" spans="19:27" x14ac:dyDescent="0.25">
      <c r="S3872" s="4">
        <v>-0.6997983382097499</v>
      </c>
      <c r="T3872" s="4">
        <v>-0.48213001681066242</v>
      </c>
      <c r="U3872" s="4">
        <f t="shared" si="374"/>
        <v>-0.80879329718754933</v>
      </c>
      <c r="W3872" s="4">
        <f t="shared" si="375"/>
        <v>-1.1616613095236084</v>
      </c>
      <c r="X3872" s="4">
        <f t="shared" si="376"/>
        <v>-1.3601914068095164</v>
      </c>
      <c r="Y3872" s="3">
        <f t="shared" si="373"/>
        <v>53.648147727340984</v>
      </c>
      <c r="AA3872" s="3"/>
    </row>
    <row r="3873" spans="19:27" x14ac:dyDescent="0.25">
      <c r="S3873" s="4">
        <v>-3.9464908766469471E-2</v>
      </c>
      <c r="T3873" s="4">
        <v>1.1910789753720037</v>
      </c>
      <c r="U3873" s="4">
        <f t="shared" si="374"/>
        <v>0.92010010878501958</v>
      </c>
      <c r="W3873" s="4">
        <f t="shared" si="375"/>
        <v>-3.8792878083528909E-2</v>
      </c>
      <c r="X3873" s="4">
        <f t="shared" si="376"/>
        <v>1.6880132454405361</v>
      </c>
      <c r="Y3873" s="3">
        <f t="shared" si="373"/>
        <v>175.02178966489282</v>
      </c>
      <c r="AA3873" s="3"/>
    </row>
    <row r="3874" spans="19:27" x14ac:dyDescent="0.25">
      <c r="S3874" s="4">
        <v>-1.0778590686337717</v>
      </c>
      <c r="T3874" s="4">
        <v>0.4265100431745657</v>
      </c>
      <c r="U3874" s="4">
        <f t="shared" si="374"/>
        <v>-0.31899583005033383</v>
      </c>
      <c r="W3874" s="4">
        <f t="shared" si="375"/>
        <v>-1.804537227100905</v>
      </c>
      <c r="X3874" s="4">
        <f t="shared" si="376"/>
        <v>-0.49663156394686103</v>
      </c>
      <c r="Y3874" s="3">
        <f t="shared" si="373"/>
        <v>248.01449808890447</v>
      </c>
      <c r="AA3874" s="3"/>
    </row>
    <row r="3875" spans="19:27" x14ac:dyDescent="0.25">
      <c r="S3875" s="4">
        <v>5.1967646198651817E-2</v>
      </c>
      <c r="T3875" s="4">
        <v>-0.66308381087699619</v>
      </c>
      <c r="U3875" s="4">
        <f t="shared" si="374"/>
        <v>-0.49394060815315155</v>
      </c>
      <c r="W3875" s="4">
        <f t="shared" si="375"/>
        <v>0.11668422635869467</v>
      </c>
      <c r="X3875" s="4">
        <f t="shared" si="376"/>
        <v>-0.80507596234508316</v>
      </c>
      <c r="Y3875" s="3">
        <f t="shared" si="373"/>
        <v>-99.171110569323901</v>
      </c>
      <c r="AA3875" s="3"/>
    </row>
    <row r="3876" spans="19:27" x14ac:dyDescent="0.25">
      <c r="S3876" s="4">
        <v>-0.38786969016228434</v>
      </c>
      <c r="T3876" s="4">
        <v>1.1641327826535319</v>
      </c>
      <c r="U3876" s="4">
        <f t="shared" si="374"/>
        <v>0.68634474858104966</v>
      </c>
      <c r="W3876" s="4">
        <f t="shared" si="375"/>
        <v>-0.63124013722345973</v>
      </c>
      <c r="X3876" s="4">
        <f t="shared" si="376"/>
        <v>1.2758801584609487</v>
      </c>
      <c r="Y3876" s="3">
        <f t="shared" si="373"/>
        <v>229.77818106828909</v>
      </c>
      <c r="AA3876" s="3"/>
    </row>
    <row r="3877" spans="19:27" x14ac:dyDescent="0.25">
      <c r="S3877" s="4">
        <v>-0.56283399402135281</v>
      </c>
      <c r="T3877" s="4">
        <v>0.25740045188175043</v>
      </c>
      <c r="U3877" s="4">
        <f t="shared" si="374"/>
        <v>-0.13907687674672067</v>
      </c>
      <c r="W3877" s="4">
        <f t="shared" si="375"/>
        <v>-0.9287593671644192</v>
      </c>
      <c r="X3877" s="4">
        <f t="shared" si="376"/>
        <v>-0.1794172182888529</v>
      </c>
      <c r="Y3877" s="3">
        <f t="shared" si="373"/>
        <v>133.13360405216736</v>
      </c>
      <c r="AA3877" s="3"/>
    </row>
    <row r="3878" spans="19:27" x14ac:dyDescent="0.25">
      <c r="S3878" s="4">
        <v>0.92247216861949299</v>
      </c>
      <c r="T3878" s="4">
        <v>0.99719707390061174</v>
      </c>
      <c r="U3878" s="4">
        <f t="shared" si="374"/>
        <v>1.3528297778451264</v>
      </c>
      <c r="W3878" s="4">
        <f t="shared" si="375"/>
        <v>1.5969395096271375</v>
      </c>
      <c r="X3878" s="4">
        <f t="shared" si="376"/>
        <v>2.4509570948640507</v>
      </c>
      <c r="Y3878" s="3">
        <f t="shared" si="373"/>
        <v>-4.279624196568875</v>
      </c>
      <c r="AA3878" s="3"/>
    </row>
    <row r="3879" spans="19:27" x14ac:dyDescent="0.25">
      <c r="S3879" s="4">
        <v>0.35183282983249148</v>
      </c>
      <c r="T3879" s="4">
        <v>0.13030590913979329</v>
      </c>
      <c r="U3879" s="4">
        <f t="shared" si="374"/>
        <v>0.31777759730413768</v>
      </c>
      <c r="W3879" s="4">
        <f t="shared" si="375"/>
        <v>0.62659199927622899</v>
      </c>
      <c r="X3879" s="4">
        <f t="shared" si="376"/>
        <v>0.62606097278545125</v>
      </c>
      <c r="Y3879" s="3">
        <f t="shared" si="373"/>
        <v>-36.793944490629656</v>
      </c>
      <c r="AA3879" s="3"/>
    </row>
    <row r="3880" spans="19:27" x14ac:dyDescent="0.25">
      <c r="S3880" s="4">
        <v>1.2666554967199513</v>
      </c>
      <c r="T3880" s="4">
        <v>-1.7415540045710898</v>
      </c>
      <c r="U3880" s="4">
        <f t="shared" si="374"/>
        <v>-0.60833450774406717</v>
      </c>
      <c r="W3880" s="4">
        <f t="shared" si="375"/>
        <v>2.1822083700539352</v>
      </c>
      <c r="X3880" s="4">
        <f t="shared" si="376"/>
        <v>-1.0067633629201924</v>
      </c>
      <c r="Y3880" s="3">
        <f t="shared" si="373"/>
        <v>-438.21438923595178</v>
      </c>
      <c r="AA3880" s="3"/>
    </row>
    <row r="3881" spans="19:27" x14ac:dyDescent="0.25">
      <c r="S3881" s="4">
        <v>-1.4299069089483702</v>
      </c>
      <c r="T3881" s="4">
        <v>-0.86437379403882708</v>
      </c>
      <c r="U3881" s="4">
        <f t="shared" si="374"/>
        <v>-1.5568853634832081</v>
      </c>
      <c r="W3881" s="4">
        <f t="shared" si="375"/>
        <v>-2.403179350337338</v>
      </c>
      <c r="X3881" s="4">
        <f t="shared" si="376"/>
        <v>-2.6791493650712663</v>
      </c>
      <c r="Y3881" s="3">
        <f t="shared" si="373"/>
        <v>132.31655541313967</v>
      </c>
      <c r="AA3881" s="3"/>
    </row>
    <row r="3882" spans="19:27" x14ac:dyDescent="0.25">
      <c r="S3882" s="4">
        <v>-0.53346537445335362</v>
      </c>
      <c r="T3882" s="4">
        <v>0.40469885578349529</v>
      </c>
      <c r="U3882" s="4">
        <f t="shared" si="374"/>
        <v>-4.4108418142644878E-3</v>
      </c>
      <c r="W3882" s="4">
        <f t="shared" si="375"/>
        <v>-0.87881930004456688</v>
      </c>
      <c r="X3882" s="4">
        <f t="shared" si="376"/>
        <v>5.8011898372197036E-2</v>
      </c>
      <c r="Y3882" s="3">
        <f t="shared" si="373"/>
        <v>148.6385185147974</v>
      </c>
      <c r="AA3882" s="3"/>
    </row>
    <row r="3883" spans="19:27" x14ac:dyDescent="0.25">
      <c r="S3883" s="4">
        <v>-1.0607947160939371</v>
      </c>
      <c r="T3883" s="4">
        <v>1.9325724259862895</v>
      </c>
      <c r="U3883" s="4">
        <f t="shared" si="374"/>
        <v>0.88525061087549872</v>
      </c>
      <c r="W3883" s="4">
        <f t="shared" si="375"/>
        <v>-1.7755200337928227</v>
      </c>
      <c r="X3883" s="4">
        <f t="shared" si="376"/>
        <v>1.6265702430614379</v>
      </c>
      <c r="Y3883" s="3">
        <f t="shared" si="373"/>
        <v>455.41226875799202</v>
      </c>
      <c r="AA3883" s="3"/>
    </row>
    <row r="3884" spans="19:27" x14ac:dyDescent="0.25">
      <c r="S3884" s="4">
        <v>-0.18826537210321043</v>
      </c>
      <c r="T3884" s="4">
        <v>-1.0916403331709998</v>
      </c>
      <c r="U3884" s="4">
        <f t="shared" si="374"/>
        <v>-0.98010535104083207</v>
      </c>
      <c r="W3884" s="4">
        <f t="shared" si="375"/>
        <v>-0.29182162903643677</v>
      </c>
      <c r="X3884" s="4">
        <f t="shared" si="376"/>
        <v>-1.6622309644468676</v>
      </c>
      <c r="Y3884" s="3">
        <f t="shared" si="373"/>
        <v>-119.23805044950086</v>
      </c>
      <c r="AA3884" s="3"/>
    </row>
    <row r="3885" spans="19:27" x14ac:dyDescent="0.25">
      <c r="S3885" s="4">
        <v>0.37355472976688447</v>
      </c>
      <c r="T3885" s="4">
        <v>0.91787098000533041</v>
      </c>
      <c r="U3885" s="4">
        <f t="shared" si="374"/>
        <v>0.9553162982308081</v>
      </c>
      <c r="W3885" s="4">
        <f t="shared" si="375"/>
        <v>0.66352915044816629</v>
      </c>
      <c r="X3885" s="4">
        <f t="shared" si="376"/>
        <v>1.7501027601164196</v>
      </c>
      <c r="Y3885" s="3">
        <f t="shared" si="373"/>
        <v>69.813586671051326</v>
      </c>
      <c r="AA3885" s="3"/>
    </row>
    <row r="3886" spans="19:27" x14ac:dyDescent="0.25">
      <c r="S3886" s="4">
        <v>-0.94946181535825269</v>
      </c>
      <c r="T3886" s="4">
        <v>0.84036448875128322</v>
      </c>
      <c r="U3886" s="4">
        <f t="shared" si="374"/>
        <v>8.7337116338483733E-2</v>
      </c>
      <c r="W3886" s="4">
        <f t="shared" si="375"/>
        <v>-1.5862032522357412</v>
      </c>
      <c r="X3886" s="4">
        <f t="shared" si="376"/>
        <v>0.21977233537168175</v>
      </c>
      <c r="Y3886" s="3">
        <f t="shared" si="373"/>
        <v>282.72696163622004</v>
      </c>
      <c r="AA3886" s="3"/>
    </row>
    <row r="3887" spans="19:27" x14ac:dyDescent="0.25">
      <c r="S3887" s="4">
        <v>-0.94678601107868787</v>
      </c>
      <c r="T3887" s="4">
        <v>1.0897734488696478</v>
      </c>
      <c r="U3887" s="4">
        <f t="shared" si="374"/>
        <v>0.28667283846734615</v>
      </c>
      <c r="W3887" s="4">
        <f t="shared" si="375"/>
        <v>-1.5816531628108144</v>
      </c>
      <c r="X3887" s="4">
        <f t="shared" si="376"/>
        <v>0.57122030402826574</v>
      </c>
      <c r="Y3887" s="3">
        <f t="shared" si="373"/>
        <v>317.10486906331244</v>
      </c>
      <c r="AA3887" s="3"/>
    </row>
    <row r="3888" spans="19:27" x14ac:dyDescent="0.25">
      <c r="S3888" s="4">
        <v>-1.1746383019575442</v>
      </c>
      <c r="T3888" s="4">
        <v>-0.4207577063318827</v>
      </c>
      <c r="U3888" s="4">
        <f t="shared" si="374"/>
        <v>-1.0496169929473484</v>
      </c>
      <c r="W3888" s="4">
        <f t="shared" si="375"/>
        <v>-1.969106126800344</v>
      </c>
      <c r="X3888" s="4">
        <f t="shared" si="376"/>
        <v>-1.7847866463142461</v>
      </c>
      <c r="Y3888" s="3">
        <f t="shared" si="373"/>
        <v>147.20082434609776</v>
      </c>
      <c r="AA3888" s="3"/>
    </row>
    <row r="3889" spans="19:27" x14ac:dyDescent="0.25">
      <c r="S3889" s="4">
        <v>-0.21264291528246598</v>
      </c>
      <c r="T3889" s="4">
        <v>0.53184615151780124</v>
      </c>
      <c r="U3889" s="4">
        <f t="shared" si="374"/>
        <v>0.29195833399827575</v>
      </c>
      <c r="W3889" s="4">
        <f t="shared" si="375"/>
        <v>-0.3332745866659349</v>
      </c>
      <c r="X3889" s="4">
        <f t="shared" si="376"/>
        <v>0.58053913884547836</v>
      </c>
      <c r="Y3889" s="3">
        <f t="shared" si="373"/>
        <v>111.74897489838531</v>
      </c>
      <c r="AA3889" s="3"/>
    </row>
    <row r="3890" spans="19:27" x14ac:dyDescent="0.25">
      <c r="S3890" s="4">
        <v>-0.24935025829838142</v>
      </c>
      <c r="T3890" s="4">
        <v>1.1621547948753121</v>
      </c>
      <c r="U3890" s="4">
        <f t="shared" si="374"/>
        <v>0.76922134974515877</v>
      </c>
      <c r="W3890" s="4">
        <f t="shared" si="375"/>
        <v>-0.39569383554352683</v>
      </c>
      <c r="X3890" s="4">
        <f t="shared" si="376"/>
        <v>1.4219995434724257</v>
      </c>
      <c r="Y3890" s="3">
        <f t="shared" si="373"/>
        <v>206.01571147848608</v>
      </c>
      <c r="AA3890" s="3"/>
    </row>
    <row r="3891" spans="19:27" x14ac:dyDescent="0.25">
      <c r="S3891" s="4">
        <v>-0.15108367754152927</v>
      </c>
      <c r="T3891" s="4">
        <v>0.92342719951122698</v>
      </c>
      <c r="U3891" s="4">
        <f t="shared" si="374"/>
        <v>0.63988939033827408</v>
      </c>
      <c r="W3891" s="4">
        <f t="shared" si="375"/>
        <v>-0.22859576587521818</v>
      </c>
      <c r="X3891" s="4">
        <f t="shared" si="376"/>
        <v>1.1939749128116874</v>
      </c>
      <c r="Y3891" s="3">
        <f t="shared" si="373"/>
        <v>156.16531906991986</v>
      </c>
      <c r="AA3891" s="3"/>
    </row>
    <row r="3892" spans="19:27" x14ac:dyDescent="0.25">
      <c r="S3892" s="4">
        <v>0.36951607410152448</v>
      </c>
      <c r="T3892" s="4">
        <v>-1.6922241456392892</v>
      </c>
      <c r="U3892" s="4">
        <f t="shared" si="374"/>
        <v>-1.1161473311446952</v>
      </c>
      <c r="W3892" s="4">
        <f t="shared" si="375"/>
        <v>0.65666159119720924</v>
      </c>
      <c r="X3892" s="4">
        <f t="shared" si="376"/>
        <v>-1.9020860042204903</v>
      </c>
      <c r="Y3892" s="3">
        <f t="shared" si="373"/>
        <v>-294.32807315841501</v>
      </c>
      <c r="AA3892" s="3"/>
    </row>
    <row r="3893" spans="19:27" x14ac:dyDescent="0.25">
      <c r="S3893" s="4">
        <v>0.16606881934153825</v>
      </c>
      <c r="T3893" s="4">
        <v>0.23593347692005082</v>
      </c>
      <c r="U3893" s="4">
        <f t="shared" si="374"/>
        <v>0.28826184172894742</v>
      </c>
      <c r="W3893" s="4">
        <f t="shared" si="375"/>
        <v>0.31070833539167642</v>
      </c>
      <c r="X3893" s="4">
        <f t="shared" si="376"/>
        <v>0.57402186895859697</v>
      </c>
      <c r="Y3893" s="3">
        <f t="shared" si="373"/>
        <v>7.8602223491943732</v>
      </c>
      <c r="AA3893" s="3"/>
    </row>
    <row r="3894" spans="19:27" x14ac:dyDescent="0.25">
      <c r="S3894" s="4">
        <v>0.33750991293268562</v>
      </c>
      <c r="T3894" s="4">
        <v>1.1872215334082257</v>
      </c>
      <c r="U3894" s="4">
        <f t="shared" si="374"/>
        <v>1.1468546076414958</v>
      </c>
      <c r="W3894" s="4">
        <f t="shared" si="375"/>
        <v>0.60223649868239904</v>
      </c>
      <c r="X3894" s="4">
        <f t="shared" si="376"/>
        <v>2.0878031433863362</v>
      </c>
      <c r="Y3894" s="3">
        <f t="shared" si="373"/>
        <v>113.20626660309745</v>
      </c>
      <c r="AA3894" s="3"/>
    </row>
    <row r="3895" spans="19:27" x14ac:dyDescent="0.25">
      <c r="S3895" s="4">
        <v>-0.8896679568924647</v>
      </c>
      <c r="T3895" s="4">
        <v>-0.53591719640042834</v>
      </c>
      <c r="U3895" s="4">
        <f t="shared" si="374"/>
        <v>-0.96717872106167735</v>
      </c>
      <c r="W3895" s="4">
        <f t="shared" si="375"/>
        <v>-1.4845263825339681</v>
      </c>
      <c r="X3895" s="4">
        <f t="shared" si="376"/>
        <v>-1.6394400777998051</v>
      </c>
      <c r="Y3895" s="3">
        <f t="shared" si="373"/>
        <v>79.694867708167749</v>
      </c>
      <c r="AA3895" s="3"/>
    </row>
    <row r="3896" spans="19:27" x14ac:dyDescent="0.25">
      <c r="S3896" s="4">
        <v>0.39347029883976314</v>
      </c>
      <c r="T3896" s="4">
        <v>1.3291197709741345</v>
      </c>
      <c r="U3896" s="4">
        <f t="shared" si="374"/>
        <v>1.293450907890477</v>
      </c>
      <c r="W3896" s="4">
        <f t="shared" si="375"/>
        <v>0.69739471413006771</v>
      </c>
      <c r="X3896" s="4">
        <f t="shared" si="376"/>
        <v>2.3462664603715822</v>
      </c>
      <c r="Y3896" s="3">
        <f t="shared" si="373"/>
        <v>124.12147267663022</v>
      </c>
      <c r="AA3896" s="3"/>
    </row>
    <row r="3897" spans="19:27" x14ac:dyDescent="0.25">
      <c r="S3897" s="4">
        <v>0.19312628324477374</v>
      </c>
      <c r="T3897" s="4">
        <v>1.3508873969310409</v>
      </c>
      <c r="U3897" s="4">
        <f t="shared" si="374"/>
        <v>1.1885717493048114</v>
      </c>
      <c r="W3897" s="4">
        <f t="shared" si="375"/>
        <v>0.35671838228175629</v>
      </c>
      <c r="X3897" s="4">
        <f t="shared" si="376"/>
        <v>2.1613544594231735</v>
      </c>
      <c r="Y3897" s="3">
        <f t="shared" si="373"/>
        <v>159.29952776828122</v>
      </c>
      <c r="AA3897" s="3"/>
    </row>
    <row r="3898" spans="19:27" x14ac:dyDescent="0.25">
      <c r="S3898" s="4">
        <v>-0.76030685687400379</v>
      </c>
      <c r="T3898" s="4">
        <v>-2.430912381837021E-2</v>
      </c>
      <c r="U3898" s="4">
        <f t="shared" si="374"/>
        <v>-0.48276967224360956</v>
      </c>
      <c r="W3898" s="4">
        <f t="shared" si="375"/>
        <v>-1.2645534279774258</v>
      </c>
      <c r="X3898" s="4">
        <f t="shared" si="376"/>
        <v>-0.78538053248698969</v>
      </c>
      <c r="Y3898" s="3">
        <f t="shared" si="373"/>
        <v>128.26942345557381</v>
      </c>
      <c r="AA3898" s="3"/>
    </row>
    <row r="3899" spans="19:27" x14ac:dyDescent="0.25">
      <c r="S3899" s="4">
        <v>-0.10881594351879754</v>
      </c>
      <c r="T3899" s="4">
        <v>-0.57641290926413502</v>
      </c>
      <c r="U3899" s="4">
        <f t="shared" si="374"/>
        <v>-0.52325453984193282</v>
      </c>
      <c r="W3899" s="4">
        <f t="shared" si="375"/>
        <v>-0.15672131262718988</v>
      </c>
      <c r="X3899" s="4">
        <f t="shared" si="376"/>
        <v>-0.85675923133136156</v>
      </c>
      <c r="Y3899" s="3">
        <f t="shared" si="373"/>
        <v>-60.497717932109026</v>
      </c>
      <c r="AA3899" s="3"/>
    </row>
    <row r="3900" spans="19:27" x14ac:dyDescent="0.25">
      <c r="S3900" s="4">
        <v>0.1030313485786207</v>
      </c>
      <c r="T3900" s="4">
        <v>-0.45103155624715574</v>
      </c>
      <c r="U3900" s="4">
        <f t="shared" si="374"/>
        <v>-0.29471890601323913</v>
      </c>
      <c r="W3900" s="4">
        <f t="shared" si="375"/>
        <v>0.20351584329388386</v>
      </c>
      <c r="X3900" s="4">
        <f t="shared" si="376"/>
        <v>-0.45382902184880458</v>
      </c>
      <c r="Y3900" s="3">
        <f t="shared" si="373"/>
        <v>-77.889431125103783</v>
      </c>
      <c r="AA3900" s="3"/>
    </row>
    <row r="3901" spans="19:27" x14ac:dyDescent="0.25">
      <c r="S3901" s="4">
        <v>0.81850656406026345</v>
      </c>
      <c r="T3901" s="4">
        <v>0.19878878825559765</v>
      </c>
      <c r="U3901" s="4">
        <f t="shared" si="374"/>
        <v>0.65655814975435056</v>
      </c>
      <c r="W3901" s="4">
        <f t="shared" si="375"/>
        <v>1.4201504965166494</v>
      </c>
      <c r="X3901" s="4">
        <f t="shared" si="376"/>
        <v>1.2233635320428069</v>
      </c>
      <c r="Y3901" s="3">
        <f t="shared" si="373"/>
        <v>-100.07007339099846</v>
      </c>
      <c r="AA3901" s="3"/>
    </row>
    <row r="3902" spans="19:27" x14ac:dyDescent="0.25">
      <c r="S3902" s="4">
        <v>0.43264114516091468</v>
      </c>
      <c r="T3902" s="4">
        <v>-0.27601578492010137</v>
      </c>
      <c r="U3902" s="4">
        <f t="shared" si="374"/>
        <v>4.4952185308260145E-2</v>
      </c>
      <c r="W3902" s="4">
        <f t="shared" si="375"/>
        <v>0.764003043809657</v>
      </c>
      <c r="X3902" s="4">
        <f t="shared" si="376"/>
        <v>0.14504364272625728</v>
      </c>
      <c r="Y3902" s="3">
        <f t="shared" si="373"/>
        <v>-106.42467796176516</v>
      </c>
      <c r="AA3902" s="3"/>
    </row>
    <row r="3903" spans="19:27" x14ac:dyDescent="0.25">
      <c r="S3903" s="4">
        <v>-0.71054326186291072</v>
      </c>
      <c r="T3903" s="4">
        <v>-1.6709422882606322</v>
      </c>
      <c r="U3903" s="4">
        <f t="shared" si="374"/>
        <v>-1.7577056419816901</v>
      </c>
      <c r="W3903" s="4">
        <f t="shared" si="375"/>
        <v>-1.1799325873817355</v>
      </c>
      <c r="X3903" s="4">
        <f t="shared" si="376"/>
        <v>-3.0332147487846544</v>
      </c>
      <c r="Y3903" s="3">
        <f t="shared" si="373"/>
        <v>-110.61455618152331</v>
      </c>
      <c r="AA3903" s="3"/>
    </row>
    <row r="3904" spans="19:27" x14ac:dyDescent="0.25">
      <c r="S3904" s="4">
        <v>0.2626846160596718</v>
      </c>
      <c r="T3904" s="4">
        <v>-3.4553835745756933E-2</v>
      </c>
      <c r="U3904" s="4">
        <f t="shared" si="374"/>
        <v>0.13274785311115092</v>
      </c>
      <c r="W3904" s="4">
        <f t="shared" si="375"/>
        <v>0.47499931821332181</v>
      </c>
      <c r="X3904" s="4">
        <f t="shared" si="376"/>
        <v>0.2998358133248985</v>
      </c>
      <c r="Y3904" s="3">
        <f t="shared" si="373"/>
        <v>-45.55343999575507</v>
      </c>
      <c r="AA3904" s="3"/>
    </row>
    <row r="3905" spans="19:27" x14ac:dyDescent="0.25">
      <c r="S3905" s="4">
        <v>1.9012402538594552E-2</v>
      </c>
      <c r="T3905" s="4">
        <v>-0.16858489652882605</v>
      </c>
      <c r="U3905" s="4">
        <f t="shared" si="374"/>
        <v>-0.12204551720272061</v>
      </c>
      <c r="W3905" s="4">
        <f t="shared" si="375"/>
        <v>6.0645260123875819E-2</v>
      </c>
      <c r="X3905" s="4">
        <f t="shared" si="376"/>
        <v>-0.14938930030569644</v>
      </c>
      <c r="Y3905" s="3">
        <f t="shared" si="373"/>
        <v>-24.647850864849261</v>
      </c>
      <c r="AA3905" s="3"/>
    </row>
    <row r="3906" spans="19:27" x14ac:dyDescent="0.25">
      <c r="S3906" s="4">
        <v>0.11525075014171283</v>
      </c>
      <c r="T3906" s="4">
        <v>-0.71485074289159078</v>
      </c>
      <c r="U3906" s="4">
        <f t="shared" si="374"/>
        <v>-0.49639704987910149</v>
      </c>
      <c r="W3906" s="4">
        <f t="shared" si="375"/>
        <v>0.22429440705348869</v>
      </c>
      <c r="X3906" s="4">
        <f t="shared" si="376"/>
        <v>-0.80940690436334461</v>
      </c>
      <c r="Y3906" s="3">
        <f t="shared" ref="Y3906:Y3969" si="377">(B$4*EXP(-B$8*B$7)*NORMSDIST((LN(B$4/(B$5+W3906))-B$8*B$7+B$9*B$7+0.5*B$6*B$6*B$7)/(B$6*SQRT(B$7)))-(B$5+W3906)*EXP(-B$9*B$7)*NORMSDIST((LN(B$4/(B$5+W3906))-B$8*B$7+B$9*B$7-0.5*B$6*B$6*B$7)/(B$6*SQRT(B$7))))*400+100*X3906-400*$B$13</f>
        <v>-116.75405056340242</v>
      </c>
      <c r="AA3906" s="3"/>
    </row>
    <row r="3907" spans="19:27" x14ac:dyDescent="0.25">
      <c r="S3907" s="4">
        <v>-0.3544210046841843</v>
      </c>
      <c r="T3907" s="4">
        <v>-1.0696060553497448</v>
      </c>
      <c r="U3907" s="4">
        <f t="shared" ref="U3907:U3970" si="378">$B$19*S3907+SQRT(1-$B$19^2)*T3907</f>
        <v>-1.0639311357302663</v>
      </c>
      <c r="W3907" s="4">
        <f t="shared" ref="W3907:W3970" si="379">S3907*SQRT($B$16)+$B$20</f>
        <v>-0.57436209452283216</v>
      </c>
      <c r="X3907" s="4">
        <f t="shared" ref="X3907:X3970" si="380">U3907*SQRT($C$17)+$C$20</f>
        <v>-1.810023850917567</v>
      </c>
      <c r="Y3907" s="3">
        <f t="shared" si="377"/>
        <v>-88.105098115554938</v>
      </c>
      <c r="AA3907" s="3"/>
    </row>
    <row r="3908" spans="19:27" x14ac:dyDescent="0.25">
      <c r="S3908" s="4">
        <v>0.28679639130178103</v>
      </c>
      <c r="T3908" s="4">
        <v>1.8475699113786079</v>
      </c>
      <c r="U3908" s="4">
        <f t="shared" si="378"/>
        <v>1.6393914022795715</v>
      </c>
      <c r="W3908" s="4">
        <f t="shared" si="379"/>
        <v>0.51600034896254354</v>
      </c>
      <c r="X3908" s="4">
        <f t="shared" si="380"/>
        <v>2.9561926829806193</v>
      </c>
      <c r="Y3908" s="3">
        <f t="shared" si="377"/>
        <v>213.6164354854991</v>
      </c>
      <c r="AA3908" s="3"/>
    </row>
    <row r="3909" spans="19:27" x14ac:dyDescent="0.25">
      <c r="S3909" s="4">
        <v>-0.25425134681914713</v>
      </c>
      <c r="T3909" s="4">
        <v>-0.76949951838277575</v>
      </c>
      <c r="U3909" s="4">
        <f t="shared" si="378"/>
        <v>-0.76497342063967788</v>
      </c>
      <c r="W3909" s="4">
        <f t="shared" si="379"/>
        <v>-0.40402792455716491</v>
      </c>
      <c r="X3909" s="4">
        <f t="shared" si="380"/>
        <v>-1.2829327677905855</v>
      </c>
      <c r="Y3909" s="3">
        <f t="shared" si="377"/>
        <v>-63.124691409143452</v>
      </c>
      <c r="AA3909" s="3"/>
    </row>
    <row r="3910" spans="19:27" x14ac:dyDescent="0.25">
      <c r="S3910" s="4">
        <v>-0.70429594724802647</v>
      </c>
      <c r="T3910" s="4">
        <v>0.60996438974331091</v>
      </c>
      <c r="U3910" s="4">
        <f t="shared" si="378"/>
        <v>5.4159379996790769E-2</v>
      </c>
      <c r="W3910" s="4">
        <f t="shared" si="379"/>
        <v>-1.1693092991313707</v>
      </c>
      <c r="X3910" s="4">
        <f t="shared" si="380"/>
        <v>0.16127680874262204</v>
      </c>
      <c r="Y3910" s="3">
        <f t="shared" si="377"/>
        <v>207.06708345672632</v>
      </c>
      <c r="AA3910" s="3"/>
    </row>
    <row r="3911" spans="19:27" x14ac:dyDescent="0.25">
      <c r="S3911" s="4">
        <v>-0.73516603392309909</v>
      </c>
      <c r="T3911" s="4">
        <v>-0.88225892389736504</v>
      </c>
      <c r="U3911" s="4">
        <f t="shared" si="378"/>
        <v>-1.1475332248079517</v>
      </c>
      <c r="W3911" s="4">
        <f t="shared" si="379"/>
        <v>-1.2218025461149167</v>
      </c>
      <c r="X3911" s="4">
        <f t="shared" si="380"/>
        <v>-1.9574223406012432</v>
      </c>
      <c r="Y3911" s="3">
        <f t="shared" si="377"/>
        <v>3.9368510412641626</v>
      </c>
      <c r="AA3911" s="3"/>
    </row>
    <row r="3912" spans="19:27" x14ac:dyDescent="0.25">
      <c r="S3912" s="4">
        <v>-0.95744712686691924</v>
      </c>
      <c r="T3912" s="4">
        <v>-0.49765479638252624</v>
      </c>
      <c r="U3912" s="4">
        <f t="shared" si="378"/>
        <v>-0.97816811623732447</v>
      </c>
      <c r="W3912" s="4">
        <f t="shared" si="379"/>
        <v>-1.5997819290200688</v>
      </c>
      <c r="X3912" s="4">
        <f t="shared" si="380"/>
        <v>-1.658815433957739</v>
      </c>
      <c r="Y3912" s="3">
        <f t="shared" si="377"/>
        <v>97.157439044734474</v>
      </c>
      <c r="AA3912" s="3"/>
    </row>
    <row r="3913" spans="19:27" x14ac:dyDescent="0.25">
      <c r="S3913" s="4">
        <v>-0.8628537754868687</v>
      </c>
      <c r="T3913" s="4">
        <v>-0.54371948155767802</v>
      </c>
      <c r="U3913" s="4">
        <f t="shared" si="378"/>
        <v>-0.95701700697639058</v>
      </c>
      <c r="W3913" s="4">
        <f t="shared" si="379"/>
        <v>-1.4389300270069796</v>
      </c>
      <c r="X3913" s="4">
        <f t="shared" si="380"/>
        <v>-1.6215240026718643</v>
      </c>
      <c r="Y3913" s="3">
        <f t="shared" si="377"/>
        <v>73.830992819409857</v>
      </c>
      <c r="AA3913" s="3"/>
    </row>
    <row r="3914" spans="19:27" x14ac:dyDescent="0.25">
      <c r="S3914" s="4">
        <v>0.51287003749033044</v>
      </c>
      <c r="T3914" s="4">
        <v>3.2963413317896616E-2</v>
      </c>
      <c r="U3914" s="4">
        <f t="shared" si="378"/>
        <v>0.33878685258920072</v>
      </c>
      <c r="W3914" s="4">
        <f t="shared" si="379"/>
        <v>0.90042880459850128</v>
      </c>
      <c r="X3914" s="4">
        <f t="shared" si="380"/>
        <v>0.66310230192639552</v>
      </c>
      <c r="Y3914" s="3">
        <f t="shared" si="377"/>
        <v>-75.898083790467808</v>
      </c>
      <c r="AA3914" s="3"/>
    </row>
    <row r="3915" spans="19:27" x14ac:dyDescent="0.25">
      <c r="S3915" s="4">
        <v>0.67873434254129705</v>
      </c>
      <c r="T3915" s="4">
        <v>1.5517286791940477</v>
      </c>
      <c r="U3915" s="4">
        <f t="shared" si="378"/>
        <v>1.6438145385912124</v>
      </c>
      <c r="W3915" s="4">
        <f t="shared" si="379"/>
        <v>1.1824738802226411</v>
      </c>
      <c r="X3915" s="4">
        <f t="shared" si="380"/>
        <v>2.9639910959053855</v>
      </c>
      <c r="Y3915" s="3">
        <f t="shared" si="377"/>
        <v>110.49857969049981</v>
      </c>
      <c r="AA3915" s="3"/>
    </row>
    <row r="3916" spans="19:27" x14ac:dyDescent="0.25">
      <c r="S3916" s="4">
        <v>-1.3180706176136365</v>
      </c>
      <c r="T3916" s="4">
        <v>-0.21991469713869935</v>
      </c>
      <c r="U3916" s="4">
        <f t="shared" si="378"/>
        <v>-0.97784988236479609</v>
      </c>
      <c r="W3916" s="4">
        <f t="shared" si="379"/>
        <v>-2.2130065748427201</v>
      </c>
      <c r="X3916" s="4">
        <f t="shared" si="380"/>
        <v>-1.658254357162956</v>
      </c>
      <c r="Y3916" s="3">
        <f t="shared" si="377"/>
        <v>201.61992457731685</v>
      </c>
      <c r="AA3916" s="3"/>
    </row>
    <row r="3917" spans="19:27" x14ac:dyDescent="0.25">
      <c r="S3917" s="4">
        <v>-0.1490064705387002</v>
      </c>
      <c r="T3917" s="4">
        <v>0.56670584388889889</v>
      </c>
      <c r="U3917" s="4">
        <f t="shared" si="378"/>
        <v>0.35838553048635224</v>
      </c>
      <c r="W3917" s="4">
        <f t="shared" si="379"/>
        <v>-0.22506356522469306</v>
      </c>
      <c r="X3917" s="4">
        <f t="shared" si="380"/>
        <v>0.69765664804031402</v>
      </c>
      <c r="Y3917" s="3">
        <f t="shared" si="377"/>
        <v>105.96330560595061</v>
      </c>
      <c r="AA3917" s="3"/>
    </row>
    <row r="3918" spans="19:27" x14ac:dyDescent="0.25">
      <c r="S3918" s="4">
        <v>0.4586510987522246</v>
      </c>
      <c r="T3918" s="4">
        <v>-0.99358521721107584</v>
      </c>
      <c r="U3918" s="4">
        <f t="shared" si="378"/>
        <v>-0.50800312866438657</v>
      </c>
      <c r="W3918" s="4">
        <f t="shared" si="379"/>
        <v>0.80823184472849963</v>
      </c>
      <c r="X3918" s="4">
        <f t="shared" si="380"/>
        <v>-0.82986953278535847</v>
      </c>
      <c r="Y3918" s="3">
        <f t="shared" si="377"/>
        <v>-210.82506605496928</v>
      </c>
      <c r="AA3918" s="3"/>
    </row>
    <row r="3919" spans="19:27" x14ac:dyDescent="0.25">
      <c r="S3919" s="4">
        <v>-1.0244520067195275</v>
      </c>
      <c r="T3919" s="4">
        <v>-0.9202680273721966</v>
      </c>
      <c r="U3919" s="4">
        <f t="shared" si="378"/>
        <v>-1.3540179213023658</v>
      </c>
      <c r="W3919" s="4">
        <f t="shared" si="379"/>
        <v>-1.7137208286489445</v>
      </c>
      <c r="X3919" s="4">
        <f t="shared" si="380"/>
        <v>-2.3214746357273546</v>
      </c>
      <c r="Y3919" s="3">
        <f t="shared" si="377"/>
        <v>50.13921644531365</v>
      </c>
      <c r="AA3919" s="3"/>
    </row>
    <row r="3920" spans="19:27" x14ac:dyDescent="0.25">
      <c r="S3920" s="4">
        <v>-1.0135666926555629</v>
      </c>
      <c r="T3920" s="4">
        <v>-0.15428795572585782</v>
      </c>
      <c r="U3920" s="4">
        <f t="shared" si="378"/>
        <v>-0.74019570151650071</v>
      </c>
      <c r="W3920" s="4">
        <f t="shared" si="379"/>
        <v>-1.6952108229703868</v>
      </c>
      <c r="X3920" s="4">
        <f t="shared" si="380"/>
        <v>-1.239247275994215</v>
      </c>
      <c r="Y3920" s="3">
        <f t="shared" si="377"/>
        <v>155.23037088403908</v>
      </c>
      <c r="AA3920" s="3"/>
    </row>
    <row r="3921" spans="19:27" x14ac:dyDescent="0.25">
      <c r="S3921" s="4">
        <v>0.7691298632563871</v>
      </c>
      <c r="T3921" s="4">
        <v>-0.65259161970148627</v>
      </c>
      <c r="U3921" s="4">
        <f t="shared" si="378"/>
        <v>-4.8425443210632413E-2</v>
      </c>
      <c r="W3921" s="4">
        <f t="shared" si="379"/>
        <v>1.3361875527836953</v>
      </c>
      <c r="X3921" s="4">
        <f t="shared" si="380"/>
        <v>-1.9590059203589499E-2</v>
      </c>
      <c r="Y3921" s="3">
        <f t="shared" si="377"/>
        <v>-211.50178999409445</v>
      </c>
      <c r="AA3921" s="3"/>
    </row>
    <row r="3922" spans="19:27" x14ac:dyDescent="0.25">
      <c r="S3922" s="4">
        <v>2.4919633887669556E-2</v>
      </c>
      <c r="T3922" s="4">
        <v>-1.4092355514664454</v>
      </c>
      <c r="U3922" s="4">
        <f t="shared" si="378"/>
        <v>-1.1018982096324579</v>
      </c>
      <c r="W3922" s="4">
        <f t="shared" si="379"/>
        <v>7.0690251492375455E-2</v>
      </c>
      <c r="X3922" s="4">
        <f t="shared" si="380"/>
        <v>-1.8769634383445191</v>
      </c>
      <c r="Y3922" s="3">
        <f t="shared" si="377"/>
        <v>-199.01156946158108</v>
      </c>
      <c r="AA3922" s="3"/>
    </row>
    <row r="3923" spans="19:27" x14ac:dyDescent="0.25">
      <c r="S3923" s="4">
        <v>0.74786994785385141</v>
      </c>
      <c r="T3923" s="4">
        <v>-1.3964343658469447</v>
      </c>
      <c r="U3923" s="4">
        <f t="shared" si="378"/>
        <v>-0.6510241702038535</v>
      </c>
      <c r="W3923" s="4">
        <f t="shared" si="379"/>
        <v>1.3000359863232174</v>
      </c>
      <c r="X3923" s="4">
        <f t="shared" si="380"/>
        <v>-1.0820293262603116</v>
      </c>
      <c r="Y3923" s="3">
        <f t="shared" si="377"/>
        <v>-312.19610201336809</v>
      </c>
      <c r="AA3923" s="3"/>
    </row>
    <row r="3924" spans="19:27" x14ac:dyDescent="0.25">
      <c r="S3924" s="4">
        <v>1.3692561684790454</v>
      </c>
      <c r="T3924" s="4">
        <v>0.65150914677833893</v>
      </c>
      <c r="U3924" s="4">
        <f t="shared" si="378"/>
        <v>1.3511752118648781</v>
      </c>
      <c r="W3924" s="4">
        <f t="shared" si="379"/>
        <v>2.3566763739833472</v>
      </c>
      <c r="X3924" s="4">
        <f t="shared" si="380"/>
        <v>2.4480399365817505</v>
      </c>
      <c r="Y3924" s="3">
        <f t="shared" si="377"/>
        <v>-118.68453998299356</v>
      </c>
      <c r="AA3924" s="3"/>
    </row>
    <row r="3925" spans="19:27" x14ac:dyDescent="0.25">
      <c r="S3925" s="4">
        <v>1.3359443439111238</v>
      </c>
      <c r="T3925" s="4">
        <v>-1.1984145003758615</v>
      </c>
      <c r="U3925" s="4">
        <f t="shared" si="378"/>
        <v>-0.13555213038729652</v>
      </c>
      <c r="W3925" s="4">
        <f t="shared" si="379"/>
        <v>2.3000310573400196</v>
      </c>
      <c r="X3925" s="4">
        <f t="shared" si="380"/>
        <v>-0.17320275288937725</v>
      </c>
      <c r="Y3925" s="3">
        <f t="shared" si="377"/>
        <v>-372.39992982663034</v>
      </c>
      <c r="AA3925" s="3"/>
    </row>
    <row r="3926" spans="19:27" x14ac:dyDescent="0.25">
      <c r="S3926" s="4">
        <v>0.18528036098331674</v>
      </c>
      <c r="T3926" s="4">
        <v>-1.3424926943825792</v>
      </c>
      <c r="U3926" s="4">
        <f t="shared" si="378"/>
        <v>-0.95123220231833305</v>
      </c>
      <c r="W3926" s="4">
        <f t="shared" si="379"/>
        <v>0.34337673088247672</v>
      </c>
      <c r="X3926" s="4">
        <f t="shared" si="380"/>
        <v>-1.6113248380442859</v>
      </c>
      <c r="Y3926" s="3">
        <f t="shared" si="377"/>
        <v>-215.85447609811035</v>
      </c>
      <c r="AA3926" s="3"/>
    </row>
    <row r="3927" spans="19:27" x14ac:dyDescent="0.25">
      <c r="S3927" s="4">
        <v>1.7615972103490507</v>
      </c>
      <c r="T3927" s="4">
        <v>1.0061143286915473</v>
      </c>
      <c r="U3927" s="4">
        <f t="shared" si="378"/>
        <v>1.8714477624218384</v>
      </c>
      <c r="W3927" s="4">
        <f t="shared" si="379"/>
        <v>3.0238353434233161</v>
      </c>
      <c r="X3927" s="4">
        <f t="shared" si="380"/>
        <v>3.3653302701368135</v>
      </c>
      <c r="Y3927" s="3">
        <f t="shared" si="377"/>
        <v>-124.80047349420647</v>
      </c>
      <c r="AA3927" s="3"/>
    </row>
    <row r="3928" spans="19:27" x14ac:dyDescent="0.25">
      <c r="S3928" s="4">
        <v>2.0597769953894054</v>
      </c>
      <c r="T3928" s="4">
        <v>1.2015459201377841</v>
      </c>
      <c r="U3928" s="4">
        <f t="shared" si="378"/>
        <v>2.2081418751141531</v>
      </c>
      <c r="W3928" s="4">
        <f t="shared" si="379"/>
        <v>3.530877168941196</v>
      </c>
      <c r="X3928" s="4">
        <f t="shared" si="380"/>
        <v>3.9589542362809707</v>
      </c>
      <c r="Y3928" s="3">
        <f t="shared" si="377"/>
        <v>-138.34050732992182</v>
      </c>
      <c r="AA3928" s="3"/>
    </row>
    <row r="3929" spans="19:27" x14ac:dyDescent="0.25">
      <c r="S3929" s="4">
        <v>0.70364992379563218</v>
      </c>
      <c r="T3929" s="4">
        <v>-3.9230752931870672E-2</v>
      </c>
      <c r="U3929" s="4">
        <f t="shared" si="378"/>
        <v>0.39786278853353002</v>
      </c>
      <c r="W3929" s="4">
        <f t="shared" si="379"/>
        <v>1.2248417483238521</v>
      </c>
      <c r="X3929" s="4">
        <f t="shared" si="380"/>
        <v>0.76725883474643441</v>
      </c>
      <c r="Y3929" s="3">
        <f t="shared" si="377"/>
        <v>-115.70306614014407</v>
      </c>
      <c r="AA3929" s="3"/>
    </row>
    <row r="3930" spans="19:27" x14ac:dyDescent="0.25">
      <c r="S3930" s="4">
        <v>0.20084598908140167</v>
      </c>
      <c r="T3930" s="4">
        <v>-1.2030188774401187</v>
      </c>
      <c r="U3930" s="4">
        <f t="shared" si="378"/>
        <v>-0.83118326659038066</v>
      </c>
      <c r="W3930" s="4">
        <f t="shared" si="379"/>
        <v>0.36984540811060357</v>
      </c>
      <c r="X3930" s="4">
        <f t="shared" si="380"/>
        <v>-1.3996670671721945</v>
      </c>
      <c r="Y3930" s="3">
        <f t="shared" si="377"/>
        <v>-198.88165127916227</v>
      </c>
      <c r="AA3930" s="3"/>
    </row>
    <row r="3931" spans="19:27" x14ac:dyDescent="0.25">
      <c r="S3931" s="4">
        <v>0.19073433601677486</v>
      </c>
      <c r="T3931" s="4">
        <v>0.34886331387183217</v>
      </c>
      <c r="U3931" s="4">
        <f t="shared" si="378"/>
        <v>0.39281707147940198</v>
      </c>
      <c r="W3931" s="4">
        <f t="shared" si="379"/>
        <v>0.35265097949366037</v>
      </c>
      <c r="X3931" s="4">
        <f t="shared" si="380"/>
        <v>0.75836275234760175</v>
      </c>
      <c r="Y3931" s="3">
        <f t="shared" si="377"/>
        <v>19.644722150067082</v>
      </c>
      <c r="AA3931" s="3"/>
    </row>
    <row r="3932" spans="19:27" x14ac:dyDescent="0.25">
      <c r="S3932" s="4">
        <v>-1.0396822055220469</v>
      </c>
      <c r="T3932" s="4">
        <v>-2.414109380254029</v>
      </c>
      <c r="U3932" s="4">
        <f t="shared" si="378"/>
        <v>-2.5474587082979134</v>
      </c>
      <c r="W3932" s="4">
        <f t="shared" si="379"/>
        <v>-1.73961912287028</v>
      </c>
      <c r="X3932" s="4">
        <f t="shared" si="380"/>
        <v>-4.425625039990341</v>
      </c>
      <c r="Y3932" s="3">
        <f t="shared" si="377"/>
        <v>-155.89121493382891</v>
      </c>
      <c r="AA3932" s="3"/>
    </row>
    <row r="3933" spans="19:27" x14ac:dyDescent="0.25">
      <c r="S3933" s="4">
        <v>-0.12969584696310549</v>
      </c>
      <c r="T3933" s="4">
        <v>-0.30651162668559778</v>
      </c>
      <c r="U3933" s="4">
        <f t="shared" si="378"/>
        <v>-0.32203480224931741</v>
      </c>
      <c r="W3933" s="4">
        <f t="shared" si="379"/>
        <v>-0.19222668519161829</v>
      </c>
      <c r="X3933" s="4">
        <f t="shared" si="380"/>
        <v>-0.50198956297849562</v>
      </c>
      <c r="Y3933" s="3">
        <f t="shared" si="377"/>
        <v>-19.298924399468888</v>
      </c>
      <c r="AA3933" s="3"/>
    </row>
    <row r="3934" spans="19:27" x14ac:dyDescent="0.25">
      <c r="S3934" s="4">
        <v>-0.77343380963861696</v>
      </c>
      <c r="T3934" s="4">
        <v>-0.11970623462187195</v>
      </c>
      <c r="U3934" s="4">
        <f t="shared" si="378"/>
        <v>-0.56639268389940667</v>
      </c>
      <c r="W3934" s="4">
        <f t="shared" si="379"/>
        <v>-1.2868752432955086</v>
      </c>
      <c r="X3934" s="4">
        <f t="shared" si="380"/>
        <v>-0.93281591067964931</v>
      </c>
      <c r="Y3934" s="3">
        <f t="shared" si="377"/>
        <v>117.25171257923694</v>
      </c>
      <c r="AA3934" s="3"/>
    </row>
    <row r="3935" spans="19:27" x14ac:dyDescent="0.25">
      <c r="S3935" s="4">
        <v>-7.2420033709980625E-2</v>
      </c>
      <c r="T3935" s="4">
        <v>-0.12629199731469587</v>
      </c>
      <c r="U3935" s="4">
        <f t="shared" si="378"/>
        <v>-0.14425952670208347</v>
      </c>
      <c r="W3935" s="4">
        <f t="shared" si="379"/>
        <v>-9.4831642445996636E-2</v>
      </c>
      <c r="X3935" s="4">
        <f t="shared" si="380"/>
        <v>-0.18855472650673724</v>
      </c>
      <c r="Y3935" s="3">
        <f t="shared" si="377"/>
        <v>-3.635403255989786</v>
      </c>
      <c r="AA3935" s="3"/>
    </row>
    <row r="3936" spans="19:27" x14ac:dyDescent="0.25">
      <c r="S3936" s="4">
        <v>-0.29214239276840237</v>
      </c>
      <c r="T3936" s="4">
        <v>-1.5335894374280725</v>
      </c>
      <c r="U3936" s="4">
        <f t="shared" si="378"/>
        <v>-1.3937606282493173</v>
      </c>
      <c r="W3936" s="4">
        <f t="shared" si="379"/>
        <v>-0.46846000906715979</v>
      </c>
      <c r="X3936" s="4">
        <f t="shared" si="380"/>
        <v>-2.3915448342660324</v>
      </c>
      <c r="Y3936" s="3">
        <f t="shared" si="377"/>
        <v>-163.51477693782272</v>
      </c>
      <c r="AA3936" s="3"/>
    </row>
    <row r="3937" spans="19:27" x14ac:dyDescent="0.25">
      <c r="S3937" s="4">
        <v>-2.1911187122675613</v>
      </c>
      <c r="T3937" s="4">
        <v>-0.76200928768670739</v>
      </c>
      <c r="U3937" s="4">
        <f t="shared" si="378"/>
        <v>-1.9397935356245646</v>
      </c>
      <c r="W3937" s="4">
        <f t="shared" si="379"/>
        <v>-3.6975870926612671</v>
      </c>
      <c r="X3937" s="4">
        <f t="shared" si="380"/>
        <v>-3.3542531439819516</v>
      </c>
      <c r="Y3937" s="3">
        <f t="shared" si="377"/>
        <v>293.14190821746524</v>
      </c>
      <c r="AA3937" s="3"/>
    </row>
    <row r="3938" spans="19:27" x14ac:dyDescent="0.25">
      <c r="S3938" s="4">
        <v>-0.93262953848032937</v>
      </c>
      <c r="T3938" s="4">
        <v>2.4365664011624082</v>
      </c>
      <c r="U3938" s="4">
        <f t="shared" si="378"/>
        <v>1.3628949644672048</v>
      </c>
      <c r="W3938" s="4">
        <f t="shared" si="379"/>
        <v>-1.5575806935513905</v>
      </c>
      <c r="X3938" s="4">
        <f t="shared" si="380"/>
        <v>2.4687029828298419</v>
      </c>
      <c r="Y3938" s="3">
        <f t="shared" si="377"/>
        <v>502.79769658671012</v>
      </c>
      <c r="AA3938" s="3"/>
    </row>
    <row r="3939" spans="19:27" x14ac:dyDescent="0.25">
      <c r="S3939" s="4">
        <v>0.74220681024295343</v>
      </c>
      <c r="T3939" s="4">
        <v>0.71250097131380474</v>
      </c>
      <c r="U3939" s="4">
        <f t="shared" si="378"/>
        <v>1.0172596649807635</v>
      </c>
      <c r="W3939" s="4">
        <f t="shared" si="379"/>
        <v>1.29040606579725</v>
      </c>
      <c r="X3939" s="4">
        <f t="shared" si="380"/>
        <v>1.8593148480629456</v>
      </c>
      <c r="Y3939" s="3">
        <f t="shared" si="377"/>
        <v>-16.582284025478202</v>
      </c>
      <c r="AA3939" s="3"/>
    </row>
    <row r="3940" spans="19:27" x14ac:dyDescent="0.25">
      <c r="S3940" s="4">
        <v>1.1831046020067455</v>
      </c>
      <c r="T3940" s="4">
        <v>8.6412392691747927E-2</v>
      </c>
      <c r="U3940" s="4">
        <f t="shared" si="378"/>
        <v>0.78974537666374656</v>
      </c>
      <c r="W3940" s="4">
        <f t="shared" si="379"/>
        <v>2.0401336879177778</v>
      </c>
      <c r="X3940" s="4">
        <f t="shared" si="380"/>
        <v>1.4581853685325608</v>
      </c>
      <c r="Y3940" s="3">
        <f t="shared" si="377"/>
        <v>-170.47533008572464</v>
      </c>
      <c r="AA3940" s="3"/>
    </row>
    <row r="3941" spans="19:27" x14ac:dyDescent="0.25">
      <c r="S3941" s="4">
        <v>-0.46101185536377187</v>
      </c>
      <c r="T3941" s="4">
        <v>0.99725824104455429</v>
      </c>
      <c r="U3941" s="4">
        <f t="shared" si="378"/>
        <v>0.50947553543930613</v>
      </c>
      <c r="W3941" s="4">
        <f t="shared" si="379"/>
        <v>-0.75561522509560874</v>
      </c>
      <c r="X3941" s="4">
        <f t="shared" si="380"/>
        <v>0.96404279678439964</v>
      </c>
      <c r="Y3941" s="3">
        <f t="shared" si="377"/>
        <v>218.97405692001394</v>
      </c>
      <c r="AA3941" s="3"/>
    </row>
    <row r="3942" spans="19:27" x14ac:dyDescent="0.25">
      <c r="S3942" s="4">
        <v>-0.24866903949584032</v>
      </c>
      <c r="T3942" s="4">
        <v>0.67228104336932903</v>
      </c>
      <c r="U3942" s="4">
        <f t="shared" si="378"/>
        <v>0.38131762281957959</v>
      </c>
      <c r="W3942" s="4">
        <f t="shared" si="379"/>
        <v>-0.39453545243861315</v>
      </c>
      <c r="X3942" s="4">
        <f t="shared" si="380"/>
        <v>0.73808812304883198</v>
      </c>
      <c r="Y3942" s="3">
        <f t="shared" si="377"/>
        <v>137.43656389401258</v>
      </c>
      <c r="AA3942" s="3"/>
    </row>
    <row r="3943" spans="19:27" x14ac:dyDescent="0.25">
      <c r="S3943" s="4">
        <v>-0.46132617517523622</v>
      </c>
      <c r="T3943" s="4">
        <v>1.7676393534168717</v>
      </c>
      <c r="U3943" s="4">
        <f t="shared" si="378"/>
        <v>1.1199588783886349</v>
      </c>
      <c r="W3943" s="4">
        <f t="shared" si="379"/>
        <v>-0.75614971233785999</v>
      </c>
      <c r="X3943" s="4">
        <f t="shared" si="380"/>
        <v>2.0403833968877896</v>
      </c>
      <c r="Y3943" s="3">
        <f t="shared" si="377"/>
        <v>326.69587049192342</v>
      </c>
      <c r="AA3943" s="3"/>
    </row>
    <row r="3944" spans="19:27" x14ac:dyDescent="0.25">
      <c r="S3944" s="4">
        <v>9.1456726584027148E-2</v>
      </c>
      <c r="T3944" s="4">
        <v>-2.6374198232076629</v>
      </c>
      <c r="U3944" s="4">
        <f t="shared" si="378"/>
        <v>-2.0349075833554933</v>
      </c>
      <c r="W3944" s="4">
        <f t="shared" si="379"/>
        <v>0.18383369929802629</v>
      </c>
      <c r="X3944" s="4">
        <f t="shared" si="380"/>
        <v>-3.5219483192808911</v>
      </c>
      <c r="Y3944" s="3">
        <f t="shared" si="377"/>
        <v>-381.56696884564781</v>
      </c>
      <c r="AA3944" s="3"/>
    </row>
    <row r="3945" spans="19:27" x14ac:dyDescent="0.25">
      <c r="S3945" s="4">
        <v>0.9327331719280525</v>
      </c>
      <c r="T3945" s="4">
        <v>-1.4388798029619865</v>
      </c>
      <c r="U3945" s="4">
        <f t="shared" si="378"/>
        <v>-0.57197358340860538</v>
      </c>
      <c r="W3945" s="4">
        <f t="shared" si="379"/>
        <v>1.614387901873154</v>
      </c>
      <c r="X3945" s="4">
        <f t="shared" si="380"/>
        <v>-0.94265557100162845</v>
      </c>
      <c r="Y3945" s="3">
        <f t="shared" si="377"/>
        <v>-346.29408408837253</v>
      </c>
      <c r="AA3945" s="3"/>
    </row>
    <row r="3946" spans="19:27" x14ac:dyDescent="0.25">
      <c r="S3946" s="4">
        <v>-1.0727325985584812</v>
      </c>
      <c r="T3946" s="4">
        <v>0.78332528496516118</v>
      </c>
      <c r="U3946" s="4">
        <f t="shared" si="378"/>
        <v>-3.3026025107930512E-2</v>
      </c>
      <c r="W3946" s="4">
        <f t="shared" si="379"/>
        <v>-1.7958198865035662</v>
      </c>
      <c r="X3946" s="4">
        <f t="shared" si="380"/>
        <v>7.5605897262059976E-3</v>
      </c>
      <c r="Y3946" s="3">
        <f t="shared" si="377"/>
        <v>296.95445348713201</v>
      </c>
      <c r="AA3946" s="3"/>
    </row>
    <row r="3947" spans="19:27" x14ac:dyDescent="0.25">
      <c r="S3947" s="4">
        <v>0.49117787230157423</v>
      </c>
      <c r="T3947" s="4">
        <v>-0.20444609427596758</v>
      </c>
      <c r="U3947" s="4">
        <f t="shared" si="378"/>
        <v>0.13737020280765999</v>
      </c>
      <c r="W3947" s="4">
        <f t="shared" si="379"/>
        <v>0.86354221607522552</v>
      </c>
      <c r="X3947" s="4">
        <f t="shared" si="380"/>
        <v>0.30798545852601461</v>
      </c>
      <c r="Y3947" s="3">
        <f t="shared" si="377"/>
        <v>-105.66567053373365</v>
      </c>
      <c r="AA3947" s="3"/>
    </row>
    <row r="3948" spans="19:27" x14ac:dyDescent="0.25">
      <c r="S3948" s="4">
        <v>0.70571996441636542</v>
      </c>
      <c r="T3948" s="4">
        <v>-1.2323511274355499</v>
      </c>
      <c r="U3948" s="4">
        <f t="shared" si="378"/>
        <v>-0.54665226702108849</v>
      </c>
      <c r="W3948" s="4">
        <f t="shared" si="379"/>
        <v>1.2283617628516332</v>
      </c>
      <c r="X3948" s="4">
        <f t="shared" si="380"/>
        <v>-0.8980116651674771</v>
      </c>
      <c r="Y3948" s="3">
        <f t="shared" si="377"/>
        <v>-282.77210231497975</v>
      </c>
      <c r="AA3948" s="3"/>
    </row>
    <row r="3949" spans="19:27" x14ac:dyDescent="0.25">
      <c r="S3949" s="4">
        <v>0.96661957556729494</v>
      </c>
      <c r="T3949" s="4">
        <v>-0.25042716170251944</v>
      </c>
      <c r="U3949" s="4">
        <f t="shared" si="378"/>
        <v>0.39076124793257361</v>
      </c>
      <c r="W3949" s="4">
        <f t="shared" si="379"/>
        <v>1.672010265371578</v>
      </c>
      <c r="X3949" s="4">
        <f t="shared" si="380"/>
        <v>0.75473813854665883</v>
      </c>
      <c r="Y3949" s="3">
        <f t="shared" si="377"/>
        <v>-185.30586371668096</v>
      </c>
      <c r="AA3949" s="3"/>
    </row>
    <row r="3950" spans="19:27" x14ac:dyDescent="0.25">
      <c r="S3950" s="4">
        <v>-0.56496724372831264</v>
      </c>
      <c r="T3950" s="4">
        <v>-1.1061068555937745</v>
      </c>
      <c r="U3950" s="4">
        <f t="shared" si="378"/>
        <v>-1.2212187137667003</v>
      </c>
      <c r="W3950" s="4">
        <f t="shared" si="379"/>
        <v>-0.93238686600897025</v>
      </c>
      <c r="X3950" s="4">
        <f t="shared" si="380"/>
        <v>-2.0873369145544172</v>
      </c>
      <c r="Y3950" s="3">
        <f t="shared" si="377"/>
        <v>-57.059472092871147</v>
      </c>
      <c r="AA3950" s="3"/>
    </row>
    <row r="3951" spans="19:27" x14ac:dyDescent="0.25">
      <c r="S3951" s="4">
        <v>-1.1687257141676028</v>
      </c>
      <c r="T3951" s="4">
        <v>-0.54313191079803336</v>
      </c>
      <c r="U3951" s="4">
        <f t="shared" si="378"/>
        <v>-1.1430176027142269</v>
      </c>
      <c r="W3951" s="4">
        <f t="shared" si="379"/>
        <v>-1.9590520270358653</v>
      </c>
      <c r="X3951" s="4">
        <f t="shared" si="380"/>
        <v>-1.9494608663852249</v>
      </c>
      <c r="Y3951" s="3">
        <f t="shared" si="377"/>
        <v>129.01853457754987</v>
      </c>
      <c r="AA3951" s="3"/>
    </row>
    <row r="3952" spans="19:27" x14ac:dyDescent="0.25">
      <c r="S3952" s="4">
        <v>-0.42046202556927698</v>
      </c>
      <c r="T3952" s="4">
        <v>2.014958919849708</v>
      </c>
      <c r="U3952" s="4">
        <f t="shared" si="378"/>
        <v>1.340918822182281</v>
      </c>
      <c r="W3952" s="4">
        <f t="shared" si="379"/>
        <v>-0.68666199367297076</v>
      </c>
      <c r="X3952" s="4">
        <f t="shared" si="380"/>
        <v>2.4299569393085929</v>
      </c>
      <c r="Y3952" s="3">
        <f t="shared" si="377"/>
        <v>354.25707643246642</v>
      </c>
      <c r="AA3952" s="3"/>
    </row>
    <row r="3953" spans="19:27" x14ac:dyDescent="0.25">
      <c r="S3953" s="4">
        <v>-1.4965109268298522</v>
      </c>
      <c r="T3953" s="4">
        <v>1.4631046525830027</v>
      </c>
      <c r="U3953" s="4">
        <f t="shared" si="378"/>
        <v>0.24748493004855887</v>
      </c>
      <c r="W3953" s="4">
        <f t="shared" si="379"/>
        <v>-2.51643660152518</v>
      </c>
      <c r="X3953" s="4">
        <f t="shared" si="380"/>
        <v>0.50212826842824587</v>
      </c>
      <c r="Y3953" s="3">
        <f t="shared" si="377"/>
        <v>470.06217354016917</v>
      </c>
      <c r="AA3953" s="3"/>
    </row>
    <row r="3954" spans="19:27" x14ac:dyDescent="0.25">
      <c r="S3954" s="4">
        <v>0.22726012909650808</v>
      </c>
      <c r="T3954" s="4">
        <v>1.2051863986382032</v>
      </c>
      <c r="U3954" s="4">
        <f t="shared" si="378"/>
        <v>1.0938844848271012</v>
      </c>
      <c r="W3954" s="4">
        <f t="shared" si="379"/>
        <v>0.41476151055843336</v>
      </c>
      <c r="X3954" s="4">
        <f t="shared" si="380"/>
        <v>1.9944117438730362</v>
      </c>
      <c r="Y3954" s="3">
        <f t="shared" si="377"/>
        <v>133.41922482095833</v>
      </c>
      <c r="AA3954" s="3"/>
    </row>
    <row r="3955" spans="19:27" x14ac:dyDescent="0.25">
      <c r="S3955" s="4">
        <v>0.15083970162254373</v>
      </c>
      <c r="T3955" s="4">
        <v>-0.22126225318259934</v>
      </c>
      <c r="U3955" s="4">
        <f t="shared" si="378"/>
        <v>-8.3437574568088702E-2</v>
      </c>
      <c r="W3955" s="4">
        <f t="shared" si="379"/>
        <v>0.28481187950610848</v>
      </c>
      <c r="X3955" s="4">
        <f t="shared" si="380"/>
        <v>-8.1319799926934888E-2</v>
      </c>
      <c r="Y3955" s="3">
        <f t="shared" si="377"/>
        <v>-53.563801043952026</v>
      </c>
      <c r="AA3955" s="3"/>
    </row>
    <row r="3956" spans="19:27" x14ac:dyDescent="0.25">
      <c r="S3956" s="4">
        <v>1.4199100563133593</v>
      </c>
      <c r="T3956" s="4">
        <v>-0.90444083694457522</v>
      </c>
      <c r="U3956" s="4">
        <f t="shared" si="378"/>
        <v>0.14866581810421287</v>
      </c>
      <c r="W3956" s="4">
        <f t="shared" si="379"/>
        <v>2.4428111190117954</v>
      </c>
      <c r="X3956" s="4">
        <f t="shared" si="380"/>
        <v>0.32790071008405408</v>
      </c>
      <c r="Y3956" s="3">
        <f t="shared" si="377"/>
        <v>-343.45448168240409</v>
      </c>
      <c r="AA3956" s="3"/>
    </row>
    <row r="3957" spans="19:27" x14ac:dyDescent="0.25">
      <c r="S3957" s="4">
        <v>6.2728747568289611E-2</v>
      </c>
      <c r="T3957" s="4">
        <v>1.6955719595803143</v>
      </c>
      <c r="U3957" s="4">
        <f t="shared" si="378"/>
        <v>1.3823072040095667</v>
      </c>
      <c r="W3957" s="4">
        <f t="shared" si="379"/>
        <v>0.13498301372385982</v>
      </c>
      <c r="X3957" s="4">
        <f t="shared" si="380"/>
        <v>2.5029286202689143</v>
      </c>
      <c r="Y3957" s="3">
        <f t="shared" si="377"/>
        <v>228.70885380107575</v>
      </c>
      <c r="AA3957" s="3"/>
    </row>
    <row r="3958" spans="19:27" x14ac:dyDescent="0.25">
      <c r="S3958" s="4">
        <v>-0.84509998983388812</v>
      </c>
      <c r="T3958" s="4">
        <v>-1.1172081162678289</v>
      </c>
      <c r="U3958" s="4">
        <f t="shared" si="378"/>
        <v>-1.4007937668098589</v>
      </c>
      <c r="W3958" s="4">
        <f t="shared" si="379"/>
        <v>-1.4087404825141425</v>
      </c>
      <c r="X3958" s="4">
        <f t="shared" si="380"/>
        <v>-2.4039449311176377</v>
      </c>
      <c r="Y3958" s="3">
        <f t="shared" si="377"/>
        <v>-9.4737781011890547</v>
      </c>
      <c r="AA3958" s="3"/>
    </row>
    <row r="3959" spans="19:27" x14ac:dyDescent="0.25">
      <c r="S3959" s="4">
        <v>-1.6886462213240641</v>
      </c>
      <c r="T3959" s="4">
        <v>-2.125167394500985E-2</v>
      </c>
      <c r="U3959" s="4">
        <f t="shared" si="378"/>
        <v>-1.046282445671064</v>
      </c>
      <c r="W3959" s="4">
        <f t="shared" si="379"/>
        <v>-2.8431543582422427</v>
      </c>
      <c r="X3959" s="4">
        <f t="shared" si="380"/>
        <v>-1.778907520113866</v>
      </c>
      <c r="Y3959" s="3">
        <f t="shared" si="377"/>
        <v>298.93736462544621</v>
      </c>
      <c r="AA3959" s="3"/>
    </row>
    <row r="3960" spans="19:27" x14ac:dyDescent="0.25">
      <c r="S3960" s="4">
        <v>0.23456025950012002</v>
      </c>
      <c r="T3960" s="4">
        <v>-1.7144626430125522</v>
      </c>
      <c r="U3960" s="4">
        <f t="shared" si="378"/>
        <v>-1.216047686221033</v>
      </c>
      <c r="W3960" s="4">
        <f t="shared" si="379"/>
        <v>0.42717506651382797</v>
      </c>
      <c r="X3960" s="4">
        <f t="shared" si="380"/>
        <v>-2.0782198977579136</v>
      </c>
      <c r="Y3960" s="3">
        <f t="shared" si="377"/>
        <v>-275.80628933707703</v>
      </c>
      <c r="AA3960" s="3"/>
    </row>
    <row r="3961" spans="19:27" x14ac:dyDescent="0.25">
      <c r="S3961" s="4">
        <v>1.4470118247340722</v>
      </c>
      <c r="T3961" s="4">
        <v>1.0900271780092146</v>
      </c>
      <c r="U3961" s="4">
        <f t="shared" si="378"/>
        <v>1.7461865383086128</v>
      </c>
      <c r="W3961" s="4">
        <f t="shared" si="379"/>
        <v>2.488896503817279</v>
      </c>
      <c r="X3961" s="4">
        <f t="shared" si="380"/>
        <v>3.1444827356564091</v>
      </c>
      <c r="Y3961" s="3">
        <f t="shared" si="377"/>
        <v>-68.606141424360885</v>
      </c>
      <c r="AA3961" s="3"/>
    </row>
    <row r="3962" spans="19:27" x14ac:dyDescent="0.25">
      <c r="S3962" s="4">
        <v>1.1533496461953743</v>
      </c>
      <c r="T3962" s="4">
        <v>0.34163389787002468</v>
      </c>
      <c r="U3962" s="4">
        <f t="shared" si="378"/>
        <v>0.97391814192953607</v>
      </c>
      <c r="W3962" s="4">
        <f t="shared" si="379"/>
        <v>1.9895366727285702</v>
      </c>
      <c r="X3962" s="4">
        <f t="shared" si="380"/>
        <v>1.7828995920708997</v>
      </c>
      <c r="Y3962" s="3">
        <f t="shared" si="377"/>
        <v>-130.41390903300589</v>
      </c>
      <c r="AA3962" s="3"/>
    </row>
    <row r="3963" spans="19:27" x14ac:dyDescent="0.25">
      <c r="S3963" s="4">
        <v>-1.4940798224980427</v>
      </c>
      <c r="T3963" s="4">
        <v>-0.37798606043880945</v>
      </c>
      <c r="U3963" s="4">
        <f t="shared" si="378"/>
        <v>-1.2104509288647927</v>
      </c>
      <c r="W3963" s="4">
        <f t="shared" si="379"/>
        <v>-2.5123026137759492</v>
      </c>
      <c r="X3963" s="4">
        <f t="shared" si="380"/>
        <v>-2.0683522785328812</v>
      </c>
      <c r="Y3963" s="3">
        <f t="shared" si="377"/>
        <v>212.29683951167317</v>
      </c>
      <c r="AA3963" s="3"/>
    </row>
    <row r="3964" spans="19:27" x14ac:dyDescent="0.25">
      <c r="S3964" s="4">
        <v>-0.69228431999557616</v>
      </c>
      <c r="T3964" s="4">
        <v>-1.1544440694078506</v>
      </c>
      <c r="U3964" s="4">
        <f t="shared" si="378"/>
        <v>-1.3371505677473414</v>
      </c>
      <c r="W3964" s="4">
        <f t="shared" si="379"/>
        <v>-1.1488840465989145</v>
      </c>
      <c r="X3964" s="4">
        <f t="shared" si="380"/>
        <v>-2.2917358760097488</v>
      </c>
      <c r="Y3964" s="3">
        <f t="shared" si="377"/>
        <v>-41.630894368138343</v>
      </c>
      <c r="AA3964" s="3"/>
    </row>
    <row r="3965" spans="19:27" x14ac:dyDescent="0.25">
      <c r="S3965" s="4">
        <v>-0.62360697341178506</v>
      </c>
      <c r="T3965" s="4">
        <v>0.43258107176896587</v>
      </c>
      <c r="U3965" s="4">
        <f t="shared" si="378"/>
        <v>-3.7261161683410815E-2</v>
      </c>
      <c r="W3965" s="4">
        <f t="shared" si="379"/>
        <v>-1.0321011896428107</v>
      </c>
      <c r="X3965" s="4">
        <f t="shared" si="380"/>
        <v>9.3638341177551543E-5</v>
      </c>
      <c r="Y3965" s="3">
        <f t="shared" si="377"/>
        <v>168.17328896720392</v>
      </c>
      <c r="AA3965" s="3"/>
    </row>
    <row r="3966" spans="19:27" x14ac:dyDescent="0.25">
      <c r="S3966" s="4">
        <v>0.41734126004606681</v>
      </c>
      <c r="T3966" s="4">
        <v>9.9180929595890546E-2</v>
      </c>
      <c r="U3966" s="4">
        <f t="shared" si="378"/>
        <v>0.33304047510269708</v>
      </c>
      <c r="W3966" s="4">
        <f t="shared" si="379"/>
        <v>0.73798625102876347</v>
      </c>
      <c r="X3966" s="4">
        <f t="shared" si="380"/>
        <v>0.65297088808246817</v>
      </c>
      <c r="Y3966" s="3">
        <f t="shared" si="377"/>
        <v>-51.563153137656627</v>
      </c>
      <c r="AA3966" s="3"/>
    </row>
    <row r="3967" spans="19:27" x14ac:dyDescent="0.25">
      <c r="S3967" s="4">
        <v>-0.52612773383338407</v>
      </c>
      <c r="T3967" s="4">
        <v>-0.39618959391197645</v>
      </c>
      <c r="U3967" s="4">
        <f t="shared" si="378"/>
        <v>-0.63479553451059245</v>
      </c>
      <c r="W3967" s="4">
        <f t="shared" si="379"/>
        <v>-0.86634195958890858</v>
      </c>
      <c r="X3967" s="4">
        <f t="shared" si="380"/>
        <v>-1.0534166873035207</v>
      </c>
      <c r="Y3967" s="3">
        <f t="shared" si="377"/>
        <v>35.439469126143649</v>
      </c>
      <c r="AA3967" s="3"/>
    </row>
    <row r="3968" spans="19:27" x14ac:dyDescent="0.25">
      <c r="S3968" s="4">
        <v>0.54820237074885281</v>
      </c>
      <c r="T3968" s="4">
        <v>0.58042214217783716</v>
      </c>
      <c r="U3968" s="4">
        <f t="shared" si="378"/>
        <v>0.79429239633959869</v>
      </c>
      <c r="W3968" s="4">
        <f t="shared" si="379"/>
        <v>0.96050990886511922</v>
      </c>
      <c r="X3968" s="4">
        <f t="shared" si="380"/>
        <v>1.4662021996928418</v>
      </c>
      <c r="Y3968" s="3">
        <f t="shared" si="377"/>
        <v>-4.929281823274323</v>
      </c>
      <c r="AA3968" s="3"/>
    </row>
    <row r="3969" spans="19:27" x14ac:dyDescent="0.25">
      <c r="S3969" s="4">
        <v>0.35203206710345586</v>
      </c>
      <c r="T3969" s="4">
        <v>4.7217571675077341E-2</v>
      </c>
      <c r="U3969" s="4">
        <f t="shared" si="378"/>
        <v>0.25203559481461824</v>
      </c>
      <c r="W3969" s="4">
        <f t="shared" si="379"/>
        <v>0.62693079363670956</v>
      </c>
      <c r="X3969" s="4">
        <f t="shared" si="380"/>
        <v>0.51015152623165527</v>
      </c>
      <c r="Y3969" s="3">
        <f t="shared" si="377"/>
        <v>-48.438088783259445</v>
      </c>
      <c r="AA3969" s="3"/>
    </row>
    <row r="3970" spans="19:27" x14ac:dyDescent="0.25">
      <c r="S3970" s="4">
        <v>-0.2943056678306899</v>
      </c>
      <c r="T3970" s="4">
        <v>1.0030023343244285</v>
      </c>
      <c r="U3970" s="4">
        <f t="shared" si="378"/>
        <v>0.61565664378245832</v>
      </c>
      <c r="W3970" s="4">
        <f t="shared" si="379"/>
        <v>-0.47213856472958049</v>
      </c>
      <c r="X3970" s="4">
        <f t="shared" si="380"/>
        <v>1.1512502598440388</v>
      </c>
      <c r="Y3970" s="3">
        <f t="shared" ref="Y3970:Y4033" si="381">(B$4*EXP(-B$8*B$7)*NORMSDIST((LN(B$4/(B$5+W3970))-B$8*B$7+B$9*B$7+0.5*B$6*B$6*B$7)/(B$6*SQRT(B$7)))-(B$5+W3970)*EXP(-B$9*B$7)*NORMSDIST((LN(B$4/(B$5+W3970))-B$8*B$7+B$9*B$7-0.5*B$6*B$6*B$7)/(B$6*SQRT(B$7))))*400+100*X3970-400*$B$13</f>
        <v>191.36320202840216</v>
      </c>
      <c r="AA3970" s="3"/>
    </row>
    <row r="3971" spans="19:27" x14ac:dyDescent="0.25">
      <c r="S3971" s="4">
        <v>0.45214023805639331</v>
      </c>
      <c r="T3971" s="4">
        <v>-1.7198080775736453</v>
      </c>
      <c r="U3971" s="4">
        <f t="shared" ref="U3971:U4034" si="382">$B$19*S3971+SQRT(1-$B$19^2)*T3971</f>
        <v>-1.0876433599949313</v>
      </c>
      <c r="W3971" s="4">
        <f t="shared" ref="W3971:W4034" si="383">S3971*SQRT($B$16)+$B$20</f>
        <v>0.79716040776821029</v>
      </c>
      <c r="X3971" s="4">
        <f t="shared" ref="X3971:X4034" si="384">U3971*SQRT($C$17)+$C$20</f>
        <v>-1.8518307732350758</v>
      </c>
      <c r="Y3971" s="3">
        <f t="shared" si="381"/>
        <v>-311.29263513134129</v>
      </c>
      <c r="AA3971" s="3"/>
    </row>
    <row r="3972" spans="19:27" x14ac:dyDescent="0.25">
      <c r="S3972" s="4">
        <v>0.35205884917529856</v>
      </c>
      <c r="T3972" s="4">
        <v>-5.8307791642852446E-3</v>
      </c>
      <c r="U3972" s="4">
        <f t="shared" si="382"/>
        <v>0.21000091743489324</v>
      </c>
      <c r="W3972" s="4">
        <f t="shared" si="383"/>
        <v>0.62697633539131381</v>
      </c>
      <c r="X3972" s="4">
        <f t="shared" si="384"/>
        <v>0.43604036431613535</v>
      </c>
      <c r="Y3972" s="3">
        <f t="shared" si="381"/>
        <v>-55.856356184915967</v>
      </c>
      <c r="AA3972" s="3"/>
    </row>
    <row r="3973" spans="19:27" x14ac:dyDescent="0.25">
      <c r="S3973" s="4">
        <v>4.5244167468903064E-2</v>
      </c>
      <c r="T3973" s="4">
        <v>3.2048921093535042E-2</v>
      </c>
      <c r="U3973" s="4">
        <f t="shared" si="382"/>
        <v>5.2986777936740698E-2</v>
      </c>
      <c r="W3973" s="4">
        <f t="shared" si="383"/>
        <v>0.10525124162936075</v>
      </c>
      <c r="X3973" s="4">
        <f t="shared" si="384"/>
        <v>0.15920939900970565</v>
      </c>
      <c r="Y3973" s="3">
        <f t="shared" si="381"/>
        <v>-0.91698832152133036</v>
      </c>
      <c r="AA3973" s="3"/>
    </row>
    <row r="3974" spans="19:27" x14ac:dyDescent="0.25">
      <c r="S3974" s="4">
        <v>1.0109481127813755</v>
      </c>
      <c r="T3974" s="4">
        <v>-1.1811569183860238</v>
      </c>
      <c r="U3974" s="4">
        <f t="shared" si="382"/>
        <v>-0.31999713664264784</v>
      </c>
      <c r="W3974" s="4">
        <f t="shared" si="383"/>
        <v>1.7473890252983209</v>
      </c>
      <c r="X3974" s="4">
        <f t="shared" si="384"/>
        <v>-0.49839696336505324</v>
      </c>
      <c r="Y3974" s="3">
        <f t="shared" si="381"/>
        <v>-322.04201872527256</v>
      </c>
      <c r="AA3974" s="3"/>
    </row>
    <row r="3975" spans="19:27" x14ac:dyDescent="0.25">
      <c r="S3975" s="4">
        <v>-1.5461002630273697</v>
      </c>
      <c r="T3975" s="4">
        <v>-5.4540519804809805E-2</v>
      </c>
      <c r="U3975" s="4">
        <f t="shared" si="382"/>
        <v>-0.98577105146168187</v>
      </c>
      <c r="W3975" s="4">
        <f t="shared" si="383"/>
        <v>-2.6007611225466376</v>
      </c>
      <c r="X3975" s="4">
        <f t="shared" si="384"/>
        <v>-1.6722201368975393</v>
      </c>
      <c r="Y3975" s="3">
        <f t="shared" si="381"/>
        <v>267.27833570012717</v>
      </c>
      <c r="AA3975" s="3"/>
    </row>
    <row r="3976" spans="19:27" x14ac:dyDescent="0.25">
      <c r="S3976" s="4">
        <v>-1.9642038942483342</v>
      </c>
      <c r="T3976" s="4">
        <v>-1.2955883887863033</v>
      </c>
      <c r="U3976" s="4">
        <f t="shared" si="382"/>
        <v>-2.2244250945846256</v>
      </c>
      <c r="W3976" s="4">
        <f t="shared" si="383"/>
        <v>-3.3117282607154488</v>
      </c>
      <c r="X3976" s="4">
        <f t="shared" si="384"/>
        <v>-3.8560858418232486</v>
      </c>
      <c r="Y3976" s="3">
        <f t="shared" si="381"/>
        <v>173.94333747200744</v>
      </c>
      <c r="AA3976" s="3"/>
    </row>
    <row r="3977" spans="19:27" x14ac:dyDescent="0.25">
      <c r="S3977" s="4">
        <v>0.18090703429009625</v>
      </c>
      <c r="T3977" s="4">
        <v>-0.54740603346293237</v>
      </c>
      <c r="U3977" s="4">
        <f t="shared" si="382"/>
        <v>-0.32363942937109225</v>
      </c>
      <c r="W3977" s="4">
        <f t="shared" si="383"/>
        <v>0.33594007802615888</v>
      </c>
      <c r="X3977" s="4">
        <f t="shared" si="384"/>
        <v>-0.50481867427062244</v>
      </c>
      <c r="Y3977" s="3">
        <f t="shared" si="381"/>
        <v>-104.02515762243502</v>
      </c>
      <c r="AA3977" s="3"/>
    </row>
    <row r="3978" spans="19:27" x14ac:dyDescent="0.25">
      <c r="S3978" s="4">
        <v>-0.38912939602122326</v>
      </c>
      <c r="T3978" s="4">
        <v>-0.37604798318642735</v>
      </c>
      <c r="U3978" s="4">
        <f t="shared" si="382"/>
        <v>-0.53531219702276367</v>
      </c>
      <c r="W3978" s="4">
        <f t="shared" si="383"/>
        <v>-0.63338221254303761</v>
      </c>
      <c r="X3978" s="4">
        <f t="shared" si="384"/>
        <v>-0.87801803571275094</v>
      </c>
      <c r="Y3978" s="3">
        <f t="shared" si="381"/>
        <v>14.73866941003098</v>
      </c>
      <c r="AA3978" s="3"/>
    </row>
    <row r="3979" spans="19:27" x14ac:dyDescent="0.25">
      <c r="S3979" s="4">
        <v>0.37401200692167791</v>
      </c>
      <c r="T3979" s="4">
        <v>6.4013035505839519E-2</v>
      </c>
      <c r="U3979" s="4">
        <f t="shared" si="382"/>
        <v>0.27874868667403319</v>
      </c>
      <c r="W3979" s="4">
        <f t="shared" si="383"/>
        <v>0.6643067304685647</v>
      </c>
      <c r="X3979" s="4">
        <f t="shared" si="384"/>
        <v>0.55724926551422593</v>
      </c>
      <c r="Y3979" s="3">
        <f t="shared" si="381"/>
        <v>-49.593715536540458</v>
      </c>
      <c r="AA3979" s="3"/>
    </row>
    <row r="3980" spans="19:27" x14ac:dyDescent="0.25">
      <c r="S3980" s="4">
        <v>1.6821253244485528</v>
      </c>
      <c r="T3980" s="4">
        <v>1.1422676934515279</v>
      </c>
      <c r="U3980" s="4">
        <f t="shared" si="382"/>
        <v>1.9309276132088709</v>
      </c>
      <c r="W3980" s="4">
        <f t="shared" si="383"/>
        <v>2.8886968393195467</v>
      </c>
      <c r="X3980" s="4">
        <f t="shared" si="384"/>
        <v>3.4701989435077896</v>
      </c>
      <c r="Y3980" s="3">
        <f t="shared" si="381"/>
        <v>-94.671329554666499</v>
      </c>
      <c r="AA3980" s="3"/>
    </row>
    <row r="3981" spans="19:27" x14ac:dyDescent="0.25">
      <c r="S3981" s="4">
        <v>1.1660588001111234</v>
      </c>
      <c r="T3981" s="4">
        <v>-0.28336031054042776</v>
      </c>
      <c r="U3981" s="4">
        <f t="shared" si="382"/>
        <v>0.48623800483082713</v>
      </c>
      <c r="W3981" s="4">
        <f t="shared" si="383"/>
        <v>2.0111480391776975</v>
      </c>
      <c r="X3981" s="4">
        <f t="shared" si="384"/>
        <v>0.92307280484454235</v>
      </c>
      <c r="Y3981" s="3">
        <f t="shared" si="381"/>
        <v>-219.64004732106696</v>
      </c>
      <c r="AA3981" s="3"/>
    </row>
    <row r="3982" spans="19:27" x14ac:dyDescent="0.25">
      <c r="S3982" s="4">
        <v>1.0861676832382354</v>
      </c>
      <c r="T3982" s="4">
        <v>2.2431846097364327</v>
      </c>
      <c r="U3982" s="4">
        <f t="shared" si="382"/>
        <v>2.4403065912624515</v>
      </c>
      <c r="W3982" s="4">
        <f t="shared" si="383"/>
        <v>1.8752966509408686</v>
      </c>
      <c r="X3982" s="4">
        <f t="shared" si="384"/>
        <v>4.3682828654531409</v>
      </c>
      <c r="Y3982" s="3">
        <f t="shared" si="381"/>
        <v>145.30848196854549</v>
      </c>
      <c r="AA3982" s="3"/>
    </row>
    <row r="3983" spans="19:27" x14ac:dyDescent="0.25">
      <c r="S3983" s="4">
        <v>-0.69666816919339691</v>
      </c>
      <c r="T3983" s="4">
        <v>3.1578601532341946</v>
      </c>
      <c r="U3983" s="4">
        <f t="shared" si="382"/>
        <v>2.0785060804983555</v>
      </c>
      <c r="W3983" s="4">
        <f t="shared" si="383"/>
        <v>-1.1563385925191128</v>
      </c>
      <c r="X3983" s="4">
        <f t="shared" si="384"/>
        <v>3.7303939150483751</v>
      </c>
      <c r="Y3983" s="3">
        <f t="shared" si="381"/>
        <v>561.82151743735358</v>
      </c>
      <c r="AA3983" s="3"/>
    </row>
    <row r="3984" spans="19:27" x14ac:dyDescent="0.25">
      <c r="S3984" s="4">
        <v>-0.76331980568790792</v>
      </c>
      <c r="T3984" s="4">
        <v>0.8543941136398322</v>
      </c>
      <c r="U3984" s="4">
        <f t="shared" si="382"/>
        <v>0.21193461028459093</v>
      </c>
      <c r="W3984" s="4">
        <f t="shared" si="383"/>
        <v>-1.2696768170984796</v>
      </c>
      <c r="X3984" s="4">
        <f t="shared" si="384"/>
        <v>0.43944965000148128</v>
      </c>
      <c r="Y3984" s="3">
        <f t="shared" si="381"/>
        <v>251.60737546351629</v>
      </c>
      <c r="AA3984" s="3"/>
    </row>
    <row r="3985" spans="19:27" x14ac:dyDescent="0.25">
      <c r="S3985" s="4">
        <v>-1.1036458911762435</v>
      </c>
      <c r="T3985" s="4">
        <v>1.1464733578605792</v>
      </c>
      <c r="U3985" s="4">
        <f t="shared" si="382"/>
        <v>0.23599312105697967</v>
      </c>
      <c r="W3985" s="4">
        <f t="shared" si="383"/>
        <v>-1.8483866033236123</v>
      </c>
      <c r="X3985" s="4">
        <f t="shared" si="384"/>
        <v>0.48186710859624604</v>
      </c>
      <c r="Y3985" s="3">
        <f t="shared" si="381"/>
        <v>353.31136713046453</v>
      </c>
      <c r="AA3985" s="3"/>
    </row>
    <row r="3986" spans="19:27" x14ac:dyDescent="0.25">
      <c r="S3986" s="4">
        <v>4.0911288581909254E-2</v>
      </c>
      <c r="T3986" s="4">
        <v>0.91318853782303677</v>
      </c>
      <c r="U3986" s="4">
        <f t="shared" si="382"/>
        <v>0.74881770004576886</v>
      </c>
      <c r="W3986" s="4">
        <f t="shared" si="383"/>
        <v>9.7883368517801925E-2</v>
      </c>
      <c r="X3986" s="4">
        <f t="shared" si="384"/>
        <v>1.38602595497836</v>
      </c>
      <c r="Y3986" s="3">
        <f t="shared" si="381"/>
        <v>122.94150556296654</v>
      </c>
      <c r="AA3986" s="3"/>
    </row>
    <row r="3987" spans="19:27" x14ac:dyDescent="0.25">
      <c r="S3987" s="4">
        <v>-0.12404522158119577</v>
      </c>
      <c r="T3987" s="4">
        <v>-0.88292993882614745</v>
      </c>
      <c r="U3987" s="4">
        <f t="shared" si="382"/>
        <v>-0.77551225054511075</v>
      </c>
      <c r="W3987" s="4">
        <f t="shared" si="383"/>
        <v>-0.18261804116977953</v>
      </c>
      <c r="X3987" s="4">
        <f t="shared" si="384"/>
        <v>-1.3015137342261311</v>
      </c>
      <c r="Y3987" s="3">
        <f t="shared" si="381"/>
        <v>-100.80045646573535</v>
      </c>
      <c r="AA3987" s="3"/>
    </row>
    <row r="3988" spans="19:27" x14ac:dyDescent="0.25">
      <c r="S3988" s="4">
        <v>0.55932917410550775</v>
      </c>
      <c r="T3988" s="4">
        <v>-1.4330549658453875</v>
      </c>
      <c r="U3988" s="4">
        <f t="shared" si="382"/>
        <v>-0.79499168992245983</v>
      </c>
      <c r="W3988" s="4">
        <f t="shared" si="383"/>
        <v>0.97943055663932443</v>
      </c>
      <c r="X3988" s="4">
        <f t="shared" si="384"/>
        <v>-1.3358578514100683</v>
      </c>
      <c r="Y3988" s="3">
        <f t="shared" si="381"/>
        <v>-288.07319581228649</v>
      </c>
      <c r="AA3988" s="3"/>
    </row>
    <row r="3989" spans="19:27" x14ac:dyDescent="0.25">
      <c r="S3989" s="4">
        <v>1.859183079360011</v>
      </c>
      <c r="T3989" s="4">
        <v>0.68418192879571782</v>
      </c>
      <c r="U3989" s="4">
        <f t="shared" si="382"/>
        <v>1.6757450414569626</v>
      </c>
      <c r="W3989" s="4">
        <f t="shared" si="383"/>
        <v>3.1897758922146084</v>
      </c>
      <c r="X3989" s="4">
        <f t="shared" si="384"/>
        <v>3.020287630467799</v>
      </c>
      <c r="Y3989" s="3">
        <f t="shared" si="381"/>
        <v>-183.30170667363564</v>
      </c>
      <c r="AA3989" s="3"/>
    </row>
    <row r="3990" spans="19:27" x14ac:dyDescent="0.25">
      <c r="S3990" s="4">
        <v>-0.20822209806723677</v>
      </c>
      <c r="T3990" s="4">
        <v>-0.69219764245231052</v>
      </c>
      <c r="U3990" s="4">
        <f t="shared" si="382"/>
        <v>-0.67563638350352262</v>
      </c>
      <c r="W3990" s="4">
        <f t="shared" si="383"/>
        <v>-0.32575717823133116</v>
      </c>
      <c r="X3990" s="4">
        <f t="shared" si="384"/>
        <v>-1.1254230154392106</v>
      </c>
      <c r="Y3990" s="3">
        <f t="shared" si="381"/>
        <v>-60.064750861501125</v>
      </c>
      <c r="AA3990" s="3"/>
    </row>
    <row r="3991" spans="19:27" x14ac:dyDescent="0.25">
      <c r="S3991" s="4">
        <v>-1.652927156971121</v>
      </c>
      <c r="T3991" s="4">
        <v>-0.11541982963419614</v>
      </c>
      <c r="U3991" s="4">
        <f t="shared" si="382"/>
        <v>-1.0991536525360823</v>
      </c>
      <c r="W3991" s="4">
        <f t="shared" si="383"/>
        <v>-2.782415634479142</v>
      </c>
      <c r="X3991" s="4">
        <f t="shared" si="384"/>
        <v>-1.8721245213351552</v>
      </c>
      <c r="Y3991" s="3">
        <f t="shared" si="381"/>
        <v>278.97948571452525</v>
      </c>
      <c r="AA3991" s="3"/>
    </row>
    <row r="3992" spans="19:27" x14ac:dyDescent="0.25">
      <c r="S3992" s="4">
        <v>0.67845422308454517</v>
      </c>
      <c r="T3992" s="4">
        <v>0.71045973343507929</v>
      </c>
      <c r="U3992" s="4">
        <f t="shared" si="382"/>
        <v>0.97677659243540904</v>
      </c>
      <c r="W3992" s="4">
        <f t="shared" si="383"/>
        <v>1.181997549204107</v>
      </c>
      <c r="X3992" s="4">
        <f t="shared" si="384"/>
        <v>1.7879393140688715</v>
      </c>
      <c r="Y3992" s="3">
        <f t="shared" si="381"/>
        <v>-7.0331494503102476</v>
      </c>
      <c r="AA3992" s="3"/>
    </row>
    <row r="3993" spans="19:27" x14ac:dyDescent="0.25">
      <c r="S3993" s="4">
        <v>-1.1440380786393105</v>
      </c>
      <c r="T3993" s="4">
        <v>0.85814724941668852</v>
      </c>
      <c r="U3993" s="4">
        <f t="shared" si="382"/>
        <v>-1.7184662660489236E-2</v>
      </c>
      <c r="W3993" s="4">
        <f t="shared" si="383"/>
        <v>-1.9170717707810985</v>
      </c>
      <c r="X3993" s="4">
        <f t="shared" si="384"/>
        <v>3.5490428861144507E-2</v>
      </c>
      <c r="Y3993" s="3">
        <f t="shared" si="381"/>
        <v>320.35916135890238</v>
      </c>
      <c r="AA3993" s="3"/>
    </row>
    <row r="3994" spans="19:27" x14ac:dyDescent="0.25">
      <c r="S3994" s="4">
        <v>-1.2994647516134918</v>
      </c>
      <c r="T3994" s="4">
        <v>0.12045361419005908</v>
      </c>
      <c r="U3994" s="4">
        <f t="shared" si="382"/>
        <v>-0.69670008742945366</v>
      </c>
      <c r="W3994" s="4">
        <f t="shared" si="383"/>
        <v>-2.181368104579628</v>
      </c>
      <c r="X3994" s="4">
        <f t="shared" si="384"/>
        <v>-1.1625603427485958</v>
      </c>
      <c r="Y3994" s="3">
        <f t="shared" si="381"/>
        <v>245.75357456831898</v>
      </c>
      <c r="AA3994" s="3"/>
    </row>
    <row r="3995" spans="19:27" x14ac:dyDescent="0.25">
      <c r="S3995" s="4">
        <v>1.2215311314334258</v>
      </c>
      <c r="T3995" s="4">
        <v>-1.6049450785628865</v>
      </c>
      <c r="U3995" s="4">
        <f t="shared" si="382"/>
        <v>-0.52755452226831467</v>
      </c>
      <c r="W3995" s="4">
        <f t="shared" si="383"/>
        <v>2.1054763389166835</v>
      </c>
      <c r="X3995" s="4">
        <f t="shared" si="384"/>
        <v>-0.86434051216186902</v>
      </c>
      <c r="Y3995" s="3">
        <f t="shared" si="381"/>
        <v>-412.51098947314767</v>
      </c>
      <c r="AA3995" s="3"/>
    </row>
    <row r="3996" spans="19:27" x14ac:dyDescent="0.25">
      <c r="S3996" s="4">
        <v>7.6218023936035616E-3</v>
      </c>
      <c r="T3996" s="4">
        <v>0.20544510820563702</v>
      </c>
      <c r="U3996" s="4">
        <f t="shared" si="382"/>
        <v>0.16750111840049656</v>
      </c>
      <c r="W3996" s="4">
        <f t="shared" si="383"/>
        <v>4.1276037322676137E-2</v>
      </c>
      <c r="X3996" s="4">
        <f t="shared" si="384"/>
        <v>0.36110914837835206</v>
      </c>
      <c r="Y3996" s="3">
        <f t="shared" si="381"/>
        <v>29.500817704888959</v>
      </c>
      <c r="AA3996" s="3"/>
    </row>
    <row r="3997" spans="19:27" x14ac:dyDescent="0.25">
      <c r="S3997" s="4">
        <v>0.36687671551473688</v>
      </c>
      <c r="T3997" s="4">
        <v>0.13376460466907553</v>
      </c>
      <c r="U3997" s="4">
        <f t="shared" si="382"/>
        <v>0.32969036601500801</v>
      </c>
      <c r="W3997" s="4">
        <f t="shared" si="383"/>
        <v>0.65217347609624776</v>
      </c>
      <c r="X3997" s="4">
        <f t="shared" si="384"/>
        <v>0.6470643249182142</v>
      </c>
      <c r="Y3997" s="3">
        <f t="shared" si="381"/>
        <v>-38.708922964669455</v>
      </c>
      <c r="AA3997" s="3"/>
    </row>
    <row r="3998" spans="19:27" x14ac:dyDescent="0.25">
      <c r="S3998" s="4">
        <v>-0.35771940000032915</v>
      </c>
      <c r="T3998" s="4">
        <v>-1.6023110259585043</v>
      </c>
      <c r="U3998" s="4">
        <f t="shared" si="382"/>
        <v>-1.4882128897593925</v>
      </c>
      <c r="W3998" s="4">
        <f t="shared" si="383"/>
        <v>-0.57997087307283135</v>
      </c>
      <c r="X3998" s="4">
        <f t="shared" si="384"/>
        <v>-2.5580732170778049</v>
      </c>
      <c r="Y3998" s="3">
        <f t="shared" si="381"/>
        <v>-161.99440890292453</v>
      </c>
      <c r="AA3998" s="3"/>
    </row>
    <row r="3999" spans="19:27" x14ac:dyDescent="0.25">
      <c r="S3999" s="4">
        <v>0.10745710441136178</v>
      </c>
      <c r="T3999" s="4">
        <v>-0.32782658505569612</v>
      </c>
      <c r="U3999" s="4">
        <f t="shared" si="382"/>
        <v>-0.19435726915361512</v>
      </c>
      <c r="W3999" s="4">
        <f t="shared" si="383"/>
        <v>0.21104164963392713</v>
      </c>
      <c r="X3999" s="4">
        <f t="shared" si="384"/>
        <v>-0.27688184435011842</v>
      </c>
      <c r="Y3999" s="3">
        <f t="shared" si="381"/>
        <v>-61.392674435991921</v>
      </c>
      <c r="AA3999" s="3"/>
    </row>
    <row r="4000" spans="19:27" x14ac:dyDescent="0.25">
      <c r="S4000" s="4">
        <v>-0.66138616511161819</v>
      </c>
      <c r="T4000" s="4">
        <v>-0.63716775919995972</v>
      </c>
      <c r="U4000" s="4">
        <f t="shared" si="382"/>
        <v>-0.90827356044659247</v>
      </c>
      <c r="W4000" s="4">
        <f t="shared" si="383"/>
        <v>-1.0963430708403601</v>
      </c>
      <c r="X4000" s="4">
        <f t="shared" si="384"/>
        <v>-1.5355846382405156</v>
      </c>
      <c r="Y4000" s="3">
        <f t="shared" si="381"/>
        <v>25.25678223635532</v>
      </c>
      <c r="AA4000" s="3"/>
    </row>
    <row r="4001" spans="19:27" x14ac:dyDescent="0.25">
      <c r="S4001" s="4">
        <v>-0.29127717415239601</v>
      </c>
      <c r="T4001" s="4">
        <v>-0.28988773987996391</v>
      </c>
      <c r="U4001" s="4">
        <f t="shared" si="382"/>
        <v>-0.40736076208817729</v>
      </c>
      <c r="W4001" s="4">
        <f t="shared" si="383"/>
        <v>-0.46698874223908643</v>
      </c>
      <c r="X4001" s="4">
        <f t="shared" si="384"/>
        <v>-0.65242740191062032</v>
      </c>
      <c r="Y4001" s="3">
        <f t="shared" si="381"/>
        <v>10.157623501153921</v>
      </c>
      <c r="AA4001" s="3"/>
    </row>
    <row r="4002" spans="19:27" x14ac:dyDescent="0.25">
      <c r="S4002" s="4">
        <v>-0.43600116198657013</v>
      </c>
      <c r="T4002" s="4">
        <v>-1.8852245509580356</v>
      </c>
      <c r="U4002" s="4">
        <f t="shared" si="382"/>
        <v>-1.7601984917946236</v>
      </c>
      <c r="W4002" s="4">
        <f t="shared" si="383"/>
        <v>-0.71308562294391331</v>
      </c>
      <c r="X4002" s="4">
        <f t="shared" si="384"/>
        <v>-3.0376098817471</v>
      </c>
      <c r="Y4002" s="3">
        <f t="shared" si="381"/>
        <v>-188.16904458961653</v>
      </c>
      <c r="AA4002" s="3"/>
    </row>
    <row r="4003" spans="19:27" x14ac:dyDescent="0.25">
      <c r="S4003" s="4">
        <v>-0.19465713414624369</v>
      </c>
      <c r="T4003" s="4">
        <v>0.69426465169288443</v>
      </c>
      <c r="U4003" s="4">
        <f t="shared" si="382"/>
        <v>0.43167071629197645</v>
      </c>
      <c r="W4003" s="4">
        <f t="shared" si="383"/>
        <v>-0.30269054388972527</v>
      </c>
      <c r="X4003" s="4">
        <f t="shared" si="384"/>
        <v>0.82686544919717242</v>
      </c>
      <c r="Y4003" s="3">
        <f t="shared" si="381"/>
        <v>131.43008492903482</v>
      </c>
      <c r="AA4003" s="3"/>
    </row>
    <row r="4004" spans="19:27" x14ac:dyDescent="0.25">
      <c r="S4004" s="4">
        <v>0.26196853389140162</v>
      </c>
      <c r="T4004" s="4">
        <v>0.46104583455843384</v>
      </c>
      <c r="U4004" s="4">
        <f t="shared" si="382"/>
        <v>0.52516921668355154</v>
      </c>
      <c r="W4004" s="4">
        <f t="shared" si="383"/>
        <v>0.47378165146313828</v>
      </c>
      <c r="X4004" s="4">
        <f t="shared" si="384"/>
        <v>0.99171225981455557</v>
      </c>
      <c r="Y4004" s="3">
        <f t="shared" si="381"/>
        <v>23.826361019589058</v>
      </c>
      <c r="AA4004" s="3"/>
    </row>
    <row r="4005" spans="19:27" x14ac:dyDescent="0.25">
      <c r="S4005" s="4">
        <v>-2.9639174866297177E-2</v>
      </c>
      <c r="T4005" s="4">
        <v>0.64517894970941181</v>
      </c>
      <c r="U4005" s="4">
        <f t="shared" si="382"/>
        <v>0.49335950191916117</v>
      </c>
      <c r="W4005" s="4">
        <f t="shared" si="383"/>
        <v>-2.2084642637178905E-2</v>
      </c>
      <c r="X4005" s="4">
        <f t="shared" si="384"/>
        <v>0.9356286862428137</v>
      </c>
      <c r="Y4005" s="3">
        <f t="shared" si="381"/>
        <v>97.103202208629682</v>
      </c>
      <c r="AA4005" s="3"/>
    </row>
    <row r="4006" spans="19:27" x14ac:dyDescent="0.25">
      <c r="S4006" s="4">
        <v>0.68864446404161528</v>
      </c>
      <c r="T4006" s="4">
        <v>1.3714856617843254</v>
      </c>
      <c r="U4006" s="4">
        <f t="shared" si="382"/>
        <v>1.5069787684006788</v>
      </c>
      <c r="W4006" s="4">
        <f t="shared" si="383"/>
        <v>1.1993256131325207</v>
      </c>
      <c r="X4006" s="4">
        <f t="shared" si="384"/>
        <v>2.7227365281870437</v>
      </c>
      <c r="Y4006" s="3">
        <f t="shared" si="381"/>
        <v>83.775368067951149</v>
      </c>
      <c r="AA4006" s="3"/>
    </row>
    <row r="4007" spans="19:27" x14ac:dyDescent="0.25">
      <c r="S4007" s="4">
        <v>-1.1258528053480215</v>
      </c>
      <c r="T4007" s="4">
        <v>1.032809512532215</v>
      </c>
      <c r="U4007" s="4">
        <f t="shared" si="382"/>
        <v>0.13235486766665938</v>
      </c>
      <c r="W4007" s="4">
        <f t="shared" si="383"/>
        <v>-1.886148500225018</v>
      </c>
      <c r="X4007" s="4">
        <f t="shared" si="384"/>
        <v>0.29914294234972594</v>
      </c>
      <c r="Y4007" s="3">
        <f t="shared" si="381"/>
        <v>341.46030435865032</v>
      </c>
      <c r="AA4007" s="3"/>
    </row>
    <row r="4008" spans="19:27" x14ac:dyDescent="0.25">
      <c r="S4008" s="4">
        <v>-0.39775006267032548</v>
      </c>
      <c r="T4008" s="4">
        <v>0.19590797003036647</v>
      </c>
      <c r="U4008" s="4">
        <f t="shared" si="382"/>
        <v>-8.7182628455081429E-2</v>
      </c>
      <c r="W4008" s="4">
        <f t="shared" si="383"/>
        <v>-0.64804128325888211</v>
      </c>
      <c r="X4008" s="4">
        <f t="shared" si="384"/>
        <v>-8.7922688596544119E-2</v>
      </c>
      <c r="Y4008" s="3">
        <f t="shared" si="381"/>
        <v>96.146142293715457</v>
      </c>
      <c r="AA4008" s="3"/>
    </row>
    <row r="4009" spans="19:27" x14ac:dyDescent="0.25">
      <c r="S4009" s="4">
        <v>0.71805546989951197</v>
      </c>
      <c r="T4009" s="4">
        <v>-2.389678760475582</v>
      </c>
      <c r="U4009" s="4">
        <f t="shared" si="382"/>
        <v>-1.4565366456598283</v>
      </c>
      <c r="W4009" s="4">
        <f t="shared" si="383"/>
        <v>1.2493377563047574</v>
      </c>
      <c r="X4009" s="4">
        <f t="shared" si="384"/>
        <v>-2.5022249650707451</v>
      </c>
      <c r="Y4009" s="3">
        <f t="shared" si="381"/>
        <v>-446.42186200237484</v>
      </c>
      <c r="AA4009" s="3"/>
    </row>
    <row r="4010" spans="19:27" x14ac:dyDescent="0.25">
      <c r="S4010" s="4">
        <v>-0.30946275525131445</v>
      </c>
      <c r="T4010" s="4">
        <v>0.16469617363800743</v>
      </c>
      <c r="U4010" s="4">
        <f t="shared" si="382"/>
        <v>-5.8102057896005005E-2</v>
      </c>
      <c r="W4010" s="4">
        <f t="shared" si="383"/>
        <v>-0.497912536208725</v>
      </c>
      <c r="X4010" s="4">
        <f t="shared" si="384"/>
        <v>-3.6650857631119568E-2</v>
      </c>
      <c r="Y4010" s="3">
        <f t="shared" si="381"/>
        <v>76.768272859046647</v>
      </c>
      <c r="AA4010" s="3"/>
    </row>
    <row r="4011" spans="19:27" x14ac:dyDescent="0.25">
      <c r="S4011" s="4">
        <v>0.394933267695392</v>
      </c>
      <c r="T4011" s="4">
        <v>0.3606345024167138</v>
      </c>
      <c r="U4011" s="4">
        <f t="shared" si="382"/>
        <v>0.52663222350023664</v>
      </c>
      <c r="W4011" s="4">
        <f t="shared" si="383"/>
        <v>0.69988242938257383</v>
      </c>
      <c r="X4011" s="4">
        <f t="shared" si="384"/>
        <v>0.99429168094571796</v>
      </c>
      <c r="Y4011" s="3">
        <f t="shared" si="381"/>
        <v>-11.465727667285137</v>
      </c>
      <c r="AA4011" s="3"/>
    </row>
    <row r="4012" spans="19:27" x14ac:dyDescent="0.25">
      <c r="S4012" s="4">
        <v>-5.2264925176281896E-2</v>
      </c>
      <c r="T4012" s="4">
        <v>-2.2531733070047997E-2</v>
      </c>
      <c r="U4012" s="4">
        <f t="shared" si="382"/>
        <v>-4.9722589492307095E-2</v>
      </c>
      <c r="W4012" s="4">
        <f t="shared" si="383"/>
        <v>-6.0558752273195238E-2</v>
      </c>
      <c r="X4012" s="4">
        <f t="shared" si="384"/>
        <v>-2.1877052326930935E-2</v>
      </c>
      <c r="Y4012" s="3">
        <f t="shared" si="381"/>
        <v>7.5263426728138256</v>
      </c>
      <c r="AA4012" s="3"/>
    </row>
    <row r="4013" spans="19:27" x14ac:dyDescent="0.25">
      <c r="S4013" s="4">
        <v>0.34079061255538157</v>
      </c>
      <c r="T4013" s="4">
        <v>0.84362730322473234</v>
      </c>
      <c r="U4013" s="4">
        <f t="shared" si="382"/>
        <v>0.87649019130978068</v>
      </c>
      <c r="W4013" s="4">
        <f t="shared" si="383"/>
        <v>0.60781518647118538</v>
      </c>
      <c r="X4013" s="4">
        <f t="shared" si="384"/>
        <v>1.6111247843746066</v>
      </c>
      <c r="Y4013" s="3">
        <f t="shared" si="381"/>
        <v>64.661809215000176</v>
      </c>
      <c r="AA4013" s="3"/>
    </row>
    <row r="4014" spans="19:27" x14ac:dyDescent="0.25">
      <c r="S4014" s="4">
        <v>-0.67545073974312686</v>
      </c>
      <c r="T4014" s="4">
        <v>-6.8101307693961791E-2</v>
      </c>
      <c r="U4014" s="4">
        <f t="shared" si="382"/>
        <v>-0.46575320459352154</v>
      </c>
      <c r="W4014" s="4">
        <f t="shared" si="383"/>
        <v>-1.120259271582565</v>
      </c>
      <c r="X4014" s="4">
        <f t="shared" si="384"/>
        <v>-0.75537887033900886</v>
      </c>
      <c r="Y4014" s="3">
        <f t="shared" si="381"/>
        <v>107.24821646901091</v>
      </c>
      <c r="AA4014" s="3"/>
    </row>
    <row r="4015" spans="19:27" x14ac:dyDescent="0.25">
      <c r="S4015" s="4">
        <v>-0.25032729152489619</v>
      </c>
      <c r="T4015" s="4">
        <v>-1.260868593790982</v>
      </c>
      <c r="U4015" s="4">
        <f t="shared" si="382"/>
        <v>-1.1520855734092412</v>
      </c>
      <c r="W4015" s="4">
        <f t="shared" si="383"/>
        <v>-0.39735523827978753</v>
      </c>
      <c r="X4015" s="4">
        <f t="shared" si="384"/>
        <v>-1.965448567167426</v>
      </c>
      <c r="Y4015" s="3">
        <f t="shared" si="381"/>
        <v>-132.45944178322179</v>
      </c>
      <c r="AA4015" s="3"/>
    </row>
    <row r="4016" spans="19:27" x14ac:dyDescent="0.25">
      <c r="S4016" s="4">
        <v>-0.43220418906103231</v>
      </c>
      <c r="T4016" s="4">
        <v>-0.72306310886992553</v>
      </c>
      <c r="U4016" s="4">
        <f t="shared" si="382"/>
        <v>-0.83664767251896988</v>
      </c>
      <c r="W4016" s="4">
        <f t="shared" si="383"/>
        <v>-0.70662903473708338</v>
      </c>
      <c r="X4016" s="4">
        <f t="shared" si="384"/>
        <v>-1.4093013381548745</v>
      </c>
      <c r="Y4016" s="3">
        <f t="shared" si="381"/>
        <v>-26.396695699582779</v>
      </c>
      <c r="AA4016" s="3"/>
    </row>
    <row r="4017" spans="19:27" x14ac:dyDescent="0.25">
      <c r="S4017" s="4">
        <v>-8.3138716457878001E-2</v>
      </c>
      <c r="T4017" s="4">
        <v>1.5174855837950363</v>
      </c>
      <c r="U4017" s="4">
        <f t="shared" si="382"/>
        <v>1.1522154945988778</v>
      </c>
      <c r="W4017" s="4">
        <f t="shared" si="383"/>
        <v>-0.11305829877987709</v>
      </c>
      <c r="X4017" s="4">
        <f t="shared" si="384"/>
        <v>2.0972549005086822</v>
      </c>
      <c r="Y4017" s="3">
        <f t="shared" si="381"/>
        <v>227.8761927441019</v>
      </c>
      <c r="AA4017" s="3"/>
    </row>
    <row r="4018" spans="19:27" x14ac:dyDescent="0.25">
      <c r="S4018" s="4">
        <v>0.71757228390040895</v>
      </c>
      <c r="T4018" s="4">
        <v>0.9951173096737852</v>
      </c>
      <c r="U4018" s="4">
        <f t="shared" si="382"/>
        <v>1.2262696239203426</v>
      </c>
      <c r="W4018" s="4">
        <f t="shared" si="383"/>
        <v>1.2485161194153997</v>
      </c>
      <c r="X4018" s="4">
        <f t="shared" si="384"/>
        <v>2.2278194227263102</v>
      </c>
      <c r="Y4018" s="3">
        <f t="shared" si="381"/>
        <v>26.708993561210264</v>
      </c>
      <c r="AA4018" s="3"/>
    </row>
    <row r="4019" spans="19:27" x14ac:dyDescent="0.25">
      <c r="S4019" s="4">
        <v>-0.37862900210411315</v>
      </c>
      <c r="T4019" s="4">
        <v>0.41688762115938766</v>
      </c>
      <c r="U4019" s="4">
        <f t="shared" si="382"/>
        <v>9.9642802490441135E-2</v>
      </c>
      <c r="W4019" s="4">
        <f t="shared" si="383"/>
        <v>-0.61552674692296605</v>
      </c>
      <c r="X4019" s="4">
        <f t="shared" si="384"/>
        <v>0.24146843858310249</v>
      </c>
      <c r="Y4019" s="3">
        <f t="shared" si="381"/>
        <v>123.76802702797841</v>
      </c>
      <c r="AA4019" s="3"/>
    </row>
    <row r="4020" spans="19:27" x14ac:dyDescent="0.25">
      <c r="S4020" s="4">
        <v>0.13368933584095222</v>
      </c>
      <c r="T4020" s="4">
        <v>-0.42252853012390612</v>
      </c>
      <c r="U4020" s="4">
        <f t="shared" si="382"/>
        <v>-0.25343499161807981</v>
      </c>
      <c r="W4020" s="4">
        <f t="shared" si="383"/>
        <v>0.25564842440126073</v>
      </c>
      <c r="X4020" s="4">
        <f t="shared" si="384"/>
        <v>-0.38104152697625249</v>
      </c>
      <c r="Y4020" s="3">
        <f t="shared" si="381"/>
        <v>-78.903178020872019</v>
      </c>
      <c r="AA4020" s="3"/>
    </row>
    <row r="4021" spans="19:27" x14ac:dyDescent="0.25">
      <c r="S4021" s="4">
        <v>-0.1400679884962733</v>
      </c>
      <c r="T4021" s="4">
        <v>-0.70700681102799512</v>
      </c>
      <c r="U4021" s="4">
        <f t="shared" si="382"/>
        <v>-0.64582722740165399</v>
      </c>
      <c r="W4021" s="4">
        <f t="shared" si="383"/>
        <v>-0.20986406318085885</v>
      </c>
      <c r="X4021" s="4">
        <f t="shared" si="384"/>
        <v>-1.0728666183846165</v>
      </c>
      <c r="Y4021" s="3">
        <f t="shared" si="381"/>
        <v>-73.541868362830428</v>
      </c>
      <c r="AA4021" s="3"/>
    </row>
    <row r="4022" spans="19:27" x14ac:dyDescent="0.25">
      <c r="S4022" s="4">
        <v>-0.4352735598533386</v>
      </c>
      <c r="T4022" s="4">
        <v>7.030925770494475E-3</v>
      </c>
      <c r="U4022" s="4">
        <f t="shared" si="382"/>
        <v>-0.25977911510233542</v>
      </c>
      <c r="W4022" s="4">
        <f t="shared" si="383"/>
        <v>-0.71184836699165455</v>
      </c>
      <c r="X4022" s="4">
        <f t="shared" si="384"/>
        <v>-0.39222682426083455</v>
      </c>
      <c r="Y4022" s="3">
        <f t="shared" si="381"/>
        <v>76.166406156244193</v>
      </c>
      <c r="AA4022" s="3"/>
    </row>
    <row r="4023" spans="19:27" x14ac:dyDescent="0.25">
      <c r="S4023" s="4">
        <v>-0.32833796966568107</v>
      </c>
      <c r="T4023" s="4">
        <v>0.16670430753029145</v>
      </c>
      <c r="U4023" s="4">
        <f t="shared" si="382"/>
        <v>-6.8016978034640074E-2</v>
      </c>
      <c r="W4023" s="4">
        <f t="shared" si="383"/>
        <v>-0.53000902179847287</v>
      </c>
      <c r="X4023" s="4">
        <f t="shared" si="384"/>
        <v>-5.413181139545746E-2</v>
      </c>
      <c r="Y4023" s="3">
        <f t="shared" si="381"/>
        <v>80.249305156234186</v>
      </c>
      <c r="AA4023" s="3"/>
    </row>
    <row r="4024" spans="19:27" x14ac:dyDescent="0.25">
      <c r="S4024" s="4">
        <v>1.9284767457747241</v>
      </c>
      <c r="T4024" s="4">
        <v>0.61944698855185387</v>
      </c>
      <c r="U4024" s="4">
        <f t="shared" si="382"/>
        <v>1.6666731360956324</v>
      </c>
      <c r="W4024" s="4">
        <f t="shared" si="383"/>
        <v>3.3076067743818487</v>
      </c>
      <c r="X4024" s="4">
        <f t="shared" si="384"/>
        <v>3.0042929924920569</v>
      </c>
      <c r="Y4024" s="3">
        <f t="shared" si="381"/>
        <v>-201.85924199399778</v>
      </c>
      <c r="AA4024" s="3"/>
    </row>
    <row r="4025" spans="19:27" x14ac:dyDescent="0.25">
      <c r="S4025" s="4">
        <v>-1.4832564808893347</v>
      </c>
      <c r="T4025" s="4">
        <v>0.98256490376944017</v>
      </c>
      <c r="U4025" s="4">
        <f t="shared" si="382"/>
        <v>-0.125354887642668</v>
      </c>
      <c r="W4025" s="4">
        <f t="shared" si="383"/>
        <v>-2.4938979895766922</v>
      </c>
      <c r="X4025" s="4">
        <f t="shared" si="384"/>
        <v>-0.15522403733240847</v>
      </c>
      <c r="Y4025" s="3">
        <f t="shared" si="381"/>
        <v>400.41743052045331</v>
      </c>
      <c r="AA4025" s="3"/>
    </row>
    <row r="4026" spans="19:27" x14ac:dyDescent="0.25">
      <c r="S4026" s="4">
        <v>-0.76279550330950607</v>
      </c>
      <c r="T4026" s="4">
        <v>1.0375416818917789</v>
      </c>
      <c r="U4026" s="4">
        <f t="shared" si="382"/>
        <v>0.35743385235416175</v>
      </c>
      <c r="W4026" s="4">
        <f t="shared" si="383"/>
        <v>-1.2687852635847754</v>
      </c>
      <c r="X4026" s="4">
        <f t="shared" si="384"/>
        <v>0.69597874835027751</v>
      </c>
      <c r="Y4026" s="3">
        <f t="shared" si="381"/>
        <v>277.11150288920908</v>
      </c>
      <c r="AA4026" s="3"/>
    </row>
    <row r="4027" spans="19:27" x14ac:dyDescent="0.25">
      <c r="S4027" s="4">
        <v>-0.72076989294730442</v>
      </c>
      <c r="T4027" s="4">
        <v>0.58205349233119175</v>
      </c>
      <c r="U4027" s="4">
        <f t="shared" si="382"/>
        <v>2.1991749514220171E-2</v>
      </c>
      <c r="W4027" s="4">
        <f t="shared" si="383"/>
        <v>-1.1973225311474642</v>
      </c>
      <c r="X4027" s="4">
        <f t="shared" si="384"/>
        <v>0.10456219548185051</v>
      </c>
      <c r="Y4027" s="3">
        <f t="shared" si="381"/>
        <v>206.05778216290582</v>
      </c>
      <c r="AA4027" s="3"/>
    </row>
    <row r="4028" spans="19:27" x14ac:dyDescent="0.25">
      <c r="S4028" s="4">
        <v>-0.52434708657051332</v>
      </c>
      <c r="T4028" s="4">
        <v>-0.40298456182698078</v>
      </c>
      <c r="U4028" s="4">
        <f t="shared" si="382"/>
        <v>-0.63909632904478175</v>
      </c>
      <c r="W4028" s="4">
        <f t="shared" si="383"/>
        <v>-0.86331404594732075</v>
      </c>
      <c r="X4028" s="4">
        <f t="shared" si="384"/>
        <v>-1.0609993999578688</v>
      </c>
      <c r="Y4028" s="3">
        <f t="shared" si="381"/>
        <v>34.182338934470408</v>
      </c>
      <c r="AA4028" s="3"/>
    </row>
    <row r="4029" spans="19:27" x14ac:dyDescent="0.25">
      <c r="S4029" s="4">
        <v>-1.7472978606688379</v>
      </c>
      <c r="T4029" s="4">
        <v>0.35615241263638886</v>
      </c>
      <c r="U4029" s="4">
        <f t="shared" si="382"/>
        <v>-0.78287258629408762</v>
      </c>
      <c r="W4029" s="4">
        <f t="shared" si="383"/>
        <v>-2.9428889337399267</v>
      </c>
      <c r="X4029" s="4">
        <f t="shared" si="384"/>
        <v>-1.3144907110568875</v>
      </c>
      <c r="Y4029" s="3">
        <f t="shared" si="381"/>
        <v>362.88710227303</v>
      </c>
      <c r="AA4029" s="3"/>
    </row>
    <row r="4030" spans="19:27" x14ac:dyDescent="0.25">
      <c r="S4030" s="4">
        <v>-1.208404794467129</v>
      </c>
      <c r="T4030" s="4">
        <v>0.84655852724885106</v>
      </c>
      <c r="U4030" s="4">
        <f t="shared" si="382"/>
        <v>-6.5610336341996645E-2</v>
      </c>
      <c r="W4030" s="4">
        <f t="shared" si="383"/>
        <v>-2.0265245866100141</v>
      </c>
      <c r="X4030" s="4">
        <f t="shared" si="384"/>
        <v>-4.9888671605304871E-2</v>
      </c>
      <c r="Y4030" s="3">
        <f t="shared" si="381"/>
        <v>330.49447113107635</v>
      </c>
      <c r="AA4030" s="3"/>
    </row>
    <row r="4031" spans="19:27" x14ac:dyDescent="0.25">
      <c r="S4031" s="4">
        <v>0.995640028917533</v>
      </c>
      <c r="T4031" s="4">
        <v>-0.22297532885980648</v>
      </c>
      <c r="U4031" s="4">
        <f t="shared" si="382"/>
        <v>0.43021361259466007</v>
      </c>
      <c r="W4031" s="4">
        <f t="shared" si="383"/>
        <v>1.7213582908994312</v>
      </c>
      <c r="X4031" s="4">
        <f t="shared" si="384"/>
        <v>0.82429643583080359</v>
      </c>
      <c r="Y4031" s="3">
        <f t="shared" si="381"/>
        <v>-185.83129309366495</v>
      </c>
      <c r="AA4031" s="3"/>
    </row>
    <row r="4032" spans="19:27" x14ac:dyDescent="0.25">
      <c r="S4032" s="4">
        <v>2.6228768427023964E-2</v>
      </c>
      <c r="T4032" s="4">
        <v>0.29701361554280103</v>
      </c>
      <c r="U4032" s="4">
        <f t="shared" si="382"/>
        <v>0.25142996500275921</v>
      </c>
      <c r="W4032" s="4">
        <f t="shared" si="383"/>
        <v>7.2916378144767174E-2</v>
      </c>
      <c r="X4032" s="4">
        <f t="shared" si="384"/>
        <v>0.50908374287169067</v>
      </c>
      <c r="Y4032" s="3">
        <f t="shared" si="381"/>
        <v>39.237237027145511</v>
      </c>
      <c r="AA4032" s="3"/>
    </row>
    <row r="4033" spans="19:27" x14ac:dyDescent="0.25">
      <c r="S4033" s="4">
        <v>-0.13169001488209381</v>
      </c>
      <c r="T4033" s="4">
        <v>0.72338524153923256</v>
      </c>
      <c r="U4033" s="4">
        <f t="shared" si="382"/>
        <v>0.49314053626654142</v>
      </c>
      <c r="W4033" s="4">
        <f t="shared" si="383"/>
        <v>-0.19561768147225544</v>
      </c>
      <c r="X4033" s="4">
        <f t="shared" si="384"/>
        <v>0.93524262882672737</v>
      </c>
      <c r="Y4033" s="3">
        <f t="shared" si="381"/>
        <v>124.97110882178777</v>
      </c>
      <c r="AA4033" s="3"/>
    </row>
    <row r="4034" spans="19:27" x14ac:dyDescent="0.25">
      <c r="S4034" s="4">
        <v>0.9265053596718843</v>
      </c>
      <c r="T4034" s="4">
        <v>0.10284809287954863</v>
      </c>
      <c r="U4034" s="4">
        <f t="shared" si="382"/>
        <v>0.64634520169634513</v>
      </c>
      <c r="W4034" s="4">
        <f t="shared" si="383"/>
        <v>1.6037977765401346</v>
      </c>
      <c r="X4034" s="4">
        <f t="shared" si="384"/>
        <v>1.2053571265142442</v>
      </c>
      <c r="Y4034" s="3">
        <f t="shared" ref="Y4034:Y4097" si="385">(B$4*EXP(-B$8*B$7)*NORMSDIST((LN(B$4/(B$5+W4034))-B$8*B$7+B$9*B$7+0.5*B$6*B$6*B$7)/(B$6*SQRT(B$7)))-(B$5+W4034)*EXP(-B$9*B$7)*NORMSDIST((LN(B$4/(B$5+W4034))-B$8*B$7+B$9*B$7-0.5*B$6*B$6*B$7)/(B$6*SQRT(B$7))))*400+100*X4034-400*$B$13</f>
        <v>-129.88266815093357</v>
      </c>
      <c r="AA4034" s="3"/>
    </row>
    <row r="4035" spans="19:27" x14ac:dyDescent="0.25">
      <c r="S4035" s="4">
        <v>1.1100140222593247</v>
      </c>
      <c r="T4035" s="4">
        <v>1.7765859128418418</v>
      </c>
      <c r="U4035" s="4">
        <f t="shared" ref="U4035:U4098" si="386">$B$19*S4035+SQRT(1-$B$19^2)*T4035</f>
        <v>2.0849747885096983</v>
      </c>
      <c r="W4035" s="4">
        <f t="shared" ref="W4035:W4098" si="387">S4035*SQRT($B$16)+$B$20</f>
        <v>1.9158463188787369</v>
      </c>
      <c r="X4035" s="4">
        <f t="shared" ref="X4035:X4098" si="388">U4035*SQRT($C$17)+$C$20</f>
        <v>3.7417988667857731</v>
      </c>
      <c r="Y4035" s="3">
        <f t="shared" si="385"/>
        <v>76.553100818189705</v>
      </c>
      <c r="AA4035" s="3"/>
    </row>
    <row r="4036" spans="19:27" x14ac:dyDescent="0.25">
      <c r="S4036" s="4">
        <v>-2.6464634662522588</v>
      </c>
      <c r="T4036" s="4">
        <v>0.81007720729463673</v>
      </c>
      <c r="U4036" s="4">
        <f t="shared" si="386"/>
        <v>-0.97120143958428129</v>
      </c>
      <c r="W4036" s="4">
        <f t="shared" si="387"/>
        <v>-4.4718811490780848</v>
      </c>
      <c r="X4036" s="4">
        <f t="shared" si="388"/>
        <v>-1.6465325158141637</v>
      </c>
      <c r="Y4036" s="3">
        <f t="shared" si="385"/>
        <v>604.85879459844182</v>
      </c>
      <c r="AA4036" s="3"/>
    </row>
    <row r="4037" spans="19:27" x14ac:dyDescent="0.25">
      <c r="S4037" s="4">
        <v>-0.45258850665238315</v>
      </c>
      <c r="T4037" s="4">
        <v>0.16694254700376168</v>
      </c>
      <c r="U4037" s="4">
        <f t="shared" si="386"/>
        <v>-0.14357402711225856</v>
      </c>
      <c r="W4037" s="4">
        <f t="shared" si="387"/>
        <v>-0.74129168499707987</v>
      </c>
      <c r="X4037" s="4">
        <f t="shared" si="388"/>
        <v>-0.18734612507902557</v>
      </c>
      <c r="Y4037" s="3">
        <f t="shared" si="385"/>
        <v>101.48404401755806</v>
      </c>
      <c r="AA4037" s="3"/>
    </row>
    <row r="4038" spans="19:27" x14ac:dyDescent="0.25">
      <c r="S4038" s="4">
        <v>1.4605150348352951</v>
      </c>
      <c r="T4038" s="4">
        <v>-1.6694022618003801</v>
      </c>
      <c r="U4038" s="4">
        <f t="shared" si="386"/>
        <v>-0.43295929729646321</v>
      </c>
      <c r="W4038" s="4">
        <f t="shared" si="387"/>
        <v>2.511858128459771</v>
      </c>
      <c r="X4038" s="4">
        <f t="shared" si="388"/>
        <v>-0.69756007107525819</v>
      </c>
      <c r="Y4038" s="3">
        <f t="shared" si="385"/>
        <v>-456.19945017629652</v>
      </c>
      <c r="AA4038" s="3"/>
    </row>
    <row r="4039" spans="19:27" x14ac:dyDescent="0.25">
      <c r="S4039" s="4">
        <v>0.87082339225859706</v>
      </c>
      <c r="T4039" s="4">
        <v>0.31792242612646132</v>
      </c>
      <c r="U4039" s="4">
        <f t="shared" si="386"/>
        <v>0.78288793943693613</v>
      </c>
      <c r="W4039" s="4">
        <f t="shared" si="387"/>
        <v>1.5091129996970656</v>
      </c>
      <c r="X4039" s="4">
        <f t="shared" si="388"/>
        <v>1.4460950499593823</v>
      </c>
      <c r="Y4039" s="3">
        <f t="shared" si="385"/>
        <v>-91.387707770343241</v>
      </c>
      <c r="AA4039" s="3"/>
    </row>
    <row r="4040" spans="19:27" x14ac:dyDescent="0.25">
      <c r="S4040" s="4">
        <v>3.2586103318687032</v>
      </c>
      <c r="T4040" s="4">
        <v>1.9953065217609616</v>
      </c>
      <c r="U4040" s="4">
        <f t="shared" si="386"/>
        <v>3.5681851190808462</v>
      </c>
      <c r="W4040" s="4">
        <f t="shared" si="387"/>
        <v>5.5694413973575809</v>
      </c>
      <c r="X4040" s="4">
        <f t="shared" si="388"/>
        <v>6.3568407278361967</v>
      </c>
      <c r="Y4040" s="3">
        <f t="shared" si="385"/>
        <v>-179.19852047334552</v>
      </c>
      <c r="AA4040" s="3"/>
    </row>
    <row r="4041" spans="19:27" x14ac:dyDescent="0.25">
      <c r="S4041" s="4">
        <v>-0.95675234826683231</v>
      </c>
      <c r="T4041" s="4">
        <v>-1.7920221428884235</v>
      </c>
      <c r="U4041" s="4">
        <f t="shared" si="386"/>
        <v>-2.003779228852347</v>
      </c>
      <c r="W4041" s="4">
        <f t="shared" si="387"/>
        <v>-1.598600488066011</v>
      </c>
      <c r="X4041" s="4">
        <f t="shared" si="388"/>
        <v>-3.4670660491041461</v>
      </c>
      <c r="Y4041" s="3">
        <f t="shared" si="385"/>
        <v>-83.866842611152151</v>
      </c>
      <c r="AA4041" s="3"/>
    </row>
    <row r="4042" spans="19:27" x14ac:dyDescent="0.25">
      <c r="S4042" s="4">
        <v>1.1818891225920296</v>
      </c>
      <c r="T4042" s="4">
        <v>-1.0075673842755466</v>
      </c>
      <c r="U4042" s="4">
        <f t="shared" si="386"/>
        <v>-7.8184644790513569E-2</v>
      </c>
      <c r="W4042" s="4">
        <f t="shared" si="387"/>
        <v>2.0380668177534123</v>
      </c>
      <c r="X4042" s="4">
        <f t="shared" si="388"/>
        <v>-7.2058381651734754E-2</v>
      </c>
      <c r="Y4042" s="3">
        <f t="shared" si="385"/>
        <v>-323.18990672504196</v>
      </c>
      <c r="AA4042" s="3"/>
    </row>
    <row r="4043" spans="19:27" x14ac:dyDescent="0.25">
      <c r="S4043" s="4">
        <v>-2.197238160962848</v>
      </c>
      <c r="T4043" s="4">
        <v>1.4077938658402658</v>
      </c>
      <c r="U4043" s="4">
        <f t="shared" si="386"/>
        <v>-0.22353844561434166</v>
      </c>
      <c r="W4043" s="4">
        <f t="shared" si="387"/>
        <v>-3.7079929504467013</v>
      </c>
      <c r="X4043" s="4">
        <f t="shared" si="388"/>
        <v>-0.32833105315526068</v>
      </c>
      <c r="Y4043" s="3">
        <f t="shared" si="385"/>
        <v>597.60655156852681</v>
      </c>
      <c r="AA4043" s="3"/>
    </row>
    <row r="4044" spans="19:27" x14ac:dyDescent="0.25">
      <c r="S4044" s="4">
        <v>1.2389081529148833</v>
      </c>
      <c r="T4044" s="4">
        <v>-1.1059696598259106</v>
      </c>
      <c r="U4044" s="4">
        <f t="shared" si="386"/>
        <v>-0.12142727017975041</v>
      </c>
      <c r="W4044" s="4">
        <f t="shared" si="387"/>
        <v>2.1350252122342668</v>
      </c>
      <c r="X4044" s="4">
        <f t="shared" si="388"/>
        <v>-0.14829927159418235</v>
      </c>
      <c r="Y4044" s="3">
        <f t="shared" si="385"/>
        <v>-345.3239189459523</v>
      </c>
      <c r="AA4044" s="3"/>
    </row>
    <row r="4045" spans="19:27" x14ac:dyDescent="0.25">
      <c r="S4045" s="4">
        <v>0.40635623638887747</v>
      </c>
      <c r="T4045" s="4">
        <v>2.8978371316998262</v>
      </c>
      <c r="U4045" s="4">
        <f t="shared" si="386"/>
        <v>2.5448161947490329</v>
      </c>
      <c r="W4045" s="4">
        <f t="shared" si="387"/>
        <v>0.719306693500259</v>
      </c>
      <c r="X4045" s="4">
        <f t="shared" si="388"/>
        <v>4.552543305369273</v>
      </c>
      <c r="Y4045" s="3">
        <f t="shared" si="385"/>
        <v>341.31754103011008</v>
      </c>
      <c r="AA4045" s="3"/>
    </row>
    <row r="4046" spans="19:27" x14ac:dyDescent="0.25">
      <c r="S4046" s="4">
        <v>8.0789653130111092E-2</v>
      </c>
      <c r="T4046" s="4">
        <v>2.5727432012334153</v>
      </c>
      <c r="U4046" s="4">
        <f t="shared" si="386"/>
        <v>2.0886441775142015</v>
      </c>
      <c r="W4046" s="4">
        <f t="shared" si="387"/>
        <v>0.1656948023359974</v>
      </c>
      <c r="X4046" s="4">
        <f t="shared" si="388"/>
        <v>3.7482683510210664</v>
      </c>
      <c r="Y4046" s="3">
        <f t="shared" si="385"/>
        <v>348.3450955580256</v>
      </c>
      <c r="AA4046" s="3"/>
    </row>
    <row r="4047" spans="19:27" x14ac:dyDescent="0.25">
      <c r="S4047" s="4">
        <v>-1.0451580411339099</v>
      </c>
      <c r="T4047" s="4">
        <v>0.42247408944508702</v>
      </c>
      <c r="U4047" s="4">
        <f t="shared" si="386"/>
        <v>-0.30225982237606086</v>
      </c>
      <c r="W4047" s="4">
        <f t="shared" si="387"/>
        <v>-1.7489305444493755</v>
      </c>
      <c r="X4047" s="4">
        <f t="shared" si="388"/>
        <v>-0.46712437959612108</v>
      </c>
      <c r="Y4047" s="3">
        <f t="shared" si="385"/>
        <v>241.53615542912576</v>
      </c>
      <c r="AA4047" s="3"/>
    </row>
    <row r="4048" spans="19:27" x14ac:dyDescent="0.25">
      <c r="S4048" s="4">
        <v>-0.53520602245805693</v>
      </c>
      <c r="T4048" s="4">
        <v>-0.87891848064001243</v>
      </c>
      <c r="U4048" s="4">
        <f t="shared" si="386"/>
        <v>-1.0229851976306161</v>
      </c>
      <c r="W4048" s="4">
        <f t="shared" si="387"/>
        <v>-0.88177919667796667</v>
      </c>
      <c r="X4048" s="4">
        <f t="shared" si="388"/>
        <v>-1.7378322406222606</v>
      </c>
      <c r="Y4048" s="3">
        <f t="shared" si="385"/>
        <v>-30.458002395863787</v>
      </c>
      <c r="AA4048" s="3"/>
    </row>
    <row r="4049" spans="19:27" x14ac:dyDescent="0.25">
      <c r="S4049" s="4">
        <v>-0.92345324787940319</v>
      </c>
      <c r="T4049" s="4">
        <v>0.75028062049532518</v>
      </c>
      <c r="U4049" s="4">
        <f t="shared" si="386"/>
        <v>3.1783755971212857E-2</v>
      </c>
      <c r="W4049" s="4">
        <f t="shared" si="387"/>
        <v>-1.5419768083411758</v>
      </c>
      <c r="X4049" s="4">
        <f t="shared" si="388"/>
        <v>0.12182644065391016</v>
      </c>
      <c r="Y4049" s="3">
        <f t="shared" si="385"/>
        <v>265.48292720563677</v>
      </c>
      <c r="AA4049" s="3"/>
    </row>
    <row r="4050" spans="19:27" x14ac:dyDescent="0.25">
      <c r="S4050" s="4">
        <v>2.0498887307821789</v>
      </c>
      <c r="T4050" s="4">
        <v>-1.0442586899869424</v>
      </c>
      <c r="U4050" s="4">
        <f t="shared" si="386"/>
        <v>0.42188237784013494</v>
      </c>
      <c r="W4050" s="4">
        <f t="shared" si="387"/>
        <v>3.5140626027325128</v>
      </c>
      <c r="X4050" s="4">
        <f t="shared" si="388"/>
        <v>0.80960767106948217</v>
      </c>
      <c r="Y4050" s="3">
        <f t="shared" si="385"/>
        <v>-450.87762874103282</v>
      </c>
      <c r="AA4050" s="3"/>
    </row>
    <row r="4051" spans="19:27" x14ac:dyDescent="0.25">
      <c r="S4051" s="4">
        <v>-0.26067186399424158</v>
      </c>
      <c r="T4051" s="4">
        <v>-0.27852701944336355</v>
      </c>
      <c r="U4051" s="4">
        <f t="shared" si="386"/>
        <v>-0.37969752973508031</v>
      </c>
      <c r="W4051" s="4">
        <f t="shared" si="387"/>
        <v>-0.4149457362686067</v>
      </c>
      <c r="X4051" s="4">
        <f t="shared" si="388"/>
        <v>-0.60365447394196436</v>
      </c>
      <c r="Y4051" s="3">
        <f t="shared" si="385"/>
        <v>6.5759151218449006</v>
      </c>
      <c r="AA4051" s="3"/>
    </row>
    <row r="4052" spans="19:27" x14ac:dyDescent="0.25">
      <c r="S4052" s="4">
        <v>0.61413337169646876</v>
      </c>
      <c r="T4052" s="4">
        <v>0.396760394175461</v>
      </c>
      <c r="U4052" s="4">
        <f t="shared" si="386"/>
        <v>0.68889820373407451</v>
      </c>
      <c r="W4052" s="4">
        <f t="shared" si="387"/>
        <v>1.0726227238709252</v>
      </c>
      <c r="X4052" s="4">
        <f t="shared" si="388"/>
        <v>1.2803821444421977</v>
      </c>
      <c r="Y4052" s="3">
        <f t="shared" si="385"/>
        <v>-40.893077410550177</v>
      </c>
      <c r="AA4052" s="3"/>
    </row>
    <row r="4053" spans="19:27" x14ac:dyDescent="0.25">
      <c r="S4053" s="4">
        <v>-1.2983179715787267</v>
      </c>
      <c r="T4053" s="4">
        <v>-1.8837286802137918</v>
      </c>
      <c r="U4053" s="4">
        <f t="shared" si="386"/>
        <v>-2.2847002940077417</v>
      </c>
      <c r="W4053" s="4">
        <f t="shared" si="387"/>
        <v>-2.1794180547390054</v>
      </c>
      <c r="X4053" s="4">
        <f t="shared" si="388"/>
        <v>-3.9623567910108219</v>
      </c>
      <c r="Y4053" s="3">
        <f t="shared" si="385"/>
        <v>-34.560929904128443</v>
      </c>
      <c r="AA4053" s="3"/>
    </row>
    <row r="4054" spans="19:27" x14ac:dyDescent="0.25">
      <c r="S4054" s="4">
        <v>-1.1359621754679918</v>
      </c>
      <c r="T4054" s="4">
        <v>1.4302107923249088</v>
      </c>
      <c r="U4054" s="4">
        <f t="shared" si="386"/>
        <v>0.44120879289085035</v>
      </c>
      <c r="W4054" s="4">
        <f t="shared" si="387"/>
        <v>-1.9033390467933309</v>
      </c>
      <c r="X4054" s="4">
        <f t="shared" si="388"/>
        <v>0.84368199171030067</v>
      </c>
      <c r="Y4054" s="3">
        <f t="shared" si="385"/>
        <v>398.83994983533739</v>
      </c>
      <c r="AA4054" s="3"/>
    </row>
    <row r="4055" spans="19:27" x14ac:dyDescent="0.25">
      <c r="S4055" s="4">
        <v>0.79643296533811236</v>
      </c>
      <c r="T4055" s="4">
        <v>-0.88941697054445146</v>
      </c>
      <c r="U4055" s="4">
        <f t="shared" si="386"/>
        <v>-0.21951042849462948</v>
      </c>
      <c r="W4055" s="4">
        <f t="shared" si="387"/>
        <v>1.3826152967702483</v>
      </c>
      <c r="X4055" s="4">
        <f t="shared" si="388"/>
        <v>-0.32122927320674932</v>
      </c>
      <c r="Y4055" s="3">
        <f t="shared" si="385"/>
        <v>-248.78312982595617</v>
      </c>
      <c r="AA4055" s="3"/>
    </row>
    <row r="4056" spans="19:27" x14ac:dyDescent="0.25">
      <c r="S4056" s="4">
        <v>1.2594224470668287</v>
      </c>
      <c r="T4056" s="4">
        <v>-1.2803722005437022</v>
      </c>
      <c r="U4056" s="4">
        <f t="shared" si="386"/>
        <v>-0.24716880086261128</v>
      </c>
      <c r="W4056" s="4">
        <f t="shared" si="387"/>
        <v>2.1699088820129053</v>
      </c>
      <c r="X4056" s="4">
        <f t="shared" si="388"/>
        <v>-0.36999363255620255</v>
      </c>
      <c r="Y4056" s="3">
        <f t="shared" si="385"/>
        <v>-372.70227105500453</v>
      </c>
      <c r="AA4056" s="3"/>
    </row>
    <row r="4057" spans="19:27" x14ac:dyDescent="0.25">
      <c r="S4057" s="4">
        <v>-1.3822043498570193</v>
      </c>
      <c r="T4057" s="4">
        <v>-0.66650107430550443</v>
      </c>
      <c r="U4057" s="4">
        <f t="shared" si="386"/>
        <v>-1.3709526934301199</v>
      </c>
      <c r="W4057" s="4">
        <f t="shared" si="387"/>
        <v>-2.3220632121649274</v>
      </c>
      <c r="X4057" s="4">
        <f t="shared" si="388"/>
        <v>-2.3513322608454148</v>
      </c>
      <c r="Y4057" s="3">
        <f t="shared" si="385"/>
        <v>151.09000996703071</v>
      </c>
      <c r="AA4057" s="3"/>
    </row>
    <row r="4058" spans="19:27" x14ac:dyDescent="0.25">
      <c r="S4058" s="4">
        <v>-0.74270267320181571</v>
      </c>
      <c r="T4058" s="4">
        <v>-0.79133167705979413</v>
      </c>
      <c r="U4058" s="4">
        <f t="shared" si="386"/>
        <v>-1.0800504253963403</v>
      </c>
      <c r="W4058" s="4">
        <f t="shared" si="387"/>
        <v>-1.2346182751813022</v>
      </c>
      <c r="X4058" s="4">
        <f t="shared" si="388"/>
        <v>-1.8384437023562696</v>
      </c>
      <c r="Y4058" s="3">
        <f t="shared" si="385"/>
        <v>17.970631004883217</v>
      </c>
      <c r="AA4058" s="3"/>
    </row>
    <row r="4059" spans="19:27" x14ac:dyDescent="0.25">
      <c r="S4059" s="4">
        <v>-0.70618538519014673</v>
      </c>
      <c r="T4059" s="4">
        <v>0.28374273825158214</v>
      </c>
      <c r="U4059" s="4">
        <f t="shared" si="386"/>
        <v>-0.20558576307242241</v>
      </c>
      <c r="W4059" s="4">
        <f t="shared" si="387"/>
        <v>-1.1725222066168521</v>
      </c>
      <c r="X4059" s="4">
        <f t="shared" si="388"/>
        <v>-0.29667875449092374</v>
      </c>
      <c r="Y4059" s="3">
        <f t="shared" si="385"/>
        <v>161.80603203518785</v>
      </c>
      <c r="AA4059" s="3"/>
    </row>
    <row r="4060" spans="19:27" x14ac:dyDescent="0.25">
      <c r="S4060" s="4">
        <v>0.28293892816857796</v>
      </c>
      <c r="T4060" s="4">
        <v>1.9052117297990974</v>
      </c>
      <c r="U4060" s="4">
        <f t="shared" si="386"/>
        <v>1.6827320161055153</v>
      </c>
      <c r="W4060" s="4">
        <f t="shared" si="387"/>
        <v>0.50944089977432139</v>
      </c>
      <c r="X4060" s="4">
        <f t="shared" si="388"/>
        <v>3.0326063359214128</v>
      </c>
      <c r="Y4060" s="3">
        <f t="shared" si="385"/>
        <v>222.29163849760425</v>
      </c>
      <c r="AA4060" s="3"/>
    </row>
    <row r="4061" spans="19:27" x14ac:dyDescent="0.25">
      <c r="S4061" s="4">
        <v>-1.23039822691856</v>
      </c>
      <c r="T4061" s="4">
        <v>-0.42302620231199189</v>
      </c>
      <c r="U4061" s="4">
        <f t="shared" si="386"/>
        <v>-1.0854077059692733</v>
      </c>
      <c r="W4061" s="4">
        <f t="shared" si="387"/>
        <v>-2.0639234670809641</v>
      </c>
      <c r="X4061" s="4">
        <f t="shared" si="388"/>
        <v>-1.8478891010774456</v>
      </c>
      <c r="Y4061" s="3">
        <f t="shared" si="385"/>
        <v>157.08951301773777</v>
      </c>
      <c r="AA4061" s="3"/>
    </row>
    <row r="4062" spans="19:27" x14ac:dyDescent="0.25">
      <c r="S4062" s="4">
        <v>2.4811108959707759</v>
      </c>
      <c r="T4062" s="4">
        <v>-0.31519614574367311</v>
      </c>
      <c r="U4062" s="4">
        <f t="shared" si="386"/>
        <v>1.26268709123429</v>
      </c>
      <c r="W4062" s="4">
        <f t="shared" si="387"/>
        <v>4.2473372404193297</v>
      </c>
      <c r="X4062" s="4">
        <f t="shared" si="388"/>
        <v>2.2920269053311113</v>
      </c>
      <c r="Y4062" s="3">
        <f t="shared" si="385"/>
        <v>-405.92263673201796</v>
      </c>
      <c r="AA4062" s="3"/>
    </row>
    <row r="4063" spans="19:27" x14ac:dyDescent="0.25">
      <c r="S4063" s="4">
        <v>0.76784301954037448</v>
      </c>
      <c r="T4063" s="4">
        <v>-1.2837086347741887E-2</v>
      </c>
      <c r="U4063" s="4">
        <f t="shared" si="386"/>
        <v>0.45791838081824898</v>
      </c>
      <c r="W4063" s="4">
        <f t="shared" si="387"/>
        <v>1.3339993307121187</v>
      </c>
      <c r="X4063" s="4">
        <f t="shared" si="388"/>
        <v>0.87314259551706075</v>
      </c>
      <c r="Y4063" s="3">
        <f t="shared" si="385"/>
        <v>-121.89279916037276</v>
      </c>
      <c r="AA4063" s="3"/>
    </row>
    <row r="4064" spans="19:27" x14ac:dyDescent="0.25">
      <c r="S4064" s="4">
        <v>-0.30401349743829409</v>
      </c>
      <c r="T4064" s="4">
        <v>1.1489749502610758</v>
      </c>
      <c r="U4064" s="4">
        <f t="shared" si="386"/>
        <v>0.7254498618907298</v>
      </c>
      <c r="W4064" s="4">
        <f t="shared" si="387"/>
        <v>-0.48864630902683381</v>
      </c>
      <c r="X4064" s="4">
        <f t="shared" si="388"/>
        <v>1.3448262183542581</v>
      </c>
      <c r="Y4064" s="3">
        <f t="shared" si="385"/>
        <v>213.40733489379363</v>
      </c>
      <c r="AA4064" s="3"/>
    </row>
    <row r="4065" spans="19:27" x14ac:dyDescent="0.25">
      <c r="S4065" s="4">
        <v>-3.7270465353531283E-2</v>
      </c>
      <c r="T4065" s="4">
        <v>-0.70305751474910694</v>
      </c>
      <c r="U4065" s="4">
        <f t="shared" si="386"/>
        <v>-0.58002898804988978</v>
      </c>
      <c r="W4065" s="4">
        <f t="shared" si="387"/>
        <v>-3.5061321989136793E-2</v>
      </c>
      <c r="X4065" s="4">
        <f t="shared" si="388"/>
        <v>-0.95685802085683314</v>
      </c>
      <c r="Y4065" s="3">
        <f t="shared" si="385"/>
        <v>-90.064032980382763</v>
      </c>
      <c r="AA4065" s="3"/>
    </row>
    <row r="4066" spans="19:27" x14ac:dyDescent="0.25">
      <c r="S4066" s="4">
        <v>0.7235611421871706</v>
      </c>
      <c r="T4066" s="4">
        <v>1.1827876530562234</v>
      </c>
      <c r="U4066" s="4">
        <f t="shared" si="386"/>
        <v>1.3786853489454185</v>
      </c>
      <c r="W4066" s="4">
        <f t="shared" si="387"/>
        <v>1.2586999138603403</v>
      </c>
      <c r="X4066" s="4">
        <f t="shared" si="388"/>
        <v>2.4965429429228307</v>
      </c>
      <c r="Y4066" s="3">
        <f t="shared" si="385"/>
        <v>52.014711598299527</v>
      </c>
      <c r="AA4066" s="3"/>
    </row>
    <row r="4067" spans="19:27" x14ac:dyDescent="0.25">
      <c r="S4067" s="4">
        <v>-1.4379537643459999</v>
      </c>
      <c r="T4067" s="4">
        <v>-2.0247904169239517</v>
      </c>
      <c r="U4067" s="4">
        <f t="shared" si="386"/>
        <v>-2.4816439016799037</v>
      </c>
      <c r="W4067" s="4">
        <f t="shared" si="387"/>
        <v>-2.4168626798425232</v>
      </c>
      <c r="X4067" s="4">
        <f t="shared" si="388"/>
        <v>-4.309587232785506</v>
      </c>
      <c r="Y4067" s="3">
        <f t="shared" si="385"/>
        <v>-28.360728349321107</v>
      </c>
      <c r="AA4067" s="3"/>
    </row>
    <row r="4068" spans="19:27" x14ac:dyDescent="0.25">
      <c r="S4068" s="4">
        <v>1.3514814288006587</v>
      </c>
      <c r="T4068" s="4">
        <v>-0.36962163971133533</v>
      </c>
      <c r="U4068" s="4">
        <f t="shared" si="386"/>
        <v>0.5308971092255268</v>
      </c>
      <c r="W4068" s="4">
        <f t="shared" si="387"/>
        <v>2.3264511980767559</v>
      </c>
      <c r="X4068" s="4">
        <f t="shared" si="388"/>
        <v>1.0018110829309612</v>
      </c>
      <c r="Y4068" s="3">
        <f t="shared" si="385"/>
        <v>-258.82254315747377</v>
      </c>
      <c r="AA4068" s="3"/>
    </row>
    <row r="4069" spans="19:27" x14ac:dyDescent="0.25">
      <c r="S4069" s="4">
        <v>-0.11207874458223852</v>
      </c>
      <c r="T4069" s="4">
        <v>3.5851501393936752E-2</v>
      </c>
      <c r="U4069" s="4">
        <f t="shared" si="386"/>
        <v>-3.9906504359847841E-2</v>
      </c>
      <c r="W4069" s="4">
        <f t="shared" si="387"/>
        <v>-0.16226956469023598</v>
      </c>
      <c r="X4069" s="4">
        <f t="shared" si="388"/>
        <v>-4.5703541439894996E-3</v>
      </c>
      <c r="Y4069" s="3">
        <f t="shared" si="385"/>
        <v>25.614860940334438</v>
      </c>
      <c r="AA4069" s="3"/>
    </row>
    <row r="4070" spans="19:27" x14ac:dyDescent="0.25">
      <c r="S4070" s="4">
        <v>0.877212652666429</v>
      </c>
      <c r="T4070" s="4">
        <v>0.2351369481924041</v>
      </c>
      <c r="U4070" s="4">
        <f t="shared" si="386"/>
        <v>0.72115958749535158</v>
      </c>
      <c r="W4070" s="4">
        <f t="shared" si="387"/>
        <v>1.5199776606279123</v>
      </c>
      <c r="X4070" s="4">
        <f t="shared" si="388"/>
        <v>1.337262053712156</v>
      </c>
      <c r="Y4070" s="3">
        <f t="shared" si="385"/>
        <v>-103.92806588257827</v>
      </c>
      <c r="AA4070" s="3"/>
    </row>
    <row r="4071" spans="19:27" x14ac:dyDescent="0.25">
      <c r="S4071" s="4">
        <v>-2.4093932225309822</v>
      </c>
      <c r="T4071" s="4">
        <v>1.7452054121920386</v>
      </c>
      <c r="U4071" s="4">
        <f t="shared" si="386"/>
        <v>-8.5409464827699066E-2</v>
      </c>
      <c r="W4071" s="4">
        <f t="shared" si="387"/>
        <v>-4.0687534550389444</v>
      </c>
      <c r="X4071" s="4">
        <f t="shared" si="388"/>
        <v>-8.479643130415368E-2</v>
      </c>
      <c r="Y4071" s="3">
        <f t="shared" si="385"/>
        <v>687.24111286934567</v>
      </c>
      <c r="AA4071" s="3"/>
    </row>
    <row r="4072" spans="19:27" x14ac:dyDescent="0.25">
      <c r="S4072" s="4">
        <v>-1.6100195581255763</v>
      </c>
      <c r="T4072" s="4">
        <v>1.6712892293068711</v>
      </c>
      <c r="U4072" s="4">
        <f t="shared" si="386"/>
        <v>0.34331378825812542</v>
      </c>
      <c r="W4072" s="4">
        <f t="shared" si="387"/>
        <v>-2.7094531187797979</v>
      </c>
      <c r="X4072" s="4">
        <f t="shared" si="388"/>
        <v>0.67108372305900177</v>
      </c>
      <c r="Y4072" s="3">
        <f t="shared" si="385"/>
        <v>520.5498657754888</v>
      </c>
      <c r="AA4072" s="3"/>
    </row>
    <row r="4073" spans="19:27" x14ac:dyDescent="0.25">
      <c r="S4073" s="4">
        <v>0.44017618317641577</v>
      </c>
      <c r="T4073" s="4">
        <v>-0.93127787620121538</v>
      </c>
      <c r="U4073" s="4">
        <f t="shared" si="386"/>
        <v>-0.46987531746913064</v>
      </c>
      <c r="W4073" s="4">
        <f t="shared" si="387"/>
        <v>0.77681604999721343</v>
      </c>
      <c r="X4073" s="4">
        <f t="shared" si="388"/>
        <v>-0.76264655011679316</v>
      </c>
      <c r="Y4073" s="3">
        <f t="shared" si="385"/>
        <v>-199.19627001869821</v>
      </c>
      <c r="AA4073" s="3"/>
    </row>
    <row r="4074" spans="19:27" x14ac:dyDescent="0.25">
      <c r="S4074" s="4">
        <v>0.71731601963390235</v>
      </c>
      <c r="T4074" s="4">
        <v>-2.1752512512372386E-2</v>
      </c>
      <c r="U4074" s="4">
        <f t="shared" si="386"/>
        <v>0.42004880715810988</v>
      </c>
      <c r="W4074" s="4">
        <f t="shared" si="387"/>
        <v>1.2480803531159275</v>
      </c>
      <c r="X4074" s="4">
        <f t="shared" si="388"/>
        <v>0.80637491035452413</v>
      </c>
      <c r="Y4074" s="3">
        <f t="shared" si="385"/>
        <v>-115.36840942832714</v>
      </c>
      <c r="AA4074" s="3"/>
    </row>
    <row r="4075" spans="19:27" x14ac:dyDescent="0.25">
      <c r="S4075" s="4">
        <v>-0.18308646433217374</v>
      </c>
      <c r="T4075" s="4">
        <v>-0.86803862376223484</v>
      </c>
      <c r="U4075" s="4">
        <f t="shared" si="386"/>
        <v>-0.79970088284296725</v>
      </c>
      <c r="W4075" s="4">
        <f t="shared" si="387"/>
        <v>-0.28301512040588089</v>
      </c>
      <c r="X4075" s="4">
        <f t="shared" si="388"/>
        <v>-1.3441606095321392</v>
      </c>
      <c r="Y4075" s="3">
        <f t="shared" si="385"/>
        <v>-88.855379841706508</v>
      </c>
      <c r="AA4075" s="3"/>
    </row>
    <row r="4076" spans="19:27" x14ac:dyDescent="0.25">
      <c r="S4076" s="4">
        <v>9.1355810317262517E-2</v>
      </c>
      <c r="T4076" s="4">
        <v>-0.39742209569533227</v>
      </c>
      <c r="U4076" s="4">
        <f t="shared" si="386"/>
        <v>-0.25934078312116354</v>
      </c>
      <c r="W4076" s="4">
        <f t="shared" si="387"/>
        <v>0.18366209555192436</v>
      </c>
      <c r="X4076" s="4">
        <f t="shared" si="388"/>
        <v>-0.39145400299861999</v>
      </c>
      <c r="Y4076" s="3">
        <f t="shared" si="385"/>
        <v>-68.490200447778534</v>
      </c>
      <c r="AA4076" s="3"/>
    </row>
    <row r="4077" spans="19:27" x14ac:dyDescent="0.25">
      <c r="S4077" s="4">
        <v>1.0458676036271159</v>
      </c>
      <c r="T4077" s="4">
        <v>0.23384968809444828</v>
      </c>
      <c r="U4077" s="4">
        <f t="shared" si="386"/>
        <v>0.82295500779954445</v>
      </c>
      <c r="W4077" s="4">
        <f t="shared" si="387"/>
        <v>1.8067681089011307</v>
      </c>
      <c r="X4077" s="4">
        <f t="shared" si="388"/>
        <v>1.5167371287382179</v>
      </c>
      <c r="Y4077" s="3">
        <f t="shared" si="385"/>
        <v>-129.50664068892411</v>
      </c>
      <c r="AA4077" s="3"/>
    </row>
    <row r="4078" spans="19:27" x14ac:dyDescent="0.25">
      <c r="S4078" s="4">
        <v>-9.7177395174818409E-2</v>
      </c>
      <c r="T4078" s="4">
        <v>-0.42633593175635487</v>
      </c>
      <c r="U4078" s="4">
        <f t="shared" si="386"/>
        <v>-0.39719459879684482</v>
      </c>
      <c r="W4078" s="4">
        <f t="shared" si="387"/>
        <v>-0.13693046463958861</v>
      </c>
      <c r="X4078" s="4">
        <f t="shared" si="388"/>
        <v>-0.63450348240631693</v>
      </c>
      <c r="Y4078" s="3">
        <f t="shared" si="385"/>
        <v>-41.458677174456625</v>
      </c>
      <c r="AA4078" s="3"/>
    </row>
    <row r="4079" spans="19:27" x14ac:dyDescent="0.25">
      <c r="S4079" s="4">
        <v>1.9121093199491774</v>
      </c>
      <c r="T4079" s="4">
        <v>0.31135749233000737</v>
      </c>
      <c r="U4079" s="4">
        <f t="shared" si="386"/>
        <v>1.412475103350554</v>
      </c>
      <c r="W4079" s="4">
        <f t="shared" si="387"/>
        <v>3.279774674803098</v>
      </c>
      <c r="X4079" s="4">
        <f t="shared" si="388"/>
        <v>2.5561175160112048</v>
      </c>
      <c r="Y4079" s="3">
        <f t="shared" si="385"/>
        <v>-242.67733703307158</v>
      </c>
      <c r="AA4079" s="3"/>
    </row>
    <row r="4080" spans="19:27" x14ac:dyDescent="0.25">
      <c r="S4080" s="4">
        <v>0.22360761960269304</v>
      </c>
      <c r="T4080" s="4">
        <v>-0.21657420149222953</v>
      </c>
      <c r="U4080" s="4">
        <f t="shared" si="386"/>
        <v>-3.5360447020952979E-2</v>
      </c>
      <c r="W4080" s="4">
        <f t="shared" si="387"/>
        <v>0.40855057616791213</v>
      </c>
      <c r="X4080" s="4">
        <f t="shared" si="388"/>
        <v>3.4447803240718958E-3</v>
      </c>
      <c r="Y4080" s="3">
        <f t="shared" si="385"/>
        <v>-64.695342479994906</v>
      </c>
      <c r="AA4080" s="3"/>
    </row>
    <row r="4081" spans="19:27" x14ac:dyDescent="0.25">
      <c r="S4081" s="4">
        <v>8.9310221317894511E-2</v>
      </c>
      <c r="T4081" s="4">
        <v>0.42708413347057905</v>
      </c>
      <c r="U4081" s="4">
        <f t="shared" si="386"/>
        <v>0.39299168760985836</v>
      </c>
      <c r="W4081" s="4">
        <f t="shared" si="387"/>
        <v>0.18018365994852328</v>
      </c>
      <c r="X4081" s="4">
        <f t="shared" si="388"/>
        <v>0.75867061730872443</v>
      </c>
      <c r="Y4081" s="3">
        <f t="shared" si="385"/>
        <v>47.076415037958213</v>
      </c>
      <c r="AA4081" s="3"/>
    </row>
    <row r="4082" spans="19:27" x14ac:dyDescent="0.25">
      <c r="S4082" s="4">
        <v>0.80793964085238412</v>
      </c>
      <c r="T4082" s="4">
        <v>-0.2930743178845937</v>
      </c>
      <c r="U4082" s="4">
        <f t="shared" si="386"/>
        <v>0.26022035895094819</v>
      </c>
      <c r="W4082" s="4">
        <f t="shared" si="387"/>
        <v>1.4021819007156118</v>
      </c>
      <c r="X4082" s="4">
        <f t="shared" si="388"/>
        <v>0.52458204926548901</v>
      </c>
      <c r="Y4082" s="3">
        <f t="shared" si="385"/>
        <v>-167.19831582192319</v>
      </c>
      <c r="AA4082" s="3"/>
    </row>
    <row r="4083" spans="19:27" x14ac:dyDescent="0.25">
      <c r="S4083" s="4">
        <v>-4.6315159574883837E-2</v>
      </c>
      <c r="T4083" s="4">
        <v>-1.203425542094503</v>
      </c>
      <c r="U4083" s="4">
        <f t="shared" si="386"/>
        <v>-0.98218057726043295</v>
      </c>
      <c r="W4083" s="4">
        <f t="shared" si="387"/>
        <v>-5.0441433248607184E-2</v>
      </c>
      <c r="X4083" s="4">
        <f t="shared" si="388"/>
        <v>-1.665889787018118</v>
      </c>
      <c r="Y4083" s="3">
        <f t="shared" si="385"/>
        <v>-158.49913979967778</v>
      </c>
      <c r="AA4083" s="3"/>
    </row>
    <row r="4084" spans="19:27" x14ac:dyDescent="0.25">
      <c r="S4084" s="4">
        <v>-0.44030627274039458</v>
      </c>
      <c r="T4084" s="4">
        <v>0.77399556496853283</v>
      </c>
      <c r="U4084" s="4">
        <f t="shared" si="386"/>
        <v>0.34511957913384622</v>
      </c>
      <c r="W4084" s="4">
        <f t="shared" si="387"/>
        <v>-0.72040627754623787</v>
      </c>
      <c r="X4084" s="4">
        <f t="shared" si="388"/>
        <v>0.67426750531495083</v>
      </c>
      <c r="Y4084" s="3">
        <f t="shared" si="385"/>
        <v>184.21912003556645</v>
      </c>
      <c r="AA4084" s="3"/>
    </row>
    <row r="4085" spans="19:27" x14ac:dyDescent="0.25">
      <c r="S4085" s="4">
        <v>0.75614465297976607</v>
      </c>
      <c r="T4085" s="4">
        <v>-0.67153468994456167</v>
      </c>
      <c r="U4085" s="4">
        <f t="shared" si="386"/>
        <v>-7.1357537715266817E-2</v>
      </c>
      <c r="W4085" s="4">
        <f t="shared" si="387"/>
        <v>1.3141067644348126</v>
      </c>
      <c r="X4085" s="4">
        <f t="shared" si="388"/>
        <v>-6.0021538040506028E-2</v>
      </c>
      <c r="Y4085" s="3">
        <f t="shared" si="385"/>
        <v>-212.15610902652088</v>
      </c>
      <c r="AA4085" s="3"/>
    </row>
    <row r="4086" spans="19:27" x14ac:dyDescent="0.25">
      <c r="S4086" s="4">
        <v>-0.67163028794674373</v>
      </c>
      <c r="T4086" s="4">
        <v>0.27018666981277928</v>
      </c>
      <c r="U4086" s="4">
        <f t="shared" si="386"/>
        <v>-0.19526599206422687</v>
      </c>
      <c r="W4086" s="4">
        <f t="shared" si="387"/>
        <v>-1.1137627585715337</v>
      </c>
      <c r="X4086" s="4">
        <f t="shared" si="388"/>
        <v>-0.27848400987065536</v>
      </c>
      <c r="Y4086" s="3">
        <f t="shared" si="385"/>
        <v>153.85877495827754</v>
      </c>
      <c r="AA4086" s="3"/>
    </row>
    <row r="4087" spans="19:27" x14ac:dyDescent="0.25">
      <c r="S4087" s="4">
        <v>-0.55270247578039977</v>
      </c>
      <c r="T4087" s="4">
        <v>0.78844436604514045</v>
      </c>
      <c r="U4087" s="4">
        <f t="shared" si="386"/>
        <v>0.2880537952897515</v>
      </c>
      <c r="W4087" s="4">
        <f t="shared" si="387"/>
        <v>-0.91153115867447976</v>
      </c>
      <c r="X4087" s="4">
        <f t="shared" si="388"/>
        <v>0.57365506316151871</v>
      </c>
      <c r="Y4087" s="3">
        <f t="shared" si="385"/>
        <v>205.59742888250821</v>
      </c>
      <c r="AA4087" s="3"/>
    </row>
    <row r="4088" spans="19:27" x14ac:dyDescent="0.25">
      <c r="S4088" s="4">
        <v>-1.2380273106879283</v>
      </c>
      <c r="T4088" s="4">
        <v>1.9049039809229358</v>
      </c>
      <c r="U4088" s="4">
        <f t="shared" si="386"/>
        <v>0.75527311124517593</v>
      </c>
      <c r="W4088" s="4">
        <f t="shared" si="387"/>
        <v>-2.0768963940046512</v>
      </c>
      <c r="X4088" s="4">
        <f t="shared" si="388"/>
        <v>1.3974074631628688</v>
      </c>
      <c r="Y4088" s="3">
        <f t="shared" si="385"/>
        <v>483.83924042238505</v>
      </c>
      <c r="AA4088" s="3"/>
    </row>
    <row r="4089" spans="19:27" x14ac:dyDescent="0.25">
      <c r="S4089" s="4">
        <v>0.55201796398195691</v>
      </c>
      <c r="T4089" s="4">
        <v>0.13225016244534882</v>
      </c>
      <c r="U4089" s="4">
        <f t="shared" si="386"/>
        <v>0.44135611566108873</v>
      </c>
      <c r="W4089" s="4">
        <f t="shared" si="387"/>
        <v>0.96699816009947082</v>
      </c>
      <c r="X4089" s="4">
        <f t="shared" si="388"/>
        <v>0.84394173586345178</v>
      </c>
      <c r="Y4089" s="3">
        <f t="shared" si="385"/>
        <v>-68.162998405121471</v>
      </c>
      <c r="AA4089" s="3"/>
    </row>
    <row r="4090" spans="19:27" x14ac:dyDescent="0.25">
      <c r="S4090" s="4">
        <v>-0.51265349944786731</v>
      </c>
      <c r="T4090" s="4">
        <v>1.1189207598330912</v>
      </c>
      <c r="U4090" s="4">
        <f t="shared" si="386"/>
        <v>0.57443454463263932</v>
      </c>
      <c r="W4090" s="4">
        <f t="shared" si="387"/>
        <v>-0.84342960689751612</v>
      </c>
      <c r="X4090" s="4">
        <f t="shared" si="388"/>
        <v>1.0785717511691177</v>
      </c>
      <c r="Y4090" s="3">
        <f t="shared" si="385"/>
        <v>244.86462010505147</v>
      </c>
      <c r="AA4090" s="3"/>
    </row>
    <row r="4091" spans="19:27" x14ac:dyDescent="0.25">
      <c r="S4091" s="4">
        <v>-0.73731599336068554</v>
      </c>
      <c r="T4091" s="4">
        <v>-1.5320599770271988</v>
      </c>
      <c r="U4091" s="4">
        <f t="shared" si="386"/>
        <v>-1.6639359967653409</v>
      </c>
      <c r="W4091" s="4">
        <f t="shared" si="387"/>
        <v>-1.2254584591335531</v>
      </c>
      <c r="X4091" s="4">
        <f t="shared" si="388"/>
        <v>-2.8678898838734352</v>
      </c>
      <c r="Y4091" s="3">
        <f t="shared" si="385"/>
        <v>-86.500683754608417</v>
      </c>
      <c r="AA4091" s="3"/>
    </row>
    <row r="4092" spans="19:27" x14ac:dyDescent="0.25">
      <c r="S4092" s="4">
        <v>2.0221711666083251</v>
      </c>
      <c r="T4092" s="4">
        <v>-0.82659847712126733</v>
      </c>
      <c r="U4092" s="4">
        <f t="shared" si="386"/>
        <v>0.57752264586887614</v>
      </c>
      <c r="W4092" s="4">
        <f t="shared" si="387"/>
        <v>3.4669300838874886</v>
      </c>
      <c r="X4092" s="4">
        <f t="shared" si="388"/>
        <v>1.0840163693985574</v>
      </c>
      <c r="Y4092" s="3">
        <f t="shared" si="385"/>
        <v>-416.70896987262222</v>
      </c>
      <c r="AA4092" s="3"/>
    </row>
    <row r="4093" spans="19:27" x14ac:dyDescent="0.25">
      <c r="S4093" s="4">
        <v>-0.94923391525666845</v>
      </c>
      <c r="T4093" s="4">
        <v>1.6192188309825191</v>
      </c>
      <c r="U4093" s="4">
        <f t="shared" si="386"/>
        <v>0.70486767032854436</v>
      </c>
      <c r="W4093" s="4">
        <f t="shared" si="387"/>
        <v>-1.5858157179717154</v>
      </c>
      <c r="X4093" s="4">
        <f t="shared" si="388"/>
        <v>1.3085378434569854</v>
      </c>
      <c r="Y4093" s="3">
        <f t="shared" si="385"/>
        <v>391.53819166628091</v>
      </c>
      <c r="AA4093" s="3"/>
    </row>
    <row r="4094" spans="19:27" x14ac:dyDescent="0.25">
      <c r="S4094" s="4">
        <v>1.0035960231825827</v>
      </c>
      <c r="T4094" s="4">
        <v>7.2300054831996613E-2</v>
      </c>
      <c r="U4094" s="4">
        <f t="shared" si="386"/>
        <v>0.66912620425347225</v>
      </c>
      <c r="W4094" s="4">
        <f t="shared" si="387"/>
        <v>1.7348871149792211</v>
      </c>
      <c r="X4094" s="4">
        <f t="shared" si="388"/>
        <v>1.2455222157775072</v>
      </c>
      <c r="Y4094" s="3">
        <f t="shared" si="385"/>
        <v>-145.75757630116686</v>
      </c>
      <c r="AA4094" s="3"/>
    </row>
    <row r="4095" spans="19:27" x14ac:dyDescent="0.25">
      <c r="S4095" s="4">
        <v>-1.1072532452747255</v>
      </c>
      <c r="T4095" s="4">
        <v>-1.9564019227924128</v>
      </c>
      <c r="U4095" s="4">
        <f t="shared" si="386"/>
        <v>-2.2258304732272425</v>
      </c>
      <c r="W4095" s="4">
        <f t="shared" si="387"/>
        <v>-1.8545207529177445</v>
      </c>
      <c r="X4095" s="4">
        <f t="shared" si="388"/>
        <v>-3.8585636589644321</v>
      </c>
      <c r="Y4095" s="3">
        <f t="shared" si="385"/>
        <v>-79.689122872533517</v>
      </c>
      <c r="AA4095" s="3"/>
    </row>
    <row r="4096" spans="19:27" x14ac:dyDescent="0.25">
      <c r="S4096" s="4">
        <v>0.53351825041096035</v>
      </c>
      <c r="T4096" s="4">
        <v>-2.3662171528179643</v>
      </c>
      <c r="U4096" s="4">
        <f t="shared" si="386"/>
        <v>-1.5504368228857113</v>
      </c>
      <c r="W4096" s="4">
        <f t="shared" si="387"/>
        <v>0.93554019745010297</v>
      </c>
      <c r="X4096" s="4">
        <f t="shared" si="388"/>
        <v>-2.6677799704159284</v>
      </c>
      <c r="Y4096" s="3">
        <f t="shared" si="385"/>
        <v>-414.44753187068136</v>
      </c>
      <c r="AA4096" s="3"/>
    </row>
    <row r="4097" spans="19:27" x14ac:dyDescent="0.25">
      <c r="S4097" s="4">
        <v>1.1862017761835801</v>
      </c>
      <c r="T4097" s="4">
        <v>0.53575202213744566</v>
      </c>
      <c r="U4097" s="4">
        <f t="shared" si="386"/>
        <v>1.1478214212005853</v>
      </c>
      <c r="W4097" s="4">
        <f t="shared" si="387"/>
        <v>2.0454002986249944</v>
      </c>
      <c r="X4097" s="4">
        <f t="shared" si="388"/>
        <v>2.0895077282835275</v>
      </c>
      <c r="Y4097" s="3">
        <f t="shared" si="385"/>
        <v>-108.13239780813774</v>
      </c>
      <c r="AA4097" s="3"/>
    </row>
    <row r="4098" spans="19:27" x14ac:dyDescent="0.25">
      <c r="S4098" s="4">
        <v>0.21817164430963359</v>
      </c>
      <c r="T4098" s="4">
        <v>-0.73184429273010698</v>
      </c>
      <c r="U4098" s="4">
        <f t="shared" si="386"/>
        <v>-0.44712482776890178</v>
      </c>
      <c r="W4098" s="4">
        <f t="shared" si="387"/>
        <v>0.39930693533662664</v>
      </c>
      <c r="X4098" s="4">
        <f t="shared" si="388"/>
        <v>-0.72253525794248263</v>
      </c>
      <c r="Y4098" s="3">
        <f t="shared" ref="Y4098:Y4161" si="389">(B$4*EXP(-B$8*B$7)*NORMSDIST((LN(B$4/(B$5+W4098))-B$8*B$7+B$9*B$7+0.5*B$6*B$6*B$7)/(B$6*SQRT(B$7)))-(B$5+W4098)*EXP(-B$9*B$7)*NORMSDIST((LN(B$4/(B$5+W4098))-B$8*B$7+B$9*B$7-0.5*B$6*B$6*B$7)/(B$6*SQRT(B$7))))*400+100*X4098-400*$B$13</f>
        <v>-135.83129146128522</v>
      </c>
      <c r="AA4098" s="3"/>
    </row>
    <row r="4099" spans="19:27" x14ac:dyDescent="0.25">
      <c r="S4099" s="4">
        <v>-1.0813760609842806</v>
      </c>
      <c r="T4099" s="4">
        <v>-0.48144208456229404</v>
      </c>
      <c r="U4099" s="4">
        <f t="shared" ref="U4099:U4162" si="390">$B$19*S4099+SQRT(1-$B$19^2)*T4099</f>
        <v>-1.040866272294185</v>
      </c>
      <c r="W4099" s="4">
        <f t="shared" ref="W4099:W4162" si="391">S4099*SQRT($B$16)+$B$20</f>
        <v>-1.810517720451563</v>
      </c>
      <c r="X4099" s="4">
        <f t="shared" ref="X4099:X4162" si="392">U4099*SQRT($C$17)+$C$20</f>
        <v>-1.7693582877391216</v>
      </c>
      <c r="Y4099" s="3">
        <f t="shared" si="389"/>
        <v>121.75689919795877</v>
      </c>
      <c r="AA4099" s="3"/>
    </row>
    <row r="4100" spans="19:27" x14ac:dyDescent="0.25">
      <c r="S4100" s="4">
        <v>-0.52622208794782421</v>
      </c>
      <c r="T4100" s="4">
        <v>5.8595936443800824E-2</v>
      </c>
      <c r="U4100" s="4">
        <f t="shared" si="390"/>
        <v>-0.27434819464166893</v>
      </c>
      <c r="W4100" s="4">
        <f t="shared" si="391"/>
        <v>-0.86650240467885453</v>
      </c>
      <c r="X4100" s="4">
        <f t="shared" si="392"/>
        <v>-0.41791350678121542</v>
      </c>
      <c r="Y4100" s="3">
        <f t="shared" si="389"/>
        <v>99.016222385867877</v>
      </c>
      <c r="AA4100" s="3"/>
    </row>
    <row r="4101" spans="19:27" x14ac:dyDescent="0.25">
      <c r="S4101" s="4">
        <v>-0.21324993767942507</v>
      </c>
      <c r="T4101" s="4">
        <v>-1.5680555834586074</v>
      </c>
      <c r="U4101" s="4">
        <f t="shared" si="390"/>
        <v>-1.372987066272217</v>
      </c>
      <c r="W4101" s="4">
        <f t="shared" si="391"/>
        <v>-0.33430680199281471</v>
      </c>
      <c r="X4101" s="4">
        <f t="shared" si="392"/>
        <v>-2.3549190549995651</v>
      </c>
      <c r="Y4101" s="3">
        <f t="shared" si="389"/>
        <v>-181.62964520811693</v>
      </c>
      <c r="AA4101" s="3"/>
    </row>
    <row r="4102" spans="19:27" x14ac:dyDescent="0.25">
      <c r="S4102" s="4">
        <v>0.41797672457150808</v>
      </c>
      <c r="T4102" s="4">
        <v>-0.52893438427833817</v>
      </c>
      <c r="U4102" s="4">
        <f t="shared" si="390"/>
        <v>-0.16447412782613341</v>
      </c>
      <c r="W4102" s="4">
        <f t="shared" si="391"/>
        <v>0.73906683096475068</v>
      </c>
      <c r="X4102" s="4">
        <f t="shared" si="392"/>
        <v>-0.22419500425714348</v>
      </c>
      <c r="Y4102" s="3">
        <f t="shared" si="389"/>
        <v>-139.44880448178083</v>
      </c>
      <c r="AA4102" s="3"/>
    </row>
    <row r="4103" spans="19:27" x14ac:dyDescent="0.25">
      <c r="S4103" s="4">
        <v>-1.3824948208793433</v>
      </c>
      <c r="T4103" s="4">
        <v>-0.38214503729097415</v>
      </c>
      <c r="U4103" s="4">
        <f t="shared" si="390"/>
        <v>-1.1457230099675242</v>
      </c>
      <c r="W4103" s="4">
        <f t="shared" si="391"/>
        <v>-2.3225571455729188</v>
      </c>
      <c r="X4103" s="4">
        <f t="shared" si="392"/>
        <v>-1.9542307584718295</v>
      </c>
      <c r="Y4103" s="3">
        <f t="shared" si="389"/>
        <v>190.88535277176015</v>
      </c>
      <c r="AA4103" s="3"/>
    </row>
    <row r="4104" spans="19:27" x14ac:dyDescent="0.25">
      <c r="S4104" s="4">
        <v>0.56391257398928074</v>
      </c>
      <c r="T4104" s="4">
        <v>-1.2148402056005139</v>
      </c>
      <c r="U4104" s="4">
        <f t="shared" si="390"/>
        <v>-0.61922044822820643</v>
      </c>
      <c r="W4104" s="4">
        <f t="shared" si="391"/>
        <v>0.98722442986863201</v>
      </c>
      <c r="X4104" s="4">
        <f t="shared" si="392"/>
        <v>-1.0259563185490583</v>
      </c>
      <c r="Y4104" s="3">
        <f t="shared" si="389"/>
        <v>-258.29270884791367</v>
      </c>
      <c r="AA4104" s="3"/>
    </row>
    <row r="4105" spans="19:27" x14ac:dyDescent="0.25">
      <c r="S4105" s="4">
        <v>0.52906489993636696</v>
      </c>
      <c r="T4105" s="4">
        <v>0.11364915051302346</v>
      </c>
      <c r="U4105" s="4">
        <f t="shared" si="390"/>
        <v>0.41261854199054443</v>
      </c>
      <c r="W4105" s="4">
        <f t="shared" si="391"/>
        <v>0.92796746761530502</v>
      </c>
      <c r="X4105" s="4">
        <f t="shared" si="392"/>
        <v>0.79327464126159897</v>
      </c>
      <c r="Y4105" s="3">
        <f t="shared" si="389"/>
        <v>-67.164740297787375</v>
      </c>
      <c r="AA4105" s="3"/>
    </row>
    <row r="4106" spans="19:27" x14ac:dyDescent="0.25">
      <c r="S4106" s="4">
        <v>-0.78434092569465241</v>
      </c>
      <c r="T4106" s="4">
        <v>-1.0919602465823255</v>
      </c>
      <c r="U4106" s="4">
        <f t="shared" si="390"/>
        <v>-1.3437399008683322</v>
      </c>
      <c r="W4106" s="4">
        <f t="shared" si="391"/>
        <v>-1.3054223223184516</v>
      </c>
      <c r="X4106" s="4">
        <f t="shared" si="392"/>
        <v>-2.3033535013678201</v>
      </c>
      <c r="Y4106" s="3">
        <f t="shared" si="389"/>
        <v>-16.704276837090219</v>
      </c>
      <c r="AA4106" s="3"/>
    </row>
    <row r="4107" spans="19:27" x14ac:dyDescent="0.25">
      <c r="S4107" s="4">
        <v>-0.44702919302169447</v>
      </c>
      <c r="T4107" s="4">
        <v>1.04583992110535</v>
      </c>
      <c r="U4107" s="4">
        <f t="shared" si="390"/>
        <v>0.55650998843302268</v>
      </c>
      <c r="W4107" s="4">
        <f t="shared" si="391"/>
        <v>-0.73183831265814236</v>
      </c>
      <c r="X4107" s="4">
        <f t="shared" si="392"/>
        <v>1.0469690419399427</v>
      </c>
      <c r="Y4107" s="3">
        <f t="shared" si="389"/>
        <v>223.36443603878433</v>
      </c>
      <c r="AA4107" s="3"/>
    </row>
    <row r="4108" spans="19:27" x14ac:dyDescent="0.25">
      <c r="S4108" s="4">
        <v>-1.2738374596763298</v>
      </c>
      <c r="T4108" s="4">
        <v>-2.3241345241246067</v>
      </c>
      <c r="U4108" s="4">
        <f t="shared" si="390"/>
        <v>-2.6188826253089763</v>
      </c>
      <c r="W4108" s="4">
        <f t="shared" si="391"/>
        <v>-2.137790003250124</v>
      </c>
      <c r="X4108" s="4">
        <f t="shared" si="392"/>
        <v>-4.5515522460071693</v>
      </c>
      <c r="Y4108" s="3">
        <f t="shared" si="389"/>
        <v>-100.62393489731767</v>
      </c>
      <c r="AA4108" s="3"/>
    </row>
    <row r="4109" spans="19:27" x14ac:dyDescent="0.25">
      <c r="S4109" s="4">
        <v>-0.61200980918846015</v>
      </c>
      <c r="T4109" s="4">
        <v>-0.63158235917127048</v>
      </c>
      <c r="U4109" s="4">
        <f t="shared" si="390"/>
        <v>-0.87374513017250266</v>
      </c>
      <c r="W4109" s="4">
        <f t="shared" si="391"/>
        <v>-1.0123807135621485</v>
      </c>
      <c r="X4109" s="4">
        <f t="shared" si="392"/>
        <v>-1.4747077088515894</v>
      </c>
      <c r="Y4109" s="3">
        <f t="shared" si="389"/>
        <v>17.427846326233066</v>
      </c>
      <c r="AA4109" s="3"/>
    </row>
    <row r="4110" spans="19:27" x14ac:dyDescent="0.25">
      <c r="S4110" s="4">
        <v>1.3838495773490846</v>
      </c>
      <c r="T4110" s="4">
        <v>-2.6445948511828504E-3</v>
      </c>
      <c r="U4110" s="4">
        <f t="shared" si="390"/>
        <v>0.84152922936875973</v>
      </c>
      <c r="W4110" s="4">
        <f t="shared" si="391"/>
        <v>2.3814918344713618</v>
      </c>
      <c r="X4110" s="4">
        <f t="shared" si="392"/>
        <v>1.5494852602329732</v>
      </c>
      <c r="Y4110" s="3">
        <f t="shared" si="389"/>
        <v>-212.21879505201969</v>
      </c>
      <c r="AA4110" s="3"/>
    </row>
    <row r="4111" spans="19:27" x14ac:dyDescent="0.25">
      <c r="S4111" s="4">
        <v>-0.12452184311576732</v>
      </c>
      <c r="T4111" s="4">
        <v>-1.0453094680009234</v>
      </c>
      <c r="U4111" s="4">
        <f t="shared" si="390"/>
        <v>-0.90451976648293275</v>
      </c>
      <c r="W4111" s="4">
        <f t="shared" si="391"/>
        <v>-0.18342851547117317</v>
      </c>
      <c r="X4111" s="4">
        <f t="shared" si="392"/>
        <v>-1.5289663399786984</v>
      </c>
      <c r="Y4111" s="3">
        <f t="shared" si="389"/>
        <v>-123.4150700765158</v>
      </c>
      <c r="AA4111" s="3"/>
    </row>
    <row r="4112" spans="19:27" x14ac:dyDescent="0.25">
      <c r="S4112" s="4">
        <v>-0.20757608748748141</v>
      </c>
      <c r="T4112" s="4">
        <v>-7.1145182985621766E-2</v>
      </c>
      <c r="U4112" s="4">
        <f t="shared" si="390"/>
        <v>-0.18293923307827009</v>
      </c>
      <c r="W4112" s="4">
        <f t="shared" si="391"/>
        <v>-0.32465866518619402</v>
      </c>
      <c r="X4112" s="4">
        <f t="shared" si="392"/>
        <v>-0.2567507532347314</v>
      </c>
      <c r="Y4112" s="3">
        <f t="shared" si="389"/>
        <v>26.624586121412449</v>
      </c>
      <c r="AA4112" s="3"/>
    </row>
    <row r="4113" spans="19:27" x14ac:dyDescent="0.25">
      <c r="S4113" s="4">
        <v>6.6720499778088624E-2</v>
      </c>
      <c r="T4113" s="4">
        <v>0.32359707561731754</v>
      </c>
      <c r="U4113" s="4">
        <f t="shared" si="390"/>
        <v>0.29718712451680634</v>
      </c>
      <c r="W4113" s="4">
        <f t="shared" si="391"/>
        <v>0.14177081567762945</v>
      </c>
      <c r="X4113" s="4">
        <f t="shared" si="392"/>
        <v>0.58975799729514666</v>
      </c>
      <c r="Y4113" s="3">
        <f t="shared" si="389"/>
        <v>36.308894852199955</v>
      </c>
      <c r="AA4113" s="3"/>
    </row>
    <row r="4114" spans="19:27" x14ac:dyDescent="0.25">
      <c r="S4114" s="4">
        <v>0.67224320767032975</v>
      </c>
      <c r="T4114" s="4">
        <v>-0.47457112680496255</v>
      </c>
      <c r="U4114" s="4">
        <f t="shared" si="390"/>
        <v>3.3625713750063624E-2</v>
      </c>
      <c r="W4114" s="4">
        <f t="shared" si="391"/>
        <v>1.1714359861742147</v>
      </c>
      <c r="X4114" s="4">
        <f t="shared" si="392"/>
        <v>0.12507398862381094</v>
      </c>
      <c r="Y4114" s="3">
        <f t="shared" si="389"/>
        <v>-171.69082015056892</v>
      </c>
      <c r="AA4114" s="3"/>
    </row>
    <row r="4115" spans="19:27" x14ac:dyDescent="0.25">
      <c r="S4115" s="4">
        <v>1.2814009374617119</v>
      </c>
      <c r="T4115" s="4">
        <v>3.0408535913770502</v>
      </c>
      <c r="U4115" s="4">
        <f t="shared" si="390"/>
        <v>3.1916309745550984</v>
      </c>
      <c r="W4115" s="4">
        <f t="shared" si="391"/>
        <v>2.2072823541630733</v>
      </c>
      <c r="X4115" s="4">
        <f t="shared" si="392"/>
        <v>5.6929397081421946</v>
      </c>
      <c r="Y4115" s="3">
        <f t="shared" si="389"/>
        <v>228.01708614133713</v>
      </c>
      <c r="AA4115" s="3"/>
    </row>
    <row r="4116" spans="19:27" x14ac:dyDescent="0.25">
      <c r="S4116" s="4">
        <v>9.6210256308325068E-2</v>
      </c>
      <c r="T4116" s="4">
        <v>-5.7271052097808209E-2</v>
      </c>
      <c r="U4116" s="4">
        <f t="shared" si="390"/>
        <v>1.3253612960455352E-2</v>
      </c>
      <c r="W4116" s="4">
        <f t="shared" si="391"/>
        <v>0.19191687096150886</v>
      </c>
      <c r="X4116" s="4">
        <f t="shared" si="392"/>
        <v>8.9156023879154972E-2</v>
      </c>
      <c r="Y4116" s="3">
        <f t="shared" si="389"/>
        <v>-21.744025592446178</v>
      </c>
      <c r="AA4116" s="3"/>
    </row>
    <row r="4117" spans="19:27" x14ac:dyDescent="0.25">
      <c r="S4117" s="4">
        <v>0.49391574368966107</v>
      </c>
      <c r="T4117" s="4">
        <v>-1.8804582526276052</v>
      </c>
      <c r="U4117" s="4">
        <f t="shared" si="390"/>
        <v>-1.1895221912784886</v>
      </c>
      <c r="W4117" s="4">
        <f t="shared" si="391"/>
        <v>0.8681978479332364</v>
      </c>
      <c r="X4117" s="4">
        <f t="shared" si="392"/>
        <v>-2.0314529098060943</v>
      </c>
      <c r="Y4117" s="3">
        <f t="shared" si="389"/>
        <v>-340.33487953191479</v>
      </c>
      <c r="AA4117" s="3"/>
    </row>
    <row r="4118" spans="19:27" x14ac:dyDescent="0.25">
      <c r="S4118" s="4">
        <v>0.18469982825333831</v>
      </c>
      <c r="T4118" s="4">
        <v>1.8178750078702017</v>
      </c>
      <c r="U4118" s="4">
        <f t="shared" si="390"/>
        <v>1.5536121464674144</v>
      </c>
      <c r="W4118" s="4">
        <f t="shared" si="391"/>
        <v>0.34238956008838245</v>
      </c>
      <c r="X4118" s="4">
        <f t="shared" si="392"/>
        <v>2.8049556398350495</v>
      </c>
      <c r="Y4118" s="3">
        <f t="shared" si="389"/>
        <v>225.93002091315429</v>
      </c>
      <c r="AA4118" s="3"/>
    </row>
    <row r="4119" spans="19:27" x14ac:dyDescent="0.25">
      <c r="S4119" s="4">
        <v>-1.5122365257203159</v>
      </c>
      <c r="T4119" s="4">
        <v>0.54990506526118399</v>
      </c>
      <c r="U4119" s="4">
        <f t="shared" si="390"/>
        <v>-0.48598777047139147</v>
      </c>
      <c r="W4119" s="4">
        <f t="shared" si="391"/>
        <v>-2.5431773021655788</v>
      </c>
      <c r="X4119" s="4">
        <f t="shared" si="392"/>
        <v>-0.79105434786244033</v>
      </c>
      <c r="Y4119" s="3">
        <f t="shared" si="389"/>
        <v>345.38585051772588</v>
      </c>
      <c r="AA4119" s="3"/>
    </row>
    <row r="4120" spans="19:27" x14ac:dyDescent="0.25">
      <c r="S4120" s="4">
        <v>0.10377713436117064</v>
      </c>
      <c r="T4120" s="4">
        <v>-0.70899865628320891</v>
      </c>
      <c r="U4120" s="4">
        <f t="shared" si="390"/>
        <v>-0.4987527197079426</v>
      </c>
      <c r="W4120" s="4">
        <f t="shared" si="391"/>
        <v>0.20478401975520308</v>
      </c>
      <c r="X4120" s="4">
        <f t="shared" si="392"/>
        <v>-0.81356017587599705</v>
      </c>
      <c r="Y4120" s="3">
        <f t="shared" si="389"/>
        <v>-114.06443584470662</v>
      </c>
      <c r="AA4120" s="3"/>
    </row>
    <row r="4121" spans="19:27" x14ac:dyDescent="0.25">
      <c r="S4121" s="4">
        <v>0.59034126097208162</v>
      </c>
      <c r="T4121" s="4">
        <v>-0.41879873972830989</v>
      </c>
      <c r="U4121" s="4">
        <f t="shared" si="390"/>
        <v>2.7906785771480591E-2</v>
      </c>
      <c r="W4121" s="4">
        <f t="shared" si="391"/>
        <v>1.0321652688057397</v>
      </c>
      <c r="X4121" s="4">
        <f t="shared" si="392"/>
        <v>0.1149909708912091</v>
      </c>
      <c r="Y4121" s="3">
        <f t="shared" si="389"/>
        <v>-151.16710309420023</v>
      </c>
      <c r="AA4121" s="3"/>
    </row>
    <row r="4122" spans="19:27" x14ac:dyDescent="0.25">
      <c r="S4122" s="4">
        <v>0.5241965615526909</v>
      </c>
      <c r="T4122" s="4">
        <v>0.2268556364747927</v>
      </c>
      <c r="U4122" s="4">
        <f t="shared" si="390"/>
        <v>0.49938857220431232</v>
      </c>
      <c r="W4122" s="4">
        <f t="shared" si="391"/>
        <v>0.91968906879305146</v>
      </c>
      <c r="X4122" s="4">
        <f t="shared" si="392"/>
        <v>0.94625851456447474</v>
      </c>
      <c r="Y4122" s="3">
        <f t="shared" si="389"/>
        <v>-50.578978377055591</v>
      </c>
      <c r="AA4122" s="3"/>
    </row>
    <row r="4123" spans="19:27" x14ac:dyDescent="0.25">
      <c r="S4123" s="4">
        <v>1.864567270717562</v>
      </c>
      <c r="T4123" s="4">
        <v>-7.1570728811829395E-3</v>
      </c>
      <c r="U4123" s="4">
        <f t="shared" si="390"/>
        <v>1.1310084556287663</v>
      </c>
      <c r="W4123" s="4">
        <f t="shared" si="391"/>
        <v>3.1989314767036805</v>
      </c>
      <c r="X4123" s="4">
        <f t="shared" si="392"/>
        <v>2.0598648597890938</v>
      </c>
      <c r="Y4123" s="3">
        <f t="shared" si="389"/>
        <v>-280.66407137694887</v>
      </c>
      <c r="AA4123" s="3"/>
    </row>
    <row r="4124" spans="19:27" x14ac:dyDescent="0.25">
      <c r="S4124" s="4">
        <v>1.9190669623372629</v>
      </c>
      <c r="T4124" s="4">
        <v>0.30189300255187795</v>
      </c>
      <c r="U4124" s="4">
        <f t="shared" si="390"/>
        <v>1.4092142118777669</v>
      </c>
      <c r="W4124" s="4">
        <f t="shared" si="391"/>
        <v>3.2916058447037604</v>
      </c>
      <c r="X4124" s="4">
        <f t="shared" si="392"/>
        <v>2.5503682520464661</v>
      </c>
      <c r="Y4124" s="3">
        <f t="shared" si="389"/>
        <v>-244.95285531590707</v>
      </c>
      <c r="AA4124" s="3"/>
    </row>
    <row r="4125" spans="19:27" x14ac:dyDescent="0.25">
      <c r="S4125" s="4">
        <v>0.14413999991666382</v>
      </c>
      <c r="T4125" s="4">
        <v>1.063518072205484</v>
      </c>
      <c r="U4125" s="4">
        <f t="shared" si="390"/>
        <v>0.93091324781518159</v>
      </c>
      <c r="W4125" s="4">
        <f t="shared" si="391"/>
        <v>0.27341932657729456</v>
      </c>
      <c r="X4125" s="4">
        <f t="shared" si="392"/>
        <v>1.707077845133786</v>
      </c>
      <c r="Y4125" s="3">
        <f t="shared" si="389"/>
        <v>127.08522007082365</v>
      </c>
      <c r="AA4125" s="3"/>
    </row>
    <row r="4126" spans="19:27" x14ac:dyDescent="0.25">
      <c r="S4126" s="4">
        <v>-0.32925368933429183</v>
      </c>
      <c r="T4126" s="4">
        <v>1.4564312302342277</v>
      </c>
      <c r="U4126" s="4">
        <f t="shared" si="390"/>
        <v>0.95378101706309315</v>
      </c>
      <c r="W4126" s="4">
        <f t="shared" si="391"/>
        <v>-0.53156616348187768</v>
      </c>
      <c r="X4126" s="4">
        <f t="shared" si="392"/>
        <v>1.7473959123826184</v>
      </c>
      <c r="Y4126" s="3">
        <f t="shared" si="389"/>
        <v>260.65590213559062</v>
      </c>
      <c r="AA4126" s="3"/>
    </row>
    <row r="4127" spans="19:27" x14ac:dyDescent="0.25">
      <c r="S4127" s="4">
        <v>-0.66224116714289649</v>
      </c>
      <c r="T4127" s="4">
        <v>0.62452655657264422</v>
      </c>
      <c r="U4127" s="4">
        <f t="shared" si="390"/>
        <v>9.1340225693039567E-2</v>
      </c>
      <c r="W4127" s="4">
        <f t="shared" si="391"/>
        <v>-1.0977969648080621</v>
      </c>
      <c r="X4127" s="4">
        <f t="shared" si="392"/>
        <v>0.22683020054478564</v>
      </c>
      <c r="Y4127" s="3">
        <f t="shared" si="389"/>
        <v>201.73957329105542</v>
      </c>
      <c r="AA4127" s="3"/>
    </row>
    <row r="4128" spans="19:27" x14ac:dyDescent="0.25">
      <c r="S4128" s="4">
        <v>0.50271759383669445</v>
      </c>
      <c r="T4128" s="4">
        <v>0.52735252265588639</v>
      </c>
      <c r="U4128" s="4">
        <f t="shared" si="390"/>
        <v>0.72449599764106276</v>
      </c>
      <c r="W4128" s="4">
        <f t="shared" si="391"/>
        <v>0.88316501334950581</v>
      </c>
      <c r="X4128" s="4">
        <f t="shared" si="392"/>
        <v>1.3431444643297441</v>
      </c>
      <c r="Y4128" s="3">
        <f t="shared" si="389"/>
        <v>-5.2063576808091057</v>
      </c>
      <c r="AA4128" s="3"/>
    </row>
    <row r="4129" spans="19:27" x14ac:dyDescent="0.25">
      <c r="S4129" s="4">
        <v>0.42516537283792449</v>
      </c>
      <c r="T4129" s="4">
        <v>-1.4143747194974827</v>
      </c>
      <c r="U4129" s="4">
        <f t="shared" si="390"/>
        <v>-0.86197325442640493</v>
      </c>
      <c r="W4129" s="4">
        <f t="shared" si="391"/>
        <v>0.75129081636844408</v>
      </c>
      <c r="X4129" s="4">
        <f t="shared" si="392"/>
        <v>-1.4539527645091539</v>
      </c>
      <c r="Y4129" s="3">
        <f t="shared" si="389"/>
        <v>-264.3366685956039</v>
      </c>
      <c r="AA4129" s="3"/>
    </row>
    <row r="4130" spans="19:27" x14ac:dyDescent="0.25">
      <c r="S4130" s="4">
        <v>-0.559202545151813</v>
      </c>
      <c r="T4130" s="4">
        <v>-2.098716892435184</v>
      </c>
      <c r="U4130" s="4">
        <f t="shared" si="390"/>
        <v>-2.004538479017024</v>
      </c>
      <c r="W4130" s="4">
        <f t="shared" si="391"/>
        <v>-0.92258424545441753</v>
      </c>
      <c r="X4130" s="4">
        <f t="shared" si="392"/>
        <v>-3.468404679858474</v>
      </c>
      <c r="Y4130" s="3">
        <f t="shared" si="389"/>
        <v>-196.78448468161741</v>
      </c>
      <c r="AA4130" s="3"/>
    </row>
    <row r="4131" spans="19:27" x14ac:dyDescent="0.25">
      <c r="S4131" s="4">
        <v>-0.9036077063863649</v>
      </c>
      <c r="T4131" s="4">
        <v>-0.60602794202488408</v>
      </c>
      <c r="U4131" s="4">
        <f t="shared" si="390"/>
        <v>-1.0312529318732235</v>
      </c>
      <c r="W4131" s="4">
        <f t="shared" si="391"/>
        <v>-1.5082303235294736</v>
      </c>
      <c r="X4131" s="4">
        <f t="shared" si="392"/>
        <v>-1.7524090478995757</v>
      </c>
      <c r="Y4131" s="3">
        <f t="shared" si="389"/>
        <v>72.382132538783935</v>
      </c>
      <c r="AA4131" s="3"/>
    </row>
    <row r="4132" spans="19:27" x14ac:dyDescent="0.25">
      <c r="S4132" s="4">
        <v>6.3783227186809136E-2</v>
      </c>
      <c r="T4132" s="4">
        <v>-4.739770124635785E-4</v>
      </c>
      <c r="U4132" s="4">
        <f t="shared" si="390"/>
        <v>3.8507960620139635E-2</v>
      </c>
      <c r="W4132" s="4">
        <f t="shared" si="391"/>
        <v>0.13677611069947532</v>
      </c>
      <c r="X4132" s="4">
        <f t="shared" si="392"/>
        <v>0.13368185743248812</v>
      </c>
      <c r="Y4132" s="3">
        <f t="shared" si="389"/>
        <v>-8.5019085434855697</v>
      </c>
      <c r="AA4132" s="3"/>
    </row>
    <row r="4133" spans="19:27" x14ac:dyDescent="0.25">
      <c r="S4133" s="4">
        <v>-0.38023667712950393</v>
      </c>
      <c r="T4133" s="4">
        <v>1.0085231432337134</v>
      </c>
      <c r="U4133" s="4">
        <f t="shared" si="390"/>
        <v>0.567647484394318</v>
      </c>
      <c r="W4133" s="4">
        <f t="shared" si="391"/>
        <v>-0.61826052875731585</v>
      </c>
      <c r="X4133" s="4">
        <f t="shared" si="392"/>
        <v>1.0666055139667066</v>
      </c>
      <c r="Y4133" s="3">
        <f t="shared" si="389"/>
        <v>206.72858787998393</v>
      </c>
      <c r="AA4133" s="3"/>
    </row>
    <row r="4134" spans="19:27" x14ac:dyDescent="0.25">
      <c r="S4134" s="4">
        <v>0.40742608230084915</v>
      </c>
      <c r="T4134" s="4">
        <v>1.3904798409404946</v>
      </c>
      <c r="U4134" s="4">
        <f t="shared" si="390"/>
        <v>1.3505983026116644</v>
      </c>
      <c r="W4134" s="4">
        <f t="shared" si="391"/>
        <v>0.72112592019316024</v>
      </c>
      <c r="X4134" s="4">
        <f t="shared" si="392"/>
        <v>2.4470227903172685</v>
      </c>
      <c r="Y4134" s="3">
        <f t="shared" si="389"/>
        <v>130.48069230061037</v>
      </c>
      <c r="AA4134" s="3"/>
    </row>
    <row r="4135" spans="19:27" x14ac:dyDescent="0.25">
      <c r="S4135" s="4">
        <v>0.52376737389967354</v>
      </c>
      <c r="T4135" s="4">
        <v>1.1593066764124946</v>
      </c>
      <c r="U4135" s="4">
        <f t="shared" si="390"/>
        <v>1.2382734272457381</v>
      </c>
      <c r="W4135" s="4">
        <f t="shared" si="391"/>
        <v>0.91895925375530096</v>
      </c>
      <c r="X4135" s="4">
        <f t="shared" si="392"/>
        <v>2.2489832776029397</v>
      </c>
      <c r="Y4135" s="3">
        <f t="shared" si="389"/>
        <v>79.807008268450772</v>
      </c>
      <c r="AA4135" s="3"/>
    </row>
    <row r="4136" spans="19:27" x14ac:dyDescent="0.25">
      <c r="S4136" s="4">
        <v>-0.68768952246019621</v>
      </c>
      <c r="T4136" s="4">
        <v>-0.47972121357481601</v>
      </c>
      <c r="U4136" s="4">
        <f t="shared" si="390"/>
        <v>-0.79950205383625028</v>
      </c>
      <c r="W4136" s="4">
        <f t="shared" si="391"/>
        <v>-1.1410707921560999</v>
      </c>
      <c r="X4136" s="4">
        <f t="shared" si="392"/>
        <v>-1.3438100549512824</v>
      </c>
      <c r="Y4136" s="3">
        <f t="shared" si="389"/>
        <v>51.862928284578629</v>
      </c>
      <c r="AA4136" s="3"/>
    </row>
    <row r="4137" spans="19:27" x14ac:dyDescent="0.25">
      <c r="S4137" s="4">
        <v>-1.2287538178892152</v>
      </c>
      <c r="T4137" s="4">
        <v>0.77059326184840682</v>
      </c>
      <c r="U4137" s="4">
        <f t="shared" si="390"/>
        <v>-0.13823261464409498</v>
      </c>
      <c r="W4137" s="4">
        <f t="shared" si="391"/>
        <v>-2.0611272206619646</v>
      </c>
      <c r="X4137" s="4">
        <f t="shared" si="392"/>
        <v>-0.1779287033462591</v>
      </c>
      <c r="Y4137" s="3">
        <f t="shared" si="389"/>
        <v>323.60714578354873</v>
      </c>
      <c r="AA4137" s="3"/>
    </row>
    <row r="4138" spans="19:27" x14ac:dyDescent="0.25">
      <c r="S4138" s="4">
        <v>0.35752933435384704</v>
      </c>
      <c r="T4138" s="4">
        <v>0.996734860176134</v>
      </c>
      <c r="U4138" s="4">
        <f t="shared" si="390"/>
        <v>1.0080616280247665</v>
      </c>
      <c r="W4138" s="4">
        <f t="shared" si="391"/>
        <v>0.63627865879001222</v>
      </c>
      <c r="X4138" s="4">
        <f t="shared" si="392"/>
        <v>1.8430978280060812</v>
      </c>
      <c r="Y4138" s="3">
        <f t="shared" si="389"/>
        <v>83.388912033510223</v>
      </c>
      <c r="AA4138" s="3"/>
    </row>
    <row r="4139" spans="19:27" x14ac:dyDescent="0.25">
      <c r="S4139" s="4">
        <v>-0.1095149023003861</v>
      </c>
      <c r="T4139" s="4">
        <v>0.72751986712949424</v>
      </c>
      <c r="U4139" s="4">
        <f t="shared" si="390"/>
        <v>0.50993646437091145</v>
      </c>
      <c r="W4139" s="4">
        <f t="shared" si="391"/>
        <v>-0.15790986179906097</v>
      </c>
      <c r="X4139" s="4">
        <f t="shared" si="392"/>
        <v>0.96485545863435662</v>
      </c>
      <c r="Y4139" s="3">
        <f t="shared" si="389"/>
        <v>121.85518457331409</v>
      </c>
      <c r="AA4139" s="3"/>
    </row>
    <row r="4140" spans="19:27" x14ac:dyDescent="0.25">
      <c r="S4140" s="4">
        <v>1.064162840449931</v>
      </c>
      <c r="T4140" s="4">
        <v>9.7029774522220849E-2</v>
      </c>
      <c r="U4140" s="4">
        <f t="shared" si="390"/>
        <v>0.72565213884664104</v>
      </c>
      <c r="W4140" s="4">
        <f t="shared" si="391"/>
        <v>1.8378783676856647</v>
      </c>
      <c r="X4140" s="4">
        <f t="shared" si="392"/>
        <v>1.3451828519997575</v>
      </c>
      <c r="Y4140" s="3">
        <f t="shared" si="389"/>
        <v>-151.35883823371432</v>
      </c>
      <c r="AA4140" s="3"/>
    </row>
    <row r="4141" spans="19:27" x14ac:dyDescent="0.25">
      <c r="S4141" s="4">
        <v>0.74360781219845296</v>
      </c>
      <c r="T4141" s="4">
        <v>-0.81899235569842688</v>
      </c>
      <c r="U4141" s="4">
        <f t="shared" si="390"/>
        <v>-0.19588879035027912</v>
      </c>
      <c r="W4141" s="4">
        <f t="shared" si="391"/>
        <v>1.2927884090167088</v>
      </c>
      <c r="X4141" s="4">
        <f t="shared" si="392"/>
        <v>-0.27958206289486132</v>
      </c>
      <c r="Y4141" s="3">
        <f t="shared" si="389"/>
        <v>-230.83800725962919</v>
      </c>
      <c r="AA4141" s="3"/>
    </row>
    <row r="4142" spans="19:27" x14ac:dyDescent="0.25">
      <c r="S4142" s="4">
        <v>-1.6805457657649774</v>
      </c>
      <c r="T4142" s="4">
        <v>0.13010322000478852</v>
      </c>
      <c r="U4142" s="4">
        <f t="shared" si="390"/>
        <v>-0.92136641076459336</v>
      </c>
      <c r="W4142" s="4">
        <f t="shared" si="391"/>
        <v>-2.8293798839811859</v>
      </c>
      <c r="X4142" s="4">
        <f t="shared" si="392"/>
        <v>-1.5586685872640202</v>
      </c>
      <c r="Y4142" s="3">
        <f t="shared" si="389"/>
        <v>318.54741548961738</v>
      </c>
      <c r="AA4142" s="3"/>
    </row>
    <row r="4143" spans="19:27" x14ac:dyDescent="0.25">
      <c r="S4143" s="4">
        <v>-1.3945924957088969</v>
      </c>
      <c r="T4143" s="4">
        <v>-0.55342759478829229</v>
      </c>
      <c r="U4143" s="4">
        <f t="shared" si="390"/>
        <v>-1.2888723387768761</v>
      </c>
      <c r="W4143" s="4">
        <f t="shared" si="391"/>
        <v>-2.3431287182879119</v>
      </c>
      <c r="X4143" s="4">
        <f t="shared" si="392"/>
        <v>-2.2066167346897658</v>
      </c>
      <c r="Y4143" s="3">
        <f t="shared" si="389"/>
        <v>169.19605617218167</v>
      </c>
      <c r="AA4143" s="3"/>
    </row>
    <row r="4144" spans="19:27" x14ac:dyDescent="0.25">
      <c r="S4144" s="4">
        <v>-0.87364526001091525</v>
      </c>
      <c r="T4144" s="4">
        <v>-1.8783582051877155</v>
      </c>
      <c r="U4144" s="4">
        <f t="shared" si="390"/>
        <v>-2.0215532011097199</v>
      </c>
      <c r="W4144" s="4">
        <f t="shared" si="391"/>
        <v>-1.4572804796118737</v>
      </c>
      <c r="X4144" s="4">
        <f t="shared" si="392"/>
        <v>-3.4984032644215994</v>
      </c>
      <c r="Y4144" s="3">
        <f t="shared" si="389"/>
        <v>-110.77727339303738</v>
      </c>
      <c r="AA4144" s="3"/>
    </row>
    <row r="4145" spans="19:27" x14ac:dyDescent="0.25">
      <c r="S4145" s="4">
        <v>-0.44914997707574028</v>
      </c>
      <c r="T4145" s="4">
        <v>2.0817631594154271</v>
      </c>
      <c r="U4145" s="4">
        <f t="shared" si="390"/>
        <v>1.3763851943976624</v>
      </c>
      <c r="W4145" s="4">
        <f t="shared" si="391"/>
        <v>-0.73544461419916429</v>
      </c>
      <c r="X4145" s="4">
        <f t="shared" si="392"/>
        <v>2.4924875501674748</v>
      </c>
      <c r="Y4145" s="3">
        <f t="shared" si="389"/>
        <v>368.5079595126399</v>
      </c>
      <c r="AA4145" s="3"/>
    </row>
    <row r="4146" spans="19:27" x14ac:dyDescent="0.25">
      <c r="S4146" s="4">
        <v>0.86421814372077244</v>
      </c>
      <c r="T4146" s="4">
        <v>0.30902033692366443</v>
      </c>
      <c r="U4146" s="4">
        <f t="shared" si="390"/>
        <v>0.77180461748999574</v>
      </c>
      <c r="W4146" s="4">
        <f t="shared" si="391"/>
        <v>1.4978810602945851</v>
      </c>
      <c r="X4146" s="4">
        <f t="shared" si="392"/>
        <v>1.4265540919082154</v>
      </c>
      <c r="Y4146" s="3">
        <f t="shared" si="389"/>
        <v>-91.628103130325599</v>
      </c>
      <c r="AA4146" s="3"/>
    </row>
    <row r="4147" spans="19:27" x14ac:dyDescent="0.25">
      <c r="S4147" s="4">
        <v>-0.20124633289886976</v>
      </c>
      <c r="T4147" s="4">
        <v>0.35434746273719203</v>
      </c>
      <c r="U4147" s="4">
        <f t="shared" si="390"/>
        <v>0.15820415092953144</v>
      </c>
      <c r="W4147" s="4">
        <f t="shared" si="391"/>
        <v>-0.31389519132677235</v>
      </c>
      <c r="X4147" s="4">
        <f t="shared" si="392"/>
        <v>0.34471770434894322</v>
      </c>
      <c r="Y4147" s="3">
        <f t="shared" si="389"/>
        <v>85.028765583362656</v>
      </c>
      <c r="AA4147" s="3"/>
    </row>
    <row r="4148" spans="19:27" x14ac:dyDescent="0.25">
      <c r="S4148" s="4">
        <v>0.43264366517519981</v>
      </c>
      <c r="T4148" s="4">
        <v>-1.9162750620542879</v>
      </c>
      <c r="U4148" s="4">
        <f t="shared" si="390"/>
        <v>-1.2552667164109419</v>
      </c>
      <c r="W4148" s="4">
        <f t="shared" si="391"/>
        <v>0.76400732898493573</v>
      </c>
      <c r="X4148" s="4">
        <f t="shared" si="392"/>
        <v>-2.1473668040209781</v>
      </c>
      <c r="Y4148" s="3">
        <f t="shared" si="389"/>
        <v>-335.666392516001</v>
      </c>
      <c r="AA4148" s="3"/>
    </row>
    <row r="4149" spans="19:27" x14ac:dyDescent="0.25">
      <c r="S4149" s="4">
        <v>0.62046449747544885</v>
      </c>
      <c r="T4149" s="4">
        <v>-0.21007963012287215</v>
      </c>
      <c r="U4149" s="4">
        <f t="shared" si="390"/>
        <v>0.21172055523360325</v>
      </c>
      <c r="W4149" s="4">
        <f t="shared" si="391"/>
        <v>1.0833885293802521</v>
      </c>
      <c r="X4149" s="4">
        <f t="shared" si="392"/>
        <v>0.43907225044636455</v>
      </c>
      <c r="Y4149" s="3">
        <f t="shared" si="389"/>
        <v>-126.68981921142449</v>
      </c>
      <c r="AA4149" s="3"/>
    </row>
    <row r="4150" spans="19:27" x14ac:dyDescent="0.25">
      <c r="S4150" s="4">
        <v>1.2476005743881307</v>
      </c>
      <c r="T4150" s="4">
        <v>0.38779099089017277</v>
      </c>
      <c r="U4150" s="4">
        <f t="shared" si="390"/>
        <v>1.0679639699232446</v>
      </c>
      <c r="W4150" s="4">
        <f t="shared" si="391"/>
        <v>2.1498062989245317</v>
      </c>
      <c r="X4150" s="4">
        <f t="shared" si="392"/>
        <v>1.9487113936688512</v>
      </c>
      <c r="Y4150" s="3">
        <f t="shared" si="389"/>
        <v>-137.83074086607257</v>
      </c>
      <c r="AA4150" s="3"/>
    </row>
    <row r="4151" spans="19:27" x14ac:dyDescent="0.25">
      <c r="S4151" s="4">
        <v>0.44317706728433071</v>
      </c>
      <c r="T4151" s="4">
        <v>-0.70450420544736159</v>
      </c>
      <c r="U4151" s="4">
        <f t="shared" si="390"/>
        <v>-0.28828423264941183</v>
      </c>
      <c r="W4151" s="4">
        <f t="shared" si="391"/>
        <v>0.78191892360763893</v>
      </c>
      <c r="X4151" s="4">
        <f t="shared" si="392"/>
        <v>-0.44248407645450238</v>
      </c>
      <c r="Y4151" s="3">
        <f t="shared" si="389"/>
        <v>-167.97732861762825</v>
      </c>
      <c r="AA4151" s="3"/>
    </row>
    <row r="4152" spans="19:27" x14ac:dyDescent="0.25">
      <c r="S4152" s="4">
        <v>0.14343487104243749</v>
      </c>
      <c r="T4152" s="4">
        <v>-1.2117522424343039</v>
      </c>
      <c r="U4152" s="4">
        <f t="shared" si="390"/>
        <v>-0.87310523382474925</v>
      </c>
      <c r="W4152" s="4">
        <f t="shared" si="391"/>
        <v>0.27222028542980464</v>
      </c>
      <c r="X4152" s="4">
        <f t="shared" si="392"/>
        <v>-1.4735795103071092</v>
      </c>
      <c r="Y4152" s="3">
        <f t="shared" si="389"/>
        <v>-190.79005633753422</v>
      </c>
      <c r="AA4152" s="3"/>
    </row>
    <row r="4153" spans="19:27" x14ac:dyDescent="0.25">
      <c r="S4153" s="4">
        <v>8.1990116738881486E-2</v>
      </c>
      <c r="T4153" s="4">
        <v>-0.69966564321583802</v>
      </c>
      <c r="U4153" s="4">
        <f t="shared" si="390"/>
        <v>-0.50463636678806367</v>
      </c>
      <c r="W4153" s="4">
        <f t="shared" si="391"/>
        <v>0.16773613877192092</v>
      </c>
      <c r="X4153" s="4">
        <f t="shared" si="392"/>
        <v>-0.82393360915989211</v>
      </c>
      <c r="Y4153" s="3">
        <f t="shared" si="389"/>
        <v>-109.20046810165877</v>
      </c>
      <c r="AA4153" s="3"/>
    </row>
    <row r="4154" spans="19:27" x14ac:dyDescent="0.25">
      <c r="S4154" s="4">
        <v>0.73478582814580284</v>
      </c>
      <c r="T4154" s="4">
        <v>1.3944865014657759</v>
      </c>
      <c r="U4154" s="4">
        <f t="shared" si="390"/>
        <v>1.5533401555023323</v>
      </c>
      <c r="W4154" s="4">
        <f t="shared" si="391"/>
        <v>1.2777870067649097</v>
      </c>
      <c r="X4154" s="4">
        <f t="shared" si="392"/>
        <v>2.8044760937148148</v>
      </c>
      <c r="Y4154" s="3">
        <f t="shared" si="389"/>
        <v>79.873158881474865</v>
      </c>
      <c r="AA4154" s="3"/>
    </row>
    <row r="4155" spans="19:27" x14ac:dyDescent="0.25">
      <c r="S4155" s="4">
        <v>0.7319570423432572</v>
      </c>
      <c r="T4155" s="4">
        <v>-0.71400688142054036</v>
      </c>
      <c r="U4155" s="4">
        <f t="shared" si="390"/>
        <v>-0.1197702120395891</v>
      </c>
      <c r="W4155" s="4">
        <f t="shared" si="391"/>
        <v>1.2729767788779736</v>
      </c>
      <c r="X4155" s="4">
        <f t="shared" si="392"/>
        <v>-0.14537771939527908</v>
      </c>
      <c r="Y4155" s="3">
        <f t="shared" si="389"/>
        <v>-214.37276638003277</v>
      </c>
      <c r="AA4155" s="3"/>
    </row>
    <row r="4156" spans="19:27" x14ac:dyDescent="0.25">
      <c r="S4156" s="4">
        <v>2.4667072019395855</v>
      </c>
      <c r="T4156" s="4">
        <v>-1.0858112050867987</v>
      </c>
      <c r="U4156" s="4">
        <f t="shared" si="390"/>
        <v>0.64304587076369979</v>
      </c>
      <c r="W4156" s="4">
        <f t="shared" si="391"/>
        <v>4.2228443818079144</v>
      </c>
      <c r="X4156" s="4">
        <f t="shared" si="392"/>
        <v>1.1995400901003974</v>
      </c>
      <c r="Y4156" s="3">
        <f t="shared" si="389"/>
        <v>-511.7630432209794</v>
      </c>
      <c r="AA4156" s="3"/>
    </row>
    <row r="4157" spans="19:27" x14ac:dyDescent="0.25">
      <c r="S4157" s="4">
        <v>0.59621572417368351</v>
      </c>
      <c r="T4157" s="4">
        <v>0.4296381007841415</v>
      </c>
      <c r="U4157" s="4">
        <f t="shared" si="390"/>
        <v>0.70403710165800681</v>
      </c>
      <c r="W4157" s="4">
        <f t="shared" si="391"/>
        <v>1.0421545393569769</v>
      </c>
      <c r="X4157" s="4">
        <f t="shared" si="392"/>
        <v>1.3070734713465941</v>
      </c>
      <c r="Y4157" s="3">
        <f t="shared" si="389"/>
        <v>-33.506527556005949</v>
      </c>
      <c r="AA4157" s="3"/>
    </row>
    <row r="4158" spans="19:27" x14ac:dyDescent="0.25">
      <c r="S4158" s="4">
        <v>-1.0302665307853338</v>
      </c>
      <c r="T4158" s="4">
        <v>1.1513369555946475</v>
      </c>
      <c r="U4158" s="4">
        <f t="shared" si="390"/>
        <v>0.28458215148792443</v>
      </c>
      <c r="W4158" s="4">
        <f t="shared" si="391"/>
        <v>-1.7236081752926651</v>
      </c>
      <c r="X4158" s="4">
        <f t="shared" si="392"/>
        <v>0.56753422265676157</v>
      </c>
      <c r="Y4158" s="3">
        <f t="shared" si="389"/>
        <v>340.71362035358379</v>
      </c>
      <c r="AA4158" s="3"/>
    </row>
    <row r="4159" spans="19:27" x14ac:dyDescent="0.25">
      <c r="S4159" s="4">
        <v>-0.41112709695027116</v>
      </c>
      <c r="T4159" s="4">
        <v>0.67992342583761933</v>
      </c>
      <c r="U4159" s="4">
        <f t="shared" si="390"/>
        <v>0.28833762184332823</v>
      </c>
      <c r="W4159" s="4">
        <f t="shared" si="391"/>
        <v>-0.67078835137552517</v>
      </c>
      <c r="X4159" s="4">
        <f t="shared" si="392"/>
        <v>0.5741554765577731</v>
      </c>
      <c r="Y4159" s="3">
        <f t="shared" si="389"/>
        <v>166.07715854831713</v>
      </c>
      <c r="AA4159" s="3"/>
    </row>
    <row r="4160" spans="19:27" x14ac:dyDescent="0.25">
      <c r="S4160" s="4">
        <v>-0.47471653606571301</v>
      </c>
      <c r="T4160" s="4">
        <v>-0.72659051055086088</v>
      </c>
      <c r="U4160" s="4">
        <f t="shared" si="390"/>
        <v>-0.86536029094234079</v>
      </c>
      <c r="W4160" s="4">
        <f t="shared" si="391"/>
        <v>-0.77891944177921613</v>
      </c>
      <c r="X4160" s="4">
        <f t="shared" si="392"/>
        <v>-1.4599244342659765</v>
      </c>
      <c r="Y4160" s="3">
        <f t="shared" si="389"/>
        <v>-19.595128146680963</v>
      </c>
      <c r="AA4160" s="3"/>
    </row>
    <row r="4161" spans="19:27" x14ac:dyDescent="0.25">
      <c r="S4161" s="4">
        <v>0.91278884439484953</v>
      </c>
      <c r="T4161" s="4">
        <v>-0.52007989535123467</v>
      </c>
      <c r="U4161" s="4">
        <f t="shared" si="390"/>
        <v>0.14419326329785942</v>
      </c>
      <c r="W4161" s="4">
        <f t="shared" si="391"/>
        <v>1.5804734356735317</v>
      </c>
      <c r="X4161" s="4">
        <f t="shared" si="392"/>
        <v>0.32001516762026017</v>
      </c>
      <c r="Y4161" s="3">
        <f t="shared" si="389"/>
        <v>-214.86858965415331</v>
      </c>
      <c r="AA4161" s="3"/>
    </row>
    <row r="4162" spans="19:27" x14ac:dyDescent="0.25">
      <c r="S4162" s="4">
        <v>0.57476764244076473</v>
      </c>
      <c r="T4162" s="4">
        <v>-3.0573202173212981</v>
      </c>
      <c r="U4162" s="4">
        <f t="shared" si="390"/>
        <v>-2.0731221566505518</v>
      </c>
      <c r="W4162" s="4">
        <f t="shared" si="391"/>
        <v>1.0056830041915596</v>
      </c>
      <c r="X4162" s="4">
        <f t="shared" si="392"/>
        <v>-3.5893242718406846</v>
      </c>
      <c r="Y4162" s="3">
        <f t="shared" ref="Y4162:Y4225" si="393">(B$4*EXP(-B$8*B$7)*NORMSDIST((LN(B$4/(B$5+W4162))-B$8*B$7+B$9*B$7+0.5*B$6*B$6*B$7)/(B$6*SQRT(B$7)))-(B$5+W4162)*EXP(-B$9*B$7)*NORMSDIST((LN(B$4/(B$5+W4162))-B$8*B$7+B$9*B$7-0.5*B$6*B$6*B$7)/(B$6*SQRT(B$7))))*400+100*X4162-400*$B$13</f>
        <v>-517.49317828820131</v>
      </c>
      <c r="AA4162" s="3"/>
    </row>
    <row r="4163" spans="19:27" x14ac:dyDescent="0.25">
      <c r="S4163" s="4">
        <v>-1.3381697939160313</v>
      </c>
      <c r="T4163" s="4">
        <v>-0.51808577988068927</v>
      </c>
      <c r="U4163" s="4">
        <f t="shared" ref="U4163:U4226" si="394">$B$19*S4163+SQRT(1-$B$19^2)*T4163</f>
        <v>-1.2264606262568032</v>
      </c>
      <c r="W4163" s="4">
        <f t="shared" ref="W4163:W4226" si="395">S4163*SQRT($B$16)+$B$20</f>
        <v>-2.2471843546757584</v>
      </c>
      <c r="X4163" s="4">
        <f t="shared" ref="X4163:X4226" si="396">U4163*SQRT($C$17)+$C$20</f>
        <v>-2.096578908296669</v>
      </c>
      <c r="Y4163" s="3">
        <f t="shared" si="393"/>
        <v>163.66551008765055</v>
      </c>
      <c r="AA4163" s="3"/>
    </row>
    <row r="4164" spans="19:27" x14ac:dyDescent="0.25">
      <c r="S4164" s="4">
        <v>-0.53412089689977027</v>
      </c>
      <c r="T4164" s="4">
        <v>3.7080841164236565E-2</v>
      </c>
      <c r="U4164" s="4">
        <f t="shared" si="394"/>
        <v>-0.29621832913067969</v>
      </c>
      <c r="W4164" s="4">
        <f t="shared" si="395"/>
        <v>-0.8799339876074882</v>
      </c>
      <c r="X4164" s="4">
        <f t="shared" si="396"/>
        <v>-0.45647264840581747</v>
      </c>
      <c r="Y4164" s="3">
        <f t="shared" si="393"/>
        <v>97.37379737653464</v>
      </c>
      <c r="AA4164" s="3"/>
    </row>
    <row r="4165" spans="19:27" x14ac:dyDescent="0.25">
      <c r="S4165" s="4">
        <v>-0.95913933237574511</v>
      </c>
      <c r="T4165" s="4">
        <v>-0.21001630759643761</v>
      </c>
      <c r="U4165" s="4">
        <f t="shared" si="394"/>
        <v>-0.75119098807112528</v>
      </c>
      <c r="W4165" s="4">
        <f t="shared" si="395"/>
        <v>-1.6026594512848003</v>
      </c>
      <c r="X4165" s="4">
        <f t="shared" si="396"/>
        <v>-1.2586330192175081</v>
      </c>
      <c r="Y4165" s="3">
        <f t="shared" si="393"/>
        <v>137.66093283949249</v>
      </c>
      <c r="AA4165" s="3"/>
    </row>
    <row r="4166" spans="19:27" x14ac:dyDescent="0.25">
      <c r="S4166" s="4">
        <v>-0.85285357768987058</v>
      </c>
      <c r="T4166" s="4">
        <v>-0.90758571544929956</v>
      </c>
      <c r="U4166" s="4">
        <f t="shared" si="394"/>
        <v>-1.2393545228439442</v>
      </c>
      <c r="W4166" s="4">
        <f t="shared" si="395"/>
        <v>-1.4219251232512016</v>
      </c>
      <c r="X4166" s="4">
        <f t="shared" si="396"/>
        <v>-2.1193120828387078</v>
      </c>
      <c r="Y4166" s="3">
        <f t="shared" si="393"/>
        <v>21.199930902462256</v>
      </c>
      <c r="AA4166" s="3"/>
    </row>
    <row r="4167" spans="19:27" x14ac:dyDescent="0.25">
      <c r="S4167" s="4">
        <v>-0.91845079597996671</v>
      </c>
      <c r="T4167" s="4">
        <v>0.62524983663630451</v>
      </c>
      <c r="U4167" s="4">
        <f t="shared" si="394"/>
        <v>-6.4277542223743545E-2</v>
      </c>
      <c r="W4167" s="4">
        <f t="shared" si="395"/>
        <v>-1.5334703552869811</v>
      </c>
      <c r="X4167" s="4">
        <f t="shared" si="396"/>
        <v>-4.7538827932053537E-2</v>
      </c>
      <c r="Y4167" s="3">
        <f t="shared" si="393"/>
        <v>247.11477248446954</v>
      </c>
      <c r="AA4167" s="3"/>
    </row>
    <row r="4168" spans="19:27" x14ac:dyDescent="0.25">
      <c r="S4168" s="4">
        <v>-0.18335384484017811</v>
      </c>
      <c r="T4168" s="4">
        <v>1.4211055672312314</v>
      </c>
      <c r="U4168" s="4">
        <f t="shared" si="394"/>
        <v>1.0147224464363869</v>
      </c>
      <c r="W4168" s="4">
        <f t="shared" si="395"/>
        <v>-0.28346978939314338</v>
      </c>
      <c r="X4168" s="4">
        <f t="shared" si="396"/>
        <v>1.8548414887777367</v>
      </c>
      <c r="Y4168" s="3">
        <f t="shared" si="393"/>
        <v>231.11835829739994</v>
      </c>
      <c r="AA4168" s="3"/>
    </row>
    <row r="4169" spans="19:27" x14ac:dyDescent="0.25">
      <c r="S4169" s="4">
        <v>0.31470372624103515</v>
      </c>
      <c r="T4169" s="4">
        <v>2.5346001408089731</v>
      </c>
      <c r="U4169" s="4">
        <f t="shared" si="394"/>
        <v>2.2010077159626897</v>
      </c>
      <c r="W4169" s="4">
        <f t="shared" si="395"/>
        <v>0.56345556478484771</v>
      </c>
      <c r="X4169" s="4">
        <f t="shared" si="396"/>
        <v>3.9463760304527464</v>
      </c>
      <c r="Y4169" s="3">
        <f t="shared" si="393"/>
        <v>305.16190139211449</v>
      </c>
      <c r="AA4169" s="3"/>
    </row>
    <row r="4170" spans="19:27" x14ac:dyDescent="0.25">
      <c r="S4170" s="4">
        <v>0.86487441608719562</v>
      </c>
      <c r="T4170" s="4">
        <v>-1.7869811426244036</v>
      </c>
      <c r="U4170" s="4">
        <f t="shared" si="394"/>
        <v>-0.88927894875641966</v>
      </c>
      <c r="W4170" s="4">
        <f t="shared" si="395"/>
        <v>1.4989970230640368</v>
      </c>
      <c r="X4170" s="4">
        <f t="shared" si="396"/>
        <v>-1.5020953187014101</v>
      </c>
      <c r="Y4170" s="3">
        <f t="shared" si="393"/>
        <v>-384.66333939436208</v>
      </c>
      <c r="AA4170" s="3"/>
    </row>
    <row r="4171" spans="19:27" x14ac:dyDescent="0.25">
      <c r="S4171" s="4">
        <v>0.40153493215088459</v>
      </c>
      <c r="T4171" s="4">
        <v>-1.7029989300790263</v>
      </c>
      <c r="U4171" s="4">
        <f t="shared" si="394"/>
        <v>-1.1051690065089206</v>
      </c>
      <c r="W4171" s="4">
        <f t="shared" si="395"/>
        <v>0.71110827420809219</v>
      </c>
      <c r="X4171" s="4">
        <f t="shared" si="396"/>
        <v>-1.8827301664845861</v>
      </c>
      <c r="Y4171" s="3">
        <f t="shared" si="393"/>
        <v>-300.92614604456367</v>
      </c>
      <c r="AA4171" s="3"/>
    </row>
    <row r="4172" spans="19:27" x14ac:dyDescent="0.25">
      <c r="S4172" s="4">
        <v>-0.26438995982199226</v>
      </c>
      <c r="T4172" s="4">
        <v>-1.9193275618947323</v>
      </c>
      <c r="U4172" s="4">
        <f t="shared" si="394"/>
        <v>-1.6826136585824811</v>
      </c>
      <c r="W4172" s="4">
        <f t="shared" si="395"/>
        <v>-0.42126819738278981</v>
      </c>
      <c r="X4172" s="4">
        <f t="shared" si="396"/>
        <v>-2.9008203904318388</v>
      </c>
      <c r="Y4172" s="3">
        <f t="shared" si="393"/>
        <v>-222.11378467614713</v>
      </c>
      <c r="AA4172" s="3"/>
    </row>
    <row r="4173" spans="19:27" x14ac:dyDescent="0.25">
      <c r="S4173" s="4">
        <v>-0.1158154927802056</v>
      </c>
      <c r="T4173" s="4">
        <v>-0.6490183128607081</v>
      </c>
      <c r="U4173" s="4">
        <f t="shared" si="394"/>
        <v>-0.58507534520750482</v>
      </c>
      <c r="W4173" s="4">
        <f t="shared" si="395"/>
        <v>-0.16862374335309019</v>
      </c>
      <c r="X4173" s="4">
        <f t="shared" si="396"/>
        <v>-0.96575523181941669</v>
      </c>
      <c r="Y4173" s="3">
        <f t="shared" si="393"/>
        <v>-69.479924060370195</v>
      </c>
      <c r="AA4173" s="3"/>
    </row>
    <row r="4174" spans="19:27" x14ac:dyDescent="0.25">
      <c r="S4174" s="4">
        <v>-1.0953347439616403</v>
      </c>
      <c r="T4174" s="4">
        <v>2.3218374112491151</v>
      </c>
      <c r="U4174" s="4">
        <f t="shared" si="394"/>
        <v>1.1727614863058529</v>
      </c>
      <c r="W4174" s="4">
        <f t="shared" si="395"/>
        <v>-1.8342538570166489</v>
      </c>
      <c r="X4174" s="4">
        <f t="shared" si="396"/>
        <v>2.1334794515943298</v>
      </c>
      <c r="Y4174" s="3">
        <f t="shared" si="393"/>
        <v>516.07130024443723</v>
      </c>
      <c r="AA4174" s="3"/>
    </row>
    <row r="4175" spans="19:27" x14ac:dyDescent="0.25">
      <c r="S4175" s="4">
        <v>-0.93854332786994665</v>
      </c>
      <c r="T4175" s="4">
        <v>1.1914041900191108</v>
      </c>
      <c r="U4175" s="4">
        <f t="shared" si="394"/>
        <v>0.37225963944904239</v>
      </c>
      <c r="W4175" s="4">
        <f t="shared" si="395"/>
        <v>-1.5676368365841384</v>
      </c>
      <c r="X4175" s="4">
        <f t="shared" si="396"/>
        <v>0.72211803087617832</v>
      </c>
      <c r="Y4175" s="3">
        <f t="shared" si="393"/>
        <v>329.83296612866343</v>
      </c>
      <c r="AA4175" s="3"/>
    </row>
    <row r="4176" spans="19:27" x14ac:dyDescent="0.25">
      <c r="S4176" s="4">
        <v>-0.25230669669233269</v>
      </c>
      <c r="T4176" s="4">
        <v>-0.51737633213143475</v>
      </c>
      <c r="U4176" s="4">
        <f t="shared" si="394"/>
        <v>-0.56393188100252822</v>
      </c>
      <c r="W4176" s="4">
        <f t="shared" si="395"/>
        <v>-0.40072113114003188</v>
      </c>
      <c r="X4176" s="4">
        <f t="shared" si="396"/>
        <v>-0.92847727949936798</v>
      </c>
      <c r="Y4176" s="3">
        <f t="shared" si="393"/>
        <v>-28.215959984320307</v>
      </c>
      <c r="AA4176" s="3"/>
    </row>
    <row r="4177" spans="19:27" x14ac:dyDescent="0.25">
      <c r="S4177" s="4">
        <v>-2.5780076665039564</v>
      </c>
      <c r="T4177" s="4">
        <v>0.8503397070781743</v>
      </c>
      <c r="U4177" s="4">
        <f t="shared" si="394"/>
        <v>-0.8975534944409882</v>
      </c>
      <c r="W4177" s="4">
        <f t="shared" si="395"/>
        <v>-4.3554750229318469</v>
      </c>
      <c r="X4177" s="4">
        <f t="shared" si="396"/>
        <v>-1.5166841352032399</v>
      </c>
      <c r="Y4177" s="3">
        <f t="shared" si="393"/>
        <v>596.44417212676035</v>
      </c>
      <c r="AA4177" s="3"/>
    </row>
    <row r="4178" spans="19:27" x14ac:dyDescent="0.25">
      <c r="S4178" s="4">
        <v>0.11804726207186403</v>
      </c>
      <c r="T4178" s="4">
        <v>0.42180374580651131</v>
      </c>
      <c r="U4178" s="4">
        <f t="shared" si="394"/>
        <v>0.40632470767189849</v>
      </c>
      <c r="W4178" s="4">
        <f t="shared" si="395"/>
        <v>0.229049754616552</v>
      </c>
      <c r="X4178" s="4">
        <f t="shared" si="396"/>
        <v>0.78217800859222086</v>
      </c>
      <c r="Y4178" s="3">
        <f t="shared" si="393"/>
        <v>41.647957635338116</v>
      </c>
      <c r="AA4178" s="3"/>
    </row>
    <row r="4179" spans="19:27" x14ac:dyDescent="0.25">
      <c r="S4179" s="4">
        <v>-1.1817471834016871</v>
      </c>
      <c r="T4179" s="4">
        <v>-0.13996476394295032</v>
      </c>
      <c r="U4179" s="4">
        <f t="shared" si="394"/>
        <v>-0.83136840128170442</v>
      </c>
      <c r="W4179" s="4">
        <f t="shared" si="395"/>
        <v>-1.9811944721733898</v>
      </c>
      <c r="X4179" s="4">
        <f t="shared" si="396"/>
        <v>-1.3999934773634974</v>
      </c>
      <c r="Y4179" s="3">
        <f t="shared" si="393"/>
        <v>187.742691360344</v>
      </c>
      <c r="AA4179" s="3"/>
    </row>
    <row r="4180" spans="19:27" x14ac:dyDescent="0.25">
      <c r="S4180" s="4">
        <v>0.37846378327644331</v>
      </c>
      <c r="T4180" s="4">
        <v>-0.72986708596874961</v>
      </c>
      <c r="U4180" s="4">
        <f t="shared" si="394"/>
        <v>-0.34783984742053931</v>
      </c>
      <c r="W4180" s="4">
        <f t="shared" si="395"/>
        <v>0.67187678358069003</v>
      </c>
      <c r="X4180" s="4">
        <f t="shared" si="396"/>
        <v>-0.54748632898541583</v>
      </c>
      <c r="Y4180" s="3">
        <f t="shared" si="393"/>
        <v>-161.25437228717919</v>
      </c>
      <c r="AA4180" s="3"/>
    </row>
    <row r="4181" spans="19:27" x14ac:dyDescent="0.25">
      <c r="S4181" s="4">
        <v>-1.2149640030745126</v>
      </c>
      <c r="T4181" s="4">
        <v>0.15203635239919785</v>
      </c>
      <c r="U4181" s="4">
        <f t="shared" si="394"/>
        <v>-0.62015116123714775</v>
      </c>
      <c r="W4181" s="4">
        <f t="shared" si="395"/>
        <v>-2.0376782371024187</v>
      </c>
      <c r="X4181" s="4">
        <f t="shared" si="396"/>
        <v>-1.0275972547189598</v>
      </c>
      <c r="Y4181" s="3">
        <f t="shared" si="393"/>
        <v>234.63006932339522</v>
      </c>
      <c r="AA4181" s="3"/>
    </row>
    <row r="4182" spans="19:27" x14ac:dyDescent="0.25">
      <c r="S4182" s="4">
        <v>0.35243120454808402</v>
      </c>
      <c r="T4182" s="4">
        <v>-0.66927434307867051</v>
      </c>
      <c r="U4182" s="4">
        <f t="shared" si="394"/>
        <v>-0.31567850455378871</v>
      </c>
      <c r="W4182" s="4">
        <f t="shared" si="395"/>
        <v>0.62760950959503459</v>
      </c>
      <c r="X4182" s="4">
        <f t="shared" si="396"/>
        <v>-0.49078280139350505</v>
      </c>
      <c r="Y4182" s="3">
        <f t="shared" si="393"/>
        <v>-148.63809605934784</v>
      </c>
      <c r="AA4182" s="3"/>
    </row>
    <row r="4183" spans="19:27" x14ac:dyDescent="0.25">
      <c r="S4183" s="4">
        <v>1.5838761583136067</v>
      </c>
      <c r="T4183" s="4">
        <v>-1.0986320631416373</v>
      </c>
      <c r="U4183" s="4">
        <f t="shared" si="394"/>
        <v>9.4689377116628282E-2</v>
      </c>
      <c r="W4183" s="4">
        <f t="shared" si="395"/>
        <v>2.721628382462451</v>
      </c>
      <c r="X4183" s="4">
        <f t="shared" si="396"/>
        <v>0.23273507525551435</v>
      </c>
      <c r="Y4183" s="3">
        <f t="shared" si="393"/>
        <v>-394.01042055103153</v>
      </c>
      <c r="AA4183" s="3"/>
    </row>
    <row r="4184" spans="19:27" x14ac:dyDescent="0.25">
      <c r="S4184" s="4">
        <v>1.2602061224227574</v>
      </c>
      <c r="T4184" s="4">
        <v>-0.49955453271345135</v>
      </c>
      <c r="U4184" s="4">
        <f t="shared" si="394"/>
        <v>0.3722568786557931</v>
      </c>
      <c r="W4184" s="4">
        <f t="shared" si="395"/>
        <v>2.171241488054692</v>
      </c>
      <c r="X4184" s="4">
        <f t="shared" si="396"/>
        <v>0.72211316333327635</v>
      </c>
      <c r="Y4184" s="3">
        <f t="shared" si="393"/>
        <v>-263.69045933270036</v>
      </c>
      <c r="AA4184" s="3"/>
    </row>
    <row r="4185" spans="19:27" x14ac:dyDescent="0.25">
      <c r="S4185" s="4">
        <v>0.9099814949589673</v>
      </c>
      <c r="T4185" s="4">
        <v>-0.42698363331870653</v>
      </c>
      <c r="U4185" s="4">
        <f t="shared" si="394"/>
        <v>0.21627850435088491</v>
      </c>
      <c r="W4185" s="4">
        <f t="shared" si="395"/>
        <v>1.5756996594007919</v>
      </c>
      <c r="X4185" s="4">
        <f t="shared" si="396"/>
        <v>0.44710835125860715</v>
      </c>
      <c r="Y4185" s="3">
        <f t="shared" si="393"/>
        <v>-201.43271101161145</v>
      </c>
      <c r="AA4185" s="3"/>
    </row>
    <row r="4186" spans="19:27" x14ac:dyDescent="0.25">
      <c r="S4186" s="4">
        <v>2.0000097621731889</v>
      </c>
      <c r="T4186" s="4">
        <v>0.88998938881954803</v>
      </c>
      <c r="U4186" s="4">
        <f t="shared" si="394"/>
        <v>1.9247380604032991</v>
      </c>
      <c r="W4186" s="4">
        <f t="shared" si="395"/>
        <v>3.4292455743245389</v>
      </c>
      <c r="X4186" s="4">
        <f t="shared" si="396"/>
        <v>3.4592861691330858</v>
      </c>
      <c r="Y4186" s="3">
        <f t="shared" si="393"/>
        <v>-173.79506660767674</v>
      </c>
      <c r="AA4186" s="3"/>
    </row>
    <row r="4187" spans="19:27" x14ac:dyDescent="0.25">
      <c r="S4187" s="4">
        <v>0.27359274841349146</v>
      </c>
      <c r="T4187" s="4">
        <v>-1.0751138850069619</v>
      </c>
      <c r="U4187" s="4">
        <f t="shared" si="394"/>
        <v>-0.6854459523022125</v>
      </c>
      <c r="W4187" s="4">
        <f t="shared" si="395"/>
        <v>0.4935481254066828</v>
      </c>
      <c r="X4187" s="4">
        <f t="shared" si="396"/>
        <v>-1.1427182247016421</v>
      </c>
      <c r="Y4187" s="3">
        <f t="shared" si="393"/>
        <v>-192.73503548797134</v>
      </c>
      <c r="AA4187" s="3"/>
    </row>
    <row r="4188" spans="19:27" x14ac:dyDescent="0.25">
      <c r="S4188" s="4">
        <v>-0.15141668515590134</v>
      </c>
      <c r="T4188" s="4">
        <v>-1.2182047493868042</v>
      </c>
      <c r="U4188" s="4">
        <f t="shared" si="394"/>
        <v>-1.0579681719312943</v>
      </c>
      <c r="W4188" s="4">
        <f t="shared" si="395"/>
        <v>-0.22916203091789944</v>
      </c>
      <c r="X4188" s="4">
        <f t="shared" si="396"/>
        <v>-1.7995105746621114</v>
      </c>
      <c r="Y4188" s="3">
        <f t="shared" si="393"/>
        <v>-143.09181408063023</v>
      </c>
      <c r="AA4188" s="3"/>
    </row>
    <row r="4189" spans="19:27" x14ac:dyDescent="0.25">
      <c r="S4189" s="4">
        <v>0.76733035788101078</v>
      </c>
      <c r="T4189" s="4">
        <v>-0.68561925883449315</v>
      </c>
      <c r="U4189" s="4">
        <f t="shared" si="394"/>
        <v>-7.5703207782918003E-2</v>
      </c>
      <c r="W4189" s="4">
        <f t="shared" si="395"/>
        <v>1.3331275717375739</v>
      </c>
      <c r="X4189" s="4">
        <f t="shared" si="396"/>
        <v>-6.7683370558113715E-2</v>
      </c>
      <c r="Y4189" s="3">
        <f t="shared" si="393"/>
        <v>-215.8416404450918</v>
      </c>
      <c r="AA4189" s="3"/>
    </row>
    <row r="4190" spans="19:27" x14ac:dyDescent="0.25">
      <c r="S4190" s="4">
        <v>1.3178876552829355</v>
      </c>
      <c r="T4190" s="4">
        <v>-0.65774187885832291</v>
      </c>
      <c r="U4190" s="4">
        <f t="shared" si="394"/>
        <v>0.28202698128295334</v>
      </c>
      <c r="W4190" s="4">
        <f t="shared" si="395"/>
        <v>2.2693264394411048</v>
      </c>
      <c r="X4190" s="4">
        <f t="shared" si="396"/>
        <v>0.56302921287467955</v>
      </c>
      <c r="Y4190" s="3">
        <f t="shared" si="393"/>
        <v>-294.2120371687879</v>
      </c>
      <c r="AA4190" s="3"/>
    </row>
    <row r="4191" spans="19:27" x14ac:dyDescent="0.25">
      <c r="S4191" s="4">
        <v>-0.71525213442466207</v>
      </c>
      <c r="T4191" s="4">
        <v>2.7703109702211574E-2</v>
      </c>
      <c r="U4191" s="4">
        <f t="shared" si="394"/>
        <v>-0.41407362578514245</v>
      </c>
      <c r="W4191" s="4">
        <f t="shared" si="395"/>
        <v>-1.1879398214721293</v>
      </c>
      <c r="X4191" s="4">
        <f t="shared" si="396"/>
        <v>-0.66426282350475785</v>
      </c>
      <c r="Y4191" s="3">
        <f t="shared" si="393"/>
        <v>127.6132829740236</v>
      </c>
      <c r="AA4191" s="3"/>
    </row>
    <row r="4192" spans="19:27" x14ac:dyDescent="0.25">
      <c r="S4192" s="4">
        <v>2.5667118559655511</v>
      </c>
      <c r="T4192" s="4">
        <v>0.57905625427805285</v>
      </c>
      <c r="U4192" s="4">
        <f t="shared" si="394"/>
        <v>2.0237380867780881</v>
      </c>
      <c r="W4192" s="4">
        <f t="shared" si="395"/>
        <v>4.3928979698831325</v>
      </c>
      <c r="X4192" s="4">
        <f t="shared" si="396"/>
        <v>3.6338326969444701</v>
      </c>
      <c r="Y4192" s="3">
        <f t="shared" si="393"/>
        <v>-291.93825905016683</v>
      </c>
      <c r="AA4192" s="3"/>
    </row>
    <row r="4193" spans="19:27" x14ac:dyDescent="0.25">
      <c r="S4193" s="4">
        <v>0.23523227319261181</v>
      </c>
      <c r="T4193" s="4">
        <v>0.55590044466329702</v>
      </c>
      <c r="U4193" s="4">
        <f t="shared" si="394"/>
        <v>0.58406068801581146</v>
      </c>
      <c r="W4193" s="4">
        <f t="shared" si="395"/>
        <v>0.42831779672730613</v>
      </c>
      <c r="X4193" s="4">
        <f t="shared" si="396"/>
        <v>1.0955435638571909</v>
      </c>
      <c r="Y4193" s="3">
        <f t="shared" si="393"/>
        <v>41.389452415454343</v>
      </c>
      <c r="AA4193" s="3"/>
    </row>
    <row r="4194" spans="19:27" x14ac:dyDescent="0.25">
      <c r="S4194" s="4">
        <v>0.65813699379395318</v>
      </c>
      <c r="T4194" s="4">
        <v>-0.21854581015161254</v>
      </c>
      <c r="U4194" s="4">
        <f t="shared" si="394"/>
        <v>0.22797547619288153</v>
      </c>
      <c r="W4194" s="4">
        <f t="shared" si="395"/>
        <v>1.1474489796973817</v>
      </c>
      <c r="X4194" s="4">
        <f t="shared" si="396"/>
        <v>0.46773123284450502</v>
      </c>
      <c r="Y4194" s="3">
        <f t="shared" si="393"/>
        <v>-133.72358817418035</v>
      </c>
      <c r="AA4194" s="3"/>
    </row>
    <row r="4195" spans="19:27" x14ac:dyDescent="0.25">
      <c r="S4195" s="4">
        <v>-1.0579861849904302</v>
      </c>
      <c r="T4195" s="4">
        <v>-0.2555812752739669</v>
      </c>
      <c r="U4195" s="4">
        <f t="shared" si="394"/>
        <v>-0.8475692211027267</v>
      </c>
      <c r="W4195" s="4">
        <f t="shared" si="395"/>
        <v>-1.7707442481454048</v>
      </c>
      <c r="X4195" s="4">
        <f t="shared" si="396"/>
        <v>-1.4285570742735827</v>
      </c>
      <c r="Y4195" s="3">
        <f t="shared" si="393"/>
        <v>149.08981260431938</v>
      </c>
      <c r="AA4195" s="3"/>
    </row>
    <row r="4196" spans="19:27" x14ac:dyDescent="0.25">
      <c r="S4196" s="4">
        <v>-0.14732100787621599</v>
      </c>
      <c r="T4196" s="4">
        <v>0.46220936660144751</v>
      </c>
      <c r="U4196" s="4">
        <f t="shared" si="394"/>
        <v>0.27657950257811764</v>
      </c>
      <c r="W4196" s="4">
        <f t="shared" si="395"/>
        <v>-0.22219750887847711</v>
      </c>
      <c r="X4196" s="4">
        <f t="shared" si="396"/>
        <v>0.5534247862086108</v>
      </c>
      <c r="Y4196" s="3">
        <f t="shared" si="393"/>
        <v>91.077512645969819</v>
      </c>
      <c r="AA4196" s="3"/>
    </row>
    <row r="4197" spans="19:27" x14ac:dyDescent="0.25">
      <c r="S4197" s="4">
        <v>-1.1394108665349287</v>
      </c>
      <c r="T4197" s="4">
        <v>0.9542257745574928</v>
      </c>
      <c r="U4197" s="4">
        <f t="shared" si="394"/>
        <v>6.1796869150635758E-2</v>
      </c>
      <c r="W4197" s="4">
        <f t="shared" si="395"/>
        <v>-1.9092033967659161</v>
      </c>
      <c r="X4197" s="4">
        <f t="shared" si="396"/>
        <v>0.17474243356936686</v>
      </c>
      <c r="Y4197" s="3">
        <f t="shared" si="393"/>
        <v>332.94443542013232</v>
      </c>
      <c r="AA4197" s="3"/>
    </row>
    <row r="4198" spans="19:27" x14ac:dyDescent="0.25">
      <c r="S4198" s="4">
        <v>-0.31388141868735753</v>
      </c>
      <c r="T4198" s="4">
        <v>-0.45454394362854778</v>
      </c>
      <c r="U4198" s="4">
        <f t="shared" si="394"/>
        <v>-0.55166247247969369</v>
      </c>
      <c r="W4198" s="4">
        <f t="shared" si="395"/>
        <v>-0.50542628223499297</v>
      </c>
      <c r="X4198" s="4">
        <f t="shared" si="396"/>
        <v>-0.90684513722242877</v>
      </c>
      <c r="Y4198" s="3">
        <f t="shared" si="393"/>
        <v>-9.027504512726864</v>
      </c>
      <c r="AA4198" s="3"/>
    </row>
    <row r="4199" spans="19:27" x14ac:dyDescent="0.25">
      <c r="S4199" s="4">
        <v>1.0836194622727189</v>
      </c>
      <c r="T4199" s="4">
        <v>2.0537864469849545</v>
      </c>
      <c r="U4199" s="4">
        <f t="shared" si="394"/>
        <v>2.2886187268913938</v>
      </c>
      <c r="W4199" s="4">
        <f t="shared" si="395"/>
        <v>1.8709635114223611</v>
      </c>
      <c r="X4199" s="4">
        <f t="shared" si="396"/>
        <v>4.1008426332974581</v>
      </c>
      <c r="Y4199" s="3">
        <f t="shared" si="393"/>
        <v>119.21753774348463</v>
      </c>
      <c r="AA4199" s="3"/>
    </row>
    <row r="4200" spans="19:27" x14ac:dyDescent="0.25">
      <c r="S4200" s="4">
        <v>1.4593855943046976</v>
      </c>
      <c r="T4200" s="4">
        <v>-2.81125250055999</v>
      </c>
      <c r="U4200" s="4">
        <f t="shared" si="394"/>
        <v>-1.3387834005330057</v>
      </c>
      <c r="W4200" s="4">
        <f t="shared" si="395"/>
        <v>2.5099375636958969</v>
      </c>
      <c r="X4200" s="4">
        <f t="shared" si="396"/>
        <v>-2.2946147165885917</v>
      </c>
      <c r="Y4200" s="3">
        <f t="shared" si="393"/>
        <v>-615.6215483541464</v>
      </c>
      <c r="AA4200" s="3"/>
    </row>
    <row r="4201" spans="19:27" x14ac:dyDescent="0.25">
      <c r="S4201" s="4">
        <v>0.5405205058974506</v>
      </c>
      <c r="T4201" s="4">
        <v>0.99732773263861108</v>
      </c>
      <c r="U4201" s="4">
        <f t="shared" si="394"/>
        <v>1.1200870943391583</v>
      </c>
      <c r="W4201" s="4">
        <f t="shared" si="395"/>
        <v>0.94744722999468711</v>
      </c>
      <c r="X4201" s="4">
        <f t="shared" si="396"/>
        <v>2.0406094538879076</v>
      </c>
      <c r="Y4201" s="3">
        <f t="shared" si="393"/>
        <v>54.540817489536948</v>
      </c>
      <c r="AA4201" s="3"/>
    </row>
    <row r="4202" spans="19:27" x14ac:dyDescent="0.25">
      <c r="S4202" s="4">
        <v>1.5563098394903558</v>
      </c>
      <c r="T4202" s="4">
        <v>1.5037900078857036</v>
      </c>
      <c r="U4202" s="4">
        <f t="shared" si="394"/>
        <v>2.1408035397223175</v>
      </c>
      <c r="W4202" s="4">
        <f t="shared" si="395"/>
        <v>2.6747530497934124</v>
      </c>
      <c r="X4202" s="4">
        <f t="shared" si="396"/>
        <v>3.840230301938298</v>
      </c>
      <c r="Y4202" s="3">
        <f t="shared" si="393"/>
        <v>-26.388116190989876</v>
      </c>
      <c r="AA4202" s="3"/>
    </row>
    <row r="4203" spans="19:27" x14ac:dyDescent="0.25">
      <c r="S4203" s="4">
        <v>-0.6710428100194159</v>
      </c>
      <c r="T4203" s="4">
        <v>-1.7307302566499143</v>
      </c>
      <c r="U4203" s="4">
        <f t="shared" si="394"/>
        <v>-1.7810187305804182</v>
      </c>
      <c r="W4203" s="4">
        <f t="shared" si="395"/>
        <v>-1.1127637777697887</v>
      </c>
      <c r="X4203" s="4">
        <f t="shared" si="396"/>
        <v>-3.0743179566975707</v>
      </c>
      <c r="Y4203" s="3">
        <f t="shared" si="393"/>
        <v>-125.89050870466508</v>
      </c>
      <c r="AA4203" s="3"/>
    </row>
    <row r="4204" spans="19:27" x14ac:dyDescent="0.25">
      <c r="S4204" s="4">
        <v>0.74737686769331424</v>
      </c>
      <c r="T4204" s="4">
        <v>0.67521334507586739</v>
      </c>
      <c r="U4204" s="4">
        <f t="shared" si="394"/>
        <v>0.99085384363204532</v>
      </c>
      <c r="W4204" s="4">
        <f t="shared" si="395"/>
        <v>1.299197524840352</v>
      </c>
      <c r="X4204" s="4">
        <f t="shared" si="396"/>
        <v>1.8127588561182788</v>
      </c>
      <c r="Y4204" s="3">
        <f t="shared" si="393"/>
        <v>-22.588493422730608</v>
      </c>
      <c r="AA4204" s="3"/>
    </row>
    <row r="4205" spans="19:27" x14ac:dyDescent="0.25">
      <c r="S4205" s="4">
        <v>1.0358336475925978E-2</v>
      </c>
      <c r="T4205" s="4">
        <v>-0.26182939480940182</v>
      </c>
      <c r="U4205" s="4">
        <f t="shared" si="394"/>
        <v>-0.20123539855982767</v>
      </c>
      <c r="W4205" s="4">
        <f t="shared" si="395"/>
        <v>4.5929395150085095E-2</v>
      </c>
      <c r="X4205" s="4">
        <f t="shared" si="396"/>
        <v>-0.28900864521728975</v>
      </c>
      <c r="Y4205" s="3">
        <f t="shared" si="393"/>
        <v>-36.25561527599757</v>
      </c>
      <c r="AA4205" s="3"/>
    </row>
    <row r="4206" spans="19:27" x14ac:dyDescent="0.25">
      <c r="S4206" s="4">
        <v>1.4274374324713557</v>
      </c>
      <c r="T4206" s="4">
        <v>-2.2032123811786462</v>
      </c>
      <c r="U4206" s="4">
        <f t="shared" si="394"/>
        <v>-0.87627116298054986</v>
      </c>
      <c r="W4206" s="4">
        <f t="shared" si="395"/>
        <v>2.4556110965421092</v>
      </c>
      <c r="X4206" s="4">
        <f t="shared" si="396"/>
        <v>-1.4791613466123825</v>
      </c>
      <c r="Y4206" s="3">
        <f t="shared" si="393"/>
        <v>-526.05314628782162</v>
      </c>
      <c r="AA4206" s="3"/>
    </row>
    <row r="4207" spans="19:27" x14ac:dyDescent="0.25">
      <c r="S4207" s="4">
        <v>-1.3800057882901404</v>
      </c>
      <c r="T4207" s="4">
        <v>-0.10299641055247498</v>
      </c>
      <c r="U4207" s="4">
        <f t="shared" si="394"/>
        <v>-0.92292675165261961</v>
      </c>
      <c r="W4207" s="4">
        <f t="shared" si="395"/>
        <v>-2.318324653327906</v>
      </c>
      <c r="X4207" s="4">
        <f t="shared" si="396"/>
        <v>-1.5614196176847197</v>
      </c>
      <c r="Y4207" s="3">
        <f t="shared" si="393"/>
        <v>229.43649810291572</v>
      </c>
      <c r="AA4207" s="3"/>
    </row>
    <row r="4208" spans="19:27" x14ac:dyDescent="0.25">
      <c r="S4208" s="4">
        <v>3.3101529332750221E-2</v>
      </c>
      <c r="T4208" s="4">
        <v>2.4781260274046135E-3</v>
      </c>
      <c r="U4208" s="4">
        <f t="shared" si="394"/>
        <v>2.2143821561558155E-2</v>
      </c>
      <c r="W4208" s="4">
        <f t="shared" si="395"/>
        <v>8.4603210756561242E-2</v>
      </c>
      <c r="X4208" s="4">
        <f t="shared" si="396"/>
        <v>0.10483031306537041</v>
      </c>
      <c r="Y4208" s="3">
        <f t="shared" si="393"/>
        <v>-3.0561690445415479</v>
      </c>
      <c r="AA4208" s="3"/>
    </row>
    <row r="4209" spans="19:27" x14ac:dyDescent="0.25">
      <c r="S4209" s="4">
        <v>0.37978889463684379</v>
      </c>
      <c r="T4209" s="4">
        <v>-1.6191560179132987</v>
      </c>
      <c r="U4209" s="4">
        <f t="shared" si="394"/>
        <v>-1.0519642688534385</v>
      </c>
      <c r="W4209" s="4">
        <f t="shared" si="395"/>
        <v>0.67413007812613013</v>
      </c>
      <c r="X4209" s="4">
        <f t="shared" si="396"/>
        <v>-1.7889251185371957</v>
      </c>
      <c r="Y4209" s="3">
        <f t="shared" si="393"/>
        <v>-285.75154486404017</v>
      </c>
      <c r="AA4209" s="3"/>
    </row>
    <row r="4210" spans="19:27" x14ac:dyDescent="0.25">
      <c r="S4210" s="4">
        <v>-1.4978233149121811</v>
      </c>
      <c r="T4210" s="4">
        <v>1.4586047467393508</v>
      </c>
      <c r="U4210" s="4">
        <f t="shared" si="394"/>
        <v>0.24311782954351768</v>
      </c>
      <c r="W4210" s="4">
        <f t="shared" si="395"/>
        <v>-2.5186682606866548</v>
      </c>
      <c r="X4210" s="4">
        <f t="shared" si="396"/>
        <v>0.49442865199710928</v>
      </c>
      <c r="Y4210" s="3">
        <f t="shared" si="393"/>
        <v>469.67946042770745</v>
      </c>
      <c r="AA4210" s="3"/>
    </row>
    <row r="4211" spans="19:27" x14ac:dyDescent="0.25">
      <c r="S4211" s="4">
        <v>-8.9783449769462578E-2</v>
      </c>
      <c r="T4211" s="4">
        <v>1.5198761888379733</v>
      </c>
      <c r="U4211" s="4">
        <f t="shared" si="394"/>
        <v>1.1500597304537949</v>
      </c>
      <c r="W4211" s="4">
        <f t="shared" si="395"/>
        <v>-0.12435738033206663</v>
      </c>
      <c r="X4211" s="4">
        <f t="shared" si="396"/>
        <v>2.0934540818616245</v>
      </c>
      <c r="Y4211" s="3">
        <f t="shared" si="393"/>
        <v>229.3137351939904</v>
      </c>
      <c r="AA4211" s="3"/>
    </row>
    <row r="4212" spans="19:27" x14ac:dyDescent="0.25">
      <c r="S4212" s="4">
        <v>0.70094179523619093</v>
      </c>
      <c r="T4212" s="4">
        <v>-0.52565595964085632</v>
      </c>
      <c r="U4212" s="4">
        <f t="shared" si="394"/>
        <v>1.0626473771001621E-2</v>
      </c>
      <c r="W4212" s="4">
        <f t="shared" si="395"/>
        <v>1.2202366928593096</v>
      </c>
      <c r="X4212" s="4">
        <f t="shared" si="396"/>
        <v>8.4524125884902143E-2</v>
      </c>
      <c r="Y4212" s="3">
        <f t="shared" si="393"/>
        <v>-183.2673894005593</v>
      </c>
      <c r="AA4212" s="3"/>
    </row>
    <row r="4213" spans="19:27" x14ac:dyDescent="0.25">
      <c r="S4213" s="4">
        <v>8.2921151266542897E-2</v>
      </c>
      <c r="T4213" s="4">
        <v>-0.87437419111546633</v>
      </c>
      <c r="U4213" s="4">
        <f t="shared" si="394"/>
        <v>-0.64255885892748221</v>
      </c>
      <c r="W4213" s="4">
        <f t="shared" si="395"/>
        <v>0.16931932271063674</v>
      </c>
      <c r="X4213" s="4">
        <f t="shared" si="396"/>
        <v>-1.0671041717503582</v>
      </c>
      <c r="Y4213" s="3">
        <f t="shared" si="393"/>
        <v>-133.76985249939389</v>
      </c>
      <c r="AA4213" s="3"/>
    </row>
    <row r="4214" spans="19:27" x14ac:dyDescent="0.25">
      <c r="S4214" s="4">
        <v>0.63656312190791542</v>
      </c>
      <c r="T4214" s="4">
        <v>0.22001544203744222</v>
      </c>
      <c r="U4214" s="4">
        <f t="shared" si="394"/>
        <v>0.56246756696457256</v>
      </c>
      <c r="W4214" s="4">
        <f t="shared" si="395"/>
        <v>1.1107635438181351</v>
      </c>
      <c r="X4214" s="4">
        <f t="shared" si="396"/>
        <v>1.0574728234531816</v>
      </c>
      <c r="Y4214" s="3">
        <f t="shared" si="393"/>
        <v>-69.082744257717422</v>
      </c>
      <c r="AA4214" s="3"/>
    </row>
    <row r="4215" spans="19:27" x14ac:dyDescent="0.25">
      <c r="S4215" s="4">
        <v>-1.6421296472078124</v>
      </c>
      <c r="T4215" s="4">
        <v>-0.79993485756187577</v>
      </c>
      <c r="U4215" s="4">
        <f t="shared" si="394"/>
        <v>-1.6351808491545015</v>
      </c>
      <c r="W4215" s="4">
        <f t="shared" si="395"/>
        <v>-2.764054936215528</v>
      </c>
      <c r="X4215" s="4">
        <f t="shared" si="396"/>
        <v>-2.8171918047317717</v>
      </c>
      <c r="Y4215" s="3">
        <f t="shared" si="393"/>
        <v>181.26146322832756</v>
      </c>
      <c r="AA4215" s="3"/>
    </row>
    <row r="4216" spans="19:27" x14ac:dyDescent="0.25">
      <c r="S4216" s="4">
        <v>0.7730758217363336</v>
      </c>
      <c r="T4216" s="4">
        <v>-1.2295144006103442</v>
      </c>
      <c r="U4216" s="4">
        <f t="shared" si="394"/>
        <v>-0.50334198285058251</v>
      </c>
      <c r="W4216" s="4">
        <f t="shared" si="395"/>
        <v>1.3428974844808392</v>
      </c>
      <c r="X4216" s="4">
        <f t="shared" si="396"/>
        <v>-0.82165148631391571</v>
      </c>
      <c r="Y4216" s="3">
        <f t="shared" si="393"/>
        <v>-292.73724508613759</v>
      </c>
      <c r="AA4216" s="3"/>
    </row>
    <row r="4217" spans="19:27" x14ac:dyDescent="0.25">
      <c r="S4217" s="4">
        <v>-0.41002058209110587</v>
      </c>
      <c r="T4217" s="4">
        <v>0.2722821668082816</v>
      </c>
      <c r="U4217" s="4">
        <f t="shared" si="394"/>
        <v>-3.4121794633230618E-2</v>
      </c>
      <c r="W4217" s="4">
        <f t="shared" si="395"/>
        <v>-0.66890677072418114</v>
      </c>
      <c r="X4217" s="4">
        <f t="shared" si="396"/>
        <v>5.6286431103678425E-3</v>
      </c>
      <c r="Y4217" s="3">
        <f t="shared" si="393"/>
        <v>108.91639883795779</v>
      </c>
      <c r="AA4217" s="3"/>
    </row>
    <row r="4218" spans="19:27" x14ac:dyDescent="0.25">
      <c r="S4218" s="4">
        <v>1.1260132968029239</v>
      </c>
      <c r="T4218" s="4">
        <v>-1.2823239347396023</v>
      </c>
      <c r="U4218" s="4">
        <f t="shared" si="394"/>
        <v>-0.33004511958904559</v>
      </c>
      <c r="W4218" s="4">
        <f t="shared" si="395"/>
        <v>1.9430523931283727</v>
      </c>
      <c r="X4218" s="4">
        <f t="shared" si="396"/>
        <v>-0.51611251960300952</v>
      </c>
      <c r="Y4218" s="3">
        <f t="shared" si="393"/>
        <v>-353.33079689376063</v>
      </c>
      <c r="AA4218" s="3"/>
    </row>
    <row r="4219" spans="19:27" x14ac:dyDescent="0.25">
      <c r="S4219" s="4">
        <v>-0.88078395653662411</v>
      </c>
      <c r="T4219" s="4">
        <v>0.87737289719889899</v>
      </c>
      <c r="U4219" s="4">
        <f t="shared" si="394"/>
        <v>0.15854094141653952</v>
      </c>
      <c r="W4219" s="4">
        <f t="shared" si="395"/>
        <v>-1.4694195242413535</v>
      </c>
      <c r="X4219" s="4">
        <f t="shared" si="396"/>
        <v>0.34531149823223595</v>
      </c>
      <c r="Y4219" s="3">
        <f t="shared" si="393"/>
        <v>275.63241374694826</v>
      </c>
      <c r="AA4219" s="3"/>
    </row>
    <row r="4220" spans="19:27" x14ac:dyDescent="0.25">
      <c r="S4220" s="4">
        <v>-0.87366206484850029</v>
      </c>
      <c r="T4220" s="4">
        <v>1.5944319196367669</v>
      </c>
      <c r="U4220" s="4">
        <f t="shared" si="394"/>
        <v>0.73128956968745151</v>
      </c>
      <c r="W4220" s="4">
        <f t="shared" si="395"/>
        <v>-1.4573090555112274</v>
      </c>
      <c r="X4220" s="4">
        <f t="shared" si="396"/>
        <v>1.3551221824734194</v>
      </c>
      <c r="Y4220" s="3">
        <f t="shared" si="393"/>
        <v>374.58006842830946</v>
      </c>
      <c r="AA4220" s="3"/>
    </row>
    <row r="4221" spans="19:27" x14ac:dyDescent="0.25">
      <c r="S4221" s="4">
        <v>0.11456996821089895</v>
      </c>
      <c r="T4221" s="4">
        <v>-1.2660367669361425</v>
      </c>
      <c r="U4221" s="4">
        <f t="shared" si="394"/>
        <v>-0.93373283194487611</v>
      </c>
      <c r="W4221" s="4">
        <f t="shared" si="395"/>
        <v>0.22313676683004849</v>
      </c>
      <c r="X4221" s="4">
        <f t="shared" si="396"/>
        <v>-1.5804717721470212</v>
      </c>
      <c r="Y4221" s="3">
        <f t="shared" si="393"/>
        <v>-193.67636171768208</v>
      </c>
      <c r="AA4221" s="3"/>
    </row>
    <row r="4222" spans="19:27" x14ac:dyDescent="0.25">
      <c r="S4222" s="4">
        <v>5.4567823368414405E-2</v>
      </c>
      <c r="T4222" s="4">
        <v>1.1950321397046462</v>
      </c>
      <c r="U4222" s="4">
        <f t="shared" si="394"/>
        <v>0.98055820215500311</v>
      </c>
      <c r="W4222" s="4">
        <f t="shared" si="395"/>
        <v>0.12110571515495197</v>
      </c>
      <c r="X4222" s="4">
        <f t="shared" si="396"/>
        <v>1.7946066541723384</v>
      </c>
      <c r="Y4222" s="3">
        <f t="shared" si="393"/>
        <v>160.09132136570497</v>
      </c>
      <c r="AA4222" s="3"/>
    </row>
    <row r="4223" spans="19:27" x14ac:dyDescent="0.25">
      <c r="S4223" s="4">
        <v>-0.2661216166355076</v>
      </c>
      <c r="T4223" s="4">
        <v>0.32359256121858571</v>
      </c>
      <c r="U4223" s="4">
        <f t="shared" si="394"/>
        <v>9.4275565498793179E-2</v>
      </c>
      <c r="W4223" s="4">
        <f t="shared" si="395"/>
        <v>-0.4242128048845239</v>
      </c>
      <c r="X4223" s="4">
        <f t="shared" si="396"/>
        <v>0.23200548574219759</v>
      </c>
      <c r="Y4223" s="3">
        <f t="shared" si="393"/>
        <v>91.647136057149964</v>
      </c>
      <c r="AA4223" s="3"/>
    </row>
    <row r="4224" spans="19:27" x14ac:dyDescent="0.25">
      <c r="S4224" s="4">
        <v>0.82043827581162543</v>
      </c>
      <c r="T4224" s="4">
        <v>2.5256444324159339</v>
      </c>
      <c r="U4224" s="4">
        <f t="shared" si="394"/>
        <v>2.5022156626888359</v>
      </c>
      <c r="W4224" s="4">
        <f t="shared" si="395"/>
        <v>1.423435288786026</v>
      </c>
      <c r="X4224" s="4">
        <f t="shared" si="396"/>
        <v>4.4774344874597203</v>
      </c>
      <c r="Y4224" s="3">
        <f t="shared" si="393"/>
        <v>224.83449520136037</v>
      </c>
      <c r="AA4224" s="3"/>
    </row>
    <row r="4225" spans="19:27" x14ac:dyDescent="0.25">
      <c r="S4225" s="4">
        <v>3.2219812048786253E-2</v>
      </c>
      <c r="T4225" s="4">
        <v>0.68408840255212544</v>
      </c>
      <c r="U4225" s="4">
        <f t="shared" si="394"/>
        <v>0.56191333326096238</v>
      </c>
      <c r="W4225" s="4">
        <f t="shared" si="395"/>
        <v>8.310388865734096E-2</v>
      </c>
      <c r="X4225" s="4">
        <f t="shared" si="396"/>
        <v>1.0564956563543066</v>
      </c>
      <c r="Y4225" s="3">
        <f t="shared" si="393"/>
        <v>92.349982592556444</v>
      </c>
      <c r="AA4225" s="3"/>
    </row>
    <row r="4226" spans="19:27" x14ac:dyDescent="0.25">
      <c r="S4226" s="4">
        <v>0.19628378289476248</v>
      </c>
      <c r="T4226" s="4">
        <v>0.98771838189871264</v>
      </c>
      <c r="U4226" s="4">
        <f t="shared" si="394"/>
        <v>0.90261545179878011</v>
      </c>
      <c r="W4226" s="4">
        <f t="shared" si="395"/>
        <v>0.36208757384645507</v>
      </c>
      <c r="X4226" s="4">
        <f t="shared" si="396"/>
        <v>1.6571861206540488</v>
      </c>
      <c r="Y4226" s="3">
        <f t="shared" ref="Y4226:Y4289" si="397">(B$4*EXP(-B$8*B$7)*NORMSDIST((LN(B$4/(B$5+W4226))-B$8*B$7+B$9*B$7+0.5*B$6*B$6*B$7)/(B$6*SQRT(B$7)))-(B$5+W4226)*EXP(-B$9*B$7)*NORMSDIST((LN(B$4/(B$5+W4226))-B$8*B$7+B$9*B$7-0.5*B$6*B$6*B$7)/(B$6*SQRT(B$7))))*400+100*X4226-400*$B$13</f>
        <v>108.03222736008456</v>
      </c>
      <c r="AA4226" s="3"/>
    </row>
    <row r="4227" spans="19:27" x14ac:dyDescent="0.25">
      <c r="S4227" s="4">
        <v>-8.9533100073524829E-2</v>
      </c>
      <c r="T4227" s="4">
        <v>-0.92779957037470395</v>
      </c>
      <c r="U4227" s="4">
        <f t="shared" ref="U4227:U4290" si="398">$B$19*S4227+SQRT(1-$B$19^2)*T4227</f>
        <v>-0.79004069006595334</v>
      </c>
      <c r="W4227" s="4">
        <f t="shared" ref="W4227:W4290" si="399">S4227*SQRT($B$16)+$B$20</f>
        <v>-0.12393167150398847</v>
      </c>
      <c r="X4227" s="4">
        <f t="shared" ref="X4227:X4290" si="400">U4227*SQRT($C$17)+$C$20</f>
        <v>-1.3271287645017851</v>
      </c>
      <c r="Y4227" s="3">
        <f t="shared" si="397"/>
        <v>-112.81304299191606</v>
      </c>
      <c r="AA4227" s="3"/>
    </row>
    <row r="4228" spans="19:27" x14ac:dyDescent="0.25">
      <c r="S4228" s="4">
        <v>0.11542076184500542</v>
      </c>
      <c r="T4228" s="4">
        <v>-1.345876848628663</v>
      </c>
      <c r="U4228" s="4">
        <f t="shared" si="398"/>
        <v>-0.9965027647118998</v>
      </c>
      <c r="W4228" s="4">
        <f t="shared" si="399"/>
        <v>0.22458350460041063</v>
      </c>
      <c r="X4228" s="4">
        <f t="shared" si="400"/>
        <v>-1.6911411751425351</v>
      </c>
      <c r="Y4228" s="3">
        <f t="shared" si="397"/>
        <v>-204.97347075115749</v>
      </c>
      <c r="AA4228" s="3"/>
    </row>
    <row r="4229" spans="19:27" x14ac:dyDescent="0.25">
      <c r="S4229" s="4">
        <v>1.4920862548147793</v>
      </c>
      <c r="T4229" s="4">
        <v>-0.56102361613100526</v>
      </c>
      <c r="U4229" s="4">
        <f t="shared" si="398"/>
        <v>0.46489012920080719</v>
      </c>
      <c r="W4229" s="4">
        <f t="shared" si="399"/>
        <v>2.5655436222971808</v>
      </c>
      <c r="X4229" s="4">
        <f t="shared" si="400"/>
        <v>0.88543445560549461</v>
      </c>
      <c r="Y4229" s="3">
        <f t="shared" si="397"/>
        <v>-305.81354801443513</v>
      </c>
      <c r="AA4229" s="3"/>
    </row>
    <row r="4230" spans="19:27" x14ac:dyDescent="0.25">
      <c r="S4230" s="4">
        <v>1.4378563186082747</v>
      </c>
      <c r="T4230" s="4">
        <v>0.44324455255534151</v>
      </c>
      <c r="U4230" s="4">
        <f t="shared" si="398"/>
        <v>1.2279057123118418</v>
      </c>
      <c r="W4230" s="4">
        <f t="shared" si="399"/>
        <v>2.473327961707906</v>
      </c>
      <c r="X4230" s="4">
        <f t="shared" si="400"/>
        <v>2.230704003250032</v>
      </c>
      <c r="Y4230" s="3">
        <f t="shared" si="397"/>
        <v>-157.68468649918304</v>
      </c>
      <c r="AA4230" s="3"/>
    </row>
    <row r="4231" spans="19:27" x14ac:dyDescent="0.25">
      <c r="S4231" s="4">
        <v>-0.37070209907033574</v>
      </c>
      <c r="T4231" s="4">
        <v>-0.18586287009766705</v>
      </c>
      <c r="U4231" s="4">
        <f t="shared" si="398"/>
        <v>-0.373320284387746</v>
      </c>
      <c r="W4231" s="4">
        <f t="shared" si="399"/>
        <v>-0.60204739122349848</v>
      </c>
      <c r="X4231" s="4">
        <f t="shared" si="400"/>
        <v>-0.59241077964066691</v>
      </c>
      <c r="Y4231" s="3">
        <f t="shared" si="397"/>
        <v>38.177392891650925</v>
      </c>
      <c r="AA4231" s="3"/>
    </row>
    <row r="4232" spans="19:27" x14ac:dyDescent="0.25">
      <c r="S4232" s="4">
        <v>0.76924927598904091</v>
      </c>
      <c r="T4232" s="4">
        <v>-1.4526369993704578</v>
      </c>
      <c r="U4232" s="4">
        <f t="shared" si="398"/>
        <v>-0.68254223379769496</v>
      </c>
      <c r="W4232" s="4">
        <f t="shared" si="399"/>
        <v>1.3363906089699042</v>
      </c>
      <c r="X4232" s="4">
        <f t="shared" si="400"/>
        <v>-1.1375986908867071</v>
      </c>
      <c r="Y4232" s="3">
        <f t="shared" si="397"/>
        <v>-323.33380558845874</v>
      </c>
      <c r="AA4232" s="3"/>
    </row>
    <row r="4233" spans="19:27" x14ac:dyDescent="0.25">
      <c r="S4233" s="4">
        <v>-0.88232916877332601</v>
      </c>
      <c r="T4233" s="4">
        <v>-1.6114760795324117</v>
      </c>
      <c r="U4233" s="4">
        <f t="shared" si="398"/>
        <v>-1.8152917746407509</v>
      </c>
      <c r="W4233" s="4">
        <f t="shared" si="399"/>
        <v>-1.4720470908056122</v>
      </c>
      <c r="X4233" s="4">
        <f t="shared" si="400"/>
        <v>-3.1347446157330987</v>
      </c>
      <c r="Y4233" s="3">
        <f t="shared" si="397"/>
        <v>-71.931912460001513</v>
      </c>
      <c r="AA4233" s="3"/>
    </row>
    <row r="4234" spans="19:27" x14ac:dyDescent="0.25">
      <c r="S4234" s="4">
        <v>0.42738753377697059</v>
      </c>
      <c r="T4234" s="4">
        <v>-0.39555014714214037</v>
      </c>
      <c r="U4234" s="4">
        <f t="shared" si="398"/>
        <v>-5.3004468331660337E-2</v>
      </c>
      <c r="W4234" s="4">
        <f t="shared" si="399"/>
        <v>0.75506950491695168</v>
      </c>
      <c r="X4234" s="4">
        <f t="shared" si="400"/>
        <v>-2.766331902890265E-2</v>
      </c>
      <c r="Y4234" s="3">
        <f t="shared" si="397"/>
        <v>-122.29863592033007</v>
      </c>
      <c r="AA4234" s="3"/>
    </row>
    <row r="4235" spans="19:27" x14ac:dyDescent="0.25">
      <c r="S4235" s="4">
        <v>1.7604378983034794</v>
      </c>
      <c r="T4235" s="4">
        <v>-0.71669210287554463</v>
      </c>
      <c r="U4235" s="4">
        <f t="shared" si="398"/>
        <v>0.50508611145117088</v>
      </c>
      <c r="W4235" s="4">
        <f t="shared" si="399"/>
        <v>3.0218639834404395</v>
      </c>
      <c r="X4235" s="4">
        <f t="shared" si="400"/>
        <v>0.95630382191463026</v>
      </c>
      <c r="Y4235" s="3">
        <f t="shared" si="397"/>
        <v>-365.41722631055654</v>
      </c>
      <c r="AA4235" s="3"/>
    </row>
    <row r="4236" spans="19:27" x14ac:dyDescent="0.25">
      <c r="S4236" s="4">
        <v>-0.19257966009640176</v>
      </c>
      <c r="T4236" s="4">
        <v>-4.6066442020122004E-3</v>
      </c>
      <c r="U4236" s="4">
        <f t="shared" si="398"/>
        <v>-0.12105250769690183</v>
      </c>
      <c r="W4236" s="4">
        <f t="shared" si="399"/>
        <v>-0.29915788913730695</v>
      </c>
      <c r="X4236" s="4">
        <f t="shared" si="400"/>
        <v>-0.14763852944561406</v>
      </c>
      <c r="Y4236" s="3">
        <f t="shared" si="397"/>
        <v>33.408067533612666</v>
      </c>
      <c r="AA4236" s="3"/>
    </row>
    <row r="4237" spans="19:27" x14ac:dyDescent="0.25">
      <c r="S4237" s="4">
        <v>8.6076928584327861E-2</v>
      </c>
      <c r="T4237" s="4">
        <v>1.0004278045042374</v>
      </c>
      <c r="U4237" s="4">
        <f t="shared" si="398"/>
        <v>0.84550555235671587</v>
      </c>
      <c r="W4237" s="4">
        <f t="shared" si="399"/>
        <v>0.17468558552392924</v>
      </c>
      <c r="X4237" s="4">
        <f t="shared" si="400"/>
        <v>1.5564958984764099</v>
      </c>
      <c r="Y4237" s="3">
        <f t="shared" si="397"/>
        <v>127.73497474316264</v>
      </c>
      <c r="AA4237" s="3"/>
    </row>
    <row r="4238" spans="19:27" x14ac:dyDescent="0.25">
      <c r="S4238" s="4">
        <v>9.882570641978115E-3</v>
      </c>
      <c r="T4238" s="4">
        <v>0.63247708674918857</v>
      </c>
      <c r="U4238" s="4">
        <f t="shared" si="398"/>
        <v>0.50738417439015449</v>
      </c>
      <c r="W4238" s="4">
        <f t="shared" si="399"/>
        <v>4.5120375930585307E-2</v>
      </c>
      <c r="X4238" s="4">
        <f t="shared" si="400"/>
        <v>0.96035552696340543</v>
      </c>
      <c r="Y4238" s="3">
        <f t="shared" si="397"/>
        <v>88.810257213716341</v>
      </c>
      <c r="AA4238" s="3"/>
    </row>
    <row r="4239" spans="19:27" x14ac:dyDescent="0.25">
      <c r="S4239" s="4">
        <v>0.4519879692728036</v>
      </c>
      <c r="T4239" s="4">
        <v>0.32390856336240442</v>
      </c>
      <c r="U4239" s="4">
        <f t="shared" si="398"/>
        <v>0.5323016838015342</v>
      </c>
      <c r="W4239" s="4">
        <f t="shared" si="399"/>
        <v>0.79690148128870308</v>
      </c>
      <c r="X4239" s="4">
        <f t="shared" si="400"/>
        <v>1.004287482425706</v>
      </c>
      <c r="Y4239" s="3">
        <f t="shared" si="397"/>
        <v>-25.640376556477349</v>
      </c>
      <c r="AA4239" s="3"/>
    </row>
    <row r="4240" spans="19:27" x14ac:dyDescent="0.25">
      <c r="S4240" s="4">
        <v>1.7396095877883118</v>
      </c>
      <c r="T4240" s="4">
        <v>1.7797581621870291</v>
      </c>
      <c r="U4240" s="4">
        <f t="shared" si="398"/>
        <v>2.4713049094380182</v>
      </c>
      <c r="W4240" s="4">
        <f t="shared" si="399"/>
        <v>2.9864463424201584</v>
      </c>
      <c r="X4240" s="4">
        <f t="shared" si="400"/>
        <v>4.4229358691306793</v>
      </c>
      <c r="Y4240" s="3">
        <f t="shared" si="397"/>
        <v>-13.614413954239808</v>
      </c>
      <c r="AA4240" s="3"/>
    </row>
    <row r="4241" spans="19:27" x14ac:dyDescent="0.25">
      <c r="S4241" s="4">
        <v>-9.8421159234514333E-2</v>
      </c>
      <c r="T4241" s="4">
        <v>-0.42661018427796532</v>
      </c>
      <c r="U4241" s="4">
        <f t="shared" si="398"/>
        <v>-0.39817022290337123</v>
      </c>
      <c r="W4241" s="4">
        <f t="shared" si="399"/>
        <v>-0.13904543161917915</v>
      </c>
      <c r="X4241" s="4">
        <f t="shared" si="400"/>
        <v>-0.63622360114243304</v>
      </c>
      <c r="Y4241" s="3">
        <f t="shared" si="397"/>
        <v>-41.290254055999867</v>
      </c>
      <c r="AA4241" s="3"/>
    </row>
    <row r="4242" spans="19:27" x14ac:dyDescent="0.25">
      <c r="S4242" s="4">
        <v>0.12058524423606171</v>
      </c>
      <c r="T4242" s="4">
        <v>-0.25181572397201502</v>
      </c>
      <c r="U4242" s="4">
        <f t="shared" si="398"/>
        <v>-0.1261008592695782</v>
      </c>
      <c r="W4242" s="4">
        <f t="shared" si="399"/>
        <v>0.23336548349633654</v>
      </c>
      <c r="X4242" s="4">
        <f t="shared" si="400"/>
        <v>-0.15653925675295749</v>
      </c>
      <c r="Y4242" s="3">
        <f t="shared" si="397"/>
        <v>-52.910216401663092</v>
      </c>
      <c r="AA4242" s="3"/>
    </row>
    <row r="4243" spans="19:27" x14ac:dyDescent="0.25">
      <c r="S4243" s="4">
        <v>2.6564530212492499E-2</v>
      </c>
      <c r="T4243" s="4">
        <v>-0.36885577612067716</v>
      </c>
      <c r="U4243" s="4">
        <f t="shared" si="398"/>
        <v>-0.27619469954925041</v>
      </c>
      <c r="W4243" s="4">
        <f t="shared" si="399"/>
        <v>7.3487326536255448E-2</v>
      </c>
      <c r="X4243" s="4">
        <f t="shared" si="400"/>
        <v>-0.42116907177455065</v>
      </c>
      <c r="Y4243" s="3">
        <f t="shared" si="397"/>
        <v>-53.87932315865919</v>
      </c>
      <c r="AA4243" s="3"/>
    </row>
    <row r="4244" spans="19:27" x14ac:dyDescent="0.25">
      <c r="S4244" s="4">
        <v>0.78894033622064519</v>
      </c>
      <c r="T4244" s="4">
        <v>0.56432678345794574</v>
      </c>
      <c r="U4244" s="4">
        <f t="shared" si="398"/>
        <v>0.92829296900211844</v>
      </c>
      <c r="W4244" s="4">
        <f t="shared" si="399"/>
        <v>1.3698744050792344</v>
      </c>
      <c r="X4244" s="4">
        <f t="shared" si="400"/>
        <v>1.7024580426401337</v>
      </c>
      <c r="Y4244" s="3">
        <f t="shared" si="397"/>
        <v>-44.46229129982521</v>
      </c>
      <c r="AA4244" s="3"/>
    </row>
    <row r="4245" spans="19:27" x14ac:dyDescent="0.25">
      <c r="S4245" s="4">
        <v>-0.32533058745012677</v>
      </c>
      <c r="T4245" s="4">
        <v>1.0541633487320028</v>
      </c>
      <c r="U4245" s="4">
        <f t="shared" si="398"/>
        <v>0.63729808836074264</v>
      </c>
      <c r="W4245" s="4">
        <f t="shared" si="399"/>
        <v>-0.52489509843710791</v>
      </c>
      <c r="X4245" s="4">
        <f t="shared" si="400"/>
        <v>1.1894061992542124</v>
      </c>
      <c r="Y4245" s="3">
        <f t="shared" si="397"/>
        <v>203.76959115948648</v>
      </c>
      <c r="AA4245" s="3"/>
    </row>
    <row r="4246" spans="19:27" x14ac:dyDescent="0.25">
      <c r="S4246" s="4">
        <v>-0.70185292552357359</v>
      </c>
      <c r="T4246" s="4">
        <v>-0.19464180593011066</v>
      </c>
      <c r="U4246" s="4">
        <f t="shared" si="398"/>
        <v>-0.58215620915142852</v>
      </c>
      <c r="W4246" s="4">
        <f t="shared" si="399"/>
        <v>-1.1651550463714837</v>
      </c>
      <c r="X4246" s="4">
        <f t="shared" si="400"/>
        <v>-0.96060851538453207</v>
      </c>
      <c r="Y4246" s="3">
        <f t="shared" si="397"/>
        <v>94.187522893284495</v>
      </c>
      <c r="AA4246" s="3"/>
    </row>
    <row r="4247" spans="19:27" x14ac:dyDescent="0.25">
      <c r="S4247" s="4">
        <v>-1.0308132444592271</v>
      </c>
      <c r="T4247" s="4">
        <v>0.33370186679610286</v>
      </c>
      <c r="U4247" s="4">
        <f t="shared" si="398"/>
        <v>-0.36388394666156804</v>
      </c>
      <c r="W4247" s="4">
        <f t="shared" si="399"/>
        <v>-1.7245378382448631</v>
      </c>
      <c r="X4247" s="4">
        <f t="shared" si="400"/>
        <v>-0.57577361250371584</v>
      </c>
      <c r="Y4247" s="3">
        <f t="shared" si="397"/>
        <v>226.54021695134725</v>
      </c>
      <c r="AA4247" s="3"/>
    </row>
    <row r="4248" spans="19:27" x14ac:dyDescent="0.25">
      <c r="S4248" s="4">
        <v>0.90447918466392796</v>
      </c>
      <c r="T4248" s="4">
        <v>-1.2080929712407025</v>
      </c>
      <c r="U4248" s="4">
        <f t="shared" si="398"/>
        <v>-0.40625496486178103</v>
      </c>
      <c r="W4248" s="4">
        <f t="shared" si="399"/>
        <v>1.5663432187682218</v>
      </c>
      <c r="X4248" s="4">
        <f t="shared" si="400"/>
        <v>-0.65047777549738861</v>
      </c>
      <c r="Y4248" s="3">
        <f t="shared" si="397"/>
        <v>-309.76695731301288</v>
      </c>
      <c r="AA4248" s="3"/>
    </row>
    <row r="4249" spans="19:27" x14ac:dyDescent="0.25">
      <c r="S4249" s="4">
        <v>0.82990016940885869</v>
      </c>
      <c r="T4249" s="4">
        <v>0.97712392064012465</v>
      </c>
      <c r="U4249" s="4">
        <f t="shared" si="398"/>
        <v>1.2804839932889247</v>
      </c>
      <c r="W4249" s="4">
        <f t="shared" si="399"/>
        <v>1.4395248295365761</v>
      </c>
      <c r="X4249" s="4">
        <f t="shared" si="400"/>
        <v>2.3234045480771419</v>
      </c>
      <c r="Y4249" s="3">
        <f t="shared" si="397"/>
        <v>6.9708146821103583</v>
      </c>
      <c r="AA4249" s="3"/>
    </row>
    <row r="4250" spans="19:27" x14ac:dyDescent="0.25">
      <c r="S4250" s="4">
        <v>-0.92834746350696207</v>
      </c>
      <c r="T4250" s="4">
        <v>0.81784536716158562</v>
      </c>
      <c r="U4250" s="4">
        <f t="shared" si="398"/>
        <v>8.2358168369662477E-2</v>
      </c>
      <c r="W4250" s="4">
        <f t="shared" si="399"/>
        <v>-1.5502992102972297</v>
      </c>
      <c r="X4250" s="4">
        <f t="shared" si="400"/>
        <v>0.2109939732647742</v>
      </c>
      <c r="Y4250" s="3">
        <f t="shared" si="397"/>
        <v>275.80070359356614</v>
      </c>
      <c r="AA4250" s="3"/>
    </row>
    <row r="4251" spans="19:27" x14ac:dyDescent="0.25">
      <c r="S4251" s="4">
        <v>-0.27885911067803715</v>
      </c>
      <c r="T4251" s="4">
        <v>-0.82147804255331569</v>
      </c>
      <c r="U4251" s="4">
        <f t="shared" si="398"/>
        <v>-0.82117782379912552</v>
      </c>
      <c r="W4251" s="4">
        <f t="shared" si="399"/>
        <v>-0.44587236249327744</v>
      </c>
      <c r="X4251" s="4">
        <f t="shared" si="400"/>
        <v>-1.3820265133018597</v>
      </c>
      <c r="Y4251" s="3">
        <f t="shared" si="397"/>
        <v>-66.236216481260271</v>
      </c>
      <c r="AA4251" s="3"/>
    </row>
    <row r="4252" spans="19:27" x14ac:dyDescent="0.25">
      <c r="S4252" s="4">
        <v>-8.1416008097281792E-2</v>
      </c>
      <c r="T4252" s="4">
        <v>4.0251928393605231E-2</v>
      </c>
      <c r="U4252" s="4">
        <f t="shared" si="398"/>
        <v>-1.7725632693578935E-2</v>
      </c>
      <c r="W4252" s="4">
        <f t="shared" si="399"/>
        <v>-0.1101289077352313</v>
      </c>
      <c r="X4252" s="4">
        <f t="shared" si="400"/>
        <v>3.4536646883669572E-2</v>
      </c>
      <c r="Y4252" s="3">
        <f t="shared" si="397"/>
        <v>21.133239486888215</v>
      </c>
      <c r="AA4252" s="3"/>
    </row>
    <row r="4253" spans="19:27" x14ac:dyDescent="0.25">
      <c r="S4253" s="4">
        <v>-0.87008484707378808</v>
      </c>
      <c r="T4253" s="4">
        <v>0.6218306922606982</v>
      </c>
      <c r="U4253" s="4">
        <f t="shared" si="398"/>
        <v>-3.7502909094730974E-2</v>
      </c>
      <c r="W4253" s="4">
        <f t="shared" si="399"/>
        <v>-1.4512261514320002</v>
      </c>
      <c r="X4253" s="4">
        <f t="shared" si="400"/>
        <v>-3.3258549732508025E-4</v>
      </c>
      <c r="Y4253" s="3">
        <f t="shared" si="397"/>
        <v>238.01353156997266</v>
      </c>
      <c r="AA4253" s="3"/>
    </row>
    <row r="4254" spans="19:27" x14ac:dyDescent="0.25">
      <c r="S4254" s="4">
        <v>0.39312661643451341</v>
      </c>
      <c r="T4254" s="4">
        <v>-1.9187118069428528</v>
      </c>
      <c r="U4254" s="4">
        <f t="shared" si="398"/>
        <v>-1.2812887792472123</v>
      </c>
      <c r="W4254" s="4">
        <f t="shared" si="399"/>
        <v>0.69681029706727926</v>
      </c>
      <c r="X4254" s="4">
        <f t="shared" si="400"/>
        <v>-2.193246192955336</v>
      </c>
      <c r="Y4254" s="3">
        <f t="shared" si="397"/>
        <v>-329.73823401226446</v>
      </c>
      <c r="AA4254" s="3"/>
    </row>
    <row r="4255" spans="19:27" x14ac:dyDescent="0.25">
      <c r="S4255" s="4">
        <v>0.14118286989665649</v>
      </c>
      <c r="T4255" s="4">
        <v>0.7874958648014253</v>
      </c>
      <c r="U4255" s="4">
        <f t="shared" si="398"/>
        <v>0.71030991451660741</v>
      </c>
      <c r="W4255" s="4">
        <f t="shared" si="399"/>
        <v>0.26839085490060016</v>
      </c>
      <c r="X4255" s="4">
        <f t="shared" si="400"/>
        <v>1.31813304116867</v>
      </c>
      <c r="Y4255" s="3">
        <f t="shared" si="397"/>
        <v>88.989526103305252</v>
      </c>
      <c r="AA4255" s="3"/>
    </row>
    <row r="4256" spans="19:27" x14ac:dyDescent="0.25">
      <c r="S4256" s="4">
        <v>0.96477104319977547</v>
      </c>
      <c r="T4256" s="4">
        <v>-1.3534769398986266</v>
      </c>
      <c r="U4256" s="4">
        <f t="shared" si="398"/>
        <v>-0.48474441431215354</v>
      </c>
      <c r="W4256" s="4">
        <f t="shared" si="399"/>
        <v>1.6688669160461731</v>
      </c>
      <c r="X4256" s="4">
        <f t="shared" si="400"/>
        <v>-0.78886219187647844</v>
      </c>
      <c r="Y4256" s="3">
        <f t="shared" si="397"/>
        <v>-339.18894434561253</v>
      </c>
      <c r="AA4256" s="3"/>
    </row>
    <row r="4257" spans="19:27" x14ac:dyDescent="0.25">
      <c r="S4257" s="4">
        <v>8.7690947716376505E-2</v>
      </c>
      <c r="T4257" s="4">
        <v>1.266129375317949E-2</v>
      </c>
      <c r="U4257" s="4">
        <f t="shared" si="398"/>
        <v>6.3494864783052427E-2</v>
      </c>
      <c r="W4257" s="4">
        <f t="shared" si="399"/>
        <v>0.17743015523721134</v>
      </c>
      <c r="X4257" s="4">
        <f t="shared" si="400"/>
        <v>0.17773616248773305</v>
      </c>
      <c r="Y4257" s="3">
        <f t="shared" si="397"/>
        <v>-10.578322305441816</v>
      </c>
      <c r="AA4257" s="3"/>
    </row>
    <row r="4258" spans="19:27" x14ac:dyDescent="0.25">
      <c r="S4258" s="4">
        <v>-0.84129036199898932</v>
      </c>
      <c r="T4258" s="4">
        <v>0.32261538934212197</v>
      </c>
      <c r="U4258" s="4">
        <f t="shared" si="398"/>
        <v>-0.25713473110300178</v>
      </c>
      <c r="W4258" s="4">
        <f t="shared" si="399"/>
        <v>-1.4022623751813821</v>
      </c>
      <c r="X4258" s="4">
        <f t="shared" si="400"/>
        <v>-0.38756452201521396</v>
      </c>
      <c r="Y4258" s="3">
        <f t="shared" si="397"/>
        <v>191.07853535960294</v>
      </c>
      <c r="AA4258" s="3"/>
    </row>
    <row r="4259" spans="19:27" x14ac:dyDescent="0.25">
      <c r="S4259" s="4">
        <v>0.56893011934717375</v>
      </c>
      <c r="T4259" s="4">
        <v>-0.13607553596882999</v>
      </c>
      <c r="U4259" s="4">
        <f t="shared" si="398"/>
        <v>0.23896650330390154</v>
      </c>
      <c r="W4259" s="4">
        <f t="shared" si="399"/>
        <v>0.99575654869600494</v>
      </c>
      <c r="X4259" s="4">
        <f t="shared" si="400"/>
        <v>0.48710946626079299</v>
      </c>
      <c r="Y4259" s="3">
        <f t="shared" si="397"/>
        <v>-108.31002363502421</v>
      </c>
      <c r="AA4259" s="3"/>
    </row>
    <row r="4260" spans="19:27" x14ac:dyDescent="0.25">
      <c r="S4260" s="4">
        <v>-1.296564985262594</v>
      </c>
      <c r="T4260" s="4">
        <v>0.13139148813431639</v>
      </c>
      <c r="U4260" s="4">
        <f t="shared" si="398"/>
        <v>-0.68626195978300342</v>
      </c>
      <c r="W4260" s="4">
        <f t="shared" si="399"/>
        <v>-2.1764371773407625</v>
      </c>
      <c r="X4260" s="4">
        <f t="shared" si="400"/>
        <v>-1.1441569240399732</v>
      </c>
      <c r="Y4260" s="3">
        <f t="shared" si="397"/>
        <v>246.74722426069366</v>
      </c>
      <c r="AA4260" s="3"/>
    </row>
    <row r="4261" spans="19:27" x14ac:dyDescent="0.25">
      <c r="S4261" s="4">
        <v>-0.62010341379749678</v>
      </c>
      <c r="T4261" s="4">
        <v>-0.264044911854387</v>
      </c>
      <c r="U4261" s="4">
        <f t="shared" si="398"/>
        <v>-0.5873351709759107</v>
      </c>
      <c r="W4261" s="4">
        <f t="shared" si="399"/>
        <v>-1.0261435380790098</v>
      </c>
      <c r="X4261" s="4">
        <f t="shared" si="400"/>
        <v>-0.9697395210744586</v>
      </c>
      <c r="Y4261" s="3">
        <f t="shared" si="397"/>
        <v>70.203292204120316</v>
      </c>
      <c r="AA4261" s="3"/>
    </row>
    <row r="4262" spans="19:27" x14ac:dyDescent="0.25">
      <c r="S4262" s="4">
        <v>1.1336924409902402E-2</v>
      </c>
      <c r="T4262" s="4">
        <v>-1.3213003703133366</v>
      </c>
      <c r="U4262" s="4">
        <f t="shared" si="398"/>
        <v>-1.0404730161014351</v>
      </c>
      <c r="W4262" s="4">
        <f t="shared" si="399"/>
        <v>4.759344159912933E-2</v>
      </c>
      <c r="X4262" s="4">
        <f t="shared" si="400"/>
        <v>-1.7686649394088396</v>
      </c>
      <c r="Y4262" s="3">
        <f t="shared" si="397"/>
        <v>-184.48750658220115</v>
      </c>
      <c r="AA4262" s="3"/>
    </row>
    <row r="4263" spans="19:27" x14ac:dyDescent="0.25">
      <c r="S4263" s="4">
        <v>-0.76187716462894639</v>
      </c>
      <c r="T4263" s="4">
        <v>0.34462907214921173</v>
      </c>
      <c r="U4263" s="4">
        <f t="shared" si="398"/>
        <v>-0.19127260346197078</v>
      </c>
      <c r="W4263" s="4">
        <f t="shared" si="399"/>
        <v>-1.2672236683848472</v>
      </c>
      <c r="X4263" s="4">
        <f t="shared" si="400"/>
        <v>-0.27144328331482026</v>
      </c>
      <c r="Y4263" s="3">
        <f t="shared" si="397"/>
        <v>180.10871089113607</v>
      </c>
      <c r="AA4263" s="3"/>
    </row>
    <row r="4264" spans="19:27" x14ac:dyDescent="0.25">
      <c r="S4264" s="4">
        <v>0.67876361679784769</v>
      </c>
      <c r="T4264" s="4">
        <v>1.605370488230595</v>
      </c>
      <c r="U4264" s="4">
        <f t="shared" si="398"/>
        <v>1.686353818735929</v>
      </c>
      <c r="W4264" s="4">
        <f t="shared" si="399"/>
        <v>1.1825236598295321</v>
      </c>
      <c r="X4264" s="4">
        <f t="shared" si="400"/>
        <v>3.0389919208218008</v>
      </c>
      <c r="Y4264" s="3">
        <f t="shared" si="397"/>
        <v>117.99098635855898</v>
      </c>
      <c r="AA4264" s="3"/>
    </row>
    <row r="4265" spans="19:27" x14ac:dyDescent="0.25">
      <c r="S4265" s="4">
        <v>1.3671449670390776</v>
      </c>
      <c r="T4265" s="4">
        <v>0.37982110078582937</v>
      </c>
      <c r="U4265" s="4">
        <f t="shared" si="398"/>
        <v>1.1345232306626618</v>
      </c>
      <c r="W4265" s="4">
        <f t="shared" si="399"/>
        <v>2.3530863672630313</v>
      </c>
      <c r="X4265" s="4">
        <f t="shared" si="400"/>
        <v>2.0660617447867007</v>
      </c>
      <c r="Y4265" s="3">
        <f t="shared" si="397"/>
        <v>-156.34990284694686</v>
      </c>
      <c r="AA4265" s="3"/>
    </row>
    <row r="4266" spans="19:27" x14ac:dyDescent="0.25">
      <c r="S4266" s="4">
        <v>7.325376975792243E-2</v>
      </c>
      <c r="T4266" s="4">
        <v>-9.6784079608818449E-2</v>
      </c>
      <c r="U4266" s="4">
        <f t="shared" si="398"/>
        <v>-3.2062834994552168E-2</v>
      </c>
      <c r="W4266" s="4">
        <f t="shared" si="399"/>
        <v>0.15288035865596303</v>
      </c>
      <c r="X4266" s="4">
        <f t="shared" si="400"/>
        <v>9.2587861415885375E-3</v>
      </c>
      <c r="Y4266" s="3">
        <f t="shared" si="397"/>
        <v>-23.512881997369277</v>
      </c>
      <c r="AA4266" s="3"/>
    </row>
    <row r="4267" spans="19:27" x14ac:dyDescent="0.25">
      <c r="S4267" s="4">
        <v>0.65387121355388633</v>
      </c>
      <c r="T4267" s="4">
        <v>-0.30474537582655797</v>
      </c>
      <c r="U4267" s="4">
        <f t="shared" si="398"/>
        <v>0.15704525363447303</v>
      </c>
      <c r="W4267" s="4">
        <f t="shared" si="399"/>
        <v>1.1401952049323054</v>
      </c>
      <c r="X4267" s="4">
        <f t="shared" si="400"/>
        <v>0.34267445742922364</v>
      </c>
      <c r="Y4267" s="3">
        <f t="shared" si="397"/>
        <v>-145.10933922708364</v>
      </c>
      <c r="AA4267" s="3"/>
    </row>
    <row r="4268" spans="19:27" x14ac:dyDescent="0.25">
      <c r="S4268" s="4">
        <v>-0.68244122617185043</v>
      </c>
      <c r="T4268" s="4">
        <v>-0.95220623789549219</v>
      </c>
      <c r="U4268" s="4">
        <f t="shared" si="398"/>
        <v>-1.1708376831672074</v>
      </c>
      <c r="W4268" s="4">
        <f t="shared" si="399"/>
        <v>-1.1321462913535341</v>
      </c>
      <c r="X4268" s="4">
        <f t="shared" si="400"/>
        <v>-1.9985103325754447</v>
      </c>
      <c r="Y4268" s="3">
        <f t="shared" si="397"/>
        <v>-15.090182834077495</v>
      </c>
      <c r="AA4268" s="3"/>
    </row>
    <row r="4269" spans="19:27" x14ac:dyDescent="0.25">
      <c r="S4269" s="4">
        <v>-1.8037392970428663</v>
      </c>
      <c r="T4269" s="4">
        <v>-0.93759082183311138</v>
      </c>
      <c r="U4269" s="4">
        <f t="shared" si="398"/>
        <v>-1.8428204817419953</v>
      </c>
      <c r="W4269" s="4">
        <f t="shared" si="399"/>
        <v>-3.038865154696909</v>
      </c>
      <c r="X4269" s="4">
        <f t="shared" si="400"/>
        <v>-3.1832803627991466</v>
      </c>
      <c r="Y4269" s="3">
        <f t="shared" si="397"/>
        <v>192.9071538777398</v>
      </c>
      <c r="AA4269" s="3"/>
    </row>
    <row r="4270" spans="19:27" x14ac:dyDescent="0.25">
      <c r="S4270" s="4">
        <v>-1.3045650305619356</v>
      </c>
      <c r="T4270" s="4">
        <v>0.3064418113038555</v>
      </c>
      <c r="U4270" s="4">
        <f t="shared" si="398"/>
        <v>-0.55237797180400261</v>
      </c>
      <c r="W4270" s="4">
        <f t="shared" si="399"/>
        <v>-2.1900409082987644</v>
      </c>
      <c r="X4270" s="4">
        <f t="shared" si="400"/>
        <v>-0.90810663105513467</v>
      </c>
      <c r="Y4270" s="3">
        <f t="shared" si="397"/>
        <v>272.68847287797507</v>
      </c>
      <c r="AA4270" s="3"/>
    </row>
    <row r="4271" spans="19:27" x14ac:dyDescent="0.25">
      <c r="S4271" s="4">
        <v>-0.3514644952246142</v>
      </c>
      <c r="T4271" s="4">
        <v>-0.22576518165372139</v>
      </c>
      <c r="U4271" s="4">
        <f t="shared" si="398"/>
        <v>-0.39322285576453253</v>
      </c>
      <c r="W4271" s="4">
        <f t="shared" si="399"/>
        <v>-0.56933467808231653</v>
      </c>
      <c r="X4271" s="4">
        <f t="shared" si="400"/>
        <v>-0.62750091906330641</v>
      </c>
      <c r="Y4271" s="3">
        <f t="shared" si="397"/>
        <v>29.3266153790928</v>
      </c>
      <c r="AA4271" s="3"/>
    </row>
    <row r="4272" spans="19:27" x14ac:dyDescent="0.25">
      <c r="S4272" s="4">
        <v>-1.7099509931375771</v>
      </c>
      <c r="T4272" s="4">
        <v>1.2804058329151207</v>
      </c>
      <c r="U4272" s="4">
        <f t="shared" si="398"/>
        <v>-2.745679283649749E-2</v>
      </c>
      <c r="W4272" s="4">
        <f t="shared" si="399"/>
        <v>-2.8793822010891463</v>
      </c>
      <c r="X4272" s="4">
        <f t="shared" si="400"/>
        <v>1.7379679590623365E-2</v>
      </c>
      <c r="Y4272" s="3">
        <f t="shared" si="397"/>
        <v>484.91954719042678</v>
      </c>
      <c r="AA4272" s="3"/>
    </row>
    <row r="4273" spans="19:27" x14ac:dyDescent="0.25">
      <c r="S4273" s="4">
        <v>8.8567138246079313E-2</v>
      </c>
      <c r="T4273" s="4">
        <v>1.0489008351022258</v>
      </c>
      <c r="U4273" s="4">
        <f t="shared" si="398"/>
        <v>0.88544782421655921</v>
      </c>
      <c r="W4273" s="4">
        <f t="shared" si="399"/>
        <v>0.1789200793298921</v>
      </c>
      <c r="X4273" s="4">
        <f t="shared" si="400"/>
        <v>1.6269179490690087</v>
      </c>
      <c r="Y4273" s="3">
        <f t="shared" si="397"/>
        <v>134.10246609669639</v>
      </c>
      <c r="AA4273" s="3"/>
    </row>
    <row r="4274" spans="19:27" x14ac:dyDescent="0.25">
      <c r="S4274" s="4">
        <v>1.4224462479886752</v>
      </c>
      <c r="T4274" s="4">
        <v>-0.58123649027417112</v>
      </c>
      <c r="U4274" s="4">
        <f t="shared" si="398"/>
        <v>0.40641344322888412</v>
      </c>
      <c r="W4274" s="4">
        <f t="shared" si="399"/>
        <v>2.4471238032426914</v>
      </c>
      <c r="X4274" s="4">
        <f t="shared" si="400"/>
        <v>0.78233445787746259</v>
      </c>
      <c r="Y4274" s="3">
        <f t="shared" si="397"/>
        <v>-298.64882193802123</v>
      </c>
      <c r="AA4274" s="3"/>
    </row>
    <row r="4275" spans="19:27" x14ac:dyDescent="0.25">
      <c r="S4275" s="4">
        <v>0.56225107239916416</v>
      </c>
      <c r="T4275" s="4">
        <v>-0.63157903041846397</v>
      </c>
      <c r="U4275" s="4">
        <f t="shared" si="398"/>
        <v>-0.1578868581444966</v>
      </c>
      <c r="W4275" s="4">
        <f t="shared" si="399"/>
        <v>0.98439911828944648</v>
      </c>
      <c r="X4275" s="4">
        <f t="shared" si="400"/>
        <v>-0.21258101694027029</v>
      </c>
      <c r="Y4275" s="3">
        <f t="shared" si="397"/>
        <v>-176.51670529225157</v>
      </c>
      <c r="AA4275" s="3"/>
    </row>
    <row r="4276" spans="19:27" x14ac:dyDescent="0.25">
      <c r="S4276" s="4">
        <v>1.6085238074799861</v>
      </c>
      <c r="T4276" s="4">
        <v>0.1139658054048103</v>
      </c>
      <c r="U4276" s="4">
        <f t="shared" si="398"/>
        <v>1.0709317865632919</v>
      </c>
      <c r="W4276" s="4">
        <f t="shared" si="399"/>
        <v>2.763540643638553</v>
      </c>
      <c r="X4276" s="4">
        <f t="shared" si="400"/>
        <v>1.9539439386354556</v>
      </c>
      <c r="Y4276" s="3">
        <f t="shared" si="397"/>
        <v>-228.02546992952603</v>
      </c>
      <c r="AA4276" s="3"/>
    </row>
    <row r="4277" spans="19:27" x14ac:dyDescent="0.25">
      <c r="S4277" s="4">
        <v>-0.12455965698066675</v>
      </c>
      <c r="T4277" s="4">
        <v>-0.81680035051515254</v>
      </c>
      <c r="U4277" s="4">
        <f t="shared" si="398"/>
        <v>-0.72340546497273894</v>
      </c>
      <c r="W4277" s="4">
        <f t="shared" si="399"/>
        <v>-0.18349281631264672</v>
      </c>
      <c r="X4277" s="4">
        <f t="shared" si="400"/>
        <v>-1.2096444809530233</v>
      </c>
      <c r="Y4277" s="3">
        <f t="shared" si="397"/>
        <v>-91.472518850887809</v>
      </c>
      <c r="AA4277" s="3"/>
    </row>
    <row r="4278" spans="19:27" x14ac:dyDescent="0.25">
      <c r="S4278" s="4">
        <v>-0.2056275356223832</v>
      </c>
      <c r="T4278" s="4">
        <v>1.7484964528369744</v>
      </c>
      <c r="U4278" s="4">
        <f t="shared" si="398"/>
        <v>1.2606640496615216</v>
      </c>
      <c r="W4278" s="4">
        <f t="shared" si="399"/>
        <v>-0.3213452370318946</v>
      </c>
      <c r="X4278" s="4">
        <f t="shared" si="400"/>
        <v>2.288460089289992</v>
      </c>
      <c r="Y4278" s="3">
        <f t="shared" si="397"/>
        <v>280.60914377122299</v>
      </c>
      <c r="AA4278" s="3"/>
    </row>
    <row r="4279" spans="19:27" x14ac:dyDescent="0.25">
      <c r="S4279" s="4">
        <v>2.3904607002898177</v>
      </c>
      <c r="T4279" s="4">
        <v>-0.32517783048517485</v>
      </c>
      <c r="U4279" s="4">
        <f t="shared" si="398"/>
        <v>1.1995123075431584</v>
      </c>
      <c r="W4279" s="4">
        <f t="shared" si="399"/>
        <v>4.0931905040957872</v>
      </c>
      <c r="X4279" s="4">
        <f t="shared" si="400"/>
        <v>2.1806437113834947</v>
      </c>
      <c r="Y4279" s="3">
        <f t="shared" si="397"/>
        <v>-395.56300759241913</v>
      </c>
      <c r="AA4279" s="3"/>
    </row>
    <row r="4280" spans="19:27" x14ac:dyDescent="0.25">
      <c r="S4280" s="4">
        <v>-1.840676128439596</v>
      </c>
      <c r="T4280" s="4">
        <v>-0.88254859164864841</v>
      </c>
      <c r="U4280" s="4">
        <f t="shared" si="398"/>
        <v>-1.8217064617187337</v>
      </c>
      <c r="W4280" s="4">
        <f t="shared" si="399"/>
        <v>-3.1016746386386504</v>
      </c>
      <c r="X4280" s="4">
        <f t="shared" si="400"/>
        <v>-3.1460543233913545</v>
      </c>
      <c r="Y4280" s="3">
        <f t="shared" si="397"/>
        <v>207.71590406151881</v>
      </c>
      <c r="AA4280" s="3"/>
    </row>
    <row r="4281" spans="19:27" x14ac:dyDescent="0.25">
      <c r="S4281" s="4">
        <v>-1.4911844424389202</v>
      </c>
      <c r="T4281" s="4">
        <v>-1.8038893294775147</v>
      </c>
      <c r="U4281" s="4">
        <f t="shared" si="398"/>
        <v>-2.3389879817265231</v>
      </c>
      <c r="W4281" s="4">
        <f t="shared" si="399"/>
        <v>-2.5073791452365013</v>
      </c>
      <c r="X4281" s="4">
        <f t="shared" si="400"/>
        <v>-4.0580711836348131</v>
      </c>
      <c r="Y4281" s="3">
        <f t="shared" si="397"/>
        <v>12.470808286639112</v>
      </c>
      <c r="AA4281" s="3"/>
    </row>
    <row r="4282" spans="19:27" x14ac:dyDescent="0.25">
      <c r="S4282" s="4">
        <v>-0.51653388149433455</v>
      </c>
      <c r="T4282" s="4">
        <v>0.37913724528057152</v>
      </c>
      <c r="U4282" s="4">
        <f t="shared" si="398"/>
        <v>-1.4351510570375037E-2</v>
      </c>
      <c r="W4282" s="4">
        <f t="shared" si="399"/>
        <v>-0.8500280287062959</v>
      </c>
      <c r="X4282" s="4">
        <f t="shared" si="400"/>
        <v>4.048554732928393E-2</v>
      </c>
      <c r="Y4282" s="3">
        <f t="shared" si="397"/>
        <v>142.14248585743826</v>
      </c>
      <c r="AA4282" s="3"/>
    </row>
    <row r="4283" spans="19:27" x14ac:dyDescent="0.25">
      <c r="S4283" s="4">
        <v>-0.14727717939283289</v>
      </c>
      <c r="T4283" s="4">
        <v>-1.7924461777136573</v>
      </c>
      <c r="U4283" s="4">
        <f t="shared" si="398"/>
        <v>-1.5106412340373359</v>
      </c>
      <c r="W4283" s="4">
        <f t="shared" si="399"/>
        <v>-0.22212298043845813</v>
      </c>
      <c r="X4283" s="4">
        <f t="shared" si="400"/>
        <v>-2.5976165360204981</v>
      </c>
      <c r="Y4283" s="3">
        <f t="shared" si="397"/>
        <v>-224.03864855594747</v>
      </c>
      <c r="AA4283" s="3"/>
    </row>
    <row r="4284" spans="19:27" x14ac:dyDescent="0.25">
      <c r="S4284" s="4">
        <v>-0.65076483119715045</v>
      </c>
      <c r="T4284" s="4">
        <v>1.6608327004080048E-2</v>
      </c>
      <c r="U4284" s="4">
        <f t="shared" si="398"/>
        <v>-0.38355547260308814</v>
      </c>
      <c r="W4284" s="4">
        <f t="shared" si="399"/>
        <v>-1.078281951986519</v>
      </c>
      <c r="X4284" s="4">
        <f t="shared" si="400"/>
        <v>-0.61045639669657226</v>
      </c>
      <c r="Y4284" s="3">
        <f t="shared" si="397"/>
        <v>114.77287498013084</v>
      </c>
      <c r="AA4284" s="3"/>
    </row>
    <row r="4285" spans="19:27" x14ac:dyDescent="0.25">
      <c r="S4285" s="4">
        <v>0.66098337160706955</v>
      </c>
      <c r="T4285" s="4">
        <v>1.2730999284002809</v>
      </c>
      <c r="U4285" s="4">
        <f t="shared" si="398"/>
        <v>1.4121263636512809</v>
      </c>
      <c r="W4285" s="4">
        <f t="shared" si="399"/>
        <v>1.1522891220372817</v>
      </c>
      <c r="X4285" s="4">
        <f t="shared" si="400"/>
        <v>2.5555026545223032</v>
      </c>
      <c r="Y4285" s="3">
        <f t="shared" si="397"/>
        <v>74.306422035475407</v>
      </c>
      <c r="AA4285" s="3"/>
    </row>
    <row r="4286" spans="19:27" x14ac:dyDescent="0.25">
      <c r="S4286" s="4">
        <v>0.36239106943812527</v>
      </c>
      <c r="T4286" s="4">
        <v>-1.9511055908982777</v>
      </c>
      <c r="U4286" s="4">
        <f t="shared" si="398"/>
        <v>-1.3257041484679468</v>
      </c>
      <c r="W4286" s="4">
        <f t="shared" si="399"/>
        <v>0.6445458289872914</v>
      </c>
      <c r="X4286" s="4">
        <f t="shared" si="400"/>
        <v>-2.2715547425873397</v>
      </c>
      <c r="Y4286" s="3">
        <f t="shared" si="397"/>
        <v>-329.37393107121716</v>
      </c>
      <c r="AA4286" s="3"/>
    </row>
    <row r="4287" spans="19:27" x14ac:dyDescent="0.25">
      <c r="S4287" s="4">
        <v>1.138290121669073E-3</v>
      </c>
      <c r="T4287" s="4">
        <v>-0.63078906432515069</v>
      </c>
      <c r="U4287" s="4">
        <f t="shared" si="398"/>
        <v>-0.49932752986948153</v>
      </c>
      <c r="W4287" s="4">
        <f t="shared" si="399"/>
        <v>3.0251105174159316E-2</v>
      </c>
      <c r="X4287" s="4">
        <f t="shared" si="400"/>
        <v>-0.81457362124082444</v>
      </c>
      <c r="Y4287" s="3">
        <f t="shared" si="397"/>
        <v>-86.302747808643744</v>
      </c>
      <c r="AA4287" s="3"/>
    </row>
    <row r="4288" spans="19:27" x14ac:dyDescent="0.25">
      <c r="S4288" s="4">
        <v>0.58672789561587835</v>
      </c>
      <c r="T4288" s="4">
        <v>-1.3597804519864467</v>
      </c>
      <c r="U4288" s="4">
        <f t="shared" si="398"/>
        <v>-0.72020469564581413</v>
      </c>
      <c r="W4288" s="4">
        <f t="shared" si="399"/>
        <v>1.0260208973278933</v>
      </c>
      <c r="X4288" s="4">
        <f t="shared" si="400"/>
        <v>-1.2040012180893866</v>
      </c>
      <c r="Y4288" s="3">
        <f t="shared" si="397"/>
        <v>-282.11410000981232</v>
      </c>
      <c r="AA4288" s="3"/>
    </row>
    <row r="4289" spans="19:27" x14ac:dyDescent="0.25">
      <c r="S4289" s="4">
        <v>-0.24750645787916567</v>
      </c>
      <c r="T4289" s="4">
        <v>1.4607113569562136</v>
      </c>
      <c r="U4289" s="4">
        <f t="shared" si="398"/>
        <v>1.0070087755829344</v>
      </c>
      <c r="W4289" s="4">
        <f t="shared" si="399"/>
        <v>-0.39255853269151336</v>
      </c>
      <c r="X4289" s="4">
        <f t="shared" si="400"/>
        <v>1.8412415483186009</v>
      </c>
      <c r="Y4289" s="3">
        <f t="shared" si="397"/>
        <v>247.43106853418249</v>
      </c>
      <c r="AA4289" s="3"/>
    </row>
    <row r="4290" spans="19:27" x14ac:dyDescent="0.25">
      <c r="S4290" s="4">
        <v>2.4463370149176451</v>
      </c>
      <c r="T4290" s="4">
        <v>-0.24543905237212013</v>
      </c>
      <c r="U4290" s="4">
        <f t="shared" si="398"/>
        <v>1.2967840486546365</v>
      </c>
      <c r="W4290" s="4">
        <f t="shared" si="399"/>
        <v>4.1882057599699261</v>
      </c>
      <c r="X4290" s="4">
        <f t="shared" si="400"/>
        <v>2.3521431067563836</v>
      </c>
      <c r="Y4290" s="3">
        <f t="shared" ref="Y4290:Y4353" si="401">(B$4*EXP(-B$8*B$7)*NORMSDIST((LN(B$4/(B$5+W4290))-B$8*B$7+B$9*B$7+0.5*B$6*B$6*B$7)/(B$6*SQRT(B$7)))-(B$5+W4290)*EXP(-B$9*B$7)*NORMSDIST((LN(B$4/(B$5+W4290))-B$8*B$7+B$9*B$7-0.5*B$6*B$6*B$7)/(B$6*SQRT(B$7))))*400+100*X4290-400*$B$13</f>
        <v>-391.67774500806763</v>
      </c>
      <c r="AA4290" s="3"/>
    </row>
    <row r="4291" spans="19:27" x14ac:dyDescent="0.25">
      <c r="S4291" s="4">
        <v>-0.90935164440119076</v>
      </c>
      <c r="T4291" s="4">
        <v>1.200421869693288</v>
      </c>
      <c r="U4291" s="4">
        <f t="shared" ref="U4291:U4354" si="402">$B$19*S4291+SQRT(1-$B$19^2)*T4291</f>
        <v>0.3972037837192276</v>
      </c>
      <c r="W4291" s="4">
        <f t="shared" ref="W4291:W4354" si="403">S4291*SQRT($B$16)+$B$20</f>
        <v>-1.51799764164698</v>
      </c>
      <c r="X4291" s="4">
        <f t="shared" ref="X4291:X4354" si="404">U4291*SQRT($C$17)+$C$20</f>
        <v>0.76609694614539503</v>
      </c>
      <c r="Y4291" s="3">
        <f t="shared" si="401"/>
        <v>325.87528943540383</v>
      </c>
      <c r="AA4291" s="3"/>
    </row>
    <row r="4292" spans="19:27" x14ac:dyDescent="0.25">
      <c r="S4292" s="4">
        <v>-5.8868459254955423E-2</v>
      </c>
      <c r="T4292" s="4">
        <v>-0.30387079801082639</v>
      </c>
      <c r="U4292" s="4">
        <f t="shared" si="402"/>
        <v>-0.27676348259827366</v>
      </c>
      <c r="W4292" s="4">
        <f t="shared" si="403"/>
        <v>-7.1787776312054935E-2</v>
      </c>
      <c r="X4292" s="4">
        <f t="shared" si="404"/>
        <v>-0.42217189076279149</v>
      </c>
      <c r="Y4292" s="3">
        <f t="shared" si="401"/>
        <v>-30.699841511252544</v>
      </c>
      <c r="AA4292" s="3"/>
    </row>
    <row r="4293" spans="19:27" x14ac:dyDescent="0.25">
      <c r="S4293" s="4">
        <v>0.98864312517689024</v>
      </c>
      <c r="T4293" s="4">
        <v>-0.30405342428497045</v>
      </c>
      <c r="U4293" s="4">
        <f t="shared" si="402"/>
        <v>0.36167818480611308</v>
      </c>
      <c r="W4293" s="4">
        <f t="shared" si="403"/>
        <v>1.7094603587671497</v>
      </c>
      <c r="X4293" s="4">
        <f t="shared" si="404"/>
        <v>0.70346191294622085</v>
      </c>
      <c r="Y4293" s="3">
        <f t="shared" si="401"/>
        <v>-196.11211391217466</v>
      </c>
      <c r="AA4293" s="3"/>
    </row>
    <row r="4294" spans="19:27" x14ac:dyDescent="0.25">
      <c r="S4294" s="4">
        <v>0.4428515542328284</v>
      </c>
      <c r="T4294" s="4">
        <v>-1.6565504196680034</v>
      </c>
      <c r="U4294" s="4">
        <f t="shared" si="402"/>
        <v>-1.0431621083429037</v>
      </c>
      <c r="W4294" s="4">
        <f t="shared" si="403"/>
        <v>0.78136540274491084</v>
      </c>
      <c r="X4294" s="4">
        <f t="shared" si="404"/>
        <v>-1.7734060665670885</v>
      </c>
      <c r="Y4294" s="3">
        <f t="shared" si="401"/>
        <v>-300.98304837644173</v>
      </c>
      <c r="AA4294" s="3"/>
    </row>
    <row r="4295" spans="19:27" x14ac:dyDescent="0.25">
      <c r="S4295" s="4">
        <v>0.20380118812039166</v>
      </c>
      <c r="T4295" s="4">
        <v>-0.2049919581550908</v>
      </c>
      <c r="U4295" s="4">
        <f t="shared" si="402"/>
        <v>-3.8253737715987696E-2</v>
      </c>
      <c r="W4295" s="4">
        <f t="shared" si="403"/>
        <v>0.37487059623761015</v>
      </c>
      <c r="X4295" s="4">
        <f t="shared" si="404"/>
        <v>-1.6563682640652611E-3</v>
      </c>
      <c r="Y4295" s="3">
        <f t="shared" si="401"/>
        <v>-59.876224043267939</v>
      </c>
      <c r="AA4295" s="3"/>
    </row>
    <row r="4296" spans="19:27" x14ac:dyDescent="0.25">
      <c r="S4296" s="4">
        <v>0.20908248202830701</v>
      </c>
      <c r="T4296" s="4">
        <v>-1.5378203022532932</v>
      </c>
      <c r="U4296" s="4">
        <f t="shared" si="402"/>
        <v>-1.0915565340975826</v>
      </c>
      <c r="W4296" s="4">
        <f t="shared" si="403"/>
        <v>0.38385120806481182</v>
      </c>
      <c r="X4296" s="4">
        <f t="shared" si="404"/>
        <v>-1.8587300739459001</v>
      </c>
      <c r="Y4296" s="3">
        <f t="shared" si="401"/>
        <v>-247.00517996498274</v>
      </c>
      <c r="AA4296" s="3"/>
    </row>
    <row r="4297" spans="19:27" x14ac:dyDescent="0.25">
      <c r="S4297" s="4">
        <v>0.4334281327101534</v>
      </c>
      <c r="T4297" s="4">
        <v>0.58874704952623758</v>
      </c>
      <c r="U4297" s="4">
        <f t="shared" si="402"/>
        <v>0.73092254761874709</v>
      </c>
      <c r="W4297" s="4">
        <f t="shared" si="403"/>
        <v>0.76534128209288554</v>
      </c>
      <c r="X4297" s="4">
        <f t="shared" si="404"/>
        <v>1.354475087416293</v>
      </c>
      <c r="Y4297" s="3">
        <f t="shared" si="401"/>
        <v>14.309271124543557</v>
      </c>
      <c r="AA4297" s="3"/>
    </row>
    <row r="4298" spans="19:27" x14ac:dyDescent="0.25">
      <c r="S4298" s="4">
        <v>-0.64949934859666147</v>
      </c>
      <c r="T4298" s="4">
        <v>0.66570671495417644</v>
      </c>
      <c r="U4298" s="4">
        <f t="shared" si="402"/>
        <v>0.13175110546012436</v>
      </c>
      <c r="W4298" s="4">
        <f t="shared" si="403"/>
        <v>-1.0761300535678311</v>
      </c>
      <c r="X4298" s="4">
        <f t="shared" si="404"/>
        <v>0.29807845175680969</v>
      </c>
      <c r="Y4298" s="3">
        <f t="shared" si="401"/>
        <v>205.26942759235408</v>
      </c>
      <c r="AA4298" s="3"/>
    </row>
    <row r="4299" spans="19:27" x14ac:dyDescent="0.25">
      <c r="S4299" s="4">
        <v>1.8777980986779332</v>
      </c>
      <c r="T4299" s="4">
        <v>-1.1753483596045633</v>
      </c>
      <c r="U4299" s="4">
        <f t="shared" si="402"/>
        <v>0.2130583539771308</v>
      </c>
      <c r="W4299" s="4">
        <f t="shared" si="403"/>
        <v>3.2214299272986184</v>
      </c>
      <c r="X4299" s="4">
        <f t="shared" si="404"/>
        <v>0.4414309177532717</v>
      </c>
      <c r="Y4299" s="3">
        <f t="shared" si="401"/>
        <v>-445.74964086773207</v>
      </c>
      <c r="AA4299" s="3"/>
    </row>
    <row r="4300" spans="19:27" x14ac:dyDescent="0.25">
      <c r="S4300" s="4">
        <v>1.5219089209370991</v>
      </c>
      <c r="T4300" s="4">
        <v>0.89814057411545978</v>
      </c>
      <c r="U4300" s="4">
        <f t="shared" si="402"/>
        <v>1.6397384997989628</v>
      </c>
      <c r="W4300" s="4">
        <f t="shared" si="403"/>
        <v>2.6162557759410801</v>
      </c>
      <c r="X4300" s="4">
        <f t="shared" si="404"/>
        <v>2.9568046491491162</v>
      </c>
      <c r="Y4300" s="3">
        <f t="shared" si="401"/>
        <v>-106.13870887014536</v>
      </c>
      <c r="AA4300" s="3"/>
    </row>
    <row r="4301" spans="19:27" x14ac:dyDescent="0.25">
      <c r="S4301" s="4">
        <v>-1.1905156379078341</v>
      </c>
      <c r="T4301" s="4">
        <v>1.7004439360642056</v>
      </c>
      <c r="U4301" s="4">
        <f t="shared" si="402"/>
        <v>0.62216344129381296</v>
      </c>
      <c r="W4301" s="4">
        <f t="shared" si="403"/>
        <v>-1.9961048497469924</v>
      </c>
      <c r="X4301" s="4">
        <f t="shared" si="404"/>
        <v>1.1627223670178197</v>
      </c>
      <c r="Y4301" s="3">
        <f t="shared" si="401"/>
        <v>446.55940247178205</v>
      </c>
      <c r="AA4301" s="3"/>
    </row>
    <row r="4302" spans="19:27" x14ac:dyDescent="0.25">
      <c r="S4302" s="4">
        <v>0.35582598445489094</v>
      </c>
      <c r="T4302" s="4">
        <v>1.6833394828564734</v>
      </c>
      <c r="U4302" s="4">
        <f t="shared" si="402"/>
        <v>1.5512892324873064</v>
      </c>
      <c r="W4302" s="4">
        <f t="shared" si="403"/>
        <v>0.63338218597195872</v>
      </c>
      <c r="X4302" s="4">
        <f t="shared" si="404"/>
        <v>2.8008601200207677</v>
      </c>
      <c r="Y4302" s="3">
        <f t="shared" si="401"/>
        <v>179.61984416567793</v>
      </c>
      <c r="AA4302" s="3"/>
    </row>
    <row r="4303" spans="19:27" x14ac:dyDescent="0.25">
      <c r="S4303" s="4">
        <v>-3.944165007520567E-2</v>
      </c>
      <c r="T4303" s="4">
        <v>-0.84207649008513585</v>
      </c>
      <c r="U4303" s="4">
        <f t="shared" si="402"/>
        <v>-0.69155182292942796</v>
      </c>
      <c r="W4303" s="4">
        <f t="shared" si="403"/>
        <v>-3.8753327685181277E-2</v>
      </c>
      <c r="X4303" s="4">
        <f t="shared" si="404"/>
        <v>-1.1534834593815935</v>
      </c>
      <c r="Y4303" s="3">
        <f t="shared" si="401"/>
        <v>-109.13422671561375</v>
      </c>
      <c r="AA4303" s="3"/>
    </row>
    <row r="4304" spans="19:27" x14ac:dyDescent="0.25">
      <c r="S4304" s="4">
        <v>0.37324728635993643</v>
      </c>
      <c r="T4304" s="4">
        <v>-0.74541516955429299</v>
      </c>
      <c r="U4304" s="4">
        <f t="shared" si="402"/>
        <v>-0.36334478209862348</v>
      </c>
      <c r="W4304" s="4">
        <f t="shared" si="403"/>
        <v>0.66300635623432891</v>
      </c>
      <c r="X4304" s="4">
        <f t="shared" si="404"/>
        <v>-0.57482301374301803</v>
      </c>
      <c r="Y4304" s="3">
        <f t="shared" si="401"/>
        <v>-162.59699588394778</v>
      </c>
      <c r="AA4304" s="3"/>
    </row>
    <row r="4305" spans="19:27" x14ac:dyDescent="0.25">
      <c r="S4305" s="4">
        <v>2.0722861812947406</v>
      </c>
      <c r="T4305" s="4">
        <v>0.87573904406620673</v>
      </c>
      <c r="U4305" s="4">
        <f t="shared" si="402"/>
        <v>1.9575032435675368</v>
      </c>
      <c r="W4305" s="4">
        <f t="shared" si="403"/>
        <v>3.5521484984390201</v>
      </c>
      <c r="X4305" s="4">
        <f t="shared" si="404"/>
        <v>3.5170543249997404</v>
      </c>
      <c r="Y4305" s="3">
        <f t="shared" si="401"/>
        <v>-185.5615442569765</v>
      </c>
      <c r="AA4305" s="3"/>
    </row>
    <row r="4306" spans="19:27" x14ac:dyDescent="0.25">
      <c r="S4306" s="4">
        <v>-0.54514994713450371</v>
      </c>
      <c r="T4306" s="4">
        <v>-0.51733338041581745</v>
      </c>
      <c r="U4306" s="4">
        <f t="shared" si="402"/>
        <v>-0.74242161286552033</v>
      </c>
      <c r="W4306" s="4">
        <f t="shared" si="403"/>
        <v>-0.898688410426563</v>
      </c>
      <c r="X4306" s="4">
        <f t="shared" si="404"/>
        <v>-1.2431717708798675</v>
      </c>
      <c r="Y4306" s="3">
        <f t="shared" si="401"/>
        <v>21.796146773043347</v>
      </c>
      <c r="AA4306" s="3"/>
    </row>
    <row r="4307" spans="19:27" x14ac:dyDescent="0.25">
      <c r="S4307" s="4">
        <v>-0.63876694855490257</v>
      </c>
      <c r="T4307" s="4">
        <v>-0.65985040230333158</v>
      </c>
      <c r="U4307" s="4">
        <f t="shared" si="402"/>
        <v>-0.91246473151348062</v>
      </c>
      <c r="W4307" s="4">
        <f t="shared" si="403"/>
        <v>-1.0578800715691348</v>
      </c>
      <c r="X4307" s="4">
        <f t="shared" si="404"/>
        <v>-1.5429740742232838</v>
      </c>
      <c r="Y4307" s="3">
        <f t="shared" si="401"/>
        <v>18.138056301196229</v>
      </c>
      <c r="AA4307" s="3"/>
    </row>
    <row r="4308" spans="19:27" x14ac:dyDescent="0.25">
      <c r="S4308" s="4">
        <v>-0.37852799035425017</v>
      </c>
      <c r="T4308" s="4">
        <v>-0.81836542394125078</v>
      </c>
      <c r="U4308" s="4">
        <f t="shared" si="402"/>
        <v>-0.87947084871536962</v>
      </c>
      <c r="W4308" s="4">
        <f t="shared" si="403"/>
        <v>-0.61535498081198592</v>
      </c>
      <c r="X4308" s="4">
        <f t="shared" si="404"/>
        <v>-1.4848026989993617</v>
      </c>
      <c r="Y4308" s="3">
        <f t="shared" si="401"/>
        <v>-48.887161645573997</v>
      </c>
      <c r="AA4308" s="3"/>
    </row>
    <row r="4309" spans="19:27" x14ac:dyDescent="0.25">
      <c r="S4309" s="4">
        <v>-7.3261417057769992E-2</v>
      </c>
      <c r="T4309" s="4">
        <v>1.3130394479470988</v>
      </c>
      <c r="U4309" s="4">
        <f t="shared" si="402"/>
        <v>0.99617409650430799</v>
      </c>
      <c r="W4309" s="4">
        <f t="shared" si="403"/>
        <v>-9.6262378431555579E-2</v>
      </c>
      <c r="X4309" s="4">
        <f t="shared" si="404"/>
        <v>1.8221389714570004</v>
      </c>
      <c r="Y4309" s="3">
        <f t="shared" si="401"/>
        <v>197.66394993360973</v>
      </c>
      <c r="AA4309" s="3"/>
    </row>
    <row r="4310" spans="19:27" x14ac:dyDescent="0.25">
      <c r="S4310" s="4">
        <v>-8.9653306865026941E-2</v>
      </c>
      <c r="T4310" s="4">
        <v>-0.22897051423736961</v>
      </c>
      <c r="U4310" s="4">
        <f t="shared" si="402"/>
        <v>-0.23615775540483297</v>
      </c>
      <c r="W4310" s="4">
        <f t="shared" si="403"/>
        <v>-0.12413607795291871</v>
      </c>
      <c r="X4310" s="4">
        <f t="shared" si="404"/>
        <v>-0.35058010487740632</v>
      </c>
      <c r="Y4310" s="3">
        <f t="shared" si="401"/>
        <v>-15.125289589918793</v>
      </c>
      <c r="AA4310" s="3"/>
    </row>
    <row r="4311" spans="19:27" x14ac:dyDescent="0.25">
      <c r="S4311" s="4">
        <v>1.1929155299422052</v>
      </c>
      <c r="T4311" s="4">
        <v>0.61683623555036382</v>
      </c>
      <c r="U4311" s="4">
        <f t="shared" si="402"/>
        <v>1.2161890841225582</v>
      </c>
      <c r="W4311" s="4">
        <f t="shared" si="403"/>
        <v>2.0568167464616245</v>
      </c>
      <c r="X4311" s="4">
        <f t="shared" si="404"/>
        <v>2.2100464656413634</v>
      </c>
      <c r="Y4311" s="3">
        <f t="shared" si="401"/>
        <v>-97.789024855700973</v>
      </c>
      <c r="AA4311" s="3"/>
    </row>
    <row r="4312" spans="19:27" x14ac:dyDescent="0.25">
      <c r="S4312" s="4">
        <v>0.49314492498125423</v>
      </c>
      <c r="T4312" s="4">
        <v>-0.76576483471794832</v>
      </c>
      <c r="U4312" s="4">
        <f t="shared" si="402"/>
        <v>-0.30638352361988197</v>
      </c>
      <c r="W4312" s="4">
        <f t="shared" si="403"/>
        <v>0.86688710406439562</v>
      </c>
      <c r="X4312" s="4">
        <f t="shared" si="404"/>
        <v>-0.47439485981918239</v>
      </c>
      <c r="Y4312" s="3">
        <f t="shared" si="401"/>
        <v>-184.42486484976098</v>
      </c>
      <c r="AA4312" s="3"/>
    </row>
    <row r="4313" spans="19:27" x14ac:dyDescent="0.25">
      <c r="S4313" s="4">
        <v>-0.26310596065863623</v>
      </c>
      <c r="T4313" s="4">
        <v>-0.55371870805310575</v>
      </c>
      <c r="U4313" s="4">
        <f t="shared" si="402"/>
        <v>-0.59932366461039543</v>
      </c>
      <c r="W4313" s="4">
        <f t="shared" si="403"/>
        <v>-0.41908481234995348</v>
      </c>
      <c r="X4313" s="4">
        <f t="shared" si="404"/>
        <v>-0.99087638349979112</v>
      </c>
      <c r="Y4313" s="3">
        <f t="shared" si="401"/>
        <v>-31.474032114188958</v>
      </c>
      <c r="AA4313" s="3"/>
    </row>
    <row r="4314" spans="19:27" x14ac:dyDescent="0.25">
      <c r="S4314" s="4">
        <v>0.87285552208469508</v>
      </c>
      <c r="T4314" s="4">
        <v>-0.36152507497361858</v>
      </c>
      <c r="U4314" s="4">
        <f t="shared" si="402"/>
        <v>0.24553415970892439</v>
      </c>
      <c r="W4314" s="4">
        <f t="shared" si="403"/>
        <v>1.5125685485585507</v>
      </c>
      <c r="X4314" s="4">
        <f t="shared" si="404"/>
        <v>0.49868887349261637</v>
      </c>
      <c r="Y4314" s="3">
        <f t="shared" si="401"/>
        <v>-186.65542399611559</v>
      </c>
      <c r="AA4314" s="3"/>
    </row>
    <row r="4315" spans="19:27" x14ac:dyDescent="0.25">
      <c r="S4315" s="4">
        <v>1.4402947491382054</v>
      </c>
      <c r="T4315" s="4">
        <v>0.27347930132890164</v>
      </c>
      <c r="U4315" s="4">
        <f t="shared" si="402"/>
        <v>1.0948206742282929</v>
      </c>
      <c r="W4315" s="4">
        <f t="shared" si="403"/>
        <v>2.4774744073401185</v>
      </c>
      <c r="X4315" s="4">
        <f t="shared" si="404"/>
        <v>1.9960623354469536</v>
      </c>
      <c r="Y4315" s="3">
        <f t="shared" si="401"/>
        <v>-181.76136176979662</v>
      </c>
      <c r="AA4315" s="3"/>
    </row>
    <row r="4316" spans="19:27" x14ac:dyDescent="0.25">
      <c r="S4316" s="4">
        <v>0.15828592891448753</v>
      </c>
      <c r="T4316" s="4">
        <v>0.22891522791060703</v>
      </c>
      <c r="U4316" s="4">
        <f t="shared" si="402"/>
        <v>0.27795390809719078</v>
      </c>
      <c r="W4316" s="4">
        <f t="shared" si="403"/>
        <v>0.29747386690011401</v>
      </c>
      <c r="X4316" s="4">
        <f t="shared" si="404"/>
        <v>0.55584799476666547</v>
      </c>
      <c r="Y4316" s="3">
        <f t="shared" si="401"/>
        <v>8.142906089922235</v>
      </c>
      <c r="AA4316" s="3"/>
    </row>
    <row r="4317" spans="19:27" x14ac:dyDescent="0.25">
      <c r="S4317" s="4">
        <v>0.52311205568126273</v>
      </c>
      <c r="T4317" s="4">
        <v>0.32336072958394374</v>
      </c>
      <c r="U4317" s="4">
        <f t="shared" si="402"/>
        <v>0.57522625032241448</v>
      </c>
      <c r="W4317" s="4">
        <f t="shared" si="403"/>
        <v>0.91784491347326891</v>
      </c>
      <c r="X4317" s="4">
        <f t="shared" si="404"/>
        <v>1.0799676041224859</v>
      </c>
      <c r="Y4317" s="3">
        <f t="shared" si="401"/>
        <v>-36.921237131363796</v>
      </c>
      <c r="AA4317" s="3"/>
    </row>
    <row r="4318" spans="19:27" x14ac:dyDescent="0.25">
      <c r="S4318" s="4">
        <v>0.95353062721668336</v>
      </c>
      <c r="T4318" s="4">
        <v>-1.47381522261846</v>
      </c>
      <c r="U4318" s="4">
        <f t="shared" si="402"/>
        <v>-0.58698801897488362</v>
      </c>
      <c r="W4318" s="4">
        <f t="shared" si="403"/>
        <v>1.6497530749154738</v>
      </c>
      <c r="X4318" s="4">
        <f t="shared" si="404"/>
        <v>-0.96912745884961993</v>
      </c>
      <c r="Y4318" s="3">
        <f t="shared" si="401"/>
        <v>-354.31418595627883</v>
      </c>
      <c r="AA4318" s="3"/>
    </row>
    <row r="4319" spans="19:27" x14ac:dyDescent="0.25">
      <c r="S4319" s="4">
        <v>-1.0449007476292205</v>
      </c>
      <c r="T4319" s="4">
        <v>0.65351321482859426</v>
      </c>
      <c r="U4319" s="4">
        <f t="shared" si="402"/>
        <v>-0.1189600997605833</v>
      </c>
      <c r="W4319" s="4">
        <f t="shared" si="403"/>
        <v>-1.7484930279748969</v>
      </c>
      <c r="X4319" s="4">
        <f t="shared" si="404"/>
        <v>-0.14394941386228338</v>
      </c>
      <c r="Y4319" s="3">
        <f t="shared" si="401"/>
        <v>273.7795287721874</v>
      </c>
      <c r="AA4319" s="3"/>
    </row>
    <row r="4320" spans="19:27" x14ac:dyDescent="0.25">
      <c r="S4320" s="4">
        <v>0.75394646262950482</v>
      </c>
      <c r="T4320" s="4">
        <v>-1.1690774854378501</v>
      </c>
      <c r="U4320" s="4">
        <f t="shared" si="402"/>
        <v>-0.4670958066669833</v>
      </c>
      <c r="W4320" s="4">
        <f t="shared" si="403"/>
        <v>1.310368836835591</v>
      </c>
      <c r="X4320" s="4">
        <f t="shared" si="404"/>
        <v>-0.75774600637660883</v>
      </c>
      <c r="Y4320" s="3">
        <f t="shared" si="401"/>
        <v>-281.3546368624261</v>
      </c>
      <c r="AA4320" s="3"/>
    </row>
    <row r="4321" spans="19:27" x14ac:dyDescent="0.25">
      <c r="S4321" s="4">
        <v>-0.36924200757473102</v>
      </c>
      <c r="T4321" s="4">
        <v>1.3500769678558175</v>
      </c>
      <c r="U4321" s="4">
        <f t="shared" si="402"/>
        <v>0.84509707108264631</v>
      </c>
      <c r="W4321" s="4">
        <f t="shared" si="403"/>
        <v>-0.59956456879724196</v>
      </c>
      <c r="X4321" s="4">
        <f t="shared" si="404"/>
        <v>1.5557757068696432</v>
      </c>
      <c r="Y4321" s="3">
        <f t="shared" si="401"/>
        <v>252.59041763441746</v>
      </c>
      <c r="AA4321" s="3"/>
    </row>
    <row r="4322" spans="19:27" x14ac:dyDescent="0.25">
      <c r="S4322" s="4">
        <v>0.82103237716689126</v>
      </c>
      <c r="T4322" s="4">
        <v>-0.53014485060841343</v>
      </c>
      <c r="U4322" s="4">
        <f t="shared" si="402"/>
        <v>8.027806391551795E-2</v>
      </c>
      <c r="W4322" s="4">
        <f t="shared" si="403"/>
        <v>1.424445532440457</v>
      </c>
      <c r="X4322" s="4">
        <f t="shared" si="404"/>
        <v>0.20732654989883073</v>
      </c>
      <c r="Y4322" s="3">
        <f t="shared" si="401"/>
        <v>-202.33084065511002</v>
      </c>
      <c r="AA4322" s="3"/>
    </row>
    <row r="4323" spans="19:27" x14ac:dyDescent="0.25">
      <c r="S4323" s="4">
        <v>5.2114847754283669E-2</v>
      </c>
      <c r="T4323" s="4">
        <v>-0.45630940910169654</v>
      </c>
      <c r="U4323" s="4">
        <f t="shared" si="402"/>
        <v>-0.32994245279217965</v>
      </c>
      <c r="W4323" s="4">
        <f t="shared" si="403"/>
        <v>0.11693453623626247</v>
      </c>
      <c r="X4323" s="4">
        <f t="shared" si="404"/>
        <v>-0.51593150820765266</v>
      </c>
      <c r="Y4323" s="3">
        <f t="shared" si="401"/>
        <v>-70.296626370021386</v>
      </c>
      <c r="AA4323" s="3"/>
    </row>
    <row r="4324" spans="19:27" x14ac:dyDescent="0.25">
      <c r="S4324" s="4">
        <v>1.1006000313670465</v>
      </c>
      <c r="T4324" s="4">
        <v>-0.98277908429189031</v>
      </c>
      <c r="U4324" s="4">
        <f t="shared" si="402"/>
        <v>-0.10809080095140478</v>
      </c>
      <c r="W4324" s="4">
        <f t="shared" si="403"/>
        <v>1.8998382346057423</v>
      </c>
      <c r="X4324" s="4">
        <f t="shared" si="404"/>
        <v>-0.12478579910015986</v>
      </c>
      <c r="Y4324" s="3">
        <f t="shared" si="401"/>
        <v>-307.69545173008964</v>
      </c>
      <c r="AA4324" s="3"/>
    </row>
    <row r="4325" spans="19:27" x14ac:dyDescent="0.25">
      <c r="S4325" s="4">
        <v>-2.051073076183386</v>
      </c>
      <c r="T4325" s="4">
        <v>-0.11083937621456867</v>
      </c>
      <c r="U4325" s="4">
        <f t="shared" si="402"/>
        <v>-1.3382413993923166</v>
      </c>
      <c r="W4325" s="4">
        <f t="shared" si="403"/>
        <v>-3.4594455467267471</v>
      </c>
      <c r="X4325" s="4">
        <f t="shared" si="404"/>
        <v>-2.2936591166696689</v>
      </c>
      <c r="Y4325" s="3">
        <f t="shared" si="401"/>
        <v>356.51127448737589</v>
      </c>
      <c r="AA4325" s="3"/>
    </row>
    <row r="4326" spans="19:27" x14ac:dyDescent="0.25">
      <c r="S4326" s="4">
        <v>1.8251130729303608</v>
      </c>
      <c r="T4326" s="4">
        <v>1.0177516684186858</v>
      </c>
      <c r="U4326" s="4">
        <f t="shared" si="402"/>
        <v>1.9193932757313998</v>
      </c>
      <c r="W4326" s="4">
        <f t="shared" si="403"/>
        <v>3.1318413201135593</v>
      </c>
      <c r="X4326" s="4">
        <f t="shared" si="404"/>
        <v>3.4498628018821749</v>
      </c>
      <c r="Y4326" s="3">
        <f t="shared" si="401"/>
        <v>-131.98146486581936</v>
      </c>
      <c r="AA4326" s="3"/>
    </row>
    <row r="4327" spans="19:27" x14ac:dyDescent="0.25">
      <c r="S4327" s="4">
        <v>9.9252969737027609E-3</v>
      </c>
      <c r="T4327" s="4">
        <v>0.94686392414890719</v>
      </c>
      <c r="U4327" s="4">
        <f t="shared" si="402"/>
        <v>0.75662215818174006</v>
      </c>
      <c r="W4327" s="4">
        <f t="shared" si="403"/>
        <v>4.5193030209386989E-2</v>
      </c>
      <c r="X4327" s="4">
        <f t="shared" si="404"/>
        <v>1.399785962111348</v>
      </c>
      <c r="Y4327" s="3">
        <f t="shared" si="401"/>
        <v>132.74167481037148</v>
      </c>
      <c r="AA4327" s="3"/>
    </row>
    <row r="4328" spans="19:27" x14ac:dyDescent="0.25">
      <c r="S4328" s="4">
        <v>1.084219690301172</v>
      </c>
      <c r="T4328" s="4">
        <v>0.28754307908044269</v>
      </c>
      <c r="U4328" s="4">
        <f t="shared" si="402"/>
        <v>0.88889761804658551</v>
      </c>
      <c r="W4328" s="4">
        <f t="shared" si="403"/>
        <v>1.8719841732195137</v>
      </c>
      <c r="X4328" s="4">
        <f t="shared" si="404"/>
        <v>1.6330002659808915</v>
      </c>
      <c r="Y4328" s="3">
        <f t="shared" si="401"/>
        <v>-127.72053881785905</v>
      </c>
      <c r="AA4328" s="3"/>
    </row>
    <row r="4329" spans="19:27" x14ac:dyDescent="0.25">
      <c r="S4329" s="4">
        <v>1.5055979201724172</v>
      </c>
      <c r="T4329" s="4">
        <v>-0.24803912777482345</v>
      </c>
      <c r="U4329" s="4">
        <f t="shared" si="402"/>
        <v>0.72122744784500048</v>
      </c>
      <c r="W4329" s="4">
        <f t="shared" si="403"/>
        <v>2.5885196247374411</v>
      </c>
      <c r="X4329" s="4">
        <f t="shared" si="404"/>
        <v>1.3373816980076276</v>
      </c>
      <c r="Y4329" s="3">
        <f t="shared" si="401"/>
        <v>-264.00126526952681</v>
      </c>
      <c r="AA4329" s="3"/>
    </row>
    <row r="4330" spans="19:27" x14ac:dyDescent="0.25">
      <c r="S4330" s="4">
        <v>0.28855250289055595</v>
      </c>
      <c r="T4330" s="4">
        <v>-0.95117566453534474</v>
      </c>
      <c r="U4330" s="4">
        <f t="shared" si="402"/>
        <v>-0.57808131398370355</v>
      </c>
      <c r="W4330" s="4">
        <f t="shared" si="403"/>
        <v>0.51898654075171868</v>
      </c>
      <c r="X4330" s="4">
        <f t="shared" si="404"/>
        <v>-0.95342408494782571</v>
      </c>
      <c r="Y4330" s="3">
        <f t="shared" si="401"/>
        <v>-177.81582326121679</v>
      </c>
      <c r="AA4330" s="3"/>
    </row>
    <row r="4331" spans="19:27" x14ac:dyDescent="0.25">
      <c r="S4331" s="4">
        <v>1.4535032851805275E-2</v>
      </c>
      <c r="T4331" s="4">
        <v>1.2848950971583264</v>
      </c>
      <c r="U4331" s="4">
        <f t="shared" si="402"/>
        <v>1.0273869690221866</v>
      </c>
      <c r="W4331" s="4">
        <f t="shared" si="403"/>
        <v>5.3031686657784516E-2</v>
      </c>
      <c r="X4331" s="4">
        <f t="shared" si="404"/>
        <v>1.8771702549880771</v>
      </c>
      <c r="Y4331" s="3">
        <f t="shared" si="401"/>
        <v>179.22594618439689</v>
      </c>
      <c r="AA4331" s="3"/>
    </row>
    <row r="4332" spans="19:27" x14ac:dyDescent="0.25">
      <c r="S4332" s="4">
        <v>0.39606954248164389</v>
      </c>
      <c r="T4332" s="4">
        <v>-0.22154621292619317</v>
      </c>
      <c r="U4332" s="4">
        <f t="shared" si="402"/>
        <v>6.5834915329381072E-2</v>
      </c>
      <c r="W4332" s="4">
        <f t="shared" si="403"/>
        <v>0.70181461550254542</v>
      </c>
      <c r="X4332" s="4">
        <f t="shared" si="404"/>
        <v>0.18186189570944472</v>
      </c>
      <c r="Y4332" s="3">
        <f t="shared" si="401"/>
        <v>-93.011378261262507</v>
      </c>
      <c r="AA4332" s="3"/>
    </row>
    <row r="4333" spans="19:27" x14ac:dyDescent="0.25">
      <c r="S4333" s="4">
        <v>-0.36068098020841377</v>
      </c>
      <c r="T4333" s="4">
        <v>-0.76546130337871721</v>
      </c>
      <c r="U4333" s="4">
        <f t="shared" si="402"/>
        <v>-0.82665423899165114</v>
      </c>
      <c r="W4333" s="4">
        <f t="shared" si="403"/>
        <v>-0.58500691210184075</v>
      </c>
      <c r="X4333" s="4">
        <f t="shared" si="404"/>
        <v>-1.3916819577669965</v>
      </c>
      <c r="Y4333" s="3">
        <f t="shared" si="401"/>
        <v>-44.533016236511685</v>
      </c>
      <c r="AA4333" s="3"/>
    </row>
    <row r="4334" spans="19:27" x14ac:dyDescent="0.25">
      <c r="S4334" s="4">
        <v>-6.5590657173389438E-2</v>
      </c>
      <c r="T4334" s="4">
        <v>-0.23602763739344615</v>
      </c>
      <c r="U4334" s="4">
        <f t="shared" si="402"/>
        <v>-0.22708275247299997</v>
      </c>
      <c r="W4334" s="4">
        <f t="shared" si="403"/>
        <v>-8.3218583077154684E-2</v>
      </c>
      <c r="X4334" s="4">
        <f t="shared" si="404"/>
        <v>-0.33458000558821099</v>
      </c>
      <c r="Y4334" s="3">
        <f t="shared" si="401"/>
        <v>-20.104278049382174</v>
      </c>
      <c r="AA4334" s="3"/>
    </row>
    <row r="4335" spans="19:27" x14ac:dyDescent="0.25">
      <c r="S4335" s="4">
        <v>-1.2008231248570067</v>
      </c>
      <c r="T4335" s="4">
        <v>0.4444320519332875</v>
      </c>
      <c r="U4335" s="4">
        <f t="shared" si="402"/>
        <v>-0.37975082897358231</v>
      </c>
      <c r="W4335" s="4">
        <f t="shared" si="403"/>
        <v>-2.013632285413038</v>
      </c>
      <c r="X4335" s="4">
        <f t="shared" si="404"/>
        <v>-0.60374844560395458</v>
      </c>
      <c r="Y4335" s="3">
        <f t="shared" si="401"/>
        <v>272.90568214623272</v>
      </c>
      <c r="AA4335" s="3"/>
    </row>
    <row r="4336" spans="19:27" x14ac:dyDescent="0.25">
      <c r="S4336" s="4">
        <v>-0.74565161492586229</v>
      </c>
      <c r="T4336" s="4">
        <v>0.78179723131746026</v>
      </c>
      <c r="U4336" s="4">
        <f t="shared" si="402"/>
        <v>0.16515856436636073</v>
      </c>
      <c r="W4336" s="4">
        <f t="shared" si="403"/>
        <v>-1.2396328230149325</v>
      </c>
      <c r="X4336" s="4">
        <f t="shared" si="404"/>
        <v>0.3569790012678753</v>
      </c>
      <c r="Y4336" s="3">
        <f t="shared" si="401"/>
        <v>238.34887987370166</v>
      </c>
      <c r="AA4336" s="3"/>
    </row>
    <row r="4337" spans="19:27" x14ac:dyDescent="0.25">
      <c r="S4337" s="4">
        <v>1.3351874951806884</v>
      </c>
      <c r="T4337" s="4">
        <v>-0.76595894575921653</v>
      </c>
      <c r="U4337" s="4">
        <f t="shared" si="402"/>
        <v>0.20679054443070544</v>
      </c>
      <c r="W4337" s="4">
        <f t="shared" si="403"/>
        <v>2.2987440688143925</v>
      </c>
      <c r="X4337" s="4">
        <f t="shared" si="404"/>
        <v>0.43038016924973199</v>
      </c>
      <c r="Y4337" s="3">
        <f t="shared" si="401"/>
        <v>-311.85040175411086</v>
      </c>
      <c r="AA4337" s="3"/>
    </row>
    <row r="4338" spans="19:27" x14ac:dyDescent="0.25">
      <c r="S4338" s="4">
        <v>-6.9608373045868588E-2</v>
      </c>
      <c r="T4338" s="4">
        <v>-0.14218848500533107</v>
      </c>
      <c r="U4338" s="4">
        <f t="shared" si="402"/>
        <v>-0.15514649454942114</v>
      </c>
      <c r="W4338" s="4">
        <f t="shared" si="403"/>
        <v>-9.0050535116151187E-2</v>
      </c>
      <c r="X4338" s="4">
        <f t="shared" si="404"/>
        <v>-0.20774949347531343</v>
      </c>
      <c r="Y4338" s="3">
        <f t="shared" si="401"/>
        <v>-6.3233412712625068</v>
      </c>
      <c r="AA4338" s="3"/>
    </row>
    <row r="4339" spans="19:27" x14ac:dyDescent="0.25">
      <c r="S4339" s="4">
        <v>-0.55193680913552345</v>
      </c>
      <c r="T4339" s="4">
        <v>0.5099081693587254</v>
      </c>
      <c r="U4339" s="4">
        <f t="shared" si="402"/>
        <v>6.7727142660759132E-2</v>
      </c>
      <c r="W4339" s="4">
        <f t="shared" si="403"/>
        <v>-0.91022917566679973</v>
      </c>
      <c r="X4339" s="4">
        <f t="shared" si="404"/>
        <v>0.18519807371480684</v>
      </c>
      <c r="Y4339" s="3">
        <f t="shared" si="401"/>
        <v>166.53690943322727</v>
      </c>
      <c r="AA4339" s="3"/>
    </row>
    <row r="4340" spans="19:27" x14ac:dyDescent="0.25">
      <c r="S4340" s="4">
        <v>-1.331801527931239</v>
      </c>
      <c r="T4340" s="4">
        <v>-2.9021793289122258E-2</v>
      </c>
      <c r="U4340" s="4">
        <f t="shared" si="402"/>
        <v>-0.83490127030267103</v>
      </c>
      <c r="W4340" s="4">
        <f t="shared" si="403"/>
        <v>-2.2363553938530938</v>
      </c>
      <c r="X4340" s="4">
        <f t="shared" si="404"/>
        <v>-1.4062222637931863</v>
      </c>
      <c r="Y4340" s="3">
        <f t="shared" si="401"/>
        <v>230.8380873377555</v>
      </c>
      <c r="AA4340" s="3"/>
    </row>
    <row r="4341" spans="19:27" x14ac:dyDescent="0.25">
      <c r="S4341" s="4">
        <v>-0.46154606568388123</v>
      </c>
      <c r="T4341" s="4">
        <v>-0.76851753041840531</v>
      </c>
      <c r="U4341" s="4">
        <f t="shared" si="402"/>
        <v>-0.89056649236690477</v>
      </c>
      <c r="W4341" s="4">
        <f t="shared" si="403"/>
        <v>-0.75652362663557926</v>
      </c>
      <c r="X4341" s="4">
        <f t="shared" si="404"/>
        <v>-1.5043653813957887</v>
      </c>
      <c r="Y4341" s="3">
        <f t="shared" si="401"/>
        <v>-27.717616186538635</v>
      </c>
      <c r="AA4341" s="3"/>
    </row>
    <row r="4342" spans="19:27" x14ac:dyDescent="0.25">
      <c r="S4342" s="4">
        <v>-0.27638576879153243</v>
      </c>
      <c r="T4342" s="4">
        <v>-0.13671987947478678</v>
      </c>
      <c r="U4342" s="4">
        <f t="shared" si="402"/>
        <v>-0.2768676886240844</v>
      </c>
      <c r="W4342" s="4">
        <f t="shared" si="403"/>
        <v>-0.44166655160943946</v>
      </c>
      <c r="X4342" s="4">
        <f t="shared" si="404"/>
        <v>-0.4223556159661912</v>
      </c>
      <c r="Y4342" s="3">
        <f t="shared" si="401"/>
        <v>29.047204991416493</v>
      </c>
      <c r="AA4342" s="3"/>
    </row>
    <row r="4343" spans="19:27" x14ac:dyDescent="0.25">
      <c r="S4343" s="4">
        <v>-1.1854652994169632</v>
      </c>
      <c r="T4343" s="4">
        <v>0.33588518248119126</v>
      </c>
      <c r="U4343" s="4">
        <f t="shared" si="402"/>
        <v>-0.45643259301935563</v>
      </c>
      <c r="W4343" s="4">
        <f t="shared" si="403"/>
        <v>-1.9875169676155868</v>
      </c>
      <c r="X4343" s="4">
        <f t="shared" si="404"/>
        <v>-0.7389457394912422</v>
      </c>
      <c r="Y4343" s="3">
        <f t="shared" si="401"/>
        <v>254.92653869141213</v>
      </c>
      <c r="AA4343" s="3"/>
    </row>
    <row r="4344" spans="19:27" x14ac:dyDescent="0.25">
      <c r="S4344" s="4">
        <v>-1.8193437749610082</v>
      </c>
      <c r="T4344" s="4">
        <v>1.6414867674886919</v>
      </c>
      <c r="U4344" s="4">
        <f t="shared" si="402"/>
        <v>0.19208090163602209</v>
      </c>
      <c r="W4344" s="4">
        <f t="shared" si="403"/>
        <v>-3.0653998943634404</v>
      </c>
      <c r="X4344" s="4">
        <f t="shared" si="404"/>
        <v>0.40444566024831263</v>
      </c>
      <c r="Y4344" s="3">
        <f t="shared" si="401"/>
        <v>556.36064903235638</v>
      </c>
      <c r="AA4344" s="3"/>
    </row>
    <row r="4345" spans="19:27" x14ac:dyDescent="0.25">
      <c r="S4345" s="4">
        <v>-0.3546030448540643</v>
      </c>
      <c r="T4345" s="4">
        <v>-0.18423171412748185</v>
      </c>
      <c r="U4345" s="4">
        <f t="shared" si="402"/>
        <v>-0.36221293741856098</v>
      </c>
      <c r="W4345" s="4">
        <f t="shared" si="403"/>
        <v>-0.57467164595684717</v>
      </c>
      <c r="X4345" s="4">
        <f t="shared" si="404"/>
        <v>-0.57282746317438704</v>
      </c>
      <c r="Y4345" s="3">
        <f t="shared" si="401"/>
        <v>35.665070248744996</v>
      </c>
      <c r="AA4345" s="3"/>
    </row>
    <row r="4346" spans="19:27" x14ac:dyDescent="0.25">
      <c r="S4346" s="4">
        <v>0.24741557559301311</v>
      </c>
      <c r="T4346" s="4">
        <v>-2.8349994171647905</v>
      </c>
      <c r="U4346" s="4">
        <f t="shared" si="402"/>
        <v>-2.0964513565038412</v>
      </c>
      <c r="W4346" s="4">
        <f t="shared" si="403"/>
        <v>0.44903497542236698</v>
      </c>
      <c r="X4346" s="4">
        <f t="shared" si="404"/>
        <v>-3.6304558854383804</v>
      </c>
      <c r="Y4346" s="3">
        <f t="shared" si="401"/>
        <v>-434.48360581126917</v>
      </c>
      <c r="AA4346" s="3"/>
    </row>
    <row r="4347" spans="19:27" x14ac:dyDescent="0.25">
      <c r="S4347" s="4">
        <v>0.80464665815085101</v>
      </c>
      <c r="T4347" s="4">
        <v>8.0901965574200374E-2</v>
      </c>
      <c r="U4347" s="4">
        <f t="shared" si="402"/>
        <v>0.55466089839407884</v>
      </c>
      <c r="W4347" s="4">
        <f t="shared" si="403"/>
        <v>1.396582326082616</v>
      </c>
      <c r="X4347" s="4">
        <f t="shared" si="404"/>
        <v>1.0437089191124356</v>
      </c>
      <c r="Y4347" s="3">
        <f t="shared" si="401"/>
        <v>-114.42833933520069</v>
      </c>
      <c r="AA4347" s="3"/>
    </row>
    <row r="4348" spans="19:27" x14ac:dyDescent="0.25">
      <c r="S4348" s="4">
        <v>-1.8506596803892645</v>
      </c>
      <c r="T4348" s="4">
        <v>-1.0151010416117203</v>
      </c>
      <c r="U4348" s="4">
        <f t="shared" si="402"/>
        <v>-1.9328659269154338</v>
      </c>
      <c r="W4348" s="4">
        <f t="shared" si="403"/>
        <v>-3.1186512368511261</v>
      </c>
      <c r="X4348" s="4">
        <f t="shared" si="404"/>
        <v>-3.3420391063650623</v>
      </c>
      <c r="Y4348" s="3">
        <f t="shared" si="401"/>
        <v>191.11753382733241</v>
      </c>
      <c r="AA4348" s="3"/>
    </row>
    <row r="4349" spans="19:27" x14ac:dyDescent="0.25">
      <c r="S4349" s="4">
        <v>0.10651099540531479</v>
      </c>
      <c r="T4349" s="4">
        <v>0.63132386837522014</v>
      </c>
      <c r="U4349" s="4">
        <f t="shared" si="402"/>
        <v>0.56537687108397328</v>
      </c>
      <c r="W4349" s="4">
        <f t="shared" si="403"/>
        <v>0.20943283219682271</v>
      </c>
      <c r="X4349" s="4">
        <f t="shared" si="404"/>
        <v>1.0626022052420947</v>
      </c>
      <c r="Y4349" s="3">
        <f t="shared" si="401"/>
        <v>72.811798241688393</v>
      </c>
      <c r="AA4349" s="3"/>
    </row>
    <row r="4350" spans="19:27" x14ac:dyDescent="0.25">
      <c r="S4350" s="4">
        <v>-0.21775850230186927</v>
      </c>
      <c r="T4350" s="4">
        <v>0.128653746546605</v>
      </c>
      <c r="U4350" s="4">
        <f t="shared" si="402"/>
        <v>-3.0767643504765851E-2</v>
      </c>
      <c r="W4350" s="4">
        <f t="shared" si="403"/>
        <v>-0.34197342109752715</v>
      </c>
      <c r="X4350" s="4">
        <f t="shared" si="404"/>
        <v>1.1542332779618789E-2</v>
      </c>
      <c r="Y4350" s="3">
        <f t="shared" si="401"/>
        <v>56.258513612494426</v>
      </c>
      <c r="AA4350" s="3"/>
    </row>
    <row r="4351" spans="19:27" x14ac:dyDescent="0.25">
      <c r="S4351" s="4">
        <v>-2.3834867860974631E-2</v>
      </c>
      <c r="T4351" s="4">
        <v>-1.4976512439115797</v>
      </c>
      <c r="U4351" s="4">
        <f t="shared" si="402"/>
        <v>-1.2017064554520058</v>
      </c>
      <c r="W4351" s="4">
        <f t="shared" si="403"/>
        <v>-1.2214669662831693E-2</v>
      </c>
      <c r="X4351" s="4">
        <f t="shared" si="404"/>
        <v>-2.0529349344408439</v>
      </c>
      <c r="Y4351" s="3">
        <f t="shared" si="401"/>
        <v>-203.33570217894021</v>
      </c>
      <c r="AA4351" s="3"/>
    </row>
    <row r="4352" spans="19:27" x14ac:dyDescent="0.25">
      <c r="S4352" s="4">
        <v>-1.0475801414207551</v>
      </c>
      <c r="T4352" s="4">
        <v>-1.3414095957155734</v>
      </c>
      <c r="U4352" s="4">
        <f t="shared" si="402"/>
        <v>-1.7019529083173399</v>
      </c>
      <c r="W4352" s="4">
        <f t="shared" si="403"/>
        <v>-1.75304922120965</v>
      </c>
      <c r="X4352" s="4">
        <f t="shared" si="404"/>
        <v>-2.9349173398499899</v>
      </c>
      <c r="Y4352" s="3">
        <f t="shared" si="401"/>
        <v>-4.5453121669343091</v>
      </c>
      <c r="AA4352" s="3"/>
    </row>
    <row r="4353" spans="19:27" x14ac:dyDescent="0.25">
      <c r="S4353" s="4">
        <v>-0.26488840879478048</v>
      </c>
      <c r="T4353" s="4">
        <v>0.49518930263516053</v>
      </c>
      <c r="U4353" s="4">
        <f t="shared" si="402"/>
        <v>0.23105072391063788</v>
      </c>
      <c r="W4353" s="4">
        <f t="shared" si="403"/>
        <v>-0.42211578829863894</v>
      </c>
      <c r="X4353" s="4">
        <f t="shared" si="404"/>
        <v>0.4731531890898717</v>
      </c>
      <c r="Y4353" s="3">
        <f t="shared" si="401"/>
        <v>115.42125450511821</v>
      </c>
      <c r="AA4353" s="3"/>
    </row>
    <row r="4354" spans="19:27" x14ac:dyDescent="0.25">
      <c r="S4354" s="4">
        <v>-7.0560411620970501E-2</v>
      </c>
      <c r="T4354" s="4">
        <v>0.12891914301762053</v>
      </c>
      <c r="U4354" s="4">
        <f t="shared" si="402"/>
        <v>5.9177974500929306E-2</v>
      </c>
      <c r="W4354" s="4">
        <f t="shared" si="403"/>
        <v>-9.1669435528926604E-2</v>
      </c>
      <c r="X4354" s="4">
        <f t="shared" si="404"/>
        <v>0.17012507148827472</v>
      </c>
      <c r="Y4354" s="3">
        <f t="shared" ref="Y4354:Y4417" si="405">(B$4*EXP(-B$8*B$7)*NORMSDIST((LN(B$4/(B$5+W4354))-B$8*B$7+B$9*B$7+0.5*B$6*B$6*B$7)/(B$6*SQRT(B$7)))-(B$5+W4354)*EXP(-B$9*B$7)*NORMSDIST((LN(B$4/(B$5+W4354))-B$8*B$7+B$9*B$7-0.5*B$6*B$6*B$7)/(B$6*SQRT(B$7))))*400+100*X4354-400*$B$13</f>
        <v>31.724305780456234</v>
      </c>
      <c r="AA4354" s="3"/>
    </row>
    <row r="4355" spans="19:27" x14ac:dyDescent="0.25">
      <c r="S4355" s="4">
        <v>2.0285312693794797</v>
      </c>
      <c r="T4355" s="4">
        <v>0.21942336938817861</v>
      </c>
      <c r="U4355" s="4">
        <f t="shared" ref="U4355:U4418" si="406">$B$19*S4355+SQRT(1-$B$19^2)*T4355</f>
        <v>1.4105730757884989</v>
      </c>
      <c r="W4355" s="4">
        <f t="shared" ref="W4355:W4418" si="407">S4355*SQRT($B$16)+$B$20</f>
        <v>3.4777451635184944</v>
      </c>
      <c r="X4355" s="4">
        <f t="shared" ref="X4355:X4418" si="408">U4355*SQRT($C$17)+$C$20</f>
        <v>2.5527640592605829</v>
      </c>
      <c r="Y4355" s="3">
        <f t="shared" si="405"/>
        <v>-271.37892026623649</v>
      </c>
      <c r="AA4355" s="3"/>
    </row>
    <row r="4356" spans="19:27" x14ac:dyDescent="0.25">
      <c r="S4356" s="4">
        <v>0.27653149478506517</v>
      </c>
      <c r="T4356" s="4">
        <v>-0.77465859258963699</v>
      </c>
      <c r="U4356" s="4">
        <f t="shared" si="406"/>
        <v>-0.4454859145978044</v>
      </c>
      <c r="W4356" s="4">
        <f t="shared" si="407"/>
        <v>0.49854533648447308</v>
      </c>
      <c r="X4356" s="4">
        <f t="shared" si="408"/>
        <v>-0.71964569706179748</v>
      </c>
      <c r="Y4356" s="3">
        <f t="shared" si="405"/>
        <v>-151.21582264181416</v>
      </c>
      <c r="AA4356" s="3"/>
    </row>
    <row r="4357" spans="19:27" x14ac:dyDescent="0.25">
      <c r="S4357" s="4">
        <v>-0.33911453633690414</v>
      </c>
      <c r="T4357" s="4">
        <v>1.177624312544767</v>
      </c>
      <c r="U4357" s="4">
        <f t="shared" si="406"/>
        <v>0.72676160623890529</v>
      </c>
      <c r="W4357" s="4">
        <f t="shared" si="407"/>
        <v>-0.54833410723997111</v>
      </c>
      <c r="X4357" s="4">
        <f t="shared" si="408"/>
        <v>1.3471389492669092</v>
      </c>
      <c r="Y4357" s="3">
        <f t="shared" si="405"/>
        <v>223.36429509812206</v>
      </c>
      <c r="AA4357" s="3"/>
    </row>
    <row r="4358" spans="19:27" x14ac:dyDescent="0.25">
      <c r="S4358" s="4">
        <v>-0.77547980770929414</v>
      </c>
      <c r="T4358" s="4">
        <v>-0.53424205261247582</v>
      </c>
      <c r="U4358" s="4">
        <f t="shared" si="406"/>
        <v>-0.89623920445910843</v>
      </c>
      <c r="W4358" s="4">
        <f t="shared" si="407"/>
        <v>-1.290354374506975</v>
      </c>
      <c r="X4358" s="4">
        <f t="shared" si="408"/>
        <v>-1.5143669160945707</v>
      </c>
      <c r="Y4358" s="3">
        <f t="shared" si="405"/>
        <v>59.677565069459433</v>
      </c>
      <c r="AA4358" s="3"/>
    </row>
    <row r="4359" spans="19:27" x14ac:dyDescent="0.25">
      <c r="S4359" s="4">
        <v>1.7611477497365657</v>
      </c>
      <c r="T4359" s="4">
        <v>-1.4946743351193905</v>
      </c>
      <c r="U4359" s="4">
        <f t="shared" si="406"/>
        <v>-0.11118145365373833</v>
      </c>
      <c r="W4359" s="4">
        <f t="shared" si="407"/>
        <v>3.0230710550949778</v>
      </c>
      <c r="X4359" s="4">
        <f t="shared" si="408"/>
        <v>-0.13023491580868399</v>
      </c>
      <c r="Y4359" s="3">
        <f t="shared" si="405"/>
        <v>-474.24615516905078</v>
      </c>
      <c r="AA4359" s="3"/>
    </row>
    <row r="4360" spans="19:27" x14ac:dyDescent="0.25">
      <c r="S4360" s="4">
        <v>-0.93725116503570793</v>
      </c>
      <c r="T4360" s="4">
        <v>9.0905222729273344E-2</v>
      </c>
      <c r="U4360" s="4">
        <f t="shared" si="406"/>
        <v>-0.49930937747873816</v>
      </c>
      <c r="W4360" s="4">
        <f t="shared" si="407"/>
        <v>-1.5654395695821177</v>
      </c>
      <c r="X4360" s="4">
        <f t="shared" si="408"/>
        <v>-0.81454161683747472</v>
      </c>
      <c r="Y4360" s="3">
        <f t="shared" si="405"/>
        <v>175.7968680618842</v>
      </c>
      <c r="AA4360" s="3"/>
    </row>
    <row r="4361" spans="19:27" x14ac:dyDescent="0.25">
      <c r="S4361" s="4">
        <v>1.3547423775519107</v>
      </c>
      <c r="T4361" s="4">
        <v>-1.364254829099057</v>
      </c>
      <c r="U4361" s="4">
        <f t="shared" si="406"/>
        <v>-0.25555273465812589</v>
      </c>
      <c r="W4361" s="4">
        <f t="shared" si="407"/>
        <v>2.3319963003630537</v>
      </c>
      <c r="X4361" s="4">
        <f t="shared" si="408"/>
        <v>-0.38477531077381821</v>
      </c>
      <c r="Y4361" s="3">
        <f t="shared" si="405"/>
        <v>-398.3043173789124</v>
      </c>
      <c r="AA4361" s="3"/>
    </row>
    <row r="4362" spans="19:27" x14ac:dyDescent="0.25">
      <c r="S4362" s="4">
        <v>2.1111530007545083</v>
      </c>
      <c r="T4362" s="4">
        <v>-1.7577813114796603</v>
      </c>
      <c r="U4362" s="4">
        <f t="shared" si="406"/>
        <v>-0.10637324365557355</v>
      </c>
      <c r="W4362" s="4">
        <f t="shared" si="407"/>
        <v>3.6182398435927077</v>
      </c>
      <c r="X4362" s="4">
        <f t="shared" si="408"/>
        <v>-0.12175758109575743</v>
      </c>
      <c r="Y4362" s="3">
        <f t="shared" si="405"/>
        <v>-558.84638845567542</v>
      </c>
      <c r="AA4362" s="3"/>
    </row>
    <row r="4363" spans="19:27" x14ac:dyDescent="0.25">
      <c r="S4363" s="4">
        <v>-0.71225559278067352</v>
      </c>
      <c r="T4363" s="4">
        <v>1.0884096626464599</v>
      </c>
      <c r="U4363" s="4">
        <f t="shared" si="406"/>
        <v>0.42856675181541848</v>
      </c>
      <c r="W4363" s="4">
        <f t="shared" si="407"/>
        <v>-1.18284433203376</v>
      </c>
      <c r="X4363" s="4">
        <f t="shared" si="408"/>
        <v>0.82139286255581123</v>
      </c>
      <c r="Y4363" s="3">
        <f t="shared" si="405"/>
        <v>275.33076850170528</v>
      </c>
      <c r="AA4363" s="3"/>
    </row>
    <row r="4364" spans="19:27" x14ac:dyDescent="0.25">
      <c r="S4364" s="4">
        <v>-0.98371926593124959</v>
      </c>
      <c r="T4364" s="4">
        <v>1.5470353696866574</v>
      </c>
      <c r="U4364" s="4">
        <f t="shared" si="406"/>
        <v>0.62662537745656288</v>
      </c>
      <c r="W4364" s="4">
        <f t="shared" si="407"/>
        <v>-1.6444565649939153</v>
      </c>
      <c r="X4364" s="4">
        <f t="shared" si="408"/>
        <v>1.1705891877959844</v>
      </c>
      <c r="Y4364" s="3">
        <f t="shared" si="405"/>
        <v>387.63657960441105</v>
      </c>
      <c r="AA4364" s="3"/>
    </row>
    <row r="4365" spans="19:27" x14ac:dyDescent="0.25">
      <c r="S4365" s="4">
        <v>7.4740512959346292E-2</v>
      </c>
      <c r="T4365" s="4">
        <v>2.4587692515053203</v>
      </c>
      <c r="U4365" s="4">
        <f t="shared" si="406"/>
        <v>1.9946102463820761</v>
      </c>
      <c r="W4365" s="4">
        <f t="shared" si="407"/>
        <v>0.15540850115504032</v>
      </c>
      <c r="X4365" s="4">
        <f t="shared" si="408"/>
        <v>3.5824775247294576</v>
      </c>
      <c r="Y4365" s="3">
        <f t="shared" si="405"/>
        <v>333.4058685334212</v>
      </c>
      <c r="AA4365" s="3"/>
    </row>
    <row r="4366" spans="19:27" x14ac:dyDescent="0.25">
      <c r="S4366" s="4">
        <v>-0.34056061006917404</v>
      </c>
      <c r="T4366" s="4">
        <v>0.33790314353173562</v>
      </c>
      <c r="U4366" s="4">
        <f t="shared" si="406"/>
        <v>6.0239778615750444E-2</v>
      </c>
      <c r="W4366" s="4">
        <f t="shared" si="407"/>
        <v>-0.55079309306607049</v>
      </c>
      <c r="X4366" s="4">
        <f t="shared" si="408"/>
        <v>0.17199713383254361</v>
      </c>
      <c r="Y4366" s="3">
        <f t="shared" si="405"/>
        <v>106.25118565040384</v>
      </c>
      <c r="AA4366" s="3"/>
    </row>
    <row r="4367" spans="19:27" x14ac:dyDescent="0.25">
      <c r="S4367" s="4">
        <v>-0.43195942629258272</v>
      </c>
      <c r="T4367" s="4">
        <v>0.25976990599800676</v>
      </c>
      <c r="U4367" s="4">
        <f t="shared" si="406"/>
        <v>-5.7414572837919453E-2</v>
      </c>
      <c r="W4367" s="4">
        <f t="shared" si="407"/>
        <v>-0.70621282623751425</v>
      </c>
      <c r="X4367" s="4">
        <f t="shared" si="408"/>
        <v>-3.5438755632714453E-2</v>
      </c>
      <c r="Y4367" s="3">
        <f t="shared" si="405"/>
        <v>110.92133601169826</v>
      </c>
      <c r="AA4367" s="3"/>
    </row>
    <row r="4368" spans="19:27" x14ac:dyDescent="0.25">
      <c r="S4368" s="4">
        <v>1.2819630846143806</v>
      </c>
      <c r="T4368" s="4">
        <v>3.0466970795519375</v>
      </c>
      <c r="U4368" s="4">
        <f t="shared" si="406"/>
        <v>3.1966057584409113</v>
      </c>
      <c r="W4368" s="4">
        <f t="shared" si="407"/>
        <v>2.2082382610782929</v>
      </c>
      <c r="X4368" s="4">
        <f t="shared" si="408"/>
        <v>5.7017107285719613</v>
      </c>
      <c r="Y4368" s="3">
        <f t="shared" si="405"/>
        <v>228.75171290834078</v>
      </c>
      <c r="AA4368" s="3"/>
    </row>
    <row r="4369" spans="19:27" x14ac:dyDescent="0.25">
      <c r="S4369" s="4">
        <v>-1.4051136667966686</v>
      </c>
      <c r="T4369" s="4">
        <v>0.71839767268094812</v>
      </c>
      <c r="U4369" s="4">
        <f t="shared" si="406"/>
        <v>-0.28712054041003976</v>
      </c>
      <c r="W4369" s="4">
        <f t="shared" si="407"/>
        <v>-2.3610195145878947</v>
      </c>
      <c r="X4369" s="4">
        <f t="shared" si="408"/>
        <v>-0.44043237558874204</v>
      </c>
      <c r="Y4369" s="3">
        <f t="shared" si="405"/>
        <v>348.90311058770021</v>
      </c>
      <c r="AA4369" s="3"/>
    </row>
    <row r="4370" spans="19:27" x14ac:dyDescent="0.25">
      <c r="S4370" s="4">
        <v>0.81851048842594332</v>
      </c>
      <c r="T4370" s="4">
        <v>-1.613169052063945</v>
      </c>
      <c r="U4370" s="4">
        <f t="shared" si="406"/>
        <v>-0.77976397654135998</v>
      </c>
      <c r="W4370" s="4">
        <f t="shared" si="407"/>
        <v>1.420157169730724</v>
      </c>
      <c r="X4370" s="4">
        <f t="shared" si="408"/>
        <v>-1.3090099343487573</v>
      </c>
      <c r="Y4370" s="3">
        <f t="shared" si="405"/>
        <v>-353.30844099311525</v>
      </c>
      <c r="AA4370" s="3"/>
    </row>
    <row r="4371" spans="19:27" x14ac:dyDescent="0.25">
      <c r="S4371" s="4">
        <v>-0.49483878414076155</v>
      </c>
      <c r="T4371" s="4">
        <v>-0.93745630183249296</v>
      </c>
      <c r="U4371" s="4">
        <f t="shared" si="406"/>
        <v>-1.0447788921498984</v>
      </c>
      <c r="W4371" s="4">
        <f t="shared" si="407"/>
        <v>-0.81313645416359159</v>
      </c>
      <c r="X4371" s="4">
        <f t="shared" si="408"/>
        <v>-1.7762566112595137</v>
      </c>
      <c r="Y4371" s="3">
        <f t="shared" si="405"/>
        <v>-45.603312770562297</v>
      </c>
      <c r="AA4371" s="3"/>
    </row>
    <row r="4372" spans="19:27" x14ac:dyDescent="0.25">
      <c r="S4372" s="4">
        <v>0.87997514433462276</v>
      </c>
      <c r="T4372" s="4">
        <v>-0.21082418785947676</v>
      </c>
      <c r="U4372" s="4">
        <f t="shared" si="406"/>
        <v>0.36933383074696569</v>
      </c>
      <c r="W4372" s="4">
        <f t="shared" si="407"/>
        <v>1.5246751582071978</v>
      </c>
      <c r="X4372" s="4">
        <f t="shared" si="408"/>
        <v>0.71695954992735023</v>
      </c>
      <c r="Y4372" s="3">
        <f t="shared" si="405"/>
        <v>-166.67458596471806</v>
      </c>
      <c r="AA4372" s="3"/>
    </row>
    <row r="4373" spans="19:27" x14ac:dyDescent="0.25">
      <c r="S4373" s="4">
        <v>0.71390642476204169</v>
      </c>
      <c r="T4373" s="4">
        <v>1.6084359821547893</v>
      </c>
      <c r="U4373" s="4">
        <f t="shared" si="406"/>
        <v>1.7102076511398911</v>
      </c>
      <c r="W4373" s="4">
        <f t="shared" si="407"/>
        <v>1.2422824845318092</v>
      </c>
      <c r="X4373" s="4">
        <f t="shared" si="408"/>
        <v>3.0810485118508164</v>
      </c>
      <c r="Y4373" s="3">
        <f t="shared" si="405"/>
        <v>112.99111882766601</v>
      </c>
      <c r="AA4373" s="3"/>
    </row>
    <row r="4374" spans="19:27" x14ac:dyDescent="0.25">
      <c r="S4374" s="4">
        <v>1.1796277606593653</v>
      </c>
      <c r="T4374" s="4">
        <v>-1.7274866643730236</v>
      </c>
      <c r="U4374" s="4">
        <f t="shared" si="406"/>
        <v>-0.65023748909395418</v>
      </c>
      <c r="W4374" s="4">
        <f t="shared" si="407"/>
        <v>2.0342214696110501</v>
      </c>
      <c r="X4374" s="4">
        <f t="shared" si="408"/>
        <v>-1.0806423321224725</v>
      </c>
      <c r="Y4374" s="3">
        <f t="shared" si="405"/>
        <v>-423.47187471614598</v>
      </c>
      <c r="AA4374" s="3"/>
    </row>
    <row r="4375" spans="19:27" x14ac:dyDescent="0.25">
      <c r="S4375" s="4">
        <v>0.59622973599941897</v>
      </c>
      <c r="T4375" s="4">
        <v>-0.42319906259539658</v>
      </c>
      <c r="U4375" s="4">
        <f t="shared" si="406"/>
        <v>2.8008430713438115E-2</v>
      </c>
      <c r="W4375" s="4">
        <f t="shared" si="407"/>
        <v>1.0421783658605033</v>
      </c>
      <c r="X4375" s="4">
        <f t="shared" si="408"/>
        <v>0.11517018065849856</v>
      </c>
      <c r="Y4375" s="3">
        <f t="shared" si="405"/>
        <v>-152.70054754674447</v>
      </c>
      <c r="AA4375" s="3"/>
    </row>
    <row r="4376" spans="19:27" x14ac:dyDescent="0.25">
      <c r="S4376" s="4">
        <v>-1.0892154960892646</v>
      </c>
      <c r="T4376" s="4">
        <v>0.38960457405164184</v>
      </c>
      <c r="U4376" s="4">
        <f t="shared" si="406"/>
        <v>-0.35517363243911332</v>
      </c>
      <c r="W4376" s="4">
        <f t="shared" si="407"/>
        <v>-1.8238483407218877</v>
      </c>
      <c r="X4376" s="4">
        <f t="shared" si="408"/>
        <v>-0.56041649433568719</v>
      </c>
      <c r="Y4376" s="3">
        <f t="shared" si="405"/>
        <v>244.91437882660011</v>
      </c>
      <c r="AA4376" s="3"/>
    </row>
    <row r="4377" spans="19:27" x14ac:dyDescent="0.25">
      <c r="S4377" s="4">
        <v>-2.5525634145075814E-2</v>
      </c>
      <c r="T4377" s="4">
        <v>0.46329364127096345</v>
      </c>
      <c r="U4377" s="4">
        <f t="shared" si="406"/>
        <v>0.35168817576198347</v>
      </c>
      <c r="W4377" s="4">
        <f t="shared" si="407"/>
        <v>-1.5089744588178234E-2</v>
      </c>
      <c r="X4377" s="4">
        <f t="shared" si="408"/>
        <v>0.68584857025017087</v>
      </c>
      <c r="Y4377" s="3">
        <f t="shared" si="405"/>
        <v>71.003583131302094</v>
      </c>
      <c r="AA4377" s="3"/>
    </row>
    <row r="4378" spans="19:27" x14ac:dyDescent="0.25">
      <c r="S4378" s="4">
        <v>-1.0124560891464034</v>
      </c>
      <c r="T4378" s="4">
        <v>0.29894379979947211</v>
      </c>
      <c r="U4378" s="4">
        <f t="shared" si="406"/>
        <v>-0.38024545750271821</v>
      </c>
      <c r="W4378" s="4">
        <f t="shared" si="407"/>
        <v>-1.6933222897465983</v>
      </c>
      <c r="X4378" s="4">
        <f t="shared" si="408"/>
        <v>-0.60462052307179559</v>
      </c>
      <c r="Y4378" s="3">
        <f t="shared" si="405"/>
        <v>218.37364038143096</v>
      </c>
      <c r="AA4378" s="3"/>
    </row>
    <row r="4379" spans="19:27" x14ac:dyDescent="0.25">
      <c r="S4379" s="4">
        <v>-1.3005839788768414</v>
      </c>
      <c r="T4379" s="4">
        <v>2.6176459052579601</v>
      </c>
      <c r="U4379" s="4">
        <f t="shared" si="406"/>
        <v>1.2821220055461429</v>
      </c>
      <c r="W4379" s="4">
        <f t="shared" si="407"/>
        <v>-2.1832713021243619</v>
      </c>
      <c r="X4379" s="4">
        <f t="shared" si="408"/>
        <v>2.3262925205603771</v>
      </c>
      <c r="Y4379" s="3">
        <f t="shared" si="405"/>
        <v>594.96569473899126</v>
      </c>
      <c r="AA4379" s="3"/>
    </row>
    <row r="4380" spans="19:27" x14ac:dyDescent="0.25">
      <c r="S4380" s="4">
        <v>-1.5073730550610711</v>
      </c>
      <c r="T4380" s="4">
        <v>0.3946484567656609</v>
      </c>
      <c r="U4380" s="4">
        <f t="shared" si="406"/>
        <v>-0.60609356468652542</v>
      </c>
      <c r="W4380" s="4">
        <f t="shared" si="407"/>
        <v>-2.534907180698148</v>
      </c>
      <c r="X4380" s="4">
        <f t="shared" si="408"/>
        <v>-1.0028123656928163</v>
      </c>
      <c r="Y4380" s="3">
        <f t="shared" si="405"/>
        <v>322.77402179834371</v>
      </c>
      <c r="AA4380" s="3"/>
    </row>
    <row r="4381" spans="19:27" x14ac:dyDescent="0.25">
      <c r="S4381" s="4">
        <v>2.336672537029576</v>
      </c>
      <c r="T4381" s="4">
        <v>-0.19636002536071459</v>
      </c>
      <c r="U4381" s="4">
        <f t="shared" si="406"/>
        <v>1.2688346891256068</v>
      </c>
      <c r="W4381" s="4">
        <f t="shared" si="407"/>
        <v>4.0017260592910002</v>
      </c>
      <c r="X4381" s="4">
        <f t="shared" si="408"/>
        <v>2.3028657091739269</v>
      </c>
      <c r="Y4381" s="3">
        <f t="shared" si="405"/>
        <v>-370.53093915815998</v>
      </c>
      <c r="AA4381" s="3"/>
    </row>
    <row r="4382" spans="19:27" x14ac:dyDescent="0.25">
      <c r="S4382" s="4">
        <v>-0.98575477683859647</v>
      </c>
      <c r="T4382" s="4">
        <v>1.220133556258578</v>
      </c>
      <c r="U4382" s="4">
        <f t="shared" si="406"/>
        <v>0.36625202611005725</v>
      </c>
      <c r="W4382" s="4">
        <f t="shared" si="407"/>
        <v>-1.647917863237802</v>
      </c>
      <c r="X4382" s="4">
        <f t="shared" si="408"/>
        <v>0.71152603320555696</v>
      </c>
      <c r="Y4382" s="3">
        <f t="shared" si="405"/>
        <v>342.31478711691034</v>
      </c>
      <c r="AA4382" s="3"/>
    </row>
    <row r="4383" spans="19:27" x14ac:dyDescent="0.25">
      <c r="S4383" s="4">
        <v>-0.31661602746907919</v>
      </c>
      <c r="T4383" s="4">
        <v>-0.9505639954020938</v>
      </c>
      <c r="U4383" s="4">
        <f t="shared" si="406"/>
        <v>-0.9465206872821873</v>
      </c>
      <c r="W4383" s="4">
        <f t="shared" si="407"/>
        <v>-0.51007636617201679</v>
      </c>
      <c r="X4383" s="4">
        <f t="shared" si="408"/>
        <v>-1.6030179858099538</v>
      </c>
      <c r="Y4383" s="3">
        <f t="shared" si="405"/>
        <v>-77.887352847666079</v>
      </c>
      <c r="AA4383" s="3"/>
    </row>
    <row r="4384" spans="19:27" x14ac:dyDescent="0.25">
      <c r="S4384" s="4">
        <v>-1.1979129209101158</v>
      </c>
      <c r="T4384" s="4">
        <v>0.71953667464735493</v>
      </c>
      <c r="U4384" s="4">
        <f t="shared" si="406"/>
        <v>-0.15990346491664476</v>
      </c>
      <c r="W4384" s="4">
        <f t="shared" si="407"/>
        <v>-2.0086836094937057</v>
      </c>
      <c r="X4384" s="4">
        <f t="shared" si="408"/>
        <v>-0.21613648781162978</v>
      </c>
      <c r="Y4384" s="3">
        <f t="shared" si="405"/>
        <v>310.82156990481872</v>
      </c>
      <c r="AA4384" s="3"/>
    </row>
    <row r="4385" spans="19:27" x14ac:dyDescent="0.25">
      <c r="S4385" s="4">
        <v>-0.14445359533238503</v>
      </c>
      <c r="T4385" s="4">
        <v>0.50143432321423331</v>
      </c>
      <c r="U4385" s="4">
        <f t="shared" si="406"/>
        <v>0.3094208512923376</v>
      </c>
      <c r="W4385" s="4">
        <f t="shared" si="407"/>
        <v>-0.21732159788893718</v>
      </c>
      <c r="X4385" s="4">
        <f t="shared" si="408"/>
        <v>0.61132722923432037</v>
      </c>
      <c r="Y4385" s="3">
        <f t="shared" si="405"/>
        <v>96.080839849372751</v>
      </c>
      <c r="AA4385" s="3"/>
    </row>
    <row r="4386" spans="19:27" x14ac:dyDescent="0.25">
      <c r="S4386" s="4">
        <v>0.21104404017266637</v>
      </c>
      <c r="T4386" s="4">
        <v>-0.9530601450470485</v>
      </c>
      <c r="U4386" s="4">
        <f t="shared" si="406"/>
        <v>-0.62682601487544587</v>
      </c>
      <c r="W4386" s="4">
        <f t="shared" si="407"/>
        <v>0.38718675283435688</v>
      </c>
      <c r="X4386" s="4">
        <f t="shared" si="408"/>
        <v>-1.0393656609394133</v>
      </c>
      <c r="Y4386" s="3">
        <f t="shared" si="405"/>
        <v>-165.59663296193048</v>
      </c>
      <c r="AA4386" s="3"/>
    </row>
    <row r="4387" spans="19:27" x14ac:dyDescent="0.25">
      <c r="S4387" s="4">
        <v>1.4131715016926882</v>
      </c>
      <c r="T4387" s="4">
        <v>0.7469471836510293</v>
      </c>
      <c r="U4387" s="4">
        <f t="shared" si="406"/>
        <v>1.4535999489566409</v>
      </c>
      <c r="W4387" s="4">
        <f t="shared" si="407"/>
        <v>2.4313524983821155</v>
      </c>
      <c r="X4387" s="4">
        <f t="shared" si="408"/>
        <v>2.6286245573744758</v>
      </c>
      <c r="Y4387" s="3">
        <f t="shared" si="405"/>
        <v>-111.68726730112212</v>
      </c>
      <c r="AA4387" s="3"/>
    </row>
    <row r="4388" spans="19:27" x14ac:dyDescent="0.25">
      <c r="S4388" s="4">
        <v>0.71729088354503012</v>
      </c>
      <c r="T4388" s="4">
        <v>-0.50007671338211579</v>
      </c>
      <c r="U4388" s="4">
        <f t="shared" si="406"/>
        <v>4.0869707142326128E-2</v>
      </c>
      <c r="W4388" s="4">
        <f t="shared" si="407"/>
        <v>1.248037610284161</v>
      </c>
      <c r="X4388" s="4">
        <f t="shared" si="408"/>
        <v>0.13784584273747835</v>
      </c>
      <c r="Y4388" s="3">
        <f t="shared" si="405"/>
        <v>-182.21473960406593</v>
      </c>
      <c r="AA4388" s="3"/>
    </row>
    <row r="4389" spans="19:27" x14ac:dyDescent="0.25">
      <c r="S4389" s="4">
        <v>0.52419640999652806</v>
      </c>
      <c r="T4389" s="4">
        <v>0.63196774325881855</v>
      </c>
      <c r="U4389" s="4">
        <f t="shared" si="406"/>
        <v>0.82051761363585496</v>
      </c>
      <c r="W4389" s="4">
        <f t="shared" si="407"/>
        <v>0.91968881107835276</v>
      </c>
      <c r="X4389" s="4">
        <f t="shared" si="408"/>
        <v>1.512439769396422</v>
      </c>
      <c r="Y4389" s="3">
        <f t="shared" si="405"/>
        <v>6.0391871888073183</v>
      </c>
      <c r="AA4389" s="3"/>
    </row>
    <row r="4390" spans="19:27" x14ac:dyDescent="0.25">
      <c r="S4390" s="4">
        <v>-0.59981990824587361</v>
      </c>
      <c r="T4390" s="4">
        <v>-0.39349639094690203</v>
      </c>
      <c r="U4390" s="4">
        <f t="shared" si="406"/>
        <v>-0.67758504774562422</v>
      </c>
      <c r="W4390" s="4">
        <f t="shared" si="407"/>
        <v>-0.99165231433154766</v>
      </c>
      <c r="X4390" s="4">
        <f t="shared" si="408"/>
        <v>-1.1288586971231871</v>
      </c>
      <c r="Y4390" s="3">
        <f t="shared" si="405"/>
        <v>48.582750775954082</v>
      </c>
      <c r="AA4390" s="3"/>
    </row>
    <row r="4391" spans="19:27" x14ac:dyDescent="0.25">
      <c r="S4391" s="4">
        <v>-1.5845519797050018</v>
      </c>
      <c r="T4391" s="4">
        <v>-0.99650853741192325</v>
      </c>
      <c r="U4391" s="4">
        <f t="shared" si="406"/>
        <v>-1.7559026055310714</v>
      </c>
      <c r="W4391" s="4">
        <f t="shared" si="407"/>
        <v>-2.6661466033762125</v>
      </c>
      <c r="X4391" s="4">
        <f t="shared" si="408"/>
        <v>-3.0300358228439537</v>
      </c>
      <c r="Y4391" s="3">
        <f t="shared" si="405"/>
        <v>142.88350983275086</v>
      </c>
      <c r="AA4391" s="3"/>
    </row>
    <row r="4392" spans="19:27" x14ac:dyDescent="0.25">
      <c r="S4392" s="4">
        <v>-0.50019755188406367</v>
      </c>
      <c r="T4392" s="4">
        <v>-0.97236448759496774</v>
      </c>
      <c r="U4392" s="4">
        <f t="shared" si="406"/>
        <v>-1.075717156779834</v>
      </c>
      <c r="W4392" s="4">
        <f t="shared" si="407"/>
        <v>-0.82224880689643198</v>
      </c>
      <c r="X4392" s="4">
        <f t="shared" si="408"/>
        <v>-1.8308037347847272</v>
      </c>
      <c r="Y4392" s="3">
        <f t="shared" si="405"/>
        <v>-49.558985289209886</v>
      </c>
      <c r="AA4392" s="3"/>
    </row>
    <row r="4393" spans="19:27" x14ac:dyDescent="0.25">
      <c r="S4393" s="4">
        <v>-0.73311829485505164</v>
      </c>
      <c r="T4393" s="4">
        <v>1.848673404126647</v>
      </c>
      <c r="U4393" s="4">
        <f t="shared" si="406"/>
        <v>1.0185033833059416</v>
      </c>
      <c r="W4393" s="4">
        <f t="shared" si="407"/>
        <v>-1.218320454412736</v>
      </c>
      <c r="X4393" s="4">
        <f t="shared" si="408"/>
        <v>1.8615076425821451</v>
      </c>
      <c r="Y4393" s="3">
        <f t="shared" si="405"/>
        <v>385.24966083218624</v>
      </c>
      <c r="AA4393" s="3"/>
    </row>
    <row r="4394" spans="19:27" x14ac:dyDescent="0.25">
      <c r="S4394" s="4">
        <v>-1.1591392891123238</v>
      </c>
      <c r="T4394" s="4">
        <v>-0.4163212730518438</v>
      </c>
      <c r="U4394" s="4">
        <f t="shared" si="406"/>
        <v>-1.0366517236515573</v>
      </c>
      <c r="W4394" s="4">
        <f t="shared" si="407"/>
        <v>-1.9427507259280079</v>
      </c>
      <c r="X4394" s="4">
        <f t="shared" si="408"/>
        <v>-1.7619276348514352</v>
      </c>
      <c r="Y4394" s="3">
        <f t="shared" si="405"/>
        <v>144.99258673046552</v>
      </c>
      <c r="AA4394" s="3"/>
    </row>
    <row r="4395" spans="19:27" x14ac:dyDescent="0.25">
      <c r="S4395" s="4">
        <v>0.52778564154494745</v>
      </c>
      <c r="T4395" s="4">
        <v>-0.46859103523556983</v>
      </c>
      <c r="U4395" s="4">
        <f t="shared" si="406"/>
        <v>-4.9698470816391838E-2</v>
      </c>
      <c r="W4395" s="4">
        <f t="shared" si="407"/>
        <v>0.92579214406006594</v>
      </c>
      <c r="X4395" s="4">
        <f t="shared" si="408"/>
        <v>-2.1834528791427221E-2</v>
      </c>
      <c r="Y4395" s="3">
        <f t="shared" si="405"/>
        <v>-148.33740632383569</v>
      </c>
      <c r="AA4395" s="3"/>
    </row>
    <row r="4396" spans="19:27" x14ac:dyDescent="0.25">
      <c r="S4396" s="4">
        <v>1.1030598022288693</v>
      </c>
      <c r="T4396" s="4">
        <v>1.8917212175692943</v>
      </c>
      <c r="U4396" s="4">
        <f t="shared" si="406"/>
        <v>2.1720021779732428</v>
      </c>
      <c r="W4396" s="4">
        <f t="shared" si="407"/>
        <v>1.9040209685491769</v>
      </c>
      <c r="X4396" s="4">
        <f t="shared" si="408"/>
        <v>3.8952364890935085</v>
      </c>
      <c r="Y4396" s="3">
        <f t="shared" si="405"/>
        <v>93.676969689615362</v>
      </c>
      <c r="AA4396" s="3"/>
    </row>
    <row r="4397" spans="19:27" x14ac:dyDescent="0.25">
      <c r="S4397" s="4">
        <v>1.0272357034438293</v>
      </c>
      <c r="T4397" s="4">
        <v>1.1520114261858809</v>
      </c>
      <c r="U4397" s="4">
        <f t="shared" si="406"/>
        <v>1.5394160676165094</v>
      </c>
      <c r="W4397" s="4">
        <f t="shared" si="407"/>
        <v>1.7750853686358172</v>
      </c>
      <c r="X4397" s="4">
        <f t="shared" si="408"/>
        <v>2.7799265932509454</v>
      </c>
      <c r="Y4397" s="3">
        <f t="shared" si="405"/>
        <v>1.6004898162309473</v>
      </c>
      <c r="AA4397" s="3"/>
    </row>
    <row r="4398" spans="19:27" x14ac:dyDescent="0.25">
      <c r="S4398" s="4">
        <v>2.770449372993641</v>
      </c>
      <c r="T4398" s="4">
        <v>-1.5911359532700642</v>
      </c>
      <c r="U4398" s="4">
        <f t="shared" si="406"/>
        <v>0.42764698043137472</v>
      </c>
      <c r="W4398" s="4">
        <f t="shared" si="407"/>
        <v>4.7393448041191357</v>
      </c>
      <c r="X4398" s="4">
        <f t="shared" si="408"/>
        <v>0.81977121751849247</v>
      </c>
      <c r="Y4398" s="3">
        <f t="shared" si="405"/>
        <v>-621.00732207025976</v>
      </c>
      <c r="AA4398" s="3"/>
    </row>
    <row r="4399" spans="19:27" x14ac:dyDescent="0.25">
      <c r="S4399" s="4">
        <v>0.93792450146912743</v>
      </c>
      <c r="T4399" s="4">
        <v>-5.4513925951173513E-2</v>
      </c>
      <c r="U4399" s="4">
        <f t="shared" si="406"/>
        <v>0.52856694890680156</v>
      </c>
      <c r="W4399" s="4">
        <f t="shared" si="407"/>
        <v>1.6232155331863072</v>
      </c>
      <c r="X4399" s="4">
        <f t="shared" si="408"/>
        <v>0.99770278712770966</v>
      </c>
      <c r="Y4399" s="3">
        <f t="shared" si="405"/>
        <v>-153.59998989001724</v>
      </c>
      <c r="AA4399" s="3"/>
    </row>
    <row r="4400" spans="19:27" x14ac:dyDescent="0.25">
      <c r="S4400" s="4">
        <v>4.9523907420347985E-2</v>
      </c>
      <c r="T4400" s="4">
        <v>-0.44199325464679795</v>
      </c>
      <c r="U4400" s="4">
        <f t="shared" si="406"/>
        <v>-0.32017364645012047</v>
      </c>
      <c r="W4400" s="4">
        <f t="shared" si="407"/>
        <v>0.11252875427975305</v>
      </c>
      <c r="X4400" s="4">
        <f t="shared" si="408"/>
        <v>-0.49870816706011456</v>
      </c>
      <c r="Y4400" s="3">
        <f t="shared" si="405"/>
        <v>-67.870875255574902</v>
      </c>
      <c r="AA4400" s="3"/>
    </row>
    <row r="4401" spans="19:27" x14ac:dyDescent="0.25">
      <c r="S4401" s="4">
        <v>1.1281621506822765</v>
      </c>
      <c r="T4401" s="4">
        <v>2.445224770324756</v>
      </c>
      <c r="U4401" s="4">
        <f t="shared" si="406"/>
        <v>2.6260629783943994</v>
      </c>
      <c r="W4401" s="4">
        <f t="shared" si="407"/>
        <v>1.9467064261930576</v>
      </c>
      <c r="X4401" s="4">
        <f t="shared" si="408"/>
        <v>4.6957891660062643</v>
      </c>
      <c r="Y4401" s="3">
        <f t="shared" si="405"/>
        <v>167.30995734815679</v>
      </c>
      <c r="AA4401" s="3"/>
    </row>
    <row r="4402" spans="19:27" x14ac:dyDescent="0.25">
      <c r="S4402" s="4">
        <v>-0.65529502546021934</v>
      </c>
      <c r="T4402" s="4">
        <v>-1.1635945172078914</v>
      </c>
      <c r="U4402" s="4">
        <f t="shared" si="406"/>
        <v>-1.3218545554396952</v>
      </c>
      <c r="W4402" s="4">
        <f t="shared" si="407"/>
        <v>-1.0859853513594382</v>
      </c>
      <c r="X4402" s="4">
        <f t="shared" si="408"/>
        <v>-2.2647675413998929</v>
      </c>
      <c r="Y4402" s="3">
        <f t="shared" si="405"/>
        <v>-49.380288283601203</v>
      </c>
      <c r="AA4402" s="3"/>
    </row>
    <row r="4403" spans="19:27" x14ac:dyDescent="0.25">
      <c r="S4403" s="4">
        <v>0.31091869687475088</v>
      </c>
      <c r="T4403" s="4">
        <v>-0.23173760852408198</v>
      </c>
      <c r="U4403" s="4">
        <f t="shared" si="406"/>
        <v>5.8464220219480445E-3</v>
      </c>
      <c r="W4403" s="4">
        <f t="shared" si="407"/>
        <v>0.55701928608386264</v>
      </c>
      <c r="X4403" s="4">
        <f t="shared" si="408"/>
        <v>7.6096436861896932E-2</v>
      </c>
      <c r="Y4403" s="3">
        <f t="shared" si="405"/>
        <v>-80.85320053663645</v>
      </c>
      <c r="AA4403" s="3"/>
    </row>
    <row r="4404" spans="19:27" x14ac:dyDescent="0.25">
      <c r="S4404" s="4">
        <v>-1.2479101052150954</v>
      </c>
      <c r="T4404" s="4">
        <v>0.50706355129537628</v>
      </c>
      <c r="U4404" s="4">
        <f t="shared" si="406"/>
        <v>-0.35880861311910928</v>
      </c>
      <c r="W4404" s="4">
        <f t="shared" si="407"/>
        <v>-2.0937016585788233</v>
      </c>
      <c r="X4404" s="4">
        <f t="shared" si="408"/>
        <v>-0.56682531339956099</v>
      </c>
      <c r="Y4404" s="3">
        <f t="shared" si="405"/>
        <v>290.29320134853333</v>
      </c>
      <c r="AA4404" s="3"/>
    </row>
    <row r="4405" spans="19:27" x14ac:dyDescent="0.25">
      <c r="S4405" s="4">
        <v>-9.746441720500934E-2</v>
      </c>
      <c r="T4405" s="4">
        <v>-1.4212040001456607</v>
      </c>
      <c r="U4405" s="4">
        <f t="shared" si="406"/>
        <v>-1.1859935515406406</v>
      </c>
      <c r="W4405" s="4">
        <f t="shared" si="407"/>
        <v>-0.13741853318565778</v>
      </c>
      <c r="X4405" s="4">
        <f t="shared" si="408"/>
        <v>-2.0252315800075853</v>
      </c>
      <c r="Y4405" s="3">
        <f t="shared" si="405"/>
        <v>-180.45292719265535</v>
      </c>
      <c r="AA4405" s="3"/>
    </row>
    <row r="4406" spans="19:27" x14ac:dyDescent="0.25">
      <c r="S4406" s="4">
        <v>0.23910180257637603</v>
      </c>
      <c r="T4406" s="4">
        <v>-0.11874408508891311</v>
      </c>
      <c r="U4406" s="4">
        <f t="shared" si="406"/>
        <v>5.1634305108594777E-2</v>
      </c>
      <c r="W4406" s="4">
        <f t="shared" si="407"/>
        <v>0.43489776405263425</v>
      </c>
      <c r="X4406" s="4">
        <f t="shared" si="408"/>
        <v>0.15682485988626732</v>
      </c>
      <c r="Y4406" s="3">
        <f t="shared" si="405"/>
        <v>-53.522227759337966</v>
      </c>
      <c r="AA4406" s="3"/>
    </row>
    <row r="4407" spans="19:27" x14ac:dyDescent="0.25">
      <c r="S4407" s="4">
        <v>0.38619253557229144</v>
      </c>
      <c r="T4407" s="4">
        <v>-0.16909440403848272</v>
      </c>
      <c r="U4407" s="4">
        <f t="shared" si="406"/>
        <v>0.10139180182735219</v>
      </c>
      <c r="W4407" s="4">
        <f t="shared" si="407"/>
        <v>0.68501919252210086</v>
      </c>
      <c r="X4407" s="4">
        <f t="shared" si="408"/>
        <v>0.24455209191715838</v>
      </c>
      <c r="Y4407" s="3">
        <f t="shared" si="405"/>
        <v>-84.110760154309901</v>
      </c>
      <c r="AA4407" s="3"/>
    </row>
    <row r="4408" spans="19:27" x14ac:dyDescent="0.25">
      <c r="S4408" s="4">
        <v>0.21695878090756077</v>
      </c>
      <c r="T4408" s="4">
        <v>-0.8645493578706015</v>
      </c>
      <c r="U4408" s="4">
        <f t="shared" si="406"/>
        <v>-0.55305846236978384</v>
      </c>
      <c r="W4408" s="4">
        <f t="shared" si="407"/>
        <v>0.39724451358859431</v>
      </c>
      <c r="X4408" s="4">
        <f t="shared" si="408"/>
        <v>-0.90930640109373906</v>
      </c>
      <c r="Y4408" s="3">
        <f t="shared" si="405"/>
        <v>-154.18213528128263</v>
      </c>
      <c r="AA4408" s="3"/>
    </row>
    <row r="4409" spans="19:27" x14ac:dyDescent="0.25">
      <c r="S4409" s="4">
        <v>-0.53343480257125298</v>
      </c>
      <c r="T4409" s="4">
        <v>0.3709498961536839</v>
      </c>
      <c r="U4409" s="4">
        <f t="shared" si="406"/>
        <v>-3.114473545889157E-2</v>
      </c>
      <c r="W4409" s="4">
        <f t="shared" si="407"/>
        <v>-0.87876731388156215</v>
      </c>
      <c r="X4409" s="4">
        <f t="shared" si="408"/>
        <v>1.0877483550093575E-2</v>
      </c>
      <c r="Y4409" s="3">
        <f t="shared" si="405"/>
        <v>143.91650833153653</v>
      </c>
      <c r="AA4409" s="3"/>
    </row>
    <row r="4410" spans="19:27" x14ac:dyDescent="0.25">
      <c r="S4410" s="4">
        <v>-0.27175636258872793</v>
      </c>
      <c r="T4410" s="4">
        <v>-0.6735354181305544</v>
      </c>
      <c r="U4410" s="4">
        <f t="shared" si="406"/>
        <v>-0.69957489244748761</v>
      </c>
      <c r="W4410" s="4">
        <f t="shared" si="407"/>
        <v>-0.43379444662480371</v>
      </c>
      <c r="X4410" s="4">
        <f t="shared" si="408"/>
        <v>-1.1676288993177921</v>
      </c>
      <c r="Y4410" s="3">
        <f t="shared" si="405"/>
        <v>-46.759512090516182</v>
      </c>
      <c r="AA4410" s="3"/>
    </row>
    <row r="4411" spans="19:27" x14ac:dyDescent="0.25">
      <c r="S4411" s="4">
        <v>0.41504204163618824</v>
      </c>
      <c r="T4411" s="4">
        <v>1.0754617022081336</v>
      </c>
      <c r="U4411" s="4">
        <f t="shared" si="406"/>
        <v>1.1055287969542595</v>
      </c>
      <c r="W4411" s="4">
        <f t="shared" si="407"/>
        <v>0.73407652958453018</v>
      </c>
      <c r="X4411" s="4">
        <f t="shared" si="408"/>
        <v>2.0149417813384107</v>
      </c>
      <c r="Y4411" s="3">
        <f t="shared" si="405"/>
        <v>85.245681395052998</v>
      </c>
      <c r="AA4411" s="3"/>
    </row>
    <row r="4412" spans="19:27" x14ac:dyDescent="0.25">
      <c r="S4412" s="4">
        <v>0.23998418827396531</v>
      </c>
      <c r="T4412" s="4">
        <v>0.30036607587120867</v>
      </c>
      <c r="U4412" s="4">
        <f t="shared" si="406"/>
        <v>0.38439750676714357</v>
      </c>
      <c r="W4412" s="4">
        <f t="shared" si="407"/>
        <v>0.43639822276030948</v>
      </c>
      <c r="X4412" s="4">
        <f t="shared" si="408"/>
        <v>0.74351825341136502</v>
      </c>
      <c r="Y4412" s="3">
        <f t="shared" si="405"/>
        <v>4.9100303465961588</v>
      </c>
      <c r="AA4412" s="3"/>
    </row>
    <row r="4413" spans="19:27" x14ac:dyDescent="0.25">
      <c r="S4413" s="4">
        <v>5.7722156409604271E-2</v>
      </c>
      <c r="T4413" s="4">
        <v>0.62489456222889961</v>
      </c>
      <c r="U4413" s="4">
        <f t="shared" si="406"/>
        <v>0.53053764659326619</v>
      </c>
      <c r="W4413" s="4">
        <f t="shared" si="407"/>
        <v>0.12646952203837239</v>
      </c>
      <c r="X4413" s="4">
        <f t="shared" si="408"/>
        <v>1.0011773158842587</v>
      </c>
      <c r="Y4413" s="3">
        <f t="shared" si="405"/>
        <v>79.892265157741349</v>
      </c>
      <c r="AA4413" s="3"/>
    </row>
    <row r="4414" spans="19:27" x14ac:dyDescent="0.25">
      <c r="S4414" s="4">
        <v>0.55690006148230198</v>
      </c>
      <c r="T4414" s="4">
        <v>0.25476059550791824</v>
      </c>
      <c r="U4414" s="4">
        <f t="shared" si="406"/>
        <v>0.54144539375149181</v>
      </c>
      <c r="W4414" s="4">
        <f t="shared" si="407"/>
        <v>0.97529995570441508</v>
      </c>
      <c r="X4414" s="4">
        <f t="shared" si="408"/>
        <v>1.0204087187679818</v>
      </c>
      <c r="Y4414" s="3">
        <f t="shared" si="405"/>
        <v>-51.805313959502655</v>
      </c>
      <c r="AA4414" s="3"/>
    </row>
    <row r="4415" spans="19:27" x14ac:dyDescent="0.25">
      <c r="S4415" s="4">
        <v>0.23171148371057546</v>
      </c>
      <c r="T4415" s="4">
        <v>2.5442890370935305</v>
      </c>
      <c r="U4415" s="4">
        <f t="shared" si="406"/>
        <v>2.158094103962493</v>
      </c>
      <c r="W4415" s="4">
        <f t="shared" si="407"/>
        <v>0.4223308465187457</v>
      </c>
      <c r="X4415" s="4">
        <f t="shared" si="408"/>
        <v>3.870715222625055</v>
      </c>
      <c r="Y4415" s="3">
        <f t="shared" si="405"/>
        <v>319.85290873927352</v>
      </c>
      <c r="AA4415" s="3"/>
    </row>
    <row r="4416" spans="19:27" x14ac:dyDescent="0.25">
      <c r="S4416" s="4">
        <v>0.56035098244142334</v>
      </c>
      <c r="T4416" s="4">
        <v>1.704278614873219E-2</v>
      </c>
      <c r="U4416" s="4">
        <f t="shared" si="406"/>
        <v>0.35511214192574864</v>
      </c>
      <c r="W4416" s="4">
        <f t="shared" si="407"/>
        <v>0.98116809751219725</v>
      </c>
      <c r="X4416" s="4">
        <f t="shared" si="408"/>
        <v>0.69188535051289879</v>
      </c>
      <c r="Y4416" s="3">
        <f t="shared" si="405"/>
        <v>-85.56858147422372</v>
      </c>
      <c r="AA4416" s="3"/>
    </row>
    <row r="4417" spans="19:27" x14ac:dyDescent="0.25">
      <c r="S4417" s="4">
        <v>-0.9096556185052459</v>
      </c>
      <c r="T4417" s="4">
        <v>-0.65222096335559165</v>
      </c>
      <c r="U4417" s="4">
        <f t="shared" si="406"/>
        <v>-1.0715567133805859</v>
      </c>
      <c r="W4417" s="4">
        <f t="shared" si="407"/>
        <v>-1.5185145364613264</v>
      </c>
      <c r="X4417" s="4">
        <f t="shared" si="408"/>
        <v>-1.823468474622822</v>
      </c>
      <c r="Y4417" s="3">
        <f t="shared" si="405"/>
        <v>67.005686974950549</v>
      </c>
      <c r="AA4417" s="3"/>
    </row>
    <row r="4418" spans="19:27" x14ac:dyDescent="0.25">
      <c r="S4418" s="4">
        <v>0.43001920284092771</v>
      </c>
      <c r="T4418" s="4">
        <v>0.65371190720597072</v>
      </c>
      <c r="U4418" s="4">
        <f t="shared" si="406"/>
        <v>0.78034151210520497</v>
      </c>
      <c r="W4418" s="4">
        <f t="shared" si="407"/>
        <v>0.7595445443169806</v>
      </c>
      <c r="X4418" s="4">
        <f t="shared" si="408"/>
        <v>1.4416054547001342</v>
      </c>
      <c r="Y4418" s="3">
        <f t="shared" ref="Y4418:Y4481" si="409">(B$4*EXP(-B$8*B$7)*NORMSDIST((LN(B$4/(B$5+W4418))-B$8*B$7+B$9*B$7+0.5*B$6*B$6*B$7)/(B$6*SQRT(B$7)))-(B$5+W4418)*EXP(-B$9*B$7)*NORMSDIST((LN(B$4/(B$5+W4418))-B$8*B$7+B$9*B$7-0.5*B$6*B$6*B$7)/(B$6*SQRT(B$7))))*400+100*X4418-400*$B$13</f>
        <v>23.928528424225533</v>
      </c>
      <c r="AA4418" s="3"/>
    </row>
    <row r="4419" spans="19:27" x14ac:dyDescent="0.25">
      <c r="S4419" s="4">
        <v>0.51573106978268879</v>
      </c>
      <c r="T4419" s="4">
        <v>-0.31968408226369194</v>
      </c>
      <c r="U4419" s="4">
        <f t="shared" ref="U4419:U4482" si="410">$B$19*S4419+SQRT(1-$B$19^2)*T4419</f>
        <v>6.0990146462942429E-2</v>
      </c>
      <c r="W4419" s="4">
        <f t="shared" ref="W4419:W4482" si="411">S4419*SQRT($B$16)+$B$20</f>
        <v>0.90529386624641495</v>
      </c>
      <c r="X4419" s="4">
        <f t="shared" ref="X4419:X4482" si="412">U4419*SQRT($C$17)+$C$20</f>
        <v>0.17332010421047894</v>
      </c>
      <c r="Y4419" s="3">
        <f t="shared" si="409"/>
        <v>-125.63338916902558</v>
      </c>
      <c r="AA4419" s="3"/>
    </row>
    <row r="4420" spans="19:27" x14ac:dyDescent="0.25">
      <c r="S4420" s="4">
        <v>0.75801781237757881</v>
      </c>
      <c r="T4420" s="4">
        <v>-0.54553194397564997</v>
      </c>
      <c r="U4420" s="4">
        <f t="shared" si="410"/>
        <v>2.9665753141345119E-2</v>
      </c>
      <c r="W4420" s="4">
        <f t="shared" si="411"/>
        <v>1.3172919909598917</v>
      </c>
      <c r="X4420" s="4">
        <f t="shared" si="412"/>
        <v>0.11809219882200854</v>
      </c>
      <c r="Y4420" s="3">
        <f t="shared" si="409"/>
        <v>-194.83373721865019</v>
      </c>
      <c r="AA4420" s="3"/>
    </row>
    <row r="4421" spans="19:27" x14ac:dyDescent="0.25">
      <c r="S4421" s="4">
        <v>-9.7202834108163064E-2</v>
      </c>
      <c r="T4421" s="4">
        <v>-0.26333455506985121</v>
      </c>
      <c r="U4421" s="4">
        <f t="shared" si="410"/>
        <v>-0.2680002165626198</v>
      </c>
      <c r="W4421" s="4">
        <f t="shared" si="411"/>
        <v>-0.13697372244527975</v>
      </c>
      <c r="X4421" s="4">
        <f t="shared" si="412"/>
        <v>-0.40672141347685475</v>
      </c>
      <c r="Y4421" s="3">
        <f t="shared" si="409"/>
        <v>-18.673507534695091</v>
      </c>
      <c r="AA4421" s="3"/>
    </row>
    <row r="4422" spans="19:27" x14ac:dyDescent="0.25">
      <c r="S4422" s="4">
        <v>0.92215828805989153</v>
      </c>
      <c r="T4422" s="4">
        <v>0.49350166197103323</v>
      </c>
      <c r="U4422" s="4">
        <f t="shared" si="410"/>
        <v>0.95336309623959492</v>
      </c>
      <c r="W4422" s="4">
        <f t="shared" si="411"/>
        <v>1.5964057693136773</v>
      </c>
      <c r="X4422" s="4">
        <f t="shared" si="412"/>
        <v>1.7466590779461755</v>
      </c>
      <c r="Y4422" s="3">
        <f t="shared" si="409"/>
        <v>-74.628241477195843</v>
      </c>
      <c r="AA4422" s="3"/>
    </row>
    <row r="4423" spans="19:27" x14ac:dyDescent="0.25">
      <c r="S4423" s="4">
        <v>-0.18123599421658226</v>
      </c>
      <c r="T4423" s="4">
        <v>-0.15656255108230102</v>
      </c>
      <c r="U4423" s="4">
        <f t="shared" si="410"/>
        <v>-0.23459139049311126</v>
      </c>
      <c r="W4423" s="4">
        <f t="shared" si="411"/>
        <v>-0.27986847602370457</v>
      </c>
      <c r="X4423" s="4">
        <f t="shared" si="412"/>
        <v>-0.34781845352600593</v>
      </c>
      <c r="Y4423" s="3">
        <f t="shared" si="409"/>
        <v>10.269995124303477</v>
      </c>
      <c r="AA4423" s="3"/>
    </row>
    <row r="4424" spans="19:27" x14ac:dyDescent="0.25">
      <c r="S4424" s="4">
        <v>-0.86088927708541696</v>
      </c>
      <c r="T4424" s="4">
        <v>0.47301122741452417</v>
      </c>
      <c r="U4424" s="4">
        <f t="shared" si="410"/>
        <v>-0.14986508650605768</v>
      </c>
      <c r="W4424" s="4">
        <f t="shared" si="411"/>
        <v>-1.4355894824574413</v>
      </c>
      <c r="X4424" s="4">
        <f t="shared" si="412"/>
        <v>-0.19843786529014193</v>
      </c>
      <c r="Y4424" s="3">
        <f t="shared" si="409"/>
        <v>215.57917213671408</v>
      </c>
      <c r="AA4424" s="3"/>
    </row>
    <row r="4425" spans="19:27" x14ac:dyDescent="0.25">
      <c r="S4425" s="4">
        <v>-0.79714631949488501</v>
      </c>
      <c r="T4425" s="4">
        <v>0.45352487482862552</v>
      </c>
      <c r="U4425" s="4">
        <f t="shared" si="410"/>
        <v>-0.12645263350844477</v>
      </c>
      <c r="W4425" s="4">
        <f t="shared" si="411"/>
        <v>-1.3271973405279072</v>
      </c>
      <c r="X4425" s="4">
        <f t="shared" si="412"/>
        <v>-0.15715946842578271</v>
      </c>
      <c r="Y4425" s="3">
        <f t="shared" si="409"/>
        <v>201.55434982861607</v>
      </c>
      <c r="AA4425" s="3"/>
    </row>
    <row r="4426" spans="19:27" x14ac:dyDescent="0.25">
      <c r="S4426" s="4">
        <v>0.3404181487590881</v>
      </c>
      <c r="T4426" s="4">
        <v>-0.56474556031032064</v>
      </c>
      <c r="U4426" s="4">
        <f t="shared" si="410"/>
        <v>-0.24014279954634116</v>
      </c>
      <c r="W4426" s="4">
        <f t="shared" si="411"/>
        <v>0.60718182789797959</v>
      </c>
      <c r="X4426" s="4">
        <f t="shared" si="412"/>
        <v>-0.35760611934978725</v>
      </c>
      <c r="Y4426" s="3">
        <f t="shared" si="409"/>
        <v>-132.11176474180547</v>
      </c>
      <c r="AA4426" s="3"/>
    </row>
    <row r="4427" spans="19:27" x14ac:dyDescent="0.25">
      <c r="S4427" s="4">
        <v>-0.76782165943315972</v>
      </c>
      <c r="T4427" s="4">
        <v>0.84430369557809826</v>
      </c>
      <c r="U4427" s="4">
        <f t="shared" si="410"/>
        <v>0.20119158593148367</v>
      </c>
      <c r="W4427" s="4">
        <f t="shared" si="411"/>
        <v>-1.2773320246468318</v>
      </c>
      <c r="X4427" s="4">
        <f t="shared" si="412"/>
        <v>0.42050866919881824</v>
      </c>
      <c r="Y4427" s="3">
        <f t="shared" si="409"/>
        <v>250.99095062929246</v>
      </c>
      <c r="AA4427" s="3"/>
    </row>
    <row r="4428" spans="19:27" x14ac:dyDescent="0.25">
      <c r="S4428" s="4">
        <v>-1.193500595304021</v>
      </c>
      <c r="T4428" s="4">
        <v>1.8695590488175395</v>
      </c>
      <c r="U4428" s="4">
        <f t="shared" si="410"/>
        <v>0.75439994482682837</v>
      </c>
      <c r="W4428" s="4">
        <f t="shared" si="411"/>
        <v>-2.001180640673097</v>
      </c>
      <c r="X4428" s="4">
        <f t="shared" si="412"/>
        <v>1.3958679871434676</v>
      </c>
      <c r="Y4428" s="3">
        <f t="shared" si="409"/>
        <v>470.74064694398749</v>
      </c>
      <c r="AA4428" s="3"/>
    </row>
    <row r="4429" spans="19:27" x14ac:dyDescent="0.25">
      <c r="S4429" s="4">
        <v>1.3115665924495821</v>
      </c>
      <c r="T4429" s="4">
        <v>3.3570308402894699E-3</v>
      </c>
      <c r="U4429" s="4">
        <f t="shared" si="410"/>
        <v>0.80222134979296889</v>
      </c>
      <c r="W4429" s="4">
        <f t="shared" si="411"/>
        <v>2.2585777455355038</v>
      </c>
      <c r="X4429" s="4">
        <f t="shared" si="412"/>
        <v>1.4801817039934213</v>
      </c>
      <c r="Y4429" s="3">
        <f t="shared" si="409"/>
        <v>-200.89772852252872</v>
      </c>
      <c r="AA4429" s="3"/>
    </row>
    <row r="4430" spans="19:27" x14ac:dyDescent="0.25">
      <c r="S4430" s="4">
        <v>-0.98076834752305564</v>
      </c>
      <c r="T4430" s="4">
        <v>-0.26627202800081273</v>
      </c>
      <c r="U4430" s="4">
        <f t="shared" si="410"/>
        <v>-0.80896997887259026</v>
      </c>
      <c r="W4430" s="4">
        <f t="shared" si="411"/>
        <v>-1.6394386558944019</v>
      </c>
      <c r="X4430" s="4">
        <f t="shared" si="412"/>
        <v>-1.3605029135411915</v>
      </c>
      <c r="Y4430" s="3">
        <f t="shared" si="409"/>
        <v>133.68008837727984</v>
      </c>
      <c r="AA4430" s="3"/>
    </row>
    <row r="4431" spans="19:27" x14ac:dyDescent="0.25">
      <c r="S4431" s="4">
        <v>1.8853283739250253</v>
      </c>
      <c r="T4431" s="4">
        <v>0.39402153474801727</v>
      </c>
      <c r="U4431" s="4">
        <f t="shared" si="410"/>
        <v>1.4616759677997471</v>
      </c>
      <c r="W4431" s="4">
        <f t="shared" si="411"/>
        <v>3.2342348346045275</v>
      </c>
      <c r="X4431" s="4">
        <f t="shared" si="412"/>
        <v>2.6428633520417311</v>
      </c>
      <c r="Y4431" s="3">
        <f t="shared" si="409"/>
        <v>-227.45056593821846</v>
      </c>
      <c r="AA4431" s="3"/>
    </row>
    <row r="4432" spans="19:27" x14ac:dyDescent="0.25">
      <c r="S4432" s="4">
        <v>0.96527836877884121</v>
      </c>
      <c r="T4432" s="4">
        <v>0.24163165232473899</v>
      </c>
      <c r="U4432" s="4">
        <f t="shared" si="410"/>
        <v>0.77999471307788482</v>
      </c>
      <c r="W4432" s="4">
        <f t="shared" si="411"/>
        <v>1.6697296012470044</v>
      </c>
      <c r="X4432" s="4">
        <f t="shared" si="412"/>
        <v>1.4409940148017453</v>
      </c>
      <c r="Y4432" s="3">
        <f t="shared" si="409"/>
        <v>-116.33422714503058</v>
      </c>
      <c r="AA4432" s="3"/>
    </row>
    <row r="4433" spans="19:27" x14ac:dyDescent="0.25">
      <c r="S4433" s="4">
        <v>-0.62601640655925839</v>
      </c>
      <c r="T4433" s="4">
        <v>1.3708488435390738</v>
      </c>
      <c r="U4433" s="4">
        <f t="shared" si="410"/>
        <v>0.7050273684215087</v>
      </c>
      <c r="W4433" s="4">
        <f t="shared" si="411"/>
        <v>-1.0361983264805503</v>
      </c>
      <c r="X4433" s="4">
        <f t="shared" si="412"/>
        <v>1.3088194064892971</v>
      </c>
      <c r="Y4433" s="3">
        <f t="shared" si="409"/>
        <v>299.72452435467221</v>
      </c>
      <c r="AA4433" s="3"/>
    </row>
    <row r="4434" spans="19:27" x14ac:dyDescent="0.25">
      <c r="S4434" s="4">
        <v>0.51666116625644698</v>
      </c>
      <c r="T4434" s="4">
        <v>-0.5756074118136133</v>
      </c>
      <c r="U4434" s="4">
        <f t="shared" si="410"/>
        <v>-0.14131122676918612</v>
      </c>
      <c r="W4434" s="4">
        <f t="shared" si="411"/>
        <v>0.90687545506504752</v>
      </c>
      <c r="X4434" s="4">
        <f t="shared" si="412"/>
        <v>-0.18335659136396903</v>
      </c>
      <c r="Y4434" s="3">
        <f t="shared" si="409"/>
        <v>-161.54715464611445</v>
      </c>
      <c r="AA4434" s="3"/>
    </row>
    <row r="4435" spans="19:27" x14ac:dyDescent="0.25">
      <c r="S4435" s="4">
        <v>-0.37755252148456669</v>
      </c>
      <c r="T4435" s="4">
        <v>0.419203426195006</v>
      </c>
      <c r="U4435" s="4">
        <f t="shared" si="410"/>
        <v>0.10213476926354931</v>
      </c>
      <c r="W4435" s="4">
        <f t="shared" si="411"/>
        <v>-0.61369623819684438</v>
      </c>
      <c r="X4435" s="4">
        <f t="shared" si="412"/>
        <v>0.24586201466176641</v>
      </c>
      <c r="Y4435" s="3">
        <f t="shared" si="409"/>
        <v>123.90819863558818</v>
      </c>
      <c r="AA4435" s="3"/>
    </row>
    <row r="4436" spans="19:27" x14ac:dyDescent="0.25">
      <c r="S4436" s="4">
        <v>2.2793989808250217</v>
      </c>
      <c r="T4436" s="4">
        <v>0.2390248040109792</v>
      </c>
      <c r="U4436" s="4">
        <f t="shared" si="410"/>
        <v>1.5790455307945144</v>
      </c>
      <c r="W4436" s="4">
        <f t="shared" si="411"/>
        <v>3.9043348545588357</v>
      </c>
      <c r="X4436" s="4">
        <f t="shared" si="412"/>
        <v>2.849797132179523</v>
      </c>
      <c r="Y4436" s="3">
        <f t="shared" si="409"/>
        <v>-302.15367230838228</v>
      </c>
      <c r="AA4436" s="3"/>
    </row>
    <row r="4437" spans="19:27" x14ac:dyDescent="0.25">
      <c r="S4437" s="4">
        <v>1.1520450372468998</v>
      </c>
      <c r="T4437" s="4">
        <v>-0.50924708956574893</v>
      </c>
      <c r="U4437" s="4">
        <f t="shared" si="410"/>
        <v>0.29863625539839994</v>
      </c>
      <c r="W4437" s="4">
        <f t="shared" si="411"/>
        <v>1.9873182416476973</v>
      </c>
      <c r="X4437" s="4">
        <f t="shared" si="412"/>
        <v>0.5923129538238332</v>
      </c>
      <c r="Y4437" s="3">
        <f t="shared" si="409"/>
        <v>-249.13949605929429</v>
      </c>
      <c r="AA4437" s="3"/>
    </row>
    <row r="4438" spans="19:27" x14ac:dyDescent="0.25">
      <c r="S4438" s="4">
        <v>-0.47102088426599137</v>
      </c>
      <c r="T4438" s="4">
        <v>0.60810075051712398</v>
      </c>
      <c r="U4438" s="4">
        <f t="shared" si="410"/>
        <v>0.19489177124881824</v>
      </c>
      <c r="W4438" s="4">
        <f t="shared" si="411"/>
        <v>-0.77263514576379133</v>
      </c>
      <c r="X4438" s="4">
        <f t="shared" si="412"/>
        <v>0.40940149257492942</v>
      </c>
      <c r="Y4438" s="3">
        <f t="shared" si="409"/>
        <v>166.30503739592496</v>
      </c>
      <c r="AA4438" s="3"/>
    </row>
    <row r="4439" spans="19:27" x14ac:dyDescent="0.25">
      <c r="S4439" s="4">
        <v>0.20343309370961282</v>
      </c>
      <c r="T4439" s="4">
        <v>0.15656735325389803</v>
      </c>
      <c r="U4439" s="4">
        <f t="shared" si="410"/>
        <v>0.24812704424558654</v>
      </c>
      <c r="W4439" s="4">
        <f t="shared" si="411"/>
        <v>0.37424466761545699</v>
      </c>
      <c r="X4439" s="4">
        <f t="shared" si="412"/>
        <v>0.50326037725340189</v>
      </c>
      <c r="Y4439" s="3">
        <f t="shared" si="409"/>
        <v>-9.2854527127979054</v>
      </c>
      <c r="AA4439" s="3"/>
    </row>
    <row r="4440" spans="19:27" x14ac:dyDescent="0.25">
      <c r="S4440" s="4">
        <v>0.5232039189457921</v>
      </c>
      <c r="T4440" s="4">
        <v>-1.6714201878998785</v>
      </c>
      <c r="U4440" s="4">
        <f t="shared" si="410"/>
        <v>-1.0059646606046062</v>
      </c>
      <c r="W4440" s="4">
        <f t="shared" si="411"/>
        <v>0.91800112298069314</v>
      </c>
      <c r="X4440" s="4">
        <f t="shared" si="412"/>
        <v>-1.7078234037748021</v>
      </c>
      <c r="Y4440" s="3">
        <f t="shared" si="409"/>
        <v>-315.72463477294605</v>
      </c>
      <c r="AA4440" s="3"/>
    </row>
    <row r="4441" spans="19:27" x14ac:dyDescent="0.25">
      <c r="S4441" s="4">
        <v>0.31033869933244568</v>
      </c>
      <c r="T4441" s="4">
        <v>2.1057151180022284</v>
      </c>
      <c r="U4441" s="4">
        <f t="shared" si="410"/>
        <v>1.8583729635456794</v>
      </c>
      <c r="W4441" s="4">
        <f t="shared" si="411"/>
        <v>0.55603302535325505</v>
      </c>
      <c r="X4441" s="4">
        <f t="shared" si="412"/>
        <v>3.3422781475340773</v>
      </c>
      <c r="Y4441" s="3">
        <f t="shared" si="409"/>
        <v>245.92019410675675</v>
      </c>
      <c r="AA4441" s="3"/>
    </row>
    <row r="4442" spans="19:27" x14ac:dyDescent="0.25">
      <c r="S4442" s="4">
        <v>-0.50658611011757371</v>
      </c>
      <c r="T4442" s="4">
        <v>-0.18275577804561327</v>
      </c>
      <c r="U4442" s="4">
        <f t="shared" si="410"/>
        <v>-0.45369524227447477</v>
      </c>
      <c r="W4442" s="4">
        <f t="shared" si="411"/>
        <v>-0.83311227381021968</v>
      </c>
      <c r="X4442" s="4">
        <f t="shared" si="412"/>
        <v>-0.73411952796972146</v>
      </c>
      <c r="Y4442" s="3">
        <f t="shared" si="409"/>
        <v>61.897113059810181</v>
      </c>
      <c r="AA4442" s="3"/>
    </row>
    <row r="4443" spans="19:27" x14ac:dyDescent="0.25">
      <c r="S4443" s="4">
        <v>1.2605398168752133</v>
      </c>
      <c r="T4443" s="4">
        <v>0.6203059592618525</v>
      </c>
      <c r="U4443" s="4">
        <f t="shared" si="410"/>
        <v>1.2601647805541059</v>
      </c>
      <c r="W4443" s="4">
        <f t="shared" si="411"/>
        <v>2.1718089210358227</v>
      </c>
      <c r="X4443" s="4">
        <f t="shared" si="412"/>
        <v>2.2875798300382115</v>
      </c>
      <c r="Y4443" s="3">
        <f t="shared" si="409"/>
        <v>-107.22846930803325</v>
      </c>
      <c r="AA4443" s="3"/>
    </row>
    <row r="4444" spans="19:27" x14ac:dyDescent="0.25">
      <c r="S4444" s="4">
        <v>0.17537113733420795</v>
      </c>
      <c r="T4444" s="4">
        <v>-0.85165891688516615</v>
      </c>
      <c r="U4444" s="4">
        <f t="shared" si="410"/>
        <v>-0.56819306809972969</v>
      </c>
      <c r="W4444" s="4">
        <f t="shared" si="411"/>
        <v>0.32652652472973875</v>
      </c>
      <c r="X4444" s="4">
        <f t="shared" si="412"/>
        <v>-0.93599016044907035</v>
      </c>
      <c r="Y4444" s="3">
        <f t="shared" si="409"/>
        <v>-145.64985955818656</v>
      </c>
      <c r="AA4444" s="3"/>
    </row>
    <row r="4445" spans="19:27" x14ac:dyDescent="0.25">
      <c r="S4445" s="4">
        <v>0.35031078746870004</v>
      </c>
      <c r="T4445" s="4">
        <v>1.4936996417452326</v>
      </c>
      <c r="U4445" s="4">
        <f t="shared" si="410"/>
        <v>1.3976010568283783</v>
      </c>
      <c r="W4445" s="4">
        <f t="shared" si="411"/>
        <v>0.62400383207855015</v>
      </c>
      <c r="X4445" s="4">
        <f t="shared" si="412"/>
        <v>2.5298931474931385</v>
      </c>
      <c r="Y4445" s="3">
        <f t="shared" si="409"/>
        <v>153.9957027755745</v>
      </c>
      <c r="AA4445" s="3"/>
    </row>
    <row r="4446" spans="19:27" x14ac:dyDescent="0.25">
      <c r="S4446" s="4">
        <v>0.45828285284486769</v>
      </c>
      <c r="T4446" s="4">
        <v>-0.68403517211208154</v>
      </c>
      <c r="U4446" s="4">
        <f t="shared" si="410"/>
        <v>-0.26284976937335064</v>
      </c>
      <c r="W4446" s="4">
        <f t="shared" si="411"/>
        <v>0.80760565849296906</v>
      </c>
      <c r="X4446" s="4">
        <f t="shared" si="412"/>
        <v>-0.39764068181967849</v>
      </c>
      <c r="Y4446" s="3">
        <f t="shared" si="409"/>
        <v>-167.50443279613455</v>
      </c>
      <c r="AA4446" s="3"/>
    </row>
    <row r="4447" spans="19:27" x14ac:dyDescent="0.25">
      <c r="S4447" s="4">
        <v>-0.77647918287310436</v>
      </c>
      <c r="T4447" s="4">
        <v>-0.21775970149706403</v>
      </c>
      <c r="U4447" s="4">
        <f t="shared" si="410"/>
        <v>-0.64597541199240771</v>
      </c>
      <c r="W4447" s="4">
        <f t="shared" si="411"/>
        <v>-1.292053768741118</v>
      </c>
      <c r="X4447" s="4">
        <f t="shared" si="412"/>
        <v>-1.0731278820098735</v>
      </c>
      <c r="Y4447" s="3">
        <f t="shared" si="409"/>
        <v>104.08526030633811</v>
      </c>
      <c r="AA4447" s="3"/>
    </row>
    <row r="4448" spans="19:27" x14ac:dyDescent="0.25">
      <c r="S4448" s="4">
        <v>0.27866386532962811</v>
      </c>
      <c r="T4448" s="4">
        <v>1.4646045435203161</v>
      </c>
      <c r="U4448" s="4">
        <f t="shared" si="410"/>
        <v>1.3308600423636319</v>
      </c>
      <c r="W4448" s="4">
        <f t="shared" si="411"/>
        <v>0.50217134035139999</v>
      </c>
      <c r="X4448" s="4">
        <f t="shared" si="412"/>
        <v>2.4122223471508319</v>
      </c>
      <c r="Y4448" s="3">
        <f t="shared" si="409"/>
        <v>161.39925584997309</v>
      </c>
      <c r="AA4448" s="3"/>
    </row>
    <row r="4449" spans="19:27" x14ac:dyDescent="0.25">
      <c r="S4449" s="4">
        <v>-1.1615934308898255</v>
      </c>
      <c r="T4449" s="4">
        <v>1.2929723176794425</v>
      </c>
      <c r="U4449" s="4">
        <f t="shared" si="410"/>
        <v>0.3167955641619673</v>
      </c>
      <c r="W4449" s="4">
        <f t="shared" si="411"/>
        <v>-1.9469238878570627</v>
      </c>
      <c r="X4449" s="4">
        <f t="shared" si="412"/>
        <v>0.62432955430569625</v>
      </c>
      <c r="Y4449" s="3">
        <f t="shared" si="409"/>
        <v>384.32966911486619</v>
      </c>
      <c r="AA4449" s="3"/>
    </row>
    <row r="4450" spans="19:27" x14ac:dyDescent="0.25">
      <c r="S4450" s="4">
        <v>0.31159884647625208</v>
      </c>
      <c r="T4450" s="4">
        <v>0.66297994588489451</v>
      </c>
      <c r="U4450" s="4">
        <f t="shared" si="410"/>
        <v>0.7154965209796994</v>
      </c>
      <c r="W4450" s="4">
        <f t="shared" si="411"/>
        <v>0.55817585105866041</v>
      </c>
      <c r="X4450" s="4">
        <f t="shared" si="412"/>
        <v>1.3272775250885989</v>
      </c>
      <c r="Y4450" s="3">
        <f t="shared" si="409"/>
        <v>44.082887563866734</v>
      </c>
      <c r="AA4450" s="3"/>
    </row>
    <row r="4451" spans="19:27" x14ac:dyDescent="0.25">
      <c r="S4451" s="4">
        <v>-0.55343433350403737</v>
      </c>
      <c r="T4451" s="4">
        <v>-2.4815357105414351E-2</v>
      </c>
      <c r="U4451" s="4">
        <f t="shared" si="410"/>
        <v>-0.35705685337426724</v>
      </c>
      <c r="W4451" s="4">
        <f t="shared" si="411"/>
        <v>-0.91277565107413172</v>
      </c>
      <c r="X4451" s="4">
        <f t="shared" si="412"/>
        <v>-0.56373679320195624</v>
      </c>
      <c r="Y4451" s="3">
        <f t="shared" si="409"/>
        <v>92.063586408581159</v>
      </c>
      <c r="AA4451" s="3"/>
    </row>
    <row r="4452" spans="19:27" x14ac:dyDescent="0.25">
      <c r="S4452" s="4">
        <v>0.32514057510716537</v>
      </c>
      <c r="T4452" s="4">
        <v>0.47639220461068843</v>
      </c>
      <c r="U4452" s="4">
        <f t="shared" si="410"/>
        <v>0.57584524755410915</v>
      </c>
      <c r="W4452" s="4">
        <f t="shared" si="411"/>
        <v>0.5812029747946198</v>
      </c>
      <c r="X4452" s="4">
        <f t="shared" si="412"/>
        <v>1.0810589555238292</v>
      </c>
      <c r="Y4452" s="3">
        <f t="shared" si="409"/>
        <v>15.838437651937966</v>
      </c>
      <c r="AA4452" s="3"/>
    </row>
    <row r="4453" spans="19:27" x14ac:dyDescent="0.25">
      <c r="S4453" s="4">
        <v>1.7247141167078734</v>
      </c>
      <c r="T4453" s="4">
        <v>0.69742557106631564</v>
      </c>
      <c r="U4453" s="4">
        <f t="shared" si="410"/>
        <v>1.6042678911020609</v>
      </c>
      <c r="W4453" s="4">
        <f t="shared" si="411"/>
        <v>2.9611172382102535</v>
      </c>
      <c r="X4453" s="4">
        <f t="shared" si="412"/>
        <v>2.8942665689675824</v>
      </c>
      <c r="Y4453" s="3">
        <f t="shared" si="409"/>
        <v>-162.8019561301312</v>
      </c>
      <c r="AA4453" s="3"/>
    </row>
    <row r="4454" spans="19:27" x14ac:dyDescent="0.25">
      <c r="S4454" s="4">
        <v>-0.87505861359056036</v>
      </c>
      <c r="T4454" s="4">
        <v>-0.4608533662523846</v>
      </c>
      <c r="U4454" s="4">
        <f t="shared" si="410"/>
        <v>-0.89877004035391084</v>
      </c>
      <c r="W4454" s="4">
        <f t="shared" si="411"/>
        <v>-1.4596838262338738</v>
      </c>
      <c r="X4454" s="4">
        <f t="shared" si="412"/>
        <v>-1.5188290221573089</v>
      </c>
      <c r="Y4454" s="3">
        <f t="shared" si="409"/>
        <v>87.583623767558038</v>
      </c>
      <c r="AA4454" s="3"/>
    </row>
    <row r="4455" spans="19:27" x14ac:dyDescent="0.25">
      <c r="S4455" s="4">
        <v>0.73910708154106419</v>
      </c>
      <c r="T4455" s="4">
        <v>-0.20746206280311699</v>
      </c>
      <c r="U4455" s="4">
        <f t="shared" si="410"/>
        <v>0.2861226463393286</v>
      </c>
      <c r="W4455" s="4">
        <f t="shared" si="411"/>
        <v>1.2851351112306841</v>
      </c>
      <c r="X4455" s="4">
        <f t="shared" si="412"/>
        <v>0.57025026261422551</v>
      </c>
      <c r="Y4455" s="3">
        <f t="shared" si="409"/>
        <v>-144.67879132813505</v>
      </c>
      <c r="AA4455" s="3"/>
    </row>
    <row r="4456" spans="19:27" x14ac:dyDescent="0.25">
      <c r="S4456" s="4">
        <v>-0.52760959285126185</v>
      </c>
      <c r="T4456" s="4">
        <v>-0.18357664548357444</v>
      </c>
      <c r="U4456" s="4">
        <f t="shared" si="410"/>
        <v>-0.46716232148847092</v>
      </c>
      <c r="W4456" s="4">
        <f t="shared" si="411"/>
        <v>-0.86886179674515041</v>
      </c>
      <c r="X4456" s="4">
        <f t="shared" si="412"/>
        <v>-0.75786327837706979</v>
      </c>
      <c r="Y4456" s="3">
        <f t="shared" si="409"/>
        <v>65.409998283513232</v>
      </c>
      <c r="AA4456" s="3"/>
    </row>
    <row r="4457" spans="19:27" x14ac:dyDescent="0.25">
      <c r="S4457" s="4">
        <v>-1.0530245083531344</v>
      </c>
      <c r="T4457" s="4">
        <v>0.60315222520563883</v>
      </c>
      <c r="U4457" s="4">
        <f t="shared" si="410"/>
        <v>-0.16383328009406178</v>
      </c>
      <c r="W4457" s="4">
        <f t="shared" si="411"/>
        <v>-1.7623071316605856</v>
      </c>
      <c r="X4457" s="4">
        <f t="shared" si="412"/>
        <v>-0.22306512833099537</v>
      </c>
      <c r="Y4457" s="3">
        <f t="shared" si="409"/>
        <v>268.20880802384272</v>
      </c>
      <c r="AA4457" s="3"/>
    </row>
    <row r="4458" spans="19:27" x14ac:dyDescent="0.25">
      <c r="S4458" s="4">
        <v>-0.40447192253365943</v>
      </c>
      <c r="T4458" s="4">
        <v>-0.54026137278404285</v>
      </c>
      <c r="U4458" s="4">
        <f t="shared" si="410"/>
        <v>-0.67483598684201584</v>
      </c>
      <c r="W4458" s="4">
        <f t="shared" si="411"/>
        <v>-0.65947151517590819</v>
      </c>
      <c r="X4458" s="4">
        <f t="shared" si="412"/>
        <v>-1.1240118394703382</v>
      </c>
      <c r="Y4458" s="3">
        <f t="shared" si="409"/>
        <v>-5.592230695773651</v>
      </c>
      <c r="AA4458" s="3"/>
    </row>
    <row r="4459" spans="19:27" x14ac:dyDescent="0.25">
      <c r="S4459" s="4">
        <v>-0.54396061540283203</v>
      </c>
      <c r="T4459" s="4">
        <v>0.58557156367080432</v>
      </c>
      <c r="U4459" s="4">
        <f t="shared" si="410"/>
        <v>0.13256737712094691</v>
      </c>
      <c r="W4459" s="4">
        <f t="shared" si="411"/>
        <v>-0.89666600326609258</v>
      </c>
      <c r="X4459" s="4">
        <f t="shared" si="412"/>
        <v>0.29951761686983724</v>
      </c>
      <c r="Y4459" s="3">
        <f t="shared" si="409"/>
        <v>175.73153882591032</v>
      </c>
      <c r="AA4459" s="3"/>
    </row>
    <row r="4460" spans="19:27" x14ac:dyDescent="0.25">
      <c r="S4460" s="4">
        <v>-0.56417733534508385</v>
      </c>
      <c r="T4460" s="4">
        <v>1.2298833413862762</v>
      </c>
      <c r="U4460" s="4">
        <f t="shared" si="410"/>
        <v>0.63098361747559295</v>
      </c>
      <c r="W4460" s="4">
        <f t="shared" si="411"/>
        <v>-0.93104366097389391</v>
      </c>
      <c r="X4460" s="4">
        <f t="shared" si="412"/>
        <v>1.1782731823417074</v>
      </c>
      <c r="Y4460" s="3">
        <f t="shared" si="409"/>
        <v>269.27976883042356</v>
      </c>
      <c r="AA4460" s="3"/>
    </row>
    <row r="4461" spans="19:27" x14ac:dyDescent="0.25">
      <c r="S4461" s="4">
        <v>-1.1688167201512885</v>
      </c>
      <c r="T4461" s="4">
        <v>1.0816918295215596</v>
      </c>
      <c r="U4461" s="4">
        <f t="shared" si="410"/>
        <v>0.14491172914276373</v>
      </c>
      <c r="W4461" s="4">
        <f t="shared" si="411"/>
        <v>-1.9592067787742997</v>
      </c>
      <c r="X4461" s="4">
        <f t="shared" si="412"/>
        <v>0.3212818917128818</v>
      </c>
      <c r="Y4461" s="3">
        <f t="shared" si="409"/>
        <v>356.11920138568894</v>
      </c>
      <c r="AA4461" s="3"/>
    </row>
    <row r="4462" spans="19:27" x14ac:dyDescent="0.25">
      <c r="S4462" s="4">
        <v>0.91016073548491461</v>
      </c>
      <c r="T4462" s="4">
        <v>0.10948801580385623</v>
      </c>
      <c r="U4462" s="4">
        <f t="shared" si="410"/>
        <v>0.64164456802158676</v>
      </c>
      <c r="W4462" s="4">
        <f t="shared" si="411"/>
        <v>1.576004450161409</v>
      </c>
      <c r="X4462" s="4">
        <f t="shared" si="412"/>
        <v>1.1970694591621547</v>
      </c>
      <c r="Y4462" s="3">
        <f t="shared" si="409"/>
        <v>-126.48299226186418</v>
      </c>
      <c r="AA4462" s="3"/>
    </row>
    <row r="4463" spans="19:27" x14ac:dyDescent="0.25">
      <c r="S4463" s="4">
        <v>0.32323279022499268</v>
      </c>
      <c r="T4463" s="4">
        <v>0.9402603385698084</v>
      </c>
      <c r="U4463" s="4">
        <f t="shared" si="410"/>
        <v>0.94238678695358491</v>
      </c>
      <c r="W4463" s="4">
        <f t="shared" si="411"/>
        <v>0.5779588691312485</v>
      </c>
      <c r="X4463" s="4">
        <f t="shared" si="412"/>
        <v>1.7273067934649182</v>
      </c>
      <c r="Y4463" s="3">
        <f t="shared" si="409"/>
        <v>80.973414986732223</v>
      </c>
      <c r="AA4463" s="3"/>
    </row>
    <row r="4464" spans="19:27" x14ac:dyDescent="0.25">
      <c r="S4464" s="4">
        <v>1.6180179079776997</v>
      </c>
      <c r="T4464" s="4">
        <v>-0.53445982303520456</v>
      </c>
      <c r="U4464" s="4">
        <f t="shared" si="410"/>
        <v>0.56271778151728979</v>
      </c>
      <c r="W4464" s="4">
        <f t="shared" si="411"/>
        <v>2.7796849508301333</v>
      </c>
      <c r="X4464" s="4">
        <f t="shared" si="412"/>
        <v>1.0579139756728724</v>
      </c>
      <c r="Y4464" s="3">
        <f t="shared" si="409"/>
        <v>-319.98967752695398</v>
      </c>
      <c r="AA4464" s="3"/>
    </row>
    <row r="4465" spans="19:27" x14ac:dyDescent="0.25">
      <c r="S4465" s="4">
        <v>-1.9084943242986483</v>
      </c>
      <c r="T4465" s="4">
        <v>-1.0805431594430916</v>
      </c>
      <c r="U4465" s="4">
        <f t="shared" si="410"/>
        <v>-2.0199986607481208</v>
      </c>
      <c r="W4465" s="4">
        <f t="shared" si="411"/>
        <v>-3.2169965469532906</v>
      </c>
      <c r="X4465" s="4">
        <f t="shared" si="412"/>
        <v>-3.4956624608845117</v>
      </c>
      <c r="Y4465" s="3">
        <f t="shared" si="409"/>
        <v>193.16551282464934</v>
      </c>
      <c r="AA4465" s="3"/>
    </row>
    <row r="4466" spans="19:27" x14ac:dyDescent="0.25">
      <c r="S4466" s="4">
        <v>5.4962048817138703E-2</v>
      </c>
      <c r="T4466" s="4">
        <v>1.8584824983834116</v>
      </c>
      <c r="U4466" s="4">
        <f t="shared" si="410"/>
        <v>1.506710335071811</v>
      </c>
      <c r="W4466" s="4">
        <f t="shared" si="411"/>
        <v>0.12177607847673021</v>
      </c>
      <c r="X4466" s="4">
        <f t="shared" si="412"/>
        <v>2.7222632545201728</v>
      </c>
      <c r="Y4466" s="3">
        <f t="shared" si="409"/>
        <v>252.74997594756496</v>
      </c>
      <c r="AA4466" s="3"/>
    </row>
    <row r="4467" spans="19:27" x14ac:dyDescent="0.25">
      <c r="S4467" s="4">
        <v>0.76660585736723619</v>
      </c>
      <c r="T4467" s="4">
        <v>-0.39518810454706388</v>
      </c>
      <c r="U4467" s="4">
        <f t="shared" si="410"/>
        <v>0.15407757859403731</v>
      </c>
      <c r="W4467" s="4">
        <f t="shared" si="411"/>
        <v>1.3318955899550289</v>
      </c>
      <c r="X4467" s="4">
        <f t="shared" si="412"/>
        <v>0.33744216211629552</v>
      </c>
      <c r="Y4467" s="3">
        <f t="shared" si="409"/>
        <v>-175.14005576395084</v>
      </c>
      <c r="AA4467" s="3"/>
    </row>
    <row r="4468" spans="19:27" x14ac:dyDescent="0.25">
      <c r="S4468" s="4">
        <v>-0.33042000260320009</v>
      </c>
      <c r="T4468" s="4">
        <v>1.8229320706425767</v>
      </c>
      <c r="U4468" s="4">
        <f t="shared" si="410"/>
        <v>1.2435922975981617</v>
      </c>
      <c r="W4468" s="4">
        <f t="shared" si="411"/>
        <v>-0.53354942874217337</v>
      </c>
      <c r="X4468" s="4">
        <f t="shared" si="412"/>
        <v>2.2583609554267801</v>
      </c>
      <c r="Y4468" s="3">
        <f t="shared" si="409"/>
        <v>312.07571036907211</v>
      </c>
      <c r="AA4468" s="3"/>
    </row>
    <row r="4469" spans="19:27" x14ac:dyDescent="0.25">
      <c r="S4469" s="4">
        <v>0.42304176213472294</v>
      </c>
      <c r="T4469" s="4">
        <v>-3.4485665752885142E-2</v>
      </c>
      <c r="U4469" s="4">
        <f t="shared" si="410"/>
        <v>0.23055918503288539</v>
      </c>
      <c r="W4469" s="4">
        <f t="shared" si="411"/>
        <v>0.74767970823281071</v>
      </c>
      <c r="X4469" s="4">
        <f t="shared" si="412"/>
        <v>0.47228655897331795</v>
      </c>
      <c r="Y4469" s="3">
        <f t="shared" si="409"/>
        <v>-71.147962494645071</v>
      </c>
      <c r="AA4469" s="3"/>
    </row>
    <row r="4470" spans="19:27" x14ac:dyDescent="0.25">
      <c r="S4470" s="4">
        <v>0.53927639747402978</v>
      </c>
      <c r="T4470" s="4">
        <v>-0.32728332870420146</v>
      </c>
      <c r="U4470" s="4">
        <f t="shared" si="410"/>
        <v>6.932004156013083E-2</v>
      </c>
      <c r="W4470" s="4">
        <f t="shared" si="411"/>
        <v>0.94533167743947921</v>
      </c>
      <c r="X4470" s="4">
        <f t="shared" si="412"/>
        <v>0.18800650702761565</v>
      </c>
      <c r="Y4470" s="3">
        <f t="shared" si="409"/>
        <v>-130.39073036176387</v>
      </c>
      <c r="AA4470" s="3"/>
    </row>
    <row r="4471" spans="19:27" x14ac:dyDescent="0.25">
      <c r="S4471" s="4">
        <v>-1.3261314776867661</v>
      </c>
      <c r="T4471" s="4">
        <v>1.43981793221558</v>
      </c>
      <c r="U4471" s="4">
        <f t="shared" si="410"/>
        <v>0.33289284634490413</v>
      </c>
      <c r="W4471" s="4">
        <f t="shared" si="411"/>
        <v>-2.2267137186927655</v>
      </c>
      <c r="X4471" s="4">
        <f t="shared" si="412"/>
        <v>0.65271060444395357</v>
      </c>
      <c r="Y4471" s="3">
        <f t="shared" si="409"/>
        <v>435.07308348028073</v>
      </c>
      <c r="AA4471" s="3"/>
    </row>
    <row r="4472" spans="19:27" x14ac:dyDescent="0.25">
      <c r="S4472" s="4">
        <v>-0.64368317296783428</v>
      </c>
      <c r="T4472" s="4">
        <v>3.8649074196963437E-2</v>
      </c>
      <c r="U4472" s="4">
        <f t="shared" si="410"/>
        <v>-0.36176681135031108</v>
      </c>
      <c r="W4472" s="4">
        <f t="shared" si="411"/>
        <v>-1.0662398985126382</v>
      </c>
      <c r="X4472" s="4">
        <f t="shared" si="412"/>
        <v>-0.57204090019020792</v>
      </c>
      <c r="Y4472" s="3">
        <f t="shared" si="409"/>
        <v>116.61734006859615</v>
      </c>
      <c r="AA4472" s="3"/>
    </row>
    <row r="4473" spans="19:27" x14ac:dyDescent="0.25">
      <c r="S4473" s="4">
        <v>-1.8535176065309975</v>
      </c>
      <c r="T4473" s="4">
        <v>0.30490526852019734</v>
      </c>
      <c r="U4473" s="4">
        <f t="shared" si="410"/>
        <v>-0.88824971546539633</v>
      </c>
      <c r="W4473" s="4">
        <f t="shared" si="411"/>
        <v>-3.1235110166242701</v>
      </c>
      <c r="X4473" s="4">
        <f t="shared" si="412"/>
        <v>-1.5002806818388308</v>
      </c>
      <c r="Y4473" s="3">
        <f t="shared" si="409"/>
        <v>376.15248483550658</v>
      </c>
      <c r="AA4473" s="3"/>
    </row>
    <row r="4474" spans="19:27" x14ac:dyDescent="0.25">
      <c r="S4474" s="4">
        <v>0.50977653619488772</v>
      </c>
      <c r="T4474" s="4">
        <v>0.32841101781251381</v>
      </c>
      <c r="U4474" s="4">
        <f t="shared" si="410"/>
        <v>0.57109994327549995</v>
      </c>
      <c r="W4474" s="4">
        <f t="shared" si="411"/>
        <v>0.89516843946720659</v>
      </c>
      <c r="X4474" s="4">
        <f t="shared" si="412"/>
        <v>1.0726925296190108</v>
      </c>
      <c r="Y4474" s="3">
        <f t="shared" si="409"/>
        <v>-34.12032389022761</v>
      </c>
      <c r="AA4474" s="3"/>
    </row>
    <row r="4475" spans="19:27" x14ac:dyDescent="0.25">
      <c r="S4475" s="4">
        <v>1.7237136349866643E-2</v>
      </c>
      <c r="T4475" s="4">
        <v>0.82814087202333453</v>
      </c>
      <c r="U4475" s="4">
        <f t="shared" si="410"/>
        <v>0.6669688027220283</v>
      </c>
      <c r="W4475" s="4">
        <f t="shared" si="411"/>
        <v>5.7626496766088345E-2</v>
      </c>
      <c r="X4475" s="4">
        <f t="shared" si="412"/>
        <v>1.2417185102614812</v>
      </c>
      <c r="Y4475" s="3">
        <f t="shared" si="409"/>
        <v>114.94576556477841</v>
      </c>
      <c r="AA4475" s="3"/>
    </row>
    <row r="4476" spans="19:27" x14ac:dyDescent="0.25">
      <c r="S4476" s="4">
        <v>1.1167045000179503</v>
      </c>
      <c r="T4476" s="4">
        <v>-0.97038760206580976</v>
      </c>
      <c r="U4476" s="4">
        <f t="shared" si="410"/>
        <v>-8.8450528477825863E-2</v>
      </c>
      <c r="W4476" s="4">
        <f t="shared" si="411"/>
        <v>1.9272231868842631</v>
      </c>
      <c r="X4476" s="4">
        <f t="shared" si="412"/>
        <v>-9.0158117764453649E-2</v>
      </c>
      <c r="Y4476" s="3">
        <f t="shared" si="409"/>
        <v>-308.35453263784211</v>
      </c>
      <c r="AA4476" s="3"/>
    </row>
    <row r="4477" spans="19:27" x14ac:dyDescent="0.25">
      <c r="S4477" s="4">
        <v>9.7193432664099036E-2</v>
      </c>
      <c r="T4477" s="4">
        <v>1.5591860197635967</v>
      </c>
      <c r="U4477" s="4">
        <f t="shared" si="410"/>
        <v>1.2952055990266589</v>
      </c>
      <c r="W4477" s="4">
        <f t="shared" si="411"/>
        <v>0.19358871982332954</v>
      </c>
      <c r="X4477" s="4">
        <f t="shared" si="412"/>
        <v>2.349360148892861</v>
      </c>
      <c r="Y4477" s="3">
        <f t="shared" si="409"/>
        <v>204.01013613542636</v>
      </c>
      <c r="AA4477" s="3"/>
    </row>
    <row r="4478" spans="19:27" x14ac:dyDescent="0.25">
      <c r="S4478" s="4">
        <v>-0.39926580434119213</v>
      </c>
      <c r="T4478" s="4">
        <v>0.2300328213688756</v>
      </c>
      <c r="U4478" s="4">
        <f t="shared" si="410"/>
        <v>-6.1056161093106104E-2</v>
      </c>
      <c r="W4478" s="4">
        <f t="shared" si="411"/>
        <v>-0.6506187364008037</v>
      </c>
      <c r="X4478" s="4">
        <f t="shared" si="412"/>
        <v>-4.185922448446229E-2</v>
      </c>
      <c r="Y4478" s="3">
        <f t="shared" si="409"/>
        <v>101.17422583740517</v>
      </c>
      <c r="AA4478" s="3"/>
    </row>
    <row r="4479" spans="19:27" x14ac:dyDescent="0.25">
      <c r="S4479" s="4">
        <v>-0.88015440031545966</v>
      </c>
      <c r="T4479" s="4">
        <v>-0.9520389330517951</v>
      </c>
      <c r="U4479" s="4">
        <f t="shared" si="410"/>
        <v>-1.2912354242581401</v>
      </c>
      <c r="W4479" s="4">
        <f t="shared" si="411"/>
        <v>-1.468348991121202</v>
      </c>
      <c r="X4479" s="4">
        <f t="shared" si="412"/>
        <v>-2.2107830807078428</v>
      </c>
      <c r="Y4479" s="3">
        <f t="shared" si="409"/>
        <v>19.843176242466143</v>
      </c>
      <c r="AA4479" s="3"/>
    </row>
    <row r="4480" spans="19:27" x14ac:dyDescent="0.25">
      <c r="S4480" s="4">
        <v>-0.95335780392191727</v>
      </c>
      <c r="T4480" s="4">
        <v>1.4515789307907205</v>
      </c>
      <c r="U4480" s="4">
        <f t="shared" si="410"/>
        <v>0.56946684484871701</v>
      </c>
      <c r="W4480" s="4">
        <f t="shared" si="411"/>
        <v>-1.5928282122518937</v>
      </c>
      <c r="X4480" s="4">
        <f t="shared" si="412"/>
        <v>1.0698132206894349</v>
      </c>
      <c r="Y4480" s="3">
        <f t="shared" si="409"/>
        <v>368.8478423972465</v>
      </c>
      <c r="AA4480" s="3"/>
    </row>
    <row r="4481" spans="19:27" x14ac:dyDescent="0.25">
      <c r="S4481" s="4">
        <v>-0.43788636609969495</v>
      </c>
      <c r="T4481" s="4">
        <v>1.1135020263455118</v>
      </c>
      <c r="U4481" s="4">
        <f t="shared" si="410"/>
        <v>0.61571887052662277</v>
      </c>
      <c r="W4481" s="4">
        <f t="shared" si="411"/>
        <v>-0.71629133098633901</v>
      </c>
      <c r="X4481" s="4">
        <f t="shared" si="412"/>
        <v>1.1513599715535063</v>
      </c>
      <c r="Y4481" s="3">
        <f t="shared" si="409"/>
        <v>231.25357166967297</v>
      </c>
      <c r="AA4481" s="3"/>
    </row>
    <row r="4482" spans="19:27" x14ac:dyDescent="0.25">
      <c r="S4482" s="4">
        <v>-0.49778202729188004</v>
      </c>
      <c r="T4482" s="4">
        <v>0.51887191897511975</v>
      </c>
      <c r="U4482" s="4">
        <f t="shared" si="410"/>
        <v>0.10784659874687663</v>
      </c>
      <c r="W4482" s="4">
        <f t="shared" si="411"/>
        <v>-0.81814131182047189</v>
      </c>
      <c r="X4482" s="4">
        <f t="shared" si="412"/>
        <v>0.25593251706740383</v>
      </c>
      <c r="Y4482" s="3">
        <f t="shared" ref="Y4482:Y4545" si="413">(B$4*EXP(-B$8*B$7)*NORMSDIST((LN(B$4/(B$5+W4482))-B$8*B$7+B$9*B$7+0.5*B$6*B$6*B$7)/(B$6*SQRT(B$7)))-(B$5+W4482)*EXP(-B$9*B$7)*NORMSDIST((LN(B$4/(B$5+W4482))-B$8*B$7+B$9*B$7-0.5*B$6*B$6*B$7)/(B$6*SQRT(B$7))))*400+100*X4482-400*$B$13</f>
        <v>158.43887705248108</v>
      </c>
      <c r="AA4482" s="3"/>
    </row>
    <row r="4483" spans="19:27" x14ac:dyDescent="0.25">
      <c r="S4483" s="4">
        <v>1.6554982126168936E-2</v>
      </c>
      <c r="T4483" s="4">
        <v>-0.36505155056489902</v>
      </c>
      <c r="U4483" s="4">
        <f t="shared" ref="U4483:U4546" si="414">$B$19*S4483+SQRT(1-$B$19^2)*T4483</f>
        <v>-0.27928116415792881</v>
      </c>
      <c r="W4483" s="4">
        <f t="shared" ref="W4483:W4546" si="415">S4483*SQRT($B$16)+$B$20</f>
        <v>5.6466523017963177E-2</v>
      </c>
      <c r="X4483" s="4">
        <f t="shared" ref="X4483:X4546" si="416">U4483*SQRT($C$17)+$C$20</f>
        <v>-0.4266108044728637</v>
      </c>
      <c r="Y4483" s="3">
        <f t="shared" si="413"/>
        <v>-51.701621669051292</v>
      </c>
      <c r="AA4483" s="3"/>
    </row>
    <row r="4484" spans="19:27" x14ac:dyDescent="0.25">
      <c r="S4484" s="4">
        <v>-2.6904374571178568E-2</v>
      </c>
      <c r="T4484" s="4">
        <v>0.43734725964271975</v>
      </c>
      <c r="U4484" s="4">
        <f t="shared" si="414"/>
        <v>0.33028017519890385</v>
      </c>
      <c r="W4484" s="4">
        <f t="shared" si="415"/>
        <v>-1.7434233039908219E-2</v>
      </c>
      <c r="X4484" s="4">
        <f t="shared" si="416"/>
        <v>0.64810421499592541</v>
      </c>
      <c r="Y4484" s="3">
        <f t="shared" si="413"/>
        <v>67.605049946737836</v>
      </c>
      <c r="AA4484" s="3"/>
    </row>
    <row r="4485" spans="19:27" x14ac:dyDescent="0.25">
      <c r="S4485" s="4">
        <v>1.0455699230968816</v>
      </c>
      <c r="T4485" s="4">
        <v>0.80460887319922647</v>
      </c>
      <c r="U4485" s="4">
        <f t="shared" si="414"/>
        <v>1.2752097858756164</v>
      </c>
      <c r="W4485" s="4">
        <f t="shared" si="415"/>
        <v>1.8062619160368132</v>
      </c>
      <c r="X4485" s="4">
        <f t="shared" si="416"/>
        <v>2.3141056152923678</v>
      </c>
      <c r="Y4485" s="3">
        <f t="shared" si="413"/>
        <v>-49.693331117278831</v>
      </c>
      <c r="AA4485" s="3"/>
    </row>
    <row r="4486" spans="19:27" x14ac:dyDescent="0.25">
      <c r="S4486" s="4">
        <v>-8.2083447725611824E-2</v>
      </c>
      <c r="T4486" s="4">
        <v>0.3949480067190389</v>
      </c>
      <c r="U4486" s="4">
        <f t="shared" si="414"/>
        <v>0.26303223165497214</v>
      </c>
      <c r="W4486" s="4">
        <f t="shared" si="415"/>
        <v>-0.11126385995047165</v>
      </c>
      <c r="X4486" s="4">
        <f t="shared" si="416"/>
        <v>0.5295396501380073</v>
      </c>
      <c r="Y4486" s="3">
        <f t="shared" si="413"/>
        <v>70.816066551604763</v>
      </c>
      <c r="AA4486" s="3"/>
    </row>
    <row r="4487" spans="19:27" x14ac:dyDescent="0.25">
      <c r="S4487" s="4">
        <v>0.97148879877046357</v>
      </c>
      <c r="T4487" s="4">
        <v>-1.0287443797265525</v>
      </c>
      <c r="U4487" s="4">
        <f t="shared" si="414"/>
        <v>-0.22323621189241383</v>
      </c>
      <c r="W4487" s="4">
        <f t="shared" si="415"/>
        <v>1.6802901687911023</v>
      </c>
      <c r="X4487" s="4">
        <f t="shared" si="416"/>
        <v>-0.32779818615833389</v>
      </c>
      <c r="Y4487" s="3">
        <f t="shared" si="413"/>
        <v>-294.81559999570663</v>
      </c>
      <c r="AA4487" s="3"/>
    </row>
    <row r="4488" spans="19:27" x14ac:dyDescent="0.25">
      <c r="S4488" s="4">
        <v>0.19655575002560235</v>
      </c>
      <c r="T4488" s="4">
        <v>1.0166593818054874</v>
      </c>
      <c r="U4488" s="4">
        <f t="shared" si="414"/>
        <v>0.92572254867606685</v>
      </c>
      <c r="W4488" s="4">
        <f t="shared" si="415"/>
        <v>0.36255004218743681</v>
      </c>
      <c r="X4488" s="4">
        <f t="shared" si="416"/>
        <v>1.6979261454340702</v>
      </c>
      <c r="Y4488" s="3">
        <f t="shared" si="413"/>
        <v>112.0329829393304</v>
      </c>
      <c r="AA4488" s="3"/>
    </row>
    <row r="4489" spans="19:27" x14ac:dyDescent="0.25">
      <c r="S4489" s="4">
        <v>-0.81400548245993187</v>
      </c>
      <c r="T4489" s="4">
        <v>-1.4013368780394395</v>
      </c>
      <c r="U4489" s="4">
        <f t="shared" si="414"/>
        <v>-1.6070644631461977</v>
      </c>
      <c r="W4489" s="4">
        <f t="shared" si="415"/>
        <v>-1.3558656178403476</v>
      </c>
      <c r="X4489" s="4">
        <f t="shared" si="416"/>
        <v>-2.7676199234700936</v>
      </c>
      <c r="Y4489" s="3">
        <f t="shared" si="413"/>
        <v>-54.696595686918954</v>
      </c>
      <c r="AA4489" s="3"/>
    </row>
    <row r="4490" spans="19:27" x14ac:dyDescent="0.25">
      <c r="S4490" s="4">
        <v>-0.26670745638162752</v>
      </c>
      <c r="T4490" s="4">
        <v>-5.540038712162125E-2</v>
      </c>
      <c r="U4490" s="4">
        <f t="shared" si="414"/>
        <v>-0.20650626086533513</v>
      </c>
      <c r="W4490" s="4">
        <f t="shared" si="415"/>
        <v>-0.42520900002999085</v>
      </c>
      <c r="X4490" s="4">
        <f t="shared" si="416"/>
        <v>-0.29830168025664727</v>
      </c>
      <c r="Y4490" s="3">
        <f t="shared" si="413"/>
        <v>38.77825536214732</v>
      </c>
      <c r="AA4490" s="3"/>
    </row>
    <row r="4491" spans="19:27" x14ac:dyDescent="0.25">
      <c r="S4491" s="4">
        <v>0.16357341975030329</v>
      </c>
      <c r="T4491" s="4">
        <v>1.4434998675065573</v>
      </c>
      <c r="U4491" s="4">
        <f t="shared" si="414"/>
        <v>1.2439688306189334</v>
      </c>
      <c r="W4491" s="4">
        <f t="shared" si="415"/>
        <v>0.30646501633513773</v>
      </c>
      <c r="X4491" s="4">
        <f t="shared" si="416"/>
        <v>2.2590248192032725</v>
      </c>
      <c r="Y4491" s="3">
        <f t="shared" si="413"/>
        <v>177.03375733911798</v>
      </c>
      <c r="AA4491" s="3"/>
    </row>
    <row r="4492" spans="19:27" x14ac:dyDescent="0.25">
      <c r="S4492" s="4">
        <v>2.4553593550584143E-2</v>
      </c>
      <c r="T4492" s="4">
        <v>-1.9190050442563205E-2</v>
      </c>
      <c r="U4492" s="4">
        <f t="shared" si="414"/>
        <v>-2.4338136425996852E-4</v>
      </c>
      <c r="W4492" s="4">
        <f t="shared" si="415"/>
        <v>7.0067815733680913E-2</v>
      </c>
      <c r="X4492" s="4">
        <f t="shared" si="416"/>
        <v>6.5359530266614382E-2</v>
      </c>
      <c r="Y4492" s="3">
        <f t="shared" si="413"/>
        <v>-4.679753411119691</v>
      </c>
      <c r="AA4492" s="3"/>
    </row>
    <row r="4493" spans="19:27" x14ac:dyDescent="0.25">
      <c r="S4493" s="4">
        <v>-1.5984080843545441</v>
      </c>
      <c r="T4493" s="4">
        <v>0.72734154899839465</v>
      </c>
      <c r="U4493" s="4">
        <f t="shared" si="414"/>
        <v>-0.39786739073476529</v>
      </c>
      <c r="W4493" s="4">
        <f t="shared" si="415"/>
        <v>-2.6897083099322754</v>
      </c>
      <c r="X4493" s="4">
        <f t="shared" si="416"/>
        <v>-0.63568967902669893</v>
      </c>
      <c r="Y4493" s="3">
        <f t="shared" si="413"/>
        <v>386.42698316894348</v>
      </c>
      <c r="AA4493" s="3"/>
    </row>
    <row r="4494" spans="19:27" x14ac:dyDescent="0.25">
      <c r="S4494" s="4">
        <v>1.6911099055056276</v>
      </c>
      <c r="T4494" s="4">
        <v>0.18409040082439582</v>
      </c>
      <c r="U4494" s="4">
        <f t="shared" si="414"/>
        <v>1.1768653216891021</v>
      </c>
      <c r="W4494" s="4">
        <f t="shared" si="415"/>
        <v>2.9039747307435948</v>
      </c>
      <c r="X4494" s="4">
        <f t="shared" si="416"/>
        <v>2.1407149064026334</v>
      </c>
      <c r="Y4494" s="3">
        <f t="shared" si="413"/>
        <v>-229.84485601189908</v>
      </c>
      <c r="AA4494" s="3"/>
    </row>
    <row r="4495" spans="19:27" x14ac:dyDescent="0.25">
      <c r="S4495" s="4">
        <v>-1.1057603415440247</v>
      </c>
      <c r="T4495" s="4">
        <v>0.84697926331468631</v>
      </c>
      <c r="U4495" s="4">
        <f t="shared" si="414"/>
        <v>-2.7024735306392378E-3</v>
      </c>
      <c r="W4495" s="4">
        <f t="shared" si="415"/>
        <v>-1.85198213470513</v>
      </c>
      <c r="X4495" s="4">
        <f t="shared" si="416"/>
        <v>6.1023915268041191E-2</v>
      </c>
      <c r="Y4495" s="3">
        <f t="shared" si="413"/>
        <v>311.8381356737309</v>
      </c>
      <c r="AA4495" s="3"/>
    </row>
    <row r="4496" spans="19:27" x14ac:dyDescent="0.25">
      <c r="S4496" s="4">
        <v>-1.0862107404587051</v>
      </c>
      <c r="T4496" s="4">
        <v>1.857793675802492</v>
      </c>
      <c r="U4496" s="4">
        <f t="shared" si="414"/>
        <v>0.81047991688714682</v>
      </c>
      <c r="W4496" s="4">
        <f t="shared" si="415"/>
        <v>-1.8187388837546832</v>
      </c>
      <c r="X4496" s="4">
        <f t="shared" si="416"/>
        <v>1.4947423487101099</v>
      </c>
      <c r="Y4496" s="3">
        <f t="shared" si="413"/>
        <v>449.56265727137179</v>
      </c>
      <c r="AA4496" s="3"/>
    </row>
    <row r="4497" spans="19:27" x14ac:dyDescent="0.25">
      <c r="S4497" s="4">
        <v>1.1060245721024411</v>
      </c>
      <c r="T4497" s="4">
        <v>-1.0123415804221136</v>
      </c>
      <c r="U4497" s="4">
        <f t="shared" si="414"/>
        <v>-0.12821783462991676</v>
      </c>
      <c r="W4497" s="4">
        <f t="shared" si="415"/>
        <v>1.9090624314663656</v>
      </c>
      <c r="X4497" s="4">
        <f t="shared" si="416"/>
        <v>-0.16027168705767755</v>
      </c>
      <c r="Y4497" s="3">
        <f t="shared" si="413"/>
        <v>-312.63284051366963</v>
      </c>
      <c r="AA4497" s="3"/>
    </row>
    <row r="4498" spans="19:27" x14ac:dyDescent="0.25">
      <c r="S4498" s="4">
        <v>-7.5509459590844374E-2</v>
      </c>
      <c r="T4498" s="4">
        <v>0.66380790647592636</v>
      </c>
      <c r="U4498" s="4">
        <f t="shared" si="414"/>
        <v>0.48016297825000775</v>
      </c>
      <c r="W4498" s="4">
        <f t="shared" si="415"/>
        <v>-0.10008507751109784</v>
      </c>
      <c r="X4498" s="4">
        <f t="shared" si="416"/>
        <v>0.91236195117234653</v>
      </c>
      <c r="Y4498" s="3">
        <f t="shared" si="413"/>
        <v>107.30077896876855</v>
      </c>
      <c r="AA4498" s="3"/>
    </row>
    <row r="4499" spans="19:27" x14ac:dyDescent="0.25">
      <c r="S4499" s="4">
        <v>-0.1289541473385043</v>
      </c>
      <c r="T4499" s="4">
        <v>0.12838406864790311</v>
      </c>
      <c r="U4499" s="4">
        <f t="shared" si="414"/>
        <v>2.3155701152647409E-2</v>
      </c>
      <c r="W4499" s="4">
        <f t="shared" si="415"/>
        <v>-0.19096545706512805</v>
      </c>
      <c r="X4499" s="4">
        <f t="shared" si="416"/>
        <v>0.10661435369298795</v>
      </c>
      <c r="Y4499" s="3">
        <f t="shared" si="413"/>
        <v>41.358103539339027</v>
      </c>
      <c r="AA4499" s="3"/>
    </row>
    <row r="4500" spans="19:27" x14ac:dyDescent="0.25">
      <c r="S4500" s="4">
        <v>-0.13834686831460885</v>
      </c>
      <c r="T4500" s="4">
        <v>-0.27876099723031672</v>
      </c>
      <c r="U4500" s="4">
        <f t="shared" si="414"/>
        <v>-0.30531095539575692</v>
      </c>
      <c r="W4500" s="4">
        <f t="shared" si="415"/>
        <v>-0.20693737276578358</v>
      </c>
      <c r="X4500" s="4">
        <f t="shared" si="416"/>
        <v>-0.47250381931932328</v>
      </c>
      <c r="Y4500" s="3">
        <f t="shared" si="413"/>
        <v>-13.977750822608414</v>
      </c>
      <c r="AA4500" s="3"/>
    </row>
    <row r="4501" spans="19:27" x14ac:dyDescent="0.25">
      <c r="S4501" s="4">
        <v>0.61413981881042112</v>
      </c>
      <c r="T4501" s="4">
        <v>1.3118161223272609</v>
      </c>
      <c r="U4501" s="4">
        <f t="shared" si="414"/>
        <v>1.4142595066296109</v>
      </c>
      <c r="W4501" s="4">
        <f t="shared" si="415"/>
        <v>1.0726336869093058</v>
      </c>
      <c r="X4501" s="4">
        <f t="shared" si="416"/>
        <v>2.5592635898859282</v>
      </c>
      <c r="Y4501" s="3">
        <f t="shared" si="413"/>
        <v>86.99337056498689</v>
      </c>
      <c r="AA4501" s="3"/>
    </row>
    <row r="4502" spans="19:27" x14ac:dyDescent="0.25">
      <c r="S4502" s="4">
        <v>-0.20687214656439179</v>
      </c>
      <c r="T4502" s="4">
        <v>0.20938877514329698</v>
      </c>
      <c r="U4502" s="4">
        <f t="shared" si="414"/>
        <v>3.9866934665040932E-2</v>
      </c>
      <c r="W4502" s="4">
        <f t="shared" si="415"/>
        <v>-0.32346164409822253</v>
      </c>
      <c r="X4502" s="4">
        <f t="shared" si="416"/>
        <v>0.136077858823693</v>
      </c>
      <c r="Y4502" s="3">
        <f t="shared" si="413"/>
        <v>65.713613194285699</v>
      </c>
      <c r="AA4502" s="3"/>
    </row>
    <row r="4503" spans="19:27" x14ac:dyDescent="0.25">
      <c r="S4503" s="4">
        <v>-0.28230164089831211</v>
      </c>
      <c r="T4503" s="4">
        <v>0.52670810962368297</v>
      </c>
      <c r="U4503" s="4">
        <f t="shared" si="414"/>
        <v>0.24541993584515043</v>
      </c>
      <c r="W4503" s="4">
        <f t="shared" si="415"/>
        <v>-0.45172623621262586</v>
      </c>
      <c r="X4503" s="4">
        <f t="shared" si="416"/>
        <v>0.49848748588147107</v>
      </c>
      <c r="Y4503" s="3">
        <f t="shared" si="413"/>
        <v>122.76690302753104</v>
      </c>
      <c r="AA4503" s="3"/>
    </row>
    <row r="4504" spans="19:27" x14ac:dyDescent="0.25">
      <c r="S4504" s="4">
        <v>-0.75100118404090799</v>
      </c>
      <c r="T4504" s="4">
        <v>-0.97190623170664459</v>
      </c>
      <c r="U4504" s="4">
        <f t="shared" si="414"/>
        <v>-1.2282493910511629</v>
      </c>
      <c r="W4504" s="4">
        <f t="shared" si="415"/>
        <v>-1.2487295338783457</v>
      </c>
      <c r="X4504" s="4">
        <f t="shared" si="416"/>
        <v>-2.0997326719405769</v>
      </c>
      <c r="Y4504" s="3">
        <f t="shared" si="413"/>
        <v>-5.8054304997217514</v>
      </c>
      <c r="AA4504" s="3"/>
    </row>
    <row r="4505" spans="19:27" x14ac:dyDescent="0.25">
      <c r="S4505" s="4">
        <v>0.22723587954345639</v>
      </c>
      <c r="T4505" s="4">
        <v>0.82912628582839376</v>
      </c>
      <c r="U4505" s="4">
        <f t="shared" si="414"/>
        <v>0.79576985169259418</v>
      </c>
      <c r="W4505" s="4">
        <f t="shared" si="415"/>
        <v>0.41472027524247906</v>
      </c>
      <c r="X4505" s="4">
        <f t="shared" si="416"/>
        <v>1.4688070949772674</v>
      </c>
      <c r="Y4505" s="3">
        <f t="shared" si="413"/>
        <v>80.865279778793138</v>
      </c>
      <c r="AA4505" s="3"/>
    </row>
    <row r="4506" spans="19:27" x14ac:dyDescent="0.25">
      <c r="S4506" s="4">
        <v>1.1961743059224323</v>
      </c>
      <c r="T4506" s="4">
        <v>-0.55770407568808456</v>
      </c>
      <c r="U4506" s="4">
        <f t="shared" si="414"/>
        <v>0.28712697602771992</v>
      </c>
      <c r="W4506" s="4">
        <f t="shared" si="415"/>
        <v>2.0623581540447864</v>
      </c>
      <c r="X4506" s="4">
        <f t="shared" si="416"/>
        <v>0.5720209920403263</v>
      </c>
      <c r="Y4506" s="3">
        <f t="shared" si="413"/>
        <v>-262.42159446094138</v>
      </c>
      <c r="AA4506" s="3"/>
    </row>
    <row r="4507" spans="19:27" x14ac:dyDescent="0.25">
      <c r="S4507" s="4">
        <v>-0.19534915144894316</v>
      </c>
      <c r="T4507" s="4">
        <v>0.78319436227062855</v>
      </c>
      <c r="U4507" s="4">
        <f t="shared" si="414"/>
        <v>0.50174271892566114</v>
      </c>
      <c r="W4507" s="4">
        <f t="shared" si="415"/>
        <v>-0.30386728937702656</v>
      </c>
      <c r="X4507" s="4">
        <f t="shared" si="416"/>
        <v>0.95040910069274909</v>
      </c>
      <c r="Y4507" s="3">
        <f t="shared" si="413"/>
        <v>143.97487388529498</v>
      </c>
      <c r="AA4507" s="3"/>
    </row>
    <row r="4508" spans="19:27" x14ac:dyDescent="0.25">
      <c r="S4508" s="4">
        <v>1.3019047665276642</v>
      </c>
      <c r="T4508" s="4">
        <v>-0.3969900430542998</v>
      </c>
      <c r="U4508" s="4">
        <f t="shared" si="414"/>
        <v>0.478979354855607</v>
      </c>
      <c r="W4508" s="4">
        <f t="shared" si="415"/>
        <v>2.2421482285156888</v>
      </c>
      <c r="X4508" s="4">
        <f t="shared" si="416"/>
        <v>0.91027510977144777</v>
      </c>
      <c r="Y4508" s="3">
        <f t="shared" si="413"/>
        <v>-255.44309505269484</v>
      </c>
      <c r="AA4508" s="3"/>
    </row>
    <row r="4509" spans="19:27" x14ac:dyDescent="0.25">
      <c r="S4509" s="4">
        <v>1.0538974304396695</v>
      </c>
      <c r="T4509" s="4">
        <v>-0.16969316500949708</v>
      </c>
      <c r="U4509" s="4">
        <f t="shared" si="414"/>
        <v>0.50796497042912492</v>
      </c>
      <c r="W4509" s="4">
        <f t="shared" si="415"/>
        <v>1.8204224820340331</v>
      </c>
      <c r="X4509" s="4">
        <f t="shared" si="416"/>
        <v>0.96137952600341692</v>
      </c>
      <c r="Y4509" s="3">
        <f t="shared" si="413"/>
        <v>-187.10442256950137</v>
      </c>
      <c r="AA4509" s="3"/>
    </row>
    <row r="4510" spans="19:27" x14ac:dyDescent="0.25">
      <c r="S4510" s="4">
        <v>-1.1385562142054768</v>
      </c>
      <c r="T4510" s="4">
        <v>1.6680072432531736</v>
      </c>
      <c r="U4510" s="4">
        <f t="shared" si="414"/>
        <v>0.62812675778169891</v>
      </c>
      <c r="W4510" s="4">
        <f t="shared" si="415"/>
        <v>-1.9077500974510422</v>
      </c>
      <c r="X4510" s="4">
        <f t="shared" si="416"/>
        <v>1.1732362650976078</v>
      </c>
      <c r="Y4510" s="3">
        <f t="shared" si="413"/>
        <v>432.54636842226228</v>
      </c>
      <c r="AA4510" s="3"/>
    </row>
    <row r="4511" spans="19:27" x14ac:dyDescent="0.25">
      <c r="S4511" s="4">
        <v>1.2148415815172477</v>
      </c>
      <c r="T4511" s="4">
        <v>-0.44528226437658636</v>
      </c>
      <c r="U4511" s="4">
        <f t="shared" si="414"/>
        <v>0.3876228363132061</v>
      </c>
      <c r="W4511" s="4">
        <f t="shared" si="415"/>
        <v>2.0941010486671017</v>
      </c>
      <c r="X4511" s="4">
        <f t="shared" si="416"/>
        <v>0.74920481829349361</v>
      </c>
      <c r="Y4511" s="3">
        <f t="shared" si="413"/>
        <v>-249.45488404647176</v>
      </c>
      <c r="AA4511" s="3"/>
    </row>
    <row r="4512" spans="19:27" x14ac:dyDescent="0.25">
      <c r="S4512" s="4">
        <v>0.44070608789656274</v>
      </c>
      <c r="T4512" s="4">
        <v>-0.46644911644084236</v>
      </c>
      <c r="U4512" s="4">
        <f t="shared" si="414"/>
        <v>-0.10108622769286735</v>
      </c>
      <c r="W4512" s="4">
        <f t="shared" si="415"/>
        <v>0.77771713005070364</v>
      </c>
      <c r="X4512" s="4">
        <f t="shared" si="416"/>
        <v>-0.11243606561170971</v>
      </c>
      <c r="Y4512" s="3">
        <f t="shared" si="413"/>
        <v>-134.31602180339905</v>
      </c>
      <c r="AA4512" s="3"/>
    </row>
    <row r="4513" spans="19:27" x14ac:dyDescent="0.25">
      <c r="S4513" s="4">
        <v>-1.0516019717739047</v>
      </c>
      <c r="T4513" s="4">
        <v>1.7281415845994863</v>
      </c>
      <c r="U4513" s="4">
        <f t="shared" si="414"/>
        <v>0.72880401652769766</v>
      </c>
      <c r="W4513" s="4">
        <f t="shared" si="415"/>
        <v>-1.7598881697450386</v>
      </c>
      <c r="X4513" s="4">
        <f t="shared" si="416"/>
        <v>1.3507399142093361</v>
      </c>
      <c r="Y4513" s="3">
        <f t="shared" si="413"/>
        <v>425.17933705661926</v>
      </c>
      <c r="AA4513" s="3"/>
    </row>
    <row r="4514" spans="19:27" x14ac:dyDescent="0.25">
      <c r="S4514" s="4">
        <v>6.5671973328730524E-2</v>
      </c>
      <c r="T4514" s="4">
        <v>-0.22498853067445962</v>
      </c>
      <c r="U4514" s="4">
        <f t="shared" si="414"/>
        <v>-0.13831151241400064</v>
      </c>
      <c r="W4514" s="4">
        <f t="shared" si="415"/>
        <v>0.13998784180864512</v>
      </c>
      <c r="X4514" s="4">
        <f t="shared" si="416"/>
        <v>-0.17806780767070604</v>
      </c>
      <c r="Y4514" s="3">
        <f t="shared" si="413"/>
        <v>-40.189260700190061</v>
      </c>
      <c r="AA4514" s="3"/>
    </row>
    <row r="4515" spans="19:27" x14ac:dyDescent="0.25">
      <c r="S4515" s="4">
        <v>1.4818019400982212</v>
      </c>
      <c r="T4515" s="4">
        <v>-1.4735587290334073</v>
      </c>
      <c r="U4515" s="4">
        <f t="shared" si="414"/>
        <v>-0.26473871951253536</v>
      </c>
      <c r="W4515" s="4">
        <f t="shared" si="415"/>
        <v>2.5480555900102897</v>
      </c>
      <c r="X4515" s="4">
        <f t="shared" si="416"/>
        <v>-0.40097108182134444</v>
      </c>
      <c r="Y4515" s="3">
        <f t="shared" si="413"/>
        <v>-431.87783020030884</v>
      </c>
      <c r="AA4515" s="3"/>
    </row>
    <row r="4516" spans="19:27" x14ac:dyDescent="0.25">
      <c r="S4516" s="4">
        <v>1.4605805239354477</v>
      </c>
      <c r="T4516" s="4">
        <v>-0.45299871528432778</v>
      </c>
      <c r="U4516" s="4">
        <f t="shared" si="414"/>
        <v>0.53131400945344232</v>
      </c>
      <c r="W4516" s="4">
        <f t="shared" si="415"/>
        <v>2.511969489841591</v>
      </c>
      <c r="X4516" s="4">
        <f t="shared" si="416"/>
        <v>1.0025461179596484</v>
      </c>
      <c r="Y4516" s="3">
        <f t="shared" si="413"/>
        <v>-286.20526133364183</v>
      </c>
      <c r="AA4516" s="3"/>
    </row>
    <row r="4517" spans="19:27" x14ac:dyDescent="0.25">
      <c r="S4517" s="4">
        <v>1.1416993821033516</v>
      </c>
      <c r="T4517" s="4">
        <v>0.25356386365958511</v>
      </c>
      <c r="U4517" s="4">
        <f t="shared" si="414"/>
        <v>0.89700346777369167</v>
      </c>
      <c r="W4517" s="4">
        <f t="shared" si="415"/>
        <v>1.9697259026182317</v>
      </c>
      <c r="X4517" s="4">
        <f t="shared" si="416"/>
        <v>1.6472916553535668</v>
      </c>
      <c r="Y4517" s="3">
        <f t="shared" si="413"/>
        <v>-140.99942917495173</v>
      </c>
      <c r="AA4517" s="3"/>
    </row>
    <row r="4518" spans="19:27" x14ac:dyDescent="0.25">
      <c r="S4518" s="4">
        <v>-0.43798550106359579</v>
      </c>
      <c r="T4518" s="4">
        <v>0.27067883896631284</v>
      </c>
      <c r="U4518" s="4">
        <f t="shared" si="414"/>
        <v>-5.2440778372099844E-2</v>
      </c>
      <c r="W4518" s="4">
        <f t="shared" si="415"/>
        <v>-0.71645990570397833</v>
      </c>
      <c r="X4518" s="4">
        <f t="shared" si="416"/>
        <v>-2.6669479645153968E-2</v>
      </c>
      <c r="Y4518" s="3">
        <f t="shared" si="413"/>
        <v>113.47826875952023</v>
      </c>
      <c r="AA4518" s="3"/>
    </row>
    <row r="4519" spans="19:27" x14ac:dyDescent="0.25">
      <c r="S4519" s="4">
        <v>-0.23466786831984812</v>
      </c>
      <c r="T4519" s="4">
        <v>0.10102727195127988</v>
      </c>
      <c r="U4519" s="4">
        <f t="shared" si="414"/>
        <v>-6.2975256231773732E-2</v>
      </c>
      <c r="W4519" s="4">
        <f t="shared" si="415"/>
        <v>-0.37072706652974735</v>
      </c>
      <c r="X4519" s="4">
        <f t="shared" si="416"/>
        <v>-4.5242773007227566E-2</v>
      </c>
      <c r="Y4519" s="3">
        <f t="shared" si="413"/>
        <v>55.240920412152263</v>
      </c>
      <c r="AA4519" s="3"/>
    </row>
    <row r="4520" spans="19:27" x14ac:dyDescent="0.25">
      <c r="S4520" s="4">
        <v>-1.2788514431150801</v>
      </c>
      <c r="T4520" s="4">
        <v>1.4659034409974423</v>
      </c>
      <c r="U4520" s="4">
        <f t="shared" si="414"/>
        <v>0.38239358494635911</v>
      </c>
      <c r="W4520" s="4">
        <f t="shared" si="415"/>
        <v>-2.1463160651880799</v>
      </c>
      <c r="X4520" s="4">
        <f t="shared" si="416"/>
        <v>0.73998514732410781</v>
      </c>
      <c r="Y4520" s="3">
        <f t="shared" si="413"/>
        <v>429.99214023468357</v>
      </c>
      <c r="AA4520" s="3"/>
    </row>
    <row r="4521" spans="19:27" x14ac:dyDescent="0.25">
      <c r="S4521" s="4">
        <v>0.69638410319948596</v>
      </c>
      <c r="T4521" s="4">
        <v>0.42205933185108596</v>
      </c>
      <c r="U4521" s="4">
        <f t="shared" si="414"/>
        <v>0.75909435080768239</v>
      </c>
      <c r="W4521" s="4">
        <f t="shared" si="415"/>
        <v>1.2124865347118468</v>
      </c>
      <c r="X4521" s="4">
        <f t="shared" si="416"/>
        <v>1.4041446744747723</v>
      </c>
      <c r="Y4521" s="3">
        <f t="shared" si="413"/>
        <v>-50.111619722297291</v>
      </c>
      <c r="AA4521" s="3"/>
    </row>
    <row r="4522" spans="19:27" x14ac:dyDescent="0.25">
      <c r="S4522" s="4">
        <v>1.9101827700172191</v>
      </c>
      <c r="T4522" s="4">
        <v>0.28854403559045094</v>
      </c>
      <c r="U4522" s="4">
        <f t="shared" si="414"/>
        <v>1.3932165904452596</v>
      </c>
      <c r="W4522" s="4">
        <f t="shared" si="415"/>
        <v>3.2764986599843229</v>
      </c>
      <c r="X4522" s="4">
        <f t="shared" si="416"/>
        <v>2.5221629133558072</v>
      </c>
      <c r="Y4522" s="3">
        <f t="shared" si="413"/>
        <v>-245.60178797146</v>
      </c>
      <c r="AA4522" s="3"/>
    </row>
    <row r="4523" spans="19:27" x14ac:dyDescent="0.25">
      <c r="S4523" s="4">
        <v>-0.26745663377646567</v>
      </c>
      <c r="T4523" s="4">
        <v>0.16924042599393538</v>
      </c>
      <c r="U4523" s="4">
        <f t="shared" si="414"/>
        <v>-2.8891996435929157E-2</v>
      </c>
      <c r="W4523" s="4">
        <f t="shared" si="415"/>
        <v>-0.42648294378128859</v>
      </c>
      <c r="X4523" s="4">
        <f t="shared" si="416"/>
        <v>1.4849278194215332E-2</v>
      </c>
      <c r="Y4523" s="3">
        <f t="shared" si="413"/>
        <v>70.300316017752721</v>
      </c>
      <c r="AA4523" s="3"/>
    </row>
    <row r="4524" spans="19:27" x14ac:dyDescent="0.25">
      <c r="S4524" s="4">
        <v>-1.4041131532598488</v>
      </c>
      <c r="T4524" s="4">
        <v>0.49498394373742982</v>
      </c>
      <c r="U4524" s="4">
        <f t="shared" si="414"/>
        <v>-0.46360888488977647</v>
      </c>
      <c r="W4524" s="4">
        <f t="shared" si="415"/>
        <v>-2.3593181845996938</v>
      </c>
      <c r="X4524" s="4">
        <f t="shared" si="416"/>
        <v>-0.75159822933807319</v>
      </c>
      <c r="Y4524" s="3">
        <f t="shared" si="413"/>
        <v>317.49273842939419</v>
      </c>
      <c r="AA4524" s="3"/>
    </row>
    <row r="4525" spans="19:27" x14ac:dyDescent="0.25">
      <c r="S4525" s="4">
        <v>0.4180429546613082</v>
      </c>
      <c r="T4525" s="4">
        <v>-0.44343434591617931</v>
      </c>
      <c r="U4525" s="4">
        <f t="shared" si="414"/>
        <v>-9.6658554456950374E-2</v>
      </c>
      <c r="W4525" s="4">
        <f t="shared" si="415"/>
        <v>0.73917945236741189</v>
      </c>
      <c r="X4525" s="4">
        <f t="shared" si="416"/>
        <v>-0.10462965365493965</v>
      </c>
      <c r="Y4525" s="3">
        <f t="shared" si="413"/>
        <v>-127.50988925748152</v>
      </c>
      <c r="AA4525" s="3"/>
    </row>
    <row r="4526" spans="19:27" x14ac:dyDescent="0.25">
      <c r="S4526" s="4">
        <v>1.0558270192276751</v>
      </c>
      <c r="T4526" s="4">
        <v>-1.0850463820627534</v>
      </c>
      <c r="U4526" s="4">
        <f t="shared" si="414"/>
        <v>-0.21645189886193694</v>
      </c>
      <c r="W4526" s="4">
        <f t="shared" si="415"/>
        <v>1.8237036642960591</v>
      </c>
      <c r="X4526" s="4">
        <f t="shared" si="416"/>
        <v>-0.31583679254645469</v>
      </c>
      <c r="Y4526" s="3">
        <f t="shared" si="413"/>
        <v>-315.32142448217201</v>
      </c>
      <c r="AA4526" s="3"/>
    </row>
    <row r="4527" spans="19:27" x14ac:dyDescent="0.25">
      <c r="S4527" s="4">
        <v>-9.7771725626329548E-2</v>
      </c>
      <c r="T4527" s="4">
        <v>0.7439883504234388</v>
      </c>
      <c r="U4527" s="4">
        <f t="shared" si="414"/>
        <v>0.53014980215460261</v>
      </c>
      <c r="W4527" s="4">
        <f t="shared" si="415"/>
        <v>-0.13794109786227435</v>
      </c>
      <c r="X4527" s="4">
        <f t="shared" si="416"/>
        <v>1.0004935089947191</v>
      </c>
      <c r="Y4527" s="3">
        <f t="shared" si="413"/>
        <v>122.20369533127496</v>
      </c>
      <c r="AA4527" s="3"/>
    </row>
    <row r="4528" spans="19:27" x14ac:dyDescent="0.25">
      <c r="S4528" s="4">
        <v>0.29178973429020444</v>
      </c>
      <c r="T4528" s="4">
        <v>-0.73526922379463711</v>
      </c>
      <c r="U4528" s="4">
        <f t="shared" si="414"/>
        <v>-0.40496051308100117</v>
      </c>
      <c r="W4528" s="4">
        <f t="shared" si="415"/>
        <v>0.52449131270760241</v>
      </c>
      <c r="X4528" s="4">
        <f t="shared" si="416"/>
        <v>-0.64819553303717925</v>
      </c>
      <c r="Y4528" s="3">
        <f t="shared" si="413"/>
        <v>-148.16032314006952</v>
      </c>
      <c r="AA4528" s="3"/>
    </row>
    <row r="4529" spans="19:27" x14ac:dyDescent="0.25">
      <c r="S4529" s="4">
        <v>0.26987442491878183</v>
      </c>
      <c r="T4529" s="4">
        <v>-4.0158512832437814E-2</v>
      </c>
      <c r="U4529" s="4">
        <f t="shared" si="414"/>
        <v>0.13268813821427783</v>
      </c>
      <c r="W4529" s="4">
        <f t="shared" si="415"/>
        <v>0.48722527715468467</v>
      </c>
      <c r="X4529" s="4">
        <f t="shared" si="416"/>
        <v>0.2997305302427673</v>
      </c>
      <c r="Y4529" s="3">
        <f t="shared" si="413"/>
        <v>-47.492888931329162</v>
      </c>
      <c r="AA4529" s="3"/>
    </row>
    <row r="4530" spans="19:27" x14ac:dyDescent="0.25">
      <c r="S4530" s="4">
        <v>1.2524169204628282</v>
      </c>
      <c r="T4530" s="4">
        <v>0.56790267255624849</v>
      </c>
      <c r="U4530" s="4">
        <f t="shared" si="414"/>
        <v>1.2136732145265001</v>
      </c>
      <c r="W4530" s="4">
        <f t="shared" si="415"/>
        <v>2.1579962870745</v>
      </c>
      <c r="X4530" s="4">
        <f t="shared" si="416"/>
        <v>2.2056107465966459</v>
      </c>
      <c r="Y4530" s="3">
        <f t="shared" si="413"/>
        <v>-113.36369636049176</v>
      </c>
      <c r="AA4530" s="3"/>
    </row>
    <row r="4531" spans="19:27" x14ac:dyDescent="0.25">
      <c r="S4531" s="4">
        <v>0.67734728406532685</v>
      </c>
      <c r="T4531" s="4">
        <v>0.82950064718377647</v>
      </c>
      <c r="U4531" s="4">
        <f t="shared" si="414"/>
        <v>1.0704645599673186</v>
      </c>
      <c r="W4531" s="4">
        <f t="shared" si="415"/>
        <v>1.1801152472869416</v>
      </c>
      <c r="X4531" s="4">
        <f t="shared" si="416"/>
        <v>1.9531201734000856</v>
      </c>
      <c r="Y4531" s="3">
        <f t="shared" si="413"/>
        <v>9.7751939462500559</v>
      </c>
      <c r="AA4531" s="3"/>
    </row>
    <row r="4532" spans="19:27" x14ac:dyDescent="0.25">
      <c r="S4532" s="4">
        <v>-8.0351354829045957E-2</v>
      </c>
      <c r="T4532" s="4">
        <v>0.33878893790377712</v>
      </c>
      <c r="U4532" s="4">
        <f t="shared" si="414"/>
        <v>0.21957130848997555</v>
      </c>
      <c r="W4532" s="4">
        <f t="shared" si="415"/>
        <v>-0.10831851090837459</v>
      </c>
      <c r="X4532" s="4">
        <f t="shared" si="416"/>
        <v>0.45291388031034063</v>
      </c>
      <c r="Y4532" s="3">
        <f t="shared" si="413"/>
        <v>62.679822682038775</v>
      </c>
      <c r="AA4532" s="3"/>
    </row>
    <row r="4533" spans="19:27" x14ac:dyDescent="0.25">
      <c r="S4533" s="4">
        <v>0.86303231832847405</v>
      </c>
      <c r="T4533" s="4">
        <v>0.20288543878699977</v>
      </c>
      <c r="U4533" s="4">
        <f t="shared" si="414"/>
        <v>0.68694942518897228</v>
      </c>
      <c r="W4533" s="4">
        <f t="shared" si="415"/>
        <v>1.4958646155125384</v>
      </c>
      <c r="X4533" s="4">
        <f t="shared" si="416"/>
        <v>1.2769462612310845</v>
      </c>
      <c r="Y4533" s="3">
        <f t="shared" si="413"/>
        <v>-106.28116210003145</v>
      </c>
      <c r="AA4533" s="3"/>
    </row>
    <row r="4534" spans="19:27" x14ac:dyDescent="0.25">
      <c r="S4534" s="4">
        <v>-0.20176617052382453</v>
      </c>
      <c r="T4534" s="4">
        <v>-2.2585801704000978</v>
      </c>
      <c r="U4534" s="4">
        <f t="shared" si="414"/>
        <v>-1.913359634540216</v>
      </c>
      <c r="W4534" s="4">
        <f t="shared" si="415"/>
        <v>-0.31477915272038015</v>
      </c>
      <c r="X4534" s="4">
        <f t="shared" si="416"/>
        <v>-3.3076476447741494</v>
      </c>
      <c r="Y4534" s="3">
        <f t="shared" si="413"/>
        <v>-280.06467375639477</v>
      </c>
      <c r="AA4534" s="3"/>
    </row>
    <row r="4535" spans="19:27" x14ac:dyDescent="0.25">
      <c r="S4535" s="4">
        <v>1.5301780165359338</v>
      </c>
      <c r="T4535" s="4">
        <v>-0.91981449314867281</v>
      </c>
      <c r="U4535" s="4">
        <f t="shared" si="414"/>
        <v>0.20370105236352376</v>
      </c>
      <c r="W4535" s="4">
        <f t="shared" si="415"/>
        <v>2.6303170152945379</v>
      </c>
      <c r="X4535" s="4">
        <f t="shared" si="416"/>
        <v>0.42493309885213559</v>
      </c>
      <c r="Y4535" s="3">
        <f t="shared" si="413"/>
        <v>-361.39269484806118</v>
      </c>
      <c r="AA4535" s="3"/>
    </row>
    <row r="4536" spans="19:27" x14ac:dyDescent="0.25">
      <c r="S4536" s="4">
        <v>-1.0505185879397008</v>
      </c>
      <c r="T4536" s="4">
        <v>-0.77497714408884033</v>
      </c>
      <c r="U4536" s="4">
        <f t="shared" si="414"/>
        <v>-1.254737767204495</v>
      </c>
      <c r="W4536" s="4">
        <f t="shared" si="415"/>
        <v>-1.7580459224010176</v>
      </c>
      <c r="X4536" s="4">
        <f t="shared" si="416"/>
        <v>-2.1464342159121186</v>
      </c>
      <c r="Y4536" s="3">
        <f t="shared" si="413"/>
        <v>75.149713541843539</v>
      </c>
      <c r="AA4536" s="3"/>
    </row>
    <row r="4537" spans="19:27" x14ac:dyDescent="0.25">
      <c r="S4537" s="4">
        <v>-1.0498607393156441</v>
      </c>
      <c r="T4537" s="4">
        <v>1.4266414748402292</v>
      </c>
      <c r="U4537" s="4">
        <f t="shared" si="414"/>
        <v>0.49086877996875766</v>
      </c>
      <c r="W4537" s="4">
        <f t="shared" si="415"/>
        <v>-1.7569272792736472</v>
      </c>
      <c r="X4537" s="4">
        <f t="shared" si="416"/>
        <v>0.93123730490579582</v>
      </c>
      <c r="Y4537" s="3">
        <f t="shared" si="413"/>
        <v>382.72729502962648</v>
      </c>
      <c r="AA4537" s="3"/>
    </row>
    <row r="4538" spans="19:27" x14ac:dyDescent="0.25">
      <c r="S4538" s="4">
        <v>-1.0589476112445124</v>
      </c>
      <c r="T4538" s="4">
        <v>1.4675094951620651</v>
      </c>
      <c r="U4538" s="4">
        <f t="shared" si="414"/>
        <v>0.51772497363495329</v>
      </c>
      <c r="W4538" s="4">
        <f t="shared" si="415"/>
        <v>-1.7723791119001853</v>
      </c>
      <c r="X4538" s="4">
        <f t="shared" si="416"/>
        <v>0.9785873463786966</v>
      </c>
      <c r="Y4538" s="3">
        <f t="shared" si="413"/>
        <v>390.08142873939232</v>
      </c>
      <c r="AA4538" s="3"/>
    </row>
    <row r="4539" spans="19:27" x14ac:dyDescent="0.25">
      <c r="S4539" s="4">
        <v>-1.261840890150888</v>
      </c>
      <c r="T4539" s="4">
        <v>-0.7726149711435597</v>
      </c>
      <c r="U4539" s="4">
        <f t="shared" si="414"/>
        <v>-1.3816920819835401</v>
      </c>
      <c r="W4539" s="4">
        <f t="shared" si="415"/>
        <v>-2.1173903557310645</v>
      </c>
      <c r="X4539" s="4">
        <f t="shared" si="416"/>
        <v>-2.3702668313850257</v>
      </c>
      <c r="Y4539" s="3">
        <f t="shared" si="413"/>
        <v>114.00736505243094</v>
      </c>
      <c r="AA4539" s="3"/>
    </row>
    <row r="4540" spans="19:27" x14ac:dyDescent="0.25">
      <c r="S4540" s="4">
        <v>6.6067071034202507E-2</v>
      </c>
      <c r="T4540" s="4">
        <v>-0.3862131560776112</v>
      </c>
      <c r="U4540" s="4">
        <f t="shared" si="414"/>
        <v>-0.26587212585101044</v>
      </c>
      <c r="W4540" s="4">
        <f t="shared" si="415"/>
        <v>0.14065968836528989</v>
      </c>
      <c r="X4540" s="4">
        <f t="shared" si="416"/>
        <v>-0.40296938574331809</v>
      </c>
      <c r="Y4540" s="3">
        <f t="shared" si="413"/>
        <v>-62.786595261905859</v>
      </c>
      <c r="AA4540" s="3"/>
    </row>
    <row r="4541" spans="19:27" x14ac:dyDescent="0.25">
      <c r="S4541" s="4">
        <v>0.31922399279812907</v>
      </c>
      <c r="T4541" s="4">
        <v>-0.33351736883978333</v>
      </c>
      <c r="U4541" s="4">
        <f t="shared" si="414"/>
        <v>-6.9770487968473294E-2</v>
      </c>
      <c r="W4541" s="4">
        <f t="shared" si="415"/>
        <v>0.57114208252321874</v>
      </c>
      <c r="X4541" s="4">
        <f t="shared" si="416"/>
        <v>-5.7223417343870639E-2</v>
      </c>
      <c r="Y4541" s="3">
        <f t="shared" si="413"/>
        <v>-96.407369064761497</v>
      </c>
      <c r="AA4541" s="3"/>
    </row>
    <row r="4542" spans="19:27" x14ac:dyDescent="0.25">
      <c r="S4542" s="4">
        <v>1.5701747702857429</v>
      </c>
      <c r="T4542" s="4">
        <v>-0.17954639660766478</v>
      </c>
      <c r="U4542" s="4">
        <f t="shared" si="414"/>
        <v>0.81488857785487556</v>
      </c>
      <c r="W4542" s="4">
        <f t="shared" si="415"/>
        <v>2.6983297648286744</v>
      </c>
      <c r="X4542" s="4">
        <f t="shared" si="416"/>
        <v>1.5025152402172439</v>
      </c>
      <c r="Y4542" s="3">
        <f t="shared" si="413"/>
        <v>-263.61775428107921</v>
      </c>
      <c r="AA4542" s="3"/>
    </row>
    <row r="4543" spans="19:27" x14ac:dyDescent="0.25">
      <c r="S4543" s="4">
        <v>-2.5596269394241631</v>
      </c>
      <c r="T4543" s="4">
        <v>0.45022098284541995</v>
      </c>
      <c r="U4543" s="4">
        <f t="shared" si="414"/>
        <v>-1.2035191124327169</v>
      </c>
      <c r="W4543" s="4">
        <f t="shared" si="415"/>
        <v>-4.3242193916635401</v>
      </c>
      <c r="X4543" s="4">
        <f t="shared" si="416"/>
        <v>-2.056130822297463</v>
      </c>
      <c r="Y4543" s="3">
        <f t="shared" si="413"/>
        <v>536.76633004012911</v>
      </c>
      <c r="AA4543" s="3"/>
    </row>
    <row r="4544" spans="19:27" x14ac:dyDescent="0.25">
      <c r="S4544" s="4">
        <v>0.65979967932064898</v>
      </c>
      <c r="T4544" s="4">
        <v>1.1887213567469752</v>
      </c>
      <c r="U4544" s="4">
        <f t="shared" si="414"/>
        <v>1.3445185381039999</v>
      </c>
      <c r="W4544" s="4">
        <f t="shared" si="415"/>
        <v>1.1502763045095044</v>
      </c>
      <c r="X4544" s="4">
        <f t="shared" si="416"/>
        <v>2.4363035832262896</v>
      </c>
      <c r="Y4544" s="3">
        <f t="shared" si="413"/>
        <v>62.697202144987386</v>
      </c>
      <c r="AA4544" s="3"/>
    </row>
    <row r="4545" spans="19:27" x14ac:dyDescent="0.25">
      <c r="S4545" s="4">
        <v>-0.59192888109532227</v>
      </c>
      <c r="T4545" s="4">
        <v>-0.77730145079159951</v>
      </c>
      <c r="U4545" s="4">
        <f t="shared" si="414"/>
        <v>-0.97701370929878961</v>
      </c>
      <c r="W4545" s="4">
        <f t="shared" si="415"/>
        <v>-0.97823396401955298</v>
      </c>
      <c r="X4545" s="4">
        <f t="shared" si="416"/>
        <v>-1.6567801039666155</v>
      </c>
      <c r="Y4545" s="3">
        <f t="shared" si="413"/>
        <v>-6.4285652844923789</v>
      </c>
      <c r="AA4545" s="3"/>
    </row>
    <row r="4546" spans="19:27" x14ac:dyDescent="0.25">
      <c r="S4546" s="4">
        <v>0.36628210519669702</v>
      </c>
      <c r="T4546" s="4">
        <v>0.69197045605491669</v>
      </c>
      <c r="U4546" s="4">
        <f t="shared" si="414"/>
        <v>0.77181320161729161</v>
      </c>
      <c r="W4546" s="4">
        <f t="shared" si="415"/>
        <v>0.65116236697263663</v>
      </c>
      <c r="X4546" s="4">
        <f t="shared" si="416"/>
        <v>1.4265692265467469</v>
      </c>
      <c r="Y4546" s="3">
        <f t="shared" ref="Y4546:Y4609" si="417">(B$4*EXP(-B$8*B$7)*NORMSDIST((LN(B$4/(B$5+W4546))-B$8*B$7+B$9*B$7+0.5*B$6*B$6*B$7)/(B$6*SQRT(B$7)))-(B$5+W4546)*EXP(-B$9*B$7)*NORMSDIST((LN(B$4/(B$5+W4546))-B$8*B$7+B$9*B$7-0.5*B$6*B$6*B$7)/(B$6*SQRT(B$7))))*400+100*X4546-400*$B$13</f>
        <v>39.400209124506091</v>
      </c>
      <c r="AA4546" s="3"/>
    </row>
    <row r="4547" spans="19:27" x14ac:dyDescent="0.25">
      <c r="S4547" s="4">
        <v>1.4859955986778335</v>
      </c>
      <c r="T4547" s="4">
        <v>-0.38714812607835924</v>
      </c>
      <c r="U4547" s="4">
        <f t="shared" ref="U4547:U4610" si="418">$B$19*S4547+SQRT(1-$B$19^2)*T4547</f>
        <v>0.59900684257986803</v>
      </c>
      <c r="W4547" s="4">
        <f t="shared" ref="W4547:W4610" si="419">S4547*SQRT($B$16)+$B$20</f>
        <v>2.5551867250116702</v>
      </c>
      <c r="X4547" s="4">
        <f t="shared" ref="X4547:X4610" si="420">U4547*SQRT($C$17)+$C$20</f>
        <v>1.1218950657589388</v>
      </c>
      <c r="Y4547" s="3">
        <f t="shared" si="417"/>
        <v>-280.64193013794011</v>
      </c>
      <c r="AA4547" s="3"/>
    </row>
    <row r="4548" spans="19:27" x14ac:dyDescent="0.25">
      <c r="S4548" s="4">
        <v>1.6610295792519303</v>
      </c>
      <c r="T4548" s="4">
        <v>0.70061673611582775</v>
      </c>
      <c r="U4548" s="4">
        <f t="shared" si="418"/>
        <v>1.5679739872147349</v>
      </c>
      <c r="W4548" s="4">
        <f t="shared" si="419"/>
        <v>2.8528244371923939</v>
      </c>
      <c r="X4548" s="4">
        <f t="shared" si="420"/>
        <v>2.8302769405176846</v>
      </c>
      <c r="Y4548" s="3">
        <f t="shared" si="417"/>
        <v>-153.43444728789518</v>
      </c>
      <c r="AA4548" s="3"/>
    </row>
    <row r="4549" spans="19:27" x14ac:dyDescent="0.25">
      <c r="S4549" s="4">
        <v>1.9936248038655369</v>
      </c>
      <c r="T4549" s="4">
        <v>-0.28478601447124596</v>
      </c>
      <c r="U4549" s="4">
        <f t="shared" si="418"/>
        <v>0.98961056112337531</v>
      </c>
      <c r="W4549" s="4">
        <f t="shared" si="419"/>
        <v>3.418388228928944</v>
      </c>
      <c r="X4549" s="4">
        <f t="shared" si="420"/>
        <v>1.8105668299853217</v>
      </c>
      <c r="Y4549" s="3">
        <f t="shared" si="417"/>
        <v>-337.11368463679992</v>
      </c>
      <c r="AA4549" s="3"/>
    </row>
    <row r="4550" spans="19:27" x14ac:dyDescent="0.25">
      <c r="S4550" s="4">
        <v>-0.23564207111008692</v>
      </c>
      <c r="T4550" s="4">
        <v>0.99621065215699389</v>
      </c>
      <c r="U4550" s="4">
        <f t="shared" si="418"/>
        <v>0.64603556898759529</v>
      </c>
      <c r="W4550" s="4">
        <f t="shared" si="419"/>
        <v>-0.3723836562315625</v>
      </c>
      <c r="X4550" s="4">
        <f t="shared" si="420"/>
        <v>1.2048112143949432</v>
      </c>
      <c r="Y4550" s="3">
        <f t="shared" si="417"/>
        <v>180.51498055318461</v>
      </c>
      <c r="AA4550" s="3"/>
    </row>
    <row r="4551" spans="19:27" x14ac:dyDescent="0.25">
      <c r="S4551" s="4">
        <v>-1.56788506883124</v>
      </c>
      <c r="T4551" s="4">
        <v>-0.47877031024836547</v>
      </c>
      <c r="U4551" s="4">
        <f t="shared" si="418"/>
        <v>-1.3353351242201952</v>
      </c>
      <c r="W4551" s="4">
        <f t="shared" si="419"/>
        <v>-2.6378052424283793</v>
      </c>
      <c r="X4551" s="4">
        <f t="shared" si="420"/>
        <v>-2.2885350752048943</v>
      </c>
      <c r="Y4551" s="3">
        <f t="shared" si="417"/>
        <v>212.09517311694981</v>
      </c>
      <c r="AA4551" s="3"/>
    </row>
    <row r="4552" spans="19:27" x14ac:dyDescent="0.25">
      <c r="S4552" s="4">
        <v>-0.33243831079561326</v>
      </c>
      <c r="T4552" s="4">
        <v>-0.11141597438930308</v>
      </c>
      <c r="U4552" s="4">
        <f t="shared" si="418"/>
        <v>-0.2909803652565891</v>
      </c>
      <c r="W4552" s="4">
        <f t="shared" si="419"/>
        <v>-0.53698147451348677</v>
      </c>
      <c r="X4552" s="4">
        <f t="shared" si="420"/>
        <v>-0.4472376164517573</v>
      </c>
      <c r="Y4552" s="3">
        <f t="shared" si="417"/>
        <v>42.075379949128092</v>
      </c>
      <c r="AA4552" s="3"/>
    </row>
    <row r="4553" spans="19:27" x14ac:dyDescent="0.25">
      <c r="S4553" s="4">
        <v>-1.5164954900505396</v>
      </c>
      <c r="T4553" s="4">
        <v>1.6786634945557368</v>
      </c>
      <c r="U4553" s="4">
        <f t="shared" si="418"/>
        <v>0.40617366806026589</v>
      </c>
      <c r="W4553" s="4">
        <f t="shared" si="419"/>
        <v>-2.5504194867708159</v>
      </c>
      <c r="X4553" s="4">
        <f t="shared" si="420"/>
        <v>0.78191171129172676</v>
      </c>
      <c r="Y4553" s="3">
        <f t="shared" si="417"/>
        <v>503.94029379760468</v>
      </c>
      <c r="AA4553" s="3"/>
    </row>
    <row r="4554" spans="19:27" x14ac:dyDescent="0.25">
      <c r="S4554" s="4">
        <v>2.4870854245181588</v>
      </c>
      <c r="T4554" s="4">
        <v>-0.2696706426059885</v>
      </c>
      <c r="U4554" s="4">
        <f t="shared" si="418"/>
        <v>1.302417000135037</v>
      </c>
      <c r="W4554" s="4">
        <f t="shared" si="419"/>
        <v>4.2574966677623465</v>
      </c>
      <c r="X4554" s="4">
        <f t="shared" si="420"/>
        <v>2.3620745396886509</v>
      </c>
      <c r="Y4554" s="3">
        <f t="shared" si="417"/>
        <v>-400.33075474054522</v>
      </c>
      <c r="AA4554" s="3"/>
    </row>
    <row r="4555" spans="19:27" x14ac:dyDescent="0.25">
      <c r="S4555" s="4">
        <v>-0.21797105158471541</v>
      </c>
      <c r="T4555" s="4">
        <v>0.99984039843627959</v>
      </c>
      <c r="U4555" s="4">
        <f t="shared" si="418"/>
        <v>0.65968548766982127</v>
      </c>
      <c r="W4555" s="4">
        <f t="shared" si="419"/>
        <v>-0.34233485195834906</v>
      </c>
      <c r="X4555" s="4">
        <f t="shared" si="420"/>
        <v>1.2288773282954644</v>
      </c>
      <c r="Y4555" s="3">
        <f t="shared" si="417"/>
        <v>178.05057381460847</v>
      </c>
      <c r="AA4555" s="3"/>
    </row>
    <row r="4556" spans="19:27" x14ac:dyDescent="0.25">
      <c r="S4556" s="4">
        <v>0.86253068181203385</v>
      </c>
      <c r="T4556" s="4">
        <v>-1.5706294546208346</v>
      </c>
      <c r="U4556" s="4">
        <f t="shared" si="418"/>
        <v>-0.71920748509904364</v>
      </c>
      <c r="W4556" s="4">
        <f t="shared" si="419"/>
        <v>1.4950116043165989</v>
      </c>
      <c r="X4556" s="4">
        <f t="shared" si="420"/>
        <v>-1.2022430403917694</v>
      </c>
      <c r="Y4556" s="3">
        <f t="shared" si="417"/>
        <v>-354.06991039903232</v>
      </c>
      <c r="AA4556" s="3"/>
    </row>
    <row r="4557" spans="19:27" x14ac:dyDescent="0.25">
      <c r="S4557" s="4">
        <v>-0.42141896215786401</v>
      </c>
      <c r="T4557" s="4">
        <v>1.52561076697538</v>
      </c>
      <c r="U4557" s="4">
        <f t="shared" si="418"/>
        <v>0.95243307702046609</v>
      </c>
      <c r="W4557" s="4">
        <f t="shared" si="419"/>
        <v>-0.68828922294579475</v>
      </c>
      <c r="X4557" s="4">
        <f t="shared" si="420"/>
        <v>1.7450193649941583</v>
      </c>
      <c r="Y4557" s="3">
        <f t="shared" si="417"/>
        <v>286.02989965812048</v>
      </c>
      <c r="AA4557" s="3"/>
    </row>
    <row r="4558" spans="19:27" x14ac:dyDescent="0.25">
      <c r="S4558" s="4">
        <v>3.8322932991679839E-2</v>
      </c>
      <c r="T4558" s="4">
        <v>-1.1554614321076531</v>
      </c>
      <c r="U4558" s="4">
        <f t="shared" si="418"/>
        <v>-0.89256254041703553</v>
      </c>
      <c r="W4558" s="4">
        <f t="shared" si="419"/>
        <v>9.348198180615172E-2</v>
      </c>
      <c r="X4558" s="4">
        <f t="shared" si="420"/>
        <v>-1.507884605271306</v>
      </c>
      <c r="Y4558" s="3">
        <f t="shared" si="417"/>
        <v>-165.74640242164423</v>
      </c>
      <c r="AA4558" s="3"/>
    </row>
    <row r="4559" spans="19:27" x14ac:dyDescent="0.25">
      <c r="S4559" s="4">
        <v>1.5446752385404861</v>
      </c>
      <c r="T4559" s="4">
        <v>0.92132853017944949</v>
      </c>
      <c r="U4559" s="4">
        <f t="shared" si="418"/>
        <v>1.6719982626761738</v>
      </c>
      <c r="W4559" s="4">
        <f t="shared" si="419"/>
        <v>2.6549689141787338</v>
      </c>
      <c r="X4559" s="4">
        <f t="shared" si="420"/>
        <v>3.013681700645233</v>
      </c>
      <c r="Y4559" s="3">
        <f t="shared" si="417"/>
        <v>-106.13900832932768</v>
      </c>
      <c r="AA4559" s="3"/>
    </row>
    <row r="4560" spans="19:27" x14ac:dyDescent="0.25">
      <c r="S4560" s="4">
        <v>-1.9086211218766531</v>
      </c>
      <c r="T4560" s="4">
        <v>-0.1835762639921707</v>
      </c>
      <c r="U4560" s="4">
        <f t="shared" si="418"/>
        <v>-1.3090574601036604</v>
      </c>
      <c r="W4560" s="4">
        <f t="shared" si="419"/>
        <v>-3.2172121607495585</v>
      </c>
      <c r="X4560" s="4">
        <f t="shared" si="420"/>
        <v>-2.2422050367342887</v>
      </c>
      <c r="Y4560" s="3">
        <f t="shared" si="417"/>
        <v>318.54948345810681</v>
      </c>
      <c r="AA4560" s="3"/>
    </row>
    <row r="4561" spans="19:27" x14ac:dyDescent="0.25">
      <c r="S4561" s="4">
        <v>0.8159527951509048</v>
      </c>
      <c r="T4561" s="4">
        <v>-0.44731982149670391</v>
      </c>
      <c r="U4561" s="4">
        <f t="shared" si="418"/>
        <v>0.14283617692898815</v>
      </c>
      <c r="W4561" s="4">
        <f t="shared" si="419"/>
        <v>1.4158079229596365</v>
      </c>
      <c r="X4561" s="4">
        <f t="shared" si="420"/>
        <v>0.31762249438268053</v>
      </c>
      <c r="Y4561" s="3">
        <f t="shared" si="417"/>
        <v>-189.97974098569375</v>
      </c>
      <c r="AA4561" s="3"/>
    </row>
    <row r="4562" spans="19:27" x14ac:dyDescent="0.25">
      <c r="S4562" s="4">
        <v>-0.22925984196381941</v>
      </c>
      <c r="T4562" s="4">
        <v>-0.6326950198848329</v>
      </c>
      <c r="U4562" s="4">
        <f t="shared" si="418"/>
        <v>-0.64129420755870969</v>
      </c>
      <c r="W4562" s="4">
        <f t="shared" si="419"/>
        <v>-0.36153095165684107</v>
      </c>
      <c r="X4562" s="4">
        <f t="shared" si="420"/>
        <v>-1.0648744702705275</v>
      </c>
      <c r="Y4562" s="3">
        <f t="shared" si="417"/>
        <v>-48.213391693616813</v>
      </c>
      <c r="AA4562" s="3"/>
    </row>
    <row r="4563" spans="19:27" x14ac:dyDescent="0.25">
      <c r="S4563" s="4">
        <v>4.2019802565573978E-2</v>
      </c>
      <c r="T4563" s="4">
        <v>-1.1440084055281579</v>
      </c>
      <c r="U4563" s="4">
        <f t="shared" si="418"/>
        <v>-0.88123012347850793</v>
      </c>
      <c r="W4563" s="4">
        <f t="shared" si="419"/>
        <v>9.9768348593877135E-2</v>
      </c>
      <c r="X4563" s="4">
        <f t="shared" si="420"/>
        <v>-1.487904468893942</v>
      </c>
      <c r="Y4563" s="3">
        <f t="shared" si="417"/>
        <v>-164.75264315924824</v>
      </c>
      <c r="AA4563" s="3"/>
    </row>
    <row r="4564" spans="19:27" x14ac:dyDescent="0.25">
      <c r="S4564" s="4">
        <v>-9.9331594175186173E-3</v>
      </c>
      <c r="T4564" s="4">
        <v>-0.66320353564877543</v>
      </c>
      <c r="U4564" s="4">
        <f t="shared" si="418"/>
        <v>-0.5317716252495156</v>
      </c>
      <c r="W4564" s="4">
        <f t="shared" si="419"/>
        <v>1.142458417200929E-2</v>
      </c>
      <c r="X4564" s="4">
        <f t="shared" si="420"/>
        <v>-0.87177566859309097</v>
      </c>
      <c r="Y4564" s="3">
        <f t="shared" si="417"/>
        <v>-89.008023441419027</v>
      </c>
      <c r="AA4564" s="3"/>
    </row>
    <row r="4565" spans="19:27" x14ac:dyDescent="0.25">
      <c r="S4565" s="4">
        <v>-1.0514989851122172</v>
      </c>
      <c r="T4565" s="4">
        <v>0.72018524205357692</v>
      </c>
      <c r="U4565" s="4">
        <f t="shared" si="418"/>
        <v>-7.0132148681347317E-2</v>
      </c>
      <c r="W4565" s="4">
        <f t="shared" si="419"/>
        <v>-1.7597130453819334</v>
      </c>
      <c r="X4565" s="4">
        <f t="shared" si="420"/>
        <v>-5.7861059817206642E-2</v>
      </c>
      <c r="Y4565" s="3">
        <f t="shared" si="417"/>
        <v>284.28956009197009</v>
      </c>
      <c r="AA4565" s="3"/>
    </row>
    <row r="4566" spans="19:27" x14ac:dyDescent="0.25">
      <c r="S4566" s="4">
        <v>0.81641585344201906</v>
      </c>
      <c r="T4566" s="4">
        <v>-5.0316355006605487E-2</v>
      </c>
      <c r="U4566" s="4">
        <f t="shared" si="418"/>
        <v>0.45781994697305145</v>
      </c>
      <c r="W4566" s="4">
        <f t="shared" si="419"/>
        <v>1.4165953335522627</v>
      </c>
      <c r="X4566" s="4">
        <f t="shared" si="420"/>
        <v>0.87296904722088842</v>
      </c>
      <c r="Y4566" s="3">
        <f t="shared" si="417"/>
        <v>-134.56557065179049</v>
      </c>
      <c r="AA4566" s="3"/>
    </row>
    <row r="4567" spans="19:27" x14ac:dyDescent="0.25">
      <c r="S4567" s="4">
        <v>0.21257364749037158</v>
      </c>
      <c r="T4567" s="4">
        <v>2.3361510897973923</v>
      </c>
      <c r="U4567" s="4">
        <f t="shared" si="418"/>
        <v>1.9814379623419156</v>
      </c>
      <c r="W4567" s="4">
        <f t="shared" si="419"/>
        <v>0.38978778390891416</v>
      </c>
      <c r="X4567" s="4">
        <f t="shared" si="420"/>
        <v>3.5592535264463541</v>
      </c>
      <c r="Y4567" s="3">
        <f t="shared" si="417"/>
        <v>293.85367770118501</v>
      </c>
      <c r="AA4567" s="3"/>
    </row>
    <row r="4568" spans="19:27" x14ac:dyDescent="0.25">
      <c r="S4568" s="4">
        <v>2.4853545704745592</v>
      </c>
      <c r="T4568" s="4">
        <v>-1.3370910081759508</v>
      </c>
      <c r="U4568" s="4">
        <f t="shared" si="418"/>
        <v>0.45522622825044889</v>
      </c>
      <c r="W4568" s="4">
        <f t="shared" si="419"/>
        <v>4.2545534253361268</v>
      </c>
      <c r="X4568" s="4">
        <f t="shared" si="420"/>
        <v>0.86839607271039942</v>
      </c>
      <c r="Y4568" s="3">
        <f t="shared" si="417"/>
        <v>-549.28933262317196</v>
      </c>
      <c r="AA4568" s="3"/>
    </row>
    <row r="4569" spans="19:27" x14ac:dyDescent="0.25">
      <c r="S4569" s="4">
        <v>1.9259250472558114</v>
      </c>
      <c r="T4569" s="4">
        <v>1.5258379883762938</v>
      </c>
      <c r="U4569" s="4">
        <f t="shared" si="418"/>
        <v>2.383606475345025</v>
      </c>
      <c r="W4569" s="4">
        <f t="shared" si="419"/>
        <v>3.3032677214342265</v>
      </c>
      <c r="X4569" s="4">
        <f t="shared" si="420"/>
        <v>4.268315130874738</v>
      </c>
      <c r="Y4569" s="3">
        <f t="shared" si="417"/>
        <v>-74.833757766801227</v>
      </c>
      <c r="AA4569" s="3"/>
    </row>
    <row r="4570" spans="19:27" x14ac:dyDescent="0.25">
      <c r="S4570" s="4">
        <v>-0.20099371410278341</v>
      </c>
      <c r="T4570" s="4">
        <v>-1.284569595126752</v>
      </c>
      <c r="U4570" s="4">
        <f t="shared" si="418"/>
        <v>-1.140798318488929</v>
      </c>
      <c r="W4570" s="4">
        <f t="shared" si="419"/>
        <v>-0.31346562399205041</v>
      </c>
      <c r="X4570" s="4">
        <f t="shared" si="420"/>
        <v>-1.9455480557533786</v>
      </c>
      <c r="Y4570" s="3">
        <f t="shared" si="417"/>
        <v>-144.06734727325147</v>
      </c>
      <c r="AA4570" s="3"/>
    </row>
    <row r="4571" spans="19:27" x14ac:dyDescent="0.25">
      <c r="S4571" s="4">
        <v>0.58600129123816425</v>
      </c>
      <c r="T4571" s="4">
        <v>2.6924892471760862E-2</v>
      </c>
      <c r="U4571" s="4">
        <f t="shared" si="418"/>
        <v>0.37858260928674503</v>
      </c>
      <c r="W4571" s="4">
        <f t="shared" si="419"/>
        <v>1.0247853380157301</v>
      </c>
      <c r="X4571" s="4">
        <f t="shared" si="420"/>
        <v>0.73326603225598563</v>
      </c>
      <c r="Y4571" s="3">
        <f t="shared" si="417"/>
        <v>-88.195871401324439</v>
      </c>
      <c r="AA4571" s="3"/>
    </row>
    <row r="4572" spans="19:27" x14ac:dyDescent="0.25">
      <c r="S4572" s="4">
        <v>1.8307222562056913</v>
      </c>
      <c r="T4572" s="4">
        <v>1.2240456437000353</v>
      </c>
      <c r="U4572" s="4">
        <f t="shared" si="418"/>
        <v>2.0863403467681927</v>
      </c>
      <c r="W4572" s="4">
        <f t="shared" si="419"/>
        <v>3.1413794936259021</v>
      </c>
      <c r="X4572" s="4">
        <f t="shared" si="420"/>
        <v>3.7442064767761178</v>
      </c>
      <c r="Y4572" s="3">
        <f t="shared" si="417"/>
        <v>-103.92503910191044</v>
      </c>
      <c r="AA4572" s="3"/>
    </row>
    <row r="4573" spans="19:27" x14ac:dyDescent="0.25">
      <c r="S4573" s="4">
        <v>-0.93215667680901226</v>
      </c>
      <c r="T4573" s="4">
        <v>0.72286542283906885</v>
      </c>
      <c r="U4573" s="4">
        <f t="shared" si="418"/>
        <v>4.7461431263247089E-3</v>
      </c>
      <c r="W4573" s="4">
        <f t="shared" si="419"/>
        <v>-1.5567766127348133</v>
      </c>
      <c r="X4573" s="4">
        <f t="shared" si="420"/>
        <v>7.4156539794312873E-2</v>
      </c>
      <c r="Y4573" s="3">
        <f t="shared" si="417"/>
        <v>263.20764339739162</v>
      </c>
      <c r="AA4573" s="3"/>
    </row>
    <row r="4574" spans="19:27" x14ac:dyDescent="0.25">
      <c r="S4574" s="4">
        <v>1.4932381803273063</v>
      </c>
      <c r="T4574" s="4">
        <v>-0.92941083476175745</v>
      </c>
      <c r="U4574" s="4">
        <f t="shared" si="418"/>
        <v>0.17357476060683019</v>
      </c>
      <c r="W4574" s="4">
        <f t="shared" si="419"/>
        <v>2.5675024218001496</v>
      </c>
      <c r="X4574" s="4">
        <f t="shared" si="420"/>
        <v>0.37181756126574683</v>
      </c>
      <c r="Y4574" s="3">
        <f t="shared" si="417"/>
        <v>-357.46370633066226</v>
      </c>
      <c r="AA4574" s="3"/>
    </row>
    <row r="4575" spans="19:27" x14ac:dyDescent="0.25">
      <c r="S4575" s="4">
        <v>0.93839903880541442</v>
      </c>
      <c r="T4575" s="4">
        <v>0.36063040657615614</v>
      </c>
      <c r="U4575" s="4">
        <f t="shared" si="418"/>
        <v>0.85793783655728917</v>
      </c>
      <c r="W4575" s="4">
        <f t="shared" si="419"/>
        <v>1.6240224633986782</v>
      </c>
      <c r="X4575" s="4">
        <f t="shared" si="420"/>
        <v>1.5784152061719381</v>
      </c>
      <c r="Y4575" s="3">
        <f t="shared" si="417"/>
        <v>-95.651376496041848</v>
      </c>
      <c r="AA4575" s="3"/>
    </row>
    <row r="4576" spans="19:27" x14ac:dyDescent="0.25">
      <c r="S4576" s="4">
        <v>-0.50257239733021097</v>
      </c>
      <c r="T4576" s="4">
        <v>-0.74991256178694821</v>
      </c>
      <c r="U4576" s="4">
        <f t="shared" si="418"/>
        <v>-0.90082904936521613</v>
      </c>
      <c r="W4576" s="4">
        <f t="shared" si="419"/>
        <v>-0.82628712884429445</v>
      </c>
      <c r="X4576" s="4">
        <f t="shared" si="420"/>
        <v>-1.5224592522371991</v>
      </c>
      <c r="Y4576" s="3">
        <f t="shared" si="417"/>
        <v>-18.060068348454479</v>
      </c>
      <c r="AA4576" s="3"/>
    </row>
    <row r="4577" spans="19:27" x14ac:dyDescent="0.25">
      <c r="S4577" s="4">
        <v>0.6604475623450915</v>
      </c>
      <c r="T4577" s="4">
        <v>-0.20685228898200736</v>
      </c>
      <c r="U4577" s="4">
        <f t="shared" si="418"/>
        <v>0.23865341123917064</v>
      </c>
      <c r="W4577" s="4">
        <f t="shared" si="419"/>
        <v>1.1513780015658321</v>
      </c>
      <c r="X4577" s="4">
        <f t="shared" si="420"/>
        <v>0.48655745496559211</v>
      </c>
      <c r="Y4577" s="3">
        <f t="shared" si="417"/>
        <v>-132.44746501276404</v>
      </c>
      <c r="AA4577" s="3"/>
    </row>
    <row r="4578" spans="19:27" x14ac:dyDescent="0.25">
      <c r="S4578" s="4">
        <v>0.98760313693984914</v>
      </c>
      <c r="T4578" s="4">
        <v>0.53326735952546933</v>
      </c>
      <c r="U4578" s="4">
        <f t="shared" si="418"/>
        <v>1.0247816873916509</v>
      </c>
      <c r="W4578" s="4">
        <f t="shared" si="419"/>
        <v>1.7076919037588563</v>
      </c>
      <c r="X4578" s="4">
        <f t="shared" si="420"/>
        <v>1.8725768939635128</v>
      </c>
      <c r="Y4578" s="3">
        <f t="shared" si="417"/>
        <v>-78.932620123377546</v>
      </c>
      <c r="AA4578" s="3"/>
    </row>
    <row r="4579" spans="19:27" x14ac:dyDescent="0.25">
      <c r="S4579" s="4">
        <v>0.31729321689725742</v>
      </c>
      <c r="T4579" s="4">
        <v>0.78310577748967003</v>
      </c>
      <c r="U4579" s="4">
        <f t="shared" si="418"/>
        <v>0.81419072422190575</v>
      </c>
      <c r="W4579" s="4">
        <f t="shared" si="419"/>
        <v>0.56785888162711706</v>
      </c>
      <c r="X4579" s="4">
        <f t="shared" si="420"/>
        <v>1.5012848574283109</v>
      </c>
      <c r="Y4579" s="3">
        <f t="shared" si="417"/>
        <v>59.959969879220807</v>
      </c>
      <c r="AA4579" s="3"/>
    </row>
    <row r="4580" spans="19:27" x14ac:dyDescent="0.25">
      <c r="S4580" s="4">
        <v>0.45952622199423526</v>
      </c>
      <c r="T4580" s="4">
        <v>-0.46716027433034285</v>
      </c>
      <c r="U4580" s="4">
        <f t="shared" si="418"/>
        <v>-9.0176783218070045E-2</v>
      </c>
      <c r="W4580" s="4">
        <f t="shared" si="419"/>
        <v>0.80971995394462959</v>
      </c>
      <c r="X4580" s="4">
        <f t="shared" si="420"/>
        <v>-9.3201670196317393E-2</v>
      </c>
      <c r="Y4580" s="3">
        <f t="shared" si="417"/>
        <v>-137.39056678643601</v>
      </c>
      <c r="AA4580" s="3"/>
    </row>
    <row r="4581" spans="19:27" x14ac:dyDescent="0.25">
      <c r="S4581" s="4">
        <v>1.4021161024976219</v>
      </c>
      <c r="T4581" s="4">
        <v>0.14385490474971818</v>
      </c>
      <c r="U4581" s="4">
        <f t="shared" si="418"/>
        <v>0.96879389477163547</v>
      </c>
      <c r="W4581" s="4">
        <f t="shared" si="419"/>
        <v>2.4125532702958226</v>
      </c>
      <c r="X4581" s="4">
        <f t="shared" si="420"/>
        <v>1.7738650535782243</v>
      </c>
      <c r="Y4581" s="3">
        <f t="shared" si="417"/>
        <v>-194.38123910092827</v>
      </c>
      <c r="AA4581" s="3"/>
    </row>
    <row r="4582" spans="19:27" x14ac:dyDescent="0.25">
      <c r="S4582" s="4">
        <v>-0.35356160780290624</v>
      </c>
      <c r="T4582" s="4">
        <v>0.17127544286179056</v>
      </c>
      <c r="U4582" s="4">
        <f t="shared" si="418"/>
        <v>-7.9770368134431002E-2</v>
      </c>
      <c r="W4582" s="4">
        <f t="shared" si="419"/>
        <v>-0.57290072730282215</v>
      </c>
      <c r="X4582" s="4">
        <f t="shared" si="420"/>
        <v>-7.4854163773068916E-2</v>
      </c>
      <c r="Y4582" s="3">
        <f t="shared" si="417"/>
        <v>85.173331254523418</v>
      </c>
      <c r="AA4582" s="3"/>
    </row>
    <row r="4583" spans="19:27" x14ac:dyDescent="0.25">
      <c r="S4583" s="4">
        <v>1.3681156704605764</v>
      </c>
      <c r="T4583" s="4">
        <v>1.8891774327652756E-2</v>
      </c>
      <c r="U4583" s="4">
        <f t="shared" si="418"/>
        <v>0.84900919664190722</v>
      </c>
      <c r="W4583" s="4">
        <f t="shared" si="419"/>
        <v>2.3547370064396831</v>
      </c>
      <c r="X4583" s="4">
        <f t="shared" si="420"/>
        <v>1.5626731588980505</v>
      </c>
      <c r="Y4583" s="3">
        <f t="shared" si="417"/>
        <v>-206.93358598183659</v>
      </c>
      <c r="AA4583" s="3"/>
    </row>
    <row r="4584" spans="19:27" x14ac:dyDescent="0.25">
      <c r="S4584" s="4">
        <v>-7.455406325810264E-2</v>
      </c>
      <c r="T4584" s="4">
        <v>-0.29681634200672369</v>
      </c>
      <c r="U4584" s="4">
        <f t="shared" si="418"/>
        <v>-0.28073376580107229</v>
      </c>
      <c r="W4584" s="4">
        <f t="shared" si="419"/>
        <v>-9.8460467376708979E-2</v>
      </c>
      <c r="X4584" s="4">
        <f t="shared" si="420"/>
        <v>-0.42917188028656039</v>
      </c>
      <c r="Y4584" s="3">
        <f t="shared" si="417"/>
        <v>-27.113783182429415</v>
      </c>
      <c r="AA4584" s="3"/>
    </row>
    <row r="4585" spans="19:27" x14ac:dyDescent="0.25">
      <c r="S4585" s="4">
        <v>3.7623584419124993E-2</v>
      </c>
      <c r="T4585" s="4">
        <v>0.80504444409076215</v>
      </c>
      <c r="U4585" s="4">
        <f t="shared" si="418"/>
        <v>0.66108848223631778</v>
      </c>
      <c r="W4585" s="4">
        <f t="shared" si="419"/>
        <v>9.2292769811604392E-2</v>
      </c>
      <c r="X4585" s="4">
        <f t="shared" si="420"/>
        <v>1.2313509420821227</v>
      </c>
      <c r="Y4585" s="3">
        <f t="shared" si="417"/>
        <v>108.36715325532441</v>
      </c>
      <c r="AA4585" s="3"/>
    </row>
    <row r="4586" spans="19:27" x14ac:dyDescent="0.25">
      <c r="S4586" s="4">
        <v>-0.87676388213036027</v>
      </c>
      <c r="T4586" s="4">
        <v>-0.44751136377473993</v>
      </c>
      <c r="U4586" s="4">
        <f t="shared" si="418"/>
        <v>-0.88923351122277094</v>
      </c>
      <c r="W4586" s="4">
        <f t="shared" si="419"/>
        <v>-1.4625835616176839</v>
      </c>
      <c r="X4586" s="4">
        <f t="shared" si="420"/>
        <v>-1.502015207977998</v>
      </c>
      <c r="Y4586" s="3">
        <f t="shared" si="417"/>
        <v>89.751852351971593</v>
      </c>
      <c r="AA4586" s="3"/>
    </row>
    <row r="4587" spans="19:27" x14ac:dyDescent="0.25">
      <c r="S4587" s="4">
        <v>-0.62395986516538249</v>
      </c>
      <c r="T4587" s="4">
        <v>0.74298695636573464</v>
      </c>
      <c r="U4587" s="4">
        <f t="shared" si="418"/>
        <v>0.20857997498171571</v>
      </c>
      <c r="W4587" s="4">
        <f t="shared" si="419"/>
        <v>-1.0327012668040778</v>
      </c>
      <c r="X4587" s="4">
        <f t="shared" si="420"/>
        <v>0.43353510668637485</v>
      </c>
      <c r="Y4587" s="3">
        <f t="shared" si="417"/>
        <v>211.61682836068121</v>
      </c>
      <c r="AA4587" s="3"/>
    </row>
    <row r="4588" spans="19:27" x14ac:dyDescent="0.25">
      <c r="S4588" s="4">
        <v>0.68175083242670664</v>
      </c>
      <c r="T4588" s="4">
        <v>0.10501101370923319</v>
      </c>
      <c r="U4588" s="4">
        <f t="shared" si="418"/>
        <v>0.49885191103989263</v>
      </c>
      <c r="W4588" s="4">
        <f t="shared" si="419"/>
        <v>1.1876032907826068</v>
      </c>
      <c r="X4588" s="4">
        <f t="shared" si="420"/>
        <v>0.94531232953512889</v>
      </c>
      <c r="Y4588" s="3">
        <f t="shared" si="417"/>
        <v>-92.160166266718534</v>
      </c>
      <c r="AA4588" s="3"/>
    </row>
    <row r="4589" spans="19:27" x14ac:dyDescent="0.25">
      <c r="S4589" s="4">
        <v>1.6559626408500772</v>
      </c>
      <c r="T4589" s="4">
        <v>-1.6203178235315328</v>
      </c>
      <c r="U4589" s="4">
        <f t="shared" si="418"/>
        <v>-0.27490123340170292</v>
      </c>
      <c r="W4589" s="4">
        <f t="shared" si="419"/>
        <v>2.8442083276304579</v>
      </c>
      <c r="X4589" s="4">
        <f t="shared" si="420"/>
        <v>-0.4188885670801249</v>
      </c>
      <c r="Y4589" s="3">
        <f t="shared" si="417"/>
        <v>-477.09409486055529</v>
      </c>
      <c r="AA4589" s="3"/>
    </row>
    <row r="4590" spans="19:27" x14ac:dyDescent="0.25">
      <c r="S4590" s="4">
        <v>-2.1137581912444956</v>
      </c>
      <c r="T4590" s="4">
        <v>-7.8285613904770998E-2</v>
      </c>
      <c r="U4590" s="4">
        <f t="shared" si="418"/>
        <v>-1.3506505365852159</v>
      </c>
      <c r="W4590" s="4">
        <f t="shared" si="419"/>
        <v>-3.5660388731961516</v>
      </c>
      <c r="X4590" s="4">
        <f t="shared" si="420"/>
        <v>-2.3155376139738606</v>
      </c>
      <c r="Y4590" s="3">
        <f t="shared" si="417"/>
        <v>373.39351694497145</v>
      </c>
      <c r="AA4590" s="3"/>
    </row>
    <row r="4591" spans="19:27" x14ac:dyDescent="0.25">
      <c r="S4591" s="4">
        <v>-1.7952771007347019</v>
      </c>
      <c r="T4591" s="4">
        <v>-0.76666445942173289</v>
      </c>
      <c r="U4591" s="4">
        <f t="shared" si="418"/>
        <v>-1.7021697747553555</v>
      </c>
      <c r="W4591" s="4">
        <f t="shared" si="419"/>
        <v>-3.0244755559405694</v>
      </c>
      <c r="X4591" s="4">
        <f t="shared" si="420"/>
        <v>-2.9352996961496856</v>
      </c>
      <c r="Y4591" s="3">
        <f t="shared" si="417"/>
        <v>215.16839840943703</v>
      </c>
      <c r="AA4591" s="3"/>
    </row>
    <row r="4592" spans="19:27" x14ac:dyDescent="0.25">
      <c r="S4592" s="4">
        <v>9.8712600366054712E-2</v>
      </c>
      <c r="T4592" s="4">
        <v>0.19963356665473458</v>
      </c>
      <c r="U4592" s="4">
        <f t="shared" si="418"/>
        <v>0.21842533864387792</v>
      </c>
      <c r="W4592" s="4">
        <f t="shared" si="419"/>
        <v>0.19617199878291144</v>
      </c>
      <c r="X4592" s="4">
        <f t="shared" si="420"/>
        <v>0.45089342572121116</v>
      </c>
      <c r="Y4592" s="3">
        <f t="shared" si="417"/>
        <v>13.752091309490879</v>
      </c>
      <c r="AA4592" s="3"/>
    </row>
    <row r="4593" spans="19:27" x14ac:dyDescent="0.25">
      <c r="S4593" s="4">
        <v>1.0360467059850373</v>
      </c>
      <c r="T4593" s="4">
        <v>1.0229126801574882</v>
      </c>
      <c r="U4593" s="4">
        <f t="shared" si="418"/>
        <v>1.4424519057235898</v>
      </c>
      <c r="W4593" s="4">
        <f t="shared" si="419"/>
        <v>1.7900680973024576</v>
      </c>
      <c r="X4593" s="4">
        <f t="shared" si="420"/>
        <v>2.6089694894974857</v>
      </c>
      <c r="Y4593" s="3">
        <f t="shared" si="417"/>
        <v>-17.760174095802086</v>
      </c>
      <c r="AA4593" s="3"/>
    </row>
    <row r="4594" spans="19:27" x14ac:dyDescent="0.25">
      <c r="S4594" s="4">
        <v>-0.78563075693986806</v>
      </c>
      <c r="T4594" s="4">
        <v>0.39553760954737255</v>
      </c>
      <c r="U4594" s="4">
        <f t="shared" si="418"/>
        <v>-0.16539853202995591</v>
      </c>
      <c r="W4594" s="4">
        <f t="shared" si="419"/>
        <v>-1.3076156245542006</v>
      </c>
      <c r="X4594" s="4">
        <f t="shared" si="420"/>
        <v>-0.22582481739942109</v>
      </c>
      <c r="Y4594" s="3">
        <f t="shared" si="417"/>
        <v>191.41504124716903</v>
      </c>
      <c r="AA4594" s="3"/>
    </row>
    <row r="4595" spans="19:27" x14ac:dyDescent="0.25">
      <c r="S4595" s="4">
        <v>0.93434891074437032</v>
      </c>
      <c r="T4595" s="4">
        <v>-0.16939882667123396</v>
      </c>
      <c r="U4595" s="4">
        <f t="shared" si="418"/>
        <v>0.43531884512545793</v>
      </c>
      <c r="W4595" s="4">
        <f t="shared" si="419"/>
        <v>1.6171353958351442</v>
      </c>
      <c r="X4595" s="4">
        <f t="shared" si="420"/>
        <v>0.83329744971485054</v>
      </c>
      <c r="Y4595" s="3">
        <f t="shared" si="417"/>
        <v>-169.11642494605667</v>
      </c>
      <c r="AA4595" s="3"/>
    </row>
    <row r="4596" spans="19:27" x14ac:dyDescent="0.25">
      <c r="S4596" s="4">
        <v>-0.32067835540264433</v>
      </c>
      <c r="T4596" s="4">
        <v>-0.4673098408081709</v>
      </c>
      <c r="U4596" s="4">
        <f t="shared" si="418"/>
        <v>-0.56592546156247936</v>
      </c>
      <c r="W4596" s="4">
        <f t="shared" si="419"/>
        <v>-0.51698417909101935</v>
      </c>
      <c r="X4596" s="4">
        <f t="shared" si="420"/>
        <v>-0.93199215295338522</v>
      </c>
      <c r="Y4596" s="3">
        <f t="shared" si="417"/>
        <v>-9.6593710442716656</v>
      </c>
      <c r="AA4596" s="3"/>
    </row>
    <row r="4597" spans="19:27" x14ac:dyDescent="0.25">
      <c r="S4597" s="4">
        <v>0.26994749935095058</v>
      </c>
      <c r="T4597" s="4">
        <v>2.2251249876849406</v>
      </c>
      <c r="U4597" s="4">
        <f t="shared" si="418"/>
        <v>1.9284048375145557</v>
      </c>
      <c r="W4597" s="4">
        <f t="shared" si="419"/>
        <v>0.48734953706546469</v>
      </c>
      <c r="X4597" s="4">
        <f t="shared" si="420"/>
        <v>3.4657510483504423</v>
      </c>
      <c r="Y4597" s="3">
        <f t="shared" si="417"/>
        <v>269.08956201328238</v>
      </c>
      <c r="AA4597" s="3"/>
    </row>
    <row r="4598" spans="19:27" x14ac:dyDescent="0.25">
      <c r="S4598" s="4">
        <v>-7.7849519834583256E-2</v>
      </c>
      <c r="T4598" s="4">
        <v>-0.6266992598657336</v>
      </c>
      <c r="U4598" s="4">
        <f t="shared" si="418"/>
        <v>-0.54423830582922916</v>
      </c>
      <c r="W4598" s="4">
        <f t="shared" si="419"/>
        <v>-0.10406424872703592</v>
      </c>
      <c r="X4598" s="4">
        <f t="shared" si="420"/>
        <v>-0.89375562039921252</v>
      </c>
      <c r="Y4598" s="3">
        <f t="shared" si="417"/>
        <v>-72.671212517860113</v>
      </c>
      <c r="AA4598" s="3"/>
    </row>
    <row r="4599" spans="19:27" x14ac:dyDescent="0.25">
      <c r="S4599" s="4">
        <v>1.5932686682239228</v>
      </c>
      <c r="T4599" s="4">
        <v>0.14519122679002078</v>
      </c>
      <c r="U4599" s="4">
        <f t="shared" si="418"/>
        <v>1.0863840556224547</v>
      </c>
      <c r="W4599" s="4">
        <f t="shared" si="419"/>
        <v>2.7375999392548636</v>
      </c>
      <c r="X4599" s="4">
        <f t="shared" si="420"/>
        <v>1.9811877688630706</v>
      </c>
      <c r="Y4599" s="3">
        <f t="shared" si="417"/>
        <v>-221.50440016020502</v>
      </c>
      <c r="AA4599" s="3"/>
    </row>
    <row r="4600" spans="19:27" x14ac:dyDescent="0.25">
      <c r="S4600" s="4">
        <v>-2.5579050119088813</v>
      </c>
      <c r="T4600" s="4">
        <v>-0.64822293200096914</v>
      </c>
      <c r="U4600" s="4">
        <f t="shared" si="418"/>
        <v>-2.073197111551663</v>
      </c>
      <c r="W4600" s="4">
        <f t="shared" si="419"/>
        <v>-4.3212913284125731</v>
      </c>
      <c r="X4600" s="4">
        <f t="shared" si="420"/>
        <v>-3.5894564245098355</v>
      </c>
      <c r="Y4600" s="3">
        <f t="shared" si="417"/>
        <v>382.89695462615146</v>
      </c>
      <c r="AA4600" s="3"/>
    </row>
    <row r="4601" spans="19:27" x14ac:dyDescent="0.25">
      <c r="S4601" s="4">
        <v>-0.27486721760049759</v>
      </c>
      <c r="T4601" s="4">
        <v>-0.16393768861974276</v>
      </c>
      <c r="U4601" s="4">
        <f t="shared" si="418"/>
        <v>-0.29751728601856997</v>
      </c>
      <c r="W4601" s="4">
        <f t="shared" si="419"/>
        <v>-0.43908432100000883</v>
      </c>
      <c r="X4601" s="4">
        <f t="shared" si="420"/>
        <v>-0.45876283380132021</v>
      </c>
      <c r="Y4601" s="3">
        <f t="shared" si="417"/>
        <v>24.9867788511051</v>
      </c>
      <c r="AA4601" s="3"/>
    </row>
    <row r="4602" spans="19:27" x14ac:dyDescent="0.25">
      <c r="S4602" s="4">
        <v>-0.21066918310107483</v>
      </c>
      <c r="T4602" s="4">
        <v>-0.93632051432040642</v>
      </c>
      <c r="U4602" s="4">
        <f t="shared" si="418"/>
        <v>-0.87064243330964075</v>
      </c>
      <c r="W4602" s="4">
        <f t="shared" si="419"/>
        <v>-0.32991834047305324</v>
      </c>
      <c r="X4602" s="4">
        <f t="shared" si="420"/>
        <v>-1.4692373571345749</v>
      </c>
      <c r="Y4602" s="3">
        <f t="shared" si="417"/>
        <v>-93.772284552878318</v>
      </c>
      <c r="AA4602" s="3"/>
    </row>
    <row r="4603" spans="19:27" x14ac:dyDescent="0.25">
      <c r="S4603" s="4">
        <v>0.93735130693858737</v>
      </c>
      <c r="T4603" s="4">
        <v>1.9408627424430591</v>
      </c>
      <c r="U4603" s="4">
        <f t="shared" si="418"/>
        <v>2.1099366765466279</v>
      </c>
      <c r="W4603" s="4">
        <f t="shared" si="419"/>
        <v>1.6222408406829152</v>
      </c>
      <c r="X4603" s="4">
        <f t="shared" si="420"/>
        <v>3.7858090660150951</v>
      </c>
      <c r="Y4603" s="3">
        <f t="shared" si="417"/>
        <v>125.35876557068286</v>
      </c>
      <c r="AA4603" s="3"/>
    </row>
    <row r="4604" spans="19:27" x14ac:dyDescent="0.25">
      <c r="S4604" s="4">
        <v>-0.46344559466508767</v>
      </c>
      <c r="T4604" s="4">
        <v>-0.4760352372955205</v>
      </c>
      <c r="U4604" s="4">
        <f t="shared" si="418"/>
        <v>-0.65987610817615572</v>
      </c>
      <c r="W4604" s="4">
        <f t="shared" si="419"/>
        <v>-0.75975369349649902</v>
      </c>
      <c r="X4604" s="4">
        <f t="shared" si="420"/>
        <v>-1.0976361406627424</v>
      </c>
      <c r="Y4604" s="3">
        <f t="shared" si="417"/>
        <v>13.485667144026138</v>
      </c>
      <c r="AA4604" s="3"/>
    </row>
    <row r="4605" spans="19:27" x14ac:dyDescent="0.25">
      <c r="S4605" s="4">
        <v>-1.0385858121854021</v>
      </c>
      <c r="T4605" s="4">
        <v>0.46000729493076886</v>
      </c>
      <c r="U4605" s="4">
        <f t="shared" si="418"/>
        <v>-0.26850097253671779</v>
      </c>
      <c r="W4605" s="4">
        <f t="shared" si="419"/>
        <v>-1.7377547534301356</v>
      </c>
      <c r="X4605" s="4">
        <f t="shared" si="420"/>
        <v>-0.40760429421699429</v>
      </c>
      <c r="Y4605" s="3">
        <f t="shared" si="417"/>
        <v>245.59510090786716</v>
      </c>
      <c r="AA4605" s="3"/>
    </row>
    <row r="4606" spans="19:27" x14ac:dyDescent="0.25">
      <c r="S4606" s="4">
        <v>-1.499057136036267</v>
      </c>
      <c r="T4606" s="4">
        <v>-0.75500282565803345</v>
      </c>
      <c r="U4606" s="4">
        <f t="shared" si="418"/>
        <v>-1.5123433910465396</v>
      </c>
      <c r="W4606" s="4">
        <f t="shared" si="419"/>
        <v>-2.5207663201343613</v>
      </c>
      <c r="X4606" s="4">
        <f t="shared" si="420"/>
        <v>-2.6006176018446787</v>
      </c>
      <c r="Y4606" s="3">
        <f t="shared" si="417"/>
        <v>160.53892508372701</v>
      </c>
      <c r="AA4606" s="3"/>
    </row>
    <row r="4607" spans="19:27" x14ac:dyDescent="0.25">
      <c r="S4607" s="4">
        <v>-5.3436870732732858E-2</v>
      </c>
      <c r="T4607" s="4">
        <v>-1.8634743335402756E-2</v>
      </c>
      <c r="U4607" s="4">
        <f t="shared" si="418"/>
        <v>-4.7347920991253428E-2</v>
      </c>
      <c r="W4607" s="4">
        <f t="shared" si="419"/>
        <v>-6.2551594994810472E-2</v>
      </c>
      <c r="X4607" s="4">
        <f t="shared" si="420"/>
        <v>-1.7690284335649523E-2</v>
      </c>
      <c r="Y4607" s="3">
        <f t="shared" si="417"/>
        <v>8.2650078938377192</v>
      </c>
      <c r="AA4607" s="3"/>
    </row>
    <row r="4608" spans="19:27" x14ac:dyDescent="0.25">
      <c r="S4608" s="4">
        <v>-0.37652408462164233</v>
      </c>
      <c r="T4608" s="4">
        <v>1.4294533526198625</v>
      </c>
      <c r="U4608" s="4">
        <f t="shared" si="418"/>
        <v>0.90357878113296353</v>
      </c>
      <c r="W4608" s="4">
        <f t="shared" si="419"/>
        <v>-0.61194742580053629</v>
      </c>
      <c r="X4608" s="4">
        <f t="shared" si="420"/>
        <v>1.658884562529044</v>
      </c>
      <c r="Y4608" s="3">
        <f t="shared" si="417"/>
        <v>264.92463655507163</v>
      </c>
      <c r="AA4608" s="3"/>
    </row>
    <row r="4609" spans="19:27" x14ac:dyDescent="0.25">
      <c r="S4609" s="4">
        <v>-0.22643195398528596</v>
      </c>
      <c r="T4609" s="4">
        <v>0.37048141998088513</v>
      </c>
      <c r="U4609" s="4">
        <f t="shared" si="418"/>
        <v>0.15563969351836227</v>
      </c>
      <c r="W4609" s="4">
        <f t="shared" si="419"/>
        <v>-0.35672225048079853</v>
      </c>
      <c r="X4609" s="4">
        <f t="shared" si="420"/>
        <v>0.34019632033289071</v>
      </c>
      <c r="Y4609" s="3">
        <f t="shared" si="417"/>
        <v>91.514135605293632</v>
      </c>
      <c r="AA4609" s="3"/>
    </row>
    <row r="4610" spans="19:27" x14ac:dyDescent="0.25">
      <c r="S4610" s="4">
        <v>-2.7217822182931492E-2</v>
      </c>
      <c r="T4610" s="4">
        <v>-1.9960983520430882</v>
      </c>
      <c r="U4610" s="4">
        <f t="shared" si="418"/>
        <v>-1.5988838243660912</v>
      </c>
      <c r="W4610" s="4">
        <f t="shared" si="419"/>
        <v>-1.7967237144280727E-2</v>
      </c>
      <c r="X4610" s="4">
        <f t="shared" si="420"/>
        <v>-2.7531966738343709</v>
      </c>
      <c r="Y4610" s="3">
        <f t="shared" ref="Y4610:Y4673" si="421">(B$4*EXP(-B$8*B$7)*NORMSDIST((LN(B$4/(B$5+W4610))-B$8*B$7+B$9*B$7+0.5*B$6*B$6*B$7)/(B$6*SQRT(B$7)))-(B$5+W4610)*EXP(-B$9*B$7)*NORMSDIST((LN(B$4/(B$5+W4610))-B$8*B$7+B$9*B$7-0.5*B$6*B$6*B$7)/(B$6*SQRT(B$7))))*400+100*X4610-400*$B$13</f>
        <v>-272.43957603315357</v>
      </c>
      <c r="AA4610" s="3"/>
    </row>
    <row r="4611" spans="19:27" x14ac:dyDescent="0.25">
      <c r="S4611" s="4">
        <v>-0.49479404082289807</v>
      </c>
      <c r="T4611" s="4">
        <v>1.4221618300655865</v>
      </c>
      <c r="U4611" s="4">
        <f t="shared" ref="U4611:U4674" si="422">$B$19*S4611+SQRT(1-$B$19^2)*T4611</f>
        <v>0.82569884527608362</v>
      </c>
      <c r="W4611" s="4">
        <f t="shared" ref="W4611:W4674" si="423">S4611*SQRT($B$16)+$B$20</f>
        <v>-0.81306037008711352</v>
      </c>
      <c r="X4611" s="4">
        <f t="shared" ref="X4611:X4674" si="424">U4611*SQRT($C$17)+$C$20</f>
        <v>1.5215747769888917</v>
      </c>
      <c r="Y4611" s="3">
        <f t="shared" si="421"/>
        <v>284.16731157207869</v>
      </c>
      <c r="AA4611" s="3"/>
    </row>
    <row r="4612" spans="19:27" x14ac:dyDescent="0.25">
      <c r="S4612" s="4">
        <v>-1.9198052690612122</v>
      </c>
      <c r="T4612" s="4">
        <v>-8.1029430505039531E-3</v>
      </c>
      <c r="U4612" s="4">
        <f t="shared" si="422"/>
        <v>-1.1767792647191069</v>
      </c>
      <c r="W4612" s="4">
        <f t="shared" si="423"/>
        <v>-3.2362303192224808</v>
      </c>
      <c r="X4612" s="4">
        <f t="shared" si="424"/>
        <v>-2.0089859098815168</v>
      </c>
      <c r="Y4612" s="3">
        <f t="shared" si="421"/>
        <v>345.24429763736953</v>
      </c>
      <c r="AA4612" s="3"/>
    </row>
    <row r="4613" spans="19:27" x14ac:dyDescent="0.25">
      <c r="S4613" s="4">
        <v>0.74775850533593136</v>
      </c>
      <c r="T4613" s="4">
        <v>0.20136352847213554</v>
      </c>
      <c r="U4613" s="4">
        <f t="shared" si="422"/>
        <v>0.61546953065619014</v>
      </c>
      <c r="W4613" s="4">
        <f t="shared" si="423"/>
        <v>1.2998464831423804</v>
      </c>
      <c r="X4613" s="4">
        <f t="shared" si="424"/>
        <v>1.1509203614824526</v>
      </c>
      <c r="Y4613" s="3">
        <f t="shared" si="421"/>
        <v>-88.872025258281155</v>
      </c>
      <c r="AA4613" s="3"/>
    </row>
    <row r="4614" spans="19:27" x14ac:dyDescent="0.25">
      <c r="S4614" s="4">
        <v>1.7336084194306649E-2</v>
      </c>
      <c r="T4614" s="4">
        <v>-1.2568303130153793</v>
      </c>
      <c r="U4614" s="4">
        <f t="shared" si="422"/>
        <v>-0.98571089456381122</v>
      </c>
      <c r="W4614" s="4">
        <f t="shared" si="423"/>
        <v>5.7794753295179108E-2</v>
      </c>
      <c r="X4614" s="4">
        <f t="shared" si="424"/>
        <v>-1.6721140745253187</v>
      </c>
      <c r="Y4614" s="3">
        <f t="shared" si="421"/>
        <v>-176.46440590242173</v>
      </c>
      <c r="AA4614" s="3"/>
    </row>
    <row r="4615" spans="19:27" x14ac:dyDescent="0.25">
      <c r="S4615" s="4">
        <v>1.8389987637954026</v>
      </c>
      <c r="T4615" s="4">
        <v>0.18507274033143492</v>
      </c>
      <c r="U4615" s="4">
        <f t="shared" si="422"/>
        <v>1.267800362064164</v>
      </c>
      <c r="W4615" s="4">
        <f t="shared" si="423"/>
        <v>3.1554533367492104</v>
      </c>
      <c r="X4615" s="4">
        <f t="shared" si="424"/>
        <v>2.3010420915062637</v>
      </c>
      <c r="Y4615" s="3">
        <f t="shared" si="421"/>
        <v>-250.27385721852897</v>
      </c>
      <c r="AA4615" s="3"/>
    </row>
    <row r="4616" spans="19:27" x14ac:dyDescent="0.25">
      <c r="S4616" s="4">
        <v>-2.5080998859106338</v>
      </c>
      <c r="T4616" s="4">
        <v>-0.46259715942493651</v>
      </c>
      <c r="U4616" s="4">
        <f t="shared" si="422"/>
        <v>-1.8956907270679273</v>
      </c>
      <c r="W4616" s="4">
        <f t="shared" si="423"/>
        <v>-4.2365998661698132</v>
      </c>
      <c r="X4616" s="4">
        <f t="shared" si="424"/>
        <v>-3.2764956687349391</v>
      </c>
      <c r="Y4616" s="3">
        <f t="shared" si="421"/>
        <v>398.68653956048183</v>
      </c>
      <c r="AA4616" s="3"/>
    </row>
    <row r="4617" spans="19:27" x14ac:dyDescent="0.25">
      <c r="S4617" s="4">
        <v>-0.52447186203107343</v>
      </c>
      <c r="T4617" s="4">
        <v>-0.50874205927943272</v>
      </c>
      <c r="U4617" s="4">
        <f t="shared" si="422"/>
        <v>-0.7230055191231094</v>
      </c>
      <c r="W4617" s="4">
        <f t="shared" si="423"/>
        <v>-0.86352622122034839</v>
      </c>
      <c r="X4617" s="4">
        <f t="shared" si="424"/>
        <v>-1.2089393381169888</v>
      </c>
      <c r="Y4617" s="3">
        <f t="shared" si="421"/>
        <v>19.42330014034178</v>
      </c>
      <c r="AA4617" s="3"/>
    </row>
    <row r="4618" spans="19:27" x14ac:dyDescent="0.25">
      <c r="S4618" s="4">
        <v>1.4146881118632197</v>
      </c>
      <c r="T4618" s="4">
        <v>-0.69096451268256009</v>
      </c>
      <c r="U4618" s="4">
        <f t="shared" si="422"/>
        <v>0.31470338273124121</v>
      </c>
      <c r="W4618" s="4">
        <f t="shared" si="423"/>
        <v>2.4339314283701468</v>
      </c>
      <c r="X4618" s="4">
        <f t="shared" si="424"/>
        <v>0.62064083807341763</v>
      </c>
      <c r="Y4618" s="3">
        <f t="shared" si="421"/>
        <v>-312.86714213318965</v>
      </c>
      <c r="AA4618" s="3"/>
    </row>
    <row r="4619" spans="19:27" x14ac:dyDescent="0.25">
      <c r="S4619" s="4">
        <v>1.4861412504448452</v>
      </c>
      <c r="T4619" s="4">
        <v>0.99860436988922574</v>
      </c>
      <c r="U4619" s="4">
        <f t="shared" si="422"/>
        <v>1.6975705789261279</v>
      </c>
      <c r="W4619" s="4">
        <f t="shared" si="423"/>
        <v>2.5554343995407316</v>
      </c>
      <c r="X4619" s="4">
        <f t="shared" si="424"/>
        <v>3.0587681432753211</v>
      </c>
      <c r="Y4619" s="3">
        <f t="shared" si="421"/>
        <v>-86.991110694982581</v>
      </c>
      <c r="AA4619" s="3"/>
    </row>
    <row r="4620" spans="19:27" x14ac:dyDescent="0.25">
      <c r="S4620" s="4">
        <v>-8.5311566620821441E-2</v>
      </c>
      <c r="T4620" s="4">
        <v>-0.33914272320976863</v>
      </c>
      <c r="U4620" s="4">
        <f t="shared" si="422"/>
        <v>-0.32084356444107626</v>
      </c>
      <c r="W4620" s="4">
        <f t="shared" si="423"/>
        <v>-0.11675313648675438</v>
      </c>
      <c r="X4620" s="4">
        <f t="shared" si="424"/>
        <v>-0.49988929663675763</v>
      </c>
      <c r="Y4620" s="3">
        <f t="shared" si="421"/>
        <v>-31.243930479602113</v>
      </c>
      <c r="AA4620" s="3"/>
    </row>
    <row r="4621" spans="19:27" x14ac:dyDescent="0.25">
      <c r="S4621" s="4">
        <v>-2.3325445183696409</v>
      </c>
      <c r="T4621" s="4">
        <v>1.1839191817319095</v>
      </c>
      <c r="U4621" s="4">
        <f t="shared" si="422"/>
        <v>-0.48348789536045544</v>
      </c>
      <c r="W4621" s="4">
        <f t="shared" si="423"/>
        <v>-3.9380755580065334</v>
      </c>
      <c r="X4621" s="4">
        <f t="shared" si="424"/>
        <v>-0.78664682862679802</v>
      </c>
      <c r="Y4621" s="3">
        <f t="shared" si="421"/>
        <v>593.32717199810668</v>
      </c>
      <c r="AA4621" s="3"/>
    </row>
    <row r="4622" spans="19:27" x14ac:dyDescent="0.25">
      <c r="S4622" s="4">
        <v>0.98086946207082115</v>
      </c>
      <c r="T4622" s="4">
        <v>-2.2326582702988276</v>
      </c>
      <c r="U4622" s="4">
        <f t="shared" si="422"/>
        <v>-1.1718504827918674</v>
      </c>
      <c r="W4622" s="4">
        <f t="shared" si="423"/>
        <v>1.6962415809357523</v>
      </c>
      <c r="X4622" s="4">
        <f t="shared" si="424"/>
        <v>-2.0002959953103603</v>
      </c>
      <c r="Y4622" s="3">
        <f t="shared" si="421"/>
        <v>-464.48432111929287</v>
      </c>
      <c r="AA4622" s="3"/>
    </row>
    <row r="4623" spans="19:27" x14ac:dyDescent="0.25">
      <c r="S4623" s="4">
        <v>1.7846255959934498</v>
      </c>
      <c r="T4623" s="4">
        <v>-0.37092056877569979</v>
      </c>
      <c r="U4623" s="4">
        <f t="shared" si="422"/>
        <v>0.79392180709283411</v>
      </c>
      <c r="W4623" s="4">
        <f t="shared" si="423"/>
        <v>3.062994117027924</v>
      </c>
      <c r="X4623" s="4">
        <f t="shared" si="424"/>
        <v>1.4655488153591638</v>
      </c>
      <c r="Y4623" s="3">
        <f t="shared" si="421"/>
        <v>-320.45358681408834</v>
      </c>
      <c r="AA4623" s="3"/>
    </row>
    <row r="4624" spans="19:27" x14ac:dyDescent="0.25">
      <c r="S4624" s="4">
        <v>0.37585574072721756</v>
      </c>
      <c r="T4624" s="4">
        <v>1.835470637008717</v>
      </c>
      <c r="U4624" s="4">
        <f t="shared" si="422"/>
        <v>1.6840929705404732</v>
      </c>
      <c r="W4624" s="4">
        <f t="shared" si="423"/>
        <v>0.66744192004690361</v>
      </c>
      <c r="X4624" s="4">
        <f t="shared" si="424"/>
        <v>3.0350058289299513</v>
      </c>
      <c r="Y4624" s="3">
        <f t="shared" si="421"/>
        <v>197.69026074186604</v>
      </c>
      <c r="AA4624" s="3"/>
    </row>
    <row r="4625" spans="19:27" x14ac:dyDescent="0.25">
      <c r="S4625" s="4">
        <v>0.88802237289371766</v>
      </c>
      <c r="T4625" s="4">
        <v>-0.84326503537177755</v>
      </c>
      <c r="U4625" s="4">
        <f t="shared" si="422"/>
        <v>-0.12709121144931357</v>
      </c>
      <c r="W4625" s="4">
        <f t="shared" si="423"/>
        <v>1.5383591222573123</v>
      </c>
      <c r="X4625" s="4">
        <f t="shared" si="424"/>
        <v>-0.15828534249266052</v>
      </c>
      <c r="Y4625" s="3">
        <f t="shared" si="421"/>
        <v>-256.2849587540536</v>
      </c>
      <c r="AA4625" s="3"/>
    </row>
    <row r="4626" spans="19:27" x14ac:dyDescent="0.25">
      <c r="S4626" s="4">
        <v>0.69694413488495699</v>
      </c>
      <c r="T4626" s="4">
        <v>-0.14483526454600304</v>
      </c>
      <c r="U4626" s="4">
        <f t="shared" si="422"/>
        <v>0.31006293647445288</v>
      </c>
      <c r="W4626" s="4">
        <f t="shared" si="423"/>
        <v>1.2134388443666098</v>
      </c>
      <c r="X4626" s="4">
        <f t="shared" si="424"/>
        <v>0.61245928690340701</v>
      </c>
      <c r="Y4626" s="3">
        <f t="shared" si="421"/>
        <v>-129.42685396515617</v>
      </c>
      <c r="AA4626" s="3"/>
    </row>
    <row r="4627" spans="19:27" x14ac:dyDescent="0.25">
      <c r="S4627" s="4">
        <v>-0.45121199551530994</v>
      </c>
      <c r="T4627" s="4">
        <v>0.65828699241325761</v>
      </c>
      <c r="U4627" s="4">
        <f t="shared" si="422"/>
        <v>0.24674994521589583</v>
      </c>
      <c r="W4627" s="4">
        <f t="shared" si="423"/>
        <v>-0.73895098735490794</v>
      </c>
      <c r="X4627" s="4">
        <f t="shared" si="424"/>
        <v>0.50083241977816872</v>
      </c>
      <c r="Y4627" s="3">
        <f t="shared" si="421"/>
        <v>169.91778948151114</v>
      </c>
      <c r="AA4627" s="3"/>
    </row>
    <row r="4628" spans="19:27" x14ac:dyDescent="0.25">
      <c r="S4628" s="4">
        <v>1.1789776637919924</v>
      </c>
      <c r="T4628" s="4">
        <v>-0.77213709446333234</v>
      </c>
      <c r="U4628" s="4">
        <f t="shared" si="422"/>
        <v>0.10666417671575468</v>
      </c>
      <c r="W4628" s="4">
        <f t="shared" si="423"/>
        <v>2.0331160080105879</v>
      </c>
      <c r="X4628" s="4">
        <f t="shared" si="424"/>
        <v>0.25384779378502109</v>
      </c>
      <c r="Y4628" s="3">
        <f t="shared" si="421"/>
        <v>-289.85713707962395</v>
      </c>
      <c r="AA4628" s="3"/>
    </row>
    <row r="4629" spans="19:27" x14ac:dyDescent="0.25">
      <c r="S4629" s="4">
        <v>-1.2704872196957371</v>
      </c>
      <c r="T4629" s="4">
        <v>-0.14754688477833047</v>
      </c>
      <c r="U4629" s="4">
        <f t="shared" si="422"/>
        <v>-0.89147659403406254</v>
      </c>
      <c r="W4629" s="4">
        <f t="shared" si="423"/>
        <v>-2.1320930650909768</v>
      </c>
      <c r="X4629" s="4">
        <f t="shared" si="424"/>
        <v>-1.5059699777961608</v>
      </c>
      <c r="Y4629" s="3">
        <f t="shared" si="421"/>
        <v>202.95740583067618</v>
      </c>
      <c r="AA4629" s="3"/>
    </row>
    <row r="4630" spans="19:27" x14ac:dyDescent="0.25">
      <c r="S4630" s="4">
        <v>-0.45160070077304298</v>
      </c>
      <c r="T4630" s="4">
        <v>-0.15113898947609372</v>
      </c>
      <c r="U4630" s="4">
        <f t="shared" si="422"/>
        <v>-0.39511253394810408</v>
      </c>
      <c r="W4630" s="4">
        <f t="shared" si="423"/>
        <v>-0.73961196383070316</v>
      </c>
      <c r="X4630" s="4">
        <f t="shared" si="424"/>
        <v>-0.63083260267695174</v>
      </c>
      <c r="Y4630" s="3">
        <f t="shared" si="421"/>
        <v>56.859750723259367</v>
      </c>
      <c r="AA4630" s="3"/>
    </row>
    <row r="4631" spans="19:27" x14ac:dyDescent="0.25">
      <c r="S4631" s="4">
        <v>0.6353395654297147</v>
      </c>
      <c r="T4631" s="4">
        <v>0.74539132867689362</v>
      </c>
      <c r="U4631" s="4">
        <f t="shared" si="422"/>
        <v>0.97818293191813155</v>
      </c>
      <c r="W4631" s="4">
        <f t="shared" si="423"/>
        <v>1.1086829389567185</v>
      </c>
      <c r="X4631" s="4">
        <f t="shared" si="424"/>
        <v>1.7904188252631814</v>
      </c>
      <c r="Y4631" s="3">
        <f t="shared" si="421"/>
        <v>4.5334450733130325</v>
      </c>
      <c r="AA4631" s="3"/>
    </row>
    <row r="4632" spans="19:27" x14ac:dyDescent="0.25">
      <c r="S4632" s="4">
        <v>-0.11742573549573934</v>
      </c>
      <c r="T4632" s="4">
        <v>-0.83802926536821332</v>
      </c>
      <c r="U4632" s="4">
        <f t="shared" si="422"/>
        <v>-0.73588445863929086</v>
      </c>
      <c r="W4632" s="4">
        <f t="shared" si="423"/>
        <v>-0.17136189143345251</v>
      </c>
      <c r="X4632" s="4">
        <f t="shared" si="424"/>
        <v>-1.2316461419104752</v>
      </c>
      <c r="Y4632" s="3">
        <f t="shared" si="421"/>
        <v>-95.627815660505348</v>
      </c>
      <c r="AA4632" s="3"/>
    </row>
    <row r="4633" spans="19:27" x14ac:dyDescent="0.25">
      <c r="S4633" s="4">
        <v>2.2597705465731668</v>
      </c>
      <c r="T4633" s="4">
        <v>-0.43113408639770895</v>
      </c>
      <c r="U4633" s="4">
        <f t="shared" si="422"/>
        <v>1.0358499954793614</v>
      </c>
      <c r="W4633" s="4">
        <f t="shared" si="423"/>
        <v>3.8709575512189356</v>
      </c>
      <c r="X4633" s="4">
        <f t="shared" si="424"/>
        <v>1.8920913811429678</v>
      </c>
      <c r="Y4633" s="3">
        <f t="shared" si="421"/>
        <v>-393.22400657933304</v>
      </c>
      <c r="AA4633" s="3"/>
    </row>
    <row r="4634" spans="19:27" x14ac:dyDescent="0.25">
      <c r="S4634" s="4">
        <v>0.51260254006463712</v>
      </c>
      <c r="T4634" s="4">
        <v>-0.40668769370049529</v>
      </c>
      <c r="U4634" s="4">
        <f t="shared" si="422"/>
        <v>-9.8841434613659018E-3</v>
      </c>
      <c r="W4634" s="4">
        <f t="shared" si="423"/>
        <v>0.89997393679776649</v>
      </c>
      <c r="X4634" s="4">
        <f t="shared" si="424"/>
        <v>4.8361943385829817E-2</v>
      </c>
      <c r="Y4634" s="3">
        <f t="shared" si="421"/>
        <v>-137.30132838449526</v>
      </c>
      <c r="AA4634" s="3"/>
    </row>
    <row r="4635" spans="19:27" x14ac:dyDescent="0.25">
      <c r="S4635" s="4">
        <v>0.77138491557732181</v>
      </c>
      <c r="T4635" s="4">
        <v>-1.4977992248312322</v>
      </c>
      <c r="U4635" s="4">
        <f t="shared" si="422"/>
        <v>-0.71704003593491494</v>
      </c>
      <c r="W4635" s="4">
        <f t="shared" si="423"/>
        <v>1.340022171704258</v>
      </c>
      <c r="X4635" s="4">
        <f t="shared" si="424"/>
        <v>-1.1984216199370501</v>
      </c>
      <c r="Y4635" s="3">
        <f t="shared" si="421"/>
        <v>-329.97320953536746</v>
      </c>
      <c r="AA4635" s="3"/>
    </row>
    <row r="4636" spans="19:27" x14ac:dyDescent="0.25">
      <c r="S4636" s="4">
        <v>-0.47873655071703453</v>
      </c>
      <c r="T4636" s="4">
        <v>0.93786280503137309</v>
      </c>
      <c r="U4636" s="4">
        <f t="shared" si="422"/>
        <v>0.45158787759206187</v>
      </c>
      <c r="W4636" s="4">
        <f t="shared" si="423"/>
        <v>-0.7857553027921913</v>
      </c>
      <c r="X4636" s="4">
        <f t="shared" si="424"/>
        <v>0.86198131205187656</v>
      </c>
      <c r="Y4636" s="3">
        <f t="shared" si="421"/>
        <v>213.71872327186429</v>
      </c>
      <c r="AA4636" s="3"/>
    </row>
    <row r="4637" spans="19:27" x14ac:dyDescent="0.25">
      <c r="S4637" s="4">
        <v>1.6748570155131841</v>
      </c>
      <c r="T4637" s="4">
        <v>-1.1718065253239087</v>
      </c>
      <c r="U4637" s="4">
        <f t="shared" si="422"/>
        <v>9.2148525454926244E-2</v>
      </c>
      <c r="W4637" s="4">
        <f t="shared" si="423"/>
        <v>2.8763373943943362</v>
      </c>
      <c r="X4637" s="4">
        <f t="shared" si="424"/>
        <v>0.22825531043651409</v>
      </c>
      <c r="Y4637" s="3">
        <f t="shared" si="421"/>
        <v>-417.06478343566778</v>
      </c>
      <c r="AA4637" s="3"/>
    </row>
    <row r="4638" spans="19:27" x14ac:dyDescent="0.25">
      <c r="S4638" s="4">
        <v>0.6823505089981533</v>
      </c>
      <c r="T4638" s="4">
        <v>0.38599603806443361</v>
      </c>
      <c r="U4638" s="4">
        <f t="shared" si="422"/>
        <v>0.7219520735056979</v>
      </c>
      <c r="W4638" s="4">
        <f t="shared" si="423"/>
        <v>1.1886230148509755</v>
      </c>
      <c r="X4638" s="4">
        <f t="shared" si="424"/>
        <v>1.3386592824454231</v>
      </c>
      <c r="Y4638" s="3">
        <f t="shared" si="421"/>
        <v>-52.982679483649008</v>
      </c>
      <c r="AA4638" s="3"/>
    </row>
    <row r="4639" spans="19:27" x14ac:dyDescent="0.25">
      <c r="S4639" s="4">
        <v>-1.9044919008678425</v>
      </c>
      <c r="T4639" s="4">
        <v>1.3592604785005089</v>
      </c>
      <c r="U4639" s="4">
        <f t="shared" si="422"/>
        <v>-8.3545822545182613E-2</v>
      </c>
      <c r="W4639" s="4">
        <f t="shared" si="423"/>
        <v>-3.2101905990498247</v>
      </c>
      <c r="X4639" s="4">
        <f t="shared" si="424"/>
        <v>-8.1510651477547796E-2</v>
      </c>
      <c r="Y4639" s="3">
        <f t="shared" si="421"/>
        <v>533.37413211763123</v>
      </c>
      <c r="AA4639" s="3"/>
    </row>
    <row r="4640" spans="19:27" x14ac:dyDescent="0.25">
      <c r="S4640" s="4">
        <v>1.1340905816572959</v>
      </c>
      <c r="T4640" s="4">
        <v>-0.11022785916535086</v>
      </c>
      <c r="U4640" s="4">
        <f t="shared" si="422"/>
        <v>0.60399017801567279</v>
      </c>
      <c r="W4640" s="4">
        <f t="shared" si="423"/>
        <v>1.9567874666084022</v>
      </c>
      <c r="X4640" s="4">
        <f t="shared" si="424"/>
        <v>1.1306811633903295</v>
      </c>
      <c r="Y4640" s="3">
        <f t="shared" si="421"/>
        <v>-190.71626524261683</v>
      </c>
      <c r="AA4640" s="3"/>
    </row>
    <row r="4641" spans="19:27" x14ac:dyDescent="0.25">
      <c r="S4641" s="4">
        <v>0.41671299060723627</v>
      </c>
      <c r="T4641" s="4">
        <v>-0.64564585194206148</v>
      </c>
      <c r="U4641" s="4">
        <f t="shared" si="422"/>
        <v>-0.25776077718277718</v>
      </c>
      <c r="W4641" s="4">
        <f t="shared" si="423"/>
        <v>0.73691790602630591</v>
      </c>
      <c r="X4641" s="4">
        <f t="shared" si="424"/>
        <v>-0.38866830121079765</v>
      </c>
      <c r="Y4641" s="3">
        <f t="shared" si="421"/>
        <v>-155.5599183104132</v>
      </c>
      <c r="AA4641" s="3"/>
    </row>
    <row r="4642" spans="19:27" x14ac:dyDescent="0.25">
      <c r="S4642" s="4">
        <v>0.75879311879722799</v>
      </c>
      <c r="T4642" s="4">
        <v>-0.81024981477574876</v>
      </c>
      <c r="U4642" s="4">
        <f t="shared" si="422"/>
        <v>-0.17970134622067319</v>
      </c>
      <c r="W4642" s="4">
        <f t="shared" si="423"/>
        <v>1.3186103659875665</v>
      </c>
      <c r="X4642" s="4">
        <f t="shared" si="424"/>
        <v>-0.25104204860974377</v>
      </c>
      <c r="Y4642" s="3">
        <f t="shared" si="421"/>
        <v>-231.94954632853296</v>
      </c>
      <c r="AA4642" s="3"/>
    </row>
    <row r="4643" spans="19:27" x14ac:dyDescent="0.25">
      <c r="S4643" s="4">
        <v>0.44490735000866188</v>
      </c>
      <c r="T4643" s="4">
        <v>-1.249129711824811</v>
      </c>
      <c r="U4643" s="4">
        <f t="shared" si="422"/>
        <v>-0.71894970591126395</v>
      </c>
      <c r="W4643" s="4">
        <f t="shared" si="423"/>
        <v>0.78486119453015701</v>
      </c>
      <c r="X4643" s="4">
        <f t="shared" si="424"/>
        <v>-1.2017885509959922</v>
      </c>
      <c r="Y4643" s="3">
        <f t="shared" si="421"/>
        <v>-244.36743510084762</v>
      </c>
      <c r="AA4643" s="3"/>
    </row>
    <row r="4644" spans="19:27" x14ac:dyDescent="0.25">
      <c r="S4644" s="4">
        <v>-0.54032117782483591</v>
      </c>
      <c r="T4644" s="4">
        <v>1.9229582961867453</v>
      </c>
      <c r="U4644" s="4">
        <f t="shared" si="422"/>
        <v>1.1949218485723734</v>
      </c>
      <c r="W4644" s="4">
        <f t="shared" si="423"/>
        <v>-0.8904772971029441</v>
      </c>
      <c r="X4644" s="4">
        <f t="shared" si="424"/>
        <v>2.1725502925860303</v>
      </c>
      <c r="Y4644" s="3">
        <f t="shared" si="421"/>
        <v>362.01426355722106</v>
      </c>
      <c r="AA4644" s="3"/>
    </row>
    <row r="4645" spans="19:27" x14ac:dyDescent="0.25">
      <c r="S4645" s="4">
        <v>-1.2245160717317409</v>
      </c>
      <c r="T4645" s="4">
        <v>9.0644544919750755E-2</v>
      </c>
      <c r="U4645" s="4">
        <f t="shared" si="422"/>
        <v>-0.67463911123219067</v>
      </c>
      <c r="W4645" s="4">
        <f t="shared" si="423"/>
        <v>-2.0539211166416123</v>
      </c>
      <c r="X4645" s="4">
        <f t="shared" si="424"/>
        <v>-1.1236647289152801</v>
      </c>
      <c r="Y4645" s="3">
        <f t="shared" si="421"/>
        <v>227.80085039407822</v>
      </c>
      <c r="AA4645" s="3"/>
    </row>
    <row r="4646" spans="19:27" x14ac:dyDescent="0.25">
      <c r="S4646" s="4">
        <v>0.7242820423060452</v>
      </c>
      <c r="T4646" s="4">
        <v>1.7976669239216274</v>
      </c>
      <c r="U4646" s="4">
        <f t="shared" si="422"/>
        <v>1.8665347163689945</v>
      </c>
      <c r="W4646" s="4">
        <f t="shared" si="423"/>
        <v>1.2599257733271072</v>
      </c>
      <c r="X4646" s="4">
        <f t="shared" si="424"/>
        <v>3.3566680994192537</v>
      </c>
      <c r="Y4646" s="3">
        <f t="shared" si="421"/>
        <v>137.83868135522971</v>
      </c>
      <c r="AA4646" s="3"/>
    </row>
    <row r="4647" spans="19:27" x14ac:dyDescent="0.25">
      <c r="S4647" s="4">
        <v>-0.49432167785296444</v>
      </c>
      <c r="T4647" s="4">
        <v>-0.76843436625973893</v>
      </c>
      <c r="U4647" s="4">
        <f t="shared" si="422"/>
        <v>-0.91048131326498849</v>
      </c>
      <c r="W4647" s="4">
        <f t="shared" si="423"/>
        <v>-0.81225713729066562</v>
      </c>
      <c r="X4647" s="4">
        <f t="shared" si="424"/>
        <v>-1.5394771178976216</v>
      </c>
      <c r="Y4647" s="3">
        <f t="shared" si="421"/>
        <v>-22.069993626666019</v>
      </c>
      <c r="AA4647" s="3"/>
    </row>
    <row r="4648" spans="19:27" x14ac:dyDescent="0.25">
      <c r="S4648" s="4">
        <v>0.58507500012744473</v>
      </c>
      <c r="T4648" s="4">
        <v>0.46217447014985408</v>
      </c>
      <c r="U4648" s="4">
        <f t="shared" si="422"/>
        <v>0.72303678803069604</v>
      </c>
      <c r="W4648" s="4">
        <f t="shared" si="423"/>
        <v>1.0232102200523288</v>
      </c>
      <c r="X4648" s="4">
        <f t="shared" si="424"/>
        <v>1.3405717380369826</v>
      </c>
      <c r="Y4648" s="3">
        <f t="shared" si="421"/>
        <v>-27.221156640020581</v>
      </c>
      <c r="AA4648" s="3"/>
    </row>
    <row r="4649" spans="19:27" x14ac:dyDescent="0.25">
      <c r="S4649" s="4">
        <v>0.54899872484852064</v>
      </c>
      <c r="T4649" s="4">
        <v>-1.2422555575263474</v>
      </c>
      <c r="U4649" s="4">
        <f t="shared" si="422"/>
        <v>-0.65004419408805902</v>
      </c>
      <c r="W4649" s="4">
        <f t="shared" si="423"/>
        <v>0.96186407456216527</v>
      </c>
      <c r="X4649" s="4">
        <f t="shared" si="424"/>
        <v>-1.0803015345150602</v>
      </c>
      <c r="Y4649" s="3">
        <f t="shared" si="421"/>
        <v>-259.78998420876314</v>
      </c>
      <c r="AA4649" s="3"/>
    </row>
    <row r="4650" spans="19:27" x14ac:dyDescent="0.25">
      <c r="S4650" s="4">
        <v>-0.92081003337302281</v>
      </c>
      <c r="T4650" s="4">
        <v>-1.3309305061540833</v>
      </c>
      <c r="U4650" s="4">
        <f t="shared" si="422"/>
        <v>-1.6163643313142537</v>
      </c>
      <c r="W4650" s="4">
        <f t="shared" si="423"/>
        <v>-1.5374821364157498</v>
      </c>
      <c r="X4650" s="4">
        <f t="shared" si="424"/>
        <v>-2.784016481706276</v>
      </c>
      <c r="Y4650" s="3">
        <f t="shared" si="421"/>
        <v>-25.857861736848463</v>
      </c>
      <c r="AA4650" s="3"/>
    </row>
    <row r="4651" spans="19:27" x14ac:dyDescent="0.25">
      <c r="S4651" s="4">
        <v>0.10789227026532999</v>
      </c>
      <c r="T4651" s="4">
        <v>0.53826060728244385</v>
      </c>
      <c r="U4651" s="4">
        <f t="shared" si="422"/>
        <v>0.49244842273269152</v>
      </c>
      <c r="W4651" s="4">
        <f t="shared" si="423"/>
        <v>0.21178163034378386</v>
      </c>
      <c r="X4651" s="4">
        <f t="shared" si="424"/>
        <v>0.93402236638227687</v>
      </c>
      <c r="Y4651" s="3">
        <f t="shared" si="421"/>
        <v>59.579971951653533</v>
      </c>
      <c r="AA4651" s="3"/>
    </row>
    <row r="4652" spans="19:27" x14ac:dyDescent="0.25">
      <c r="S4652" s="4">
        <v>-0.28983653591207215</v>
      </c>
      <c r="T4652" s="4">
        <v>-0.32166435094772117</v>
      </c>
      <c r="U4652" s="4">
        <f t="shared" si="422"/>
        <v>-0.43167158285593032</v>
      </c>
      <c r="W4652" s="4">
        <f t="shared" si="423"/>
        <v>-0.46453899923190767</v>
      </c>
      <c r="X4652" s="4">
        <f t="shared" si="424"/>
        <v>-0.6952897071911448</v>
      </c>
      <c r="Y4652" s="3">
        <f t="shared" si="421"/>
        <v>5.4728986154163977</v>
      </c>
      <c r="AA4652" s="3"/>
    </row>
    <row r="4653" spans="19:27" x14ac:dyDescent="0.25">
      <c r="S4653" s="4">
        <v>9.8270329520776023E-2</v>
      </c>
      <c r="T4653" s="4">
        <v>8.0567658214152543E-2</v>
      </c>
      <c r="U4653" s="4">
        <f t="shared" si="422"/>
        <v>0.12377312512005466</v>
      </c>
      <c r="W4653" s="4">
        <f t="shared" si="423"/>
        <v>0.19541993634268567</v>
      </c>
      <c r="X4653" s="4">
        <f t="shared" si="424"/>
        <v>0.28401250835963426</v>
      </c>
      <c r="Y4653" s="3">
        <f t="shared" si="421"/>
        <v>-2.8162423017170113</v>
      </c>
      <c r="AA4653" s="3"/>
    </row>
    <row r="4654" spans="19:27" x14ac:dyDescent="0.25">
      <c r="S4654" s="4">
        <v>0.65929622413247957</v>
      </c>
      <c r="T4654" s="4">
        <v>0.59399833782271672</v>
      </c>
      <c r="U4654" s="4">
        <f t="shared" si="422"/>
        <v>0.8727794300072661</v>
      </c>
      <c r="W4654" s="4">
        <f t="shared" si="423"/>
        <v>1.1494202007409633</v>
      </c>
      <c r="X4654" s="4">
        <f t="shared" si="424"/>
        <v>1.604582356815661</v>
      </c>
      <c r="Y4654" s="3">
        <f t="shared" si="421"/>
        <v>-20.342770886266862</v>
      </c>
      <c r="AA4654" s="3"/>
    </row>
    <row r="4655" spans="19:27" x14ac:dyDescent="0.25">
      <c r="S4655" s="4">
        <v>-1.3853624368808257</v>
      </c>
      <c r="T4655" s="4">
        <v>-0.72766123326739329</v>
      </c>
      <c r="U4655" s="4">
        <f t="shared" si="422"/>
        <v>-1.4213591036287816</v>
      </c>
      <c r="W4655" s="4">
        <f t="shared" si="423"/>
        <v>-2.3274334025333938</v>
      </c>
      <c r="X4655" s="4">
        <f t="shared" si="424"/>
        <v>-2.440203589488346</v>
      </c>
      <c r="Y4655" s="3">
        <f t="shared" si="421"/>
        <v>143.12918606545281</v>
      </c>
      <c r="AA4655" s="3"/>
    </row>
    <row r="4656" spans="19:27" x14ac:dyDescent="0.25">
      <c r="S4656" s="4">
        <v>-0.17134467291156549</v>
      </c>
      <c r="T4656" s="4">
        <v>-0.19113853397293298</v>
      </c>
      <c r="U4656" s="4">
        <f t="shared" si="422"/>
        <v>-0.2559695260162651</v>
      </c>
      <c r="W4656" s="4">
        <f t="shared" si="423"/>
        <v>-0.26304871203265856</v>
      </c>
      <c r="X4656" s="4">
        <f t="shared" si="424"/>
        <v>-0.38551015385466325</v>
      </c>
      <c r="Y4656" s="3">
        <f t="shared" si="421"/>
        <v>3.7817904382782217</v>
      </c>
      <c r="AA4656" s="3"/>
    </row>
    <row r="4657" spans="19:27" x14ac:dyDescent="0.25">
      <c r="S4657" s="4">
        <v>0.52842166555313053</v>
      </c>
      <c r="T4657" s="4">
        <v>-1.2235535661516195</v>
      </c>
      <c r="U4657" s="4">
        <f t="shared" si="422"/>
        <v>-0.64776350924582837</v>
      </c>
      <c r="W4657" s="4">
        <f t="shared" si="423"/>
        <v>0.92687367537225296</v>
      </c>
      <c r="X4657" s="4">
        <f t="shared" si="424"/>
        <v>-1.0762804687151748</v>
      </c>
      <c r="Y4657" s="3">
        <f t="shared" si="421"/>
        <v>-253.95017556292396</v>
      </c>
      <c r="AA4657" s="3"/>
    </row>
    <row r="4658" spans="19:27" x14ac:dyDescent="0.25">
      <c r="S4658" s="4">
        <v>-0.58685581069334991</v>
      </c>
      <c r="T4658" s="4">
        <v>-0.68472491955908776</v>
      </c>
      <c r="U4658" s="4">
        <f t="shared" si="422"/>
        <v>-0.90053637494300764</v>
      </c>
      <c r="W4658" s="4">
        <f t="shared" si="423"/>
        <v>-0.96960742725667803</v>
      </c>
      <c r="X4658" s="4">
        <f t="shared" si="424"/>
        <v>-1.5219432392011794</v>
      </c>
      <c r="Y4658" s="3">
        <f t="shared" si="421"/>
        <v>5.6289326511819127</v>
      </c>
      <c r="AA4658" s="3"/>
    </row>
    <row r="4659" spans="19:27" x14ac:dyDescent="0.25">
      <c r="S4659" s="4">
        <v>0.46964592569632951</v>
      </c>
      <c r="T4659" s="4">
        <v>0.2519315504682697</v>
      </c>
      <c r="U4659" s="4">
        <f t="shared" si="422"/>
        <v>0.48601076435074386</v>
      </c>
      <c r="W4659" s="4">
        <f t="shared" si="423"/>
        <v>0.82692807232232413</v>
      </c>
      <c r="X4659" s="4">
        <f t="shared" si="424"/>
        <v>0.92267215811515091</v>
      </c>
      <c r="Y4659" s="3">
        <f t="shared" si="421"/>
        <v>-38.488471429263427</v>
      </c>
      <c r="AA4659" s="3"/>
    </row>
    <row r="4660" spans="19:27" x14ac:dyDescent="0.25">
      <c r="S4660" s="4">
        <v>1.6618141028100173</v>
      </c>
      <c r="T4660" s="4">
        <v>-1.3826719057659385</v>
      </c>
      <c r="U4660" s="4">
        <f t="shared" si="422"/>
        <v>-8.2954029287566788E-2</v>
      </c>
      <c r="W4660" s="4">
        <f t="shared" si="423"/>
        <v>2.8541584855652586</v>
      </c>
      <c r="X4660" s="4">
        <f t="shared" si="424"/>
        <v>-8.0467263287851976E-2</v>
      </c>
      <c r="Y4660" s="3">
        <f t="shared" si="421"/>
        <v>-444.70344371736655</v>
      </c>
      <c r="AA4660" s="3"/>
    </row>
    <row r="4661" spans="19:27" x14ac:dyDescent="0.25">
      <c r="S4661" s="4">
        <v>-0.13130282805129481</v>
      </c>
      <c r="T4661" s="4">
        <v>1.3082420527341423</v>
      </c>
      <c r="U4661" s="4">
        <f t="shared" si="422"/>
        <v>0.95698790045420346</v>
      </c>
      <c r="W4661" s="4">
        <f t="shared" si="423"/>
        <v>-0.194959287015776</v>
      </c>
      <c r="X4661" s="4">
        <f t="shared" si="424"/>
        <v>1.7530499549269631</v>
      </c>
      <c r="Y4661" s="3">
        <f t="shared" si="421"/>
        <v>206.64566757431385</v>
      </c>
      <c r="AA4661" s="3"/>
    </row>
    <row r="4662" spans="19:27" x14ac:dyDescent="0.25">
      <c r="S4662" s="4">
        <v>-0.35393196872056581</v>
      </c>
      <c r="T4662" s="4">
        <v>-8.3233029937064329E-2</v>
      </c>
      <c r="U4662" s="4">
        <f t="shared" si="422"/>
        <v>-0.28174298355346883</v>
      </c>
      <c r="W4662" s="4">
        <f t="shared" si="423"/>
        <v>-0.57353051002187927</v>
      </c>
      <c r="X4662" s="4">
        <f t="shared" si="424"/>
        <v>-0.43095122783763617</v>
      </c>
      <c r="Y4662" s="3">
        <f t="shared" si="421"/>
        <v>49.666423075543207</v>
      </c>
      <c r="AA4662" s="3"/>
    </row>
    <row r="4663" spans="19:27" x14ac:dyDescent="0.25">
      <c r="S4663" s="4">
        <v>0.2929925741670209</v>
      </c>
      <c r="T4663" s="4">
        <v>6.8732485183911424E-2</v>
      </c>
      <c r="U4663" s="4">
        <f t="shared" si="422"/>
        <v>0.2330985028666997</v>
      </c>
      <c r="W4663" s="4">
        <f t="shared" si="423"/>
        <v>0.5265366898845435</v>
      </c>
      <c r="X4663" s="4">
        <f t="shared" si="424"/>
        <v>0.4767636195068562</v>
      </c>
      <c r="Y4663" s="3">
        <f t="shared" si="421"/>
        <v>-35.986646554299114</v>
      </c>
      <c r="AA4663" s="3"/>
    </row>
    <row r="4664" spans="19:27" x14ac:dyDescent="0.25">
      <c r="S4664" s="4">
        <v>0.86597600040837996</v>
      </c>
      <c r="T4664" s="4">
        <v>-9.9553042564987149E-2</v>
      </c>
      <c r="U4664" s="4">
        <f t="shared" si="422"/>
        <v>0.44900338907591003</v>
      </c>
      <c r="W4664" s="4">
        <f t="shared" si="423"/>
        <v>1.5008702195488342</v>
      </c>
      <c r="X4664" s="4">
        <f t="shared" si="424"/>
        <v>0.85742461127934444</v>
      </c>
      <c r="Y4664" s="3">
        <f t="shared" si="421"/>
        <v>-148.99718086897838</v>
      </c>
      <c r="AA4664" s="3"/>
    </row>
    <row r="4665" spans="19:27" x14ac:dyDescent="0.25">
      <c r="S4665" s="4">
        <v>1.3682164244815731</v>
      </c>
      <c r="T4665" s="4">
        <v>-1.6527792490155566</v>
      </c>
      <c r="U4665" s="4">
        <f t="shared" si="422"/>
        <v>-0.476049659955874</v>
      </c>
      <c r="W4665" s="4">
        <f t="shared" si="423"/>
        <v>2.3549083342938752</v>
      </c>
      <c r="X4665" s="4">
        <f t="shared" si="424"/>
        <v>-0.77353250724269762</v>
      </c>
      <c r="Y4665" s="3">
        <f t="shared" si="421"/>
        <v>-440.57956334976961</v>
      </c>
      <c r="AA4665" s="3"/>
    </row>
    <row r="4666" spans="19:27" x14ac:dyDescent="0.25">
      <c r="S4666" s="4">
        <v>0.56361024122267445</v>
      </c>
      <c r="T4666" s="4">
        <v>-0.13260345401343288</v>
      </c>
      <c r="U4666" s="4">
        <f t="shared" si="422"/>
        <v>0.23847567855801499</v>
      </c>
      <c r="W4666" s="4">
        <f t="shared" si="423"/>
        <v>0.98671032607761489</v>
      </c>
      <c r="X4666" s="4">
        <f t="shared" si="424"/>
        <v>0.48624409522711198</v>
      </c>
      <c r="Y4666" s="3">
        <f t="shared" si="421"/>
        <v>-106.99288430585011</v>
      </c>
      <c r="AA4666" s="3"/>
    </row>
    <row r="4667" spans="19:27" x14ac:dyDescent="0.25">
      <c r="S4667" s="4">
        <v>-0.38065376424891195</v>
      </c>
      <c r="T4667" s="4">
        <v>-2.0810382693561686E-2</v>
      </c>
      <c r="U4667" s="4">
        <f t="shared" si="422"/>
        <v>-0.24855125204931239</v>
      </c>
      <c r="W4667" s="4">
        <f t="shared" si="423"/>
        <v>-0.61896976736111997</v>
      </c>
      <c r="X4667" s="4">
        <f t="shared" si="424"/>
        <v>-0.37243102639682535</v>
      </c>
      <c r="Y4667" s="3">
        <f t="shared" si="421"/>
        <v>62.940869595006006</v>
      </c>
      <c r="AA4667" s="3"/>
    </row>
    <row r="4668" spans="19:27" x14ac:dyDescent="0.25">
      <c r="S4668" s="4">
        <v>-0.33714466158383477</v>
      </c>
      <c r="T4668" s="4">
        <v>-0.64122945631976724</v>
      </c>
      <c r="U4668" s="4">
        <f t="shared" si="422"/>
        <v>-0.71382838035744978</v>
      </c>
      <c r="W4668" s="4">
        <f t="shared" si="423"/>
        <v>-0.5449844204370824</v>
      </c>
      <c r="X4668" s="4">
        <f t="shared" si="424"/>
        <v>-1.1927591635711259</v>
      </c>
      <c r="Y4668" s="3">
        <f t="shared" si="421"/>
        <v>-31.1718150300876</v>
      </c>
      <c r="AA4668" s="3"/>
    </row>
    <row r="4669" spans="19:27" x14ac:dyDescent="0.25">
      <c r="S4669" s="4">
        <v>-0.89765350283997836</v>
      </c>
      <c r="T4669" s="4">
        <v>-0.28396834432658957</v>
      </c>
      <c r="U4669" s="4">
        <f t="shared" si="422"/>
        <v>-0.77232904382364942</v>
      </c>
      <c r="W4669" s="4">
        <f t="shared" si="423"/>
        <v>-1.4981054579714135</v>
      </c>
      <c r="X4669" s="4">
        <f t="shared" si="424"/>
        <v>-1.2959014359179113</v>
      </c>
      <c r="Y4669" s="3">
        <f t="shared" si="421"/>
        <v>116.33074102646606</v>
      </c>
      <c r="AA4669" s="3"/>
    </row>
    <row r="4670" spans="19:27" x14ac:dyDescent="0.25">
      <c r="S4670" s="4">
        <v>-0.66473949075621197</v>
      </c>
      <c r="T4670" s="4">
        <v>5.0631380741502953E-2</v>
      </c>
      <c r="U4670" s="4">
        <f t="shared" si="422"/>
        <v>-0.36510493371323161</v>
      </c>
      <c r="W4670" s="4">
        <f t="shared" si="423"/>
        <v>-1.1020452560376586</v>
      </c>
      <c r="X4670" s="4">
        <f t="shared" si="424"/>
        <v>-0.57792632961071655</v>
      </c>
      <c r="Y4670" s="3">
        <f t="shared" si="421"/>
        <v>121.96908573612745</v>
      </c>
      <c r="AA4670" s="3"/>
    </row>
    <row r="4671" spans="19:27" x14ac:dyDescent="0.25">
      <c r="S4671" s="4">
        <v>-0.11553602162910653</v>
      </c>
      <c r="T4671" s="4">
        <v>0.60930199519741512</v>
      </c>
      <c r="U4671" s="4">
        <f t="shared" si="422"/>
        <v>0.41255549210919351</v>
      </c>
      <c r="W4671" s="4">
        <f t="shared" si="423"/>
        <v>-0.16814851475027368</v>
      </c>
      <c r="X4671" s="4">
        <f t="shared" si="424"/>
        <v>0.79316347828243916</v>
      </c>
      <c r="Y4671" s="3">
        <f t="shared" si="421"/>
        <v>106.33537704478204</v>
      </c>
      <c r="AA4671" s="3"/>
    </row>
    <row r="4672" spans="19:27" x14ac:dyDescent="0.25">
      <c r="S4672" s="4">
        <v>-1.2061725102116054</v>
      </c>
      <c r="T4672" s="4">
        <v>-0.32865643895151708</v>
      </c>
      <c r="U4672" s="4">
        <f t="shared" si="422"/>
        <v>-0.99583301029899884</v>
      </c>
      <c r="W4672" s="4">
        <f t="shared" si="423"/>
        <v>-2.0227286837997607</v>
      </c>
      <c r="X4672" s="4">
        <f t="shared" si="424"/>
        <v>-1.6899603339696687</v>
      </c>
      <c r="Y4672" s="3">
        <f t="shared" si="421"/>
        <v>165.8386351489371</v>
      </c>
      <c r="AA4672" s="3"/>
    </row>
    <row r="4673" spans="19:27" x14ac:dyDescent="0.25">
      <c r="S4673" s="4">
        <v>-0.10941681181063048</v>
      </c>
      <c r="T4673" s="4">
        <v>1.0091755259384112</v>
      </c>
      <c r="U4673" s="4">
        <f t="shared" si="422"/>
        <v>0.73326245534908996</v>
      </c>
      <c r="W4673" s="4">
        <f t="shared" si="423"/>
        <v>-0.15774306316452275</v>
      </c>
      <c r="X4673" s="4">
        <f t="shared" si="424"/>
        <v>1.3586005688397442</v>
      </c>
      <c r="Y4673" s="3">
        <f t="shared" si="421"/>
        <v>161.20282975298142</v>
      </c>
      <c r="AA4673" s="3"/>
    </row>
    <row r="4674" spans="19:27" x14ac:dyDescent="0.25">
      <c r="S4674" s="4">
        <v>-3.5201520022826942E-2</v>
      </c>
      <c r="T4674" s="4">
        <v>1.1708519626786655</v>
      </c>
      <c r="U4674" s="4">
        <f t="shared" si="422"/>
        <v>0.90666537415824588</v>
      </c>
      <c r="W4674" s="4">
        <f t="shared" si="423"/>
        <v>-3.1543169954668562E-2</v>
      </c>
      <c r="X4674" s="4">
        <f t="shared" si="424"/>
        <v>1.6643265216381282</v>
      </c>
      <c r="Y4674" s="3">
        <f t="shared" ref="Y4674:Y4737" si="425">(B$4*EXP(-B$8*B$7)*NORMSDIST((LN(B$4/(B$5+W4674))-B$8*B$7+B$9*B$7+0.5*B$6*B$6*B$7)/(B$6*SQRT(B$7)))-(B$5+W4674)*EXP(-B$9*B$7)*NORMSDIST((LN(B$4/(B$5+W4674))-B$8*B$7+B$9*B$7-0.5*B$6*B$6*B$7)/(B$6*SQRT(B$7))))*400+100*X4674-400*$B$13</f>
        <v>171.49003007470856</v>
      </c>
      <c r="AA4674" s="3"/>
    </row>
    <row r="4675" spans="19:27" x14ac:dyDescent="0.25">
      <c r="S4675" s="4">
        <v>1.1349121381489558</v>
      </c>
      <c r="T4675" s="4">
        <v>-0.50183076417105632</v>
      </c>
      <c r="U4675" s="4">
        <f t="shared" ref="U4675:U4738" si="426">$B$19*S4675+SQRT(1-$B$19^2)*T4675</f>
        <v>0.2940705197917966</v>
      </c>
      <c r="W4675" s="4">
        <f t="shared" ref="W4675:W4738" si="427">S4675*SQRT($B$16)+$B$20</f>
        <v>1.9581844878828019</v>
      </c>
      <c r="X4675" s="4">
        <f t="shared" ref="X4675:X4738" si="428">U4675*SQRT($C$17)+$C$20</f>
        <v>0.58426312468519814</v>
      </c>
      <c r="Y4675" s="3">
        <f t="shared" si="425"/>
        <v>-245.56803486351646</v>
      </c>
      <c r="AA4675" s="3"/>
    </row>
    <row r="4676" spans="19:27" x14ac:dyDescent="0.25">
      <c r="S4676" s="4">
        <v>-0.58961252338074599</v>
      </c>
      <c r="T4676" s="4">
        <v>1.0551610992369242</v>
      </c>
      <c r="U4676" s="4">
        <f t="shared" si="426"/>
        <v>0.47697683245982386</v>
      </c>
      <c r="W4676" s="4">
        <f t="shared" si="427"/>
        <v>-0.97429509792910962</v>
      </c>
      <c r="X4676" s="4">
        <f t="shared" si="428"/>
        <v>0.90674447100449196</v>
      </c>
      <c r="Y4676" s="3">
        <f t="shared" si="425"/>
        <v>249.2726477974893</v>
      </c>
      <c r="AA4676" s="3"/>
    </row>
    <row r="4677" spans="19:27" x14ac:dyDescent="0.25">
      <c r="S4677" s="4">
        <v>0.81944619210811087</v>
      </c>
      <c r="T4677" s="4">
        <v>-0.149321795039285</v>
      </c>
      <c r="U4677" s="4">
        <f t="shared" si="426"/>
        <v>0.38118648689085044</v>
      </c>
      <c r="W4677" s="4">
        <f t="shared" si="427"/>
        <v>1.4217482933646948</v>
      </c>
      <c r="X4677" s="4">
        <f t="shared" si="428"/>
        <v>0.73785691784748852</v>
      </c>
      <c r="Y4677" s="3">
        <f t="shared" si="425"/>
        <v>-148.86518202433535</v>
      </c>
      <c r="AA4677" s="3"/>
    </row>
    <row r="4678" spans="19:27" x14ac:dyDescent="0.25">
      <c r="S4678" s="4">
        <v>-1.9952130440963185</v>
      </c>
      <c r="T4678" s="4">
        <v>-1.5761670511065853</v>
      </c>
      <c r="U4678" s="4">
        <f t="shared" si="426"/>
        <v>-2.4657414305096319</v>
      </c>
      <c r="W4678" s="4">
        <f t="shared" si="427"/>
        <v>-3.3644579786088049</v>
      </c>
      <c r="X4678" s="4">
        <f t="shared" si="428"/>
        <v>-4.2815496531197859</v>
      </c>
      <c r="Y4678" s="3">
        <f t="shared" si="425"/>
        <v>140.78051847193092</v>
      </c>
      <c r="AA4678" s="3"/>
    </row>
    <row r="4679" spans="19:27" x14ac:dyDescent="0.25">
      <c r="S4679" s="4">
        <v>3.0486898764191706</v>
      </c>
      <c r="T4679" s="4">
        <v>-0.91800437404143731</v>
      </c>
      <c r="U4679" s="4">
        <f t="shared" si="426"/>
        <v>1.1308546299316795</v>
      </c>
      <c r="W4679" s="4">
        <f t="shared" si="427"/>
        <v>5.2124807438033134</v>
      </c>
      <c r="X4679" s="4">
        <f t="shared" si="428"/>
        <v>2.0595936503531185</v>
      </c>
      <c r="Y4679" s="3">
        <f t="shared" si="425"/>
        <v>-561.20051302749016</v>
      </c>
      <c r="AA4679" s="3"/>
    </row>
    <row r="4680" spans="19:27" x14ac:dyDescent="0.25">
      <c r="S4680" s="4">
        <v>0.65297765063618285</v>
      </c>
      <c r="T4680" s="4">
        <v>0.26796795092492393</v>
      </c>
      <c r="U4680" s="4">
        <f t="shared" si="426"/>
        <v>0.61048580099912342</v>
      </c>
      <c r="W4680" s="4">
        <f t="shared" si="427"/>
        <v>1.1386757398453409</v>
      </c>
      <c r="X4680" s="4">
        <f t="shared" si="428"/>
        <v>1.142133568801222</v>
      </c>
      <c r="Y4680" s="3">
        <f t="shared" si="425"/>
        <v>-64.928800676244919</v>
      </c>
      <c r="AA4680" s="3"/>
    </row>
    <row r="4681" spans="19:27" x14ac:dyDescent="0.25">
      <c r="S4681" s="4">
        <v>-0.18184787013008366</v>
      </c>
      <c r="T4681" s="4">
        <v>0.22555123301197971</v>
      </c>
      <c r="U4681" s="4">
        <f t="shared" si="426"/>
        <v>6.793414327633196E-2</v>
      </c>
      <c r="W4681" s="4">
        <f t="shared" si="427"/>
        <v>-0.28090894454550652</v>
      </c>
      <c r="X4681" s="4">
        <f t="shared" si="428"/>
        <v>0.18556303562467819</v>
      </c>
      <c r="Y4681" s="3">
        <f t="shared" si="425"/>
        <v>63.776391445057016</v>
      </c>
      <c r="AA4681" s="3"/>
    </row>
    <row r="4682" spans="19:27" x14ac:dyDescent="0.25">
      <c r="S4682" s="4">
        <v>1.2041429898376492</v>
      </c>
      <c r="T4682" s="4">
        <v>-0.67469153850479879</v>
      </c>
      <c r="U4682" s="4">
        <f t="shared" si="426"/>
        <v>0.1992498354477229</v>
      </c>
      <c r="W4682" s="4">
        <f t="shared" si="427"/>
        <v>2.0759085563257451</v>
      </c>
      <c r="X4682" s="4">
        <f t="shared" si="428"/>
        <v>0.41708517713293303</v>
      </c>
      <c r="Y4682" s="3">
        <f t="shared" si="425"/>
        <v>-279.94418383010907</v>
      </c>
      <c r="AA4682" s="3"/>
    </row>
    <row r="4683" spans="19:27" x14ac:dyDescent="0.25">
      <c r="S4683" s="4">
        <v>0.27129612903945666</v>
      </c>
      <c r="T4683" s="4">
        <v>1.1391734912948746</v>
      </c>
      <c r="U4683" s="4">
        <f t="shared" si="426"/>
        <v>1.0684019081190237</v>
      </c>
      <c r="W4683" s="4">
        <f t="shared" si="427"/>
        <v>0.48964282351047034</v>
      </c>
      <c r="X4683" s="4">
        <f t="shared" si="428"/>
        <v>1.9494835206497052</v>
      </c>
      <c r="Y4683" s="3">
        <f t="shared" si="425"/>
        <v>117.10107846730125</v>
      </c>
      <c r="AA4683" s="3"/>
    </row>
    <row r="4684" spans="19:27" x14ac:dyDescent="0.25">
      <c r="S4684" s="4">
        <v>0.22550865497678224</v>
      </c>
      <c r="T4684" s="4">
        <v>0.11676300924268634</v>
      </c>
      <c r="U4684" s="4">
        <f t="shared" si="426"/>
        <v>0.23003221312391597</v>
      </c>
      <c r="W4684" s="4">
        <f t="shared" si="427"/>
        <v>0.41178320458476408</v>
      </c>
      <c r="X4684" s="4">
        <f t="shared" si="428"/>
        <v>0.47135745702927878</v>
      </c>
      <c r="Y4684" s="3">
        <f t="shared" si="425"/>
        <v>-18.415271939673858</v>
      </c>
      <c r="AA4684" s="3"/>
    </row>
    <row r="4685" spans="19:27" x14ac:dyDescent="0.25">
      <c r="S4685" s="4">
        <v>-1.9038298952005581</v>
      </c>
      <c r="T4685" s="4">
        <v>-0.7718080999593746</v>
      </c>
      <c r="U4685" s="4">
        <f t="shared" si="426"/>
        <v>-1.7724233030782393</v>
      </c>
      <c r="W4685" s="4">
        <f t="shared" si="427"/>
        <v>-3.2090648870502751</v>
      </c>
      <c r="X4685" s="4">
        <f t="shared" si="428"/>
        <v>-3.0591633948201826</v>
      </c>
      <c r="Y4685" s="3">
        <f t="shared" si="425"/>
        <v>235.4093152284504</v>
      </c>
      <c r="AA4685" s="3"/>
    </row>
    <row r="4686" spans="19:27" x14ac:dyDescent="0.25">
      <c r="S4686" s="4">
        <v>0.45674198542397254</v>
      </c>
      <c r="T4686" s="4">
        <v>0.69634699408415812</v>
      </c>
      <c r="U4686" s="4">
        <f t="shared" si="426"/>
        <v>0.83042880969777277</v>
      </c>
      <c r="W4686" s="4">
        <f t="shared" si="427"/>
        <v>0.80498548010003756</v>
      </c>
      <c r="X4686" s="4">
        <f t="shared" si="428"/>
        <v>1.5299141572568495</v>
      </c>
      <c r="Y4686" s="3">
        <f t="shared" si="425"/>
        <v>25.660084708667</v>
      </c>
      <c r="AA4686" s="3"/>
    </row>
    <row r="4687" spans="19:27" x14ac:dyDescent="0.25">
      <c r="S4687" s="4">
        <v>1.1988637671060471</v>
      </c>
      <c r="T4687" s="4">
        <v>-1.0852617707482199</v>
      </c>
      <c r="U4687" s="4">
        <f t="shared" si="426"/>
        <v>-0.12942424283229981</v>
      </c>
      <c r="W4687" s="4">
        <f t="shared" si="427"/>
        <v>2.0669314664442671</v>
      </c>
      <c r="X4687" s="4">
        <f t="shared" si="428"/>
        <v>-0.16239870025716857</v>
      </c>
      <c r="Y4687" s="3">
        <f t="shared" si="425"/>
        <v>-336.54846397558003</v>
      </c>
      <c r="AA4687" s="3"/>
    </row>
    <row r="4688" spans="19:27" x14ac:dyDescent="0.25">
      <c r="S4688" s="4">
        <v>0.92306966744941332</v>
      </c>
      <c r="T4688" s="4">
        <v>-1.1347996008883834</v>
      </c>
      <c r="U4688" s="4">
        <f t="shared" si="426"/>
        <v>-0.33682272204814845</v>
      </c>
      <c r="W4688" s="4">
        <f t="shared" si="427"/>
        <v>1.5979555305402473</v>
      </c>
      <c r="X4688" s="4">
        <f t="shared" si="428"/>
        <v>-0.52806208183487946</v>
      </c>
      <c r="Y4688" s="3">
        <f t="shared" si="425"/>
        <v>-302.33607946344864</v>
      </c>
      <c r="AA4688" s="3"/>
    </row>
    <row r="4689" spans="19:27" x14ac:dyDescent="0.25">
      <c r="S4689" s="4">
        <v>-0.78645867254402435</v>
      </c>
      <c r="T4689" s="4">
        <v>-0.5206087352902391</v>
      </c>
      <c r="U4689" s="4">
        <f t="shared" si="426"/>
        <v>-0.89212514358817052</v>
      </c>
      <c r="W4689" s="4">
        <f t="shared" si="427"/>
        <v>-1.3090234592243117</v>
      </c>
      <c r="X4689" s="4">
        <f t="shared" si="428"/>
        <v>-1.5071134327721687</v>
      </c>
      <c r="Y4689" s="3">
        <f t="shared" si="425"/>
        <v>63.521409451574073</v>
      </c>
      <c r="AA4689" s="3"/>
    </row>
    <row r="4690" spans="19:27" x14ac:dyDescent="0.25">
      <c r="S4690" s="4">
        <v>0.48541476765737496</v>
      </c>
      <c r="T4690" s="4">
        <v>-1.5152062737451337</v>
      </c>
      <c r="U4690" s="4">
        <f t="shared" si="426"/>
        <v>-0.90517224737821778</v>
      </c>
      <c r="W4690" s="4">
        <f t="shared" si="427"/>
        <v>0.85374230593359768</v>
      </c>
      <c r="X4690" s="4">
        <f t="shared" si="428"/>
        <v>-1.5301167262857092</v>
      </c>
      <c r="Y4690" s="3">
        <f t="shared" si="425"/>
        <v>-287.94864998597495</v>
      </c>
      <c r="AA4690" s="3"/>
    </row>
    <row r="4691" spans="19:27" x14ac:dyDescent="0.25">
      <c r="S4691" s="4">
        <v>0.29168992617947281</v>
      </c>
      <c r="T4691" s="4">
        <v>0.23977871192708095</v>
      </c>
      <c r="U4691" s="4">
        <f t="shared" si="426"/>
        <v>0.3678913583980673</v>
      </c>
      <c r="W4691" s="4">
        <f t="shared" si="427"/>
        <v>0.52432159333289696</v>
      </c>
      <c r="X4691" s="4">
        <f t="shared" si="428"/>
        <v>0.71441633302949836</v>
      </c>
      <c r="Y4691" s="3">
        <f t="shared" si="425"/>
        <v>-11.872397154133523</v>
      </c>
      <c r="AA4691" s="3"/>
    </row>
    <row r="4692" spans="19:27" x14ac:dyDescent="0.25">
      <c r="S4692" s="4">
        <v>-1.6413169819335123</v>
      </c>
      <c r="T4692" s="4">
        <v>-0.28930290273570269</v>
      </c>
      <c r="U4692" s="4">
        <f t="shared" si="426"/>
        <v>-1.2299115550649147</v>
      </c>
      <c r="W4692" s="4">
        <f t="shared" si="427"/>
        <v>-2.7626730340716241</v>
      </c>
      <c r="X4692" s="4">
        <f t="shared" si="428"/>
        <v>-2.1026632262836138</v>
      </c>
      <c r="Y4692" s="3">
        <f t="shared" si="425"/>
        <v>252.4726992931719</v>
      </c>
      <c r="AA4692" s="3"/>
    </row>
    <row r="4693" spans="19:27" x14ac:dyDescent="0.25">
      <c r="S4693" s="4">
        <v>-0.1145654274109337</v>
      </c>
      <c r="T4693" s="4">
        <v>1.0801469157440751</v>
      </c>
      <c r="U4693" s="4">
        <f t="shared" si="426"/>
        <v>0.78638219867600068</v>
      </c>
      <c r="W4693" s="4">
        <f t="shared" si="427"/>
        <v>-0.16649806126915373</v>
      </c>
      <c r="X4693" s="4">
        <f t="shared" si="428"/>
        <v>1.4522557636458877</v>
      </c>
      <c r="Y4693" s="3">
        <f t="shared" si="425"/>
        <v>171.97868988644041</v>
      </c>
      <c r="AA4693" s="3"/>
    </row>
    <row r="4694" spans="19:27" x14ac:dyDescent="0.25">
      <c r="S4694" s="4">
        <v>-6.5351382084573029E-2</v>
      </c>
      <c r="T4694" s="4">
        <v>0.35428735687906027</v>
      </c>
      <c r="U4694" s="4">
        <f t="shared" si="426"/>
        <v>0.24100109958008725</v>
      </c>
      <c r="W4694" s="4">
        <f t="shared" si="427"/>
        <v>-8.2811706139410537E-2</v>
      </c>
      <c r="X4694" s="4">
        <f t="shared" si="428"/>
        <v>0.49069665435064003</v>
      </c>
      <c r="Y4694" s="3">
        <f t="shared" si="425"/>
        <v>62.358010989393279</v>
      </c>
      <c r="AA4694" s="3"/>
    </row>
    <row r="4695" spans="19:27" x14ac:dyDescent="0.25">
      <c r="S4695" s="4">
        <v>3.225611071422646E-2</v>
      </c>
      <c r="T4695" s="4">
        <v>-0.64286864107187214</v>
      </c>
      <c r="U4695" s="4">
        <f t="shared" si="426"/>
        <v>-0.48993279621930974</v>
      </c>
      <c r="W4695" s="4">
        <f t="shared" si="427"/>
        <v>8.3165612967680019E-2</v>
      </c>
      <c r="X4695" s="4">
        <f t="shared" si="428"/>
        <v>-0.79800980607432825</v>
      </c>
      <c r="Y4695" s="3">
        <f t="shared" si="425"/>
        <v>-93.110428479616075</v>
      </c>
      <c r="AA4695" s="3"/>
    </row>
    <row r="4696" spans="19:27" x14ac:dyDescent="0.25">
      <c r="S4696" s="4">
        <v>-0.75009632386093528</v>
      </c>
      <c r="T4696" s="4">
        <v>0.17734235539967635</v>
      </c>
      <c r="U4696" s="4">
        <f t="shared" si="426"/>
        <v>-0.31669758531939107</v>
      </c>
      <c r="W4696" s="4">
        <f t="shared" si="427"/>
        <v>-1.2471908582855999</v>
      </c>
      <c r="X4696" s="4">
        <f t="shared" si="428"/>
        <v>-0.49257953838145152</v>
      </c>
      <c r="Y4696" s="3">
        <f t="shared" si="425"/>
        <v>154.6532813544809</v>
      </c>
      <c r="AA4696" s="3"/>
    </row>
    <row r="4697" spans="19:27" x14ac:dyDescent="0.25">
      <c r="S4697" s="4">
        <v>-5.6237718948933734E-3</v>
      </c>
      <c r="T4697" s="4">
        <v>-1.150176900112063</v>
      </c>
      <c r="U4697" s="4">
        <f t="shared" si="426"/>
        <v>-0.91516442591158265</v>
      </c>
      <c r="W4697" s="4">
        <f t="shared" si="427"/>
        <v>1.8752511234671039E-2</v>
      </c>
      <c r="X4697" s="4">
        <f t="shared" si="428"/>
        <v>-1.5477338939990546</v>
      </c>
      <c r="Y4697" s="3">
        <f t="shared" si="425"/>
        <v>-157.77757746769657</v>
      </c>
      <c r="AA4697" s="3"/>
    </row>
    <row r="4698" spans="19:27" x14ac:dyDescent="0.25">
      <c r="S4698" s="4">
        <v>0.11686848518009628</v>
      </c>
      <c r="T4698" s="4">
        <v>0.58005943086052603</v>
      </c>
      <c r="U4698" s="4">
        <f t="shared" si="426"/>
        <v>0.53105411747213849</v>
      </c>
      <c r="W4698" s="4">
        <f t="shared" si="427"/>
        <v>0.22704529550474692</v>
      </c>
      <c r="X4698" s="4">
        <f t="shared" si="428"/>
        <v>1.0020879035065446</v>
      </c>
      <c r="Y4698" s="3">
        <f t="shared" si="425"/>
        <v>63.957803293993493</v>
      </c>
      <c r="AA4698" s="3"/>
    </row>
    <row r="4699" spans="19:27" x14ac:dyDescent="0.25">
      <c r="S4699" s="4">
        <v>-0.5029773121033031</v>
      </c>
      <c r="T4699" s="4">
        <v>-1.2043223103832283</v>
      </c>
      <c r="U4699" s="4">
        <f t="shared" si="426"/>
        <v>-1.2612828754859771</v>
      </c>
      <c r="W4699" s="4">
        <f t="shared" si="427"/>
        <v>-0.82697566889975127</v>
      </c>
      <c r="X4699" s="4">
        <f t="shared" si="428"/>
        <v>-2.1579738686426877</v>
      </c>
      <c r="Y4699" s="3">
        <f t="shared" si="425"/>
        <v>-81.498228538204785</v>
      </c>
      <c r="AA4699" s="3"/>
    </row>
    <row r="4700" spans="19:27" x14ac:dyDescent="0.25">
      <c r="S4700" s="4">
        <v>0.87601496979368776</v>
      </c>
      <c r="T4700" s="4">
        <v>-0.27120754487141724</v>
      </c>
      <c r="U4700" s="4">
        <f t="shared" si="426"/>
        <v>0.31905421480782448</v>
      </c>
      <c r="W4700" s="4">
        <f t="shared" si="427"/>
        <v>1.5179410527133146</v>
      </c>
      <c r="X4700" s="4">
        <f t="shared" si="428"/>
        <v>0.62831177170714236</v>
      </c>
      <c r="Y4700" s="3">
        <f t="shared" si="425"/>
        <v>-174.51251961088474</v>
      </c>
      <c r="AA4700" s="3"/>
    </row>
    <row r="4701" spans="19:27" x14ac:dyDescent="0.25">
      <c r="S4701" s="4">
        <v>0.46861456810630669</v>
      </c>
      <c r="T4701" s="4">
        <v>-1.4294789649481117</v>
      </c>
      <c r="U4701" s="4">
        <f t="shared" si="426"/>
        <v>-0.84745867037955303</v>
      </c>
      <c r="W4701" s="4">
        <f t="shared" si="427"/>
        <v>0.82517429335593262</v>
      </c>
      <c r="X4701" s="4">
        <f t="shared" si="428"/>
        <v>-1.4283621627610954</v>
      </c>
      <c r="Y4701" s="3">
        <f t="shared" si="425"/>
        <v>-273.31829943967477</v>
      </c>
      <c r="AA4701" s="3"/>
    </row>
    <row r="4702" spans="19:27" x14ac:dyDescent="0.25">
      <c r="S4702" s="4">
        <v>-1.3843402150698898</v>
      </c>
      <c r="T4702" s="4">
        <v>5.831178292719591E-3</v>
      </c>
      <c r="U4702" s="4">
        <f t="shared" si="426"/>
        <v>-0.83930235380860763</v>
      </c>
      <c r="W4702" s="4">
        <f t="shared" si="427"/>
        <v>-2.3256951585641357</v>
      </c>
      <c r="X4702" s="4">
        <f t="shared" si="428"/>
        <v>-1.4139817955094809</v>
      </c>
      <c r="Y4702" s="3">
        <f t="shared" si="425"/>
        <v>245.4515172920128</v>
      </c>
      <c r="AA4702" s="3"/>
    </row>
    <row r="4703" spans="19:27" x14ac:dyDescent="0.25">
      <c r="S4703" s="4">
        <v>0.20314925405503792</v>
      </c>
      <c r="T4703" s="4">
        <v>-0.46362579711463148</v>
      </c>
      <c r="U4703" s="4">
        <f t="shared" si="426"/>
        <v>-0.24366815123905833</v>
      </c>
      <c r="W4703" s="4">
        <f t="shared" si="427"/>
        <v>0.37376201056145669</v>
      </c>
      <c r="X4703" s="4">
        <f t="shared" si="428"/>
        <v>-0.36382165200983174</v>
      </c>
      <c r="Y4703" s="3">
        <f t="shared" si="425"/>
        <v>-95.917240185160608</v>
      </c>
      <c r="AA4703" s="3"/>
    </row>
    <row r="4704" spans="19:27" x14ac:dyDescent="0.25">
      <c r="S4704" s="4">
        <v>-0.29315635402012707</v>
      </c>
      <c r="T4704" s="4">
        <v>0.84998777453615171</v>
      </c>
      <c r="U4704" s="4">
        <f t="shared" si="426"/>
        <v>0.49506387079895375</v>
      </c>
      <c r="W4704" s="4">
        <f t="shared" si="427"/>
        <v>-0.47018420631282254</v>
      </c>
      <c r="X4704" s="4">
        <f t="shared" si="428"/>
        <v>0.93863365180667468</v>
      </c>
      <c r="Y4704" s="3">
        <f t="shared" si="425"/>
        <v>169.7835750415752</v>
      </c>
      <c r="AA4704" s="3"/>
    </row>
    <row r="4705" spans="19:27" x14ac:dyDescent="0.25">
      <c r="S4705" s="4">
        <v>0.47552079449804474</v>
      </c>
      <c r="T4705" s="4">
        <v>-1.87934804155097</v>
      </c>
      <c r="U4705" s="4">
        <f t="shared" si="426"/>
        <v>-1.1998561072713163</v>
      </c>
      <c r="W4705" s="4">
        <f t="shared" si="427"/>
        <v>0.8369180325790081</v>
      </c>
      <c r="X4705" s="4">
        <f t="shared" si="428"/>
        <v>-2.0496725933889457</v>
      </c>
      <c r="Y4705" s="3">
        <f t="shared" si="425"/>
        <v>-337.28116418492345</v>
      </c>
      <c r="AA4705" s="3"/>
    </row>
    <row r="4706" spans="19:27" x14ac:dyDescent="0.25">
      <c r="S4706" s="4">
        <v>-0.76629306594421154</v>
      </c>
      <c r="T4706" s="4">
        <v>-0.55427062367646995</v>
      </c>
      <c r="U4706" s="4">
        <f t="shared" si="426"/>
        <v>-0.90651525013907597</v>
      </c>
      <c r="W4706" s="4">
        <f t="shared" si="427"/>
        <v>-1.2747327175442187</v>
      </c>
      <c r="X4706" s="4">
        <f t="shared" si="428"/>
        <v>-1.5324845687735631</v>
      </c>
      <c r="Y4706" s="3">
        <f t="shared" si="425"/>
        <v>55.257761326592117</v>
      </c>
      <c r="AA4706" s="3"/>
    </row>
    <row r="4707" spans="19:27" x14ac:dyDescent="0.25">
      <c r="S4707" s="4">
        <v>0.43808152046523369</v>
      </c>
      <c r="T4707" s="4">
        <v>1.7140236780133042</v>
      </c>
      <c r="U4707" s="4">
        <f t="shared" si="426"/>
        <v>1.6257571591210649</v>
      </c>
      <c r="W4707" s="4">
        <f t="shared" si="427"/>
        <v>0.77325416666974955</v>
      </c>
      <c r="X4707" s="4">
        <f t="shared" si="428"/>
        <v>2.9321542065296726</v>
      </c>
      <c r="Y4707" s="3">
        <f t="shared" si="425"/>
        <v>170.84041608622192</v>
      </c>
      <c r="AA4707" s="3"/>
    </row>
    <row r="4708" spans="19:27" x14ac:dyDescent="0.25">
      <c r="S4708" s="4">
        <v>-0.61969116014193248</v>
      </c>
      <c r="T4708" s="4">
        <v>-8.2301429272402499E-2</v>
      </c>
      <c r="U4708" s="4">
        <f t="shared" si="426"/>
        <v>-0.44301724381228286</v>
      </c>
      <c r="W4708" s="4">
        <f t="shared" si="427"/>
        <v>-1.0254425185713814</v>
      </c>
      <c r="X4708" s="4">
        <f t="shared" si="428"/>
        <v>-0.71529319404032443</v>
      </c>
      <c r="Y4708" s="3">
        <f t="shared" si="425"/>
        <v>95.531837314979384</v>
      </c>
      <c r="AA4708" s="3"/>
    </row>
    <row r="4709" spans="19:27" x14ac:dyDescent="0.25">
      <c r="S4709" s="4">
        <v>-0.66189998002055506</v>
      </c>
      <c r="T4709" s="4">
        <v>0.91816896651252033</v>
      </c>
      <c r="U4709" s="4">
        <f t="shared" si="426"/>
        <v>0.32431621575690706</v>
      </c>
      <c r="W4709" s="4">
        <f t="shared" si="427"/>
        <v>-1.0972167908659158</v>
      </c>
      <c r="X4709" s="4">
        <f t="shared" si="428"/>
        <v>0.63758918332646364</v>
      </c>
      <c r="Y4709" s="3">
        <f t="shared" si="425"/>
        <v>242.71917701304574</v>
      </c>
      <c r="AA4709" s="3"/>
    </row>
    <row r="4710" spans="19:27" x14ac:dyDescent="0.25">
      <c r="S4710" s="4">
        <v>-0.69457341752057866</v>
      </c>
      <c r="T4710" s="4">
        <v>-0.9997441663756983</v>
      </c>
      <c r="U4710" s="4">
        <f t="shared" si="426"/>
        <v>-1.2159166742082519</v>
      </c>
      <c r="W4710" s="4">
        <f t="shared" si="427"/>
        <v>-1.152776557916235</v>
      </c>
      <c r="X4710" s="4">
        <f t="shared" si="428"/>
        <v>-2.077988911032254</v>
      </c>
      <c r="Y4710" s="3">
        <f t="shared" si="425"/>
        <v>-19.609044610708224</v>
      </c>
      <c r="AA4710" s="3"/>
    </row>
    <row r="4711" spans="19:27" x14ac:dyDescent="0.25">
      <c r="S4711" s="4">
        <v>0.60059385086396877</v>
      </c>
      <c r="T4711" s="4">
        <v>-0.38996623654788681</v>
      </c>
      <c r="U4711" s="4">
        <f t="shared" si="426"/>
        <v>5.7012288481031625E-2</v>
      </c>
      <c r="W4711" s="4">
        <f t="shared" si="427"/>
        <v>1.0495993544006605</v>
      </c>
      <c r="X4711" s="4">
        <f t="shared" si="428"/>
        <v>0.16630675962569264</v>
      </c>
      <c r="Y4711" s="3">
        <f t="shared" si="425"/>
        <v>-148.73632164509672</v>
      </c>
      <c r="AA4711" s="3"/>
    </row>
    <row r="4712" spans="19:27" x14ac:dyDescent="0.25">
      <c r="S4712" s="4">
        <v>-0.22064748937443562</v>
      </c>
      <c r="T4712" s="4">
        <v>0.20204545535757554</v>
      </c>
      <c r="U4712" s="4">
        <f t="shared" si="426"/>
        <v>2.5648187347947965E-2</v>
      </c>
      <c r="W4712" s="4">
        <f t="shared" si="427"/>
        <v>-0.34688601863989027</v>
      </c>
      <c r="X4712" s="4">
        <f t="shared" si="428"/>
        <v>0.11100884556272253</v>
      </c>
      <c r="Y4712" s="3">
        <f t="shared" si="425"/>
        <v>67.001184123050734</v>
      </c>
      <c r="AA4712" s="3"/>
    </row>
    <row r="4713" spans="19:27" x14ac:dyDescent="0.25">
      <c r="S4713" s="4">
        <v>-0.55540816705293439</v>
      </c>
      <c r="T4713" s="4">
        <v>0.91431657977880731</v>
      </c>
      <c r="U4713" s="4">
        <f t="shared" si="426"/>
        <v>0.38618224475398277</v>
      </c>
      <c r="W4713" s="4">
        <f t="shared" si="427"/>
        <v>-0.91613206963807203</v>
      </c>
      <c r="X4713" s="4">
        <f t="shared" si="428"/>
        <v>0.7466649174079637</v>
      </c>
      <c r="Y4713" s="3">
        <f t="shared" si="425"/>
        <v>223.65761220945842</v>
      </c>
      <c r="AA4713" s="3"/>
    </row>
    <row r="4714" spans="19:27" x14ac:dyDescent="0.25">
      <c r="S4714" s="4">
        <v>-1.4074175056000664</v>
      </c>
      <c r="T4714" s="4">
        <v>0.61158625743837458</v>
      </c>
      <c r="U4714" s="4">
        <f t="shared" si="426"/>
        <v>-0.37319356834195072</v>
      </c>
      <c r="W4714" s="4">
        <f t="shared" si="427"/>
        <v>-2.3649370928114339</v>
      </c>
      <c r="X4714" s="4">
        <f t="shared" si="428"/>
        <v>-0.59218736711623166</v>
      </c>
      <c r="Y4714" s="3">
        <f t="shared" si="425"/>
        <v>334.40416040410491</v>
      </c>
      <c r="AA4714" s="3"/>
    </row>
    <row r="4715" spans="19:27" x14ac:dyDescent="0.25">
      <c r="S4715" s="4">
        <v>0.95048110723421109</v>
      </c>
      <c r="T4715" s="4">
        <v>0.5641278420389414</v>
      </c>
      <c r="U4715" s="4">
        <f t="shared" si="426"/>
        <v>1.0266141280108754</v>
      </c>
      <c r="W4715" s="4">
        <f t="shared" si="427"/>
        <v>1.6445674981043004</v>
      </c>
      <c r="X4715" s="4">
        <f t="shared" si="428"/>
        <v>1.8758076622695263</v>
      </c>
      <c r="Y4715" s="3">
        <f t="shared" si="425"/>
        <v>-69.03323981152289</v>
      </c>
      <c r="AA4715" s="3"/>
    </row>
    <row r="4716" spans="19:27" x14ac:dyDescent="0.25">
      <c r="S4716" s="4">
        <v>1.4733447758278524</v>
      </c>
      <c r="T4716" s="4">
        <v>1.7799827957883971E-2</v>
      </c>
      <c r="U4716" s="4">
        <f t="shared" si="426"/>
        <v>0.91229362995772389</v>
      </c>
      <c r="W4716" s="4">
        <f t="shared" si="427"/>
        <v>2.5336745480165406</v>
      </c>
      <c r="X4716" s="4">
        <f t="shared" si="428"/>
        <v>1.6742496756352201</v>
      </c>
      <c r="Y4716" s="3">
        <f t="shared" si="425"/>
        <v>-222.23606020994066</v>
      </c>
      <c r="AA4716" s="3"/>
    </row>
    <row r="4717" spans="19:27" x14ac:dyDescent="0.25">
      <c r="S4717" s="4">
        <v>-0.49847733477235784</v>
      </c>
      <c r="T4717" s="4">
        <v>-0.34179402666106151</v>
      </c>
      <c r="U4717" s="4">
        <f t="shared" si="426"/>
        <v>-0.57482030228584602</v>
      </c>
      <c r="W4717" s="4">
        <f t="shared" si="427"/>
        <v>-0.81932365211275548</v>
      </c>
      <c r="X4717" s="4">
        <f t="shared" si="428"/>
        <v>-0.94767460901477385</v>
      </c>
      <c r="Y4717" s="3">
        <f t="shared" si="425"/>
        <v>38.272673363442209</v>
      </c>
      <c r="AA4717" s="3"/>
    </row>
    <row r="4718" spans="19:27" x14ac:dyDescent="0.25">
      <c r="S4718" s="4">
        <v>-0.74507729658791122</v>
      </c>
      <c r="T4718" s="4">
        <v>-0.27430590058576837</v>
      </c>
      <c r="U4718" s="4">
        <f t="shared" si="426"/>
        <v>-0.67165584219767049</v>
      </c>
      <c r="W4718" s="4">
        <f t="shared" si="427"/>
        <v>-1.2386562195256525</v>
      </c>
      <c r="X4718" s="4">
        <f t="shared" si="428"/>
        <v>-1.1184049398973317</v>
      </c>
      <c r="Y4718" s="3">
        <f t="shared" si="425"/>
        <v>90.64766516354257</v>
      </c>
      <c r="AA4718" s="3"/>
    </row>
    <row r="4719" spans="19:27" x14ac:dyDescent="0.25">
      <c r="S4719" s="4">
        <v>-1.257391852631677</v>
      </c>
      <c r="T4719" s="4">
        <v>0.72433372374503902</v>
      </c>
      <c r="U4719" s="4">
        <f t="shared" si="426"/>
        <v>-0.19236056624510522</v>
      </c>
      <c r="W4719" s="4">
        <f t="shared" si="427"/>
        <v>-2.1098249598903203</v>
      </c>
      <c r="X4719" s="4">
        <f t="shared" si="428"/>
        <v>-0.27336146589656229</v>
      </c>
      <c r="Y4719" s="3">
        <f t="shared" si="425"/>
        <v>322.40148257042165</v>
      </c>
      <c r="AA4719" s="3"/>
    </row>
    <row r="4720" spans="19:27" x14ac:dyDescent="0.25">
      <c r="S4720" s="4">
        <v>-0.12186822554839032</v>
      </c>
      <c r="T4720" s="4">
        <v>-1.6453432415840321</v>
      </c>
      <c r="U4720" s="4">
        <f t="shared" si="426"/>
        <v>-1.3785440454203592</v>
      </c>
      <c r="W4720" s="4">
        <f t="shared" si="427"/>
        <v>-0.17891615359054786</v>
      </c>
      <c r="X4720" s="4">
        <f t="shared" si="428"/>
        <v>-2.3647165414341291</v>
      </c>
      <c r="Y4720" s="3">
        <f t="shared" si="425"/>
        <v>-207.71743133117934</v>
      </c>
      <c r="AA4720" s="3"/>
    </row>
    <row r="4721" spans="19:27" x14ac:dyDescent="0.25">
      <c r="S4721" s="4">
        <v>1.0156608424322304</v>
      </c>
      <c r="T4721" s="4">
        <v>-2.1782204970340078</v>
      </c>
      <c r="U4721" s="4">
        <f t="shared" si="426"/>
        <v>-1.107488492667507</v>
      </c>
      <c r="W4721" s="4">
        <f t="shared" si="427"/>
        <v>1.7554028182018817</v>
      </c>
      <c r="X4721" s="4">
        <f t="shared" si="428"/>
        <v>-1.8868196427212403</v>
      </c>
      <c r="Y4721" s="3">
        <f t="shared" si="425"/>
        <v>-462.09699275640105</v>
      </c>
      <c r="AA4721" s="3"/>
    </row>
    <row r="4722" spans="19:27" x14ac:dyDescent="0.25">
      <c r="S4722" s="4">
        <v>-6.5628240240818911E-2</v>
      </c>
      <c r="T4722" s="4">
        <v>2.0012162746533422</v>
      </c>
      <c r="U4722" s="4">
        <f t="shared" si="426"/>
        <v>1.5463397295515575</v>
      </c>
      <c r="W4722" s="4">
        <f t="shared" si="427"/>
        <v>-8.328249145751461E-2</v>
      </c>
      <c r="X4722" s="4">
        <f t="shared" si="428"/>
        <v>2.7921336723271413</v>
      </c>
      <c r="Y4722" s="3">
        <f t="shared" si="425"/>
        <v>292.57735861369292</v>
      </c>
      <c r="AA4722" s="3"/>
    </row>
    <row r="4723" spans="19:27" x14ac:dyDescent="0.25">
      <c r="S4723" s="4">
        <v>0.24769537993555363</v>
      </c>
      <c r="T4723" s="4">
        <v>-0.80494249465658263</v>
      </c>
      <c r="U4723" s="4">
        <f t="shared" si="426"/>
        <v>-0.48707086106804842</v>
      </c>
      <c r="W4723" s="4">
        <f t="shared" si="427"/>
        <v>0.44951077060281613</v>
      </c>
      <c r="X4723" s="4">
        <f t="shared" si="428"/>
        <v>-0.79296394031280937</v>
      </c>
      <c r="Y4723" s="3">
        <f t="shared" si="425"/>
        <v>-150.80955644332971</v>
      </c>
      <c r="AA4723" s="3"/>
    </row>
    <row r="4724" spans="19:27" x14ac:dyDescent="0.25">
      <c r="S4724" s="4">
        <v>-0.93532288089103832</v>
      </c>
      <c r="T4724" s="4">
        <v>-0.96221199238137878</v>
      </c>
      <c r="U4724" s="4">
        <f t="shared" si="426"/>
        <v>-1.3329314638668137</v>
      </c>
      <c r="W4724" s="4">
        <f t="shared" si="427"/>
        <v>-1.5621606058096469</v>
      </c>
      <c r="X4724" s="4">
        <f t="shared" si="428"/>
        <v>-2.2842971918013859</v>
      </c>
      <c r="Y4724" s="3">
        <f t="shared" si="425"/>
        <v>28.26901120983166</v>
      </c>
      <c r="AA4724" s="3"/>
    </row>
    <row r="4725" spans="19:27" x14ac:dyDescent="0.25">
      <c r="S4725" s="4">
        <v>0.33988203019598073</v>
      </c>
      <c r="T4725" s="4">
        <v>1.4827889674305992</v>
      </c>
      <c r="U4725" s="4">
        <f t="shared" si="426"/>
        <v>1.3825946492595667</v>
      </c>
      <c r="W4725" s="4">
        <f t="shared" si="427"/>
        <v>0.60627018147333955</v>
      </c>
      <c r="X4725" s="4">
        <f t="shared" si="428"/>
        <v>2.5034354137735284</v>
      </c>
      <c r="Y4725" s="3">
        <f t="shared" si="425"/>
        <v>154.1356345476006</v>
      </c>
      <c r="AA4725" s="3"/>
    </row>
    <row r="4726" spans="19:27" x14ac:dyDescent="0.25">
      <c r="S4726" s="4">
        <v>0.69801549066447488</v>
      </c>
      <c r="T4726" s="4">
        <v>-1.1318594804464748</v>
      </c>
      <c r="U4726" s="4">
        <f t="shared" si="426"/>
        <v>-0.47169015958297877</v>
      </c>
      <c r="W4726" s="4">
        <f t="shared" si="427"/>
        <v>1.2152606385239582</v>
      </c>
      <c r="X4726" s="4">
        <f t="shared" si="428"/>
        <v>-0.76584629057240516</v>
      </c>
      <c r="Y4726" s="3">
        <f t="shared" si="425"/>
        <v>-267.53803134946338</v>
      </c>
      <c r="AA4726" s="3"/>
    </row>
    <row r="4727" spans="19:27" x14ac:dyDescent="0.25">
      <c r="S4727" s="4">
        <v>-0.9214899018662428</v>
      </c>
      <c r="T4727" s="4">
        <v>1.3033209501357997E-2</v>
      </c>
      <c r="U4727" s="4">
        <f t="shared" si="426"/>
        <v>-0.55142948317218055</v>
      </c>
      <c r="W4727" s="4">
        <f t="shared" si="427"/>
        <v>-1.538638223378076</v>
      </c>
      <c r="X4727" s="4">
        <f t="shared" si="428"/>
        <v>-0.90643435475970857</v>
      </c>
      <c r="Y4727" s="3">
        <f t="shared" si="425"/>
        <v>162.09492134154243</v>
      </c>
      <c r="AA4727" s="3"/>
    </row>
    <row r="4728" spans="19:27" x14ac:dyDescent="0.25">
      <c r="S4728" s="4">
        <v>0.48269195338011067</v>
      </c>
      <c r="T4728" s="4">
        <v>-1.467314992082055</v>
      </c>
      <c r="U4728" s="4">
        <f t="shared" si="426"/>
        <v>-0.86886909896155284</v>
      </c>
      <c r="W4728" s="4">
        <f t="shared" si="427"/>
        <v>0.84911227804118583</v>
      </c>
      <c r="X4728" s="4">
        <f t="shared" si="428"/>
        <v>-1.4661107988452304</v>
      </c>
      <c r="Y4728" s="3">
        <f t="shared" si="425"/>
        <v>-280.82633348921991</v>
      </c>
      <c r="AA4728" s="3"/>
    </row>
    <row r="4729" spans="19:27" x14ac:dyDescent="0.25">
      <c r="S4729" s="4">
        <v>-0.70299248388321955</v>
      </c>
      <c r="T4729" s="4">
        <v>-0.50877710371220863</v>
      </c>
      <c r="U4729" s="4">
        <f t="shared" si="426"/>
        <v>-0.83186345277225526</v>
      </c>
      <c r="W4729" s="4">
        <f t="shared" si="427"/>
        <v>-1.1670928160659679</v>
      </c>
      <c r="X4729" s="4">
        <f t="shared" si="428"/>
        <v>-1.4008663005528204</v>
      </c>
      <c r="Y4729" s="3">
        <f t="shared" si="425"/>
        <v>50.484066223572427</v>
      </c>
      <c r="AA4729" s="3"/>
    </row>
    <row r="4730" spans="19:27" x14ac:dyDescent="0.25">
      <c r="S4730" s="4">
        <v>-0.40880094211288343</v>
      </c>
      <c r="T4730" s="4">
        <v>-1.3245789956358696</v>
      </c>
      <c r="U4730" s="4">
        <f t="shared" si="426"/>
        <v>-1.2991973737143923</v>
      </c>
      <c r="W4730" s="4">
        <f t="shared" si="427"/>
        <v>-0.666832825701554</v>
      </c>
      <c r="X4730" s="4">
        <f t="shared" si="428"/>
        <v>-2.2248207601215571</v>
      </c>
      <c r="Y4730" s="3">
        <f t="shared" si="425"/>
        <v>-114.46809276007707</v>
      </c>
      <c r="AA4730" s="3"/>
    </row>
    <row r="4731" spans="19:27" x14ac:dyDescent="0.25">
      <c r="S4731" s="4">
        <v>-0.21449668768987565</v>
      </c>
      <c r="T4731" s="4">
        <v>-0.23334338437338611</v>
      </c>
      <c r="U4731" s="4">
        <f t="shared" si="426"/>
        <v>-0.3157314050995268</v>
      </c>
      <c r="W4731" s="4">
        <f t="shared" si="427"/>
        <v>-0.33642684645249443</v>
      </c>
      <c r="X4731" s="4">
        <f t="shared" si="428"/>
        <v>-0.49087607012196932</v>
      </c>
      <c r="Y4731" s="3">
        <f t="shared" si="425"/>
        <v>5.1180775875054678</v>
      </c>
      <c r="AA4731" s="3"/>
    </row>
    <row r="4732" spans="19:27" x14ac:dyDescent="0.25">
      <c r="S4732" s="4">
        <v>-0.225709528419508</v>
      </c>
      <c r="T4732" s="4">
        <v>-0.10437999844301038</v>
      </c>
      <c r="U4732" s="4">
        <f t="shared" si="426"/>
        <v>-0.22033875622511262</v>
      </c>
      <c r="W4732" s="4">
        <f t="shared" si="427"/>
        <v>-0.35549379705756173</v>
      </c>
      <c r="X4732" s="4">
        <f t="shared" si="428"/>
        <v>-0.32268969432520811</v>
      </c>
      <c r="Y4732" s="3">
        <f t="shared" si="425"/>
        <v>25.026405464610434</v>
      </c>
      <c r="AA4732" s="3"/>
    </row>
    <row r="4733" spans="19:27" x14ac:dyDescent="0.25">
      <c r="S4733" s="4">
        <v>0.63515601270703759</v>
      </c>
      <c r="T4733" s="4">
        <v>2.0991292548322792E-2</v>
      </c>
      <c r="U4733" s="4">
        <f t="shared" si="426"/>
        <v>0.40384490692420894</v>
      </c>
      <c r="W4733" s="4">
        <f t="shared" si="427"/>
        <v>1.1083708154921035</v>
      </c>
      <c r="X4733" s="4">
        <f t="shared" si="428"/>
        <v>0.77780588238152004</v>
      </c>
      <c r="Y4733" s="3">
        <f t="shared" si="425"/>
        <v>-96.679603887648682</v>
      </c>
      <c r="AA4733" s="3"/>
    </row>
    <row r="4734" spans="19:27" x14ac:dyDescent="0.25">
      <c r="S4734" s="4">
        <v>0.10498761739316616</v>
      </c>
      <c r="T4734" s="4">
        <v>-0.25997860144865631</v>
      </c>
      <c r="U4734" s="4">
        <f t="shared" si="426"/>
        <v>-0.14208016843228422</v>
      </c>
      <c r="W4734" s="4">
        <f t="shared" si="427"/>
        <v>0.20684239378689123</v>
      </c>
      <c r="X4734" s="4">
        <f t="shared" si="428"/>
        <v>-0.18471230915817624</v>
      </c>
      <c r="Y4734" s="3">
        <f t="shared" si="425"/>
        <v>-51.507317573423279</v>
      </c>
      <c r="AA4734" s="3"/>
    </row>
    <row r="4735" spans="19:27" x14ac:dyDescent="0.25">
      <c r="S4735" s="4">
        <v>-2.0409672201100735</v>
      </c>
      <c r="T4735" s="4">
        <v>2.1327102690795403</v>
      </c>
      <c r="U4735" s="4">
        <f t="shared" si="426"/>
        <v>0.44636325387007658</v>
      </c>
      <c r="W4735" s="4">
        <f t="shared" si="427"/>
        <v>-3.4422609756427622</v>
      </c>
      <c r="X4735" s="4">
        <f t="shared" si="428"/>
        <v>0.85276980006357517</v>
      </c>
      <c r="Y4735" s="3">
        <f t="shared" si="425"/>
        <v>668.08554350093618</v>
      </c>
      <c r="AA4735" s="3"/>
    </row>
    <row r="4736" spans="19:27" x14ac:dyDescent="0.25">
      <c r="S4736" s="4">
        <v>-1.271273865916289</v>
      </c>
      <c r="T4736" s="4">
        <v>0.18726781445773374</v>
      </c>
      <c r="U4736" s="4">
        <f t="shared" si="426"/>
        <v>-0.62655121121350843</v>
      </c>
      <c r="W4736" s="4">
        <f t="shared" si="427"/>
        <v>-2.1334307229595386</v>
      </c>
      <c r="X4736" s="4">
        <f t="shared" si="428"/>
        <v>-1.0388811557652484</v>
      </c>
      <c r="Y4736" s="3">
        <f t="shared" si="425"/>
        <v>249.89564819280076</v>
      </c>
      <c r="AA4736" s="3"/>
    </row>
    <row r="4737" spans="19:27" x14ac:dyDescent="0.25">
      <c r="S4737" s="4">
        <v>0.10997183945844291</v>
      </c>
      <c r="T4737" s="4">
        <v>0.73495677667858783</v>
      </c>
      <c r="U4737" s="4">
        <f t="shared" si="426"/>
        <v>0.64963565814819813</v>
      </c>
      <c r="W4737" s="4">
        <f t="shared" si="427"/>
        <v>0.2153178477967008</v>
      </c>
      <c r="X4737" s="4">
        <f t="shared" si="428"/>
        <v>1.2111585163685379</v>
      </c>
      <c r="Y4737" s="3">
        <f t="shared" si="425"/>
        <v>86.730804616966452</v>
      </c>
      <c r="AA4737" s="3"/>
    </row>
    <row r="4738" spans="19:27" x14ac:dyDescent="0.25">
      <c r="S4738" s="4">
        <v>-1.215715658546787</v>
      </c>
      <c r="T4738" s="4">
        <v>-1.3622341357086798</v>
      </c>
      <c r="U4738" s="4">
        <f t="shared" si="426"/>
        <v>-1.8209595176229718</v>
      </c>
      <c r="W4738" s="4">
        <f t="shared" si="427"/>
        <v>-2.0389563947171974</v>
      </c>
      <c r="X4738" s="4">
        <f t="shared" si="428"/>
        <v>-3.1447373894150856</v>
      </c>
      <c r="Y4738" s="3">
        <f t="shared" ref="Y4738:Y4801" si="429">(B$4*EXP(-B$8*B$7)*NORMSDIST((LN(B$4/(B$5+W4738))-B$8*B$7+B$9*B$7+0.5*B$6*B$6*B$7)/(B$6*SQRT(B$7)))-(B$5+W4738)*EXP(-B$9*B$7)*NORMSDIST((LN(B$4/(B$5+W4738))-B$8*B$7+B$9*B$7-0.5*B$6*B$6*B$7)/(B$6*SQRT(B$7))))*400+100*X4738-400*$B$13</f>
        <v>23.134569477313562</v>
      </c>
      <c r="AA4738" s="3"/>
    </row>
    <row r="4739" spans="19:27" x14ac:dyDescent="0.25">
      <c r="S4739" s="4">
        <v>-0.21087180478403234</v>
      </c>
      <c r="T4739" s="4">
        <v>0.52402367036743602</v>
      </c>
      <c r="U4739" s="4">
        <f t="shared" ref="U4739:U4802" si="430">$B$19*S4739+SQRT(1-$B$19^2)*T4739</f>
        <v>0.28683722409867729</v>
      </c>
      <c r="W4739" s="4">
        <f t="shared" ref="W4739:W4802" si="431">S4739*SQRT($B$16)+$B$20</f>
        <v>-0.33026288987972202</v>
      </c>
      <c r="X4739" s="4">
        <f t="shared" ref="X4739:X4802" si="432">U4739*SQRT($C$17)+$C$20</f>
        <v>0.57151013163964748</v>
      </c>
      <c r="Y4739" s="3">
        <f t="shared" si="429"/>
        <v>110.3582681569228</v>
      </c>
      <c r="AA4739" s="3"/>
    </row>
    <row r="4740" spans="19:27" x14ac:dyDescent="0.25">
      <c r="S4740" s="4">
        <v>0.18117401243297929</v>
      </c>
      <c r="T4740" s="4">
        <v>-0.77798788490051707</v>
      </c>
      <c r="U4740" s="4">
        <f t="shared" si="430"/>
        <v>-0.50625706688533567</v>
      </c>
      <c r="W4740" s="4">
        <f t="shared" si="431"/>
        <v>0.33639406280893841</v>
      </c>
      <c r="X4740" s="4">
        <f t="shared" si="432"/>
        <v>-0.82679105864714231</v>
      </c>
      <c r="Y4740" s="3">
        <f t="shared" si="429"/>
        <v>-136.29436034761511</v>
      </c>
      <c r="AA4740" s="3"/>
    </row>
    <row r="4741" spans="19:27" x14ac:dyDescent="0.25">
      <c r="S4741" s="4">
        <v>-2.3179596997223797</v>
      </c>
      <c r="T4741" s="4">
        <v>0.68839644881155837</v>
      </c>
      <c r="U4741" s="4">
        <f t="shared" si="430"/>
        <v>-0.867393580087923</v>
      </c>
      <c r="W4741" s="4">
        <f t="shared" si="431"/>
        <v>-3.9132747048207488</v>
      </c>
      <c r="X4741" s="4">
        <f t="shared" si="432"/>
        <v>-1.4635093177593845</v>
      </c>
      <c r="Y4741" s="3">
        <f t="shared" si="429"/>
        <v>521.14805709109987</v>
      </c>
      <c r="AA4741" s="3"/>
    </row>
    <row r="4742" spans="19:27" x14ac:dyDescent="0.25">
      <c r="S4742" s="4">
        <v>4.5722151842424744E-2</v>
      </c>
      <c r="T4742" s="4">
        <v>1.7716923322434912</v>
      </c>
      <c r="U4742" s="4">
        <f t="shared" si="430"/>
        <v>1.4322796156952315</v>
      </c>
      <c r="W4742" s="4">
        <f t="shared" si="431"/>
        <v>0.10606403337943413</v>
      </c>
      <c r="X4742" s="4">
        <f t="shared" si="432"/>
        <v>2.5910347679690435</v>
      </c>
      <c r="Y4742" s="3">
        <f t="shared" si="429"/>
        <v>242.13574204907036</v>
      </c>
      <c r="AA4742" s="3"/>
    </row>
    <row r="4743" spans="19:27" x14ac:dyDescent="0.25">
      <c r="S4743" s="4">
        <v>0.27863786281253966</v>
      </c>
      <c r="T4743" s="4">
        <v>0.50525730703568517</v>
      </c>
      <c r="U4743" s="4">
        <f t="shared" si="430"/>
        <v>0.57037729289578831</v>
      </c>
      <c r="W4743" s="4">
        <f t="shared" si="431"/>
        <v>0.50212712419593253</v>
      </c>
      <c r="X4743" s="4">
        <f t="shared" si="432"/>
        <v>1.0714184277907677</v>
      </c>
      <c r="Y4743" s="3">
        <f t="shared" si="429"/>
        <v>27.325835238630134</v>
      </c>
      <c r="AA4743" s="3"/>
    </row>
    <row r="4744" spans="19:27" x14ac:dyDescent="0.25">
      <c r="S4744" s="4">
        <v>0.33527099695902934</v>
      </c>
      <c r="T4744" s="4">
        <v>0.87825910274757635</v>
      </c>
      <c r="U4744" s="4">
        <f t="shared" si="430"/>
        <v>0.90057766157267105</v>
      </c>
      <c r="W4744" s="4">
        <f t="shared" si="431"/>
        <v>0.59842931892234186</v>
      </c>
      <c r="X4744" s="4">
        <f t="shared" si="432"/>
        <v>1.6535933013245998</v>
      </c>
      <c r="Y4744" s="3">
        <f t="shared" si="429"/>
        <v>70.383624864711692</v>
      </c>
      <c r="AA4744" s="3"/>
    </row>
    <row r="4745" spans="19:27" x14ac:dyDescent="0.25">
      <c r="S4745" s="4">
        <v>0.23913025658385492</v>
      </c>
      <c r="T4745" s="4">
        <v>1.8572419695115667</v>
      </c>
      <c r="U4745" s="4">
        <f t="shared" si="430"/>
        <v>1.618000026324441</v>
      </c>
      <c r="W4745" s="4">
        <f t="shared" si="431"/>
        <v>0.43494614886146171</v>
      </c>
      <c r="X4745" s="4">
        <f t="shared" si="432"/>
        <v>2.9184776385023401</v>
      </c>
      <c r="Y4745" s="3">
        <f t="shared" si="429"/>
        <v>222.63540483931229</v>
      </c>
      <c r="AA4745" s="3"/>
    </row>
    <row r="4746" spans="19:27" x14ac:dyDescent="0.25">
      <c r="S4746" s="4">
        <v>0.43446852299111915</v>
      </c>
      <c r="T4746" s="4">
        <v>0.41616232327601432</v>
      </c>
      <c r="U4746" s="4">
        <f t="shared" si="430"/>
        <v>0.59475025765760736</v>
      </c>
      <c r="W4746" s="4">
        <f t="shared" si="431"/>
        <v>0.76711042075948077</v>
      </c>
      <c r="X4746" s="4">
        <f t="shared" si="432"/>
        <v>1.1143902988844112</v>
      </c>
      <c r="Y4746" s="3">
        <f t="shared" si="429"/>
        <v>-9.9757480631415092</v>
      </c>
      <c r="AA4746" s="3"/>
    </row>
    <row r="4747" spans="19:27" x14ac:dyDescent="0.25">
      <c r="S4747" s="4">
        <v>-0.99217065659490744</v>
      </c>
      <c r="T4747" s="4">
        <v>-0.83615560904678943</v>
      </c>
      <c r="U4747" s="4">
        <f t="shared" si="430"/>
        <v>-1.2676632473093814</v>
      </c>
      <c r="W4747" s="4">
        <f t="shared" si="431"/>
        <v>-1.6588277892192125</v>
      </c>
      <c r="X4747" s="4">
        <f t="shared" si="432"/>
        <v>-2.1692230752207218</v>
      </c>
      <c r="Y4747" s="3">
        <f t="shared" si="429"/>
        <v>56.082694002571316</v>
      </c>
      <c r="AA4747" s="3"/>
    </row>
    <row r="4748" spans="19:27" x14ac:dyDescent="0.25">
      <c r="S4748" s="4">
        <v>0.742685603421261</v>
      </c>
      <c r="T4748" s="4">
        <v>-1.2134144185606472</v>
      </c>
      <c r="U4748" s="4">
        <f t="shared" si="430"/>
        <v>-0.50910621072167261</v>
      </c>
      <c r="W4748" s="4">
        <f t="shared" si="431"/>
        <v>1.2912202328848736</v>
      </c>
      <c r="X4748" s="4">
        <f t="shared" si="432"/>
        <v>-0.83181437209541487</v>
      </c>
      <c r="Y4748" s="3">
        <f t="shared" si="429"/>
        <v>-285.82030095238952</v>
      </c>
      <c r="AA4748" s="3"/>
    </row>
    <row r="4749" spans="19:27" x14ac:dyDescent="0.25">
      <c r="S4749" s="4">
        <v>-0.62883662748434155</v>
      </c>
      <c r="T4749" s="4">
        <v>-1.5588148101072634</v>
      </c>
      <c r="U4749" s="4">
        <f t="shared" si="430"/>
        <v>-1.619012897602067</v>
      </c>
      <c r="W4749" s="4">
        <f t="shared" si="431"/>
        <v>-1.0409939901638694</v>
      </c>
      <c r="X4749" s="4">
        <f t="shared" si="432"/>
        <v>-2.7886861577270272</v>
      </c>
      <c r="Y4749" s="3">
        <f t="shared" si="429"/>
        <v>-109.23155592266721</v>
      </c>
      <c r="AA4749" s="3"/>
    </row>
    <row r="4750" spans="19:27" x14ac:dyDescent="0.25">
      <c r="S4750" s="4">
        <v>0.13226346105807657</v>
      </c>
      <c r="T4750" s="4">
        <v>0.15395621223365744</v>
      </c>
      <c r="U4750" s="4">
        <f t="shared" si="430"/>
        <v>0.20267061760774319</v>
      </c>
      <c r="W4750" s="4">
        <f t="shared" si="431"/>
        <v>0.25322378601482104</v>
      </c>
      <c r="X4750" s="4">
        <f t="shared" si="432"/>
        <v>0.42311634369212414</v>
      </c>
      <c r="Y4750" s="3">
        <f t="shared" si="429"/>
        <v>1.8979750426974533</v>
      </c>
      <c r="AA4750" s="3"/>
    </row>
    <row r="4751" spans="19:27" x14ac:dyDescent="0.25">
      <c r="S4751" s="4">
        <v>-1.8494114588224431</v>
      </c>
      <c r="T4751" s="4">
        <v>-4.7400917538784323E-2</v>
      </c>
      <c r="U4751" s="4">
        <f t="shared" si="430"/>
        <v>-1.1650168181185505</v>
      </c>
      <c r="W4751" s="4">
        <f t="shared" si="431"/>
        <v>-3.1165286900734954</v>
      </c>
      <c r="X4751" s="4">
        <f t="shared" si="432"/>
        <v>-1.9882475900257071</v>
      </c>
      <c r="Y4751" s="3">
        <f t="shared" si="429"/>
        <v>326.12150320562705</v>
      </c>
      <c r="AA4751" s="3"/>
    </row>
    <row r="4752" spans="19:27" x14ac:dyDescent="0.25">
      <c r="S4752" s="4">
        <v>0.1876292060601269</v>
      </c>
      <c r="T4752" s="4">
        <v>0.52353598076633356</v>
      </c>
      <c r="U4752" s="4">
        <f t="shared" si="430"/>
        <v>0.52938574395081661</v>
      </c>
      <c r="W4752" s="4">
        <f t="shared" si="431"/>
        <v>0.34737084032702986</v>
      </c>
      <c r="X4752" s="4">
        <f t="shared" si="432"/>
        <v>0.99914640120697207</v>
      </c>
      <c r="Y4752" s="3">
        <f t="shared" si="429"/>
        <v>44.559702814372486</v>
      </c>
      <c r="AA4752" s="3"/>
    </row>
    <row r="4753" spans="19:27" x14ac:dyDescent="0.25">
      <c r="S4753" s="4">
        <v>0.47513832422471386</v>
      </c>
      <c r="T4753" s="4">
        <v>0.17752895392116561</v>
      </c>
      <c r="U4753" s="4">
        <f t="shared" si="430"/>
        <v>0.4303807085679538</v>
      </c>
      <c r="W4753" s="4">
        <f t="shared" si="431"/>
        <v>0.83626765842446993</v>
      </c>
      <c r="X4753" s="4">
        <f t="shared" si="432"/>
        <v>0.82459104203463696</v>
      </c>
      <c r="Y4753" s="3">
        <f t="shared" si="429"/>
        <v>-49.753371835494818</v>
      </c>
      <c r="AA4753" s="3"/>
    </row>
    <row r="4754" spans="19:27" x14ac:dyDescent="0.25">
      <c r="S4754" s="4">
        <v>1.3100667769135226</v>
      </c>
      <c r="T4754" s="4">
        <v>0.35813457596111609</v>
      </c>
      <c r="U4754" s="4">
        <f t="shared" si="430"/>
        <v>1.0825363572948357</v>
      </c>
      <c r="W4754" s="4">
        <f t="shared" si="431"/>
        <v>2.2560273740968739</v>
      </c>
      <c r="X4754" s="4">
        <f t="shared" si="432"/>
        <v>1.9744039082142961</v>
      </c>
      <c r="Y4754" s="3">
        <f t="shared" si="429"/>
        <v>-151.09601066242021</v>
      </c>
      <c r="AA4754" s="3"/>
    </row>
    <row r="4755" spans="19:27" x14ac:dyDescent="0.25">
      <c r="S4755" s="4">
        <v>0.83296886699653627</v>
      </c>
      <c r="T4755" s="4">
        <v>0.32737614001989063</v>
      </c>
      <c r="U4755" s="4">
        <f t="shared" si="430"/>
        <v>0.76730485978523455</v>
      </c>
      <c r="W4755" s="4">
        <f t="shared" si="431"/>
        <v>1.4447430170357984</v>
      </c>
      <c r="X4755" s="4">
        <f t="shared" si="432"/>
        <v>1.418620588129285</v>
      </c>
      <c r="Y4755" s="3">
        <f t="shared" si="429"/>
        <v>-84.305354910459755</v>
      </c>
      <c r="AA4755" s="3"/>
    </row>
    <row r="4756" spans="19:27" x14ac:dyDescent="0.25">
      <c r="S4756" s="4">
        <v>-1.1218855955097671</v>
      </c>
      <c r="T4756" s="4">
        <v>0.22693887727720544</v>
      </c>
      <c r="U4756" s="4">
        <f t="shared" si="430"/>
        <v>-0.50403385356468144</v>
      </c>
      <c r="W4756" s="4">
        <f t="shared" si="431"/>
        <v>-1.879402431512383</v>
      </c>
      <c r="X4756" s="4">
        <f t="shared" si="432"/>
        <v>-0.82287132064389035</v>
      </c>
      <c r="Y4756" s="3">
        <f t="shared" si="429"/>
        <v>228.11116245931044</v>
      </c>
      <c r="AA4756" s="3"/>
    </row>
    <row r="4757" spans="19:27" x14ac:dyDescent="0.25">
      <c r="S4757" s="4">
        <v>-0.52738554236061164</v>
      </c>
      <c r="T4757" s="4">
        <v>-0.58104603791488629</v>
      </c>
      <c r="U4757" s="4">
        <f t="shared" si="430"/>
        <v>-0.78209655046351712</v>
      </c>
      <c r="W4757" s="4">
        <f t="shared" si="431"/>
        <v>-0.86848080857798782</v>
      </c>
      <c r="X4757" s="4">
        <f t="shared" si="432"/>
        <v>-1.3131224855660124</v>
      </c>
      <c r="Y4757" s="3">
        <f t="shared" si="429"/>
        <v>9.8213008101524792</v>
      </c>
      <c r="AA4757" s="3"/>
    </row>
    <row r="4758" spans="19:27" x14ac:dyDescent="0.25">
      <c r="S4758" s="4">
        <v>0.75072615650359609</v>
      </c>
      <c r="T4758" s="4">
        <v>2.4130697605398026E-2</v>
      </c>
      <c r="U4758" s="4">
        <f t="shared" si="430"/>
        <v>0.47678762649963619</v>
      </c>
      <c r="W4758" s="4">
        <f t="shared" si="431"/>
        <v>1.3048928455755322</v>
      </c>
      <c r="X4758" s="4">
        <f t="shared" si="432"/>
        <v>0.90641088277627324</v>
      </c>
      <c r="Y4758" s="3">
        <f t="shared" si="429"/>
        <v>-114.09804020143201</v>
      </c>
      <c r="AA4758" s="3"/>
    </row>
    <row r="4759" spans="19:27" x14ac:dyDescent="0.25">
      <c r="S4759" s="4">
        <v>-3.1395556607591309E-2</v>
      </c>
      <c r="T4759" s="4">
        <v>1.2602941511629906</v>
      </c>
      <c r="U4759" s="4">
        <f t="shared" si="430"/>
        <v>0.97988568334229886</v>
      </c>
      <c r="W4759" s="4">
        <f t="shared" si="431"/>
        <v>-2.5071293809026531E-2</v>
      </c>
      <c r="X4759" s="4">
        <f t="shared" si="432"/>
        <v>1.7934209390978701</v>
      </c>
      <c r="Y4759" s="3">
        <f t="shared" si="429"/>
        <v>183.36140368036195</v>
      </c>
      <c r="AA4759" s="3"/>
    </row>
    <row r="4760" spans="19:27" x14ac:dyDescent="0.25">
      <c r="S4760" s="4">
        <v>-0.37604897890039662</v>
      </c>
      <c r="T4760" s="4">
        <v>0.9955787232193577</v>
      </c>
      <c r="U4760" s="4">
        <f t="shared" si="430"/>
        <v>0.55993946023490637</v>
      </c>
      <c r="W4760" s="4">
        <f t="shared" si="431"/>
        <v>-0.61113952907413083</v>
      </c>
      <c r="X4760" s="4">
        <f t="shared" si="432"/>
        <v>1.053015529169953</v>
      </c>
      <c r="Y4760" s="3">
        <f t="shared" si="429"/>
        <v>204.20570014304667</v>
      </c>
      <c r="AA4760" s="3"/>
    </row>
    <row r="4761" spans="19:27" x14ac:dyDescent="0.25">
      <c r="S4761" s="4">
        <v>0.1273827767367636</v>
      </c>
      <c r="T4761" s="4">
        <v>0.27527504751689219</v>
      </c>
      <c r="U4761" s="4">
        <f t="shared" si="430"/>
        <v>0.29586371602444383</v>
      </c>
      <c r="W4761" s="4">
        <f t="shared" si="431"/>
        <v>0.24492439345968819</v>
      </c>
      <c r="X4761" s="4">
        <f t="shared" si="432"/>
        <v>0.58742470137920944</v>
      </c>
      <c r="Y4761" s="3">
        <f t="shared" si="429"/>
        <v>19.648124783211188</v>
      </c>
      <c r="AA4761" s="3"/>
    </row>
    <row r="4762" spans="19:27" x14ac:dyDescent="0.25">
      <c r="S4762" s="4">
        <v>0.70284306305422839</v>
      </c>
      <c r="T4762" s="4">
        <v>2.7691025889761893</v>
      </c>
      <c r="U4762" s="4">
        <f t="shared" si="430"/>
        <v>2.6235143348758987</v>
      </c>
      <c r="W4762" s="4">
        <f t="shared" si="431"/>
        <v>1.2234697165370403</v>
      </c>
      <c r="X4762" s="4">
        <f t="shared" si="432"/>
        <v>4.6912956633974963</v>
      </c>
      <c r="Y4762" s="3">
        <f t="shared" si="429"/>
        <v>276.91188917630279</v>
      </c>
      <c r="AA4762" s="3"/>
    </row>
    <row r="4763" spans="19:27" x14ac:dyDescent="0.25">
      <c r="S4763" s="4">
        <v>2.9892883156018804</v>
      </c>
      <c r="T4763" s="4">
        <v>1.7212967715706717</v>
      </c>
      <c r="U4763" s="4">
        <f t="shared" si="430"/>
        <v>3.1867950668037857</v>
      </c>
      <c r="W4763" s="4">
        <f t="shared" si="431"/>
        <v>5.1114709592824283</v>
      </c>
      <c r="X4763" s="4">
        <f t="shared" si="432"/>
        <v>5.6844135396378324</v>
      </c>
      <c r="Y4763" s="3">
        <f t="shared" si="429"/>
        <v>-185.10614593915307</v>
      </c>
      <c r="AA4763" s="3"/>
    </row>
    <row r="4764" spans="19:27" x14ac:dyDescent="0.25">
      <c r="S4764" s="4">
        <v>-0.50753921788476553</v>
      </c>
      <c r="T4764" s="4">
        <v>-0.5048607351736123</v>
      </c>
      <c r="U4764" s="4">
        <f t="shared" si="430"/>
        <v>-0.70960630681124737</v>
      </c>
      <c r="W4764" s="4">
        <f t="shared" si="431"/>
        <v>-0.83473299233789189</v>
      </c>
      <c r="X4764" s="4">
        <f t="shared" si="432"/>
        <v>-1.1853152435577712</v>
      </c>
      <c r="Y4764" s="3">
        <f t="shared" si="429"/>
        <v>17.044297792957877</v>
      </c>
      <c r="AA4764" s="3"/>
    </row>
    <row r="4765" spans="19:27" x14ac:dyDescent="0.25">
      <c r="S4765" s="4">
        <v>-1.2728035350513556</v>
      </c>
      <c r="T4765" s="4">
        <v>1.9184817108439478</v>
      </c>
      <c r="U4765" s="4">
        <f t="shared" si="430"/>
        <v>0.7448357070949233</v>
      </c>
      <c r="W4765" s="4">
        <f t="shared" si="431"/>
        <v>-2.1360318591518448</v>
      </c>
      <c r="X4765" s="4">
        <f t="shared" si="432"/>
        <v>1.3790053200473325</v>
      </c>
      <c r="Y4765" s="3">
        <f t="shared" si="429"/>
        <v>492.1303243350294</v>
      </c>
      <c r="AA4765" s="3"/>
    </row>
    <row r="4766" spans="19:27" x14ac:dyDescent="0.25">
      <c r="S4766" s="4">
        <v>0.92394776543505375</v>
      </c>
      <c r="T4766" s="4">
        <v>0.31697327598324188</v>
      </c>
      <c r="U4766" s="4">
        <f t="shared" si="430"/>
        <v>0.81452135888521415</v>
      </c>
      <c r="W4766" s="4">
        <f t="shared" si="431"/>
        <v>1.5994486981792355</v>
      </c>
      <c r="X4766" s="4">
        <f t="shared" si="432"/>
        <v>1.5018677980048729</v>
      </c>
      <c r="Y4766" s="3">
        <f t="shared" si="429"/>
        <v>-99.570194052130773</v>
      </c>
      <c r="AA4766" s="3"/>
    </row>
    <row r="4767" spans="19:27" x14ac:dyDescent="0.25">
      <c r="S4767" s="4">
        <v>1.1179041814495685</v>
      </c>
      <c r="T4767" s="4">
        <v>0.19623009318266038</v>
      </c>
      <c r="U4767" s="4">
        <f t="shared" si="430"/>
        <v>0.83704936026734045</v>
      </c>
      <c r="W4767" s="4">
        <f t="shared" si="431"/>
        <v>1.9292631932617756</v>
      </c>
      <c r="X4767" s="4">
        <f t="shared" si="432"/>
        <v>1.5415868219664823</v>
      </c>
      <c r="Y4767" s="3">
        <f t="shared" si="429"/>
        <v>-145.48694032049298</v>
      </c>
      <c r="AA4767" s="3"/>
    </row>
    <row r="4768" spans="19:27" x14ac:dyDescent="0.25">
      <c r="S4768" s="4">
        <v>-0.16506392259160002</v>
      </c>
      <c r="T4768" s="4">
        <v>-1.3131871186079507</v>
      </c>
      <c r="U4768" s="4">
        <f t="shared" si="430"/>
        <v>-1.1415795983888446</v>
      </c>
      <c r="W4768" s="4">
        <f t="shared" si="431"/>
        <v>-0.25236856781219669</v>
      </c>
      <c r="X4768" s="4">
        <f t="shared" si="432"/>
        <v>-1.9469255270407382</v>
      </c>
      <c r="Y4768" s="3">
        <f t="shared" si="429"/>
        <v>-154.08550566789017</v>
      </c>
      <c r="AA4768" s="3"/>
    </row>
    <row r="4769" spans="19:27" x14ac:dyDescent="0.25">
      <c r="S4769" s="4">
        <v>4.5083593343477175E-2</v>
      </c>
      <c r="T4769" s="4">
        <v>1.3954629889699113</v>
      </c>
      <c r="U4769" s="4">
        <f t="shared" si="430"/>
        <v>1.133656338482943</v>
      </c>
      <c r="W4769" s="4">
        <f t="shared" si="431"/>
        <v>0.10497819227534147</v>
      </c>
      <c r="X4769" s="4">
        <f t="shared" si="432"/>
        <v>2.0645333308508911</v>
      </c>
      <c r="Y4769" s="3">
        <f t="shared" si="429"/>
        <v>189.65901284685879</v>
      </c>
      <c r="AA4769" s="3"/>
    </row>
    <row r="4770" spans="19:27" x14ac:dyDescent="0.25">
      <c r="S4770" s="4">
        <v>-0.21374737029521224</v>
      </c>
      <c r="T4770" s="4">
        <v>2.6312546274277677</v>
      </c>
      <c r="U4770" s="4">
        <f t="shared" si="430"/>
        <v>1.9554693769283413</v>
      </c>
      <c r="W4770" s="4">
        <f t="shared" si="431"/>
        <v>-0.33515266463755006</v>
      </c>
      <c r="X4770" s="4">
        <f t="shared" si="432"/>
        <v>3.513468423329785</v>
      </c>
      <c r="Y4770" s="3">
        <f t="shared" si="429"/>
        <v>405.34612043708512</v>
      </c>
      <c r="AA4770" s="3"/>
    </row>
    <row r="4771" spans="19:27" x14ac:dyDescent="0.25">
      <c r="S4771" s="4">
        <v>0.62664144522970588</v>
      </c>
      <c r="T4771" s="4">
        <v>-0.45236027437178256</v>
      </c>
      <c r="U4771" s="4">
        <f t="shared" si="430"/>
        <v>2.3432227364060199E-2</v>
      </c>
      <c r="W4771" s="4">
        <f t="shared" si="431"/>
        <v>1.0938921618281163</v>
      </c>
      <c r="X4771" s="4">
        <f t="shared" si="432"/>
        <v>0.10710189588684771</v>
      </c>
      <c r="Y4771" s="3">
        <f t="shared" si="429"/>
        <v>-161.51147490849007</v>
      </c>
      <c r="AA4771" s="3"/>
    </row>
    <row r="4772" spans="19:27" x14ac:dyDescent="0.25">
      <c r="S4772" s="4">
        <v>-0.2161233985556309</v>
      </c>
      <c r="T4772" s="4">
        <v>-1.4151803199747885</v>
      </c>
      <c r="U4772" s="4">
        <f t="shared" si="430"/>
        <v>-1.2535557908776562</v>
      </c>
      <c r="W4772" s="4">
        <f t="shared" si="431"/>
        <v>-0.33919299790991359</v>
      </c>
      <c r="X4772" s="4">
        <f t="shared" si="432"/>
        <v>-2.1443502784490724</v>
      </c>
      <c r="Y4772" s="3">
        <f t="shared" si="429"/>
        <v>-159.78122144666941</v>
      </c>
      <c r="AA4772" s="3"/>
    </row>
    <row r="4773" spans="19:27" x14ac:dyDescent="0.25">
      <c r="S4773" s="4">
        <v>-0.77915983579097814</v>
      </c>
      <c r="T4773" s="4">
        <v>0.37112840043708051</v>
      </c>
      <c r="U4773" s="4">
        <f t="shared" si="430"/>
        <v>-0.18080269936970955</v>
      </c>
      <c r="W4773" s="4">
        <f t="shared" si="431"/>
        <v>-1.2966121030657423</v>
      </c>
      <c r="X4773" s="4">
        <f t="shared" si="432"/>
        <v>-0.25298383968897709</v>
      </c>
      <c r="Y4773" s="3">
        <f t="shared" si="429"/>
        <v>186.86096282892413</v>
      </c>
      <c r="AA4773" s="3"/>
    </row>
    <row r="4774" spans="19:27" x14ac:dyDescent="0.25">
      <c r="S4774" s="4">
        <v>-1.7889518697688764</v>
      </c>
      <c r="T4774" s="4">
        <v>-0.6715195408279574</v>
      </c>
      <c r="U4774" s="4">
        <f t="shared" si="430"/>
        <v>-1.6228931552190065</v>
      </c>
      <c r="W4774" s="4">
        <f t="shared" si="431"/>
        <v>-3.0137197743060082</v>
      </c>
      <c r="X4774" s="4">
        <f t="shared" si="432"/>
        <v>-2.7955274235211029</v>
      </c>
      <c r="Y4774" s="3">
        <f t="shared" si="429"/>
        <v>227.2501605018133</v>
      </c>
      <c r="AA4774" s="3"/>
    </row>
    <row r="4775" spans="19:27" x14ac:dyDescent="0.25">
      <c r="S4775" s="4">
        <v>-0.16849136365624109</v>
      </c>
      <c r="T4775" s="4">
        <v>1.256357071246256</v>
      </c>
      <c r="U4775" s="4">
        <f t="shared" si="430"/>
        <v>0.89318812867599739</v>
      </c>
      <c r="W4775" s="4">
        <f t="shared" si="431"/>
        <v>-0.25819678307513061</v>
      </c>
      <c r="X4775" s="4">
        <f t="shared" si="432"/>
        <v>1.6405648471262193</v>
      </c>
      <c r="Y4775" s="3">
        <f t="shared" si="429"/>
        <v>205.60521468972183</v>
      </c>
      <c r="AA4775" s="3"/>
    </row>
    <row r="4776" spans="19:27" x14ac:dyDescent="0.25">
      <c r="S4776" s="4">
        <v>1.1549743660587006</v>
      </c>
      <c r="T4776" s="4">
        <v>1.1314476324642042</v>
      </c>
      <c r="U4776" s="4">
        <f t="shared" si="430"/>
        <v>1.600987651270527</v>
      </c>
      <c r="W4776" s="4">
        <f t="shared" si="431"/>
        <v>1.9922994385724875</v>
      </c>
      <c r="X4776" s="4">
        <f t="shared" si="432"/>
        <v>2.8884831919933656</v>
      </c>
      <c r="Y4776" s="3">
        <f t="shared" si="429"/>
        <v>-20.270318269314885</v>
      </c>
      <c r="AA4776" s="3"/>
    </row>
    <row r="4777" spans="19:27" x14ac:dyDescent="0.25">
      <c r="S4777" s="4">
        <v>0.1588127272464385</v>
      </c>
      <c r="T4777" s="4">
        <v>1.3571359048480389</v>
      </c>
      <c r="U4777" s="4">
        <f t="shared" si="430"/>
        <v>1.172606582325288</v>
      </c>
      <c r="W4777" s="4">
        <f t="shared" si="431"/>
        <v>0.29836966467485598</v>
      </c>
      <c r="X4777" s="4">
        <f t="shared" si="432"/>
        <v>2.1332063410413142</v>
      </c>
      <c r="Y4777" s="3">
        <f t="shared" si="429"/>
        <v>165.73656535324062</v>
      </c>
      <c r="AA4777" s="3"/>
    </row>
    <row r="4778" spans="19:27" x14ac:dyDescent="0.25">
      <c r="S4778" s="4">
        <v>0.12182953002171922</v>
      </c>
      <c r="T4778" s="4">
        <v>0.69051157704114474</v>
      </c>
      <c r="U4778" s="4">
        <f t="shared" si="430"/>
        <v>0.62163301584983788</v>
      </c>
      <c r="W4778" s="4">
        <f t="shared" si="431"/>
        <v>0.23548133764835544</v>
      </c>
      <c r="X4778" s="4">
        <f t="shared" si="432"/>
        <v>1.1617871761608176</v>
      </c>
      <c r="Y4778" s="3">
        <f t="shared" si="429"/>
        <v>78.585920222621098</v>
      </c>
      <c r="AA4778" s="3"/>
    </row>
    <row r="4779" spans="19:27" x14ac:dyDescent="0.25">
      <c r="S4779" s="4">
        <v>0.94934019678155002</v>
      </c>
      <c r="T4779" s="4">
        <v>-0.50074939574161625</v>
      </c>
      <c r="U4779" s="4">
        <f t="shared" si="430"/>
        <v>0.181798916003863</v>
      </c>
      <c r="W4779" s="4">
        <f t="shared" si="431"/>
        <v>1.6426274292341339</v>
      </c>
      <c r="X4779" s="4">
        <f t="shared" si="432"/>
        <v>0.38631753486473253</v>
      </c>
      <c r="Y4779" s="3">
        <f t="shared" si="429"/>
        <v>-217.68761677998873</v>
      </c>
      <c r="AA4779" s="3"/>
    </row>
    <row r="4780" spans="19:27" x14ac:dyDescent="0.25">
      <c r="S4780" s="4">
        <v>0.13541914312567585</v>
      </c>
      <c r="T4780" s="4">
        <v>0.12612041688192596</v>
      </c>
      <c r="U4780" s="4">
        <f t="shared" si="430"/>
        <v>0.18252917898910931</v>
      </c>
      <c r="W4780" s="4">
        <f t="shared" si="431"/>
        <v>0.25858988685929318</v>
      </c>
      <c r="X4780" s="4">
        <f t="shared" si="432"/>
        <v>0.38760505844559878</v>
      </c>
      <c r="Y4780" s="3">
        <f t="shared" si="429"/>
        <v>-2.5059875722281504</v>
      </c>
      <c r="AA4780" s="3"/>
    </row>
    <row r="4781" spans="19:27" x14ac:dyDescent="0.25">
      <c r="S4781" s="4">
        <v>1.3694623077314669</v>
      </c>
      <c r="T4781" s="4">
        <v>0.42648049335685606</v>
      </c>
      <c r="U4781" s="4">
        <f t="shared" si="430"/>
        <v>1.1729224613525366</v>
      </c>
      <c r="W4781" s="4">
        <f t="shared" si="431"/>
        <v>2.3570269048647234</v>
      </c>
      <c r="X4781" s="4">
        <f t="shared" si="432"/>
        <v>2.1337632660183434</v>
      </c>
      <c r="Y4781" s="3">
        <f t="shared" si="429"/>
        <v>-150.16419303657949</v>
      </c>
      <c r="AA4781" s="3"/>
    </row>
    <row r="4782" spans="19:27" x14ac:dyDescent="0.25">
      <c r="S4782" s="4">
        <v>0.1650289579845842</v>
      </c>
      <c r="T4782" s="4">
        <v>1.0158628166366386</v>
      </c>
      <c r="U4782" s="4">
        <f t="shared" si="430"/>
        <v>0.90587168197479451</v>
      </c>
      <c r="W4782" s="4">
        <f t="shared" si="431"/>
        <v>0.30894009613748241</v>
      </c>
      <c r="X4782" s="4">
        <f t="shared" si="432"/>
        <v>1.6629271663061609</v>
      </c>
      <c r="Y4782" s="3">
        <f t="shared" si="429"/>
        <v>117.0312875680338</v>
      </c>
      <c r="AA4782" s="3"/>
    </row>
    <row r="4783" spans="19:27" x14ac:dyDescent="0.25">
      <c r="S4783" s="4">
        <v>-0.29571247932816641</v>
      </c>
      <c r="T4783" s="4">
        <v>0.83114823824783168</v>
      </c>
      <c r="U4783" s="4">
        <f t="shared" si="430"/>
        <v>0.47857164972300342</v>
      </c>
      <c r="W4783" s="4">
        <f t="shared" si="431"/>
        <v>-0.47453078682385652</v>
      </c>
      <c r="X4783" s="4">
        <f t="shared" si="432"/>
        <v>0.90955628657641729</v>
      </c>
      <c r="Y4783" s="3">
        <f t="shared" si="429"/>
        <v>167.58303661590071</v>
      </c>
      <c r="AA4783" s="3"/>
    </row>
    <row r="4784" spans="19:27" x14ac:dyDescent="0.25">
      <c r="S4784" s="4">
        <v>1.3425776332480701</v>
      </c>
      <c r="T4784" s="4">
        <v>-1.1985202140788387</v>
      </c>
      <c r="U4784" s="4">
        <f t="shared" si="430"/>
        <v>-0.13159212761515882</v>
      </c>
      <c r="W4784" s="4">
        <f t="shared" si="431"/>
        <v>2.311310678908391</v>
      </c>
      <c r="X4784" s="4">
        <f t="shared" si="432"/>
        <v>-0.16622088874942878</v>
      </c>
      <c r="Y4784" s="3">
        <f t="shared" si="429"/>
        <v>-373.37744996160427</v>
      </c>
      <c r="AA4784" s="3"/>
    </row>
    <row r="4785" spans="19:27" x14ac:dyDescent="0.25">
      <c r="S4785" s="4">
        <v>1.5642358576918569</v>
      </c>
      <c r="T4785" s="4">
        <v>0.31013852738643155</v>
      </c>
      <c r="U4785" s="4">
        <f t="shared" si="430"/>
        <v>1.1994374152747298</v>
      </c>
      <c r="W4785" s="4">
        <f t="shared" si="431"/>
        <v>2.688230900873871</v>
      </c>
      <c r="X4785" s="4">
        <f t="shared" si="432"/>
        <v>2.1805116691417616</v>
      </c>
      <c r="Y4785" s="3">
        <f t="shared" si="429"/>
        <v>-194.33718870576013</v>
      </c>
      <c r="AA4785" s="3"/>
    </row>
    <row r="4786" spans="19:27" x14ac:dyDescent="0.25">
      <c r="S4786" s="4">
        <v>0.65110726295129295</v>
      </c>
      <c r="T4786" s="4">
        <v>0.15633779481150992</v>
      </c>
      <c r="U4786" s="4">
        <f t="shared" si="430"/>
        <v>0.52085723711049869</v>
      </c>
      <c r="W4786" s="4">
        <f t="shared" si="431"/>
        <v>1.1354952264981855</v>
      </c>
      <c r="X4786" s="4">
        <f t="shared" si="432"/>
        <v>0.98410982686549064</v>
      </c>
      <c r="Y4786" s="3">
        <f t="shared" si="429"/>
        <v>-80.240019640437822</v>
      </c>
      <c r="AA4786" s="3"/>
    </row>
    <row r="4787" spans="19:27" x14ac:dyDescent="0.25">
      <c r="S4787" s="4">
        <v>-0.22836442630269688</v>
      </c>
      <c r="T4787" s="4">
        <v>-0.42023133884110081</v>
      </c>
      <c r="U4787" s="4">
        <f t="shared" si="430"/>
        <v>-0.47233007791538173</v>
      </c>
      <c r="W4787" s="4">
        <f t="shared" si="431"/>
        <v>-0.36000833605984001</v>
      </c>
      <c r="X4787" s="4">
        <f t="shared" si="432"/>
        <v>-0.76697452787792808</v>
      </c>
      <c r="Y4787" s="3">
        <f t="shared" si="429"/>
        <v>-18.670245863851505</v>
      </c>
      <c r="AA4787" s="3"/>
    </row>
    <row r="4788" spans="19:27" x14ac:dyDescent="0.25">
      <c r="S4788" s="4">
        <v>0.23289758278630024</v>
      </c>
      <c r="T4788" s="4">
        <v>-1.5411814234689329</v>
      </c>
      <c r="U4788" s="4">
        <f t="shared" si="430"/>
        <v>-1.0797026512788044</v>
      </c>
      <c r="W4788" s="4">
        <f t="shared" si="431"/>
        <v>0.4243477566876197</v>
      </c>
      <c r="X4788" s="4">
        <f t="shared" si="432"/>
        <v>-1.8378305432804449</v>
      </c>
      <c r="Y4788" s="3">
        <f t="shared" si="429"/>
        <v>-251.32047890340164</v>
      </c>
      <c r="AA4788" s="3"/>
    </row>
    <row r="4789" spans="19:27" x14ac:dyDescent="0.25">
      <c r="S4789" s="4">
        <v>0.38158561856578771</v>
      </c>
      <c r="T4789" s="4">
        <v>-2.2501025175207148</v>
      </c>
      <c r="U4789" s="4">
        <f t="shared" si="430"/>
        <v>-1.5510152004748781</v>
      </c>
      <c r="W4789" s="4">
        <f t="shared" si="431"/>
        <v>0.67718532944291565</v>
      </c>
      <c r="X4789" s="4">
        <f t="shared" si="432"/>
        <v>-2.6687997054973192</v>
      </c>
      <c r="Y4789" s="3">
        <f t="shared" si="429"/>
        <v>-374.21799436829087</v>
      </c>
      <c r="AA4789" s="3"/>
    </row>
    <row r="4790" spans="19:27" x14ac:dyDescent="0.25">
      <c r="S4790" s="4">
        <v>0.38772529050536242</v>
      </c>
      <c r="T4790" s="4">
        <v>0.87381525644308544</v>
      </c>
      <c r="U4790" s="4">
        <f t="shared" si="430"/>
        <v>0.92903236777204823</v>
      </c>
      <c r="W4790" s="4">
        <f t="shared" si="431"/>
        <v>0.68762557598042506</v>
      </c>
      <c r="X4790" s="4">
        <f t="shared" si="432"/>
        <v>1.7037616734843384</v>
      </c>
      <c r="Y4790" s="3">
        <f t="shared" si="429"/>
        <v>61.401721110707058</v>
      </c>
      <c r="AA4790" s="3"/>
    </row>
    <row r="4791" spans="19:27" x14ac:dyDescent="0.25">
      <c r="S4791" s="4">
        <v>-0.24051575739193001</v>
      </c>
      <c r="T4791" s="4">
        <v>1.1157310397566043</v>
      </c>
      <c r="U4791" s="4">
        <f t="shared" si="430"/>
        <v>0.73780731844000624</v>
      </c>
      <c r="W4791" s="4">
        <f t="shared" si="431"/>
        <v>-0.38067114892330456</v>
      </c>
      <c r="X4791" s="4">
        <f t="shared" si="432"/>
        <v>1.3666135977342453</v>
      </c>
      <c r="Y4791" s="3">
        <f t="shared" si="429"/>
        <v>198.03947721173972</v>
      </c>
      <c r="AA4791" s="3"/>
    </row>
    <row r="4792" spans="19:27" x14ac:dyDescent="0.25">
      <c r="S4792" s="4">
        <v>0.82194934923298535</v>
      </c>
      <c r="T4792" s="4">
        <v>0.25259744216754149</v>
      </c>
      <c r="U4792" s="4">
        <f t="shared" si="430"/>
        <v>0.70131063891644785</v>
      </c>
      <c r="W4792" s="4">
        <f t="shared" si="431"/>
        <v>1.4260048037716049</v>
      </c>
      <c r="X4792" s="4">
        <f t="shared" si="432"/>
        <v>1.3022664564176827</v>
      </c>
      <c r="Y4792" s="3">
        <f t="shared" si="429"/>
        <v>-93.075369544770638</v>
      </c>
      <c r="AA4792" s="3"/>
    </row>
    <row r="4793" spans="19:27" x14ac:dyDescent="0.25">
      <c r="S4793" s="4">
        <v>-1.7097215413418698</v>
      </c>
      <c r="T4793" s="4">
        <v>1.1680831447226225</v>
      </c>
      <c r="U4793" s="4">
        <f t="shared" si="430"/>
        <v>-0.11635421237838972</v>
      </c>
      <c r="W4793" s="4">
        <f t="shared" si="431"/>
        <v>-2.878992028236389</v>
      </c>
      <c r="X4793" s="4">
        <f t="shared" si="432"/>
        <v>-0.13935498483953299</v>
      </c>
      <c r="Y4793" s="3">
        <f t="shared" si="429"/>
        <v>469.17761640902518</v>
      </c>
      <c r="AA4793" s="3"/>
    </row>
    <row r="4794" spans="19:27" x14ac:dyDescent="0.25">
      <c r="S4794" s="4">
        <v>-0.8592875186897998</v>
      </c>
      <c r="T4794" s="4">
        <v>-1.9669909026337946</v>
      </c>
      <c r="U4794" s="4">
        <f t="shared" si="430"/>
        <v>-2.0830588335351585</v>
      </c>
      <c r="W4794" s="4">
        <f t="shared" si="431"/>
        <v>-1.4328657615960745</v>
      </c>
      <c r="X4794" s="4">
        <f t="shared" si="432"/>
        <v>-3.6068435848318319</v>
      </c>
      <c r="Y4794" s="3">
        <f t="shared" si="429"/>
        <v>-125.71830767031133</v>
      </c>
      <c r="AA4794" s="3"/>
    </row>
    <row r="4795" spans="19:27" x14ac:dyDescent="0.25">
      <c r="S4795" s="4">
        <v>-0.27027266257020305</v>
      </c>
      <c r="T4795" s="4">
        <v>-0.41210459843531672</v>
      </c>
      <c r="U4795" s="4">
        <f t="shared" si="430"/>
        <v>-0.49143627153480873</v>
      </c>
      <c r="W4795" s="4">
        <f t="shared" si="431"/>
        <v>-0.43127147892660128</v>
      </c>
      <c r="X4795" s="4">
        <f t="shared" si="432"/>
        <v>-0.80066057704460047</v>
      </c>
      <c r="Y4795" s="3">
        <f t="shared" si="429"/>
        <v>-10.47264885614868</v>
      </c>
      <c r="AA4795" s="3"/>
    </row>
    <row r="4796" spans="19:27" x14ac:dyDescent="0.25">
      <c r="S4796" s="4">
        <v>-0.39428200224942667</v>
      </c>
      <c r="T4796" s="4">
        <v>0.11797018775060353</v>
      </c>
      <c r="U4796" s="4">
        <f t="shared" si="430"/>
        <v>-0.14684907943067765</v>
      </c>
      <c r="W4796" s="4">
        <f t="shared" si="431"/>
        <v>-0.64214399653778242</v>
      </c>
      <c r="X4796" s="4">
        <f t="shared" si="432"/>
        <v>-0.19312035597080893</v>
      </c>
      <c r="Y4796" s="3">
        <f t="shared" si="429"/>
        <v>84.661559456919804</v>
      </c>
      <c r="AA4796" s="3"/>
    </row>
    <row r="4797" spans="19:27" x14ac:dyDescent="0.25">
      <c r="S4797" s="4">
        <v>-0.27173176674608229</v>
      </c>
      <c r="T4797" s="4">
        <v>-1.6222190870150184</v>
      </c>
      <c r="U4797" s="4">
        <f t="shared" si="430"/>
        <v>-1.4515738710962174</v>
      </c>
      <c r="W4797" s="4">
        <f t="shared" si="431"/>
        <v>-0.43375262245837504</v>
      </c>
      <c r="X4797" s="4">
        <f t="shared" si="432"/>
        <v>-2.4934751182261636</v>
      </c>
      <c r="Y4797" s="3">
        <f t="shared" si="429"/>
        <v>-179.35093045878375</v>
      </c>
      <c r="AA4797" s="3"/>
    </row>
    <row r="4798" spans="19:27" x14ac:dyDescent="0.25">
      <c r="S4798" s="4">
        <v>0.25772730145798212</v>
      </c>
      <c r="T4798" s="4">
        <v>-0.61248870632723307</v>
      </c>
      <c r="U4798" s="4">
        <f t="shared" si="430"/>
        <v>-0.32839859585382236</v>
      </c>
      <c r="W4798" s="4">
        <f t="shared" si="431"/>
        <v>0.46656961918135359</v>
      </c>
      <c r="X4798" s="4">
        <f t="shared" si="432"/>
        <v>-0.51320954056890056</v>
      </c>
      <c r="Y4798" s="3">
        <f t="shared" si="429"/>
        <v>-125.52755371302646</v>
      </c>
      <c r="AA4798" s="3"/>
    </row>
    <row r="4799" spans="19:27" x14ac:dyDescent="0.25">
      <c r="S4799" s="4">
        <v>0.40784321175763077</v>
      </c>
      <c r="T4799" s="4">
        <v>-0.22473855707029369</v>
      </c>
      <c r="U4799" s="4">
        <f t="shared" si="430"/>
        <v>7.0481861087665687E-2</v>
      </c>
      <c r="W4799" s="4">
        <f t="shared" si="431"/>
        <v>0.72183523078983669</v>
      </c>
      <c r="X4799" s="4">
        <f t="shared" si="432"/>
        <v>0.19005490612305581</v>
      </c>
      <c r="Y4799" s="3">
        <f t="shared" si="429"/>
        <v>-95.327133052982845</v>
      </c>
      <c r="AA4799" s="3"/>
    </row>
    <row r="4800" spans="19:27" x14ac:dyDescent="0.25">
      <c r="S4800" s="4">
        <v>2.3079883603684497</v>
      </c>
      <c r="T4800" s="4">
        <v>-0.16300403686468765</v>
      </c>
      <c r="U4800" s="4">
        <f t="shared" si="430"/>
        <v>1.2777892009004916</v>
      </c>
      <c r="W4800" s="4">
        <f t="shared" si="431"/>
        <v>3.9529498577260069</v>
      </c>
      <c r="X4800" s="4">
        <f t="shared" si="432"/>
        <v>2.318653371013887</v>
      </c>
      <c r="Y4800" s="3">
        <f t="shared" si="429"/>
        <v>-362.10448912976199</v>
      </c>
      <c r="AA4800" s="3"/>
    </row>
    <row r="4801" spans="19:27" x14ac:dyDescent="0.25">
      <c r="S4801" s="4">
        <v>-0.16625420837842103</v>
      </c>
      <c r="T4801" s="4">
        <v>-1.5985103140362229</v>
      </c>
      <c r="U4801" s="4">
        <f t="shared" si="430"/>
        <v>-1.3684786429963478</v>
      </c>
      <c r="W4801" s="4">
        <f t="shared" si="431"/>
        <v>-0.25439259730217711</v>
      </c>
      <c r="X4801" s="4">
        <f t="shared" si="432"/>
        <v>-2.3469702729888624</v>
      </c>
      <c r="Y4801" s="3">
        <f t="shared" si="429"/>
        <v>-193.76297148637786</v>
      </c>
      <c r="AA4801" s="3"/>
    </row>
    <row r="4802" spans="19:27" x14ac:dyDescent="0.25">
      <c r="S4802" s="4">
        <v>-1.044666183016546</v>
      </c>
      <c r="T4802" s="4">
        <v>-0.75063235149331342</v>
      </c>
      <c r="U4802" s="4">
        <f t="shared" si="430"/>
        <v>-1.231872087792123</v>
      </c>
      <c r="W4802" s="4">
        <f t="shared" si="431"/>
        <v>-1.748094160998062</v>
      </c>
      <c r="X4802" s="4">
        <f t="shared" si="432"/>
        <v>-2.1061198332434876</v>
      </c>
      <c r="Y4802" s="3">
        <f t="shared" ref="Y4802:Y4865" si="433">(B$4*EXP(-B$8*B$7)*NORMSDIST((LN(B$4/(B$5+W4802))-B$8*B$7+B$9*B$7+0.5*B$6*B$6*B$7)/(B$6*SQRT(B$7)))-(B$5+W4802)*EXP(-B$9*B$7)*NORMSDIST((LN(B$4/(B$5+W4802))-B$8*B$7+B$9*B$7-0.5*B$6*B$6*B$7)/(B$6*SQRT(B$7))))*400+100*X4802-400*$B$13</f>
        <v>77.494912416115312</v>
      </c>
      <c r="AA4802" s="3"/>
    </row>
    <row r="4803" spans="19:27" x14ac:dyDescent="0.25">
      <c r="S4803" s="4">
        <v>-0.42520057270658856</v>
      </c>
      <c r="T4803" s="4">
        <v>-1.0134437211552998</v>
      </c>
      <c r="U4803" s="4">
        <f t="shared" ref="U4803:U4866" si="434">$B$19*S4803+SQRT(1-$B$19^2)*T4803</f>
        <v>-1.0625605055390923</v>
      </c>
      <c r="W4803" s="4">
        <f t="shared" ref="W4803:W4866" si="435">S4803*SQRT($B$16)+$B$20</f>
        <v>-0.69471968809541396</v>
      </c>
      <c r="X4803" s="4">
        <f t="shared" ref="X4803:X4866" si="436">U4803*SQRT($C$17)+$C$20</f>
        <v>-1.8076072986241647</v>
      </c>
      <c r="Y4803" s="3">
        <f t="shared" si="433"/>
        <v>-68.17916100985758</v>
      </c>
      <c r="AA4803" s="3"/>
    </row>
    <row r="4804" spans="19:27" x14ac:dyDescent="0.25">
      <c r="S4804" s="4">
        <v>1.4472638525993602</v>
      </c>
      <c r="T4804" s="4">
        <v>-3.9075830704741361E-2</v>
      </c>
      <c r="U4804" s="4">
        <f t="shared" si="434"/>
        <v>0.85130923655010071</v>
      </c>
      <c r="W4804" s="4">
        <f t="shared" si="435"/>
        <v>2.4893250662997413</v>
      </c>
      <c r="X4804" s="4">
        <f t="shared" si="436"/>
        <v>1.5667283495328785</v>
      </c>
      <c r="Y4804" s="3">
        <f t="shared" si="433"/>
        <v>-226.4448577426424</v>
      </c>
      <c r="AA4804" s="3"/>
    </row>
    <row r="4805" spans="19:27" x14ac:dyDescent="0.25">
      <c r="S4805" s="4">
        <v>3.3727721891000009</v>
      </c>
      <c r="T4805" s="4">
        <v>0.56512527543384483</v>
      </c>
      <c r="U4805" s="4">
        <f t="shared" si="434"/>
        <v>2.504087474810849</v>
      </c>
      <c r="W4805" s="4">
        <f t="shared" si="435"/>
        <v>5.7635686970577762</v>
      </c>
      <c r="X4805" s="4">
        <f t="shared" si="436"/>
        <v>4.4807346714957914</v>
      </c>
      <c r="Y4805" s="3">
        <f t="shared" si="433"/>
        <v>-392.51329888711734</v>
      </c>
      <c r="AA4805" s="3"/>
    </row>
    <row r="4806" spans="19:27" x14ac:dyDescent="0.25">
      <c r="S4806" s="4">
        <v>-7.3113754594141225E-2</v>
      </c>
      <c r="T4806" s="4">
        <v>1.955783635429271</v>
      </c>
      <c r="U4806" s="4">
        <f t="shared" si="434"/>
        <v>1.505762302473785</v>
      </c>
      <c r="W4806" s="4">
        <f t="shared" si="435"/>
        <v>-9.6011284799877417E-2</v>
      </c>
      <c r="X4806" s="4">
        <f t="shared" si="436"/>
        <v>2.7205917822560037</v>
      </c>
      <c r="Y4806" s="3">
        <f t="shared" si="433"/>
        <v>287.46886824682133</v>
      </c>
      <c r="AA4806" s="3"/>
    </row>
    <row r="4807" spans="19:27" x14ac:dyDescent="0.25">
      <c r="S4807" s="4">
        <v>2.7641977880420239</v>
      </c>
      <c r="T4807" s="4">
        <v>-0.17571241190468836</v>
      </c>
      <c r="U4807" s="4">
        <f t="shared" si="434"/>
        <v>1.5458308194201793</v>
      </c>
      <c r="W4807" s="4">
        <f t="shared" si="435"/>
        <v>4.7287142543458867</v>
      </c>
      <c r="X4807" s="4">
        <f t="shared" si="436"/>
        <v>2.7912364150267863</v>
      </c>
      <c r="Y4807" s="3">
        <f t="shared" si="433"/>
        <v>-422.40675903937608</v>
      </c>
      <c r="AA4807" s="3"/>
    </row>
    <row r="4808" spans="19:27" x14ac:dyDescent="0.25">
      <c r="S4808" s="4">
        <v>0.32488912998020908</v>
      </c>
      <c r="T4808" s="4">
        <v>-0.7724910640949445</v>
      </c>
      <c r="U4808" s="4">
        <f t="shared" si="434"/>
        <v>-0.41428783869581998</v>
      </c>
      <c r="W4808" s="4">
        <f t="shared" si="435"/>
        <v>0.58077540323348187</v>
      </c>
      <c r="X4808" s="4">
        <f t="shared" si="436"/>
        <v>-0.66464050138162611</v>
      </c>
      <c r="Y4808" s="3">
        <f t="shared" si="433"/>
        <v>-158.66426785968315</v>
      </c>
      <c r="AA4808" s="3"/>
    </row>
    <row r="4809" spans="19:27" x14ac:dyDescent="0.25">
      <c r="S4809" s="4">
        <v>1.1545126993256036</v>
      </c>
      <c r="T4809" s="4">
        <v>-0.97328341972302412</v>
      </c>
      <c r="U4809" s="4">
        <f t="shared" si="434"/>
        <v>-6.7697298154066332E-2</v>
      </c>
      <c r="W4809" s="4">
        <f t="shared" si="435"/>
        <v>1.9915143942640725</v>
      </c>
      <c r="X4809" s="4">
        <f t="shared" si="436"/>
        <v>-5.3568185150005124E-2</v>
      </c>
      <c r="Y4809" s="3">
        <f t="shared" si="433"/>
        <v>-314.35760252553064</v>
      </c>
      <c r="AA4809" s="3"/>
    </row>
    <row r="4810" spans="19:27" x14ac:dyDescent="0.25">
      <c r="S4810" s="4">
        <v>-0.5918738949549659</v>
      </c>
      <c r="T4810" s="4">
        <v>0.46102246169135142</v>
      </c>
      <c r="U4810" s="4">
        <f t="shared" si="434"/>
        <v>4.629293766682363E-3</v>
      </c>
      <c r="W4810" s="4">
        <f t="shared" si="435"/>
        <v>-0.97814046246651953</v>
      </c>
      <c r="X4810" s="4">
        <f t="shared" si="436"/>
        <v>7.3950523182505695E-2</v>
      </c>
      <c r="Y4810" s="3">
        <f t="shared" si="433"/>
        <v>166.62903712246225</v>
      </c>
      <c r="AA4810" s="3"/>
    </row>
    <row r="4811" spans="19:27" x14ac:dyDescent="0.25">
      <c r="S4811" s="4">
        <v>-1.5234450900433374</v>
      </c>
      <c r="T4811" s="4">
        <v>-0.16954460582909497</v>
      </c>
      <c r="U4811" s="4">
        <f t="shared" si="434"/>
        <v>-1.0631227736686322</v>
      </c>
      <c r="W4811" s="4">
        <f t="shared" si="435"/>
        <v>-2.5622369809261971</v>
      </c>
      <c r="X4811" s="4">
        <f t="shared" si="436"/>
        <v>-1.8085986311854172</v>
      </c>
      <c r="Y4811" s="3">
        <f t="shared" si="433"/>
        <v>246.94235107441273</v>
      </c>
      <c r="AA4811" s="3"/>
    </row>
    <row r="4812" spans="19:27" x14ac:dyDescent="0.25">
      <c r="S4812" s="4">
        <v>0.24412133649713297</v>
      </c>
      <c r="T4812" s="4">
        <v>1.867965822229432</v>
      </c>
      <c r="U4812" s="4">
        <f t="shared" si="434"/>
        <v>1.6295434124615547</v>
      </c>
      <c r="W4812" s="4">
        <f t="shared" si="435"/>
        <v>0.44343326434513419</v>
      </c>
      <c r="X4812" s="4">
        <f t="shared" si="436"/>
        <v>2.9388297337815019</v>
      </c>
      <c r="Y4812" s="3">
        <f t="shared" si="433"/>
        <v>223.32975481209996</v>
      </c>
      <c r="AA4812" s="3"/>
    </row>
    <row r="4813" spans="19:27" x14ac:dyDescent="0.25">
      <c r="S4813" s="4">
        <v>-1.3620834519146834</v>
      </c>
      <c r="T4813" s="4">
        <v>-0.98245463227397067</v>
      </c>
      <c r="U4813" s="4">
        <f t="shared" si="434"/>
        <v>-1.6091404088671686</v>
      </c>
      <c r="W4813" s="4">
        <f t="shared" si="435"/>
        <v>-2.2878484956228244</v>
      </c>
      <c r="X4813" s="4">
        <f t="shared" si="436"/>
        <v>-2.7712800145911669</v>
      </c>
      <c r="Y4813" s="3">
        <f t="shared" si="433"/>
        <v>103.19713383550697</v>
      </c>
      <c r="AA4813" s="3"/>
    </row>
    <row r="4814" spans="19:27" x14ac:dyDescent="0.25">
      <c r="S4814" s="4">
        <v>-1.7637629552843321</v>
      </c>
      <c r="T4814" s="4">
        <v>0.36511497851728619</v>
      </c>
      <c r="U4814" s="4">
        <f t="shared" si="434"/>
        <v>-0.78580552089545797</v>
      </c>
      <c r="W4814" s="4">
        <f t="shared" si="435"/>
        <v>-2.9708871148709344</v>
      </c>
      <c r="X4814" s="4">
        <f t="shared" si="436"/>
        <v>-1.3196617556486234</v>
      </c>
      <c r="Y4814" s="3">
        <f t="shared" si="433"/>
        <v>367.29463587129703</v>
      </c>
      <c r="AA4814" s="3"/>
    </row>
    <row r="4815" spans="19:27" x14ac:dyDescent="0.25">
      <c r="S4815" s="4">
        <v>1.6158225630096759</v>
      </c>
      <c r="T4815" s="4">
        <v>-0.36218319564757234</v>
      </c>
      <c r="U4815" s="4">
        <f t="shared" si="434"/>
        <v>0.69794175782259926</v>
      </c>
      <c r="W4815" s="4">
        <f t="shared" si="435"/>
        <v>2.7759518616803183</v>
      </c>
      <c r="X4815" s="4">
        <f t="shared" si="436"/>
        <v>1.2963267964087595</v>
      </c>
      <c r="Y4815" s="3">
        <f t="shared" si="433"/>
        <v>-295.6025206102986</v>
      </c>
      <c r="AA4815" s="3"/>
    </row>
    <row r="4816" spans="19:27" x14ac:dyDescent="0.25">
      <c r="S4816" s="4">
        <v>0.84011838853449705</v>
      </c>
      <c r="T4816" s="4">
        <v>0.69337850865879969</v>
      </c>
      <c r="U4816" s="4">
        <f t="shared" si="434"/>
        <v>1.0617905241669541</v>
      </c>
      <c r="W4816" s="4">
        <f t="shared" si="435"/>
        <v>1.456900469130334</v>
      </c>
      <c r="X4816" s="4">
        <f t="shared" si="436"/>
        <v>1.9378270175646157</v>
      </c>
      <c r="Y4816" s="3">
        <f t="shared" si="433"/>
        <v>-34.242850252039261</v>
      </c>
      <c r="AA4816" s="3"/>
    </row>
    <row r="4817" spans="19:27" x14ac:dyDescent="0.25">
      <c r="S4817" s="4">
        <v>-1.6738108253756909</v>
      </c>
      <c r="T4817" s="4">
        <v>1.1134219195297708</v>
      </c>
      <c r="U4817" s="4">
        <f t="shared" si="434"/>
        <v>-0.1377917556466256</v>
      </c>
      <c r="W4817" s="4">
        <f t="shared" si="435"/>
        <v>-2.8179274091956272</v>
      </c>
      <c r="X4817" s="4">
        <f t="shared" si="436"/>
        <v>-0.17715142671229769</v>
      </c>
      <c r="Y4817" s="3">
        <f t="shared" si="433"/>
        <v>454.69297597382774</v>
      </c>
      <c r="AA4817" s="3"/>
    </row>
    <row r="4818" spans="19:27" x14ac:dyDescent="0.25">
      <c r="S4818" s="4">
        <v>9.5206589823067997E-2</v>
      </c>
      <c r="T4818" s="4">
        <v>-1.2058068732833112</v>
      </c>
      <c r="U4818" s="4">
        <f t="shared" si="434"/>
        <v>-0.89779342344276492</v>
      </c>
      <c r="W4818" s="4">
        <f t="shared" si="435"/>
        <v>0.19021017952088357</v>
      </c>
      <c r="X4818" s="4">
        <f t="shared" si="436"/>
        <v>-1.5171071530115667</v>
      </c>
      <c r="Y4818" s="3">
        <f t="shared" si="433"/>
        <v>-182.09852878253969</v>
      </c>
      <c r="AA4818" s="3"/>
    </row>
    <row r="4819" spans="19:27" x14ac:dyDescent="0.25">
      <c r="S4819" s="4">
        <v>0.49307078520231701</v>
      </c>
      <c r="T4819" s="4">
        <v>-0.56228288220735922</v>
      </c>
      <c r="U4819" s="4">
        <f t="shared" si="434"/>
        <v>-0.14513020112989883</v>
      </c>
      <c r="W4819" s="4">
        <f t="shared" si="435"/>
        <v>0.86676103257752157</v>
      </c>
      <c r="X4819" s="4">
        <f t="shared" si="436"/>
        <v>-0.1900898089081702</v>
      </c>
      <c r="Y4819" s="3">
        <f t="shared" si="433"/>
        <v>-155.97471776451084</v>
      </c>
      <c r="AA4819" s="3"/>
    </row>
    <row r="4820" spans="19:27" x14ac:dyDescent="0.25">
      <c r="S4820" s="4">
        <v>0.59770892144208443</v>
      </c>
      <c r="T4820" s="4">
        <v>1.8294142982629877</v>
      </c>
      <c r="U4820" s="4">
        <f t="shared" si="434"/>
        <v>1.8145388080721208</v>
      </c>
      <c r="W4820" s="4">
        <f t="shared" si="435"/>
        <v>1.0446936567177525</v>
      </c>
      <c r="X4820" s="4">
        <f t="shared" si="436"/>
        <v>3.2649943334016558</v>
      </c>
      <c r="Y4820" s="3">
        <f t="shared" si="433"/>
        <v>161.89224465065035</v>
      </c>
      <c r="AA4820" s="3"/>
    </row>
    <row r="4821" spans="19:27" x14ac:dyDescent="0.25">
      <c r="S4821" s="4">
        <v>0.68527475498206536</v>
      </c>
      <c r="T4821" s="4">
        <v>-5.5440654708697544E-2</v>
      </c>
      <c r="U4821" s="4">
        <f t="shared" si="434"/>
        <v>0.37381141587442285</v>
      </c>
      <c r="W4821" s="4">
        <f t="shared" si="435"/>
        <v>1.1935955686468185</v>
      </c>
      <c r="X4821" s="4">
        <f t="shared" si="436"/>
        <v>0.72485396132900792</v>
      </c>
      <c r="Y4821" s="3">
        <f t="shared" si="433"/>
        <v>-115.12974324833249</v>
      </c>
      <c r="AA4821" s="3"/>
    </row>
    <row r="4822" spans="19:27" x14ac:dyDescent="0.25">
      <c r="S4822" s="4">
        <v>-1.4592977950173147</v>
      </c>
      <c r="T4822" s="4">
        <v>-1.8553955071238356E-2</v>
      </c>
      <c r="U4822" s="4">
        <f t="shared" si="434"/>
        <v>-0.90432806758546846</v>
      </c>
      <c r="W4822" s="4">
        <f t="shared" si="435"/>
        <v>-2.4531572806788224</v>
      </c>
      <c r="X4822" s="4">
        <f t="shared" si="436"/>
        <v>-1.5286283564633103</v>
      </c>
      <c r="Y4822" s="3">
        <f t="shared" si="433"/>
        <v>256.01709847789516</v>
      </c>
      <c r="AA4822" s="3"/>
    </row>
    <row r="4823" spans="19:27" x14ac:dyDescent="0.25">
      <c r="S4823" s="4">
        <v>6.4169417034977166E-2</v>
      </c>
      <c r="T4823" s="4">
        <v>-1.851645187085013</v>
      </c>
      <c r="U4823" s="4">
        <f t="shared" si="434"/>
        <v>-1.4286652533473365</v>
      </c>
      <c r="W4823" s="4">
        <f t="shared" si="435"/>
        <v>0.13743280983011924</v>
      </c>
      <c r="X4823" s="4">
        <f t="shared" si="436"/>
        <v>-2.4530850311580283</v>
      </c>
      <c r="Y4823" s="3">
        <f t="shared" si="433"/>
        <v>-267.28336866073687</v>
      </c>
      <c r="AA4823" s="3"/>
    </row>
    <row r="4824" spans="19:27" x14ac:dyDescent="0.25">
      <c r="S4824" s="4">
        <v>-1.1527080776077223</v>
      </c>
      <c r="T4824" s="4">
        <v>-1.2576836237642894</v>
      </c>
      <c r="U4824" s="4">
        <f t="shared" si="434"/>
        <v>-1.6996723340722393</v>
      </c>
      <c r="W4824" s="4">
        <f t="shared" si="435"/>
        <v>-1.9318147289718648</v>
      </c>
      <c r="X4824" s="4">
        <f t="shared" si="436"/>
        <v>-2.9308964690434367</v>
      </c>
      <c r="Y4824" s="3">
        <f t="shared" si="433"/>
        <v>26.231976899790425</v>
      </c>
      <c r="AA4824" s="3"/>
    </row>
    <row r="4825" spans="19:27" x14ac:dyDescent="0.25">
      <c r="S4825" s="4">
        <v>-1.8587669649870771</v>
      </c>
      <c r="T4825" s="4">
        <v>-0.84034099538377527</v>
      </c>
      <c r="U4825" s="4">
        <f t="shared" si="434"/>
        <v>-1.7992774146203718</v>
      </c>
      <c r="W4825" s="4">
        <f t="shared" si="435"/>
        <v>-3.1324373235971188</v>
      </c>
      <c r="X4825" s="4">
        <f t="shared" si="436"/>
        <v>-3.1065097653089535</v>
      </c>
      <c r="Y4825" s="3">
        <f t="shared" si="433"/>
        <v>217.10789607927109</v>
      </c>
      <c r="AA4825" s="3"/>
    </row>
    <row r="4826" spans="19:27" x14ac:dyDescent="0.25">
      <c r="S4826" s="4">
        <v>0.54581911355047541</v>
      </c>
      <c r="T4826" s="4">
        <v>-0.20751156962539838</v>
      </c>
      <c r="U4826" s="4">
        <f t="shared" si="434"/>
        <v>0.16825074477659319</v>
      </c>
      <c r="W4826" s="4">
        <f t="shared" si="435"/>
        <v>0.95645728309647304</v>
      </c>
      <c r="X4826" s="4">
        <f t="shared" si="436"/>
        <v>0.36243081147173495</v>
      </c>
      <c r="Y4826" s="3">
        <f t="shared" si="433"/>
        <v>-114.67691122263113</v>
      </c>
      <c r="AA4826" s="3"/>
    </row>
    <row r="4827" spans="19:27" x14ac:dyDescent="0.25">
      <c r="S4827" s="4">
        <v>0.65254649389996422</v>
      </c>
      <c r="T4827" s="4">
        <v>-0.15151522233499098</v>
      </c>
      <c r="U4827" s="4">
        <f t="shared" si="434"/>
        <v>0.2777019947101681</v>
      </c>
      <c r="W4827" s="4">
        <f t="shared" si="435"/>
        <v>1.137942576466787</v>
      </c>
      <c r="X4827" s="4">
        <f t="shared" si="436"/>
        <v>0.55540384733939552</v>
      </c>
      <c r="Y4827" s="3">
        <f t="shared" si="433"/>
        <v>-123.48855759109347</v>
      </c>
      <c r="AA4827" s="3"/>
    </row>
    <row r="4828" spans="19:27" x14ac:dyDescent="0.25">
      <c r="S4828" s="4">
        <v>0.27489726809383713</v>
      </c>
      <c r="T4828" s="4">
        <v>0.49823557945824398</v>
      </c>
      <c r="U4828" s="4">
        <f t="shared" si="434"/>
        <v>0.56253087548586023</v>
      </c>
      <c r="W4828" s="4">
        <f t="shared" si="435"/>
        <v>0.49576640469096411</v>
      </c>
      <c r="X4828" s="4">
        <f t="shared" si="436"/>
        <v>1.0575844424393201</v>
      </c>
      <c r="Y4828" s="3">
        <f t="shared" si="433"/>
        <v>26.945401773878075</v>
      </c>
      <c r="AA4828" s="3"/>
    </row>
    <row r="4829" spans="19:27" x14ac:dyDescent="0.25">
      <c r="S4829" s="4">
        <v>-1.4830512027067673</v>
      </c>
      <c r="T4829" s="4">
        <v>-0.7212607979714728</v>
      </c>
      <c r="U4829" s="4">
        <f t="shared" si="434"/>
        <v>-1.4758387809168614</v>
      </c>
      <c r="W4829" s="4">
        <f t="shared" si="435"/>
        <v>-2.4935489229073542</v>
      </c>
      <c r="X4829" s="4">
        <f t="shared" si="436"/>
        <v>-2.5362564781100061</v>
      </c>
      <c r="Y4829" s="3">
        <f t="shared" si="433"/>
        <v>162.25365933098328</v>
      </c>
      <c r="AA4829" s="3"/>
    </row>
    <row r="4830" spans="19:27" x14ac:dyDescent="0.25">
      <c r="S4830" s="4">
        <v>0.57668845936136071</v>
      </c>
      <c r="T4830" s="4">
        <v>-9.256324837534706E-2</v>
      </c>
      <c r="U4830" s="4">
        <f t="shared" si="434"/>
        <v>0.27818800358065793</v>
      </c>
      <c r="W4830" s="4">
        <f t="shared" si="435"/>
        <v>1.0089492702725176</v>
      </c>
      <c r="X4830" s="4">
        <f t="shared" si="436"/>
        <v>0.55626072752353184</v>
      </c>
      <c r="Y4830" s="3">
        <f t="shared" si="433"/>
        <v>-103.44122841107901</v>
      </c>
      <c r="AA4830" s="3"/>
    </row>
    <row r="4831" spans="19:27" x14ac:dyDescent="0.25">
      <c r="S4831" s="4">
        <v>-0.31804739448647107</v>
      </c>
      <c r="T4831" s="4">
        <v>0.43940389531528934</v>
      </c>
      <c r="U4831" s="4">
        <f t="shared" si="434"/>
        <v>0.15442317300173389</v>
      </c>
      <c r="W4831" s="4">
        <f t="shared" si="435"/>
        <v>-0.51251034386566308</v>
      </c>
      <c r="X4831" s="4">
        <f t="shared" si="436"/>
        <v>0.33805147815492065</v>
      </c>
      <c r="Y4831" s="3">
        <f t="shared" si="433"/>
        <v>116.61610092911405</v>
      </c>
      <c r="AA4831" s="3"/>
    </row>
    <row r="4832" spans="19:27" x14ac:dyDescent="0.25">
      <c r="S4832" s="4">
        <v>0.40704925118393159</v>
      </c>
      <c r="T4832" s="4">
        <v>-0.41904256168031384</v>
      </c>
      <c r="U4832" s="4">
        <f t="shared" si="434"/>
        <v>-8.4025388695186498E-2</v>
      </c>
      <c r="W4832" s="4">
        <f t="shared" si="435"/>
        <v>0.72048513518015889</v>
      </c>
      <c r="X4832" s="4">
        <f t="shared" si="436"/>
        <v>-8.2356172528442878E-2</v>
      </c>
      <c r="Y4832" s="3">
        <f t="shared" si="433"/>
        <v>-122.35689197521469</v>
      </c>
      <c r="AA4832" s="3"/>
    </row>
    <row r="4833" spans="19:27" x14ac:dyDescent="0.25">
      <c r="S4833" s="4">
        <v>0.48402776400345215</v>
      </c>
      <c r="T4833" s="4">
        <v>0.45696919073358083</v>
      </c>
      <c r="U4833" s="4">
        <f t="shared" si="434"/>
        <v>0.65730995488878041</v>
      </c>
      <c r="W4833" s="4">
        <f t="shared" si="435"/>
        <v>0.85138376622041823</v>
      </c>
      <c r="X4833" s="4">
        <f t="shared" si="436"/>
        <v>1.2246890364957927</v>
      </c>
      <c r="Y4833" s="3">
        <f t="shared" si="433"/>
        <v>-12.10044073624158</v>
      </c>
      <c r="AA4833" s="3"/>
    </row>
    <row r="4834" spans="19:27" x14ac:dyDescent="0.25">
      <c r="S4834" s="4">
        <v>-0.99716171241075446</v>
      </c>
      <c r="T4834" s="4">
        <v>-0.5048123491906068</v>
      </c>
      <c r="U4834" s="4">
        <f t="shared" si="434"/>
        <v>-1.0080527486769542</v>
      </c>
      <c r="W4834" s="4">
        <f t="shared" si="435"/>
        <v>-1.6673148637262458</v>
      </c>
      <c r="X4834" s="4">
        <f t="shared" si="436"/>
        <v>-1.7115049030242357</v>
      </c>
      <c r="Y4834" s="3">
        <f t="shared" si="433"/>
        <v>103.28851688173927</v>
      </c>
      <c r="AA4834" s="3"/>
    </row>
    <row r="4835" spans="19:27" x14ac:dyDescent="0.25">
      <c r="S4835" s="4">
        <v>0.33358939071212629</v>
      </c>
      <c r="T4835" s="4">
        <v>0.74364920326430772</v>
      </c>
      <c r="U4835" s="4">
        <f t="shared" si="434"/>
        <v>0.79284832389413962</v>
      </c>
      <c r="W4835" s="4">
        <f t="shared" si="435"/>
        <v>0.59556982024399718</v>
      </c>
      <c r="X4835" s="4">
        <f t="shared" si="436"/>
        <v>1.4636561616715109</v>
      </c>
      <c r="Y4835" s="3">
        <f t="shared" si="433"/>
        <v>51.839363087558013</v>
      </c>
      <c r="AA4835" s="3"/>
    </row>
    <row r="4836" spans="19:27" x14ac:dyDescent="0.25">
      <c r="S4836" s="4">
        <v>0.96939642661128256</v>
      </c>
      <c r="T4836" s="4">
        <v>0.72244367149959465</v>
      </c>
      <c r="U4836" s="4">
        <f t="shared" si="434"/>
        <v>1.163641023224252</v>
      </c>
      <c r="W4836" s="4">
        <f t="shared" si="435"/>
        <v>1.6767321804482294</v>
      </c>
      <c r="X4836" s="4">
        <f t="shared" si="436"/>
        <v>2.1173992017073382</v>
      </c>
      <c r="Y4836" s="3">
        <f t="shared" si="433"/>
        <v>-49.756138334001662</v>
      </c>
      <c r="AA4836" s="3"/>
    </row>
    <row r="4837" spans="19:27" x14ac:dyDescent="0.25">
      <c r="S4837" s="4">
        <v>0.87820612867208747</v>
      </c>
      <c r="T4837" s="4">
        <v>1.6095517456755639</v>
      </c>
      <c r="U4837" s="4">
        <f t="shared" si="434"/>
        <v>1.8112528733122715</v>
      </c>
      <c r="W4837" s="4">
        <f t="shared" si="435"/>
        <v>1.5216670235988097</v>
      </c>
      <c r="X4837" s="4">
        <f t="shared" si="436"/>
        <v>3.2592009157234108</v>
      </c>
      <c r="Y4837" s="3">
        <f t="shared" si="433"/>
        <v>88.008215152153298</v>
      </c>
      <c r="AA4837" s="3"/>
    </row>
    <row r="4838" spans="19:27" x14ac:dyDescent="0.25">
      <c r="S4838" s="4">
        <v>0.14322936218125235</v>
      </c>
      <c r="T4838" s="4">
        <v>-0.35438401876817233</v>
      </c>
      <c r="U4838" s="4">
        <f t="shared" si="434"/>
        <v>-0.19360156841912696</v>
      </c>
      <c r="W4838" s="4">
        <f t="shared" si="435"/>
        <v>0.27187082650145605</v>
      </c>
      <c r="X4838" s="4">
        <f t="shared" si="436"/>
        <v>-0.27554947158114496</v>
      </c>
      <c r="Y4838" s="3">
        <f t="shared" si="433"/>
        <v>-70.931542013454418</v>
      </c>
      <c r="AA4838" s="3"/>
    </row>
    <row r="4839" spans="19:27" x14ac:dyDescent="0.25">
      <c r="S4839" s="4">
        <v>-1.2706320573474434</v>
      </c>
      <c r="T4839" s="4">
        <v>0.63344768240852733</v>
      </c>
      <c r="U4839" s="4">
        <f t="shared" si="434"/>
        <v>-0.27247673005382056</v>
      </c>
      <c r="W4839" s="4">
        <f t="shared" si="435"/>
        <v>-2.1323393552521792</v>
      </c>
      <c r="X4839" s="4">
        <f t="shared" si="436"/>
        <v>-0.41461393548116088</v>
      </c>
      <c r="Y4839" s="3">
        <f t="shared" si="433"/>
        <v>312.1352392386907</v>
      </c>
      <c r="AA4839" s="3"/>
    </row>
    <row r="4840" spans="19:27" x14ac:dyDescent="0.25">
      <c r="S4840" s="4">
        <v>-0.64360587293345883</v>
      </c>
      <c r="T4840" s="4">
        <v>0.40303959378968146</v>
      </c>
      <c r="U4840" s="4">
        <f t="shared" si="434"/>
        <v>-7.2870230866196317E-2</v>
      </c>
      <c r="W4840" s="4">
        <f t="shared" si="435"/>
        <v>-1.0661084531481009</v>
      </c>
      <c r="X4840" s="4">
        <f t="shared" si="436"/>
        <v>-6.2688560937441767E-2</v>
      </c>
      <c r="Y4840" s="3">
        <f t="shared" si="433"/>
        <v>167.53077897014828</v>
      </c>
      <c r="AA4840" s="3"/>
    </row>
    <row r="4841" spans="19:27" x14ac:dyDescent="0.25">
      <c r="S4841" s="4">
        <v>0.16745279370463856</v>
      </c>
      <c r="T4841" s="4">
        <v>-1.6671775096997077</v>
      </c>
      <c r="U4841" s="4">
        <f t="shared" si="434"/>
        <v>-1.2194753468702906</v>
      </c>
      <c r="W4841" s="4">
        <f t="shared" si="435"/>
        <v>0.31306172392685611</v>
      </c>
      <c r="X4841" s="4">
        <f t="shared" si="436"/>
        <v>-2.0842631917523886</v>
      </c>
      <c r="Y4841" s="3">
        <f t="shared" si="433"/>
        <v>-258.34162962202254</v>
      </c>
      <c r="AA4841" s="3"/>
    </row>
    <row r="4842" spans="19:27" x14ac:dyDescent="0.25">
      <c r="S4842" s="4">
        <v>0.8328661171404822</v>
      </c>
      <c r="T4842" s="4">
        <v>0.60818040322338474</v>
      </c>
      <c r="U4842" s="4">
        <f t="shared" si="434"/>
        <v>0.98983351950610809</v>
      </c>
      <c r="W4842" s="4">
        <f t="shared" si="435"/>
        <v>1.4445682953504289</v>
      </c>
      <c r="X4842" s="4">
        <f t="shared" si="436"/>
        <v>1.8109599269669843</v>
      </c>
      <c r="Y4842" s="3">
        <f t="shared" si="433"/>
        <v>-45.044711225903029</v>
      </c>
      <c r="AA4842" s="3"/>
    </row>
    <row r="4843" spans="19:27" x14ac:dyDescent="0.25">
      <c r="S4843" s="4">
        <v>-1.7656367425909902</v>
      </c>
      <c r="T4843" s="4">
        <v>0.60952189935724865</v>
      </c>
      <c r="U4843" s="4">
        <f t="shared" si="434"/>
        <v>-0.59320840792178897</v>
      </c>
      <c r="W4843" s="4">
        <f t="shared" si="435"/>
        <v>-2.9740734091278425</v>
      </c>
      <c r="X4843" s="4">
        <f t="shared" si="436"/>
        <v>-0.98009460029469664</v>
      </c>
      <c r="Y4843" s="3">
        <f t="shared" si="433"/>
        <v>401.8120614351692</v>
      </c>
      <c r="AA4843" s="3"/>
    </row>
    <row r="4844" spans="19:27" x14ac:dyDescent="0.25">
      <c r="S4844" s="4">
        <v>-2.0639228902658204</v>
      </c>
      <c r="T4844" s="4">
        <v>-2.798435557967482</v>
      </c>
      <c r="U4844" s="4">
        <f t="shared" si="434"/>
        <v>-3.4765109761685866</v>
      </c>
      <c r="W4844" s="4">
        <f t="shared" si="435"/>
        <v>-3.4812960997045126</v>
      </c>
      <c r="X4844" s="4">
        <f t="shared" si="436"/>
        <v>-6.0636331643337691</v>
      </c>
      <c r="Y4844" s="3">
        <f t="shared" si="433"/>
        <v>-16.581991375503094</v>
      </c>
      <c r="AA4844" s="3"/>
    </row>
    <row r="4845" spans="19:27" x14ac:dyDescent="0.25">
      <c r="S4845" s="4">
        <v>1.1576913224436995</v>
      </c>
      <c r="T4845" s="4">
        <v>-1.6959020943749712</v>
      </c>
      <c r="U4845" s="4">
        <f t="shared" si="434"/>
        <v>-0.63857359471371367</v>
      </c>
      <c r="W4845" s="4">
        <f t="shared" si="435"/>
        <v>1.9969195053725084</v>
      </c>
      <c r="X4845" s="4">
        <f t="shared" si="436"/>
        <v>-1.060077769269506</v>
      </c>
      <c r="Y4845" s="3">
        <f t="shared" si="433"/>
        <v>-415.81993179541814</v>
      </c>
      <c r="AA4845" s="3"/>
    </row>
    <row r="4846" spans="19:27" x14ac:dyDescent="0.25">
      <c r="S4846" s="4">
        <v>0.3373291561000803</v>
      </c>
      <c r="T4846" s="4">
        <v>0.56434617066178572</v>
      </c>
      <c r="U4846" s="4">
        <f t="shared" si="434"/>
        <v>0.65299608540002163</v>
      </c>
      <c r="W4846" s="4">
        <f t="shared" si="435"/>
        <v>0.60192912950790367</v>
      </c>
      <c r="X4846" s="4">
        <f t="shared" si="436"/>
        <v>1.2170832714443396</v>
      </c>
      <c r="Y4846" s="3">
        <f t="shared" si="433"/>
        <v>26.182583287102716</v>
      </c>
      <c r="AA4846" s="3"/>
    </row>
    <row r="4847" spans="19:27" x14ac:dyDescent="0.25">
      <c r="S4847" s="4">
        <v>-0.6531448878541104</v>
      </c>
      <c r="T4847" s="4">
        <v>1.9346826389428999</v>
      </c>
      <c r="U4847" s="4">
        <f t="shared" si="434"/>
        <v>1.1354357905625898</v>
      </c>
      <c r="W4847" s="4">
        <f t="shared" si="435"/>
        <v>-1.0823291353729367</v>
      </c>
      <c r="X4847" s="4">
        <f t="shared" si="436"/>
        <v>2.0676706752868736</v>
      </c>
      <c r="Y4847" s="3">
        <f t="shared" si="433"/>
        <v>383.25694852670404</v>
      </c>
      <c r="AA4847" s="3"/>
    </row>
    <row r="4848" spans="19:27" x14ac:dyDescent="0.25">
      <c r="S4848" s="4">
        <v>0.60844008774266867</v>
      </c>
      <c r="T4848" s="4">
        <v>-1.0463262616030828</v>
      </c>
      <c r="U4848" s="4">
        <f t="shared" si="434"/>
        <v>-0.45849582386596915</v>
      </c>
      <c r="W4848" s="4">
        <f t="shared" si="435"/>
        <v>1.0629415407929517</v>
      </c>
      <c r="X4848" s="4">
        <f t="shared" si="436"/>
        <v>-0.74258341307110942</v>
      </c>
      <c r="Y4848" s="3">
        <f t="shared" si="433"/>
        <v>-241.69119770487805</v>
      </c>
      <c r="AA4848" s="3"/>
    </row>
    <row r="4849" spans="19:27" x14ac:dyDescent="0.25">
      <c r="S4849" s="4">
        <v>-0.15472571355075748</v>
      </c>
      <c r="T4849" s="4">
        <v>-1.3343044165528886</v>
      </c>
      <c r="U4849" s="4">
        <f t="shared" si="434"/>
        <v>-1.1520167090354694</v>
      </c>
      <c r="W4849" s="4">
        <f t="shared" si="435"/>
        <v>-0.2347888905582714</v>
      </c>
      <c r="X4849" s="4">
        <f t="shared" si="436"/>
        <v>-1.9653271526812695</v>
      </c>
      <c r="Y4849" s="3">
        <f t="shared" si="433"/>
        <v>-158.76500340531993</v>
      </c>
      <c r="AA4849" s="3"/>
    </row>
    <row r="4850" spans="19:27" x14ac:dyDescent="0.25">
      <c r="S4850" s="4">
        <v>1.0292711793911813</v>
      </c>
      <c r="T4850" s="4">
        <v>2.492842327093721</v>
      </c>
      <c r="U4850" s="4">
        <f t="shared" si="434"/>
        <v>2.6035228930666818</v>
      </c>
      <c r="W4850" s="4">
        <f t="shared" si="435"/>
        <v>1.7785466074317451</v>
      </c>
      <c r="X4850" s="4">
        <f t="shared" si="436"/>
        <v>4.6560488368912889</v>
      </c>
      <c r="Y4850" s="3">
        <f t="shared" si="433"/>
        <v>188.68937539118815</v>
      </c>
      <c r="AA4850" s="3"/>
    </row>
    <row r="4851" spans="19:27" x14ac:dyDescent="0.25">
      <c r="S4851" s="4">
        <v>1.5114730346394112</v>
      </c>
      <c r="T4851" s="4">
        <v>1.5998037915932082</v>
      </c>
      <c r="U4851" s="4">
        <f t="shared" si="434"/>
        <v>2.1895793831461194</v>
      </c>
      <c r="W4851" s="4">
        <f t="shared" si="435"/>
        <v>2.5985100027373043</v>
      </c>
      <c r="X4851" s="4">
        <f t="shared" si="436"/>
        <v>3.9262267851964521</v>
      </c>
      <c r="Y4851" s="3">
        <f t="shared" si="433"/>
        <v>-6.5866892217463828</v>
      </c>
      <c r="AA4851" s="3"/>
    </row>
    <row r="4852" spans="19:27" x14ac:dyDescent="0.25">
      <c r="S4852" s="4">
        <v>-0.61029780589573002</v>
      </c>
      <c r="T4852" s="4">
        <v>1.1083124317318773</v>
      </c>
      <c r="U4852" s="4">
        <f t="shared" si="434"/>
        <v>0.50649925977646448</v>
      </c>
      <c r="W4852" s="4">
        <f t="shared" si="435"/>
        <v>-1.009469526022319</v>
      </c>
      <c r="X4852" s="4">
        <f t="shared" si="436"/>
        <v>0.95879533775048142</v>
      </c>
      <c r="Y4852" s="3">
        <f t="shared" si="433"/>
        <v>260.2962909127491</v>
      </c>
      <c r="AA4852" s="3"/>
    </row>
    <row r="4853" spans="19:27" x14ac:dyDescent="0.25">
      <c r="S4853" s="4">
        <v>0.32582453250296328</v>
      </c>
      <c r="T4853" s="4">
        <v>-1.175301429736878</v>
      </c>
      <c r="U4853" s="4">
        <f t="shared" si="434"/>
        <v>-0.73302215843794438</v>
      </c>
      <c r="W4853" s="4">
        <f t="shared" si="435"/>
        <v>0.58236601475889804</v>
      </c>
      <c r="X4853" s="4">
        <f t="shared" si="436"/>
        <v>-1.2265996325306951</v>
      </c>
      <c r="Y4853" s="3">
        <f t="shared" si="433"/>
        <v>-215.11031683021065</v>
      </c>
      <c r="AA4853" s="3"/>
    </row>
    <row r="4854" spans="19:27" x14ac:dyDescent="0.25">
      <c r="S4854" s="4">
        <v>2.4296095783590543E-2</v>
      </c>
      <c r="T4854" s="4">
        <v>0.38912543230299235</v>
      </c>
      <c r="U4854" s="4">
        <f t="shared" si="434"/>
        <v>0.32326806663365731</v>
      </c>
      <c r="W4854" s="4">
        <f t="shared" si="435"/>
        <v>6.9629951919990316E-2</v>
      </c>
      <c r="X4854" s="4">
        <f t="shared" si="436"/>
        <v>0.63574119604008461</v>
      </c>
      <c r="Y4854" s="3">
        <f t="shared" si="433"/>
        <v>52.428422958278588</v>
      </c>
      <c r="AA4854" s="3"/>
    </row>
    <row r="4855" spans="19:27" x14ac:dyDescent="0.25">
      <c r="S4855" s="4">
        <v>1.7334572081727695</v>
      </c>
      <c r="T4855" s="4">
        <v>0.71778393111358429</v>
      </c>
      <c r="U4855" s="4">
        <f t="shared" si="434"/>
        <v>1.6257357842618063</v>
      </c>
      <c r="W4855" s="4">
        <f t="shared" si="435"/>
        <v>2.975984487029387</v>
      </c>
      <c r="X4855" s="4">
        <f t="shared" si="436"/>
        <v>2.932116520605712</v>
      </c>
      <c r="Y4855" s="3">
        <f t="shared" si="433"/>
        <v>-161.17700712698343</v>
      </c>
      <c r="AA4855" s="3"/>
    </row>
    <row r="4856" spans="19:27" x14ac:dyDescent="0.25">
      <c r="S4856" s="4">
        <v>-0.66466340999045714</v>
      </c>
      <c r="T4856" s="4">
        <v>0.58271969738061125</v>
      </c>
      <c r="U4856" s="4">
        <f t="shared" si="434"/>
        <v>5.6723608789977731E-2</v>
      </c>
      <c r="W4856" s="4">
        <f t="shared" si="435"/>
        <v>-1.1019158839866663</v>
      </c>
      <c r="X4856" s="4">
        <f t="shared" si="436"/>
        <v>0.16579778968327702</v>
      </c>
      <c r="Y4856" s="3">
        <f t="shared" si="433"/>
        <v>196.3200220527915</v>
      </c>
      <c r="AA4856" s="3"/>
    </row>
    <row r="4857" spans="19:27" x14ac:dyDescent="0.25">
      <c r="S4857" s="4">
        <v>-1.7454402509707909</v>
      </c>
      <c r="T4857" s="4">
        <v>0.96313664980882896</v>
      </c>
      <c r="U4857" s="4">
        <f t="shared" si="434"/>
        <v>-0.30058858554662382</v>
      </c>
      <c r="W4857" s="4">
        <f t="shared" si="435"/>
        <v>-2.9397301488066354</v>
      </c>
      <c r="X4857" s="4">
        <f t="shared" si="436"/>
        <v>-0.46417782901012006</v>
      </c>
      <c r="Y4857" s="3">
        <f t="shared" si="433"/>
        <v>447.36305332824486</v>
      </c>
      <c r="AA4857" s="3"/>
    </row>
    <row r="4858" spans="19:27" x14ac:dyDescent="0.25">
      <c r="S4858" s="4">
        <v>1.0303453251198642</v>
      </c>
      <c r="T4858" s="4">
        <v>0.81511973707406105</v>
      </c>
      <c r="U4858" s="4">
        <f t="shared" si="434"/>
        <v>1.2742604091655751</v>
      </c>
      <c r="W4858" s="4">
        <f t="shared" si="435"/>
        <v>1.7803731457769583</v>
      </c>
      <c r="X4858" s="4">
        <f t="shared" si="436"/>
        <v>2.3124317732299895</v>
      </c>
      <c r="Y4858" s="3">
        <f t="shared" si="433"/>
        <v>-45.948479083257553</v>
      </c>
      <c r="AA4858" s="3"/>
    </row>
    <row r="4859" spans="19:27" x14ac:dyDescent="0.25">
      <c r="S4859" s="4">
        <v>0.50457150604646317</v>
      </c>
      <c r="T4859" s="4">
        <v>0.12410799601583331</v>
      </c>
      <c r="U4859" s="4">
        <f t="shared" si="434"/>
        <v>0.40597746593965139</v>
      </c>
      <c r="W4859" s="4">
        <f t="shared" si="435"/>
        <v>0.88631751086392918</v>
      </c>
      <c r="X4859" s="4">
        <f t="shared" si="436"/>
        <v>0.78156578816264755</v>
      </c>
      <c r="Y4859" s="3">
        <f t="shared" si="433"/>
        <v>-61.855098023213486</v>
      </c>
      <c r="AA4859" s="3"/>
    </row>
    <row r="4860" spans="19:27" x14ac:dyDescent="0.25">
      <c r="S4860" s="4">
        <v>-1.1129188624104545</v>
      </c>
      <c r="T4860" s="4">
        <v>-1.2205285541010564</v>
      </c>
      <c r="U4860" s="4">
        <f t="shared" si="434"/>
        <v>-1.6459634135316616</v>
      </c>
      <c r="W4860" s="4">
        <f t="shared" si="435"/>
        <v>-1.8641548897684255</v>
      </c>
      <c r="X4860" s="4">
        <f t="shared" si="436"/>
        <v>-2.8362024983836198</v>
      </c>
      <c r="Y4860" s="3">
        <f t="shared" si="433"/>
        <v>24.184857132578145</v>
      </c>
      <c r="AA4860" s="3"/>
    </row>
    <row r="4861" spans="19:27" x14ac:dyDescent="0.25">
      <c r="S4861" s="4">
        <v>-0.99673867098586644</v>
      </c>
      <c r="T4861" s="4">
        <v>-2.0546630844891385</v>
      </c>
      <c r="U4861" s="4">
        <f t="shared" si="434"/>
        <v>-2.2363491616045374</v>
      </c>
      <c r="W4861" s="4">
        <f t="shared" si="435"/>
        <v>-1.66659550008355</v>
      </c>
      <c r="X4861" s="4">
        <f t="shared" si="436"/>
        <v>-3.8771091139568998</v>
      </c>
      <c r="Y4861" s="3">
        <f t="shared" si="433"/>
        <v>-113.39346522114602</v>
      </c>
      <c r="AA4861" s="3"/>
    </row>
    <row r="4862" spans="19:27" x14ac:dyDescent="0.25">
      <c r="S4862" s="4">
        <v>7.0824641492911886E-2</v>
      </c>
      <c r="T4862" s="4">
        <v>-3.4770999840859879E-2</v>
      </c>
      <c r="U4862" s="4">
        <f t="shared" si="434"/>
        <v>1.5613587618678364E-2</v>
      </c>
      <c r="W4862" s="4">
        <f t="shared" si="435"/>
        <v>0.14874973112284126</v>
      </c>
      <c r="X4862" s="4">
        <f t="shared" si="436"/>
        <v>9.3316885218284726E-2</v>
      </c>
      <c r="Y4862" s="3">
        <f t="shared" si="433"/>
        <v>-14.448354614126401</v>
      </c>
      <c r="AA4862" s="3"/>
    </row>
    <row r="4863" spans="19:27" x14ac:dyDescent="0.25">
      <c r="S4863" s="4">
        <v>0.68931509510855971</v>
      </c>
      <c r="T4863" s="4">
        <v>-2.1260778447783375</v>
      </c>
      <c r="U4863" s="4">
        <f t="shared" si="434"/>
        <v>-1.2651030773250032</v>
      </c>
      <c r="W4863" s="4">
        <f t="shared" si="435"/>
        <v>1.2004659922510665</v>
      </c>
      <c r="X4863" s="4">
        <f t="shared" si="436"/>
        <v>-2.1647092503487118</v>
      </c>
      <c r="Y4863" s="3">
        <f t="shared" si="433"/>
        <v>-405.14495131873127</v>
      </c>
      <c r="AA4863" s="3"/>
    </row>
    <row r="4864" spans="19:27" x14ac:dyDescent="0.25">
      <c r="S4864" s="4">
        <v>-2.4537021819726648</v>
      </c>
      <c r="T4864" s="4">
        <v>-0.45235316394768377</v>
      </c>
      <c r="U4864" s="4">
        <f t="shared" si="434"/>
        <v>-1.8544083395768836</v>
      </c>
      <c r="W4864" s="4">
        <f t="shared" si="435"/>
        <v>-4.1440989238106383</v>
      </c>
      <c r="X4864" s="4">
        <f t="shared" si="436"/>
        <v>-3.2037108659405757</v>
      </c>
      <c r="Y4864" s="3">
        <f t="shared" si="433"/>
        <v>389.07364713704374</v>
      </c>
      <c r="AA4864" s="3"/>
    </row>
    <row r="4865" spans="19:27" x14ac:dyDescent="0.25">
      <c r="S4865" s="4">
        <v>-0.10863742934218804</v>
      </c>
      <c r="T4865" s="4">
        <v>1.0578426338226967</v>
      </c>
      <c r="U4865" s="4">
        <f t="shared" si="434"/>
        <v>0.77231561229607215</v>
      </c>
      <c r="W4865" s="4">
        <f t="shared" si="435"/>
        <v>-0.15641775699220056</v>
      </c>
      <c r="X4865" s="4">
        <f t="shared" si="436"/>
        <v>1.4274550246897142</v>
      </c>
      <c r="Y4865" s="3">
        <f t="shared" si="433"/>
        <v>167.87481669741373</v>
      </c>
      <c r="AA4865" s="3"/>
    </row>
    <row r="4866" spans="19:27" x14ac:dyDescent="0.25">
      <c r="S4866" s="4">
        <v>-0.27857890349304809</v>
      </c>
      <c r="T4866" s="4">
        <v>-1.0261903841684814</v>
      </c>
      <c r="U4866" s="4">
        <f t="shared" si="434"/>
        <v>-0.98328084262402204</v>
      </c>
      <c r="W4866" s="4">
        <f t="shared" si="435"/>
        <v>-0.44539588229667104</v>
      </c>
      <c r="X4866" s="4">
        <f t="shared" si="436"/>
        <v>-1.6678296602274298</v>
      </c>
      <c r="Y4866" s="3">
        <f t="shared" ref="Y4866:Y4929" si="437">(B$4*EXP(-B$8*B$7)*NORMSDIST((LN(B$4/(B$5+W4866))-B$8*B$7+B$9*B$7+0.5*B$6*B$6*B$7)/(B$6*SQRT(B$7)))-(B$5+W4866)*EXP(-B$9*B$7)*NORMSDIST((LN(B$4/(B$5+W4866))-B$8*B$7+B$9*B$7-0.5*B$6*B$6*B$7)/(B$6*SQRT(B$7))))*400+100*X4866-400*$B$13</f>
        <v>-94.893989209137999</v>
      </c>
      <c r="AA4866" s="3"/>
    </row>
    <row r="4867" spans="19:27" x14ac:dyDescent="0.25">
      <c r="S4867" s="4">
        <v>-0.98553183470119443</v>
      </c>
      <c r="T4867" s="4">
        <v>-5.7611613271201949E-2</v>
      </c>
      <c r="U4867" s="4">
        <f t="shared" ref="U4867:U4930" si="438">$B$19*S4867+SQRT(1-$B$19^2)*T4867</f>
        <v>-0.64647046151379173</v>
      </c>
      <c r="W4867" s="4">
        <f t="shared" ref="W4867:W4930" si="439">S4867*SQRT($B$16)+$B$20</f>
        <v>-1.6475387597773918</v>
      </c>
      <c r="X4867" s="4">
        <f t="shared" ref="X4867:X4930" si="440">U4867*SQRT($C$17)+$C$20</f>
        <v>-1.0740007017273667</v>
      </c>
      <c r="Y4867" s="3">
        <f t="shared" si="437"/>
        <v>163.69808984056726</v>
      </c>
      <c r="AA4867" s="3"/>
    </row>
    <row r="4868" spans="19:27" x14ac:dyDescent="0.25">
      <c r="S4868" s="4">
        <v>0.96370487882056954</v>
      </c>
      <c r="T4868" s="4">
        <v>-0.12849873434531645</v>
      </c>
      <c r="U4868" s="4">
        <f t="shared" si="438"/>
        <v>0.48563607501141254</v>
      </c>
      <c r="W4868" s="4">
        <f t="shared" si="439"/>
        <v>1.6670539496404808</v>
      </c>
      <c r="X4868" s="4">
        <f t="shared" si="440"/>
        <v>0.92201154492560855</v>
      </c>
      <c r="Y4868" s="3">
        <f t="shared" si="437"/>
        <v>-167.82645976553704</v>
      </c>
      <c r="AA4868" s="3"/>
    </row>
    <row r="4869" spans="19:27" x14ac:dyDescent="0.25">
      <c r="S4869" s="4">
        <v>0.30683738174099084</v>
      </c>
      <c r="T4869" s="4">
        <v>-1.1936424509703223</v>
      </c>
      <c r="U4869" s="4">
        <f t="shared" si="438"/>
        <v>-0.75913593033191873</v>
      </c>
      <c r="W4869" s="4">
        <f t="shared" si="439"/>
        <v>0.55007918625229502</v>
      </c>
      <c r="X4869" s="4">
        <f t="shared" si="440"/>
        <v>-1.2726407133168358</v>
      </c>
      <c r="Y4869" s="3">
        <f t="shared" si="437"/>
        <v>-214.63453554316675</v>
      </c>
      <c r="AA4869" s="3"/>
    </row>
    <row r="4870" spans="19:27" x14ac:dyDescent="0.25">
      <c r="S4870" s="4">
        <v>-0.41811346130470539</v>
      </c>
      <c r="T4870" s="4">
        <v>0.3923560949552401</v>
      </c>
      <c r="U4870" s="4">
        <f t="shared" si="438"/>
        <v>5.6126250155863922E-2</v>
      </c>
      <c r="W4870" s="4">
        <f t="shared" si="439"/>
        <v>-0.68266836173748169</v>
      </c>
      <c r="X4870" s="4">
        <f t="shared" si="440"/>
        <v>0.16474458920181462</v>
      </c>
      <c r="Y4870" s="3">
        <f t="shared" si="437"/>
        <v>127.08164378366428</v>
      </c>
      <c r="AA4870" s="3"/>
    </row>
    <row r="4871" spans="19:27" x14ac:dyDescent="0.25">
      <c r="S4871" s="4">
        <v>-0.56275610551875055</v>
      </c>
      <c r="T4871" s="4">
        <v>2.4463812824866878E-2</v>
      </c>
      <c r="U4871" s="4">
        <f t="shared" si="438"/>
        <v>-0.32367640887673593</v>
      </c>
      <c r="W4871" s="4">
        <f t="shared" si="439"/>
        <v>-0.92862692113511858</v>
      </c>
      <c r="X4871" s="4">
        <f t="shared" si="440"/>
        <v>-0.50488387268062951</v>
      </c>
      <c r="Y4871" s="3">
        <f t="shared" si="437"/>
        <v>100.56507332035198</v>
      </c>
      <c r="AA4871" s="3"/>
    </row>
    <row r="4872" spans="19:27" x14ac:dyDescent="0.25">
      <c r="S4872" s="4">
        <v>1.8265414200347716</v>
      </c>
      <c r="T4872" s="4">
        <v>-0.50618100206002259</v>
      </c>
      <c r="U4872" s="4">
        <f t="shared" si="438"/>
        <v>0.71225476270532273</v>
      </c>
      <c r="W4872" s="4">
        <f t="shared" si="439"/>
        <v>3.1342701625758194</v>
      </c>
      <c r="X4872" s="4">
        <f t="shared" si="440"/>
        <v>1.3215619947850599</v>
      </c>
      <c r="Y4872" s="3">
        <f t="shared" si="437"/>
        <v>-345.16247292498701</v>
      </c>
      <c r="AA4872" s="3"/>
    </row>
    <row r="4873" spans="19:27" x14ac:dyDescent="0.25">
      <c r="S4873" s="4">
        <v>0.7657776771388668</v>
      </c>
      <c r="T4873" s="4">
        <v>0.36002092631743104</v>
      </c>
      <c r="U4873" s="4">
        <f t="shared" si="438"/>
        <v>0.75222087284608841</v>
      </c>
      <c r="W4873" s="4">
        <f t="shared" si="439"/>
        <v>1.3304873053028905</v>
      </c>
      <c r="X4873" s="4">
        <f t="shared" si="440"/>
        <v>1.3920260745499362</v>
      </c>
      <c r="Y4873" s="3">
        <f t="shared" si="437"/>
        <v>-69.465572350909952</v>
      </c>
      <c r="AA4873" s="3"/>
    </row>
    <row r="4874" spans="19:27" x14ac:dyDescent="0.25">
      <c r="S4874" s="4">
        <v>-0.20706868445134971</v>
      </c>
      <c r="T4874" s="4">
        <v>-0.64768710638332982</v>
      </c>
      <c r="U4874" s="4">
        <f t="shared" si="438"/>
        <v>-0.63965009012787222</v>
      </c>
      <c r="W4874" s="4">
        <f t="shared" si="439"/>
        <v>-0.32379584827297264</v>
      </c>
      <c r="X4874" s="4">
        <f t="shared" si="440"/>
        <v>-1.0619757337815043</v>
      </c>
      <c r="Y4874" s="3">
        <f t="shared" si="437"/>
        <v>-54.037628991752626</v>
      </c>
      <c r="AA4874" s="3"/>
    </row>
    <row r="4875" spans="19:27" x14ac:dyDescent="0.25">
      <c r="S4875" s="4">
        <v>1.2911246009422024</v>
      </c>
      <c r="T4875" s="4">
        <v>-1.3419293882971093</v>
      </c>
      <c r="U4875" s="4">
        <f t="shared" si="438"/>
        <v>-0.27663835196688102</v>
      </c>
      <c r="W4875" s="4">
        <f t="shared" si="439"/>
        <v>2.2238170232762129</v>
      </c>
      <c r="X4875" s="4">
        <f t="shared" si="440"/>
        <v>-0.42195127347578443</v>
      </c>
      <c r="Y4875" s="3">
        <f t="shared" si="437"/>
        <v>-385.93581787952871</v>
      </c>
      <c r="AA4875" s="3"/>
    </row>
    <row r="4876" spans="19:27" x14ac:dyDescent="0.25">
      <c r="S4876" s="4">
        <v>1.0184879552024659</v>
      </c>
      <c r="T4876" s="4">
        <v>-0.27463004618718018</v>
      </c>
      <c r="U4876" s="4">
        <f t="shared" si="438"/>
        <v>0.40319593607153498</v>
      </c>
      <c r="W4876" s="4">
        <f t="shared" si="439"/>
        <v>1.7602102011697482</v>
      </c>
      <c r="X4876" s="4">
        <f t="shared" si="440"/>
        <v>0.77666168461579221</v>
      </c>
      <c r="Y4876" s="3">
        <f t="shared" si="437"/>
        <v>-196.4761939693999</v>
      </c>
      <c r="AA4876" s="3"/>
    </row>
    <row r="4877" spans="19:27" x14ac:dyDescent="0.25">
      <c r="S4877" s="4">
        <v>0.30506521780635237</v>
      </c>
      <c r="T4877" s="4">
        <v>-0.13090932741059969</v>
      </c>
      <c r="U4877" s="4">
        <f t="shared" si="438"/>
        <v>8.2203784301956573E-2</v>
      </c>
      <c r="W4877" s="4">
        <f t="shared" si="439"/>
        <v>0.54706569814338635</v>
      </c>
      <c r="X4877" s="4">
        <f t="shared" si="440"/>
        <v>0.21072177936792161</v>
      </c>
      <c r="Y4877" s="3">
        <f t="shared" si="437"/>
        <v>-65.823882803053948</v>
      </c>
      <c r="AA4877" s="3"/>
    </row>
    <row r="4878" spans="19:27" x14ac:dyDescent="0.25">
      <c r="S4878" s="4">
        <v>0.97539004528144801</v>
      </c>
      <c r="T4878" s="4">
        <v>-1.3168731158830216</v>
      </c>
      <c r="U4878" s="4">
        <f t="shared" si="438"/>
        <v>-0.44925527455370551</v>
      </c>
      <c r="W4878" s="4">
        <f t="shared" si="439"/>
        <v>1.6869240697192187</v>
      </c>
      <c r="X4878" s="4">
        <f t="shared" si="440"/>
        <v>-0.72629143965870413</v>
      </c>
      <c r="Y4878" s="3">
        <f t="shared" si="437"/>
        <v>-335.67107362691286</v>
      </c>
      <c r="AA4878" s="3"/>
    </row>
    <row r="4879" spans="19:27" x14ac:dyDescent="0.25">
      <c r="S4879" s="4">
        <v>2.4653027030945861E-2</v>
      </c>
      <c r="T4879" s="4">
        <v>-0.56325373805983048</v>
      </c>
      <c r="U4879" s="4">
        <f t="shared" si="438"/>
        <v>-0.43145770746521778</v>
      </c>
      <c r="W4879" s="4">
        <f t="shared" si="439"/>
        <v>7.0236898065648451E-2</v>
      </c>
      <c r="X4879" s="4">
        <f t="shared" si="440"/>
        <v>-0.69491262439429935</v>
      </c>
      <c r="Y4879" s="3">
        <f t="shared" si="437"/>
        <v>-80.734003088511145</v>
      </c>
      <c r="AA4879" s="3"/>
    </row>
    <row r="4880" spans="19:27" x14ac:dyDescent="0.25">
      <c r="S4880" s="4">
        <v>-1.1495301477643758</v>
      </c>
      <c r="T4880" s="4">
        <v>0.28691110543076093</v>
      </c>
      <c r="U4880" s="4">
        <f t="shared" si="438"/>
        <v>-0.47334708280492599</v>
      </c>
      <c r="W4880" s="4">
        <f t="shared" si="439"/>
        <v>-1.9264107967471498</v>
      </c>
      <c r="X4880" s="4">
        <f t="shared" si="440"/>
        <v>-0.76876760489757578</v>
      </c>
      <c r="Y4880" s="3">
        <f t="shared" si="437"/>
        <v>241.52415352578373</v>
      </c>
      <c r="AA4880" s="3"/>
    </row>
    <row r="4881" spans="19:27" x14ac:dyDescent="0.25">
      <c r="S4881" s="4">
        <v>-0.68752279740047173</v>
      </c>
      <c r="T4881" s="4">
        <v>0.19823810303784117</v>
      </c>
      <c r="U4881" s="4">
        <f t="shared" si="438"/>
        <v>-0.2619874750752037</v>
      </c>
      <c r="W4881" s="4">
        <f t="shared" si="439"/>
        <v>-1.1407872834043888</v>
      </c>
      <c r="X4881" s="4">
        <f t="shared" si="440"/>
        <v>-0.39612037438942271</v>
      </c>
      <c r="Y4881" s="3">
        <f t="shared" si="437"/>
        <v>146.58477609641886</v>
      </c>
      <c r="AA4881" s="3"/>
    </row>
    <row r="4882" spans="19:27" x14ac:dyDescent="0.25">
      <c r="S4882" s="4">
        <v>8.3379337225589087E-2</v>
      </c>
      <c r="T4882" s="4">
        <v>-4.5496941307920744E-2</v>
      </c>
      <c r="U4882" s="4">
        <f t="shared" si="438"/>
        <v>1.4764842059292585E-2</v>
      </c>
      <c r="W4882" s="4">
        <f t="shared" si="439"/>
        <v>0.17009844811335306</v>
      </c>
      <c r="X4882" s="4">
        <f t="shared" si="440"/>
        <v>9.182046551203861E-2</v>
      </c>
      <c r="Y4882" s="3">
        <f t="shared" si="437"/>
        <v>-18.001561173644404</v>
      </c>
      <c r="AA4882" s="3"/>
    </row>
    <row r="4883" spans="19:27" x14ac:dyDescent="0.25">
      <c r="S4883" s="4">
        <v>0.6381170883629681</v>
      </c>
      <c r="T4883" s="4">
        <v>-0.8583249881772621</v>
      </c>
      <c r="U4883" s="4">
        <f t="shared" si="438"/>
        <v>-0.29137695314379747</v>
      </c>
      <c r="W4883" s="4">
        <f t="shared" si="439"/>
        <v>1.1134059965520011</v>
      </c>
      <c r="X4883" s="4">
        <f t="shared" si="440"/>
        <v>-0.44793683887844848</v>
      </c>
      <c r="Y4883" s="3">
        <f t="shared" si="437"/>
        <v>-220.03211011527674</v>
      </c>
      <c r="AA4883" s="3"/>
    </row>
    <row r="4884" spans="19:27" x14ac:dyDescent="0.25">
      <c r="S4884" s="4">
        <v>-0.79011365370950726</v>
      </c>
      <c r="T4884" s="4">
        <v>1.3632017311606597</v>
      </c>
      <c r="U4884" s="4">
        <f t="shared" si="438"/>
        <v>0.59892822029472392</v>
      </c>
      <c r="W4884" s="4">
        <f t="shared" si="439"/>
        <v>-1.3152385965855824</v>
      </c>
      <c r="X4884" s="4">
        <f t="shared" si="440"/>
        <v>1.1217564471405099</v>
      </c>
      <c r="Y4884" s="3">
        <f t="shared" si="437"/>
        <v>327.44698614261233</v>
      </c>
      <c r="AA4884" s="3"/>
    </row>
    <row r="4885" spans="19:27" x14ac:dyDescent="0.25">
      <c r="S4885" s="4">
        <v>-1.0553345576242188</v>
      </c>
      <c r="T4885" s="4">
        <v>0.12849662466812847</v>
      </c>
      <c r="U4885" s="4">
        <f t="shared" si="438"/>
        <v>-0.54149724396232879</v>
      </c>
      <c r="W4885" s="4">
        <f t="shared" si="439"/>
        <v>-1.7662352705157676</v>
      </c>
      <c r="X4885" s="4">
        <f t="shared" si="440"/>
        <v>-0.88892286581415425</v>
      </c>
      <c r="Y4885" s="3">
        <f t="shared" si="437"/>
        <v>202.28885700395767</v>
      </c>
      <c r="AA4885" s="3"/>
    </row>
    <row r="4886" spans="19:27" x14ac:dyDescent="0.25">
      <c r="S4886" s="4">
        <v>-0.50093147463011067</v>
      </c>
      <c r="T4886" s="4">
        <v>-2.2022608258235779</v>
      </c>
      <c r="U4886" s="4">
        <f t="shared" si="438"/>
        <v>-2.0510935838980311</v>
      </c>
      <c r="W4886" s="4">
        <f t="shared" si="439"/>
        <v>-0.82349681077736048</v>
      </c>
      <c r="X4886" s="4">
        <f t="shared" si="440"/>
        <v>-3.5504857883837539</v>
      </c>
      <c r="Y4886" s="3">
        <f t="shared" si="437"/>
        <v>-221.3218522258785</v>
      </c>
      <c r="AA4886" s="3"/>
    </row>
    <row r="4887" spans="19:27" x14ac:dyDescent="0.25">
      <c r="S4887" s="4">
        <v>-1.1513400595841599</v>
      </c>
      <c r="T4887" s="4">
        <v>-0.32527415770535556</v>
      </c>
      <c r="U4887" s="4">
        <f t="shared" si="438"/>
        <v>-0.95972481763327722</v>
      </c>
      <c r="W4887" s="4">
        <f t="shared" si="439"/>
        <v>-1.9294884735018147</v>
      </c>
      <c r="X4887" s="4">
        <f t="shared" si="440"/>
        <v>-1.626298132189173</v>
      </c>
      <c r="Y4887" s="3">
        <f t="shared" si="437"/>
        <v>156.29544935678587</v>
      </c>
      <c r="AA4887" s="3"/>
    </row>
    <row r="4888" spans="19:27" x14ac:dyDescent="0.25">
      <c r="S4888" s="4">
        <v>-0.29985874837759702</v>
      </c>
      <c r="T4888" s="4">
        <v>0.28691128805096605</v>
      </c>
      <c r="U4888" s="4">
        <f t="shared" si="438"/>
        <v>4.4631704766364105E-2</v>
      </c>
      <c r="W4888" s="4">
        <f t="shared" si="439"/>
        <v>-0.48158133797918401</v>
      </c>
      <c r="X4888" s="4">
        <f t="shared" si="440"/>
        <v>0.14447860483821373</v>
      </c>
      <c r="Y4888" s="3">
        <f t="shared" si="437"/>
        <v>92.222617787089803</v>
      </c>
      <c r="AA4888" s="3"/>
    </row>
    <row r="4889" spans="19:27" x14ac:dyDescent="0.25">
      <c r="S4889" s="4">
        <v>-1.0495434994125874</v>
      </c>
      <c r="T4889" s="4">
        <v>-1.647973992975458</v>
      </c>
      <c r="U4889" s="4">
        <f t="shared" si="438"/>
        <v>-1.9461609661542987</v>
      </c>
      <c r="W4889" s="4">
        <f t="shared" si="439"/>
        <v>-1.7563878265419632</v>
      </c>
      <c r="X4889" s="4">
        <f t="shared" si="440"/>
        <v>-3.3654795338198467</v>
      </c>
      <c r="Y4889" s="3">
        <f t="shared" si="437"/>
        <v>-47.035804696882678</v>
      </c>
      <c r="AA4889" s="3"/>
    </row>
    <row r="4890" spans="19:27" x14ac:dyDescent="0.25">
      <c r="S4890" s="4">
        <v>-1.3469369400564841</v>
      </c>
      <c r="T4890" s="4">
        <v>0.91664149359876734</v>
      </c>
      <c r="U4890" s="4">
        <f t="shared" si="438"/>
        <v>-9.4508415112962263E-2</v>
      </c>
      <c r="W4890" s="4">
        <f t="shared" si="439"/>
        <v>-2.2620925074300962</v>
      </c>
      <c r="X4890" s="4">
        <f t="shared" si="440"/>
        <v>-0.10083875207090387</v>
      </c>
      <c r="Y4890" s="3">
        <f t="shared" si="437"/>
        <v>365.80545094920126</v>
      </c>
      <c r="AA4890" s="3"/>
    </row>
    <row r="4891" spans="19:27" x14ac:dyDescent="0.25">
      <c r="S4891" s="4">
        <v>0.52007860484731461</v>
      </c>
      <c r="T4891" s="4">
        <v>0.34656091807452211</v>
      </c>
      <c r="U4891" s="4">
        <f t="shared" si="438"/>
        <v>0.59176759526650902</v>
      </c>
      <c r="W4891" s="4">
        <f t="shared" si="439"/>
        <v>0.91268666155402622</v>
      </c>
      <c r="X4891" s="4">
        <f t="shared" si="440"/>
        <v>1.1091315794369141</v>
      </c>
      <c r="Y4891" s="3">
        <f t="shared" si="437"/>
        <v>-33.20245447831303</v>
      </c>
      <c r="AA4891" s="3"/>
    </row>
    <row r="4892" spans="19:27" x14ac:dyDescent="0.25">
      <c r="S4892" s="4">
        <v>-0.43381490005137663</v>
      </c>
      <c r="T4892" s="4">
        <v>-0.57952571256718877</v>
      </c>
      <c r="U4892" s="4">
        <f t="shared" si="438"/>
        <v>-0.72384864940806093</v>
      </c>
      <c r="W4892" s="4">
        <f t="shared" si="439"/>
        <v>-0.70936797909850402</v>
      </c>
      <c r="X4892" s="4">
        <f t="shared" si="440"/>
        <v>-1.210425857556628</v>
      </c>
      <c r="Y4892" s="3">
        <f t="shared" si="437"/>
        <v>-6.0601464671435679</v>
      </c>
      <c r="AA4892" s="3"/>
    </row>
    <row r="4893" spans="19:27" x14ac:dyDescent="0.25">
      <c r="S4893" s="4">
        <v>0.28527848870868666</v>
      </c>
      <c r="T4893" s="4">
        <v>0.76340417300589525</v>
      </c>
      <c r="U4893" s="4">
        <f t="shared" si="438"/>
        <v>0.77905652697564187</v>
      </c>
      <c r="W4893" s="4">
        <f t="shared" si="439"/>
        <v>0.51341922126585293</v>
      </c>
      <c r="X4893" s="4">
        <f t="shared" si="440"/>
        <v>1.4393399028526488</v>
      </c>
      <c r="Y4893" s="3">
        <f t="shared" si="437"/>
        <v>62.337943839784657</v>
      </c>
      <c r="AA4893" s="3"/>
    </row>
    <row r="4894" spans="19:27" x14ac:dyDescent="0.25">
      <c r="S4894" s="4">
        <v>0.43192803928746548</v>
      </c>
      <c r="T4894" s="4">
        <v>3.5796901557975542</v>
      </c>
      <c r="U4894" s="4">
        <f t="shared" si="438"/>
        <v>3.1009047866425195</v>
      </c>
      <c r="W4894" s="4">
        <f t="shared" si="439"/>
        <v>0.7627904381200652</v>
      </c>
      <c r="X4894" s="4">
        <f t="shared" si="440"/>
        <v>5.5329807499318919</v>
      </c>
      <c r="Y4894" s="3">
        <f t="shared" si="437"/>
        <v>432.55859696448169</v>
      </c>
      <c r="AA4894" s="3"/>
    </row>
    <row r="4895" spans="19:27" x14ac:dyDescent="0.25">
      <c r="S4895" s="4">
        <v>-0.61506314471202983</v>
      </c>
      <c r="T4895" s="4">
        <v>-0.87547101168940422</v>
      </c>
      <c r="U4895" s="4">
        <f t="shared" si="438"/>
        <v>-1.0689350999943368</v>
      </c>
      <c r="W4895" s="4">
        <f t="shared" si="439"/>
        <v>-1.0175727785359019</v>
      </c>
      <c r="X4895" s="4">
        <f t="shared" si="440"/>
        <v>-1.8188463191488295</v>
      </c>
      <c r="Y4895" s="3">
        <f t="shared" si="437"/>
        <v>-16.126513020969924</v>
      </c>
      <c r="AA4895" s="3"/>
    </row>
    <row r="4896" spans="19:27" x14ac:dyDescent="0.25">
      <c r="S4896" s="4">
        <v>-0.90693465448493205</v>
      </c>
      <c r="T4896" s="4">
        <v>1.6117527554050912</v>
      </c>
      <c r="U4896" s="4">
        <f t="shared" si="438"/>
        <v>0.72473594494686366</v>
      </c>
      <c r="W4896" s="4">
        <f t="shared" si="439"/>
        <v>-1.5138876548508187</v>
      </c>
      <c r="X4896" s="4">
        <f t="shared" si="440"/>
        <v>1.3435675144098187</v>
      </c>
      <c r="Y4896" s="3">
        <f t="shared" si="437"/>
        <v>382.93111345126636</v>
      </c>
      <c r="AA4896" s="3"/>
    </row>
    <row r="4897" spans="19:27" x14ac:dyDescent="0.25">
      <c r="S4897" s="4">
        <v>1.1238201426394523</v>
      </c>
      <c r="T4897" s="4">
        <v>-0.15231449362361066</v>
      </c>
      <c r="U4897" s="4">
        <f t="shared" si="438"/>
        <v>0.56436734999877092</v>
      </c>
      <c r="W4897" s="4">
        <f t="shared" si="439"/>
        <v>1.9393230293469268</v>
      </c>
      <c r="X4897" s="4">
        <f t="shared" si="440"/>
        <v>1.0608223228862317</v>
      </c>
      <c r="Y4897" s="3">
        <f t="shared" si="437"/>
        <v>-195.076502891171</v>
      </c>
      <c r="AA4897" s="3"/>
    </row>
    <row r="4898" spans="19:27" x14ac:dyDescent="0.25">
      <c r="S4898" s="4">
        <v>-1.0123487543147716</v>
      </c>
      <c r="T4898" s="4">
        <v>-0.15693474015629152</v>
      </c>
      <c r="U4898" s="4">
        <f t="shared" si="438"/>
        <v>-0.74155130402335157</v>
      </c>
      <c r="W4898" s="4">
        <f t="shared" si="439"/>
        <v>-1.6931397715086001</v>
      </c>
      <c r="X4898" s="4">
        <f t="shared" si="440"/>
        <v>-1.241637333040942</v>
      </c>
      <c r="Y4898" s="3">
        <f t="shared" si="437"/>
        <v>154.64109125495179</v>
      </c>
      <c r="AA4898" s="3"/>
    </row>
    <row r="4899" spans="19:27" x14ac:dyDescent="0.25">
      <c r="S4899" s="4">
        <v>0.27664282305755333</v>
      </c>
      <c r="T4899" s="4">
        <v>-1.2261459031407971</v>
      </c>
      <c r="U4899" s="4">
        <f t="shared" si="438"/>
        <v>-0.80330843412542796</v>
      </c>
      <c r="W4899" s="4">
        <f t="shared" si="439"/>
        <v>0.49873464539589546</v>
      </c>
      <c r="X4899" s="4">
        <f t="shared" si="440"/>
        <v>-1.350521067941223</v>
      </c>
      <c r="Y4899" s="3">
        <f t="shared" si="437"/>
        <v>-214.33321045963339</v>
      </c>
      <c r="AA4899" s="3"/>
    </row>
    <row r="4900" spans="19:27" x14ac:dyDescent="0.25">
      <c r="S4900" s="4">
        <v>0.97572847734717594</v>
      </c>
      <c r="T4900" s="4">
        <v>5.647248322333126E-2</v>
      </c>
      <c r="U4900" s="4">
        <f t="shared" si="438"/>
        <v>0.63959113684223023</v>
      </c>
      <c r="W4900" s="4">
        <f t="shared" si="439"/>
        <v>1.6874995588067747</v>
      </c>
      <c r="X4900" s="4">
        <f t="shared" si="440"/>
        <v>1.1934490633341834</v>
      </c>
      <c r="Y4900" s="3">
        <f t="shared" si="437"/>
        <v>-143.78429599501351</v>
      </c>
      <c r="AA4900" s="3"/>
    </row>
    <row r="4901" spans="19:27" x14ac:dyDescent="0.25">
      <c r="S4901" s="4">
        <v>-0.55377570476174587</v>
      </c>
      <c r="T4901" s="4">
        <v>-0.18481889399337137</v>
      </c>
      <c r="U4901" s="4">
        <f t="shared" si="438"/>
        <v>-0.48409848760280549</v>
      </c>
      <c r="W4901" s="4">
        <f t="shared" si="439"/>
        <v>-0.9133561381305042</v>
      </c>
      <c r="X4901" s="4">
        <f t="shared" si="440"/>
        <v>-0.78772336122697428</v>
      </c>
      <c r="Y4901" s="3">
        <f t="shared" si="437"/>
        <v>69.760713643167946</v>
      </c>
      <c r="AA4901" s="3"/>
    </row>
    <row r="4902" spans="19:27" x14ac:dyDescent="0.25">
      <c r="S4902" s="4">
        <v>0.23342717738728733</v>
      </c>
      <c r="T4902" s="4">
        <v>0.8978352895979661</v>
      </c>
      <c r="U4902" s="4">
        <f t="shared" si="438"/>
        <v>0.85400928391496267</v>
      </c>
      <c r="W4902" s="4">
        <f t="shared" si="439"/>
        <v>0.42524830939689401</v>
      </c>
      <c r="X4902" s="4">
        <f t="shared" si="440"/>
        <v>1.571488791622851</v>
      </c>
      <c r="Y4902" s="3">
        <f t="shared" si="437"/>
        <v>89.469111830676411</v>
      </c>
      <c r="AA4902" s="3"/>
    </row>
    <row r="4903" spans="19:27" x14ac:dyDescent="0.25">
      <c r="S4903" s="4">
        <v>0.84053698253428366</v>
      </c>
      <c r="T4903" s="4">
        <v>0.66809495450552869</v>
      </c>
      <c r="U4903" s="4">
        <f t="shared" si="438"/>
        <v>1.0420036368211032</v>
      </c>
      <c r="W4903" s="4">
        <f t="shared" si="439"/>
        <v>1.4576122701190359</v>
      </c>
      <c r="X4903" s="4">
        <f t="shared" si="440"/>
        <v>1.9029408401676691</v>
      </c>
      <c r="Y4903" s="3">
        <f t="shared" si="437"/>
        <v>-37.840236160528548</v>
      </c>
      <c r="AA4903" s="3"/>
    </row>
    <row r="4904" spans="19:27" x14ac:dyDescent="0.25">
      <c r="S4904" s="4">
        <v>0.22780349643567788</v>
      </c>
      <c r="T4904" s="4">
        <v>1.2518411024644749</v>
      </c>
      <c r="U4904" s="4">
        <f t="shared" si="438"/>
        <v>1.1311985450496742</v>
      </c>
      <c r="W4904" s="4">
        <f t="shared" si="439"/>
        <v>0.41568548321319315</v>
      </c>
      <c r="X4904" s="4">
        <f t="shared" si="440"/>
        <v>2.0602000056431722</v>
      </c>
      <c r="Y4904" s="3">
        <f t="shared" si="437"/>
        <v>139.85196102258124</v>
      </c>
      <c r="AA4904" s="3"/>
    </row>
    <row r="4905" spans="19:27" x14ac:dyDescent="0.25">
      <c r="S4905" s="4">
        <v>1.1501892845539246</v>
      </c>
      <c r="T4905" s="4">
        <v>0.96445578262243015</v>
      </c>
      <c r="U4905" s="4">
        <f t="shared" si="438"/>
        <v>1.4656974522236217</v>
      </c>
      <c r="W4905" s="4">
        <f t="shared" si="439"/>
        <v>1.9841626144711986</v>
      </c>
      <c r="X4905" s="4">
        <f t="shared" si="440"/>
        <v>2.6499536142218392</v>
      </c>
      <c r="Y4905" s="3">
        <f t="shared" si="437"/>
        <v>-42.901599582644849</v>
      </c>
      <c r="AA4905" s="3"/>
    </row>
    <row r="4906" spans="19:27" x14ac:dyDescent="0.25">
      <c r="S4906" s="4">
        <v>0.28410663347094417</v>
      </c>
      <c r="T4906" s="4">
        <v>-0.38848468542985326</v>
      </c>
      <c r="U4906" s="4">
        <f t="shared" si="438"/>
        <v>-0.13475096691117361</v>
      </c>
      <c r="W4906" s="4">
        <f t="shared" si="439"/>
        <v>0.51142653212729439</v>
      </c>
      <c r="X4906" s="4">
        <f t="shared" si="440"/>
        <v>-0.1717902249528982</v>
      </c>
      <c r="Y4906" s="3">
        <f t="shared" si="437"/>
        <v>-98.460997273493831</v>
      </c>
      <c r="AA4906" s="3"/>
    </row>
    <row r="4907" spans="19:27" x14ac:dyDescent="0.25">
      <c r="S4907" s="4">
        <v>0.56591752190391231</v>
      </c>
      <c r="T4907" s="4">
        <v>0.47834415903759614</v>
      </c>
      <c r="U4907" s="4">
        <f t="shared" si="438"/>
        <v>0.72417554519684058</v>
      </c>
      <c r="W4907" s="4">
        <f t="shared" si="439"/>
        <v>0.99063375706552925</v>
      </c>
      <c r="X4907" s="4">
        <f t="shared" si="440"/>
        <v>1.3425794759805907</v>
      </c>
      <c r="Y4907" s="3">
        <f t="shared" si="437"/>
        <v>-21.968184872968777</v>
      </c>
      <c r="AA4907" s="3"/>
    </row>
    <row r="4908" spans="19:27" x14ac:dyDescent="0.25">
      <c r="S4908" s="4">
        <v>0.42867227331795121</v>
      </c>
      <c r="T4908" s="4">
        <v>-1.1423430610980843</v>
      </c>
      <c r="U4908" s="4">
        <f t="shared" si="438"/>
        <v>-0.64419804513618706</v>
      </c>
      <c r="W4908" s="4">
        <f t="shared" si="439"/>
        <v>0.75725414892991072</v>
      </c>
      <c r="X4908" s="4">
        <f t="shared" si="440"/>
        <v>-1.0699942140224945</v>
      </c>
      <c r="Y4908" s="3">
        <f t="shared" si="437"/>
        <v>-226.87332711376985</v>
      </c>
      <c r="AA4908" s="3"/>
    </row>
    <row r="4909" spans="19:27" x14ac:dyDescent="0.25">
      <c r="S4909" s="4">
        <v>2.0310251261445558</v>
      </c>
      <c r="T4909" s="4">
        <v>-0.41499814961538101</v>
      </c>
      <c r="U4909" s="4">
        <f t="shared" si="438"/>
        <v>0.90919251175730698</v>
      </c>
      <c r="W4909" s="4">
        <f t="shared" si="439"/>
        <v>3.4819858590658908</v>
      </c>
      <c r="X4909" s="4">
        <f t="shared" si="440"/>
        <v>1.6687821072512856</v>
      </c>
      <c r="Y4909" s="3">
        <f t="shared" si="437"/>
        <v>-360.38265959440014</v>
      </c>
      <c r="AA4909" s="3"/>
    </row>
    <row r="4910" spans="19:27" x14ac:dyDescent="0.25">
      <c r="S4910" s="4">
        <v>1.4404561204725539</v>
      </c>
      <c r="T4910" s="4">
        <v>0.61989557462137612</v>
      </c>
      <c r="U4910" s="4">
        <f t="shared" si="438"/>
        <v>1.3695204648639974</v>
      </c>
      <c r="W4910" s="4">
        <f t="shared" si="439"/>
        <v>2.4777488123134241</v>
      </c>
      <c r="X4910" s="4">
        <f t="shared" si="440"/>
        <v>2.4803843745589211</v>
      </c>
      <c r="Y4910" s="3">
        <f t="shared" si="437"/>
        <v>-133.36968966344784</v>
      </c>
      <c r="AA4910" s="3"/>
    </row>
    <row r="4911" spans="19:27" x14ac:dyDescent="0.25">
      <c r="S4911" s="4">
        <v>-1.3453185274398323</v>
      </c>
      <c r="T4911" s="4">
        <v>1.1252090588448895</v>
      </c>
      <c r="U4911" s="4">
        <f t="shared" si="438"/>
        <v>7.180804970822785E-2</v>
      </c>
      <c r="W4911" s="4">
        <f t="shared" si="439"/>
        <v>-2.2593404667863037</v>
      </c>
      <c r="X4911" s="4">
        <f t="shared" si="440"/>
        <v>0.19239310367126419</v>
      </c>
      <c r="Y4911" s="3">
        <f t="shared" si="437"/>
        <v>394.65487796880734</v>
      </c>
      <c r="AA4911" s="3"/>
    </row>
    <row r="4912" spans="19:27" x14ac:dyDescent="0.25">
      <c r="S4912" s="4">
        <v>0.832684316646222</v>
      </c>
      <c r="T4912" s="4">
        <v>-8.0347454742447297E-2</v>
      </c>
      <c r="U4912" s="4">
        <f t="shared" si="438"/>
        <v>0.4439321520413112</v>
      </c>
      <c r="W4912" s="4">
        <f t="shared" si="439"/>
        <v>1.4442591514744372</v>
      </c>
      <c r="X4912" s="4">
        <f t="shared" si="440"/>
        <v>0.84848353471087257</v>
      </c>
      <c r="Y4912" s="3">
        <f t="shared" si="437"/>
        <v>-141.24509107871063</v>
      </c>
      <c r="AA4912" s="3"/>
    </row>
    <row r="4913" spans="19:27" x14ac:dyDescent="0.25">
      <c r="S4913" s="4">
        <v>-1.1746290110538604</v>
      </c>
      <c r="T4913" s="4">
        <v>1.4795122087126449</v>
      </c>
      <c r="U4913" s="4">
        <f t="shared" si="438"/>
        <v>0.45671746648192868</v>
      </c>
      <c r="W4913" s="4">
        <f t="shared" si="439"/>
        <v>-1.9690903280205447</v>
      </c>
      <c r="X4913" s="4">
        <f t="shared" si="440"/>
        <v>0.87102526852959028</v>
      </c>
      <c r="Y4913" s="3">
        <f t="shared" si="437"/>
        <v>412.77932070437691</v>
      </c>
      <c r="AA4913" s="3"/>
    </row>
    <row r="4914" spans="19:27" x14ac:dyDescent="0.25">
      <c r="S4914" s="4">
        <v>-1.1827327247479551</v>
      </c>
      <c r="T4914" s="4">
        <v>0.57017741167988889</v>
      </c>
      <c r="U4914" s="4">
        <f t="shared" si="438"/>
        <v>-0.26904517434691549</v>
      </c>
      <c r="W4914" s="4">
        <f t="shared" si="439"/>
        <v>-1.9828703425992391</v>
      </c>
      <c r="X4914" s="4">
        <f t="shared" si="440"/>
        <v>-0.40856377412702061</v>
      </c>
      <c r="Y4914" s="3">
        <f t="shared" si="437"/>
        <v>287.1716652467403</v>
      </c>
      <c r="AA4914" s="3"/>
    </row>
    <row r="4915" spans="19:27" x14ac:dyDescent="0.25">
      <c r="S4915" s="4">
        <v>1.4392779297655283</v>
      </c>
      <c r="T4915" s="4">
        <v>0.17910456304404726</v>
      </c>
      <c r="U4915" s="4">
        <f t="shared" si="438"/>
        <v>1.0193906966236534</v>
      </c>
      <c r="W4915" s="4">
        <f t="shared" si="439"/>
        <v>2.4757453499834154</v>
      </c>
      <c r="X4915" s="4">
        <f t="shared" si="440"/>
        <v>1.8630720609399853</v>
      </c>
      <c r="Y4915" s="3">
        <f t="shared" si="437"/>
        <v>-194.80498507318907</v>
      </c>
      <c r="AA4915" s="3"/>
    </row>
    <row r="4916" spans="19:27" x14ac:dyDescent="0.25">
      <c r="S4916" s="4">
        <v>0.86568458960775574</v>
      </c>
      <c r="T4916" s="4">
        <v>-1.0548040003471826</v>
      </c>
      <c r="U4916" s="4">
        <f t="shared" si="438"/>
        <v>-0.30839407176855416</v>
      </c>
      <c r="W4916" s="4">
        <f t="shared" si="439"/>
        <v>1.5003746880884967</v>
      </c>
      <c r="X4916" s="4">
        <f t="shared" si="440"/>
        <v>-0.47793964875711448</v>
      </c>
      <c r="Y4916" s="3">
        <f t="shared" si="437"/>
        <v>-282.45799454236067</v>
      </c>
      <c r="AA4916" s="3"/>
    </row>
    <row r="4917" spans="19:27" x14ac:dyDescent="0.25">
      <c r="S4917" s="4">
        <v>-0.30173783414713273</v>
      </c>
      <c r="T4917" s="4">
        <v>0.73995895267904088</v>
      </c>
      <c r="U4917" s="4">
        <f t="shared" si="438"/>
        <v>0.40261344010533207</v>
      </c>
      <c r="W4917" s="4">
        <f t="shared" si="439"/>
        <v>-0.48477664204300952</v>
      </c>
      <c r="X4917" s="4">
        <f t="shared" si="440"/>
        <v>0.77563468844126648</v>
      </c>
      <c r="Y4917" s="3">
        <f t="shared" si="437"/>
        <v>155.85828923806184</v>
      </c>
      <c r="AA4917" s="3"/>
    </row>
    <row r="4918" spans="19:27" x14ac:dyDescent="0.25">
      <c r="S4918" s="4">
        <v>0.32550079422123024</v>
      </c>
      <c r="T4918" s="4">
        <v>-1.2604240756958836</v>
      </c>
      <c r="U4918" s="4">
        <f t="shared" si="438"/>
        <v>-0.80069555860042652</v>
      </c>
      <c r="W4918" s="4">
        <f t="shared" si="439"/>
        <v>0.58181551181538793</v>
      </c>
      <c r="X4918" s="4">
        <f t="shared" si="440"/>
        <v>-1.3459143181534421</v>
      </c>
      <c r="Y4918" s="3">
        <f t="shared" si="437"/>
        <v>-226.95521605066688</v>
      </c>
      <c r="AA4918" s="3"/>
    </row>
    <row r="4919" spans="19:27" x14ac:dyDescent="0.25">
      <c r="S4919" s="4">
        <v>1.8745673719397482</v>
      </c>
      <c r="T4919" s="4">
        <v>-1.6489819675665578E-2</v>
      </c>
      <c r="U4919" s="4">
        <f t="shared" si="438"/>
        <v>1.1297067465558297</v>
      </c>
      <c r="W4919" s="4">
        <f t="shared" si="439"/>
        <v>3.2159362162381684</v>
      </c>
      <c r="X4919" s="4">
        <f t="shared" si="440"/>
        <v>2.0575698220277756</v>
      </c>
      <c r="Y4919" s="3">
        <f t="shared" si="437"/>
        <v>-283.34429840793064</v>
      </c>
      <c r="AA4919" s="3"/>
    </row>
    <row r="4920" spans="19:27" x14ac:dyDescent="0.25">
      <c r="S4920" s="4">
        <v>-0.12878736849280872</v>
      </c>
      <c r="T4920" s="4">
        <v>0.57736498186893892</v>
      </c>
      <c r="U4920" s="4">
        <f t="shared" si="438"/>
        <v>0.37916095982471959</v>
      </c>
      <c r="W4920" s="4">
        <f t="shared" si="439"/>
        <v>-0.19068185685269981</v>
      </c>
      <c r="X4920" s="4">
        <f t="shared" si="440"/>
        <v>0.73428571964353373</v>
      </c>
      <c r="Y4920" s="3">
        <f t="shared" si="437"/>
        <v>104.07951282913609</v>
      </c>
      <c r="AA4920" s="3"/>
    </row>
    <row r="4921" spans="19:27" x14ac:dyDescent="0.25">
      <c r="S4921" s="4">
        <v>1.2625709939850833</v>
      </c>
      <c r="T4921" s="4">
        <v>0.36091786557915867</v>
      </c>
      <c r="U4921" s="4">
        <f t="shared" si="438"/>
        <v>1.055788159769343</v>
      </c>
      <c r="W4921" s="4">
        <f t="shared" si="439"/>
        <v>2.1752628498445756</v>
      </c>
      <c r="X4921" s="4">
        <f t="shared" si="440"/>
        <v>1.9272442742803324</v>
      </c>
      <c r="Y4921" s="3">
        <f t="shared" si="437"/>
        <v>-143.77741171738808</v>
      </c>
      <c r="AA4921" s="3"/>
    </row>
    <row r="4922" spans="19:27" x14ac:dyDescent="0.25">
      <c r="S4922" s="4">
        <v>0.13640380051024184</v>
      </c>
      <c r="T4922" s="4">
        <v>1.4318209772343251</v>
      </c>
      <c r="U4922" s="4">
        <f t="shared" si="438"/>
        <v>1.2181478614167647</v>
      </c>
      <c r="W4922" s="4">
        <f t="shared" si="439"/>
        <v>0.26026425414650695</v>
      </c>
      <c r="X4922" s="4">
        <f t="shared" si="440"/>
        <v>2.2134999776047355</v>
      </c>
      <c r="Y4922" s="3">
        <f t="shared" si="437"/>
        <v>179.81742759772442</v>
      </c>
      <c r="AA4922" s="3"/>
    </row>
    <row r="4923" spans="19:27" x14ac:dyDescent="0.25">
      <c r="S4923" s="4">
        <v>-0.55096853411572422</v>
      </c>
      <c r="T4923" s="4">
        <v>0.21595251317876629</v>
      </c>
      <c r="U4923" s="4">
        <f t="shared" si="438"/>
        <v>-0.164698877859209</v>
      </c>
      <c r="W4923" s="4">
        <f t="shared" si="439"/>
        <v>-0.90858266588218806</v>
      </c>
      <c r="X4923" s="4">
        <f t="shared" si="440"/>
        <v>-0.22459126008994826</v>
      </c>
      <c r="Y4923" s="3">
        <f t="shared" si="437"/>
        <v>125.28632313463004</v>
      </c>
      <c r="AA4923" s="3"/>
    </row>
    <row r="4924" spans="19:27" x14ac:dyDescent="0.25">
      <c r="S4924" s="4">
        <v>2.8030967149575687</v>
      </c>
      <c r="T4924" s="4">
        <v>1.3012012299905489</v>
      </c>
      <c r="U4924" s="4">
        <f t="shared" si="438"/>
        <v>2.7402821297686222</v>
      </c>
      <c r="W4924" s="4">
        <f t="shared" si="439"/>
        <v>4.7948601968391893</v>
      </c>
      <c r="X4924" s="4">
        <f t="shared" si="440"/>
        <v>4.897168468739566</v>
      </c>
      <c r="Y4924" s="3">
        <f t="shared" si="437"/>
        <v>-220.85228709925241</v>
      </c>
      <c r="AA4924" s="3"/>
    </row>
    <row r="4925" spans="19:27" x14ac:dyDescent="0.25">
      <c r="S4925" s="4">
        <v>-1.6191273872498391</v>
      </c>
      <c r="T4925" s="4">
        <v>0.46588014198164596</v>
      </c>
      <c r="U4925" s="4">
        <f t="shared" si="438"/>
        <v>-0.6177567106687134</v>
      </c>
      <c r="W4925" s="4">
        <f t="shared" si="439"/>
        <v>-2.7249405882105178</v>
      </c>
      <c r="X4925" s="4">
        <f t="shared" si="440"/>
        <v>-1.0233756090483417</v>
      </c>
      <c r="Y4925" s="3">
        <f t="shared" si="437"/>
        <v>353.80802242346726</v>
      </c>
      <c r="AA4925" s="3"/>
    </row>
    <row r="4926" spans="19:27" x14ac:dyDescent="0.25">
      <c r="S4926" s="4">
        <v>-1.974437515054285</v>
      </c>
      <c r="T4926" s="4">
        <v>-0.70859757759855169</v>
      </c>
      <c r="U4926" s="4">
        <f t="shared" si="438"/>
        <v>-1.7653608069394839</v>
      </c>
      <c r="W4926" s="4">
        <f t="shared" si="439"/>
        <v>-3.3291300902003176</v>
      </c>
      <c r="X4926" s="4">
        <f t="shared" si="440"/>
        <v>-3.046711537746587</v>
      </c>
      <c r="Y4926" s="3">
        <f t="shared" si="437"/>
        <v>257.97585660050572</v>
      </c>
      <c r="AA4926" s="3"/>
    </row>
    <row r="4927" spans="19:27" x14ac:dyDescent="0.25">
      <c r="S4927" s="4">
        <v>-1.2723655206053242</v>
      </c>
      <c r="T4927" s="4">
        <v>-0.55246062167472731</v>
      </c>
      <c r="U4927" s="4">
        <f t="shared" si="438"/>
        <v>-1.2135935357737604</v>
      </c>
      <c r="W4927" s="4">
        <f t="shared" si="439"/>
        <v>-2.1352870345344117</v>
      </c>
      <c r="X4927" s="4">
        <f t="shared" si="440"/>
        <v>-2.0738929954833978</v>
      </c>
      <c r="Y4927" s="3">
        <f t="shared" si="437"/>
        <v>146.71277065080358</v>
      </c>
      <c r="AA4927" s="3"/>
    </row>
    <row r="4928" spans="19:27" x14ac:dyDescent="0.25">
      <c r="S4928" s="4">
        <v>-1.233589960396035</v>
      </c>
      <c r="T4928" s="4">
        <v>0.62653221361501776</v>
      </c>
      <c r="U4928" s="4">
        <f t="shared" si="438"/>
        <v>-0.25537687819425448</v>
      </c>
      <c r="W4928" s="4">
        <f t="shared" si="439"/>
        <v>-2.0693508717883837</v>
      </c>
      <c r="X4928" s="4">
        <f t="shared" si="440"/>
        <v>-0.38446525898609707</v>
      </c>
      <c r="Y4928" s="3">
        <f t="shared" si="437"/>
        <v>304.36058557015349</v>
      </c>
      <c r="AA4928" s="3"/>
    </row>
    <row r="4929" spans="19:27" x14ac:dyDescent="0.25">
      <c r="S4929" s="4">
        <v>0.75685729148123726</v>
      </c>
      <c r="T4929" s="4">
        <v>-3.6189580964607641E-3</v>
      </c>
      <c r="U4929" s="4">
        <f t="shared" si="438"/>
        <v>0.45852837257580065</v>
      </c>
      <c r="W4929" s="4">
        <f t="shared" si="439"/>
        <v>1.3153185753785737</v>
      </c>
      <c r="X4929" s="4">
        <f t="shared" si="440"/>
        <v>0.87421806940502844</v>
      </c>
      <c r="Y4929" s="3">
        <f t="shared" si="437"/>
        <v>-118.91819378940681</v>
      </c>
      <c r="AA4929" s="3"/>
    </row>
    <row r="4930" spans="19:27" x14ac:dyDescent="0.25">
      <c r="S4930" s="4">
        <v>-0.75497327941733694</v>
      </c>
      <c r="T4930" s="4">
        <v>1.0032727143370985</v>
      </c>
      <c r="U4930" s="4">
        <f t="shared" si="438"/>
        <v>0.33503771748923922</v>
      </c>
      <c r="W4930" s="4">
        <f t="shared" si="439"/>
        <v>-1.2554839102373034</v>
      </c>
      <c r="X4930" s="4">
        <f t="shared" si="440"/>
        <v>0.65649221768746135</v>
      </c>
      <c r="Y4930" s="3">
        <f t="shared" ref="Y4930:Y4993" si="441">(B$4*EXP(-B$8*B$7)*NORMSDIST((LN(B$4/(B$5+W4930))-B$8*B$7+B$9*B$7+0.5*B$6*B$6*B$7)/(B$6*SQRT(B$7)))-(B$5+W4930)*EXP(-B$9*B$7)*NORMSDIST((LN(B$4/(B$5+W4930))-B$8*B$7+B$9*B$7-0.5*B$6*B$6*B$7)/(B$6*SQRT(B$7))))*400+100*X4930-400*$B$13</f>
        <v>270.94361845532603</v>
      </c>
      <c r="AA4930" s="3"/>
    </row>
    <row r="4931" spans="19:27" x14ac:dyDescent="0.25">
      <c r="S4931" s="4">
        <v>-1.0870060882799817</v>
      </c>
      <c r="T4931" s="4">
        <v>-0.10628200384188652</v>
      </c>
      <c r="U4931" s="4">
        <f t="shared" ref="U4931:U4994" si="442">$B$19*S4931+SQRT(1-$B$19^2)*T4931</f>
        <v>-0.74691206073813132</v>
      </c>
      <c r="W4931" s="4">
        <f t="shared" ref="W4931:W4994" si="443">S4931*SQRT($B$16)+$B$20</f>
        <v>-1.8200913383188555</v>
      </c>
      <c r="X4931" s="4">
        <f t="shared" ref="X4931:X4994" si="444">U4931*SQRT($C$17)+$C$20</f>
        <v>-1.2510888605331068</v>
      </c>
      <c r="Y4931" s="3">
        <f t="shared" si="441"/>
        <v>175.20917493312481</v>
      </c>
      <c r="AA4931" s="3"/>
    </row>
    <row r="4932" spans="19:27" x14ac:dyDescent="0.25">
      <c r="S4932" s="4">
        <v>1.7593083973437076E-2</v>
      </c>
      <c r="T4932" s="4">
        <v>1.1808249641010855</v>
      </c>
      <c r="U4932" s="4">
        <f t="shared" si="442"/>
        <v>0.94675566133224942</v>
      </c>
      <c r="W4932" s="4">
        <f t="shared" si="443"/>
        <v>5.8231770302050817E-2</v>
      </c>
      <c r="X4932" s="4">
        <f t="shared" si="444"/>
        <v>1.735009537405138</v>
      </c>
      <c r="Y4932" s="3">
        <f t="shared" si="441"/>
        <v>164.17805417716136</v>
      </c>
      <c r="AA4932" s="3"/>
    </row>
    <row r="4933" spans="19:27" x14ac:dyDescent="0.25">
      <c r="S4933" s="4">
        <v>-0.5904203538222631</v>
      </c>
      <c r="T4933" s="4">
        <v>-0.83811700210490625</v>
      </c>
      <c r="U4933" s="4">
        <f t="shared" si="442"/>
        <v>-1.0243020795685722</v>
      </c>
      <c r="W4933" s="4">
        <f t="shared" si="443"/>
        <v>-0.97566877864901591</v>
      </c>
      <c r="X4933" s="4">
        <f t="shared" si="444"/>
        <v>-1.740154029597726</v>
      </c>
      <c r="Y4933" s="3">
        <f t="shared" si="441"/>
        <v>-15.190089831550722</v>
      </c>
      <c r="AA4933" s="3"/>
    </row>
    <row r="4934" spans="19:27" x14ac:dyDescent="0.25">
      <c r="S4934" s="4">
        <v>-0.77996141163746535</v>
      </c>
      <c r="T4934" s="4">
        <v>0.19286499217832184</v>
      </c>
      <c r="U4934" s="4">
        <f t="shared" si="442"/>
        <v>-0.32259933888608527</v>
      </c>
      <c r="W4934" s="4">
        <f t="shared" si="443"/>
        <v>-1.2979751481173674</v>
      </c>
      <c r="X4934" s="4">
        <f t="shared" si="444"/>
        <v>-0.5029848951352478</v>
      </c>
      <c r="Y4934" s="3">
        <f t="shared" si="441"/>
        <v>162.08852398528143</v>
      </c>
      <c r="AA4934" s="3"/>
    </row>
    <row r="4935" spans="19:27" x14ac:dyDescent="0.25">
      <c r="S4935" s="4">
        <v>-0.34834759580185176</v>
      </c>
      <c r="T4935" s="4">
        <v>0.93333797063722013</v>
      </c>
      <c r="U4935" s="4">
        <f t="shared" si="442"/>
        <v>0.52748909361630902</v>
      </c>
      <c r="W4935" s="4">
        <f t="shared" si="443"/>
        <v>-0.56403452544769306</v>
      </c>
      <c r="X4935" s="4">
        <f t="shared" si="444"/>
        <v>0.99580242502349792</v>
      </c>
      <c r="Y4935" s="3">
        <f t="shared" si="441"/>
        <v>190.79199665223132</v>
      </c>
      <c r="AA4935" s="3"/>
    </row>
    <row r="4936" spans="19:27" x14ac:dyDescent="0.25">
      <c r="S4936" s="4">
        <v>0.31321414684454923</v>
      </c>
      <c r="T4936" s="4">
        <v>1.1819827479789011</v>
      </c>
      <c r="U4936" s="4">
        <f t="shared" si="442"/>
        <v>1.1278906231518384</v>
      </c>
      <c r="W4936" s="4">
        <f t="shared" si="443"/>
        <v>0.56092259945875822</v>
      </c>
      <c r="X4936" s="4">
        <f t="shared" si="444"/>
        <v>2.0543678225349309</v>
      </c>
      <c r="Y4936" s="3">
        <f t="shared" si="441"/>
        <v>116.35966025744892</v>
      </c>
      <c r="AA4936" s="3"/>
    </row>
    <row r="4937" spans="19:27" x14ac:dyDescent="0.25">
      <c r="S4937" s="4">
        <v>-1.0253206484142054</v>
      </c>
      <c r="T4937" s="4">
        <v>2.1858200179574467</v>
      </c>
      <c r="U4937" s="4">
        <f t="shared" si="442"/>
        <v>1.1076237389964978</v>
      </c>
      <c r="W4937" s="4">
        <f t="shared" si="443"/>
        <v>-1.7151979162742201</v>
      </c>
      <c r="X4937" s="4">
        <f t="shared" si="444"/>
        <v>2.018635364793171</v>
      </c>
      <c r="Y4937" s="3">
        <f t="shared" si="441"/>
        <v>484.40019324239074</v>
      </c>
      <c r="AA4937" s="3"/>
    </row>
    <row r="4938" spans="19:27" x14ac:dyDescent="0.25">
      <c r="S4938" s="4">
        <v>0.35812568561314373</v>
      </c>
      <c r="T4938" s="4">
        <v>0.35015925427027017</v>
      </c>
      <c r="U4938" s="4">
        <f t="shared" si="442"/>
        <v>0.49588985461543089</v>
      </c>
      <c r="W4938" s="4">
        <f t="shared" si="443"/>
        <v>0.63729272830891925</v>
      </c>
      <c r="X4938" s="4">
        <f t="shared" si="444"/>
        <v>0.94008994038026239</v>
      </c>
      <c r="Y4938" s="3">
        <f t="shared" si="441"/>
        <v>-7.0710603390352844</v>
      </c>
      <c r="AA4938" s="3"/>
    </row>
    <row r="4939" spans="19:27" x14ac:dyDescent="0.25">
      <c r="S4939" s="4">
        <v>-0.31603027579533421</v>
      </c>
      <c r="T4939" s="4">
        <v>-0.15623617525929048</v>
      </c>
      <c r="U4939" s="4">
        <f t="shared" si="442"/>
        <v>-0.31650627654366575</v>
      </c>
      <c r="W4939" s="4">
        <f t="shared" si="443"/>
        <v>-0.50908032078981358</v>
      </c>
      <c r="X4939" s="4">
        <f t="shared" si="444"/>
        <v>-0.4922422426880515</v>
      </c>
      <c r="Y4939" s="3">
        <f t="shared" si="441"/>
        <v>33.027969497261438</v>
      </c>
      <c r="AA4939" s="3"/>
    </row>
    <row r="4940" spans="19:27" x14ac:dyDescent="0.25">
      <c r="S4940" s="4">
        <v>-1.6790794612513456</v>
      </c>
      <c r="T4940" s="4">
        <v>-1.232249018421397</v>
      </c>
      <c r="U4940" s="4">
        <f t="shared" si="442"/>
        <v>-2.0003982652022394</v>
      </c>
      <c r="W4940" s="4">
        <f t="shared" si="443"/>
        <v>-2.826886496586543</v>
      </c>
      <c r="X4940" s="4">
        <f t="shared" si="444"/>
        <v>-3.4611050863913819</v>
      </c>
      <c r="Y4940" s="3">
        <f t="shared" si="441"/>
        <v>127.86693310906867</v>
      </c>
      <c r="AA4940" s="3"/>
    </row>
    <row r="4941" spans="19:27" x14ac:dyDescent="0.25">
      <c r="S4941" s="4">
        <v>0.34595061772074798</v>
      </c>
      <c r="T4941" s="4">
        <v>0.87661325098378196</v>
      </c>
      <c r="U4941" s="4">
        <f t="shared" si="442"/>
        <v>0.90578354311362763</v>
      </c>
      <c r="W4941" s="4">
        <f t="shared" si="443"/>
        <v>0.61658955203850574</v>
      </c>
      <c r="X4941" s="4">
        <f t="shared" si="444"/>
        <v>1.6627717690527937</v>
      </c>
      <c r="Y4941" s="3">
        <f t="shared" si="441"/>
        <v>68.448047442404459</v>
      </c>
      <c r="AA4941" s="3"/>
    </row>
    <row r="4942" spans="19:27" x14ac:dyDescent="0.25">
      <c r="S4942" s="4">
        <v>0.5798678126561041</v>
      </c>
      <c r="T4942" s="4">
        <v>0.27655992260660001</v>
      </c>
      <c r="U4942" s="4">
        <f t="shared" si="442"/>
        <v>0.57272719992951593</v>
      </c>
      <c r="W4942" s="4">
        <f t="shared" si="443"/>
        <v>1.0143556230147559</v>
      </c>
      <c r="X4942" s="4">
        <f t="shared" si="444"/>
        <v>1.0755615389437274</v>
      </c>
      <c r="Y4942" s="3">
        <f t="shared" si="441"/>
        <v>-52.349474269105031</v>
      </c>
      <c r="AA4942" s="3"/>
    </row>
    <row r="4943" spans="19:27" x14ac:dyDescent="0.25">
      <c r="S4943" s="4">
        <v>-0.14075992944509791</v>
      </c>
      <c r="T4943" s="4">
        <v>-1.3692305033799479</v>
      </c>
      <c r="U4943" s="4">
        <f t="shared" si="442"/>
        <v>-1.1711884857227408</v>
      </c>
      <c r="W4943" s="4">
        <f t="shared" si="443"/>
        <v>-0.21104067883169889</v>
      </c>
      <c r="X4943" s="4">
        <f t="shared" si="444"/>
        <v>-1.9991288310774948</v>
      </c>
      <c r="Y4943" s="3">
        <f t="shared" si="441"/>
        <v>-165.97825394507709</v>
      </c>
      <c r="AA4943" s="3"/>
    </row>
    <row r="4944" spans="19:27" x14ac:dyDescent="0.25">
      <c r="S4944" s="4">
        <v>-0.29940634687151191</v>
      </c>
      <c r="T4944" s="4">
        <v>-0.59197357169441578</v>
      </c>
      <c r="U4944" s="4">
        <f t="shared" si="442"/>
        <v>-0.65177751506874726</v>
      </c>
      <c r="W4944" s="4">
        <f t="shared" si="443"/>
        <v>-0.4808120487884987</v>
      </c>
      <c r="X4944" s="4">
        <f t="shared" si="444"/>
        <v>-1.0833575454055664</v>
      </c>
      <c r="Y4944" s="3">
        <f t="shared" si="441"/>
        <v>-30.686197692151381</v>
      </c>
      <c r="AA4944" s="3"/>
    </row>
    <row r="4945" spans="19:27" x14ac:dyDescent="0.25">
      <c r="S4945" s="4">
        <v>-0.34732362183466919</v>
      </c>
      <c r="T4945" s="4">
        <v>0.44527156244868188</v>
      </c>
      <c r="U4945" s="4">
        <f t="shared" si="442"/>
        <v>0.1412269845098208</v>
      </c>
      <c r="W4945" s="4">
        <f t="shared" si="443"/>
        <v>-0.56229330201253369</v>
      </c>
      <c r="X4945" s="4">
        <f t="shared" si="444"/>
        <v>0.31478533403402842</v>
      </c>
      <c r="Y4945" s="3">
        <f t="shared" si="441"/>
        <v>122.40616231444346</v>
      </c>
      <c r="AA4945" s="3"/>
    </row>
    <row r="4946" spans="19:27" x14ac:dyDescent="0.25">
      <c r="S4946" s="4">
        <v>1.5383244385365413</v>
      </c>
      <c r="T4946" s="4">
        <v>0.26859743267464875</v>
      </c>
      <c r="U4946" s="4">
        <f t="shared" si="442"/>
        <v>1.1507119417898191</v>
      </c>
      <c r="W4946" s="4">
        <f t="shared" si="443"/>
        <v>2.6441696535009407</v>
      </c>
      <c r="X4946" s="4">
        <f t="shared" si="444"/>
        <v>2.0946039929098426</v>
      </c>
      <c r="Y4946" s="3">
        <f t="shared" si="441"/>
        <v>-196.46082019937649</v>
      </c>
      <c r="AA4946" s="3"/>
    </row>
    <row r="4947" spans="19:27" x14ac:dyDescent="0.25">
      <c r="S4947" s="4">
        <v>0.33008456508779904</v>
      </c>
      <c r="T4947" s="4">
        <v>0.55309544277465317</v>
      </c>
      <c r="U4947" s="4">
        <f t="shared" si="442"/>
        <v>0.63966125887529102</v>
      </c>
      <c r="W4947" s="4">
        <f t="shared" si="443"/>
        <v>0.58961001588489137</v>
      </c>
      <c r="X4947" s="4">
        <f t="shared" si="444"/>
        <v>1.1935726951941135</v>
      </c>
      <c r="Y4947" s="3">
        <f t="shared" si="441"/>
        <v>25.76790509113971</v>
      </c>
      <c r="AA4947" s="3"/>
    </row>
    <row r="4948" spans="19:27" x14ac:dyDescent="0.25">
      <c r="S4948" s="4">
        <v>-0.74982419282862645</v>
      </c>
      <c r="T4948" s="4">
        <v>1.2830331658045806</v>
      </c>
      <c r="U4948" s="4">
        <f t="shared" si="442"/>
        <v>0.55994059265263274</v>
      </c>
      <c r="W4948" s="4">
        <f t="shared" si="443"/>
        <v>-1.2467281112372604</v>
      </c>
      <c r="X4948" s="4">
        <f t="shared" si="444"/>
        <v>1.0530175257308572</v>
      </c>
      <c r="Y4948" s="3">
        <f t="shared" si="441"/>
        <v>309.13581891289414</v>
      </c>
      <c r="AA4948" s="3"/>
    </row>
    <row r="4949" spans="19:27" x14ac:dyDescent="0.25">
      <c r="S4949" s="4">
        <v>-0.45451022810211694</v>
      </c>
      <c r="T4949" s="4">
        <v>-0.95832440559082621</v>
      </c>
      <c r="U4949" s="4">
        <f t="shared" si="442"/>
        <v>-1.0367356838835555</v>
      </c>
      <c r="W4949" s="4">
        <f t="shared" si="443"/>
        <v>-0.74455948919070758</v>
      </c>
      <c r="X4949" s="4">
        <f t="shared" si="444"/>
        <v>-1.7620756647813873</v>
      </c>
      <c r="Y4949" s="3">
        <f t="shared" si="441"/>
        <v>-55.452614584801267</v>
      </c>
      <c r="AA4949" s="3"/>
    </row>
    <row r="4950" spans="19:27" x14ac:dyDescent="0.25">
      <c r="S4950" s="4">
        <v>-9.3014673147874399E-2</v>
      </c>
      <c r="T4950" s="4">
        <v>-1.5176495507540353</v>
      </c>
      <c r="U4950" s="4">
        <f t="shared" si="442"/>
        <v>-1.2597325065108822</v>
      </c>
      <c r="W4950" s="4">
        <f t="shared" si="443"/>
        <v>-0.12985193590773803</v>
      </c>
      <c r="X4950" s="4">
        <f t="shared" si="444"/>
        <v>-2.1552404196595041</v>
      </c>
      <c r="Y4950" s="3">
        <f t="shared" si="441"/>
        <v>-194.67159542520676</v>
      </c>
      <c r="AA4950" s="3"/>
    </row>
    <row r="4951" spans="19:27" x14ac:dyDescent="0.25">
      <c r="S4951" s="4">
        <v>1.7751952572789083</v>
      </c>
      <c r="T4951" s="4">
        <v>-0.60226328302576548</v>
      </c>
      <c r="U4951" s="4">
        <f t="shared" si="442"/>
        <v>0.60478933897823262</v>
      </c>
      <c r="W4951" s="4">
        <f t="shared" si="443"/>
        <v>3.04695823399036</v>
      </c>
      <c r="X4951" s="4">
        <f t="shared" si="444"/>
        <v>1.1320901607036147</v>
      </c>
      <c r="Y4951" s="3">
        <f t="shared" si="441"/>
        <v>-351.47640795413326</v>
      </c>
      <c r="AA4951" s="3"/>
    </row>
    <row r="4952" spans="19:27" x14ac:dyDescent="0.25">
      <c r="S4952" s="4">
        <v>-5.5336589149436857E-2</v>
      </c>
      <c r="T4952" s="4">
        <v>0.42639789801707528</v>
      </c>
      <c r="U4952" s="4">
        <f t="shared" si="442"/>
        <v>0.30426779124346637</v>
      </c>
      <c r="W4952" s="4">
        <f t="shared" si="443"/>
        <v>-6.578198398259906E-2</v>
      </c>
      <c r="X4952" s="4">
        <f t="shared" si="444"/>
        <v>0.6022418908554299</v>
      </c>
      <c r="Y4952" s="3">
        <f t="shared" si="441"/>
        <v>70.776968857220709</v>
      </c>
      <c r="AA4952" s="3"/>
    </row>
    <row r="4953" spans="19:27" x14ac:dyDescent="0.25">
      <c r="S4953" s="4">
        <v>-0.34534325238805935</v>
      </c>
      <c r="T4953" s="4">
        <v>0.10525442870639577</v>
      </c>
      <c r="U4953" s="4">
        <f t="shared" si="442"/>
        <v>-0.12709460631008979</v>
      </c>
      <c r="W4953" s="4">
        <f t="shared" si="443"/>
        <v>-0.55892576943726879</v>
      </c>
      <c r="X4953" s="4">
        <f t="shared" si="444"/>
        <v>-0.15829132795733755</v>
      </c>
      <c r="Y4953" s="3">
        <f t="shared" si="441"/>
        <v>74.549041732029309</v>
      </c>
      <c r="AA4953" s="3"/>
    </row>
    <row r="4954" spans="19:27" x14ac:dyDescent="0.25">
      <c r="S4954" s="4">
        <v>-1.3099656711716821</v>
      </c>
      <c r="T4954" s="4">
        <v>1.2810208425589646</v>
      </c>
      <c r="U4954" s="4">
        <f t="shared" si="442"/>
        <v>0.2168706970839438</v>
      </c>
      <c r="W4954" s="4">
        <f t="shared" si="443"/>
        <v>-2.1992244640296175</v>
      </c>
      <c r="X4954" s="4">
        <f t="shared" si="444"/>
        <v>0.44815244376176711</v>
      </c>
      <c r="Y4954" s="3">
        <f t="shared" si="441"/>
        <v>409.89206590211961</v>
      </c>
      <c r="AA4954" s="3"/>
    </row>
    <row r="4955" spans="19:27" x14ac:dyDescent="0.25">
      <c r="S4955" s="4">
        <v>-0.68838088072068804</v>
      </c>
      <c r="T4955" s="4">
        <v>1.5858774923123653</v>
      </c>
      <c r="U4955" s="4">
        <f t="shared" si="442"/>
        <v>0.83746008723169352</v>
      </c>
      <c r="W4955" s="4">
        <f t="shared" si="443"/>
        <v>-1.1422464169706366</v>
      </c>
      <c r="X4955" s="4">
        <f t="shared" si="444"/>
        <v>1.5423109729402904</v>
      </c>
      <c r="Y4955" s="3">
        <f t="shared" si="441"/>
        <v>340.67042895250052</v>
      </c>
      <c r="AA4955" s="3"/>
    </row>
    <row r="4956" spans="19:27" x14ac:dyDescent="0.25">
      <c r="S4956" s="4">
        <v>0.42085925894768589</v>
      </c>
      <c r="T4956" s="4">
        <v>-0.35011375219733903</v>
      </c>
      <c r="U4956" s="4">
        <f t="shared" si="442"/>
        <v>-2.0967182683364005E-2</v>
      </c>
      <c r="W4956" s="4">
        <f t="shared" si="443"/>
        <v>0.74396845597604189</v>
      </c>
      <c r="X4956" s="4">
        <f t="shared" si="444"/>
        <v>2.8821483805813092E-2</v>
      </c>
      <c r="Y4956" s="3">
        <f t="shared" si="441"/>
        <v>-114.91396443238409</v>
      </c>
      <c r="AA4956" s="3"/>
    </row>
    <row r="4957" spans="19:27" x14ac:dyDescent="0.25">
      <c r="S4957" s="4">
        <v>4.4856479293933417E-2</v>
      </c>
      <c r="T4957" s="4">
        <v>0.11287826937528954</v>
      </c>
      <c r="U4957" s="4">
        <f t="shared" si="442"/>
        <v>0.11682321385428492</v>
      </c>
      <c r="W4957" s="4">
        <f t="shared" si="443"/>
        <v>0.10459199465880673</v>
      </c>
      <c r="X4957" s="4">
        <f t="shared" si="444"/>
        <v>0.27175914919945682</v>
      </c>
      <c r="Y4957" s="3">
        <f t="shared" si="441"/>
        <v>10.443273930374744</v>
      </c>
      <c r="AA4957" s="3"/>
    </row>
    <row r="4958" spans="19:27" x14ac:dyDescent="0.25">
      <c r="S4958" s="4">
        <v>0.54851495116724425</v>
      </c>
      <c r="T4958" s="4">
        <v>-0.63320622004601779</v>
      </c>
      <c r="U4958" s="4">
        <f t="shared" si="442"/>
        <v>-0.16755056435685894</v>
      </c>
      <c r="W4958" s="4">
        <f t="shared" si="443"/>
        <v>0.96104143834469435</v>
      </c>
      <c r="X4958" s="4">
        <f t="shared" si="444"/>
        <v>-0.22961905649362843</v>
      </c>
      <c r="Y4958" s="3">
        <f t="shared" si="441"/>
        <v>-174.59396569284809</v>
      </c>
      <c r="AA4958" s="3"/>
    </row>
    <row r="4959" spans="19:27" x14ac:dyDescent="0.25">
      <c r="S4959" s="4">
        <v>2.334394986539905</v>
      </c>
      <c r="T4959" s="4">
        <v>0.36157418731812102</v>
      </c>
      <c r="U4959" s="4">
        <f t="shared" si="442"/>
        <v>1.7097162410146716</v>
      </c>
      <c r="W4959" s="4">
        <f t="shared" si="443"/>
        <v>3.9978531832077491</v>
      </c>
      <c r="X4959" s="4">
        <f t="shared" si="444"/>
        <v>3.0801821087373091</v>
      </c>
      <c r="Y4959" s="3">
        <f t="shared" si="441"/>
        <v>-292.25600469216988</v>
      </c>
      <c r="AA4959" s="3"/>
    </row>
    <row r="4960" spans="19:27" x14ac:dyDescent="0.25">
      <c r="S4960" s="4">
        <v>0.6915635546480462</v>
      </c>
      <c r="T4960" s="4">
        <v>1.0368240451879573</v>
      </c>
      <c r="U4960" s="4">
        <f t="shared" si="442"/>
        <v>1.243474718643268</v>
      </c>
      <c r="W4960" s="4">
        <f t="shared" si="443"/>
        <v>1.2042894004319733</v>
      </c>
      <c r="X4960" s="4">
        <f t="shared" si="444"/>
        <v>2.2581536524686707</v>
      </c>
      <c r="Y4960" s="3">
        <f t="shared" si="441"/>
        <v>36.552169293076531</v>
      </c>
      <c r="AA4960" s="3"/>
    </row>
    <row r="4961" spans="19:27" x14ac:dyDescent="0.25">
      <c r="S4961" s="4">
        <v>0.9735634590744715</v>
      </c>
      <c r="T4961" s="4">
        <v>-1.0608355815266046</v>
      </c>
      <c r="U4961" s="4">
        <f t="shared" si="442"/>
        <v>-0.24740989222666043</v>
      </c>
      <c r="W4961" s="4">
        <f t="shared" si="443"/>
        <v>1.6838180388904496</v>
      </c>
      <c r="X4961" s="4">
        <f t="shared" si="444"/>
        <v>-0.3704186997205362</v>
      </c>
      <c r="Y4961" s="3">
        <f t="shared" si="441"/>
        <v>-299.6127427031256</v>
      </c>
      <c r="AA4961" s="3"/>
    </row>
    <row r="4962" spans="19:27" x14ac:dyDescent="0.25">
      <c r="S4962" s="4">
        <v>-1.19228391981348</v>
      </c>
      <c r="T4962" s="4">
        <v>0.8421108379837966</v>
      </c>
      <c r="U4962" s="4">
        <f t="shared" si="442"/>
        <v>-5.9308339249676156E-2</v>
      </c>
      <c r="W4962" s="4">
        <f t="shared" si="443"/>
        <v>-1.9991117366335318</v>
      </c>
      <c r="X4962" s="4">
        <f t="shared" si="444"/>
        <v>-3.8777647184183098E-2</v>
      </c>
      <c r="Y4962" s="3">
        <f t="shared" si="441"/>
        <v>326.92280516660685</v>
      </c>
      <c r="AA4962" s="3"/>
    </row>
    <row r="4963" spans="19:27" x14ac:dyDescent="0.25">
      <c r="S4963" s="4">
        <v>-0.19574949269253566</v>
      </c>
      <c r="T4963" s="4">
        <v>-0.22067402126277305</v>
      </c>
      <c r="U4963" s="4">
        <f t="shared" si="442"/>
        <v>-0.29425979372165317</v>
      </c>
      <c r="W4963" s="4">
        <f t="shared" si="443"/>
        <v>-0.30454805234341531</v>
      </c>
      <c r="X4963" s="4">
        <f t="shared" si="444"/>
        <v>-0.45301956290918288</v>
      </c>
      <c r="Y4963" s="3">
        <f t="shared" si="441"/>
        <v>3.7421735235802771</v>
      </c>
      <c r="AA4963" s="3"/>
    </row>
    <row r="4964" spans="19:27" x14ac:dyDescent="0.25">
      <c r="S4964" s="4">
        <v>-0.85881305451319834</v>
      </c>
      <c r="T4964" s="4">
        <v>-6.8324865250524447E-2</v>
      </c>
      <c r="U4964" s="4">
        <f t="shared" si="442"/>
        <v>-0.57771217512126749</v>
      </c>
      <c r="W4964" s="4">
        <f t="shared" si="443"/>
        <v>-1.4320589557885839</v>
      </c>
      <c r="X4964" s="4">
        <f t="shared" si="444"/>
        <v>-0.95277325778062338</v>
      </c>
      <c r="Y4964" s="3">
        <f t="shared" si="441"/>
        <v>139.55338980196302</v>
      </c>
      <c r="AA4964" s="3"/>
    </row>
    <row r="4965" spans="19:27" x14ac:dyDescent="0.25">
      <c r="S4965" s="4">
        <v>1.2055463739877961</v>
      </c>
      <c r="T4965" s="4">
        <v>0.83198364807645564</v>
      </c>
      <c r="U4965" s="4">
        <f t="shared" si="442"/>
        <v>1.3944347652752573</v>
      </c>
      <c r="W4965" s="4">
        <f t="shared" si="443"/>
        <v>2.0782949503641506</v>
      </c>
      <c r="X4965" s="4">
        <f t="shared" si="444"/>
        <v>2.5243106722466822</v>
      </c>
      <c r="Y4965" s="3">
        <f t="shared" si="441"/>
        <v>-69.578872944174691</v>
      </c>
      <c r="AA4965" s="3"/>
    </row>
    <row r="4966" spans="19:27" x14ac:dyDescent="0.25">
      <c r="S4966" s="4">
        <v>-0.52365645382207426</v>
      </c>
      <c r="T4966" s="4">
        <v>-0.46792070469368541</v>
      </c>
      <c r="U4966" s="4">
        <f t="shared" si="442"/>
        <v>-0.69014966610320427</v>
      </c>
      <c r="W4966" s="4">
        <f t="shared" si="443"/>
        <v>-0.86213965483464505</v>
      </c>
      <c r="X4966" s="4">
        <f t="shared" si="444"/>
        <v>-1.1510113226112673</v>
      </c>
      <c r="Y4966" s="3">
        <f t="shared" si="441"/>
        <v>24.987674730816252</v>
      </c>
      <c r="AA4966" s="3"/>
    </row>
    <row r="4967" spans="19:27" x14ac:dyDescent="0.25">
      <c r="S4967" s="4">
        <v>1.1691199245703956</v>
      </c>
      <c r="T4967" s="4">
        <v>1.5743518620462664</v>
      </c>
      <c r="U4967" s="4">
        <f t="shared" si="442"/>
        <v>1.9606977472972362</v>
      </c>
      <c r="W4967" s="4">
        <f t="shared" si="443"/>
        <v>2.0163533488996719</v>
      </c>
      <c r="X4967" s="4">
        <f t="shared" si="444"/>
        <v>3.5226865410154073</v>
      </c>
      <c r="Y4967" s="3">
        <f t="shared" si="441"/>
        <v>39.540455774544171</v>
      </c>
      <c r="AA4967" s="3"/>
    </row>
    <row r="4968" spans="19:27" x14ac:dyDescent="0.25">
      <c r="S4968" s="4">
        <v>-0.32194693875418401</v>
      </c>
      <c r="T4968" s="4">
        <v>-5.656576427928791E-2</v>
      </c>
      <c r="U4968" s="4">
        <f t="shared" si="442"/>
        <v>-0.24110526698680412</v>
      </c>
      <c r="W4968" s="4">
        <f t="shared" si="443"/>
        <v>-0.51914135020273378</v>
      </c>
      <c r="X4968" s="4">
        <f t="shared" si="444"/>
        <v>-0.35930304162360893</v>
      </c>
      <c r="Y4968" s="3">
        <f t="shared" si="441"/>
        <v>47.961030399559604</v>
      </c>
      <c r="AA4968" s="3"/>
    </row>
    <row r="4969" spans="19:27" x14ac:dyDescent="0.25">
      <c r="S4969" s="4">
        <v>0.47045801736016796</v>
      </c>
      <c r="T4969" s="4">
        <v>-0.73962627018549243</v>
      </c>
      <c r="U4969" s="4">
        <f t="shared" si="442"/>
        <v>-0.29949413720122947</v>
      </c>
      <c r="W4969" s="4">
        <f t="shared" si="443"/>
        <v>0.82830899906645183</v>
      </c>
      <c r="X4969" s="4">
        <f t="shared" si="444"/>
        <v>-0.46224821176098629</v>
      </c>
      <c r="Y4969" s="3">
        <f t="shared" si="441"/>
        <v>-177.19593341484097</v>
      </c>
      <c r="AA4969" s="3"/>
    </row>
    <row r="4970" spans="19:27" x14ac:dyDescent="0.25">
      <c r="S4970" s="4">
        <v>0.37705807055110319</v>
      </c>
      <c r="T4970" s="4">
        <v>-0.19616580448475324</v>
      </c>
      <c r="U4970" s="4">
        <f t="shared" si="442"/>
        <v>7.436394506831287E-2</v>
      </c>
      <c r="W4970" s="4">
        <f t="shared" si="443"/>
        <v>0.66948642990090013</v>
      </c>
      <c r="X4970" s="4">
        <f t="shared" si="444"/>
        <v>0.1968993919712608</v>
      </c>
      <c r="Y4970" s="3">
        <f t="shared" si="441"/>
        <v>-86.440988716837637</v>
      </c>
      <c r="AA4970" s="3"/>
    </row>
    <row r="4971" spans="19:27" x14ac:dyDescent="0.25">
      <c r="S4971" s="4">
        <v>0.19736616211875968</v>
      </c>
      <c r="T4971" s="4">
        <v>1.4851254442193715</v>
      </c>
      <c r="U4971" s="4">
        <f t="shared" si="442"/>
        <v>1.2975659027894633</v>
      </c>
      <c r="W4971" s="4">
        <f t="shared" si="443"/>
        <v>0.36392811289427779</v>
      </c>
      <c r="X4971" s="4">
        <f t="shared" si="444"/>
        <v>2.3535215904748861</v>
      </c>
      <c r="Y4971" s="3">
        <f t="shared" si="441"/>
        <v>177.37427165787358</v>
      </c>
      <c r="AA4971" s="3"/>
    </row>
    <row r="4972" spans="19:27" x14ac:dyDescent="0.25">
      <c r="S4972" s="4">
        <v>-1.4525321851529438</v>
      </c>
      <c r="T4972" s="4">
        <v>-0.75045552081809663</v>
      </c>
      <c r="U4972" s="4">
        <f t="shared" si="442"/>
        <v>-1.4803761306758876</v>
      </c>
      <c r="W4972" s="4">
        <f t="shared" si="443"/>
        <v>-2.441652653777612</v>
      </c>
      <c r="X4972" s="4">
        <f t="shared" si="444"/>
        <v>-2.5442562602808274</v>
      </c>
      <c r="Y4972" s="3">
        <f t="shared" si="441"/>
        <v>152.46230022413056</v>
      </c>
      <c r="AA4972" s="3"/>
    </row>
    <row r="4973" spans="19:27" x14ac:dyDescent="0.25">
      <c r="S4973" s="4">
        <v>-0.57436431464518767</v>
      </c>
      <c r="T4973" s="4">
        <v>-0.93371112600033745</v>
      </c>
      <c r="U4973" s="4">
        <f t="shared" si="442"/>
        <v>-1.0902906589156829</v>
      </c>
      <c r="W4973" s="4">
        <f t="shared" si="443"/>
        <v>-0.94836617859573213</v>
      </c>
      <c r="X4973" s="4">
        <f t="shared" si="444"/>
        <v>-1.8564982147663205</v>
      </c>
      <c r="Y4973" s="3">
        <f t="shared" si="441"/>
        <v>-31.336624451150328</v>
      </c>
      <c r="AA4973" s="3"/>
    </row>
    <row r="4974" spans="19:27" x14ac:dyDescent="0.25">
      <c r="S4974" s="4">
        <v>0.58413661061947553</v>
      </c>
      <c r="T4974" s="4">
        <v>1.1053553364713362</v>
      </c>
      <c r="U4974" s="4">
        <f t="shared" si="442"/>
        <v>1.2323090643172154</v>
      </c>
      <c r="W4974" s="4">
        <f t="shared" si="443"/>
        <v>1.0216145292877683</v>
      </c>
      <c r="X4974" s="4">
        <f t="shared" si="444"/>
        <v>2.2384675345480907</v>
      </c>
      <c r="Y4974" s="3">
        <f t="shared" si="441"/>
        <v>62.815768847438449</v>
      </c>
      <c r="AA4974" s="3"/>
    </row>
    <row r="4975" spans="19:27" x14ac:dyDescent="0.25">
      <c r="S4975" s="4">
        <v>0.45450109813292305</v>
      </c>
      <c r="T4975" s="4">
        <v>-0.65907885125858645</v>
      </c>
      <c r="U4975" s="4">
        <f t="shared" si="442"/>
        <v>-0.24537253506104312</v>
      </c>
      <c r="W4975" s="4">
        <f t="shared" si="443"/>
        <v>0.80117494820003032</v>
      </c>
      <c r="X4975" s="4">
        <f t="shared" si="444"/>
        <v>-0.36682664391820863</v>
      </c>
      <c r="Y4975" s="3">
        <f t="shared" si="441"/>
        <v>-163.41907433498409</v>
      </c>
      <c r="AA4975" s="3"/>
    </row>
    <row r="4976" spans="19:27" x14ac:dyDescent="0.25">
      <c r="S4976" s="4">
        <v>-0.52316883420242966</v>
      </c>
      <c r="T4976" s="4">
        <v>0.33460732109615787</v>
      </c>
      <c r="U4976" s="4">
        <f t="shared" si="442"/>
        <v>-5.3694841284297024E-2</v>
      </c>
      <c r="W4976" s="4">
        <f t="shared" si="443"/>
        <v>-0.86131047876535016</v>
      </c>
      <c r="X4976" s="4">
        <f t="shared" si="444"/>
        <v>-2.8880512661977414E-2</v>
      </c>
      <c r="Y4976" s="3">
        <f t="shared" si="441"/>
        <v>137.06415967538896</v>
      </c>
      <c r="AA4976" s="3"/>
    </row>
    <row r="4977" spans="19:27" x14ac:dyDescent="0.25">
      <c r="S4977" s="4">
        <v>0.75738959672567052</v>
      </c>
      <c r="T4977" s="4">
        <v>2.3417750218332656</v>
      </c>
      <c r="U4977" s="4">
        <f t="shared" si="442"/>
        <v>2.3180279668891304</v>
      </c>
      <c r="W4977" s="4">
        <f t="shared" si="443"/>
        <v>1.3162237374197685</v>
      </c>
      <c r="X4977" s="4">
        <f t="shared" si="444"/>
        <v>4.1526939399601783</v>
      </c>
      <c r="Y4977" s="3">
        <f t="shared" si="441"/>
        <v>208.79043144081697</v>
      </c>
      <c r="AA4977" s="3"/>
    </row>
    <row r="4978" spans="19:27" x14ac:dyDescent="0.25">
      <c r="S4978" s="4">
        <v>-0.73986479213964462</v>
      </c>
      <c r="T4978" s="4">
        <v>-0.95027666978744429</v>
      </c>
      <c r="U4978" s="4">
        <f t="shared" si="442"/>
        <v>-1.2043148169680984</v>
      </c>
      <c r="W4978" s="4">
        <f t="shared" si="443"/>
        <v>-1.2297925811988242</v>
      </c>
      <c r="X4978" s="4">
        <f t="shared" si="444"/>
        <v>-2.0575337255986077</v>
      </c>
      <c r="Y4978" s="3">
        <f t="shared" si="441"/>
        <v>-4.7427407044838219</v>
      </c>
      <c r="AA4978" s="3"/>
    </row>
    <row r="4979" spans="19:27" x14ac:dyDescent="0.25">
      <c r="S4979" s="4">
        <v>0.27485511835455528</v>
      </c>
      <c r="T4979" s="4">
        <v>2.0674332912007976</v>
      </c>
      <c r="U4979" s="4">
        <f t="shared" si="442"/>
        <v>1.80639568230118</v>
      </c>
      <c r="W4979" s="4">
        <f t="shared" si="443"/>
        <v>0.49569473088266863</v>
      </c>
      <c r="X4979" s="4">
        <f t="shared" si="444"/>
        <v>3.2506372227937432</v>
      </c>
      <c r="Y4979" s="3">
        <f t="shared" si="441"/>
        <v>246.26198259437479</v>
      </c>
      <c r="AA4979" s="3"/>
    </row>
    <row r="4980" spans="19:27" x14ac:dyDescent="0.25">
      <c r="S4980" s="4">
        <v>-1.2703248379734491</v>
      </c>
      <c r="T4980" s="4">
        <v>-0.15298140038015784</v>
      </c>
      <c r="U4980" s="4">
        <f t="shared" si="442"/>
        <v>-0.89568549965749067</v>
      </c>
      <c r="W4980" s="4">
        <f t="shared" si="443"/>
        <v>-2.1318169419966884</v>
      </c>
      <c r="X4980" s="4">
        <f t="shared" si="444"/>
        <v>-1.5133906815005618</v>
      </c>
      <c r="Y4980" s="3">
        <f t="shared" si="441"/>
        <v>202.16799148212613</v>
      </c>
      <c r="AA4980" s="3"/>
    </row>
    <row r="4981" spans="19:27" x14ac:dyDescent="0.25">
      <c r="S4981" s="4">
        <v>7.3718937992513542E-2</v>
      </c>
      <c r="T4981" s="4">
        <v>-0.27978891125215599</v>
      </c>
      <c r="U4981" s="4">
        <f t="shared" si="442"/>
        <v>-0.17684572753106448</v>
      </c>
      <c r="W4981" s="4">
        <f t="shared" si="443"/>
        <v>0.15367135711619764</v>
      </c>
      <c r="X4981" s="4">
        <f t="shared" si="444"/>
        <v>-0.24600731937505108</v>
      </c>
      <c r="Y4981" s="3">
        <f t="shared" si="441"/>
        <v>-49.165624240720263</v>
      </c>
      <c r="AA4981" s="3"/>
    </row>
    <row r="4982" spans="19:27" x14ac:dyDescent="0.25">
      <c r="S4982" s="4">
        <v>-0.68809064053381308</v>
      </c>
      <c r="T4982" s="4">
        <v>-0.43140897801229633</v>
      </c>
      <c r="U4982" s="4">
        <f t="shared" si="442"/>
        <v>-0.7614498608160688</v>
      </c>
      <c r="W4982" s="4">
        <f t="shared" si="443"/>
        <v>-1.1417528760883402</v>
      </c>
      <c r="X4982" s="4">
        <f t="shared" si="444"/>
        <v>-1.2767203943673873</v>
      </c>
      <c r="Y4982" s="3">
        <f t="shared" si="441"/>
        <v>58.685261048141456</v>
      </c>
      <c r="AA4982" s="3"/>
    </row>
    <row r="4983" spans="19:27" x14ac:dyDescent="0.25">
      <c r="S4983" s="4">
        <v>-1.1030845013064849</v>
      </c>
      <c r="T4983" s="4">
        <v>0.28521028754559657</v>
      </c>
      <c r="U4983" s="4">
        <f t="shared" si="442"/>
        <v>-0.44638100519898993</v>
      </c>
      <c r="W4983" s="4">
        <f t="shared" si="443"/>
        <v>-1.847431984135222</v>
      </c>
      <c r="X4983" s="4">
        <f t="shared" si="444"/>
        <v>-0.72122382751523872</v>
      </c>
      <c r="Y4983" s="3">
        <f t="shared" si="441"/>
        <v>232.84004028958316</v>
      </c>
      <c r="AA4983" s="3"/>
    </row>
    <row r="4984" spans="19:27" x14ac:dyDescent="0.25">
      <c r="S4984" s="4">
        <v>0.27203757248861155</v>
      </c>
      <c r="T4984" s="4">
        <v>-1.5351489788757571</v>
      </c>
      <c r="U4984" s="4">
        <f t="shared" si="442"/>
        <v>-1.0510601695868642</v>
      </c>
      <c r="W4984" s="4">
        <f t="shared" si="443"/>
        <v>0.49090361602169602</v>
      </c>
      <c r="X4984" s="4">
        <f t="shared" si="444"/>
        <v>-1.7873311049439069</v>
      </c>
      <c r="Y4984" s="3">
        <f t="shared" si="441"/>
        <v>-256.77924328897052</v>
      </c>
      <c r="AA4984" s="3"/>
    </row>
    <row r="4985" spans="19:27" x14ac:dyDescent="0.25">
      <c r="S4985" s="4">
        <v>2.0879493709638366</v>
      </c>
      <c r="T4985" s="4">
        <v>4.0499535227518412E-3</v>
      </c>
      <c r="U4985" s="4">
        <f t="shared" si="442"/>
        <v>1.2760708883939693</v>
      </c>
      <c r="W4985" s="4">
        <f t="shared" si="443"/>
        <v>3.5787830748982405</v>
      </c>
      <c r="X4985" s="4">
        <f t="shared" si="444"/>
        <v>2.3156238215007092</v>
      </c>
      <c r="Y4985" s="3">
        <f t="shared" si="441"/>
        <v>-309.49677980597971</v>
      </c>
      <c r="AA4985" s="3"/>
    </row>
    <row r="4986" spans="19:27" x14ac:dyDescent="0.25">
      <c r="S4986" s="4">
        <v>1.7494575663456291</v>
      </c>
      <c r="T4986" s="4">
        <v>0.71334387281593903</v>
      </c>
      <c r="U4986" s="4">
        <f t="shared" si="442"/>
        <v>1.6319703608254537</v>
      </c>
      <c r="W4986" s="4">
        <f t="shared" si="443"/>
        <v>3.0031924039437032</v>
      </c>
      <c r="X4986" s="4">
        <f t="shared" si="444"/>
        <v>2.9431086761778649</v>
      </c>
      <c r="Y4986" s="3">
        <f t="shared" si="441"/>
        <v>-164.0279931562709</v>
      </c>
      <c r="AA4986" s="3"/>
    </row>
    <row r="4987" spans="19:27" x14ac:dyDescent="0.25">
      <c r="S4987" s="4">
        <v>-0.354154248318375</v>
      </c>
      <c r="T4987" s="4">
        <v>1.0572780663898111</v>
      </c>
      <c r="U4987" s="4">
        <f t="shared" si="442"/>
        <v>0.62219555341476385</v>
      </c>
      <c r="W4987" s="4">
        <f t="shared" si="443"/>
        <v>-0.57390848686237272</v>
      </c>
      <c r="X4987" s="4">
        <f t="shared" si="444"/>
        <v>1.1627789837624598</v>
      </c>
      <c r="Y4987" s="3">
        <f t="shared" si="441"/>
        <v>209.101141665461</v>
      </c>
      <c r="AA4987" s="3"/>
    </row>
    <row r="4988" spans="19:27" x14ac:dyDescent="0.25">
      <c r="S4988" s="4">
        <v>1.1306636122882407</v>
      </c>
      <c r="T4988" s="4">
        <v>-0.40031630512136296</v>
      </c>
      <c r="U4988" s="4">
        <f t="shared" si="442"/>
        <v>0.37195022513029646</v>
      </c>
      <c r="W4988" s="4">
        <f t="shared" si="443"/>
        <v>1.9509600534434071</v>
      </c>
      <c r="X4988" s="4">
        <f t="shared" si="444"/>
        <v>0.72157250379936955</v>
      </c>
      <c r="Y4988" s="3">
        <f t="shared" si="441"/>
        <v>-230.75119309470938</v>
      </c>
      <c r="AA4988" s="3"/>
    </row>
    <row r="4989" spans="19:27" x14ac:dyDescent="0.25">
      <c r="S4989" s="4">
        <v>-0.69472367166459958</v>
      </c>
      <c r="T4989" s="4">
        <v>-4.9423151667854675E-3</v>
      </c>
      <c r="U4989" s="4">
        <f t="shared" si="442"/>
        <v>-0.42743678460711176</v>
      </c>
      <c r="W4989" s="4">
        <f t="shared" si="443"/>
        <v>-1.1530320585883067</v>
      </c>
      <c r="X4989" s="4">
        <f t="shared" si="444"/>
        <v>-0.68782335230842284</v>
      </c>
      <c r="Y4989" s="3">
        <f t="shared" si="441"/>
        <v>119.44999256491701</v>
      </c>
      <c r="AA4989" s="3"/>
    </row>
    <row r="4990" spans="19:27" x14ac:dyDescent="0.25">
      <c r="S4990" s="4">
        <v>0.3288745636712142</v>
      </c>
      <c r="T4990" s="4">
        <v>1.2544037055874525E-2</v>
      </c>
      <c r="U4990" s="4">
        <f t="shared" si="442"/>
        <v>0.21043282987443382</v>
      </c>
      <c r="W4990" s="4">
        <f t="shared" si="443"/>
        <v>0.58755246081937496</v>
      </c>
      <c r="X4990" s="4">
        <f t="shared" si="444"/>
        <v>0.43680186731164927</v>
      </c>
      <c r="Y4990" s="3">
        <f t="shared" si="441"/>
        <v>-49.585685252885014</v>
      </c>
      <c r="AA4990" s="3"/>
    </row>
    <row r="4991" spans="19:27" x14ac:dyDescent="0.25">
      <c r="S4991" s="4">
        <v>2.0728341948284115</v>
      </c>
      <c r="T4991" s="4">
        <v>-0.13906272076609161</v>
      </c>
      <c r="U4991" s="4">
        <f t="shared" si="442"/>
        <v>1.1534120650563344</v>
      </c>
      <c r="W4991" s="4">
        <f t="shared" si="443"/>
        <v>3.5530803717465393</v>
      </c>
      <c r="X4991" s="4">
        <f t="shared" si="444"/>
        <v>2.0993645688216991</v>
      </c>
      <c r="Y4991" s="3">
        <f t="shared" si="441"/>
        <v>-327.46325645301522</v>
      </c>
      <c r="AA4991" s="3"/>
    </row>
    <row r="4992" spans="19:27" x14ac:dyDescent="0.25">
      <c r="S4992" s="4">
        <v>1.1109223148560019</v>
      </c>
      <c r="T4992" s="4">
        <v>0.27895643441392509</v>
      </c>
      <c r="U4992" s="4">
        <f t="shared" si="442"/>
        <v>0.89836956906362886</v>
      </c>
      <c r="W4992" s="4">
        <f t="shared" si="443"/>
        <v>1.917390831147606</v>
      </c>
      <c r="X4992" s="4">
        <f t="shared" si="444"/>
        <v>1.6497002227603521</v>
      </c>
      <c r="Y4992" s="3">
        <f t="shared" si="441"/>
        <v>-132.88921215369601</v>
      </c>
      <c r="AA4992" s="3"/>
    </row>
    <row r="4993" spans="19:27" x14ac:dyDescent="0.25">
      <c r="S4993" s="4">
        <v>0.20318875511228746</v>
      </c>
      <c r="T4993" s="4">
        <v>1.4389290624734108</v>
      </c>
      <c r="U4993" s="4">
        <f t="shared" si="442"/>
        <v>1.2644959822772412</v>
      </c>
      <c r="W4993" s="4">
        <f t="shared" si="443"/>
        <v>0.37382918040053542</v>
      </c>
      <c r="X4993" s="4">
        <f t="shared" si="444"/>
        <v>2.2952161534787932</v>
      </c>
      <c r="Y4993" s="3">
        <f t="shared" si="441"/>
        <v>169.97590579757889</v>
      </c>
      <c r="AA4993" s="3"/>
    </row>
    <row r="4994" spans="19:27" x14ac:dyDescent="0.25">
      <c r="S4994" s="4">
        <v>-1.3248483088951069</v>
      </c>
      <c r="T4994" s="4">
        <v>2.0056394604811927</v>
      </c>
      <c r="U4994" s="4">
        <f t="shared" si="442"/>
        <v>0.78219730427061085</v>
      </c>
      <c r="W4994" s="4">
        <f t="shared" si="443"/>
        <v>-2.2245317456710785</v>
      </c>
      <c r="X4994" s="4">
        <f t="shared" si="444"/>
        <v>1.444877394018462</v>
      </c>
      <c r="Y4994" s="3">
        <f t="shared" ref="Y4994:Y5001" si="445">(B$4*EXP(-B$8*B$7)*NORMSDIST((LN(B$4/(B$5+W4994))-B$8*B$7+B$9*B$7+0.5*B$6*B$6*B$7)/(B$6*SQRT(B$7)))-(B$5+W4994)*EXP(-B$9*B$7)*NORMSDIST((LN(B$4/(B$5+W4994))-B$8*B$7+B$9*B$7-0.5*B$6*B$6*B$7)/(B$6*SQRT(B$7))))*400+100*X4994-400*$B$13</f>
        <v>513.91454960226565</v>
      </c>
      <c r="AA4994" s="3"/>
    </row>
    <row r="4995" spans="19:27" x14ac:dyDescent="0.25">
      <c r="S4995" s="4">
        <v>-0.12386496180821388</v>
      </c>
      <c r="T4995" s="4">
        <v>0.77877114257781088</v>
      </c>
      <c r="U4995" s="4">
        <f t="shared" ref="U4995:U5001" si="446">$B$19*S4995+SQRT(1-$B$19^2)*T4995</f>
        <v>0.54181482492688138</v>
      </c>
      <c r="W4995" s="4">
        <f t="shared" ref="W4995:W5001" si="447">S4995*SQRT($B$16)+$B$20</f>
        <v>-0.18231151722367162</v>
      </c>
      <c r="X4995" s="4">
        <f t="shared" ref="X4995:X5001" si="448">U4995*SQRT($C$17)+$C$20</f>
        <v>1.0210600613109162</v>
      </c>
      <c r="Y4995" s="3">
        <f t="shared" si="445"/>
        <v>131.40751288030106</v>
      </c>
      <c r="AA4995" s="3"/>
    </row>
    <row r="4996" spans="19:27" x14ac:dyDescent="0.25">
      <c r="S4996" s="4">
        <v>-0.19670065247158866</v>
      </c>
      <c r="T4996" s="4">
        <v>-0.88221611040265158</v>
      </c>
      <c r="U4996" s="4">
        <f t="shared" si="446"/>
        <v>-0.81923877619900487</v>
      </c>
      <c r="W4996" s="4">
        <f t="shared" si="447"/>
        <v>-0.30616545840152537</v>
      </c>
      <c r="X4996" s="4">
        <f t="shared" si="448"/>
        <v>-1.3786077866786894</v>
      </c>
      <c r="Y4996" s="3">
        <f t="shared" si="445"/>
        <v>-88.554898821982988</v>
      </c>
      <c r="AA4996" s="3"/>
    </row>
    <row r="4997" spans="19:27" x14ac:dyDescent="0.25">
      <c r="S4997" s="4">
        <v>-2.1871719162200973</v>
      </c>
      <c r="T4997" s="4">
        <v>0.43444904436970688</v>
      </c>
      <c r="U4997" s="4">
        <f t="shared" si="446"/>
        <v>-0.98896450987862372</v>
      </c>
      <c r="W4997" s="4">
        <f t="shared" si="447"/>
        <v>-3.6908757367167921</v>
      </c>
      <c r="X4997" s="4">
        <f t="shared" si="448"/>
        <v>-1.6778505099267045</v>
      </c>
      <c r="Y4997" s="3">
        <f t="shared" si="445"/>
        <v>459.57484078175094</v>
      </c>
      <c r="AA4997" s="3"/>
    </row>
    <row r="4998" spans="19:27" x14ac:dyDescent="0.25">
      <c r="S4998" s="4">
        <v>0.25485402396889645</v>
      </c>
      <c r="T4998" s="4">
        <v>0.85123790553428391</v>
      </c>
      <c r="U4998" s="4">
        <f t="shared" si="446"/>
        <v>0.83013419321301629</v>
      </c>
      <c r="W4998" s="4">
        <f t="shared" si="447"/>
        <v>0.46168373510611938</v>
      </c>
      <c r="X4998" s="4">
        <f t="shared" si="448"/>
        <v>1.5293947201785647</v>
      </c>
      <c r="Y4998" s="3">
        <f t="shared" si="445"/>
        <v>79.504156478775712</v>
      </c>
      <c r="AA4998" s="3"/>
    </row>
    <row r="4999" spans="19:27" x14ac:dyDescent="0.25">
      <c r="S4999" s="4">
        <v>-1.0851715200765015</v>
      </c>
      <c r="T4999" s="4">
        <v>0.20526407466549196</v>
      </c>
      <c r="U4999" s="4">
        <f t="shared" si="446"/>
        <v>-0.49883357706390086</v>
      </c>
      <c r="W4999" s="4">
        <f t="shared" si="447"/>
        <v>-1.8169717344503244</v>
      </c>
      <c r="X4999" s="4">
        <f t="shared" si="448"/>
        <v>-0.81370273513832592</v>
      </c>
      <c r="Y4999" s="3">
        <f t="shared" si="445"/>
        <v>218.41811230528037</v>
      </c>
      <c r="AA4999" s="3"/>
    </row>
    <row r="5000" spans="19:27" x14ac:dyDescent="0.25">
      <c r="S5000" s="4">
        <v>2.0210735668575732</v>
      </c>
      <c r="T5000" s="4">
        <v>-2.1303660416627058E-2</v>
      </c>
      <c r="U5000" s="4">
        <f t="shared" si="446"/>
        <v>1.2152042986666423</v>
      </c>
      <c r="W5000" s="4">
        <f t="shared" si="447"/>
        <v>3.4650636629923435</v>
      </c>
      <c r="X5000" s="4">
        <f t="shared" si="448"/>
        <v>2.2083101945688837</v>
      </c>
      <c r="Y5000" s="3">
        <f t="shared" si="445"/>
        <v>-304.01294871301843</v>
      </c>
      <c r="AA5000" s="3"/>
    </row>
    <row r="5001" spans="19:27" x14ac:dyDescent="0.25">
      <c r="S5001" s="4">
        <v>-0.23141688639739857</v>
      </c>
      <c r="T5001" s="4">
        <v>-2.2676420324690536</v>
      </c>
      <c r="U5001" s="4">
        <f t="shared" si="446"/>
        <v>-1.9386186382379604</v>
      </c>
      <c r="W5001" s="4">
        <f t="shared" si="447"/>
        <v>-0.36519891240467361</v>
      </c>
      <c r="X5001" s="4">
        <f t="shared" si="448"/>
        <v>-3.3521816873684953</v>
      </c>
      <c r="Y5001" s="3">
        <f t="shared" si="445"/>
        <v>-276.34940935264422</v>
      </c>
      <c r="AA5001" s="3"/>
    </row>
  </sheetData>
  <sortState ref="AA2:AA5001">
    <sortCondition ref="A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5001"/>
  <sheetViews>
    <sheetView workbookViewId="0"/>
  </sheetViews>
  <sheetFormatPr defaultRowHeight="15" x14ac:dyDescent="0.25"/>
  <cols>
    <col min="1" max="1" width="39.42578125" customWidth="1"/>
    <col min="2" max="2" width="10.85546875" bestFit="1" customWidth="1"/>
    <col min="4" max="4" width="13.85546875" customWidth="1"/>
    <col min="14" max="14" width="10.28515625" customWidth="1"/>
    <col min="19" max="19" width="17.140625" customWidth="1"/>
    <col min="21" max="21" width="20.85546875" customWidth="1"/>
    <col min="23" max="23" width="15.28515625" customWidth="1"/>
    <col min="27" max="27" width="10.5703125" customWidth="1"/>
  </cols>
  <sheetData>
    <row r="1" spans="1:34" x14ac:dyDescent="0.25">
      <c r="A1" s="15"/>
    </row>
    <row r="2" spans="1:34" x14ac:dyDescent="0.25">
      <c r="D2" s="1"/>
      <c r="E2" s="2"/>
      <c r="F2" s="3"/>
      <c r="G2" s="3"/>
      <c r="H2" s="3"/>
      <c r="J2" s="3"/>
      <c r="K2" s="3"/>
      <c r="L2" s="4"/>
      <c r="M2" s="4"/>
      <c r="N2" s="3"/>
      <c r="O2" s="3"/>
      <c r="P2" s="4"/>
      <c r="Q2" s="4"/>
      <c r="R2" s="4"/>
      <c r="S2" s="4"/>
      <c r="U2" s="9"/>
      <c r="X2" s="4"/>
      <c r="Y2" s="4"/>
      <c r="Z2" s="4"/>
      <c r="AA2" s="4"/>
      <c r="AB2" s="4"/>
      <c r="AC2" s="7"/>
      <c r="AD2" s="4"/>
      <c r="AE2" s="4"/>
      <c r="AF2" s="21"/>
      <c r="AH2" s="3"/>
    </row>
    <row r="3" spans="1:34" x14ac:dyDescent="0.25">
      <c r="B3" s="4"/>
      <c r="C3" s="4"/>
      <c r="D3" s="1"/>
      <c r="E3" s="2"/>
      <c r="F3" s="3"/>
      <c r="G3" s="3"/>
      <c r="H3" s="3"/>
      <c r="J3" s="3"/>
      <c r="K3" s="3"/>
      <c r="L3" s="4"/>
      <c r="M3" s="4"/>
      <c r="N3" s="3"/>
      <c r="O3" s="3"/>
      <c r="P3" s="4"/>
      <c r="Q3" s="4"/>
      <c r="R3" s="4"/>
      <c r="S3" s="4"/>
      <c r="U3" s="9"/>
      <c r="X3" s="4"/>
      <c r="Y3" s="4"/>
      <c r="Z3" s="4"/>
      <c r="AA3" s="4"/>
      <c r="AB3" s="4"/>
      <c r="AC3" s="7"/>
      <c r="AD3" s="4"/>
      <c r="AE3" s="4"/>
      <c r="AF3" s="21"/>
    </row>
    <row r="4" spans="1:34" x14ac:dyDescent="0.25">
      <c r="B4" s="4"/>
      <c r="C4" s="4"/>
      <c r="D4" s="1"/>
      <c r="E4" s="2"/>
      <c r="F4" s="3"/>
      <c r="G4" s="3"/>
      <c r="H4" s="3"/>
      <c r="J4" s="3"/>
      <c r="K4" s="3"/>
      <c r="L4" s="4"/>
      <c r="M4" s="4"/>
      <c r="N4" s="3"/>
      <c r="O4" s="3"/>
      <c r="P4" s="4"/>
      <c r="Q4" s="4"/>
      <c r="R4" s="4"/>
      <c r="S4" s="4"/>
      <c r="U4" s="9"/>
      <c r="X4" s="4"/>
      <c r="Y4" s="4"/>
      <c r="Z4" s="4"/>
      <c r="AA4" s="4"/>
      <c r="AB4" s="4"/>
      <c r="AC4" s="7"/>
      <c r="AD4" s="4"/>
      <c r="AE4" s="4"/>
      <c r="AF4" s="21"/>
    </row>
    <row r="5" spans="1:34" x14ac:dyDescent="0.25">
      <c r="B5" s="4"/>
      <c r="C5" s="4"/>
      <c r="D5" s="1"/>
      <c r="E5" s="2"/>
      <c r="F5" s="3"/>
      <c r="G5" s="3"/>
      <c r="H5" s="3"/>
      <c r="J5" s="3"/>
      <c r="K5" s="3"/>
      <c r="L5" s="4"/>
      <c r="M5" s="4"/>
      <c r="N5" s="3"/>
      <c r="O5" s="3"/>
      <c r="P5" s="4"/>
      <c r="Q5" s="4"/>
      <c r="R5" s="4"/>
      <c r="S5" s="4"/>
      <c r="U5" s="9"/>
      <c r="X5" s="4"/>
      <c r="Y5" s="4"/>
      <c r="Z5" s="4"/>
      <c r="AA5" s="4"/>
      <c r="AB5" s="4"/>
      <c r="AC5" s="7"/>
      <c r="AD5" s="4"/>
      <c r="AE5" s="4"/>
      <c r="AF5" s="21"/>
    </row>
    <row r="6" spans="1:34" x14ac:dyDescent="0.25">
      <c r="B6" s="4"/>
      <c r="C6" s="4"/>
      <c r="D6" s="1"/>
      <c r="E6" s="2"/>
      <c r="F6" s="3"/>
      <c r="G6" s="3"/>
      <c r="H6" s="3"/>
      <c r="J6" s="3"/>
      <c r="K6" s="3"/>
      <c r="L6" s="4"/>
      <c r="M6" s="4"/>
      <c r="N6" s="3"/>
      <c r="O6" s="3"/>
      <c r="P6" s="4"/>
      <c r="Q6" s="4"/>
      <c r="R6" s="4"/>
      <c r="S6" s="4"/>
      <c r="U6" s="9"/>
      <c r="X6" s="4"/>
      <c r="Y6" s="4"/>
      <c r="Z6" s="4"/>
      <c r="AA6" s="4"/>
      <c r="AB6" s="4"/>
      <c r="AC6" s="7"/>
      <c r="AD6" s="4"/>
      <c r="AE6" s="4"/>
      <c r="AF6" s="21"/>
    </row>
    <row r="7" spans="1:34" x14ac:dyDescent="0.25">
      <c r="B7" s="4"/>
      <c r="C7" s="4"/>
      <c r="D7" s="1"/>
      <c r="E7" s="2"/>
      <c r="F7" s="3"/>
      <c r="G7" s="3"/>
      <c r="H7" s="3"/>
      <c r="J7" s="3"/>
      <c r="K7" s="3"/>
      <c r="L7" s="4"/>
      <c r="M7" s="4"/>
      <c r="N7" s="3"/>
      <c r="O7" s="3"/>
      <c r="P7" s="4"/>
      <c r="Q7" s="4"/>
      <c r="R7" s="4"/>
      <c r="S7" s="4"/>
      <c r="U7" s="9"/>
      <c r="X7" s="4"/>
      <c r="Y7" s="4"/>
      <c r="Z7" s="4"/>
      <c r="AA7" s="4"/>
      <c r="AB7" s="4"/>
      <c r="AC7" s="7"/>
      <c r="AD7" s="4"/>
      <c r="AE7" s="4"/>
      <c r="AF7" s="21"/>
    </row>
    <row r="8" spans="1:34" x14ac:dyDescent="0.25">
      <c r="B8" s="4"/>
      <c r="C8" s="4"/>
      <c r="D8" s="1"/>
      <c r="E8" s="2"/>
      <c r="F8" s="3"/>
      <c r="G8" s="3"/>
      <c r="H8" s="3"/>
      <c r="J8" s="3"/>
      <c r="K8" s="3"/>
      <c r="L8" s="4"/>
      <c r="M8" s="4"/>
      <c r="N8" s="3"/>
      <c r="O8" s="3"/>
      <c r="P8" s="4"/>
      <c r="Q8" s="4"/>
      <c r="R8" s="4"/>
      <c r="S8" s="4"/>
      <c r="U8" s="9"/>
      <c r="X8" s="4"/>
      <c r="Y8" s="4"/>
      <c r="Z8" s="4"/>
      <c r="AA8" s="4"/>
      <c r="AB8" s="4"/>
      <c r="AC8" s="7"/>
      <c r="AD8" s="4"/>
      <c r="AE8" s="4"/>
      <c r="AF8" s="21"/>
    </row>
    <row r="9" spans="1:34" x14ac:dyDescent="0.25">
      <c r="B9" s="4"/>
      <c r="C9" s="4"/>
      <c r="D9" s="1"/>
      <c r="E9" s="2"/>
      <c r="F9" s="3"/>
      <c r="G9" s="3"/>
      <c r="H9" s="3"/>
      <c r="J9" s="3"/>
      <c r="K9" s="3"/>
      <c r="L9" s="4"/>
      <c r="M9" s="4"/>
      <c r="N9" s="3"/>
      <c r="O9" s="3"/>
      <c r="P9" s="4"/>
      <c r="Q9" s="4"/>
      <c r="R9" s="4"/>
      <c r="S9" s="4"/>
      <c r="U9" s="9"/>
      <c r="X9" s="4"/>
      <c r="Y9" s="4"/>
      <c r="Z9" s="4"/>
      <c r="AA9" s="4"/>
      <c r="AB9" s="4"/>
      <c r="AC9" s="7"/>
      <c r="AD9" s="4"/>
      <c r="AE9" s="4"/>
      <c r="AF9" s="21"/>
    </row>
    <row r="10" spans="1:34" x14ac:dyDescent="0.25">
      <c r="B10" s="4"/>
      <c r="C10" s="4"/>
      <c r="D10" s="1"/>
      <c r="E10" s="2"/>
      <c r="F10" s="3"/>
      <c r="G10" s="3"/>
      <c r="H10" s="3"/>
      <c r="J10" s="3"/>
      <c r="K10" s="3"/>
      <c r="L10" s="4"/>
      <c r="M10" s="4"/>
      <c r="N10" s="3"/>
      <c r="O10" s="3"/>
      <c r="P10" s="4"/>
      <c r="Q10" s="4"/>
      <c r="R10" s="4"/>
      <c r="S10" s="4"/>
      <c r="U10" s="9"/>
      <c r="X10" s="4"/>
      <c r="Y10" s="4"/>
      <c r="Z10" s="4"/>
      <c r="AA10" s="4"/>
      <c r="AB10" s="4"/>
      <c r="AC10" s="7"/>
      <c r="AD10" s="4"/>
      <c r="AE10" s="4"/>
      <c r="AF10" s="21"/>
    </row>
    <row r="11" spans="1:34" x14ac:dyDescent="0.25">
      <c r="B11" s="4"/>
      <c r="C11" s="4"/>
      <c r="D11" s="1"/>
      <c r="E11" s="2"/>
      <c r="F11" s="3"/>
      <c r="G11" s="3"/>
      <c r="H11" s="3"/>
      <c r="J11" s="3"/>
      <c r="K11" s="3"/>
      <c r="L11" s="4"/>
      <c r="M11" s="4"/>
      <c r="N11" s="3"/>
      <c r="O11" s="3"/>
      <c r="P11" s="4"/>
      <c r="Q11" s="4"/>
      <c r="R11" s="4"/>
      <c r="S11" s="4"/>
      <c r="U11" s="9"/>
      <c r="X11" s="4"/>
      <c r="Y11" s="4"/>
      <c r="Z11" s="4"/>
      <c r="AA11" s="4"/>
      <c r="AB11" s="4"/>
      <c r="AC11" s="7"/>
      <c r="AD11" s="4"/>
      <c r="AE11" s="4"/>
      <c r="AF11" s="21"/>
    </row>
    <row r="12" spans="1:34" x14ac:dyDescent="0.25">
      <c r="B12" s="4"/>
      <c r="C12" s="4"/>
      <c r="D12" s="1"/>
      <c r="E12" s="2"/>
      <c r="F12" s="3"/>
      <c r="G12" s="3"/>
      <c r="H12" s="3"/>
      <c r="J12" s="3"/>
      <c r="K12" s="3"/>
      <c r="L12" s="4"/>
      <c r="M12" s="4"/>
      <c r="N12" s="3"/>
      <c r="O12" s="3"/>
      <c r="P12" s="4"/>
      <c r="Q12" s="4"/>
      <c r="R12" s="4"/>
      <c r="S12" s="4"/>
      <c r="U12" s="9"/>
      <c r="X12" s="4"/>
      <c r="Y12" s="4"/>
      <c r="Z12" s="4"/>
      <c r="AA12" s="4"/>
      <c r="AB12" s="4"/>
      <c r="AC12" s="7"/>
      <c r="AD12" s="4"/>
      <c r="AE12" s="4"/>
      <c r="AF12" s="21"/>
    </row>
    <row r="13" spans="1:34" x14ac:dyDescent="0.25">
      <c r="B13" s="4"/>
      <c r="C13" s="4"/>
      <c r="D13" s="1"/>
      <c r="E13" s="2"/>
      <c r="F13" s="3"/>
      <c r="G13" s="3"/>
      <c r="H13" s="3"/>
      <c r="J13" s="3"/>
      <c r="K13" s="3"/>
      <c r="L13" s="4"/>
      <c r="M13" s="4"/>
      <c r="N13" s="3"/>
      <c r="O13" s="3"/>
      <c r="P13" s="4"/>
      <c r="Q13" s="4"/>
      <c r="R13" s="4"/>
      <c r="S13" s="4"/>
      <c r="U13" s="9"/>
      <c r="X13" s="4"/>
      <c r="Y13" s="4"/>
      <c r="Z13" s="4"/>
      <c r="AA13" s="4"/>
      <c r="AB13" s="4"/>
      <c r="AC13" s="7"/>
      <c r="AD13" s="4"/>
      <c r="AE13" s="4"/>
      <c r="AF13" s="21"/>
    </row>
    <row r="14" spans="1:34" x14ac:dyDescent="0.25">
      <c r="B14" s="4"/>
      <c r="C14" s="4"/>
      <c r="D14" s="1"/>
      <c r="E14" s="2"/>
      <c r="F14" s="3"/>
      <c r="G14" s="3"/>
      <c r="H14" s="3"/>
      <c r="J14" s="3"/>
      <c r="K14" s="3"/>
      <c r="L14" s="4"/>
      <c r="M14" s="4"/>
      <c r="N14" s="3"/>
      <c r="O14" s="3"/>
      <c r="P14" s="4"/>
      <c r="Q14" s="4"/>
      <c r="R14" s="4"/>
      <c r="S14" s="4"/>
      <c r="U14" s="9"/>
      <c r="X14" s="4"/>
      <c r="Y14" s="4"/>
      <c r="Z14" s="4"/>
      <c r="AA14" s="4"/>
      <c r="AB14" s="4"/>
      <c r="AC14" s="7"/>
      <c r="AD14" s="4"/>
      <c r="AE14" s="4"/>
      <c r="AF14" s="21"/>
    </row>
    <row r="15" spans="1:34" x14ac:dyDescent="0.25">
      <c r="B15" s="4"/>
      <c r="C15" s="4"/>
      <c r="D15" s="1"/>
      <c r="E15" s="2"/>
      <c r="F15" s="3"/>
      <c r="G15" s="3"/>
      <c r="H15" s="3"/>
      <c r="J15" s="3"/>
      <c r="K15" s="3"/>
      <c r="L15" s="4"/>
      <c r="M15" s="4"/>
      <c r="N15" s="3"/>
      <c r="O15" s="3"/>
      <c r="P15" s="4"/>
      <c r="Q15" s="4"/>
      <c r="R15" s="4"/>
      <c r="S15" s="4"/>
      <c r="U15" s="9"/>
      <c r="X15" s="4"/>
      <c r="Y15" s="4"/>
      <c r="Z15" s="4"/>
      <c r="AA15" s="4"/>
      <c r="AB15" s="4"/>
      <c r="AC15" s="7"/>
      <c r="AD15" s="4"/>
      <c r="AE15" s="4"/>
      <c r="AF15" s="21"/>
    </row>
    <row r="16" spans="1:34" x14ac:dyDescent="0.25">
      <c r="B16" s="4"/>
      <c r="C16" s="4"/>
      <c r="D16" s="1"/>
      <c r="E16" s="2"/>
      <c r="F16" s="3"/>
      <c r="G16" s="3"/>
      <c r="H16" s="3"/>
      <c r="J16" s="3"/>
      <c r="K16" s="3"/>
      <c r="L16" s="4"/>
      <c r="M16" s="4"/>
      <c r="N16" s="3"/>
      <c r="O16" s="3"/>
      <c r="P16" s="4"/>
      <c r="Q16" s="4"/>
      <c r="R16" s="4"/>
      <c r="S16" s="4"/>
      <c r="U16" s="9"/>
      <c r="X16" s="4"/>
      <c r="Y16" s="4"/>
      <c r="Z16" s="4"/>
      <c r="AA16" s="4"/>
      <c r="AB16" s="4"/>
      <c r="AC16" s="7"/>
      <c r="AD16" s="4"/>
      <c r="AE16" s="4"/>
      <c r="AF16" s="21"/>
    </row>
    <row r="17" spans="2:32" x14ac:dyDescent="0.25">
      <c r="B17" s="4"/>
      <c r="C17" s="4"/>
      <c r="D17" s="1"/>
      <c r="E17" s="2"/>
      <c r="F17" s="3"/>
      <c r="G17" s="3"/>
      <c r="H17" s="3"/>
      <c r="J17" s="3"/>
      <c r="K17" s="3"/>
      <c r="L17" s="4"/>
      <c r="M17" s="4"/>
      <c r="N17" s="3"/>
      <c r="O17" s="3"/>
      <c r="P17" s="4"/>
      <c r="Q17" s="4"/>
      <c r="R17" s="4"/>
      <c r="S17" s="4"/>
      <c r="U17" s="9"/>
      <c r="X17" s="4"/>
      <c r="Y17" s="4"/>
      <c r="Z17" s="4"/>
      <c r="AA17" s="4"/>
      <c r="AB17" s="4"/>
      <c r="AC17" s="7"/>
      <c r="AD17" s="4"/>
      <c r="AE17" s="4"/>
      <c r="AF17" s="21"/>
    </row>
    <row r="18" spans="2:32" x14ac:dyDescent="0.25">
      <c r="B18" s="4"/>
      <c r="C18" s="4"/>
      <c r="D18" s="1"/>
      <c r="E18" s="2"/>
      <c r="F18" s="3"/>
      <c r="G18" s="3"/>
      <c r="H18" s="3"/>
      <c r="J18" s="3"/>
      <c r="K18" s="3"/>
      <c r="L18" s="4"/>
      <c r="M18" s="4"/>
      <c r="N18" s="3"/>
      <c r="O18" s="3"/>
      <c r="P18" s="4"/>
      <c r="Q18" s="4"/>
      <c r="R18" s="4"/>
      <c r="S18" s="4"/>
      <c r="U18" s="9"/>
      <c r="X18" s="4"/>
      <c r="Y18" s="4"/>
      <c r="Z18" s="4"/>
      <c r="AA18" s="4"/>
      <c r="AB18" s="4"/>
      <c r="AC18" s="7"/>
      <c r="AD18" s="4"/>
      <c r="AE18" s="4"/>
      <c r="AF18" s="21"/>
    </row>
    <row r="19" spans="2:32" x14ac:dyDescent="0.25">
      <c r="B19" s="4"/>
      <c r="C19" s="4"/>
      <c r="D19" s="1"/>
      <c r="E19" s="2"/>
      <c r="F19" s="3"/>
      <c r="G19" s="3"/>
      <c r="H19" s="3"/>
      <c r="J19" s="3"/>
      <c r="K19" s="3"/>
      <c r="L19" s="4"/>
      <c r="M19" s="4"/>
      <c r="N19" s="3"/>
      <c r="O19" s="3"/>
      <c r="P19" s="4"/>
      <c r="Q19" s="4"/>
      <c r="R19" s="4"/>
      <c r="S19" s="4"/>
      <c r="U19" s="9"/>
      <c r="X19" s="4"/>
      <c r="Y19" s="4"/>
      <c r="Z19" s="4"/>
      <c r="AA19" s="4"/>
      <c r="AB19" s="4"/>
      <c r="AC19" s="7"/>
      <c r="AD19" s="4"/>
      <c r="AE19" s="4"/>
      <c r="AF19" s="21"/>
    </row>
    <row r="20" spans="2:32" x14ac:dyDescent="0.25">
      <c r="B20" s="4"/>
      <c r="C20" s="4"/>
      <c r="D20" s="1"/>
      <c r="E20" s="2"/>
      <c r="F20" s="3"/>
      <c r="G20" s="3"/>
      <c r="H20" s="3"/>
      <c r="J20" s="3"/>
      <c r="K20" s="3"/>
      <c r="L20" s="4"/>
      <c r="M20" s="4"/>
      <c r="N20" s="3"/>
      <c r="O20" s="3"/>
      <c r="P20" s="4"/>
      <c r="Q20" s="4"/>
      <c r="R20" s="4"/>
      <c r="S20" s="4"/>
      <c r="U20" s="9"/>
      <c r="X20" s="4"/>
      <c r="Y20" s="4"/>
      <c r="Z20" s="4"/>
      <c r="AA20" s="4"/>
      <c r="AB20" s="4"/>
      <c r="AC20" s="7"/>
      <c r="AD20" s="4"/>
      <c r="AE20" s="4"/>
      <c r="AF20" s="21"/>
    </row>
    <row r="21" spans="2:32" x14ac:dyDescent="0.25">
      <c r="B21" s="4"/>
      <c r="C21" s="4"/>
      <c r="D21" s="1"/>
      <c r="E21" s="2"/>
      <c r="F21" s="3"/>
      <c r="G21" s="3"/>
      <c r="H21" s="3"/>
      <c r="J21" s="3"/>
      <c r="K21" s="3"/>
      <c r="L21" s="4"/>
      <c r="M21" s="4"/>
      <c r="N21" s="3"/>
      <c r="O21" s="3"/>
      <c r="P21" s="4"/>
      <c r="Q21" s="4"/>
      <c r="R21" s="4"/>
      <c r="S21" s="4"/>
      <c r="U21" s="9"/>
      <c r="X21" s="4"/>
      <c r="Y21" s="4"/>
      <c r="Z21" s="4"/>
      <c r="AA21" s="4"/>
      <c r="AB21" s="4"/>
      <c r="AC21" s="7"/>
      <c r="AD21" s="4"/>
      <c r="AE21" s="4"/>
      <c r="AF21" s="21"/>
    </row>
    <row r="22" spans="2:32" x14ac:dyDescent="0.25">
      <c r="B22" s="4"/>
      <c r="C22" s="4"/>
      <c r="D22" s="1"/>
      <c r="E22" s="2"/>
      <c r="F22" s="3"/>
      <c r="G22" s="3"/>
      <c r="H22" s="3"/>
      <c r="J22" s="3"/>
      <c r="K22" s="3"/>
      <c r="L22" s="4"/>
      <c r="M22" s="4"/>
      <c r="N22" s="3"/>
      <c r="O22" s="3"/>
      <c r="P22" s="4"/>
      <c r="Q22" s="4"/>
      <c r="R22" s="4"/>
      <c r="S22" s="4"/>
      <c r="U22" s="9"/>
      <c r="X22" s="4"/>
      <c r="Y22" s="4"/>
      <c r="Z22" s="4"/>
      <c r="AA22" s="4"/>
      <c r="AB22" s="4"/>
      <c r="AC22" s="7"/>
      <c r="AD22" s="4"/>
      <c r="AE22" s="4"/>
      <c r="AF22" s="21"/>
    </row>
    <row r="23" spans="2:32" x14ac:dyDescent="0.25">
      <c r="B23" s="4"/>
      <c r="C23" s="4"/>
      <c r="D23" s="1"/>
      <c r="E23" s="2"/>
      <c r="F23" s="3"/>
      <c r="G23" s="3"/>
      <c r="H23" s="3"/>
      <c r="J23" s="3"/>
      <c r="K23" s="3"/>
      <c r="L23" s="4"/>
      <c r="M23" s="4"/>
      <c r="N23" s="3"/>
      <c r="O23" s="3"/>
      <c r="P23" s="4"/>
      <c r="Q23" s="4"/>
      <c r="R23" s="4"/>
      <c r="S23" s="4"/>
      <c r="U23" s="9"/>
      <c r="X23" s="4"/>
      <c r="Y23" s="4"/>
      <c r="Z23" s="4"/>
      <c r="AA23" s="4"/>
      <c r="AB23" s="4"/>
      <c r="AC23" s="7"/>
      <c r="AD23" s="4"/>
      <c r="AE23" s="4"/>
      <c r="AF23" s="21"/>
    </row>
    <row r="24" spans="2:32" x14ac:dyDescent="0.25">
      <c r="B24" s="4"/>
      <c r="C24" s="4"/>
      <c r="D24" s="1"/>
      <c r="E24" s="2"/>
      <c r="F24" s="3"/>
      <c r="G24" s="3"/>
      <c r="H24" s="3"/>
      <c r="J24" s="3"/>
      <c r="K24" s="3"/>
      <c r="L24" s="4"/>
      <c r="M24" s="4"/>
      <c r="N24" s="3"/>
      <c r="O24" s="3"/>
      <c r="P24" s="4"/>
      <c r="Q24" s="4"/>
      <c r="R24" s="4"/>
      <c r="S24" s="4"/>
      <c r="U24" s="9"/>
      <c r="X24" s="4"/>
      <c r="Y24" s="4"/>
      <c r="Z24" s="4"/>
      <c r="AA24" s="4"/>
      <c r="AB24" s="4"/>
      <c r="AC24" s="7"/>
      <c r="AD24" s="4"/>
      <c r="AE24" s="4"/>
      <c r="AF24" s="21"/>
    </row>
    <row r="25" spans="2:32" x14ac:dyDescent="0.25">
      <c r="B25" s="4"/>
      <c r="C25" s="4"/>
      <c r="D25" s="1"/>
      <c r="E25" s="2"/>
      <c r="F25" s="3"/>
      <c r="G25" s="3"/>
      <c r="H25" s="3"/>
      <c r="J25" s="3"/>
      <c r="K25" s="3"/>
      <c r="L25" s="4"/>
      <c r="M25" s="4"/>
      <c r="N25" s="3"/>
      <c r="O25" s="3"/>
      <c r="P25" s="4"/>
      <c r="Q25" s="4"/>
      <c r="R25" s="4"/>
      <c r="S25" s="4"/>
      <c r="U25" s="9"/>
      <c r="X25" s="4"/>
      <c r="Y25" s="4"/>
      <c r="Z25" s="4"/>
      <c r="AA25" s="4"/>
      <c r="AB25" s="4"/>
      <c r="AC25" s="7"/>
      <c r="AD25" s="4"/>
      <c r="AE25" s="4"/>
      <c r="AF25" s="21"/>
    </row>
    <row r="26" spans="2:32" x14ac:dyDescent="0.25">
      <c r="B26" s="20"/>
      <c r="C26" s="4"/>
      <c r="D26" s="1"/>
      <c r="E26" s="2"/>
      <c r="F26" s="3"/>
      <c r="G26" s="3"/>
      <c r="H26" s="3"/>
      <c r="J26" s="3"/>
      <c r="K26" s="3"/>
      <c r="L26" s="4"/>
      <c r="M26" s="4"/>
      <c r="N26" s="3"/>
      <c r="O26" s="3"/>
      <c r="P26" s="4"/>
      <c r="Q26" s="4"/>
      <c r="R26" s="4"/>
      <c r="S26" s="4"/>
      <c r="U26" s="9"/>
      <c r="X26" s="4"/>
      <c r="Y26" s="4"/>
      <c r="Z26" s="4"/>
      <c r="AA26" s="4"/>
      <c r="AB26" s="4"/>
      <c r="AC26" s="7"/>
      <c r="AD26" s="4"/>
      <c r="AE26" s="4"/>
      <c r="AF26" s="21"/>
    </row>
    <row r="27" spans="2:32" x14ac:dyDescent="0.25">
      <c r="B27" s="4"/>
      <c r="D27" s="1"/>
      <c r="E27" s="2"/>
      <c r="F27" s="3"/>
      <c r="G27" s="3"/>
      <c r="H27" s="3"/>
      <c r="J27" s="3"/>
      <c r="K27" s="3"/>
      <c r="L27" s="4"/>
      <c r="M27" s="4"/>
      <c r="N27" s="3"/>
      <c r="O27" s="3"/>
      <c r="P27" s="4"/>
      <c r="Q27" s="4"/>
      <c r="R27" s="4"/>
      <c r="S27" s="4"/>
      <c r="U27" s="9"/>
      <c r="X27" s="4"/>
      <c r="Y27" s="4"/>
      <c r="Z27" s="4"/>
      <c r="AA27" s="4"/>
      <c r="AB27" s="4"/>
      <c r="AC27" s="7"/>
      <c r="AD27" s="4"/>
      <c r="AE27" s="4"/>
      <c r="AF27" s="21"/>
    </row>
    <row r="28" spans="2:32" x14ac:dyDescent="0.25">
      <c r="B28" s="4"/>
      <c r="D28" s="1"/>
      <c r="E28" s="2"/>
      <c r="F28" s="3"/>
      <c r="G28" s="3"/>
      <c r="H28" s="3"/>
      <c r="J28" s="3"/>
      <c r="K28" s="3"/>
      <c r="L28" s="4"/>
      <c r="M28" s="4"/>
      <c r="N28" s="3"/>
      <c r="O28" s="3"/>
      <c r="P28" s="4"/>
      <c r="Q28" s="4"/>
      <c r="R28" s="4"/>
      <c r="S28" s="4"/>
      <c r="U28" s="9"/>
      <c r="X28" s="4"/>
      <c r="Y28" s="4"/>
      <c r="Z28" s="4"/>
      <c r="AA28" s="4"/>
      <c r="AB28" s="4"/>
      <c r="AC28" s="7"/>
      <c r="AD28" s="4"/>
      <c r="AE28" s="4"/>
      <c r="AF28" s="21"/>
    </row>
    <row r="29" spans="2:32" x14ac:dyDescent="0.25">
      <c r="D29" s="1"/>
      <c r="E29" s="2"/>
      <c r="F29" s="3"/>
      <c r="G29" s="3"/>
      <c r="H29" s="3"/>
      <c r="J29" s="3"/>
      <c r="K29" s="3"/>
      <c r="L29" s="4"/>
      <c r="M29" s="4"/>
      <c r="N29" s="3"/>
      <c r="O29" s="3"/>
      <c r="P29" s="4"/>
      <c r="Q29" s="4"/>
      <c r="R29" s="4"/>
      <c r="S29" s="4"/>
      <c r="U29" s="9"/>
      <c r="X29" s="4"/>
      <c r="Y29" s="4"/>
      <c r="Z29" s="4"/>
      <c r="AA29" s="4"/>
      <c r="AB29" s="4"/>
      <c r="AC29" s="7"/>
      <c r="AD29" s="4"/>
      <c r="AE29" s="4"/>
      <c r="AF29" s="21"/>
    </row>
    <row r="30" spans="2:32" x14ac:dyDescent="0.25">
      <c r="B30" s="7"/>
      <c r="D30" s="1"/>
      <c r="E30" s="2"/>
      <c r="F30" s="3"/>
      <c r="G30" s="3"/>
      <c r="H30" s="3"/>
      <c r="J30" s="3"/>
      <c r="K30" s="3"/>
      <c r="L30" s="4"/>
      <c r="M30" s="4"/>
      <c r="N30" s="3"/>
      <c r="O30" s="3"/>
      <c r="P30" s="4"/>
      <c r="Q30" s="4"/>
      <c r="R30" s="4"/>
      <c r="S30" s="4"/>
      <c r="U30" s="9"/>
      <c r="X30" s="4"/>
      <c r="Y30" s="4"/>
      <c r="Z30" s="4"/>
      <c r="AA30" s="4"/>
      <c r="AB30" s="4"/>
      <c r="AC30" s="7"/>
      <c r="AD30" s="4"/>
      <c r="AE30" s="4"/>
      <c r="AF30" s="21"/>
    </row>
    <row r="31" spans="2:32" x14ac:dyDescent="0.25">
      <c r="B31" s="4"/>
      <c r="D31" s="1"/>
      <c r="E31" s="2"/>
      <c r="F31" s="3"/>
      <c r="G31" s="3"/>
      <c r="H31" s="3"/>
      <c r="J31" s="3"/>
      <c r="K31" s="3"/>
      <c r="L31" s="4"/>
      <c r="M31" s="4"/>
      <c r="N31" s="3"/>
      <c r="O31" s="3"/>
      <c r="P31" s="4"/>
      <c r="Q31" s="4"/>
      <c r="R31" s="4"/>
      <c r="S31" s="4"/>
      <c r="U31" s="9"/>
      <c r="X31" s="4"/>
      <c r="Y31" s="4"/>
      <c r="Z31" s="4"/>
      <c r="AA31" s="4"/>
      <c r="AB31" s="4"/>
      <c r="AC31" s="7"/>
      <c r="AD31" s="4"/>
      <c r="AE31" s="4"/>
      <c r="AF31" s="21"/>
    </row>
    <row r="32" spans="2:32" x14ac:dyDescent="0.25">
      <c r="B32" s="5"/>
      <c r="D32" s="1"/>
      <c r="E32" s="2"/>
      <c r="F32" s="3"/>
      <c r="G32" s="3"/>
      <c r="H32" s="3"/>
      <c r="J32" s="3"/>
      <c r="K32" s="3"/>
      <c r="L32" s="4"/>
      <c r="M32" s="4"/>
      <c r="N32" s="3"/>
      <c r="O32" s="3"/>
      <c r="P32" s="4"/>
      <c r="Q32" s="4"/>
      <c r="R32" s="4"/>
      <c r="S32" s="4"/>
      <c r="U32" s="9"/>
      <c r="X32" s="4"/>
      <c r="Y32" s="4"/>
      <c r="Z32" s="4"/>
      <c r="AA32" s="4"/>
      <c r="AB32" s="4"/>
      <c r="AC32" s="7"/>
      <c r="AD32" s="4"/>
      <c r="AE32" s="4"/>
      <c r="AF32" s="21"/>
    </row>
    <row r="33" spans="4:32" x14ac:dyDescent="0.25">
      <c r="D33" s="1"/>
      <c r="E33" s="2"/>
      <c r="F33" s="3"/>
      <c r="G33" s="3"/>
      <c r="H33" s="3"/>
      <c r="J33" s="3"/>
      <c r="K33" s="3"/>
      <c r="L33" s="4"/>
      <c r="M33" s="4"/>
      <c r="N33" s="3"/>
      <c r="O33" s="3"/>
      <c r="P33" s="4"/>
      <c r="Q33" s="4"/>
      <c r="R33" s="4"/>
      <c r="S33" s="4"/>
      <c r="U33" s="9"/>
      <c r="X33" s="4"/>
      <c r="Y33" s="4"/>
      <c r="Z33" s="4"/>
      <c r="AA33" s="4"/>
      <c r="AB33" s="4"/>
      <c r="AC33" s="7"/>
      <c r="AD33" s="4"/>
      <c r="AE33" s="4"/>
      <c r="AF33" s="21"/>
    </row>
    <row r="34" spans="4:32" x14ac:dyDescent="0.25">
      <c r="D34" s="1"/>
      <c r="E34" s="2"/>
      <c r="F34" s="3"/>
      <c r="G34" s="3"/>
      <c r="H34" s="3"/>
      <c r="J34" s="3"/>
      <c r="K34" s="3"/>
      <c r="L34" s="4"/>
      <c r="M34" s="4"/>
      <c r="N34" s="3"/>
      <c r="O34" s="3"/>
      <c r="P34" s="4"/>
      <c r="Q34" s="4"/>
      <c r="R34" s="4"/>
      <c r="S34" s="4"/>
      <c r="U34" s="9"/>
      <c r="X34" s="4"/>
      <c r="Y34" s="4"/>
      <c r="Z34" s="4"/>
      <c r="AA34" s="4"/>
      <c r="AB34" s="4"/>
      <c r="AC34" s="7"/>
      <c r="AD34" s="4"/>
      <c r="AE34" s="4"/>
      <c r="AF34" s="21"/>
    </row>
    <row r="35" spans="4:32" x14ac:dyDescent="0.25">
      <c r="D35" s="1"/>
      <c r="E35" s="2"/>
      <c r="F35" s="3"/>
      <c r="G35" s="3"/>
      <c r="H35" s="3"/>
      <c r="J35" s="3"/>
      <c r="K35" s="3"/>
      <c r="L35" s="4"/>
      <c r="M35" s="4"/>
      <c r="N35" s="3"/>
      <c r="O35" s="3"/>
      <c r="P35" s="4"/>
      <c r="Q35" s="4"/>
      <c r="R35" s="4"/>
      <c r="S35" s="4"/>
      <c r="U35" s="9"/>
      <c r="X35" s="4"/>
      <c r="Y35" s="4"/>
      <c r="Z35" s="4"/>
      <c r="AA35" s="4"/>
      <c r="AB35" s="4"/>
      <c r="AC35" s="7"/>
      <c r="AD35" s="4"/>
      <c r="AE35" s="4"/>
      <c r="AF35" s="21"/>
    </row>
    <row r="36" spans="4:32" x14ac:dyDescent="0.25">
      <c r="D36" s="1"/>
      <c r="E36" s="2"/>
      <c r="F36" s="3"/>
      <c r="G36" s="3"/>
      <c r="H36" s="3"/>
      <c r="J36" s="3"/>
      <c r="K36" s="3"/>
      <c r="L36" s="4"/>
      <c r="M36" s="4"/>
      <c r="N36" s="3"/>
      <c r="O36" s="3"/>
      <c r="P36" s="4"/>
      <c r="Q36" s="4"/>
      <c r="R36" s="4"/>
      <c r="S36" s="4"/>
      <c r="U36" s="9"/>
      <c r="X36" s="4"/>
      <c r="Y36" s="4"/>
      <c r="Z36" s="4"/>
      <c r="AA36" s="4"/>
      <c r="AB36" s="4"/>
      <c r="AC36" s="7"/>
      <c r="AD36" s="4"/>
      <c r="AE36" s="4"/>
      <c r="AF36" s="21"/>
    </row>
    <row r="37" spans="4:32" x14ac:dyDescent="0.25">
      <c r="D37" s="1"/>
      <c r="E37" s="2"/>
      <c r="F37" s="3"/>
      <c r="G37" s="3"/>
      <c r="H37" s="3"/>
      <c r="J37" s="3"/>
      <c r="K37" s="3"/>
      <c r="L37" s="4"/>
      <c r="M37" s="4"/>
      <c r="N37" s="3"/>
      <c r="O37" s="3"/>
      <c r="P37" s="4"/>
      <c r="Q37" s="4"/>
      <c r="R37" s="4"/>
      <c r="S37" s="4"/>
      <c r="U37" s="9"/>
      <c r="X37" s="4"/>
      <c r="Y37" s="4"/>
      <c r="Z37" s="4"/>
      <c r="AA37" s="4"/>
      <c r="AB37" s="4"/>
      <c r="AC37" s="7"/>
      <c r="AD37" s="4"/>
      <c r="AE37" s="4"/>
      <c r="AF37" s="21"/>
    </row>
    <row r="38" spans="4:32" x14ac:dyDescent="0.25">
      <c r="D38" s="1"/>
      <c r="E38" s="2"/>
      <c r="F38" s="3"/>
      <c r="G38" s="3"/>
      <c r="H38" s="3"/>
      <c r="J38" s="3"/>
      <c r="K38" s="3"/>
      <c r="L38" s="4"/>
      <c r="M38" s="4"/>
      <c r="N38" s="3"/>
      <c r="O38" s="3"/>
      <c r="P38" s="4"/>
      <c r="Q38" s="4"/>
      <c r="R38" s="4"/>
      <c r="S38" s="4"/>
      <c r="U38" s="9"/>
      <c r="X38" s="4"/>
      <c r="Y38" s="4"/>
      <c r="Z38" s="4"/>
      <c r="AA38" s="4"/>
      <c r="AB38" s="4"/>
      <c r="AC38" s="7"/>
      <c r="AD38" s="4"/>
      <c r="AE38" s="4"/>
      <c r="AF38" s="21"/>
    </row>
    <row r="39" spans="4:32" x14ac:dyDescent="0.25">
      <c r="D39" s="1"/>
      <c r="E39" s="2"/>
      <c r="F39" s="3"/>
      <c r="G39" s="3"/>
      <c r="H39" s="3"/>
      <c r="J39" s="3"/>
      <c r="K39" s="3"/>
      <c r="L39" s="4"/>
      <c r="M39" s="4"/>
      <c r="N39" s="3"/>
      <c r="O39" s="3"/>
      <c r="P39" s="4"/>
      <c r="Q39" s="4"/>
      <c r="R39" s="4"/>
      <c r="S39" s="4"/>
      <c r="U39" s="9"/>
      <c r="X39" s="4"/>
      <c r="Y39" s="4"/>
      <c r="Z39" s="4"/>
      <c r="AA39" s="4"/>
      <c r="AB39" s="4"/>
      <c r="AC39" s="7"/>
      <c r="AD39" s="4"/>
      <c r="AE39" s="4"/>
      <c r="AF39" s="21"/>
    </row>
    <row r="40" spans="4:32" x14ac:dyDescent="0.25">
      <c r="D40" s="1"/>
      <c r="E40" s="2"/>
      <c r="F40" s="3"/>
      <c r="G40" s="3"/>
      <c r="H40" s="3"/>
      <c r="J40" s="3"/>
      <c r="K40" s="3"/>
      <c r="L40" s="4"/>
      <c r="M40" s="4"/>
      <c r="N40" s="3"/>
      <c r="O40" s="3"/>
      <c r="P40" s="4"/>
      <c r="Q40" s="4"/>
      <c r="R40" s="4"/>
      <c r="S40" s="4"/>
      <c r="U40" s="9"/>
      <c r="X40" s="4"/>
      <c r="Y40" s="4"/>
      <c r="Z40" s="4"/>
      <c r="AA40" s="4"/>
      <c r="AB40" s="4"/>
      <c r="AC40" s="7"/>
      <c r="AD40" s="4"/>
      <c r="AE40" s="4"/>
      <c r="AF40" s="21"/>
    </row>
    <row r="41" spans="4:32" x14ac:dyDescent="0.25">
      <c r="D41" s="1"/>
      <c r="E41" s="2"/>
      <c r="F41" s="3"/>
      <c r="G41" s="3"/>
      <c r="H41" s="3"/>
      <c r="J41" s="3"/>
      <c r="K41" s="3"/>
      <c r="L41" s="4"/>
      <c r="M41" s="4"/>
      <c r="N41" s="3"/>
      <c r="O41" s="3"/>
      <c r="P41" s="4"/>
      <c r="Q41" s="4"/>
      <c r="R41" s="4"/>
      <c r="S41" s="4"/>
      <c r="U41" s="9"/>
      <c r="X41" s="4"/>
      <c r="Y41" s="4"/>
      <c r="Z41" s="4"/>
      <c r="AA41" s="4"/>
      <c r="AB41" s="4"/>
      <c r="AC41" s="7"/>
      <c r="AD41" s="4"/>
      <c r="AE41" s="4"/>
      <c r="AF41" s="21"/>
    </row>
    <row r="42" spans="4:32" x14ac:dyDescent="0.25">
      <c r="D42" s="1"/>
      <c r="E42" s="2"/>
      <c r="F42" s="3"/>
      <c r="G42" s="3"/>
      <c r="H42" s="3"/>
      <c r="J42" s="3"/>
      <c r="K42" s="3"/>
      <c r="L42" s="4"/>
      <c r="M42" s="4"/>
      <c r="N42" s="3"/>
      <c r="O42" s="3"/>
      <c r="P42" s="4"/>
      <c r="Q42" s="4"/>
      <c r="R42" s="4"/>
      <c r="S42" s="4"/>
      <c r="U42" s="9"/>
      <c r="X42" s="4"/>
      <c r="Y42" s="4"/>
      <c r="Z42" s="4"/>
      <c r="AA42" s="4"/>
      <c r="AB42" s="4"/>
      <c r="AC42" s="7"/>
      <c r="AD42" s="4"/>
      <c r="AE42" s="4"/>
      <c r="AF42" s="21"/>
    </row>
    <row r="43" spans="4:32" x14ac:dyDescent="0.25">
      <c r="D43" s="1"/>
      <c r="E43" s="2"/>
      <c r="F43" s="3"/>
      <c r="G43" s="3"/>
      <c r="H43" s="3"/>
      <c r="J43" s="3"/>
      <c r="K43" s="3"/>
      <c r="L43" s="4"/>
      <c r="M43" s="4"/>
      <c r="N43" s="3"/>
      <c r="O43" s="3"/>
      <c r="P43" s="4"/>
      <c r="Q43" s="4"/>
      <c r="R43" s="4"/>
      <c r="S43" s="4"/>
      <c r="U43" s="9"/>
      <c r="X43" s="4"/>
      <c r="Y43" s="4"/>
      <c r="Z43" s="4"/>
      <c r="AA43" s="4"/>
      <c r="AB43" s="4"/>
      <c r="AC43" s="7"/>
      <c r="AD43" s="4"/>
      <c r="AE43" s="4"/>
      <c r="AF43" s="21"/>
    </row>
    <row r="44" spans="4:32" x14ac:dyDescent="0.25">
      <c r="D44" s="1"/>
      <c r="E44" s="2"/>
      <c r="F44" s="3"/>
      <c r="G44" s="3"/>
      <c r="H44" s="3"/>
      <c r="J44" s="3"/>
      <c r="K44" s="3"/>
      <c r="L44" s="4"/>
      <c r="M44" s="4"/>
      <c r="N44" s="3"/>
      <c r="O44" s="3"/>
      <c r="P44" s="4"/>
      <c r="Q44" s="4"/>
      <c r="R44" s="4"/>
      <c r="S44" s="4"/>
      <c r="U44" s="9"/>
      <c r="X44" s="4"/>
      <c r="Y44" s="4"/>
      <c r="Z44" s="4"/>
      <c r="AA44" s="4"/>
      <c r="AB44" s="4"/>
      <c r="AC44" s="7"/>
      <c r="AD44" s="4"/>
      <c r="AE44" s="4"/>
      <c r="AF44" s="21"/>
    </row>
    <row r="45" spans="4:32" x14ac:dyDescent="0.25">
      <c r="D45" s="1"/>
      <c r="E45" s="2"/>
      <c r="F45" s="3"/>
      <c r="G45" s="3"/>
      <c r="H45" s="3"/>
      <c r="J45" s="3"/>
      <c r="K45" s="3"/>
      <c r="L45" s="4"/>
      <c r="M45" s="4"/>
      <c r="N45" s="3"/>
      <c r="O45" s="3"/>
      <c r="P45" s="4"/>
      <c r="Q45" s="4"/>
      <c r="R45" s="4"/>
      <c r="S45" s="4"/>
      <c r="U45" s="9"/>
      <c r="X45" s="4"/>
      <c r="Y45" s="4"/>
      <c r="Z45" s="4"/>
      <c r="AA45" s="4"/>
      <c r="AB45" s="4"/>
      <c r="AC45" s="7"/>
      <c r="AD45" s="4"/>
      <c r="AE45" s="4"/>
      <c r="AF45" s="21"/>
    </row>
    <row r="46" spans="4:32" x14ac:dyDescent="0.25">
      <c r="D46" s="1"/>
      <c r="E46" s="2"/>
      <c r="F46" s="3"/>
      <c r="G46" s="3"/>
      <c r="H46" s="3"/>
      <c r="J46" s="3"/>
      <c r="K46" s="3"/>
      <c r="L46" s="4"/>
      <c r="M46" s="4"/>
      <c r="N46" s="3"/>
      <c r="O46" s="3"/>
      <c r="P46" s="4"/>
      <c r="Q46" s="4"/>
      <c r="R46" s="4"/>
      <c r="S46" s="4"/>
      <c r="U46" s="9"/>
      <c r="X46" s="4"/>
      <c r="Y46" s="4"/>
      <c r="Z46" s="4"/>
      <c r="AA46" s="4"/>
      <c r="AB46" s="4"/>
      <c r="AC46" s="7"/>
      <c r="AD46" s="4"/>
      <c r="AE46" s="4"/>
      <c r="AF46" s="21"/>
    </row>
    <row r="47" spans="4:32" x14ac:dyDescent="0.25">
      <c r="D47" s="1"/>
      <c r="E47" s="2"/>
      <c r="F47" s="3"/>
      <c r="G47" s="3"/>
      <c r="H47" s="3"/>
      <c r="J47" s="3"/>
      <c r="K47" s="3"/>
      <c r="L47" s="4"/>
      <c r="M47" s="4"/>
      <c r="N47" s="3"/>
      <c r="O47" s="3"/>
      <c r="P47" s="4"/>
      <c r="Q47" s="4"/>
      <c r="R47" s="4"/>
      <c r="S47" s="4"/>
      <c r="U47" s="9"/>
      <c r="X47" s="4"/>
      <c r="Y47" s="4"/>
      <c r="Z47" s="4"/>
      <c r="AA47" s="4"/>
      <c r="AB47" s="4"/>
      <c r="AC47" s="7"/>
      <c r="AD47" s="4"/>
      <c r="AE47" s="4"/>
      <c r="AF47" s="21"/>
    </row>
    <row r="48" spans="4:32" x14ac:dyDescent="0.25">
      <c r="D48" s="1"/>
      <c r="E48" s="2"/>
      <c r="F48" s="3"/>
      <c r="G48" s="3"/>
      <c r="H48" s="3"/>
      <c r="J48" s="3"/>
      <c r="K48" s="3"/>
      <c r="L48" s="4"/>
      <c r="M48" s="4"/>
      <c r="N48" s="3"/>
      <c r="O48" s="3"/>
      <c r="P48" s="4"/>
      <c r="Q48" s="4"/>
      <c r="R48" s="4"/>
      <c r="S48" s="4"/>
      <c r="U48" s="9"/>
      <c r="X48" s="4"/>
      <c r="Y48" s="4"/>
      <c r="Z48" s="4"/>
      <c r="AA48" s="4"/>
      <c r="AB48" s="4"/>
      <c r="AC48" s="7"/>
      <c r="AD48" s="4"/>
      <c r="AE48" s="4"/>
      <c r="AF48" s="21"/>
    </row>
    <row r="49" spans="4:32" x14ac:dyDescent="0.25">
      <c r="D49" s="1"/>
      <c r="E49" s="2"/>
      <c r="F49" s="3"/>
      <c r="G49" s="3"/>
      <c r="H49" s="3"/>
      <c r="J49" s="3"/>
      <c r="K49" s="3"/>
      <c r="L49" s="4"/>
      <c r="M49" s="4"/>
      <c r="N49" s="3"/>
      <c r="O49" s="3"/>
      <c r="P49" s="4"/>
      <c r="Q49" s="4"/>
      <c r="R49" s="4"/>
      <c r="S49" s="4"/>
      <c r="U49" s="9"/>
      <c r="X49" s="4"/>
      <c r="Y49" s="4"/>
      <c r="Z49" s="4"/>
      <c r="AA49" s="4"/>
      <c r="AB49" s="4"/>
      <c r="AC49" s="7"/>
      <c r="AD49" s="4"/>
      <c r="AE49" s="4"/>
      <c r="AF49" s="21"/>
    </row>
    <row r="50" spans="4:32" x14ac:dyDescent="0.25">
      <c r="D50" s="1"/>
      <c r="E50" s="2"/>
      <c r="F50" s="3"/>
      <c r="G50" s="3"/>
      <c r="H50" s="3"/>
      <c r="J50" s="3"/>
      <c r="K50" s="3"/>
      <c r="L50" s="4"/>
      <c r="M50" s="4"/>
      <c r="N50" s="3"/>
      <c r="O50" s="3"/>
      <c r="P50" s="4"/>
      <c r="Q50" s="4"/>
      <c r="R50" s="4"/>
      <c r="S50" s="4"/>
      <c r="U50" s="9"/>
      <c r="X50" s="4"/>
      <c r="Y50" s="4"/>
      <c r="Z50" s="4"/>
      <c r="AA50" s="4"/>
      <c r="AB50" s="4"/>
      <c r="AC50" s="7"/>
      <c r="AD50" s="4"/>
      <c r="AE50" s="4"/>
      <c r="AF50" s="21"/>
    </row>
    <row r="51" spans="4:32" x14ac:dyDescent="0.25">
      <c r="D51" s="1"/>
      <c r="E51" s="2"/>
      <c r="F51" s="3"/>
      <c r="G51" s="3"/>
      <c r="H51" s="3"/>
      <c r="J51" s="3"/>
      <c r="K51" s="3"/>
      <c r="L51" s="4"/>
      <c r="M51" s="4"/>
      <c r="N51" s="3"/>
      <c r="O51" s="3"/>
      <c r="P51" s="4"/>
      <c r="Q51" s="4"/>
      <c r="R51" s="4"/>
      <c r="S51" s="4"/>
      <c r="U51" s="9"/>
      <c r="X51" s="4"/>
      <c r="Y51" s="4"/>
      <c r="Z51" s="4"/>
      <c r="AA51" s="4"/>
      <c r="AB51" s="4"/>
      <c r="AC51" s="7"/>
      <c r="AD51" s="4"/>
      <c r="AE51" s="4"/>
      <c r="AF51" s="21"/>
    </row>
    <row r="52" spans="4:32" x14ac:dyDescent="0.25">
      <c r="D52" s="1"/>
      <c r="E52" s="2"/>
      <c r="F52" s="3"/>
      <c r="G52" s="3"/>
      <c r="H52" s="3"/>
      <c r="J52" s="3"/>
      <c r="K52" s="3"/>
      <c r="L52" s="4"/>
      <c r="M52" s="4"/>
      <c r="N52" s="3"/>
      <c r="O52" s="3"/>
      <c r="P52" s="4"/>
      <c r="Q52" s="4"/>
      <c r="R52" s="4"/>
      <c r="S52" s="4"/>
      <c r="U52" s="9"/>
      <c r="X52" s="4"/>
      <c r="Y52" s="4"/>
      <c r="Z52" s="4"/>
      <c r="AA52" s="4"/>
      <c r="AB52" s="4"/>
      <c r="AC52" s="7"/>
      <c r="AD52" s="4"/>
      <c r="AE52" s="4"/>
      <c r="AF52" s="21"/>
    </row>
    <row r="53" spans="4:32" x14ac:dyDescent="0.25">
      <c r="D53" s="1"/>
      <c r="E53" s="2"/>
      <c r="F53" s="3"/>
      <c r="G53" s="3"/>
      <c r="H53" s="3"/>
      <c r="J53" s="3"/>
      <c r="K53" s="3"/>
      <c r="L53" s="4"/>
      <c r="M53" s="4"/>
      <c r="N53" s="3"/>
      <c r="O53" s="3"/>
      <c r="P53" s="4"/>
      <c r="Q53" s="4"/>
      <c r="R53" s="4"/>
      <c r="S53" s="4"/>
      <c r="U53" s="9"/>
      <c r="X53" s="4"/>
      <c r="Y53" s="4"/>
      <c r="Z53" s="4"/>
      <c r="AA53" s="4"/>
      <c r="AB53" s="4"/>
      <c r="AC53" s="7"/>
      <c r="AD53" s="4"/>
      <c r="AE53" s="4"/>
      <c r="AF53" s="21"/>
    </row>
    <row r="54" spans="4:32" x14ac:dyDescent="0.25">
      <c r="D54" s="1"/>
      <c r="E54" s="2"/>
      <c r="F54" s="3"/>
      <c r="G54" s="3"/>
      <c r="H54" s="3"/>
      <c r="J54" s="3"/>
      <c r="K54" s="3"/>
      <c r="L54" s="4"/>
      <c r="M54" s="4"/>
      <c r="N54" s="3"/>
      <c r="O54" s="3"/>
      <c r="P54" s="4"/>
      <c r="Q54" s="4"/>
      <c r="R54" s="4"/>
      <c r="S54" s="4"/>
      <c r="U54" s="9"/>
      <c r="X54" s="4"/>
      <c r="Y54" s="4"/>
      <c r="Z54" s="4"/>
      <c r="AA54" s="4"/>
      <c r="AB54" s="4"/>
      <c r="AC54" s="7"/>
      <c r="AD54" s="4"/>
      <c r="AE54" s="4"/>
      <c r="AF54" s="21"/>
    </row>
    <row r="55" spans="4:32" x14ac:dyDescent="0.25">
      <c r="D55" s="1"/>
      <c r="E55" s="2"/>
      <c r="F55" s="3"/>
      <c r="G55" s="3"/>
      <c r="H55" s="3"/>
      <c r="J55" s="3"/>
      <c r="K55" s="3"/>
      <c r="L55" s="4"/>
      <c r="M55" s="4"/>
      <c r="N55" s="3"/>
      <c r="O55" s="3"/>
      <c r="P55" s="4"/>
      <c r="Q55" s="4"/>
      <c r="R55" s="4"/>
      <c r="S55" s="4"/>
      <c r="U55" s="9"/>
      <c r="X55" s="4"/>
      <c r="Y55" s="4"/>
      <c r="Z55" s="4"/>
      <c r="AA55" s="4"/>
      <c r="AB55" s="4"/>
      <c r="AC55" s="7"/>
      <c r="AD55" s="4"/>
      <c r="AE55" s="4"/>
      <c r="AF55" s="21"/>
    </row>
    <row r="56" spans="4:32" x14ac:dyDescent="0.25">
      <c r="D56" s="1"/>
      <c r="E56" s="2"/>
      <c r="F56" s="3"/>
      <c r="G56" s="3"/>
      <c r="H56" s="3"/>
      <c r="J56" s="3"/>
      <c r="K56" s="3"/>
      <c r="L56" s="4"/>
      <c r="M56" s="4"/>
      <c r="N56" s="3"/>
      <c r="O56" s="3"/>
      <c r="P56" s="4"/>
      <c r="Q56" s="4"/>
      <c r="R56" s="4"/>
      <c r="S56" s="4"/>
      <c r="U56" s="9"/>
      <c r="X56" s="4"/>
      <c r="Y56" s="4"/>
      <c r="Z56" s="4"/>
      <c r="AA56" s="4"/>
      <c r="AB56" s="4"/>
      <c r="AC56" s="7"/>
      <c r="AD56" s="4"/>
      <c r="AE56" s="4"/>
      <c r="AF56" s="21"/>
    </row>
    <row r="57" spans="4:32" x14ac:dyDescent="0.25">
      <c r="D57" s="1"/>
      <c r="E57" s="2"/>
      <c r="F57" s="3"/>
      <c r="G57" s="3"/>
      <c r="H57" s="3"/>
      <c r="J57" s="3"/>
      <c r="K57" s="3"/>
      <c r="L57" s="4"/>
      <c r="M57" s="4"/>
      <c r="N57" s="3"/>
      <c r="O57" s="3"/>
      <c r="P57" s="4"/>
      <c r="Q57" s="4"/>
      <c r="R57" s="4"/>
      <c r="S57" s="4"/>
      <c r="U57" s="9"/>
      <c r="X57" s="4"/>
      <c r="Y57" s="4"/>
      <c r="Z57" s="4"/>
      <c r="AA57" s="4"/>
      <c r="AB57" s="4"/>
      <c r="AC57" s="7"/>
      <c r="AD57" s="4"/>
      <c r="AE57" s="4"/>
      <c r="AF57" s="21"/>
    </row>
    <row r="58" spans="4:32" x14ac:dyDescent="0.25">
      <c r="D58" s="1"/>
      <c r="E58" s="2"/>
      <c r="F58" s="3"/>
      <c r="G58" s="3"/>
      <c r="H58" s="3"/>
      <c r="J58" s="3"/>
      <c r="K58" s="3"/>
      <c r="L58" s="4"/>
      <c r="M58" s="4"/>
      <c r="N58" s="3"/>
      <c r="O58" s="3"/>
      <c r="P58" s="4"/>
      <c r="Q58" s="4"/>
      <c r="R58" s="4"/>
      <c r="S58" s="4"/>
      <c r="U58" s="9"/>
      <c r="X58" s="4"/>
      <c r="Y58" s="4"/>
      <c r="Z58" s="4"/>
      <c r="AA58" s="4"/>
      <c r="AB58" s="4"/>
      <c r="AC58" s="7"/>
      <c r="AD58" s="4"/>
      <c r="AE58" s="4"/>
      <c r="AF58" s="21"/>
    </row>
    <row r="59" spans="4:32" x14ac:dyDescent="0.25">
      <c r="D59" s="1"/>
      <c r="E59" s="2"/>
      <c r="F59" s="3"/>
      <c r="G59" s="3"/>
      <c r="H59" s="3"/>
      <c r="J59" s="3"/>
      <c r="K59" s="3"/>
      <c r="L59" s="4"/>
      <c r="M59" s="4"/>
      <c r="N59" s="3"/>
      <c r="O59" s="3"/>
      <c r="P59" s="4"/>
      <c r="Q59" s="4"/>
      <c r="R59" s="4"/>
      <c r="S59" s="4"/>
      <c r="U59" s="9"/>
      <c r="X59" s="4"/>
      <c r="Y59" s="4"/>
      <c r="Z59" s="4"/>
      <c r="AA59" s="4"/>
      <c r="AB59" s="4"/>
      <c r="AC59" s="7"/>
      <c r="AD59" s="4"/>
      <c r="AE59" s="4"/>
      <c r="AF59" s="21"/>
    </row>
    <row r="60" spans="4:32" x14ac:dyDescent="0.25">
      <c r="D60" s="1"/>
      <c r="E60" s="2"/>
      <c r="F60" s="3"/>
      <c r="G60" s="3"/>
      <c r="H60" s="3"/>
      <c r="J60" s="3"/>
      <c r="K60" s="3"/>
      <c r="L60" s="4"/>
      <c r="M60" s="4"/>
      <c r="N60" s="3"/>
      <c r="O60" s="3"/>
      <c r="P60" s="4"/>
      <c r="Q60" s="4"/>
      <c r="R60" s="4"/>
      <c r="S60" s="4"/>
      <c r="U60" s="9"/>
      <c r="X60" s="4"/>
      <c r="Y60" s="4"/>
      <c r="Z60" s="4"/>
      <c r="AA60" s="4"/>
      <c r="AB60" s="4"/>
      <c r="AC60" s="7"/>
      <c r="AD60" s="4"/>
      <c r="AE60" s="4"/>
      <c r="AF60" s="21"/>
    </row>
    <row r="61" spans="4:32" x14ac:dyDescent="0.25">
      <c r="D61" s="1"/>
      <c r="E61" s="2"/>
      <c r="F61" s="3"/>
      <c r="G61" s="3"/>
      <c r="H61" s="3"/>
      <c r="J61" s="3"/>
      <c r="K61" s="3"/>
      <c r="L61" s="4"/>
      <c r="M61" s="4"/>
      <c r="N61" s="3"/>
      <c r="O61" s="3"/>
      <c r="P61" s="4"/>
      <c r="Q61" s="4"/>
      <c r="R61" s="4"/>
      <c r="S61" s="4"/>
      <c r="U61" s="9"/>
      <c r="X61" s="4"/>
      <c r="Y61" s="4"/>
      <c r="Z61" s="4"/>
      <c r="AA61" s="4"/>
      <c r="AB61" s="4"/>
      <c r="AC61" s="7"/>
      <c r="AD61" s="4"/>
      <c r="AE61" s="4"/>
      <c r="AF61" s="21"/>
    </row>
    <row r="62" spans="4:32" x14ac:dyDescent="0.25">
      <c r="D62" s="1"/>
      <c r="E62" s="2"/>
      <c r="F62" s="3"/>
      <c r="G62" s="3"/>
      <c r="H62" s="3"/>
      <c r="J62" s="3"/>
      <c r="K62" s="3"/>
      <c r="L62" s="4"/>
      <c r="M62" s="4"/>
      <c r="N62" s="3"/>
      <c r="O62" s="3"/>
      <c r="P62" s="4"/>
      <c r="Q62" s="4"/>
      <c r="R62" s="4"/>
      <c r="S62" s="4"/>
      <c r="U62" s="9"/>
      <c r="X62" s="4"/>
      <c r="Y62" s="4"/>
      <c r="Z62" s="4"/>
      <c r="AA62" s="4"/>
      <c r="AB62" s="4"/>
      <c r="AC62" s="7"/>
      <c r="AD62" s="4"/>
      <c r="AE62" s="4"/>
      <c r="AF62" s="21"/>
    </row>
    <row r="63" spans="4:32" x14ac:dyDescent="0.25">
      <c r="D63" s="1"/>
      <c r="E63" s="2"/>
      <c r="F63" s="3"/>
      <c r="G63" s="3"/>
      <c r="H63" s="3"/>
      <c r="J63" s="3"/>
      <c r="K63" s="3"/>
      <c r="L63" s="4"/>
      <c r="M63" s="4"/>
      <c r="N63" s="3"/>
      <c r="O63" s="3"/>
      <c r="P63" s="4"/>
      <c r="Q63" s="4"/>
      <c r="R63" s="4"/>
      <c r="S63" s="4"/>
      <c r="U63" s="9"/>
      <c r="X63" s="4"/>
      <c r="Y63" s="4"/>
      <c r="Z63" s="4"/>
      <c r="AA63" s="4"/>
      <c r="AB63" s="4"/>
      <c r="AC63" s="7"/>
      <c r="AD63" s="4"/>
      <c r="AE63" s="4"/>
      <c r="AF63" s="21"/>
    </row>
    <row r="64" spans="4:32" x14ac:dyDescent="0.25">
      <c r="D64" s="1"/>
      <c r="E64" s="2"/>
      <c r="F64" s="3"/>
      <c r="G64" s="3"/>
      <c r="H64" s="3"/>
      <c r="J64" s="3"/>
      <c r="K64" s="3"/>
      <c r="L64" s="4"/>
      <c r="M64" s="4"/>
      <c r="N64" s="3"/>
      <c r="O64" s="3"/>
      <c r="P64" s="4"/>
      <c r="Q64" s="4"/>
      <c r="R64" s="4"/>
      <c r="S64" s="4"/>
      <c r="U64" s="9"/>
      <c r="X64" s="4"/>
      <c r="Y64" s="4"/>
      <c r="Z64" s="4"/>
      <c r="AA64" s="4"/>
      <c r="AB64" s="4"/>
      <c r="AC64" s="7"/>
      <c r="AD64" s="4"/>
      <c r="AE64" s="4"/>
      <c r="AF64" s="21"/>
    </row>
    <row r="65" spans="4:32" x14ac:dyDescent="0.25">
      <c r="D65" s="1"/>
      <c r="E65" s="2"/>
      <c r="F65" s="3"/>
      <c r="G65" s="3"/>
      <c r="H65" s="3"/>
      <c r="J65" s="3"/>
      <c r="K65" s="3"/>
      <c r="L65" s="4"/>
      <c r="M65" s="4"/>
      <c r="N65" s="3"/>
      <c r="O65" s="3"/>
      <c r="P65" s="4"/>
      <c r="Q65" s="4"/>
      <c r="R65" s="4"/>
      <c r="S65" s="4"/>
      <c r="U65" s="9"/>
      <c r="X65" s="4"/>
      <c r="Y65" s="4"/>
      <c r="Z65" s="4"/>
      <c r="AA65" s="4"/>
      <c r="AB65" s="4"/>
      <c r="AC65" s="7"/>
      <c r="AD65" s="4"/>
      <c r="AE65" s="4"/>
      <c r="AF65" s="21"/>
    </row>
    <row r="66" spans="4:32" x14ac:dyDescent="0.25">
      <c r="D66" s="1"/>
      <c r="E66" s="2"/>
      <c r="F66" s="3"/>
      <c r="G66" s="3"/>
      <c r="H66" s="3"/>
      <c r="J66" s="3"/>
      <c r="K66" s="3"/>
      <c r="L66" s="4"/>
      <c r="M66" s="4"/>
      <c r="N66" s="3"/>
      <c r="O66" s="3"/>
      <c r="P66" s="4"/>
      <c r="Q66" s="4"/>
      <c r="R66" s="4"/>
      <c r="S66" s="4"/>
      <c r="U66" s="9"/>
      <c r="X66" s="4"/>
      <c r="Y66" s="4"/>
      <c r="Z66" s="4"/>
      <c r="AA66" s="4"/>
      <c r="AB66" s="4"/>
      <c r="AC66" s="7"/>
      <c r="AD66" s="4"/>
      <c r="AE66" s="4"/>
      <c r="AF66" s="21"/>
    </row>
    <row r="67" spans="4:32" x14ac:dyDescent="0.25">
      <c r="D67" s="1"/>
      <c r="E67" s="2"/>
      <c r="F67" s="3"/>
      <c r="G67" s="3"/>
      <c r="H67" s="3"/>
      <c r="J67" s="3"/>
      <c r="K67" s="3"/>
      <c r="L67" s="4"/>
      <c r="M67" s="4"/>
      <c r="N67" s="3"/>
      <c r="O67" s="3"/>
      <c r="P67" s="4"/>
      <c r="Q67" s="4"/>
      <c r="R67" s="4"/>
      <c r="S67" s="4"/>
      <c r="U67" s="9"/>
      <c r="X67" s="4"/>
      <c r="Y67" s="4"/>
      <c r="Z67" s="4"/>
      <c r="AA67" s="4"/>
      <c r="AB67" s="4"/>
      <c r="AC67" s="7"/>
      <c r="AD67" s="4"/>
      <c r="AE67" s="4"/>
      <c r="AF67" s="21"/>
    </row>
    <row r="68" spans="4:32" x14ac:dyDescent="0.25">
      <c r="D68" s="1"/>
      <c r="E68" s="2"/>
      <c r="F68" s="3"/>
      <c r="G68" s="3"/>
      <c r="H68" s="3"/>
      <c r="J68" s="3"/>
      <c r="K68" s="3"/>
      <c r="L68" s="4"/>
      <c r="M68" s="4"/>
      <c r="N68" s="3"/>
      <c r="O68" s="3"/>
      <c r="P68" s="4"/>
      <c r="Q68" s="4"/>
      <c r="R68" s="4"/>
      <c r="S68" s="4"/>
      <c r="U68" s="9"/>
      <c r="X68" s="4"/>
      <c r="Y68" s="4"/>
      <c r="Z68" s="4"/>
      <c r="AA68" s="4"/>
      <c r="AB68" s="4"/>
      <c r="AC68" s="7"/>
      <c r="AD68" s="4"/>
      <c r="AE68" s="4"/>
      <c r="AF68" s="21"/>
    </row>
    <row r="69" spans="4:32" x14ac:dyDescent="0.25">
      <c r="D69" s="1"/>
      <c r="E69" s="2"/>
      <c r="F69" s="3"/>
      <c r="G69" s="3"/>
      <c r="H69" s="3"/>
      <c r="J69" s="3"/>
      <c r="K69" s="3"/>
      <c r="L69" s="4"/>
      <c r="M69" s="4"/>
      <c r="N69" s="3"/>
      <c r="O69" s="3"/>
      <c r="P69" s="4"/>
      <c r="Q69" s="4"/>
      <c r="R69" s="4"/>
      <c r="S69" s="4"/>
      <c r="U69" s="9"/>
      <c r="X69" s="4"/>
      <c r="Y69" s="4"/>
      <c r="Z69" s="4"/>
      <c r="AA69" s="4"/>
      <c r="AB69" s="4"/>
      <c r="AC69" s="7"/>
      <c r="AD69" s="4"/>
      <c r="AE69" s="4"/>
      <c r="AF69" s="21"/>
    </row>
    <row r="70" spans="4:32" x14ac:dyDescent="0.25">
      <c r="D70" s="1"/>
      <c r="E70" s="2"/>
      <c r="F70" s="3"/>
      <c r="G70" s="3"/>
      <c r="H70" s="3"/>
      <c r="J70" s="3"/>
      <c r="K70" s="3"/>
      <c r="L70" s="4"/>
      <c r="M70" s="4"/>
      <c r="N70" s="3"/>
      <c r="O70" s="3"/>
      <c r="P70" s="4"/>
      <c r="Q70" s="4"/>
      <c r="R70" s="4"/>
      <c r="S70" s="4"/>
      <c r="U70" s="9"/>
      <c r="X70" s="4"/>
      <c r="Y70" s="4"/>
      <c r="Z70" s="4"/>
      <c r="AA70" s="4"/>
      <c r="AB70" s="4"/>
      <c r="AC70" s="7"/>
      <c r="AD70" s="4"/>
      <c r="AE70" s="4"/>
      <c r="AF70" s="21"/>
    </row>
    <row r="71" spans="4:32" x14ac:dyDescent="0.25">
      <c r="D71" s="1"/>
      <c r="E71" s="2"/>
      <c r="F71" s="3"/>
      <c r="G71" s="3"/>
      <c r="H71" s="3"/>
      <c r="J71" s="3"/>
      <c r="K71" s="3"/>
      <c r="L71" s="4"/>
      <c r="M71" s="4"/>
      <c r="N71" s="3"/>
      <c r="O71" s="3"/>
      <c r="P71" s="4"/>
      <c r="Q71" s="4"/>
      <c r="R71" s="4"/>
      <c r="S71" s="4"/>
      <c r="U71" s="9"/>
      <c r="X71" s="4"/>
      <c r="Y71" s="4"/>
      <c r="Z71" s="4"/>
      <c r="AA71" s="4"/>
      <c r="AB71" s="4"/>
      <c r="AC71" s="7"/>
      <c r="AD71" s="4"/>
      <c r="AE71" s="4"/>
      <c r="AF71" s="21"/>
    </row>
    <row r="72" spans="4:32" x14ac:dyDescent="0.25">
      <c r="D72" s="1"/>
      <c r="E72" s="2"/>
      <c r="F72" s="3"/>
      <c r="G72" s="3"/>
      <c r="H72" s="3"/>
      <c r="J72" s="3"/>
      <c r="K72" s="3"/>
      <c r="L72" s="4"/>
      <c r="M72" s="4"/>
      <c r="N72" s="3"/>
      <c r="O72" s="3"/>
      <c r="P72" s="4"/>
      <c r="Q72" s="4"/>
      <c r="R72" s="4"/>
      <c r="S72" s="4"/>
      <c r="U72" s="9"/>
      <c r="X72" s="4"/>
      <c r="Y72" s="4"/>
      <c r="Z72" s="4"/>
      <c r="AA72" s="4"/>
      <c r="AB72" s="4"/>
      <c r="AC72" s="7"/>
      <c r="AD72" s="4"/>
      <c r="AE72" s="4"/>
      <c r="AF72" s="21"/>
    </row>
    <row r="73" spans="4:32" x14ac:dyDescent="0.25">
      <c r="D73" s="1"/>
      <c r="E73" s="2"/>
      <c r="F73" s="3"/>
      <c r="G73" s="3"/>
      <c r="H73" s="3"/>
      <c r="J73" s="3"/>
      <c r="K73" s="3"/>
      <c r="L73" s="4"/>
      <c r="M73" s="4"/>
      <c r="N73" s="3"/>
      <c r="O73" s="3"/>
      <c r="P73" s="4"/>
      <c r="Q73" s="4"/>
      <c r="R73" s="4"/>
      <c r="S73" s="4"/>
      <c r="U73" s="9"/>
      <c r="X73" s="4"/>
      <c r="Y73" s="4"/>
      <c r="Z73" s="4"/>
      <c r="AA73" s="4"/>
      <c r="AB73" s="4"/>
      <c r="AC73" s="7"/>
      <c r="AD73" s="4"/>
      <c r="AE73" s="4"/>
      <c r="AF73" s="21"/>
    </row>
    <row r="74" spans="4:32" x14ac:dyDescent="0.25">
      <c r="D74" s="1"/>
      <c r="E74" s="2"/>
      <c r="F74" s="3"/>
      <c r="G74" s="3"/>
      <c r="H74" s="3"/>
      <c r="J74" s="3"/>
      <c r="K74" s="3"/>
      <c r="L74" s="4"/>
      <c r="M74" s="4"/>
      <c r="N74" s="3"/>
      <c r="O74" s="3"/>
      <c r="P74" s="4"/>
      <c r="Q74" s="4"/>
      <c r="R74" s="4"/>
      <c r="S74" s="4"/>
      <c r="U74" s="9"/>
      <c r="X74" s="4"/>
      <c r="Y74" s="4"/>
      <c r="Z74" s="4"/>
      <c r="AA74" s="4"/>
      <c r="AB74" s="4"/>
      <c r="AC74" s="7"/>
      <c r="AD74" s="4"/>
      <c r="AE74" s="4"/>
      <c r="AF74" s="21"/>
    </row>
    <row r="75" spans="4:32" x14ac:dyDescent="0.25">
      <c r="D75" s="1"/>
      <c r="E75" s="2"/>
      <c r="F75" s="3"/>
      <c r="G75" s="3"/>
      <c r="H75" s="3"/>
      <c r="J75" s="3"/>
      <c r="K75" s="3"/>
      <c r="L75" s="4"/>
      <c r="M75" s="4"/>
      <c r="N75" s="3"/>
      <c r="O75" s="3"/>
      <c r="P75" s="4"/>
      <c r="Q75" s="4"/>
      <c r="R75" s="4"/>
      <c r="S75" s="4"/>
      <c r="U75" s="9"/>
      <c r="X75" s="4"/>
      <c r="Y75" s="4"/>
      <c r="Z75" s="4"/>
      <c r="AA75" s="4"/>
      <c r="AB75" s="4"/>
      <c r="AC75" s="7"/>
      <c r="AD75" s="4"/>
      <c r="AE75" s="4"/>
      <c r="AF75" s="21"/>
    </row>
    <row r="76" spans="4:32" x14ac:dyDescent="0.25">
      <c r="D76" s="1"/>
      <c r="E76" s="2"/>
      <c r="F76" s="3"/>
      <c r="G76" s="3"/>
      <c r="H76" s="3"/>
      <c r="J76" s="3"/>
      <c r="K76" s="3"/>
      <c r="L76" s="4"/>
      <c r="M76" s="4"/>
      <c r="N76" s="3"/>
      <c r="O76" s="3"/>
      <c r="P76" s="4"/>
      <c r="Q76" s="4"/>
      <c r="R76" s="4"/>
      <c r="S76" s="4"/>
      <c r="U76" s="9"/>
      <c r="X76" s="4"/>
      <c r="Y76" s="4"/>
      <c r="Z76" s="4"/>
      <c r="AA76" s="4"/>
      <c r="AB76" s="4"/>
      <c r="AC76" s="7"/>
      <c r="AD76" s="4"/>
      <c r="AE76" s="4"/>
      <c r="AF76" s="21"/>
    </row>
    <row r="77" spans="4:32" x14ac:dyDescent="0.25">
      <c r="D77" s="1"/>
      <c r="E77" s="2"/>
      <c r="F77" s="3"/>
      <c r="G77" s="3"/>
      <c r="H77" s="3"/>
      <c r="J77" s="3"/>
      <c r="K77" s="3"/>
      <c r="L77" s="4"/>
      <c r="M77" s="4"/>
      <c r="N77" s="3"/>
      <c r="O77" s="3"/>
      <c r="P77" s="4"/>
      <c r="Q77" s="4"/>
      <c r="R77" s="4"/>
      <c r="S77" s="4"/>
      <c r="U77" s="9"/>
      <c r="X77" s="4"/>
      <c r="Y77" s="4"/>
      <c r="Z77" s="4"/>
      <c r="AA77" s="4"/>
      <c r="AB77" s="4"/>
      <c r="AC77" s="7"/>
      <c r="AD77" s="4"/>
      <c r="AE77" s="4"/>
      <c r="AF77" s="21"/>
    </row>
    <row r="78" spans="4:32" x14ac:dyDescent="0.25">
      <c r="D78" s="1"/>
      <c r="E78" s="2"/>
      <c r="F78" s="3"/>
      <c r="G78" s="3"/>
      <c r="H78" s="3"/>
      <c r="J78" s="3"/>
      <c r="K78" s="3"/>
      <c r="L78" s="4"/>
      <c r="M78" s="4"/>
      <c r="N78" s="3"/>
      <c r="O78" s="3"/>
      <c r="P78" s="4"/>
      <c r="Q78" s="4"/>
      <c r="R78" s="4"/>
      <c r="S78" s="4"/>
      <c r="U78" s="9"/>
      <c r="X78" s="4"/>
      <c r="Y78" s="4"/>
      <c r="Z78" s="4"/>
      <c r="AA78" s="4"/>
      <c r="AB78" s="4"/>
      <c r="AC78" s="7"/>
      <c r="AD78" s="4"/>
      <c r="AE78" s="4"/>
      <c r="AF78" s="21"/>
    </row>
    <row r="79" spans="4:32" x14ac:dyDescent="0.25">
      <c r="D79" s="1"/>
      <c r="E79" s="2"/>
      <c r="F79" s="3"/>
      <c r="G79" s="3"/>
      <c r="H79" s="3"/>
      <c r="J79" s="3"/>
      <c r="K79" s="3"/>
      <c r="L79" s="4"/>
      <c r="M79" s="4"/>
      <c r="N79" s="3"/>
      <c r="O79" s="3"/>
      <c r="P79" s="4"/>
      <c r="Q79" s="4"/>
      <c r="R79" s="4"/>
      <c r="S79" s="4"/>
      <c r="U79" s="9"/>
      <c r="X79" s="4"/>
      <c r="Y79" s="4"/>
      <c r="Z79" s="4"/>
      <c r="AA79" s="4"/>
      <c r="AB79" s="4"/>
      <c r="AC79" s="7"/>
      <c r="AD79" s="4"/>
      <c r="AE79" s="4"/>
      <c r="AF79" s="21"/>
    </row>
    <row r="80" spans="4:32" x14ac:dyDescent="0.25">
      <c r="D80" s="1"/>
      <c r="E80" s="2"/>
      <c r="F80" s="3"/>
      <c r="G80" s="3"/>
      <c r="H80" s="3"/>
      <c r="J80" s="3"/>
      <c r="K80" s="3"/>
      <c r="L80" s="4"/>
      <c r="M80" s="4"/>
      <c r="N80" s="3"/>
      <c r="O80" s="3"/>
      <c r="P80" s="4"/>
      <c r="Q80" s="4"/>
      <c r="R80" s="4"/>
      <c r="S80" s="4"/>
      <c r="U80" s="9"/>
      <c r="X80" s="4"/>
      <c r="Y80" s="4"/>
      <c r="Z80" s="4"/>
      <c r="AA80" s="4"/>
      <c r="AB80" s="4"/>
      <c r="AC80" s="7"/>
      <c r="AD80" s="4"/>
      <c r="AE80" s="4"/>
      <c r="AF80" s="21"/>
    </row>
    <row r="81" spans="4:32" x14ac:dyDescent="0.25">
      <c r="D81" s="1"/>
      <c r="E81" s="2"/>
      <c r="F81" s="3"/>
      <c r="G81" s="3"/>
      <c r="H81" s="3"/>
      <c r="J81" s="3"/>
      <c r="K81" s="3"/>
      <c r="L81" s="4"/>
      <c r="M81" s="4"/>
      <c r="N81" s="3"/>
      <c r="O81" s="3"/>
      <c r="P81" s="4"/>
      <c r="Q81" s="4"/>
      <c r="R81" s="4"/>
      <c r="S81" s="4"/>
      <c r="U81" s="9"/>
      <c r="X81" s="4"/>
      <c r="Y81" s="4"/>
      <c r="Z81" s="4"/>
      <c r="AA81" s="4"/>
      <c r="AB81" s="4"/>
      <c r="AC81" s="7"/>
      <c r="AD81" s="4"/>
      <c r="AE81" s="4"/>
      <c r="AF81" s="21"/>
    </row>
    <row r="82" spans="4:32" x14ac:dyDescent="0.25">
      <c r="D82" s="1"/>
      <c r="E82" s="2"/>
      <c r="F82" s="3"/>
      <c r="G82" s="3"/>
      <c r="H82" s="3"/>
      <c r="J82" s="3"/>
      <c r="K82" s="3"/>
      <c r="L82" s="4"/>
      <c r="M82" s="4"/>
      <c r="N82" s="3"/>
      <c r="O82" s="3"/>
      <c r="P82" s="4"/>
      <c r="Q82" s="4"/>
      <c r="R82" s="4"/>
      <c r="S82" s="4"/>
      <c r="U82" s="9"/>
      <c r="X82" s="4"/>
      <c r="Y82" s="4"/>
      <c r="Z82" s="4"/>
      <c r="AA82" s="4"/>
      <c r="AB82" s="4"/>
      <c r="AC82" s="7"/>
      <c r="AD82" s="4"/>
      <c r="AE82" s="4"/>
      <c r="AF82" s="21"/>
    </row>
    <row r="83" spans="4:32" x14ac:dyDescent="0.25">
      <c r="D83" s="1"/>
      <c r="E83" s="2"/>
      <c r="F83" s="3"/>
      <c r="G83" s="3"/>
      <c r="H83" s="3"/>
      <c r="J83" s="3"/>
      <c r="K83" s="3"/>
      <c r="L83" s="4"/>
      <c r="M83" s="4"/>
      <c r="N83" s="3"/>
      <c r="O83" s="3"/>
      <c r="P83" s="4"/>
      <c r="Q83" s="4"/>
      <c r="R83" s="4"/>
      <c r="S83" s="4"/>
      <c r="U83" s="9"/>
      <c r="X83" s="4"/>
      <c r="Y83" s="4"/>
      <c r="Z83" s="4"/>
      <c r="AA83" s="4"/>
      <c r="AB83" s="4"/>
      <c r="AC83" s="7"/>
      <c r="AD83" s="4"/>
      <c r="AE83" s="4"/>
      <c r="AF83" s="21"/>
    </row>
    <row r="84" spans="4:32" x14ac:dyDescent="0.25">
      <c r="D84" s="1"/>
      <c r="E84" s="2"/>
      <c r="F84" s="3"/>
      <c r="G84" s="3"/>
      <c r="H84" s="3"/>
      <c r="J84" s="3"/>
      <c r="K84" s="3"/>
      <c r="L84" s="4"/>
      <c r="M84" s="4"/>
      <c r="N84" s="3"/>
      <c r="O84" s="3"/>
      <c r="P84" s="4"/>
      <c r="Q84" s="4"/>
      <c r="R84" s="4"/>
      <c r="S84" s="4"/>
      <c r="U84" s="9"/>
      <c r="X84" s="4"/>
      <c r="Y84" s="4"/>
      <c r="Z84" s="4"/>
      <c r="AA84" s="4"/>
      <c r="AB84" s="4"/>
      <c r="AC84" s="7"/>
      <c r="AD84" s="4"/>
      <c r="AE84" s="4"/>
      <c r="AF84" s="21"/>
    </row>
    <row r="85" spans="4:32" x14ac:dyDescent="0.25">
      <c r="D85" s="1"/>
      <c r="E85" s="2"/>
      <c r="F85" s="3"/>
      <c r="G85" s="3"/>
      <c r="H85" s="3"/>
      <c r="J85" s="3"/>
      <c r="K85" s="3"/>
      <c r="L85" s="4"/>
      <c r="M85" s="4"/>
      <c r="N85" s="3"/>
      <c r="O85" s="3"/>
      <c r="P85" s="4"/>
      <c r="Q85" s="4"/>
      <c r="R85" s="4"/>
      <c r="S85" s="4"/>
      <c r="U85" s="9"/>
      <c r="X85" s="4"/>
      <c r="Y85" s="4"/>
      <c r="Z85" s="4"/>
      <c r="AA85" s="4"/>
      <c r="AB85" s="4"/>
      <c r="AC85" s="7"/>
      <c r="AD85" s="4"/>
      <c r="AE85" s="4"/>
      <c r="AF85" s="21"/>
    </row>
    <row r="86" spans="4:32" x14ac:dyDescent="0.25">
      <c r="D86" s="1"/>
      <c r="E86" s="2"/>
      <c r="F86" s="3"/>
      <c r="G86" s="3"/>
      <c r="H86" s="3"/>
      <c r="J86" s="3"/>
      <c r="K86" s="3"/>
      <c r="L86" s="4"/>
      <c r="M86" s="4"/>
      <c r="N86" s="3"/>
      <c r="O86" s="3"/>
      <c r="P86" s="4"/>
      <c r="Q86" s="4"/>
      <c r="R86" s="4"/>
      <c r="S86" s="4"/>
      <c r="U86" s="9"/>
      <c r="X86" s="4"/>
      <c r="Y86" s="4"/>
      <c r="Z86" s="4"/>
      <c r="AA86" s="4"/>
      <c r="AB86" s="4"/>
      <c r="AC86" s="7"/>
      <c r="AD86" s="4"/>
      <c r="AE86" s="4"/>
      <c r="AF86" s="21"/>
    </row>
    <row r="87" spans="4:32" x14ac:dyDescent="0.25">
      <c r="D87" s="1"/>
      <c r="E87" s="2"/>
      <c r="F87" s="3"/>
      <c r="G87" s="3"/>
      <c r="H87" s="3"/>
      <c r="J87" s="3"/>
      <c r="K87" s="3"/>
      <c r="L87" s="4"/>
      <c r="M87" s="4"/>
      <c r="N87" s="3"/>
      <c r="O87" s="3"/>
      <c r="P87" s="4"/>
      <c r="Q87" s="4"/>
      <c r="R87" s="4"/>
      <c r="S87" s="4"/>
      <c r="U87" s="9"/>
      <c r="X87" s="4"/>
      <c r="Y87" s="4"/>
      <c r="Z87" s="4"/>
      <c r="AA87" s="4"/>
      <c r="AB87" s="4"/>
      <c r="AC87" s="7"/>
      <c r="AD87" s="4"/>
      <c r="AE87" s="4"/>
      <c r="AF87" s="21"/>
    </row>
    <row r="88" spans="4:32" x14ac:dyDescent="0.25">
      <c r="D88" s="1"/>
      <c r="E88" s="2"/>
      <c r="F88" s="3"/>
      <c r="G88" s="3"/>
      <c r="H88" s="3"/>
      <c r="J88" s="3"/>
      <c r="K88" s="3"/>
      <c r="L88" s="4"/>
      <c r="M88" s="4"/>
      <c r="N88" s="3"/>
      <c r="O88" s="3"/>
      <c r="P88" s="4"/>
      <c r="Q88" s="4"/>
      <c r="R88" s="4"/>
      <c r="S88" s="4"/>
      <c r="U88" s="9"/>
      <c r="X88" s="4"/>
      <c r="Y88" s="4"/>
      <c r="Z88" s="4"/>
      <c r="AA88" s="4"/>
      <c r="AB88" s="4"/>
      <c r="AC88" s="7"/>
      <c r="AD88" s="4"/>
      <c r="AE88" s="4"/>
      <c r="AF88" s="21"/>
    </row>
    <row r="89" spans="4:32" x14ac:dyDescent="0.25">
      <c r="D89" s="1"/>
      <c r="E89" s="2"/>
      <c r="F89" s="3"/>
      <c r="G89" s="3"/>
      <c r="H89" s="3"/>
      <c r="J89" s="3"/>
      <c r="K89" s="3"/>
      <c r="L89" s="4"/>
      <c r="M89" s="4"/>
      <c r="N89" s="3"/>
      <c r="O89" s="3"/>
      <c r="P89" s="4"/>
      <c r="Q89" s="4"/>
      <c r="R89" s="4"/>
      <c r="S89" s="4"/>
      <c r="U89" s="9"/>
      <c r="X89" s="4"/>
      <c r="Y89" s="4"/>
      <c r="Z89" s="4"/>
      <c r="AA89" s="4"/>
      <c r="AB89" s="4"/>
      <c r="AC89" s="7"/>
      <c r="AD89" s="4"/>
      <c r="AE89" s="4"/>
      <c r="AF89" s="21"/>
    </row>
    <row r="90" spans="4:32" x14ac:dyDescent="0.25">
      <c r="D90" s="1"/>
      <c r="E90" s="2"/>
      <c r="F90" s="3"/>
      <c r="G90" s="3"/>
      <c r="H90" s="3"/>
      <c r="J90" s="3"/>
      <c r="K90" s="3"/>
      <c r="L90" s="4"/>
      <c r="M90" s="4"/>
      <c r="N90" s="3"/>
      <c r="O90" s="3"/>
      <c r="P90" s="4"/>
      <c r="Q90" s="4"/>
      <c r="R90" s="4"/>
      <c r="S90" s="4"/>
      <c r="U90" s="9"/>
      <c r="X90" s="4"/>
      <c r="Y90" s="4"/>
      <c r="Z90" s="4"/>
      <c r="AA90" s="4"/>
      <c r="AB90" s="4"/>
      <c r="AC90" s="7"/>
      <c r="AD90" s="4"/>
      <c r="AE90" s="4"/>
      <c r="AF90" s="21"/>
    </row>
    <row r="91" spans="4:32" x14ac:dyDescent="0.25">
      <c r="D91" s="1"/>
      <c r="E91" s="2"/>
      <c r="F91" s="3"/>
      <c r="G91" s="3"/>
      <c r="H91" s="3"/>
      <c r="J91" s="3"/>
      <c r="K91" s="3"/>
      <c r="L91" s="4"/>
      <c r="M91" s="4"/>
      <c r="N91" s="3"/>
      <c r="O91" s="3"/>
      <c r="P91" s="4"/>
      <c r="Q91" s="4"/>
      <c r="R91" s="4"/>
      <c r="S91" s="4"/>
      <c r="U91" s="9"/>
      <c r="X91" s="4"/>
      <c r="Y91" s="4"/>
      <c r="Z91" s="4"/>
      <c r="AA91" s="4"/>
      <c r="AB91" s="4"/>
      <c r="AC91" s="7"/>
      <c r="AD91" s="4"/>
      <c r="AE91" s="4"/>
      <c r="AF91" s="21"/>
    </row>
    <row r="92" spans="4:32" x14ac:dyDescent="0.25">
      <c r="D92" s="1"/>
      <c r="E92" s="2"/>
      <c r="F92" s="3"/>
      <c r="G92" s="3"/>
      <c r="H92" s="3"/>
      <c r="J92" s="3"/>
      <c r="K92" s="3"/>
      <c r="L92" s="4"/>
      <c r="M92" s="4"/>
      <c r="N92" s="3"/>
      <c r="O92" s="3"/>
      <c r="P92" s="4"/>
      <c r="Q92" s="4"/>
      <c r="R92" s="4"/>
      <c r="S92" s="4"/>
      <c r="U92" s="9"/>
      <c r="X92" s="4"/>
      <c r="Y92" s="4"/>
      <c r="Z92" s="4"/>
      <c r="AA92" s="4"/>
      <c r="AB92" s="4"/>
      <c r="AC92" s="7"/>
      <c r="AD92" s="4"/>
      <c r="AE92" s="4"/>
      <c r="AF92" s="21"/>
    </row>
    <row r="93" spans="4:32" x14ac:dyDescent="0.25">
      <c r="D93" s="1"/>
      <c r="E93" s="2"/>
      <c r="F93" s="3"/>
      <c r="G93" s="3"/>
      <c r="H93" s="3"/>
      <c r="J93" s="3"/>
      <c r="K93" s="3"/>
      <c r="L93" s="4"/>
      <c r="M93" s="4"/>
      <c r="N93" s="3"/>
      <c r="O93" s="3"/>
      <c r="P93" s="4"/>
      <c r="Q93" s="4"/>
      <c r="R93" s="4"/>
      <c r="S93" s="4"/>
      <c r="U93" s="9"/>
      <c r="X93" s="4"/>
      <c r="Y93" s="4"/>
      <c r="Z93" s="4"/>
      <c r="AA93" s="4"/>
      <c r="AB93" s="4"/>
      <c r="AC93" s="7"/>
      <c r="AD93" s="4"/>
      <c r="AE93" s="4"/>
      <c r="AF93" s="21"/>
    </row>
    <row r="94" spans="4:32" x14ac:dyDescent="0.25">
      <c r="D94" s="1"/>
      <c r="E94" s="2"/>
      <c r="F94" s="3"/>
      <c r="G94" s="3"/>
      <c r="H94" s="3"/>
      <c r="J94" s="3"/>
      <c r="K94" s="3"/>
      <c r="L94" s="4"/>
      <c r="M94" s="4"/>
      <c r="N94" s="3"/>
      <c r="O94" s="3"/>
      <c r="P94" s="4"/>
      <c r="Q94" s="4"/>
      <c r="R94" s="4"/>
      <c r="S94" s="4"/>
      <c r="U94" s="9"/>
      <c r="X94" s="4"/>
      <c r="Y94" s="4"/>
      <c r="Z94" s="4"/>
      <c r="AA94" s="4"/>
      <c r="AB94" s="4"/>
      <c r="AC94" s="7"/>
      <c r="AD94" s="4"/>
      <c r="AE94" s="4"/>
      <c r="AF94" s="21"/>
    </row>
    <row r="95" spans="4:32" x14ac:dyDescent="0.25">
      <c r="D95" s="1"/>
      <c r="E95" s="2"/>
      <c r="F95" s="3"/>
      <c r="G95" s="3"/>
      <c r="H95" s="3"/>
      <c r="J95" s="3"/>
      <c r="K95" s="3"/>
      <c r="L95" s="4"/>
      <c r="M95" s="4"/>
      <c r="N95" s="3"/>
      <c r="O95" s="3"/>
      <c r="P95" s="4"/>
      <c r="Q95" s="4"/>
      <c r="R95" s="4"/>
      <c r="S95" s="4"/>
      <c r="U95" s="9"/>
      <c r="X95" s="4"/>
      <c r="Y95" s="4"/>
      <c r="Z95" s="4"/>
      <c r="AA95" s="4"/>
      <c r="AB95" s="4"/>
      <c r="AC95" s="7"/>
      <c r="AD95" s="4"/>
      <c r="AE95" s="4"/>
      <c r="AF95" s="21"/>
    </row>
    <row r="96" spans="4:32" x14ac:dyDescent="0.25">
      <c r="D96" s="1"/>
      <c r="E96" s="2"/>
      <c r="F96" s="3"/>
      <c r="G96" s="3"/>
      <c r="H96" s="3"/>
      <c r="J96" s="3"/>
      <c r="K96" s="3"/>
      <c r="L96" s="4"/>
      <c r="M96" s="4"/>
      <c r="N96" s="3"/>
      <c r="O96" s="3"/>
      <c r="P96" s="4"/>
      <c r="Q96" s="4"/>
      <c r="R96" s="4"/>
      <c r="S96" s="4"/>
      <c r="U96" s="9"/>
      <c r="X96" s="4"/>
      <c r="Y96" s="4"/>
      <c r="Z96" s="4"/>
      <c r="AA96" s="4"/>
      <c r="AB96" s="4"/>
      <c r="AC96" s="7"/>
      <c r="AD96" s="4"/>
      <c r="AE96" s="4"/>
      <c r="AF96" s="21"/>
    </row>
    <row r="97" spans="4:32" x14ac:dyDescent="0.25">
      <c r="D97" s="1"/>
      <c r="E97" s="2"/>
      <c r="F97" s="3"/>
      <c r="G97" s="3"/>
      <c r="H97" s="3"/>
      <c r="J97" s="3"/>
      <c r="K97" s="3"/>
      <c r="L97" s="4"/>
      <c r="M97" s="4"/>
      <c r="N97" s="3"/>
      <c r="O97" s="3"/>
      <c r="P97" s="4"/>
      <c r="Q97" s="4"/>
      <c r="R97" s="4"/>
      <c r="S97" s="4"/>
      <c r="U97" s="9"/>
      <c r="X97" s="4"/>
      <c r="Y97" s="4"/>
      <c r="Z97" s="4"/>
      <c r="AA97" s="4"/>
      <c r="AB97" s="4"/>
      <c r="AC97" s="7"/>
      <c r="AD97" s="4"/>
      <c r="AE97" s="4"/>
      <c r="AF97" s="21"/>
    </row>
    <row r="98" spans="4:32" x14ac:dyDescent="0.25">
      <c r="D98" s="1"/>
      <c r="E98" s="2"/>
      <c r="F98" s="3"/>
      <c r="G98" s="3"/>
      <c r="H98" s="3"/>
      <c r="J98" s="3"/>
      <c r="K98" s="3"/>
      <c r="L98" s="4"/>
      <c r="M98" s="4"/>
      <c r="N98" s="3"/>
      <c r="O98" s="3"/>
      <c r="P98" s="4"/>
      <c r="Q98" s="4"/>
      <c r="R98" s="4"/>
      <c r="S98" s="4"/>
      <c r="U98" s="9"/>
      <c r="X98" s="4"/>
      <c r="Y98" s="4"/>
      <c r="Z98" s="4"/>
      <c r="AA98" s="4"/>
      <c r="AB98" s="4"/>
      <c r="AC98" s="7"/>
      <c r="AD98" s="4"/>
      <c r="AE98" s="4"/>
      <c r="AF98" s="21"/>
    </row>
    <row r="99" spans="4:32" x14ac:dyDescent="0.25">
      <c r="D99" s="1"/>
      <c r="E99" s="2"/>
      <c r="F99" s="3"/>
      <c r="G99" s="3"/>
      <c r="H99" s="3"/>
      <c r="J99" s="3"/>
      <c r="K99" s="3"/>
      <c r="L99" s="4"/>
      <c r="M99" s="4"/>
      <c r="N99" s="3"/>
      <c r="O99" s="3"/>
      <c r="P99" s="4"/>
      <c r="Q99" s="4"/>
      <c r="R99" s="4"/>
      <c r="S99" s="4"/>
      <c r="U99" s="9"/>
      <c r="X99" s="4"/>
      <c r="Y99" s="4"/>
      <c r="Z99" s="4"/>
      <c r="AA99" s="4"/>
      <c r="AB99" s="4"/>
      <c r="AC99" s="7"/>
      <c r="AD99" s="4"/>
      <c r="AE99" s="4"/>
      <c r="AF99" s="21"/>
    </row>
    <row r="100" spans="4:32" x14ac:dyDescent="0.25">
      <c r="D100" s="1"/>
      <c r="E100" s="2"/>
      <c r="F100" s="3"/>
      <c r="G100" s="3"/>
      <c r="H100" s="3"/>
      <c r="J100" s="3"/>
      <c r="K100" s="3"/>
      <c r="L100" s="4"/>
      <c r="M100" s="4"/>
      <c r="N100" s="3"/>
      <c r="O100" s="3"/>
      <c r="P100" s="4"/>
      <c r="Q100" s="4"/>
      <c r="R100" s="4"/>
      <c r="S100" s="4"/>
      <c r="U100" s="9"/>
      <c r="X100" s="4"/>
      <c r="Y100" s="4"/>
      <c r="Z100" s="4"/>
      <c r="AA100" s="4"/>
      <c r="AB100" s="4"/>
      <c r="AC100" s="7"/>
      <c r="AD100" s="4"/>
      <c r="AE100" s="4"/>
      <c r="AF100" s="21"/>
    </row>
    <row r="101" spans="4:32" x14ac:dyDescent="0.25">
      <c r="D101" s="1"/>
      <c r="E101" s="2"/>
      <c r="F101" s="3"/>
      <c r="G101" s="3"/>
      <c r="H101" s="3"/>
      <c r="J101" s="3"/>
      <c r="K101" s="3"/>
      <c r="L101" s="4"/>
      <c r="M101" s="4"/>
      <c r="N101" s="3"/>
      <c r="O101" s="3"/>
      <c r="P101" s="4"/>
      <c r="Q101" s="4"/>
      <c r="R101" s="4"/>
      <c r="S101" s="4"/>
      <c r="U101" s="9"/>
      <c r="X101" s="4"/>
      <c r="Y101" s="4"/>
      <c r="Z101" s="4"/>
      <c r="AA101" s="4"/>
      <c r="AB101" s="4"/>
      <c r="AC101" s="7"/>
      <c r="AD101" s="4"/>
      <c r="AE101" s="4"/>
      <c r="AF101" s="21"/>
    </row>
    <row r="102" spans="4:32" x14ac:dyDescent="0.25">
      <c r="D102" s="1"/>
      <c r="E102" s="2"/>
      <c r="F102" s="3"/>
      <c r="G102" s="3"/>
      <c r="H102" s="3"/>
      <c r="J102" s="3"/>
      <c r="K102" s="3"/>
      <c r="L102" s="4"/>
      <c r="M102" s="4"/>
      <c r="N102" s="3"/>
      <c r="O102" s="3"/>
      <c r="P102" s="4"/>
      <c r="Q102" s="4"/>
      <c r="R102" s="4"/>
      <c r="S102" s="4"/>
      <c r="U102" s="9"/>
      <c r="X102" s="4"/>
      <c r="Y102" s="4"/>
      <c r="Z102" s="4"/>
      <c r="AA102" s="4"/>
      <c r="AB102" s="4"/>
      <c r="AC102" s="7"/>
      <c r="AD102" s="4"/>
      <c r="AE102" s="4"/>
      <c r="AF102" s="21"/>
    </row>
    <row r="103" spans="4:32" x14ac:dyDescent="0.25">
      <c r="D103" s="1"/>
      <c r="E103" s="2"/>
      <c r="F103" s="3"/>
      <c r="G103" s="3"/>
      <c r="H103" s="3"/>
      <c r="J103" s="3"/>
      <c r="K103" s="3"/>
      <c r="L103" s="4"/>
      <c r="M103" s="4"/>
      <c r="N103" s="3"/>
      <c r="O103" s="3"/>
      <c r="P103" s="4"/>
      <c r="Q103" s="4"/>
      <c r="R103" s="4"/>
      <c r="S103" s="4"/>
      <c r="U103" s="9"/>
      <c r="X103" s="4"/>
      <c r="Y103" s="4"/>
      <c r="Z103" s="4"/>
      <c r="AA103" s="4"/>
      <c r="AB103" s="4"/>
      <c r="AC103" s="7"/>
      <c r="AD103" s="4"/>
      <c r="AE103" s="4"/>
      <c r="AF103" s="21"/>
    </row>
    <row r="104" spans="4:32" x14ac:dyDescent="0.25">
      <c r="D104" s="1"/>
      <c r="E104" s="2"/>
      <c r="F104" s="3"/>
      <c r="G104" s="3"/>
      <c r="H104" s="3"/>
      <c r="J104" s="3"/>
      <c r="K104" s="3"/>
      <c r="L104" s="4"/>
      <c r="M104" s="4"/>
      <c r="N104" s="3"/>
      <c r="O104" s="3"/>
      <c r="P104" s="4"/>
      <c r="Q104" s="4"/>
      <c r="R104" s="4"/>
      <c r="S104" s="4"/>
      <c r="U104" s="9"/>
      <c r="X104" s="4"/>
      <c r="Y104" s="4"/>
      <c r="Z104" s="4"/>
      <c r="AA104" s="4"/>
      <c r="AB104" s="4"/>
      <c r="AC104" s="7"/>
      <c r="AD104" s="4"/>
      <c r="AE104" s="4"/>
      <c r="AF104" s="21"/>
    </row>
    <row r="105" spans="4:32" x14ac:dyDescent="0.25">
      <c r="D105" s="1"/>
      <c r="E105" s="2"/>
      <c r="F105" s="3"/>
      <c r="G105" s="3"/>
      <c r="H105" s="3"/>
      <c r="J105" s="3"/>
      <c r="K105" s="3"/>
      <c r="L105" s="4"/>
      <c r="M105" s="4"/>
      <c r="N105" s="3"/>
      <c r="O105" s="3"/>
      <c r="P105" s="4"/>
      <c r="Q105" s="4"/>
      <c r="R105" s="4"/>
      <c r="S105" s="4"/>
      <c r="U105" s="9"/>
      <c r="X105" s="4"/>
      <c r="Y105" s="4"/>
      <c r="Z105" s="4"/>
      <c r="AA105" s="4"/>
      <c r="AB105" s="4"/>
      <c r="AC105" s="7"/>
      <c r="AD105" s="4"/>
      <c r="AE105" s="4"/>
      <c r="AF105" s="21"/>
    </row>
    <row r="106" spans="4:32" x14ac:dyDescent="0.25">
      <c r="D106" s="1"/>
      <c r="E106" s="2"/>
      <c r="F106" s="3"/>
      <c r="G106" s="3"/>
      <c r="H106" s="3"/>
      <c r="J106" s="3"/>
      <c r="K106" s="3"/>
      <c r="L106" s="4"/>
      <c r="M106" s="4"/>
      <c r="N106" s="3"/>
      <c r="O106" s="3"/>
      <c r="P106" s="4"/>
      <c r="Q106" s="4"/>
      <c r="R106" s="4"/>
      <c r="S106" s="4"/>
      <c r="U106" s="9"/>
      <c r="X106" s="4"/>
      <c r="Y106" s="4"/>
      <c r="Z106" s="4"/>
      <c r="AA106" s="4"/>
      <c r="AB106" s="4"/>
      <c r="AC106" s="7"/>
      <c r="AD106" s="4"/>
      <c r="AE106" s="4"/>
      <c r="AF106" s="21"/>
    </row>
    <row r="107" spans="4:32" x14ac:dyDescent="0.25">
      <c r="D107" s="1"/>
      <c r="E107" s="2"/>
      <c r="F107" s="3"/>
      <c r="G107" s="3"/>
      <c r="H107" s="3"/>
      <c r="J107" s="3"/>
      <c r="K107" s="3"/>
      <c r="L107" s="4"/>
      <c r="M107" s="4"/>
      <c r="N107" s="3"/>
      <c r="O107" s="3"/>
      <c r="P107" s="4"/>
      <c r="Q107" s="4"/>
      <c r="R107" s="4"/>
      <c r="S107" s="4"/>
      <c r="U107" s="9"/>
      <c r="X107" s="4"/>
      <c r="Y107" s="4"/>
      <c r="Z107" s="4"/>
      <c r="AA107" s="4"/>
      <c r="AB107" s="4"/>
      <c r="AC107" s="7"/>
      <c r="AD107" s="4"/>
      <c r="AE107" s="4"/>
      <c r="AF107" s="21"/>
    </row>
    <row r="108" spans="4:32" x14ac:dyDescent="0.25">
      <c r="D108" s="1"/>
      <c r="E108" s="2"/>
      <c r="F108" s="3"/>
      <c r="G108" s="3"/>
      <c r="H108" s="3"/>
      <c r="J108" s="3"/>
      <c r="K108" s="3"/>
      <c r="L108" s="4"/>
      <c r="M108" s="4"/>
      <c r="N108" s="3"/>
      <c r="O108" s="3"/>
      <c r="P108" s="4"/>
      <c r="Q108" s="4"/>
      <c r="R108" s="4"/>
      <c r="S108" s="4"/>
      <c r="U108" s="9"/>
      <c r="X108" s="4"/>
      <c r="Y108" s="4"/>
      <c r="Z108" s="4"/>
      <c r="AA108" s="4"/>
      <c r="AB108" s="4"/>
      <c r="AC108" s="7"/>
      <c r="AD108" s="4"/>
      <c r="AE108" s="4"/>
      <c r="AF108" s="21"/>
    </row>
    <row r="109" spans="4:32" x14ac:dyDescent="0.25">
      <c r="D109" s="1"/>
      <c r="E109" s="2"/>
      <c r="F109" s="3"/>
      <c r="G109" s="3"/>
      <c r="H109" s="3"/>
      <c r="J109" s="3"/>
      <c r="K109" s="3"/>
      <c r="L109" s="4"/>
      <c r="M109" s="4"/>
      <c r="N109" s="3"/>
      <c r="O109" s="3"/>
      <c r="P109" s="4"/>
      <c r="Q109" s="4"/>
      <c r="R109" s="4"/>
      <c r="S109" s="4"/>
      <c r="U109" s="9"/>
      <c r="X109" s="4"/>
      <c r="Y109" s="4"/>
      <c r="Z109" s="4"/>
      <c r="AA109" s="4"/>
      <c r="AB109" s="4"/>
      <c r="AC109" s="7"/>
      <c r="AD109" s="4"/>
      <c r="AE109" s="4"/>
      <c r="AF109" s="21"/>
    </row>
    <row r="110" spans="4:32" x14ac:dyDescent="0.25">
      <c r="D110" s="1"/>
      <c r="E110" s="2"/>
      <c r="F110" s="3"/>
      <c r="G110" s="3"/>
      <c r="H110" s="3"/>
      <c r="J110" s="3"/>
      <c r="K110" s="3"/>
      <c r="L110" s="4"/>
      <c r="M110" s="4"/>
      <c r="N110" s="3"/>
      <c r="O110" s="3"/>
      <c r="P110" s="4"/>
      <c r="Q110" s="4"/>
      <c r="R110" s="4"/>
      <c r="S110" s="4"/>
      <c r="U110" s="9"/>
      <c r="X110" s="4"/>
      <c r="Y110" s="4"/>
      <c r="Z110" s="4"/>
      <c r="AA110" s="4"/>
      <c r="AB110" s="4"/>
      <c r="AC110" s="7"/>
      <c r="AD110" s="4"/>
      <c r="AE110" s="4"/>
      <c r="AF110" s="21"/>
    </row>
    <row r="111" spans="4:32" x14ac:dyDescent="0.25">
      <c r="D111" s="1"/>
      <c r="E111" s="2"/>
      <c r="F111" s="3"/>
      <c r="G111" s="3"/>
      <c r="H111" s="3"/>
      <c r="J111" s="3"/>
      <c r="K111" s="3"/>
      <c r="L111" s="4"/>
      <c r="M111" s="4"/>
      <c r="N111" s="3"/>
      <c r="O111" s="3"/>
      <c r="P111" s="4"/>
      <c r="Q111" s="4"/>
      <c r="R111" s="4"/>
      <c r="S111" s="4"/>
      <c r="U111" s="9"/>
      <c r="X111" s="4"/>
      <c r="Y111" s="4"/>
      <c r="Z111" s="4"/>
      <c r="AA111" s="4"/>
      <c r="AB111" s="4"/>
      <c r="AC111" s="7"/>
      <c r="AD111" s="4"/>
      <c r="AE111" s="4"/>
      <c r="AF111" s="21"/>
    </row>
    <row r="112" spans="4:32" x14ac:dyDescent="0.25">
      <c r="D112" s="1"/>
      <c r="E112" s="2"/>
      <c r="F112" s="3"/>
      <c r="G112" s="3"/>
      <c r="H112" s="3"/>
      <c r="J112" s="3"/>
      <c r="K112" s="3"/>
      <c r="L112" s="4"/>
      <c r="M112" s="4"/>
      <c r="N112" s="3"/>
      <c r="O112" s="3"/>
      <c r="P112" s="4"/>
      <c r="Q112" s="4"/>
      <c r="R112" s="4"/>
      <c r="S112" s="4"/>
      <c r="U112" s="9"/>
      <c r="X112" s="4"/>
      <c r="Y112" s="4"/>
      <c r="Z112" s="4"/>
      <c r="AA112" s="4"/>
      <c r="AB112" s="4"/>
      <c r="AC112" s="7"/>
      <c r="AD112" s="4"/>
      <c r="AE112" s="4"/>
      <c r="AF112" s="21"/>
    </row>
    <row r="113" spans="4:32" x14ac:dyDescent="0.25">
      <c r="D113" s="1"/>
      <c r="E113" s="2"/>
      <c r="F113" s="3"/>
      <c r="G113" s="3"/>
      <c r="H113" s="3"/>
      <c r="J113" s="3"/>
      <c r="K113" s="3"/>
      <c r="L113" s="4"/>
      <c r="M113" s="4"/>
      <c r="N113" s="3"/>
      <c r="O113" s="3"/>
      <c r="P113" s="4"/>
      <c r="Q113" s="4"/>
      <c r="R113" s="4"/>
      <c r="S113" s="4"/>
      <c r="U113" s="9"/>
      <c r="X113" s="4"/>
      <c r="Y113" s="4"/>
      <c r="Z113" s="4"/>
      <c r="AA113" s="4"/>
      <c r="AB113" s="4"/>
      <c r="AC113" s="7"/>
      <c r="AD113" s="4"/>
      <c r="AE113" s="4"/>
      <c r="AF113" s="21"/>
    </row>
    <row r="114" spans="4:32" x14ac:dyDescent="0.25">
      <c r="D114" s="1"/>
      <c r="E114" s="2"/>
      <c r="F114" s="3"/>
      <c r="G114" s="3"/>
      <c r="H114" s="3"/>
      <c r="J114" s="3"/>
      <c r="K114" s="3"/>
      <c r="L114" s="4"/>
      <c r="M114" s="4"/>
      <c r="N114" s="3"/>
      <c r="O114" s="3"/>
      <c r="P114" s="4"/>
      <c r="Q114" s="4"/>
      <c r="R114" s="4"/>
      <c r="S114" s="4"/>
      <c r="U114" s="9"/>
      <c r="X114" s="4"/>
      <c r="Y114" s="4"/>
      <c r="Z114" s="4"/>
      <c r="AA114" s="4"/>
      <c r="AB114" s="4"/>
      <c r="AC114" s="7"/>
      <c r="AD114" s="4"/>
      <c r="AE114" s="4"/>
      <c r="AF114" s="21"/>
    </row>
    <row r="115" spans="4:32" x14ac:dyDescent="0.25">
      <c r="D115" s="1"/>
      <c r="E115" s="2"/>
      <c r="F115" s="3"/>
      <c r="G115" s="3"/>
      <c r="H115" s="3"/>
      <c r="J115" s="3"/>
      <c r="K115" s="3"/>
      <c r="L115" s="4"/>
      <c r="M115" s="4"/>
      <c r="N115" s="3"/>
      <c r="O115" s="3"/>
      <c r="P115" s="4"/>
      <c r="Q115" s="4"/>
      <c r="R115" s="4"/>
      <c r="S115" s="4"/>
      <c r="U115" s="9"/>
      <c r="X115" s="4"/>
      <c r="Y115" s="4"/>
      <c r="Z115" s="4"/>
      <c r="AA115" s="4"/>
      <c r="AB115" s="4"/>
      <c r="AC115" s="7"/>
      <c r="AD115" s="4"/>
      <c r="AE115" s="4"/>
      <c r="AF115" s="21"/>
    </row>
    <row r="116" spans="4:32" x14ac:dyDescent="0.25">
      <c r="D116" s="1"/>
      <c r="E116" s="2"/>
      <c r="F116" s="3"/>
      <c r="G116" s="3"/>
      <c r="H116" s="3"/>
      <c r="J116" s="3"/>
      <c r="K116" s="3"/>
      <c r="L116" s="4"/>
      <c r="M116" s="4"/>
      <c r="N116" s="3"/>
      <c r="O116" s="3"/>
      <c r="P116" s="4"/>
      <c r="Q116" s="4"/>
      <c r="R116" s="4"/>
      <c r="S116" s="4"/>
      <c r="U116" s="9"/>
      <c r="X116" s="4"/>
      <c r="Y116" s="4"/>
      <c r="Z116" s="4"/>
      <c r="AA116" s="4"/>
      <c r="AB116" s="4"/>
      <c r="AC116" s="7"/>
      <c r="AD116" s="4"/>
      <c r="AE116" s="4"/>
      <c r="AF116" s="21"/>
    </row>
    <row r="117" spans="4:32" x14ac:dyDescent="0.25">
      <c r="D117" s="1"/>
      <c r="E117" s="2"/>
      <c r="F117" s="3"/>
      <c r="G117" s="3"/>
      <c r="H117" s="3"/>
      <c r="J117" s="3"/>
      <c r="K117" s="3"/>
      <c r="L117" s="4"/>
      <c r="M117" s="4"/>
      <c r="N117" s="3"/>
      <c r="O117" s="3"/>
      <c r="P117" s="4"/>
      <c r="Q117" s="4"/>
      <c r="R117" s="4"/>
      <c r="S117" s="4"/>
      <c r="U117" s="9"/>
      <c r="X117" s="4"/>
      <c r="Y117" s="4"/>
      <c r="Z117" s="4"/>
      <c r="AA117" s="4"/>
      <c r="AB117" s="4"/>
      <c r="AC117" s="7"/>
      <c r="AD117" s="4"/>
      <c r="AE117" s="4"/>
      <c r="AF117" s="21"/>
    </row>
    <row r="118" spans="4:32" x14ac:dyDescent="0.25">
      <c r="D118" s="1"/>
      <c r="E118" s="2"/>
      <c r="F118" s="3"/>
      <c r="G118" s="3"/>
      <c r="H118" s="3"/>
      <c r="J118" s="3"/>
      <c r="K118" s="3"/>
      <c r="L118" s="4"/>
      <c r="M118" s="4"/>
      <c r="N118" s="3"/>
      <c r="O118" s="3"/>
      <c r="P118" s="4"/>
      <c r="Q118" s="4"/>
      <c r="R118" s="4"/>
      <c r="S118" s="4"/>
      <c r="U118" s="9"/>
      <c r="X118" s="4"/>
      <c r="Y118" s="4"/>
      <c r="Z118" s="4"/>
      <c r="AA118" s="4"/>
      <c r="AB118" s="4"/>
      <c r="AC118" s="7"/>
      <c r="AD118" s="4"/>
      <c r="AE118" s="4"/>
      <c r="AF118" s="21"/>
    </row>
    <row r="119" spans="4:32" x14ac:dyDescent="0.25">
      <c r="D119" s="1"/>
      <c r="E119" s="2"/>
      <c r="F119" s="3"/>
      <c r="G119" s="3"/>
      <c r="H119" s="3"/>
      <c r="J119" s="3"/>
      <c r="K119" s="3"/>
      <c r="L119" s="4"/>
      <c r="M119" s="4"/>
      <c r="N119" s="3"/>
      <c r="O119" s="3"/>
      <c r="P119" s="4"/>
      <c r="Q119" s="4"/>
      <c r="R119" s="4"/>
      <c r="S119" s="4"/>
      <c r="U119" s="9"/>
      <c r="X119" s="4"/>
      <c r="Y119" s="4"/>
      <c r="Z119" s="4"/>
      <c r="AA119" s="4"/>
      <c r="AB119" s="4"/>
      <c r="AC119" s="7"/>
      <c r="AD119" s="4"/>
      <c r="AE119" s="4"/>
      <c r="AF119" s="21"/>
    </row>
    <row r="120" spans="4:32" x14ac:dyDescent="0.25">
      <c r="D120" s="1"/>
      <c r="E120" s="2"/>
      <c r="F120" s="3"/>
      <c r="G120" s="3"/>
      <c r="H120" s="3"/>
      <c r="J120" s="3"/>
      <c r="K120" s="3"/>
      <c r="L120" s="4"/>
      <c r="M120" s="4"/>
      <c r="N120" s="3"/>
      <c r="O120" s="3"/>
      <c r="P120" s="4"/>
      <c r="Q120" s="4"/>
      <c r="R120" s="4"/>
      <c r="S120" s="4"/>
      <c r="U120" s="9"/>
      <c r="X120" s="4"/>
      <c r="Y120" s="4"/>
      <c r="Z120" s="4"/>
      <c r="AA120" s="4"/>
      <c r="AB120" s="4"/>
      <c r="AC120" s="7"/>
      <c r="AD120" s="4"/>
      <c r="AE120" s="4"/>
      <c r="AF120" s="21"/>
    </row>
    <row r="121" spans="4:32" x14ac:dyDescent="0.25">
      <c r="D121" s="1"/>
      <c r="E121" s="2"/>
      <c r="F121" s="3"/>
      <c r="G121" s="3"/>
      <c r="H121" s="3"/>
      <c r="J121" s="3"/>
      <c r="K121" s="3"/>
      <c r="L121" s="4"/>
      <c r="M121" s="4"/>
      <c r="N121" s="3"/>
      <c r="O121" s="3"/>
      <c r="P121" s="4"/>
      <c r="Q121" s="4"/>
      <c r="R121" s="4"/>
      <c r="S121" s="4"/>
      <c r="U121" s="9"/>
      <c r="X121" s="4"/>
      <c r="Y121" s="4"/>
      <c r="Z121" s="4"/>
      <c r="AA121" s="4"/>
      <c r="AB121" s="4"/>
      <c r="AC121" s="7"/>
      <c r="AD121" s="4"/>
      <c r="AE121" s="4"/>
      <c r="AF121" s="21"/>
    </row>
    <row r="122" spans="4:32" x14ac:dyDescent="0.25">
      <c r="D122" s="1"/>
      <c r="E122" s="2"/>
      <c r="F122" s="3"/>
      <c r="G122" s="3"/>
      <c r="H122" s="3"/>
      <c r="J122" s="3"/>
      <c r="K122" s="3"/>
      <c r="L122" s="4"/>
      <c r="M122" s="4"/>
      <c r="N122" s="3"/>
      <c r="O122" s="3"/>
      <c r="P122" s="4"/>
      <c r="Q122" s="4"/>
      <c r="R122" s="4"/>
      <c r="S122" s="4"/>
      <c r="U122" s="9"/>
      <c r="X122" s="4"/>
      <c r="Y122" s="4"/>
      <c r="Z122" s="4"/>
      <c r="AA122" s="4"/>
      <c r="AB122" s="4"/>
      <c r="AC122" s="7"/>
      <c r="AD122" s="4"/>
      <c r="AE122" s="4"/>
      <c r="AF122" s="21"/>
    </row>
    <row r="123" spans="4:32" x14ac:dyDescent="0.25">
      <c r="D123" s="1"/>
      <c r="E123" s="2"/>
      <c r="F123" s="3"/>
      <c r="G123" s="3"/>
      <c r="H123" s="3"/>
      <c r="J123" s="3"/>
      <c r="K123" s="3"/>
      <c r="L123" s="4"/>
      <c r="M123" s="4"/>
      <c r="N123" s="3"/>
      <c r="O123" s="3"/>
      <c r="P123" s="4"/>
      <c r="Q123" s="4"/>
      <c r="R123" s="4"/>
      <c r="S123" s="4"/>
      <c r="U123" s="9"/>
      <c r="X123" s="4"/>
      <c r="Y123" s="4"/>
      <c r="Z123" s="4"/>
      <c r="AA123" s="4"/>
      <c r="AB123" s="4"/>
      <c r="AC123" s="7"/>
      <c r="AD123" s="4"/>
      <c r="AE123" s="4"/>
      <c r="AF123" s="21"/>
    </row>
    <row r="124" spans="4:32" x14ac:dyDescent="0.25">
      <c r="D124" s="1"/>
      <c r="E124" s="2"/>
      <c r="F124" s="3"/>
      <c r="G124" s="3"/>
      <c r="H124" s="3"/>
      <c r="J124" s="3"/>
      <c r="K124" s="3"/>
      <c r="L124" s="4"/>
      <c r="M124" s="4"/>
      <c r="N124" s="3"/>
      <c r="O124" s="3"/>
      <c r="P124" s="4"/>
      <c r="Q124" s="4"/>
      <c r="R124" s="4"/>
      <c r="S124" s="4"/>
      <c r="U124" s="9"/>
      <c r="X124" s="4"/>
      <c r="Y124" s="4"/>
      <c r="Z124" s="4"/>
      <c r="AA124" s="4"/>
      <c r="AB124" s="4"/>
      <c r="AC124" s="7"/>
      <c r="AD124" s="4"/>
      <c r="AE124" s="4"/>
      <c r="AF124" s="21"/>
    </row>
    <row r="125" spans="4:32" x14ac:dyDescent="0.25">
      <c r="D125" s="1"/>
      <c r="E125" s="2"/>
      <c r="F125" s="3"/>
      <c r="G125" s="3"/>
      <c r="H125" s="3"/>
      <c r="J125" s="3"/>
      <c r="K125" s="3"/>
      <c r="L125" s="4"/>
      <c r="M125" s="4"/>
      <c r="N125" s="3"/>
      <c r="O125" s="3"/>
      <c r="P125" s="4"/>
      <c r="Q125" s="4"/>
      <c r="R125" s="4"/>
      <c r="S125" s="4"/>
      <c r="U125" s="9"/>
      <c r="X125" s="4"/>
      <c r="Y125" s="4"/>
      <c r="Z125" s="4"/>
      <c r="AA125" s="4"/>
      <c r="AB125" s="4"/>
      <c r="AC125" s="7"/>
      <c r="AD125" s="4"/>
      <c r="AE125" s="4"/>
      <c r="AF125" s="21"/>
    </row>
    <row r="126" spans="4:32" x14ac:dyDescent="0.25">
      <c r="D126" s="1"/>
      <c r="E126" s="2"/>
      <c r="F126" s="3"/>
      <c r="G126" s="3"/>
      <c r="H126" s="3"/>
      <c r="J126" s="3"/>
      <c r="K126" s="3"/>
      <c r="L126" s="4"/>
      <c r="M126" s="4"/>
      <c r="N126" s="3"/>
      <c r="O126" s="3"/>
      <c r="P126" s="4"/>
      <c r="Q126" s="4"/>
      <c r="R126" s="4"/>
      <c r="S126" s="4"/>
      <c r="U126" s="9"/>
      <c r="X126" s="4"/>
      <c r="Y126" s="4"/>
      <c r="Z126" s="4"/>
      <c r="AA126" s="4"/>
      <c r="AB126" s="4"/>
      <c r="AC126" s="7"/>
      <c r="AD126" s="4"/>
      <c r="AE126" s="4"/>
      <c r="AF126" s="21"/>
    </row>
    <row r="127" spans="4:32" x14ac:dyDescent="0.25">
      <c r="D127" s="1"/>
      <c r="E127" s="2"/>
      <c r="F127" s="3"/>
      <c r="G127" s="3"/>
      <c r="H127" s="3"/>
      <c r="J127" s="3"/>
      <c r="K127" s="3"/>
      <c r="L127" s="4"/>
      <c r="M127" s="4"/>
      <c r="N127" s="3"/>
      <c r="O127" s="3"/>
      <c r="P127" s="4"/>
      <c r="Q127" s="4"/>
      <c r="R127" s="4"/>
      <c r="S127" s="4"/>
      <c r="U127" s="9"/>
      <c r="X127" s="4"/>
      <c r="Y127" s="4"/>
      <c r="Z127" s="4"/>
      <c r="AA127" s="4"/>
      <c r="AB127" s="4"/>
      <c r="AC127" s="7"/>
      <c r="AD127" s="4"/>
      <c r="AE127" s="4"/>
      <c r="AF127" s="21"/>
    </row>
    <row r="128" spans="4:32" x14ac:dyDescent="0.25">
      <c r="D128" s="1"/>
      <c r="E128" s="2"/>
      <c r="F128" s="3"/>
      <c r="G128" s="3"/>
      <c r="H128" s="3"/>
      <c r="J128" s="3"/>
      <c r="K128" s="3"/>
      <c r="L128" s="4"/>
      <c r="M128" s="4"/>
      <c r="N128" s="3"/>
      <c r="O128" s="3"/>
      <c r="P128" s="4"/>
      <c r="Q128" s="4"/>
      <c r="R128" s="4"/>
      <c r="S128" s="4"/>
      <c r="U128" s="9"/>
      <c r="X128" s="4"/>
      <c r="Y128" s="4"/>
      <c r="Z128" s="4"/>
      <c r="AA128" s="4"/>
      <c r="AB128" s="4"/>
      <c r="AC128" s="7"/>
      <c r="AD128" s="4"/>
      <c r="AE128" s="4"/>
      <c r="AF128" s="21"/>
    </row>
    <row r="129" spans="4:32" x14ac:dyDescent="0.25">
      <c r="D129" s="1"/>
      <c r="E129" s="2"/>
      <c r="F129" s="3"/>
      <c r="G129" s="3"/>
      <c r="H129" s="3"/>
      <c r="J129" s="3"/>
      <c r="K129" s="3"/>
      <c r="L129" s="4"/>
      <c r="M129" s="4"/>
      <c r="N129" s="3"/>
      <c r="O129" s="3"/>
      <c r="P129" s="4"/>
      <c r="Q129" s="4"/>
      <c r="R129" s="4"/>
      <c r="S129" s="4"/>
      <c r="U129" s="9"/>
      <c r="X129" s="4"/>
      <c r="Y129" s="4"/>
      <c r="Z129" s="4"/>
      <c r="AA129" s="4"/>
      <c r="AB129" s="4"/>
      <c r="AC129" s="7"/>
      <c r="AD129" s="4"/>
      <c r="AE129" s="4"/>
      <c r="AF129" s="21"/>
    </row>
    <row r="130" spans="4:32" x14ac:dyDescent="0.25">
      <c r="D130" s="1"/>
      <c r="E130" s="2"/>
      <c r="F130" s="3"/>
      <c r="G130" s="3"/>
      <c r="H130" s="3"/>
      <c r="J130" s="3"/>
      <c r="K130" s="3"/>
      <c r="L130" s="4"/>
      <c r="M130" s="4"/>
      <c r="N130" s="3"/>
      <c r="O130" s="3"/>
      <c r="P130" s="4"/>
      <c r="Q130" s="4"/>
      <c r="R130" s="4"/>
      <c r="S130" s="4"/>
      <c r="U130" s="9"/>
      <c r="X130" s="4"/>
      <c r="Y130" s="4"/>
      <c r="Z130" s="4"/>
      <c r="AA130" s="4"/>
      <c r="AB130" s="4"/>
      <c r="AC130" s="7"/>
      <c r="AD130" s="4"/>
      <c r="AE130" s="4"/>
      <c r="AF130" s="21"/>
    </row>
    <row r="131" spans="4:32" x14ac:dyDescent="0.25">
      <c r="D131" s="1"/>
      <c r="E131" s="2"/>
      <c r="F131" s="3"/>
      <c r="G131" s="3"/>
      <c r="H131" s="3"/>
      <c r="J131" s="3"/>
      <c r="K131" s="3"/>
      <c r="L131" s="4"/>
      <c r="M131" s="4"/>
      <c r="N131" s="3"/>
      <c r="O131" s="3"/>
      <c r="P131" s="4"/>
      <c r="Q131" s="4"/>
      <c r="R131" s="4"/>
      <c r="S131" s="4"/>
      <c r="U131" s="9"/>
      <c r="X131" s="4"/>
      <c r="Y131" s="4"/>
      <c r="Z131" s="4"/>
      <c r="AA131" s="4"/>
      <c r="AB131" s="4"/>
      <c r="AC131" s="7"/>
      <c r="AD131" s="4"/>
      <c r="AE131" s="4"/>
      <c r="AF131" s="21"/>
    </row>
    <row r="132" spans="4:32" x14ac:dyDescent="0.25">
      <c r="D132" s="1"/>
      <c r="E132" s="2"/>
      <c r="F132" s="3"/>
      <c r="G132" s="3"/>
      <c r="H132" s="3"/>
      <c r="J132" s="3"/>
      <c r="K132" s="3"/>
      <c r="L132" s="4"/>
      <c r="M132" s="4"/>
      <c r="N132" s="3"/>
      <c r="O132" s="3"/>
      <c r="P132" s="4"/>
      <c r="Q132" s="4"/>
      <c r="R132" s="4"/>
      <c r="S132" s="4"/>
      <c r="U132" s="9"/>
      <c r="X132" s="4"/>
      <c r="Y132" s="4"/>
      <c r="Z132" s="4"/>
      <c r="AA132" s="4"/>
      <c r="AB132" s="4"/>
      <c r="AC132" s="7"/>
      <c r="AD132" s="4"/>
      <c r="AE132" s="4"/>
      <c r="AF132" s="21"/>
    </row>
    <row r="133" spans="4:32" x14ac:dyDescent="0.25">
      <c r="D133" s="1"/>
      <c r="E133" s="2"/>
      <c r="F133" s="3"/>
      <c r="G133" s="3"/>
      <c r="H133" s="3"/>
      <c r="J133" s="3"/>
      <c r="K133" s="3"/>
      <c r="L133" s="4"/>
      <c r="M133" s="4"/>
      <c r="N133" s="3"/>
      <c r="O133" s="3"/>
      <c r="P133" s="4"/>
      <c r="Q133" s="4"/>
      <c r="R133" s="4"/>
      <c r="S133" s="4"/>
      <c r="U133" s="9"/>
      <c r="X133" s="4"/>
      <c r="Y133" s="4"/>
      <c r="Z133" s="4"/>
      <c r="AA133" s="4"/>
      <c r="AB133" s="4"/>
      <c r="AC133" s="7"/>
      <c r="AD133" s="4"/>
      <c r="AE133" s="4"/>
      <c r="AF133" s="21"/>
    </row>
    <row r="134" spans="4:32" x14ac:dyDescent="0.25">
      <c r="D134" s="1"/>
      <c r="E134" s="2"/>
      <c r="F134" s="3"/>
      <c r="G134" s="3"/>
      <c r="H134" s="3"/>
      <c r="J134" s="3"/>
      <c r="K134" s="3"/>
      <c r="L134" s="4"/>
      <c r="M134" s="4"/>
      <c r="N134" s="3"/>
      <c r="O134" s="3"/>
      <c r="P134" s="4"/>
      <c r="Q134" s="4"/>
      <c r="R134" s="4"/>
      <c r="S134" s="4"/>
      <c r="U134" s="9"/>
      <c r="X134" s="4"/>
      <c r="Y134" s="4"/>
      <c r="Z134" s="4"/>
      <c r="AA134" s="4"/>
      <c r="AB134" s="4"/>
      <c r="AC134" s="7"/>
      <c r="AD134" s="4"/>
      <c r="AE134" s="4"/>
      <c r="AF134" s="21"/>
    </row>
    <row r="135" spans="4:32" x14ac:dyDescent="0.25">
      <c r="D135" s="1"/>
      <c r="E135" s="2"/>
      <c r="F135" s="3"/>
      <c r="G135" s="3"/>
      <c r="H135" s="3"/>
      <c r="J135" s="3"/>
      <c r="K135" s="3"/>
      <c r="L135" s="4"/>
      <c r="M135" s="4"/>
      <c r="N135" s="3"/>
      <c r="O135" s="3"/>
      <c r="P135" s="4"/>
      <c r="Q135" s="4"/>
      <c r="R135" s="4"/>
      <c r="S135" s="4"/>
      <c r="U135" s="9"/>
      <c r="X135" s="4"/>
      <c r="Y135" s="4"/>
      <c r="Z135" s="4"/>
      <c r="AA135" s="4"/>
      <c r="AB135" s="4"/>
      <c r="AC135" s="7"/>
      <c r="AD135" s="4"/>
      <c r="AE135" s="4"/>
      <c r="AF135" s="21"/>
    </row>
    <row r="136" spans="4:32" x14ac:dyDescent="0.25">
      <c r="D136" s="1"/>
      <c r="E136" s="2"/>
      <c r="F136" s="3"/>
      <c r="G136" s="3"/>
      <c r="H136" s="3"/>
      <c r="J136" s="3"/>
      <c r="K136" s="3"/>
      <c r="L136" s="4"/>
      <c r="M136" s="4"/>
      <c r="N136" s="3"/>
      <c r="O136" s="3"/>
      <c r="P136" s="4"/>
      <c r="Q136" s="4"/>
      <c r="R136" s="4"/>
      <c r="S136" s="4"/>
      <c r="U136" s="9"/>
      <c r="X136" s="4"/>
      <c r="Y136" s="4"/>
      <c r="Z136" s="4"/>
      <c r="AA136" s="4"/>
      <c r="AB136" s="4"/>
      <c r="AC136" s="7"/>
      <c r="AD136" s="4"/>
      <c r="AE136" s="4"/>
      <c r="AF136" s="21"/>
    </row>
    <row r="137" spans="4:32" x14ac:dyDescent="0.25">
      <c r="D137" s="1"/>
      <c r="E137" s="2"/>
      <c r="F137" s="3"/>
      <c r="G137" s="3"/>
      <c r="H137" s="3"/>
      <c r="J137" s="3"/>
      <c r="K137" s="3"/>
      <c r="L137" s="4"/>
      <c r="M137" s="4"/>
      <c r="N137" s="3"/>
      <c r="O137" s="3"/>
      <c r="P137" s="4"/>
      <c r="Q137" s="4"/>
      <c r="R137" s="4"/>
      <c r="S137" s="4"/>
      <c r="U137" s="9"/>
      <c r="X137" s="4"/>
      <c r="Y137" s="4"/>
      <c r="Z137" s="4"/>
      <c r="AA137" s="4"/>
      <c r="AB137" s="4"/>
      <c r="AC137" s="7"/>
      <c r="AD137" s="4"/>
      <c r="AE137" s="4"/>
      <c r="AF137" s="21"/>
    </row>
    <row r="138" spans="4:32" x14ac:dyDescent="0.25">
      <c r="D138" s="1"/>
      <c r="E138" s="2"/>
      <c r="F138" s="3"/>
      <c r="G138" s="3"/>
      <c r="H138" s="3"/>
      <c r="J138" s="3"/>
      <c r="K138" s="3"/>
      <c r="L138" s="4"/>
      <c r="M138" s="4"/>
      <c r="N138" s="3"/>
      <c r="O138" s="3"/>
      <c r="P138" s="4"/>
      <c r="Q138" s="4"/>
      <c r="R138" s="4"/>
      <c r="S138" s="4"/>
      <c r="U138" s="9"/>
      <c r="X138" s="4"/>
      <c r="Y138" s="4"/>
      <c r="Z138" s="4"/>
      <c r="AA138" s="4"/>
      <c r="AB138" s="4"/>
      <c r="AC138" s="7"/>
      <c r="AD138" s="4"/>
      <c r="AE138" s="4"/>
      <c r="AF138" s="21"/>
    </row>
    <row r="139" spans="4:32" x14ac:dyDescent="0.25">
      <c r="D139" s="1"/>
      <c r="E139" s="2"/>
      <c r="F139" s="3"/>
      <c r="G139" s="3"/>
      <c r="H139" s="3"/>
      <c r="J139" s="3"/>
      <c r="K139" s="3"/>
      <c r="L139" s="4"/>
      <c r="M139" s="4"/>
      <c r="N139" s="3"/>
      <c r="O139" s="3"/>
      <c r="P139" s="4"/>
      <c r="Q139" s="4"/>
      <c r="R139" s="4"/>
      <c r="S139" s="4"/>
      <c r="U139" s="9"/>
      <c r="X139" s="4"/>
      <c r="Y139" s="4"/>
      <c r="Z139" s="4"/>
      <c r="AA139" s="4"/>
      <c r="AB139" s="4"/>
      <c r="AC139" s="7"/>
      <c r="AD139" s="4"/>
      <c r="AE139" s="4"/>
      <c r="AF139" s="21"/>
    </row>
    <row r="140" spans="4:32" x14ac:dyDescent="0.25">
      <c r="D140" s="1"/>
      <c r="E140" s="2"/>
      <c r="F140" s="3"/>
      <c r="G140" s="3"/>
      <c r="H140" s="3"/>
      <c r="J140" s="3"/>
      <c r="K140" s="3"/>
      <c r="L140" s="4"/>
      <c r="M140" s="4"/>
      <c r="N140" s="3"/>
      <c r="O140" s="3"/>
      <c r="P140" s="4"/>
      <c r="Q140" s="4"/>
      <c r="R140" s="4"/>
      <c r="S140" s="4"/>
      <c r="U140" s="9"/>
      <c r="X140" s="4"/>
      <c r="Y140" s="4"/>
      <c r="Z140" s="4"/>
      <c r="AA140" s="4"/>
      <c r="AB140" s="4"/>
      <c r="AC140" s="7"/>
      <c r="AD140" s="4"/>
      <c r="AE140" s="4"/>
      <c r="AF140" s="21"/>
    </row>
    <row r="141" spans="4:32" x14ac:dyDescent="0.25">
      <c r="D141" s="1"/>
      <c r="E141" s="2"/>
      <c r="F141" s="3"/>
      <c r="G141" s="3"/>
      <c r="H141" s="3"/>
      <c r="J141" s="3"/>
      <c r="K141" s="3"/>
      <c r="L141" s="4"/>
      <c r="M141" s="4"/>
      <c r="N141" s="3"/>
      <c r="O141" s="3"/>
      <c r="P141" s="4"/>
      <c r="Q141" s="4"/>
      <c r="R141" s="4"/>
      <c r="S141" s="4"/>
      <c r="U141" s="9"/>
      <c r="X141" s="4"/>
      <c r="Y141" s="4"/>
      <c r="Z141" s="4"/>
      <c r="AA141" s="4"/>
      <c r="AB141" s="4"/>
      <c r="AC141" s="7"/>
      <c r="AD141" s="4"/>
      <c r="AE141" s="4"/>
      <c r="AF141" s="21"/>
    </row>
    <row r="142" spans="4:32" x14ac:dyDescent="0.25">
      <c r="D142" s="1"/>
      <c r="E142" s="2"/>
      <c r="F142" s="3"/>
      <c r="G142" s="3"/>
      <c r="H142" s="3"/>
      <c r="J142" s="3"/>
      <c r="K142" s="3"/>
      <c r="L142" s="4"/>
      <c r="M142" s="4"/>
      <c r="N142" s="3"/>
      <c r="O142" s="3"/>
      <c r="P142" s="4"/>
      <c r="Q142" s="4"/>
      <c r="R142" s="4"/>
      <c r="S142" s="4"/>
      <c r="U142" s="9"/>
      <c r="X142" s="4"/>
      <c r="Y142" s="4"/>
      <c r="Z142" s="4"/>
      <c r="AA142" s="4"/>
      <c r="AB142" s="4"/>
      <c r="AC142" s="7"/>
      <c r="AD142" s="4"/>
      <c r="AE142" s="4"/>
      <c r="AF142" s="21"/>
    </row>
    <row r="143" spans="4:32" x14ac:dyDescent="0.25">
      <c r="D143" s="1"/>
      <c r="E143" s="2"/>
      <c r="F143" s="3"/>
      <c r="G143" s="3"/>
      <c r="H143" s="3"/>
      <c r="J143" s="3"/>
      <c r="K143" s="3"/>
      <c r="L143" s="4"/>
      <c r="M143" s="4"/>
      <c r="N143" s="3"/>
      <c r="O143" s="3"/>
      <c r="P143" s="4"/>
      <c r="Q143" s="4"/>
      <c r="R143" s="4"/>
      <c r="S143" s="4"/>
      <c r="U143" s="9"/>
      <c r="X143" s="4"/>
      <c r="Y143" s="4"/>
      <c r="Z143" s="4"/>
      <c r="AA143" s="4"/>
      <c r="AB143" s="4"/>
      <c r="AC143" s="7"/>
      <c r="AD143" s="4"/>
      <c r="AE143" s="4"/>
      <c r="AF143" s="21"/>
    </row>
    <row r="144" spans="4:32" x14ac:dyDescent="0.25">
      <c r="D144" s="1"/>
      <c r="E144" s="2"/>
      <c r="F144" s="3"/>
      <c r="G144" s="3"/>
      <c r="H144" s="3"/>
      <c r="J144" s="3"/>
      <c r="K144" s="3"/>
      <c r="L144" s="4"/>
      <c r="M144" s="4"/>
      <c r="N144" s="3"/>
      <c r="O144" s="3"/>
      <c r="P144" s="4"/>
      <c r="Q144" s="4"/>
      <c r="R144" s="4"/>
      <c r="S144" s="4"/>
      <c r="U144" s="9"/>
      <c r="X144" s="4"/>
      <c r="Y144" s="4"/>
      <c r="Z144" s="4"/>
      <c r="AA144" s="4"/>
      <c r="AB144" s="4"/>
      <c r="AC144" s="7"/>
      <c r="AD144" s="4"/>
      <c r="AE144" s="4"/>
      <c r="AF144" s="21"/>
    </row>
    <row r="145" spans="4:32" x14ac:dyDescent="0.25">
      <c r="D145" s="1"/>
      <c r="E145" s="2"/>
      <c r="F145" s="3"/>
      <c r="G145" s="3"/>
      <c r="H145" s="3"/>
      <c r="J145" s="3"/>
      <c r="K145" s="3"/>
      <c r="L145" s="4"/>
      <c r="M145" s="4"/>
      <c r="N145" s="3"/>
      <c r="O145" s="3"/>
      <c r="P145" s="4"/>
      <c r="Q145" s="4"/>
      <c r="R145" s="4"/>
      <c r="S145" s="4"/>
      <c r="U145" s="9"/>
      <c r="X145" s="4"/>
      <c r="Y145" s="4"/>
      <c r="Z145" s="4"/>
      <c r="AA145" s="4"/>
      <c r="AB145" s="4"/>
      <c r="AC145" s="7"/>
      <c r="AD145" s="4"/>
      <c r="AE145" s="4"/>
      <c r="AF145" s="21"/>
    </row>
    <row r="146" spans="4:32" x14ac:dyDescent="0.25">
      <c r="D146" s="1"/>
      <c r="E146" s="2"/>
      <c r="F146" s="3"/>
      <c r="G146" s="3"/>
      <c r="H146" s="3"/>
      <c r="J146" s="3"/>
      <c r="K146" s="3"/>
      <c r="L146" s="4"/>
      <c r="M146" s="4"/>
      <c r="N146" s="3"/>
      <c r="O146" s="3"/>
      <c r="P146" s="4"/>
      <c r="Q146" s="4"/>
      <c r="R146" s="4"/>
      <c r="S146" s="4"/>
      <c r="U146" s="9"/>
      <c r="X146" s="4"/>
      <c r="Y146" s="4"/>
      <c r="Z146" s="4"/>
      <c r="AA146" s="4"/>
      <c r="AB146" s="4"/>
      <c r="AC146" s="7"/>
      <c r="AD146" s="4"/>
      <c r="AE146" s="4"/>
      <c r="AF146" s="21"/>
    </row>
    <row r="147" spans="4:32" x14ac:dyDescent="0.25">
      <c r="D147" s="1"/>
      <c r="E147" s="2"/>
      <c r="F147" s="3"/>
      <c r="G147" s="3"/>
      <c r="H147" s="3"/>
      <c r="J147" s="3"/>
      <c r="K147" s="3"/>
      <c r="L147" s="4"/>
      <c r="M147" s="4"/>
      <c r="N147" s="3"/>
      <c r="O147" s="3"/>
      <c r="P147" s="4"/>
      <c r="Q147" s="4"/>
      <c r="R147" s="4"/>
      <c r="S147" s="4"/>
      <c r="U147" s="9"/>
      <c r="X147" s="4"/>
      <c r="Y147" s="4"/>
      <c r="Z147" s="4"/>
      <c r="AA147" s="4"/>
      <c r="AB147" s="4"/>
      <c r="AC147" s="7"/>
      <c r="AD147" s="4"/>
      <c r="AE147" s="4"/>
      <c r="AF147" s="21"/>
    </row>
    <row r="148" spans="4:32" x14ac:dyDescent="0.25">
      <c r="D148" s="1"/>
      <c r="E148" s="2"/>
      <c r="F148" s="3"/>
      <c r="G148" s="3"/>
      <c r="H148" s="3"/>
      <c r="J148" s="3"/>
      <c r="K148" s="3"/>
      <c r="L148" s="4"/>
      <c r="M148" s="4"/>
      <c r="N148" s="3"/>
      <c r="O148" s="3"/>
      <c r="P148" s="4"/>
      <c r="Q148" s="4"/>
      <c r="R148" s="4"/>
      <c r="S148" s="4"/>
      <c r="U148" s="9"/>
      <c r="X148" s="4"/>
      <c r="Y148" s="4"/>
      <c r="Z148" s="4"/>
      <c r="AA148" s="4"/>
      <c r="AB148" s="4"/>
      <c r="AC148" s="7"/>
      <c r="AD148" s="4"/>
      <c r="AE148" s="4"/>
      <c r="AF148" s="21"/>
    </row>
    <row r="149" spans="4:32" x14ac:dyDescent="0.25">
      <c r="D149" s="1"/>
      <c r="E149" s="2"/>
      <c r="F149" s="3"/>
      <c r="G149" s="3"/>
      <c r="H149" s="3"/>
      <c r="J149" s="3"/>
      <c r="K149" s="3"/>
      <c r="L149" s="4"/>
      <c r="M149" s="4"/>
      <c r="N149" s="3"/>
      <c r="O149" s="3"/>
      <c r="P149" s="4"/>
      <c r="Q149" s="4"/>
      <c r="R149" s="4"/>
      <c r="S149" s="4"/>
      <c r="U149" s="9"/>
      <c r="X149" s="4"/>
      <c r="Y149" s="4"/>
      <c r="Z149" s="4"/>
      <c r="AA149" s="4"/>
      <c r="AB149" s="4"/>
      <c r="AC149" s="7"/>
      <c r="AD149" s="4"/>
      <c r="AE149" s="4"/>
      <c r="AF149" s="21"/>
    </row>
    <row r="150" spans="4:32" x14ac:dyDescent="0.25">
      <c r="D150" s="1"/>
      <c r="E150" s="2"/>
      <c r="F150" s="3"/>
      <c r="G150" s="3"/>
      <c r="H150" s="3"/>
      <c r="J150" s="3"/>
      <c r="K150" s="3"/>
      <c r="L150" s="4"/>
      <c r="M150" s="4"/>
      <c r="N150" s="3"/>
      <c r="O150" s="3"/>
      <c r="P150" s="4"/>
      <c r="Q150" s="4"/>
      <c r="R150" s="4"/>
      <c r="S150" s="4"/>
      <c r="U150" s="9"/>
      <c r="X150" s="4"/>
      <c r="Y150" s="4"/>
      <c r="Z150" s="4"/>
      <c r="AA150" s="4"/>
      <c r="AB150" s="4"/>
      <c r="AC150" s="7"/>
      <c r="AD150" s="4"/>
      <c r="AE150" s="4"/>
      <c r="AF150" s="21"/>
    </row>
    <row r="151" spans="4:32" x14ac:dyDescent="0.25">
      <c r="D151" s="1"/>
      <c r="E151" s="2"/>
      <c r="F151" s="3"/>
      <c r="G151" s="3"/>
      <c r="H151" s="3"/>
      <c r="J151" s="3"/>
      <c r="K151" s="3"/>
      <c r="L151" s="4"/>
      <c r="M151" s="4"/>
      <c r="N151" s="3"/>
      <c r="O151" s="3"/>
      <c r="P151" s="4"/>
      <c r="Q151" s="4"/>
      <c r="R151" s="4"/>
      <c r="S151" s="4"/>
      <c r="U151" s="9"/>
      <c r="X151" s="4"/>
      <c r="Y151" s="4"/>
      <c r="Z151" s="4"/>
      <c r="AA151" s="4"/>
      <c r="AB151" s="4"/>
      <c r="AC151" s="7"/>
      <c r="AD151" s="4"/>
      <c r="AE151" s="4"/>
      <c r="AF151" s="21"/>
    </row>
    <row r="152" spans="4:32" x14ac:dyDescent="0.25">
      <c r="D152" s="1"/>
      <c r="E152" s="2"/>
      <c r="F152" s="3"/>
      <c r="G152" s="3"/>
      <c r="H152" s="3"/>
      <c r="J152" s="3"/>
      <c r="K152" s="3"/>
      <c r="L152" s="4"/>
      <c r="M152" s="4"/>
      <c r="N152" s="3"/>
      <c r="O152" s="3"/>
      <c r="P152" s="4"/>
      <c r="Q152" s="4"/>
      <c r="R152" s="4"/>
      <c r="S152" s="4"/>
      <c r="U152" s="9"/>
      <c r="X152" s="4"/>
      <c r="Y152" s="4"/>
      <c r="Z152" s="4"/>
      <c r="AA152" s="4"/>
      <c r="AB152" s="4"/>
      <c r="AC152" s="7"/>
      <c r="AD152" s="4"/>
      <c r="AE152" s="4"/>
      <c r="AF152" s="21"/>
    </row>
    <row r="153" spans="4:32" x14ac:dyDescent="0.25">
      <c r="D153" s="1"/>
      <c r="E153" s="2"/>
      <c r="F153" s="3"/>
      <c r="G153" s="3"/>
      <c r="H153" s="3"/>
      <c r="J153" s="3"/>
      <c r="K153" s="3"/>
      <c r="L153" s="4"/>
      <c r="M153" s="4"/>
      <c r="N153" s="3"/>
      <c r="O153" s="3"/>
      <c r="P153" s="4"/>
      <c r="Q153" s="4"/>
      <c r="R153" s="4"/>
      <c r="S153" s="4"/>
      <c r="U153" s="9"/>
      <c r="X153" s="4"/>
      <c r="Y153" s="4"/>
      <c r="Z153" s="4"/>
      <c r="AA153" s="4"/>
      <c r="AB153" s="4"/>
      <c r="AC153" s="7"/>
      <c r="AD153" s="4"/>
      <c r="AE153" s="4"/>
      <c r="AF153" s="21"/>
    </row>
    <row r="154" spans="4:32" x14ac:dyDescent="0.25">
      <c r="D154" s="1"/>
      <c r="E154" s="2"/>
      <c r="F154" s="3"/>
      <c r="G154" s="3"/>
      <c r="H154" s="3"/>
      <c r="J154" s="3"/>
      <c r="K154" s="3"/>
      <c r="L154" s="4"/>
      <c r="M154" s="4"/>
      <c r="N154" s="3"/>
      <c r="O154" s="3"/>
      <c r="P154" s="4"/>
      <c r="Q154" s="4"/>
      <c r="R154" s="4"/>
      <c r="S154" s="4"/>
      <c r="U154" s="9"/>
      <c r="X154" s="4"/>
      <c r="Y154" s="4"/>
      <c r="Z154" s="4"/>
      <c r="AA154" s="4"/>
      <c r="AB154" s="4"/>
      <c r="AC154" s="7"/>
      <c r="AD154" s="4"/>
      <c r="AE154" s="4"/>
      <c r="AF154" s="21"/>
    </row>
    <row r="155" spans="4:32" x14ac:dyDescent="0.25">
      <c r="D155" s="1"/>
      <c r="E155" s="2"/>
      <c r="F155" s="3"/>
      <c r="G155" s="3"/>
      <c r="H155" s="3"/>
      <c r="J155" s="3"/>
      <c r="K155" s="3"/>
      <c r="L155" s="4"/>
      <c r="M155" s="4"/>
      <c r="N155" s="3"/>
      <c r="O155" s="3"/>
      <c r="P155" s="4"/>
      <c r="Q155" s="4"/>
      <c r="R155" s="4"/>
      <c r="S155" s="4"/>
      <c r="U155" s="9"/>
      <c r="X155" s="4"/>
      <c r="Y155" s="4"/>
      <c r="Z155" s="4"/>
      <c r="AA155" s="4"/>
      <c r="AB155" s="4"/>
      <c r="AC155" s="7"/>
      <c r="AD155" s="4"/>
      <c r="AE155" s="4"/>
      <c r="AF155" s="21"/>
    </row>
    <row r="156" spans="4:32" x14ac:dyDescent="0.25">
      <c r="D156" s="1"/>
      <c r="E156" s="2"/>
      <c r="F156" s="3"/>
      <c r="G156" s="3"/>
      <c r="H156" s="3"/>
      <c r="J156" s="3"/>
      <c r="K156" s="3"/>
      <c r="L156" s="4"/>
      <c r="M156" s="4"/>
      <c r="N156" s="3"/>
      <c r="O156" s="3"/>
      <c r="P156" s="4"/>
      <c r="Q156" s="4"/>
      <c r="R156" s="4"/>
      <c r="S156" s="4"/>
      <c r="U156" s="9"/>
      <c r="X156" s="4"/>
      <c r="Y156" s="4"/>
      <c r="Z156" s="4"/>
      <c r="AA156" s="4"/>
      <c r="AB156" s="4"/>
      <c r="AC156" s="7"/>
      <c r="AD156" s="4"/>
      <c r="AE156" s="4"/>
      <c r="AF156" s="21"/>
    </row>
    <row r="157" spans="4:32" x14ac:dyDescent="0.25">
      <c r="D157" s="1"/>
      <c r="E157" s="2"/>
      <c r="F157" s="3"/>
      <c r="G157" s="3"/>
      <c r="H157" s="3"/>
      <c r="J157" s="3"/>
      <c r="K157" s="3"/>
      <c r="L157" s="4"/>
      <c r="M157" s="4"/>
      <c r="N157" s="3"/>
      <c r="O157" s="3"/>
      <c r="P157" s="4"/>
      <c r="Q157" s="4"/>
      <c r="R157" s="4"/>
      <c r="S157" s="4"/>
      <c r="U157" s="9"/>
      <c r="X157" s="4"/>
      <c r="Y157" s="4"/>
      <c r="Z157" s="4"/>
      <c r="AA157" s="4"/>
      <c r="AB157" s="4"/>
      <c r="AC157" s="7"/>
      <c r="AD157" s="4"/>
      <c r="AE157" s="4"/>
      <c r="AF157" s="21"/>
    </row>
    <row r="158" spans="4:32" x14ac:dyDescent="0.25">
      <c r="D158" s="1"/>
      <c r="E158" s="2"/>
      <c r="F158" s="3"/>
      <c r="G158" s="3"/>
      <c r="H158" s="3"/>
      <c r="J158" s="3"/>
      <c r="K158" s="3"/>
      <c r="L158" s="4"/>
      <c r="M158" s="4"/>
      <c r="N158" s="3"/>
      <c r="O158" s="3"/>
      <c r="P158" s="4"/>
      <c r="Q158" s="4"/>
      <c r="R158" s="4"/>
      <c r="S158" s="4"/>
      <c r="U158" s="9"/>
      <c r="X158" s="4"/>
      <c r="Y158" s="4"/>
      <c r="Z158" s="4"/>
      <c r="AA158" s="4"/>
      <c r="AB158" s="4"/>
      <c r="AC158" s="7"/>
      <c r="AD158" s="4"/>
      <c r="AE158" s="4"/>
      <c r="AF158" s="21"/>
    </row>
    <row r="159" spans="4:32" x14ac:dyDescent="0.25">
      <c r="D159" s="1"/>
      <c r="E159" s="2"/>
      <c r="F159" s="3"/>
      <c r="G159" s="3"/>
      <c r="H159" s="3"/>
      <c r="J159" s="3"/>
      <c r="K159" s="3"/>
      <c r="L159" s="4"/>
      <c r="M159" s="4"/>
      <c r="N159" s="3"/>
      <c r="O159" s="3"/>
      <c r="P159" s="4"/>
      <c r="Q159" s="4"/>
      <c r="R159" s="4"/>
      <c r="S159" s="4"/>
      <c r="U159" s="9"/>
      <c r="X159" s="4"/>
      <c r="Y159" s="4"/>
      <c r="Z159" s="4"/>
      <c r="AA159" s="4"/>
      <c r="AB159" s="4"/>
      <c r="AC159" s="7"/>
      <c r="AD159" s="4"/>
      <c r="AE159" s="4"/>
      <c r="AF159" s="21"/>
    </row>
    <row r="160" spans="4:32" x14ac:dyDescent="0.25">
      <c r="D160" s="1"/>
      <c r="E160" s="2"/>
      <c r="F160" s="3"/>
      <c r="G160" s="3"/>
      <c r="H160" s="3"/>
      <c r="J160" s="3"/>
      <c r="K160" s="3"/>
      <c r="L160" s="4"/>
      <c r="M160" s="4"/>
      <c r="N160" s="3"/>
      <c r="O160" s="3"/>
      <c r="P160" s="4"/>
      <c r="Q160" s="4"/>
      <c r="R160" s="4"/>
      <c r="S160" s="4"/>
      <c r="U160" s="9"/>
      <c r="X160" s="4"/>
      <c r="Y160" s="4"/>
      <c r="Z160" s="4"/>
      <c r="AA160" s="4"/>
      <c r="AB160" s="4"/>
      <c r="AC160" s="7"/>
      <c r="AD160" s="4"/>
      <c r="AE160" s="4"/>
      <c r="AF160" s="21"/>
    </row>
    <row r="161" spans="4:32" x14ac:dyDescent="0.25">
      <c r="D161" s="1"/>
      <c r="E161" s="2"/>
      <c r="F161" s="3"/>
      <c r="G161" s="3"/>
      <c r="H161" s="3"/>
      <c r="J161" s="3"/>
      <c r="K161" s="3"/>
      <c r="L161" s="4"/>
      <c r="M161" s="4"/>
      <c r="N161" s="3"/>
      <c r="O161" s="3"/>
      <c r="P161" s="4"/>
      <c r="Q161" s="4"/>
      <c r="R161" s="4"/>
      <c r="S161" s="4"/>
      <c r="U161" s="9"/>
      <c r="X161" s="4"/>
      <c r="Y161" s="4"/>
      <c r="Z161" s="4"/>
      <c r="AA161" s="4"/>
      <c r="AB161" s="4"/>
      <c r="AC161" s="7"/>
      <c r="AD161" s="4"/>
      <c r="AE161" s="4"/>
      <c r="AF161" s="21"/>
    </row>
    <row r="162" spans="4:32" x14ac:dyDescent="0.25">
      <c r="D162" s="1"/>
      <c r="E162" s="2"/>
      <c r="F162" s="3"/>
      <c r="G162" s="3"/>
      <c r="H162" s="3"/>
      <c r="J162" s="3"/>
      <c r="K162" s="3"/>
      <c r="L162" s="4"/>
      <c r="M162" s="4"/>
      <c r="N162" s="3"/>
      <c r="O162" s="3"/>
      <c r="P162" s="4"/>
      <c r="Q162" s="4"/>
      <c r="R162" s="4"/>
      <c r="S162" s="4"/>
      <c r="U162" s="9"/>
      <c r="X162" s="4"/>
      <c r="Y162" s="4"/>
      <c r="Z162" s="4"/>
      <c r="AA162" s="4"/>
      <c r="AB162" s="4"/>
      <c r="AC162" s="7"/>
      <c r="AD162" s="4"/>
      <c r="AE162" s="4"/>
      <c r="AF162" s="21"/>
    </row>
    <row r="163" spans="4:32" x14ac:dyDescent="0.25">
      <c r="D163" s="1"/>
      <c r="E163" s="2"/>
      <c r="F163" s="3"/>
      <c r="G163" s="3"/>
      <c r="H163" s="3"/>
      <c r="J163" s="3"/>
      <c r="K163" s="3"/>
      <c r="L163" s="4"/>
      <c r="M163" s="4"/>
      <c r="N163" s="3"/>
      <c r="O163" s="3"/>
      <c r="P163" s="4"/>
      <c r="Q163" s="4"/>
      <c r="R163" s="4"/>
      <c r="S163" s="4"/>
      <c r="U163" s="9"/>
      <c r="X163" s="4"/>
      <c r="Y163" s="4"/>
      <c r="Z163" s="4"/>
      <c r="AA163" s="4"/>
      <c r="AB163" s="4"/>
      <c r="AC163" s="7"/>
      <c r="AD163" s="4"/>
      <c r="AE163" s="4"/>
      <c r="AF163" s="21"/>
    </row>
    <row r="164" spans="4:32" x14ac:dyDescent="0.25">
      <c r="D164" s="1"/>
      <c r="E164" s="2"/>
      <c r="F164" s="3"/>
      <c r="G164" s="3"/>
      <c r="H164" s="3"/>
      <c r="J164" s="3"/>
      <c r="K164" s="3"/>
      <c r="L164" s="4"/>
      <c r="M164" s="4"/>
      <c r="N164" s="3"/>
      <c r="O164" s="3"/>
      <c r="P164" s="4"/>
      <c r="Q164" s="4"/>
      <c r="R164" s="4"/>
      <c r="S164" s="4"/>
      <c r="U164" s="9"/>
      <c r="X164" s="4"/>
      <c r="Y164" s="4"/>
      <c r="Z164" s="4"/>
      <c r="AA164" s="4"/>
      <c r="AB164" s="4"/>
      <c r="AC164" s="7"/>
      <c r="AD164" s="4"/>
      <c r="AE164" s="4"/>
      <c r="AF164" s="21"/>
    </row>
    <row r="165" spans="4:32" x14ac:dyDescent="0.25">
      <c r="D165" s="1"/>
      <c r="E165" s="2"/>
      <c r="F165" s="3"/>
      <c r="G165" s="3"/>
      <c r="H165" s="3"/>
      <c r="J165" s="3"/>
      <c r="K165" s="3"/>
      <c r="L165" s="4"/>
      <c r="M165" s="4"/>
      <c r="N165" s="3"/>
      <c r="O165" s="3"/>
      <c r="P165" s="4"/>
      <c r="Q165" s="4"/>
      <c r="R165" s="4"/>
      <c r="S165" s="4"/>
      <c r="U165" s="9"/>
      <c r="X165" s="4"/>
      <c r="Y165" s="4"/>
      <c r="Z165" s="4"/>
      <c r="AA165" s="4"/>
      <c r="AB165" s="4"/>
      <c r="AC165" s="7"/>
      <c r="AD165" s="4"/>
      <c r="AE165" s="4"/>
      <c r="AF165" s="21"/>
    </row>
    <row r="166" spans="4:32" x14ac:dyDescent="0.25">
      <c r="D166" s="1"/>
      <c r="E166" s="2"/>
      <c r="F166" s="3"/>
      <c r="G166" s="3"/>
      <c r="H166" s="3"/>
      <c r="J166" s="3"/>
      <c r="K166" s="3"/>
      <c r="L166" s="4"/>
      <c r="M166" s="4"/>
      <c r="N166" s="3"/>
      <c r="O166" s="3"/>
      <c r="P166" s="4"/>
      <c r="Q166" s="4"/>
      <c r="R166" s="4"/>
      <c r="S166" s="4"/>
      <c r="U166" s="9"/>
      <c r="X166" s="4"/>
      <c r="Y166" s="4"/>
      <c r="Z166" s="4"/>
      <c r="AA166" s="4"/>
      <c r="AB166" s="4"/>
      <c r="AC166" s="7"/>
      <c r="AD166" s="4"/>
      <c r="AE166" s="4"/>
      <c r="AF166" s="21"/>
    </row>
    <row r="167" spans="4:32" x14ac:dyDescent="0.25">
      <c r="D167" s="1"/>
      <c r="E167" s="2"/>
      <c r="F167" s="3"/>
      <c r="G167" s="3"/>
      <c r="H167" s="3"/>
      <c r="J167" s="3"/>
      <c r="K167" s="3"/>
      <c r="L167" s="4"/>
      <c r="M167" s="4"/>
      <c r="N167" s="3"/>
      <c r="O167" s="3"/>
      <c r="P167" s="4"/>
      <c r="Q167" s="4"/>
      <c r="R167" s="4"/>
      <c r="S167" s="4"/>
      <c r="U167" s="9"/>
      <c r="X167" s="4"/>
      <c r="Y167" s="4"/>
      <c r="Z167" s="4"/>
      <c r="AA167" s="4"/>
      <c r="AB167" s="4"/>
      <c r="AC167" s="7"/>
      <c r="AD167" s="4"/>
      <c r="AE167" s="4"/>
      <c r="AF167" s="21"/>
    </row>
    <row r="168" spans="4:32" x14ac:dyDescent="0.25">
      <c r="D168" s="1"/>
      <c r="E168" s="2"/>
      <c r="F168" s="3"/>
      <c r="G168" s="3"/>
      <c r="H168" s="3"/>
      <c r="J168" s="3"/>
      <c r="K168" s="3"/>
      <c r="L168" s="4"/>
      <c r="M168" s="4"/>
      <c r="N168" s="3"/>
      <c r="O168" s="3"/>
      <c r="P168" s="4"/>
      <c r="Q168" s="4"/>
      <c r="R168" s="4"/>
      <c r="S168" s="4"/>
      <c r="U168" s="9"/>
      <c r="X168" s="4"/>
      <c r="Y168" s="4"/>
      <c r="Z168" s="4"/>
      <c r="AA168" s="4"/>
      <c r="AB168" s="4"/>
      <c r="AC168" s="7"/>
      <c r="AD168" s="4"/>
      <c r="AE168" s="4"/>
      <c r="AF168" s="21"/>
    </row>
    <row r="169" spans="4:32" x14ac:dyDescent="0.25">
      <c r="D169" s="1"/>
      <c r="E169" s="2"/>
      <c r="F169" s="3"/>
      <c r="G169" s="3"/>
      <c r="H169" s="3"/>
      <c r="J169" s="3"/>
      <c r="K169" s="3"/>
      <c r="L169" s="4"/>
      <c r="M169" s="4"/>
      <c r="N169" s="3"/>
      <c r="O169" s="3"/>
      <c r="P169" s="4"/>
      <c r="Q169" s="4"/>
      <c r="R169" s="4"/>
      <c r="S169" s="4"/>
      <c r="U169" s="9"/>
      <c r="X169" s="4"/>
      <c r="Y169" s="4"/>
      <c r="Z169" s="4"/>
      <c r="AA169" s="4"/>
      <c r="AB169" s="4"/>
      <c r="AC169" s="7"/>
      <c r="AD169" s="4"/>
      <c r="AE169" s="4"/>
      <c r="AF169" s="21"/>
    </row>
    <row r="170" spans="4:32" x14ac:dyDescent="0.25">
      <c r="D170" s="1"/>
      <c r="E170" s="2"/>
      <c r="F170" s="3"/>
      <c r="G170" s="3"/>
      <c r="H170" s="3"/>
      <c r="J170" s="3"/>
      <c r="K170" s="3"/>
      <c r="L170" s="4"/>
      <c r="M170" s="4"/>
      <c r="N170" s="3"/>
      <c r="O170" s="3"/>
      <c r="P170" s="4"/>
      <c r="Q170" s="4"/>
      <c r="R170" s="4"/>
      <c r="S170" s="4"/>
      <c r="U170" s="9"/>
      <c r="X170" s="4"/>
      <c r="Y170" s="4"/>
      <c r="Z170" s="4"/>
      <c r="AA170" s="4"/>
      <c r="AB170" s="4"/>
      <c r="AC170" s="7"/>
      <c r="AD170" s="4"/>
      <c r="AE170" s="4"/>
      <c r="AF170" s="21"/>
    </row>
    <row r="171" spans="4:32" x14ac:dyDescent="0.25">
      <c r="D171" s="1"/>
      <c r="E171" s="2"/>
      <c r="F171" s="3"/>
      <c r="G171" s="3"/>
      <c r="H171" s="3"/>
      <c r="J171" s="3"/>
      <c r="K171" s="3"/>
      <c r="L171" s="4"/>
      <c r="M171" s="4"/>
      <c r="N171" s="3"/>
      <c r="O171" s="3"/>
      <c r="P171" s="4"/>
      <c r="Q171" s="4"/>
      <c r="R171" s="4"/>
      <c r="S171" s="4"/>
      <c r="U171" s="9"/>
      <c r="X171" s="4"/>
      <c r="Y171" s="4"/>
      <c r="Z171" s="4"/>
      <c r="AA171" s="4"/>
      <c r="AB171" s="4"/>
      <c r="AC171" s="7"/>
      <c r="AD171" s="4"/>
      <c r="AE171" s="4"/>
      <c r="AF171" s="21"/>
    </row>
    <row r="172" spans="4:32" x14ac:dyDescent="0.25">
      <c r="D172" s="1"/>
      <c r="E172" s="2"/>
      <c r="F172" s="3"/>
      <c r="G172" s="3"/>
      <c r="H172" s="3"/>
      <c r="J172" s="3"/>
      <c r="K172" s="3"/>
      <c r="L172" s="4"/>
      <c r="M172" s="4"/>
      <c r="N172" s="3"/>
      <c r="O172" s="3"/>
      <c r="P172" s="4"/>
      <c r="Q172" s="4"/>
      <c r="R172" s="4"/>
      <c r="S172" s="4"/>
      <c r="U172" s="9"/>
      <c r="X172" s="4"/>
      <c r="Y172" s="4"/>
      <c r="Z172" s="4"/>
      <c r="AA172" s="4"/>
      <c r="AB172" s="4"/>
      <c r="AC172" s="7"/>
      <c r="AD172" s="4"/>
      <c r="AE172" s="4"/>
      <c r="AF172" s="21"/>
    </row>
    <row r="173" spans="4:32" x14ac:dyDescent="0.25">
      <c r="D173" s="1"/>
      <c r="E173" s="2"/>
      <c r="F173" s="3"/>
      <c r="G173" s="3"/>
      <c r="H173" s="3"/>
      <c r="J173" s="3"/>
      <c r="K173" s="3"/>
      <c r="L173" s="4"/>
      <c r="M173" s="4"/>
      <c r="N173" s="3"/>
      <c r="O173" s="3"/>
      <c r="P173" s="4"/>
      <c r="Q173" s="4"/>
      <c r="R173" s="4"/>
      <c r="S173" s="4"/>
      <c r="U173" s="9"/>
      <c r="X173" s="4"/>
      <c r="Y173" s="4"/>
      <c r="Z173" s="4"/>
      <c r="AA173" s="4"/>
      <c r="AB173" s="4"/>
      <c r="AC173" s="7"/>
      <c r="AD173" s="4"/>
      <c r="AE173" s="4"/>
      <c r="AF173" s="21"/>
    </row>
    <row r="174" spans="4:32" x14ac:dyDescent="0.25">
      <c r="D174" s="1"/>
      <c r="E174" s="2"/>
      <c r="F174" s="3"/>
      <c r="G174" s="3"/>
      <c r="H174" s="3"/>
      <c r="J174" s="3"/>
      <c r="K174" s="3"/>
      <c r="L174" s="4"/>
      <c r="M174" s="4"/>
      <c r="N174" s="3"/>
      <c r="O174" s="3"/>
      <c r="P174" s="4"/>
      <c r="Q174" s="4"/>
      <c r="R174" s="4"/>
      <c r="S174" s="4"/>
      <c r="U174" s="9"/>
      <c r="X174" s="4"/>
      <c r="Y174" s="4"/>
      <c r="Z174" s="4"/>
      <c r="AA174" s="4"/>
      <c r="AB174" s="4"/>
      <c r="AC174" s="7"/>
      <c r="AD174" s="4"/>
      <c r="AE174" s="4"/>
      <c r="AF174" s="21"/>
    </row>
    <row r="175" spans="4:32" x14ac:dyDescent="0.25">
      <c r="D175" s="1"/>
      <c r="E175" s="2"/>
      <c r="F175" s="3"/>
      <c r="G175" s="3"/>
      <c r="H175" s="3"/>
      <c r="J175" s="3"/>
      <c r="K175" s="3"/>
      <c r="L175" s="4"/>
      <c r="M175" s="4"/>
      <c r="N175" s="3"/>
      <c r="O175" s="3"/>
      <c r="P175" s="4"/>
      <c r="Q175" s="4"/>
      <c r="R175" s="4"/>
      <c r="S175" s="4"/>
      <c r="U175" s="9"/>
      <c r="X175" s="4"/>
      <c r="Y175" s="4"/>
      <c r="Z175" s="4"/>
      <c r="AA175" s="4"/>
      <c r="AB175" s="4"/>
      <c r="AC175" s="7"/>
      <c r="AD175" s="4"/>
      <c r="AE175" s="4"/>
      <c r="AF175" s="21"/>
    </row>
    <row r="176" spans="4:32" x14ac:dyDescent="0.25">
      <c r="D176" s="1"/>
      <c r="E176" s="2"/>
      <c r="F176" s="3"/>
      <c r="G176" s="3"/>
      <c r="H176" s="3"/>
      <c r="J176" s="3"/>
      <c r="K176" s="3"/>
      <c r="L176" s="4"/>
      <c r="M176" s="4"/>
      <c r="N176" s="3"/>
      <c r="O176" s="3"/>
      <c r="P176" s="4"/>
      <c r="Q176" s="4"/>
      <c r="R176" s="4"/>
      <c r="S176" s="4"/>
      <c r="U176" s="9"/>
      <c r="X176" s="4"/>
      <c r="Y176" s="4"/>
      <c r="Z176" s="4"/>
      <c r="AA176" s="4"/>
      <c r="AB176" s="4"/>
      <c r="AC176" s="7"/>
      <c r="AD176" s="4"/>
      <c r="AE176" s="4"/>
      <c r="AF176" s="21"/>
    </row>
    <row r="177" spans="4:32" x14ac:dyDescent="0.25">
      <c r="D177" s="1"/>
      <c r="E177" s="2"/>
      <c r="F177" s="3"/>
      <c r="G177" s="3"/>
      <c r="H177" s="3"/>
      <c r="J177" s="3"/>
      <c r="K177" s="3"/>
      <c r="L177" s="4"/>
      <c r="M177" s="4"/>
      <c r="N177" s="3"/>
      <c r="O177" s="3"/>
      <c r="P177" s="4"/>
      <c r="Q177" s="4"/>
      <c r="R177" s="4"/>
      <c r="S177" s="4"/>
      <c r="U177" s="9"/>
      <c r="X177" s="4"/>
      <c r="Y177" s="4"/>
      <c r="Z177" s="4"/>
      <c r="AA177" s="4"/>
      <c r="AB177" s="4"/>
      <c r="AC177" s="7"/>
      <c r="AD177" s="4"/>
      <c r="AE177" s="4"/>
      <c r="AF177" s="21"/>
    </row>
    <row r="178" spans="4:32" x14ac:dyDescent="0.25">
      <c r="D178" s="1"/>
      <c r="E178" s="2"/>
      <c r="F178" s="3"/>
      <c r="G178" s="3"/>
      <c r="H178" s="3"/>
      <c r="J178" s="3"/>
      <c r="K178" s="3"/>
      <c r="L178" s="4"/>
      <c r="M178" s="4"/>
      <c r="N178" s="3"/>
      <c r="O178" s="3"/>
      <c r="P178" s="4"/>
      <c r="Q178" s="4"/>
      <c r="R178" s="4"/>
      <c r="S178" s="4"/>
      <c r="U178" s="9"/>
      <c r="X178" s="4"/>
      <c r="Y178" s="4"/>
      <c r="Z178" s="4"/>
      <c r="AA178" s="4"/>
      <c r="AB178" s="4"/>
      <c r="AC178" s="7"/>
      <c r="AD178" s="4"/>
      <c r="AE178" s="4"/>
      <c r="AF178" s="21"/>
    </row>
    <row r="179" spans="4:32" x14ac:dyDescent="0.25">
      <c r="D179" s="1"/>
      <c r="E179" s="2"/>
      <c r="F179" s="3"/>
      <c r="G179" s="3"/>
      <c r="H179" s="3"/>
      <c r="J179" s="3"/>
      <c r="K179" s="3"/>
      <c r="L179" s="4"/>
      <c r="M179" s="4"/>
      <c r="N179" s="3"/>
      <c r="O179" s="3"/>
      <c r="P179" s="4"/>
      <c r="Q179" s="4"/>
      <c r="R179" s="4"/>
      <c r="S179" s="4"/>
      <c r="U179" s="9"/>
      <c r="X179" s="4"/>
      <c r="Y179" s="4"/>
      <c r="Z179" s="4"/>
      <c r="AA179" s="4"/>
      <c r="AB179" s="4"/>
      <c r="AC179" s="7"/>
      <c r="AD179" s="4"/>
      <c r="AE179" s="4"/>
      <c r="AF179" s="21"/>
    </row>
    <row r="180" spans="4:32" x14ac:dyDescent="0.25">
      <c r="D180" s="1"/>
      <c r="E180" s="2"/>
      <c r="F180" s="3"/>
      <c r="G180" s="3"/>
      <c r="H180" s="3"/>
      <c r="J180" s="3"/>
      <c r="K180" s="3"/>
      <c r="L180" s="4"/>
      <c r="M180" s="4"/>
      <c r="N180" s="3"/>
      <c r="O180" s="3"/>
      <c r="P180" s="4"/>
      <c r="Q180" s="4"/>
      <c r="R180" s="4"/>
      <c r="S180" s="4"/>
      <c r="U180" s="9"/>
      <c r="X180" s="4"/>
      <c r="Y180" s="4"/>
      <c r="Z180" s="4"/>
      <c r="AA180" s="4"/>
      <c r="AB180" s="4"/>
      <c r="AC180" s="7"/>
      <c r="AD180" s="4"/>
      <c r="AE180" s="4"/>
      <c r="AF180" s="21"/>
    </row>
    <row r="181" spans="4:32" x14ac:dyDescent="0.25">
      <c r="D181" s="1"/>
      <c r="E181" s="2"/>
      <c r="F181" s="3"/>
      <c r="G181" s="3"/>
      <c r="H181" s="3"/>
      <c r="J181" s="3"/>
      <c r="K181" s="3"/>
      <c r="L181" s="4"/>
      <c r="M181" s="4"/>
      <c r="N181" s="3"/>
      <c r="O181" s="3"/>
      <c r="P181" s="4"/>
      <c r="Q181" s="4"/>
      <c r="R181" s="4"/>
      <c r="S181" s="4"/>
      <c r="U181" s="9"/>
      <c r="X181" s="4"/>
      <c r="Y181" s="4"/>
      <c r="Z181" s="4"/>
      <c r="AA181" s="4"/>
      <c r="AB181" s="4"/>
      <c r="AC181" s="7"/>
      <c r="AD181" s="4"/>
      <c r="AE181" s="4"/>
      <c r="AF181" s="21"/>
    </row>
    <row r="182" spans="4:32" x14ac:dyDescent="0.25">
      <c r="D182" s="1"/>
      <c r="E182" s="2"/>
      <c r="F182" s="3"/>
      <c r="G182" s="3"/>
      <c r="H182" s="3"/>
      <c r="J182" s="3"/>
      <c r="K182" s="3"/>
      <c r="L182" s="4"/>
      <c r="M182" s="4"/>
      <c r="N182" s="3"/>
      <c r="O182" s="3"/>
      <c r="P182" s="4"/>
      <c r="Q182" s="4"/>
      <c r="R182" s="4"/>
      <c r="S182" s="4"/>
      <c r="U182" s="9"/>
      <c r="X182" s="4"/>
      <c r="Y182" s="4"/>
      <c r="Z182" s="4"/>
      <c r="AA182" s="4"/>
      <c r="AB182" s="4"/>
      <c r="AC182" s="7"/>
      <c r="AD182" s="4"/>
      <c r="AE182" s="4"/>
      <c r="AF182" s="21"/>
    </row>
    <row r="183" spans="4:32" x14ac:dyDescent="0.25">
      <c r="D183" s="1"/>
      <c r="E183" s="2"/>
      <c r="F183" s="3"/>
      <c r="G183" s="3"/>
      <c r="H183" s="3"/>
      <c r="J183" s="3"/>
      <c r="K183" s="3"/>
      <c r="L183" s="4"/>
      <c r="M183" s="4"/>
      <c r="N183" s="3"/>
      <c r="O183" s="3"/>
      <c r="P183" s="4"/>
      <c r="Q183" s="4"/>
      <c r="R183" s="4"/>
      <c r="S183" s="4"/>
      <c r="U183" s="9"/>
      <c r="X183" s="4"/>
      <c r="Y183" s="4"/>
      <c r="Z183" s="4"/>
      <c r="AA183" s="4"/>
      <c r="AB183" s="4"/>
      <c r="AC183" s="7"/>
      <c r="AD183" s="4"/>
      <c r="AE183" s="4"/>
      <c r="AF183" s="21"/>
    </row>
    <row r="184" spans="4:32" x14ac:dyDescent="0.25">
      <c r="D184" s="1"/>
      <c r="E184" s="2"/>
      <c r="F184" s="3"/>
      <c r="G184" s="3"/>
      <c r="H184" s="3"/>
      <c r="J184" s="3"/>
      <c r="K184" s="3"/>
      <c r="L184" s="4"/>
      <c r="M184" s="4"/>
      <c r="N184" s="3"/>
      <c r="O184" s="3"/>
      <c r="P184" s="4"/>
      <c r="Q184" s="4"/>
      <c r="R184" s="4"/>
      <c r="S184" s="4"/>
      <c r="U184" s="9"/>
      <c r="X184" s="4"/>
      <c r="Y184" s="4"/>
      <c r="Z184" s="4"/>
      <c r="AA184" s="4"/>
      <c r="AB184" s="4"/>
      <c r="AC184" s="7"/>
      <c r="AD184" s="4"/>
      <c r="AE184" s="4"/>
      <c r="AF184" s="21"/>
    </row>
    <row r="185" spans="4:32" x14ac:dyDescent="0.25">
      <c r="D185" s="1"/>
      <c r="E185" s="2"/>
      <c r="F185" s="3"/>
      <c r="G185" s="3"/>
      <c r="H185" s="3"/>
      <c r="J185" s="3"/>
      <c r="K185" s="3"/>
      <c r="L185" s="4"/>
      <c r="M185" s="4"/>
      <c r="N185" s="3"/>
      <c r="O185" s="3"/>
      <c r="P185" s="4"/>
      <c r="Q185" s="4"/>
      <c r="R185" s="4"/>
      <c r="S185" s="4"/>
      <c r="U185" s="9"/>
      <c r="X185" s="4"/>
      <c r="Y185" s="4"/>
      <c r="Z185" s="4"/>
      <c r="AA185" s="4"/>
      <c r="AB185" s="4"/>
      <c r="AC185" s="7"/>
      <c r="AD185" s="4"/>
      <c r="AE185" s="4"/>
      <c r="AF185" s="21"/>
    </row>
    <row r="186" spans="4:32" x14ac:dyDescent="0.25">
      <c r="D186" s="1"/>
      <c r="E186" s="2"/>
      <c r="F186" s="3"/>
      <c r="G186" s="3"/>
      <c r="H186" s="3"/>
      <c r="J186" s="3"/>
      <c r="K186" s="3"/>
      <c r="L186" s="4"/>
      <c r="M186" s="4"/>
      <c r="N186" s="3"/>
      <c r="O186" s="3"/>
      <c r="P186" s="4"/>
      <c r="Q186" s="4"/>
      <c r="R186" s="4"/>
      <c r="S186" s="4"/>
      <c r="U186" s="9"/>
      <c r="X186" s="4"/>
      <c r="Y186" s="4"/>
      <c r="Z186" s="4"/>
      <c r="AA186" s="4"/>
      <c r="AB186" s="4"/>
      <c r="AC186" s="7"/>
      <c r="AD186" s="4"/>
      <c r="AE186" s="4"/>
      <c r="AF186" s="21"/>
    </row>
    <row r="187" spans="4:32" x14ac:dyDescent="0.25">
      <c r="D187" s="1"/>
      <c r="E187" s="2"/>
      <c r="F187" s="3"/>
      <c r="G187" s="3"/>
      <c r="H187" s="3"/>
      <c r="J187" s="3"/>
      <c r="K187" s="3"/>
      <c r="L187" s="4"/>
      <c r="M187" s="4"/>
      <c r="N187" s="3"/>
      <c r="O187" s="3"/>
      <c r="P187" s="4"/>
      <c r="Q187" s="4"/>
      <c r="R187" s="4"/>
      <c r="S187" s="4"/>
      <c r="U187" s="9"/>
      <c r="X187" s="4"/>
      <c r="Y187" s="4"/>
      <c r="Z187" s="4"/>
      <c r="AA187" s="4"/>
      <c r="AB187" s="4"/>
      <c r="AC187" s="7"/>
      <c r="AD187" s="4"/>
      <c r="AE187" s="4"/>
      <c r="AF187" s="21"/>
    </row>
    <row r="188" spans="4:32" x14ac:dyDescent="0.25">
      <c r="D188" s="1"/>
      <c r="E188" s="2"/>
      <c r="F188" s="3"/>
      <c r="G188" s="3"/>
      <c r="H188" s="3"/>
      <c r="J188" s="3"/>
      <c r="K188" s="3"/>
      <c r="L188" s="4"/>
      <c r="M188" s="4"/>
      <c r="N188" s="3"/>
      <c r="O188" s="3"/>
      <c r="P188" s="4"/>
      <c r="Q188" s="4"/>
      <c r="R188" s="4"/>
      <c r="S188" s="4"/>
      <c r="U188" s="9"/>
      <c r="X188" s="4"/>
      <c r="Y188" s="4"/>
      <c r="Z188" s="4"/>
      <c r="AA188" s="4"/>
      <c r="AB188" s="4"/>
      <c r="AC188" s="7"/>
      <c r="AD188" s="4"/>
      <c r="AE188" s="4"/>
      <c r="AF188" s="21"/>
    </row>
    <row r="189" spans="4:32" x14ac:dyDescent="0.25">
      <c r="D189" s="1"/>
      <c r="E189" s="2"/>
      <c r="F189" s="3"/>
      <c r="G189" s="3"/>
      <c r="H189" s="3"/>
      <c r="J189" s="3"/>
      <c r="K189" s="3"/>
      <c r="L189" s="4"/>
      <c r="M189" s="4"/>
      <c r="N189" s="3"/>
      <c r="O189" s="3"/>
      <c r="P189" s="4"/>
      <c r="Q189" s="4"/>
      <c r="R189" s="4"/>
      <c r="S189" s="4"/>
      <c r="U189" s="9"/>
      <c r="X189" s="4"/>
      <c r="Y189" s="4"/>
      <c r="Z189" s="4"/>
      <c r="AA189" s="4"/>
      <c r="AB189" s="4"/>
      <c r="AC189" s="7"/>
      <c r="AD189" s="4"/>
      <c r="AE189" s="4"/>
      <c r="AF189" s="21"/>
    </row>
    <row r="190" spans="4:32" x14ac:dyDescent="0.25">
      <c r="D190" s="1"/>
      <c r="E190" s="2"/>
      <c r="F190" s="3"/>
      <c r="G190" s="3"/>
      <c r="H190" s="3"/>
      <c r="J190" s="3"/>
      <c r="K190" s="3"/>
      <c r="L190" s="4"/>
      <c r="M190" s="4"/>
      <c r="N190" s="3"/>
      <c r="O190" s="3"/>
      <c r="P190" s="4"/>
      <c r="Q190" s="4"/>
      <c r="R190" s="4"/>
      <c r="S190" s="4"/>
      <c r="U190" s="9"/>
      <c r="X190" s="4"/>
      <c r="Y190" s="4"/>
      <c r="Z190" s="4"/>
      <c r="AA190" s="4"/>
      <c r="AB190" s="4"/>
      <c r="AC190" s="7"/>
      <c r="AD190" s="4"/>
      <c r="AE190" s="4"/>
      <c r="AF190" s="21"/>
    </row>
    <row r="191" spans="4:32" x14ac:dyDescent="0.25">
      <c r="D191" s="1"/>
      <c r="E191" s="2"/>
      <c r="F191" s="3"/>
      <c r="G191" s="3"/>
      <c r="H191" s="3"/>
      <c r="J191" s="3"/>
      <c r="K191" s="3"/>
      <c r="L191" s="4"/>
      <c r="M191" s="4"/>
      <c r="N191" s="3"/>
      <c r="O191" s="3"/>
      <c r="P191" s="4"/>
      <c r="Q191" s="4"/>
      <c r="R191" s="4"/>
      <c r="S191" s="4"/>
      <c r="U191" s="9"/>
      <c r="X191" s="4"/>
      <c r="Y191" s="4"/>
      <c r="Z191" s="4"/>
      <c r="AA191" s="4"/>
      <c r="AB191" s="4"/>
      <c r="AC191" s="7"/>
      <c r="AD191" s="4"/>
      <c r="AE191" s="4"/>
      <c r="AF191" s="21"/>
    </row>
    <row r="192" spans="4:32" x14ac:dyDescent="0.25">
      <c r="D192" s="1"/>
      <c r="E192" s="2"/>
      <c r="F192" s="3"/>
      <c r="G192" s="3"/>
      <c r="H192" s="3"/>
      <c r="J192" s="3"/>
      <c r="K192" s="3"/>
      <c r="L192" s="4"/>
      <c r="M192" s="4"/>
      <c r="N192" s="3"/>
      <c r="O192" s="3"/>
      <c r="P192" s="4"/>
      <c r="Q192" s="4"/>
      <c r="R192" s="4"/>
      <c r="S192" s="4"/>
      <c r="U192" s="9"/>
      <c r="X192" s="4"/>
      <c r="Y192" s="4"/>
      <c r="Z192" s="4"/>
      <c r="AA192" s="4"/>
      <c r="AB192" s="4"/>
      <c r="AC192" s="7"/>
      <c r="AD192" s="4"/>
      <c r="AE192" s="4"/>
      <c r="AF192" s="21"/>
    </row>
    <row r="193" spans="4:32" x14ac:dyDescent="0.25">
      <c r="D193" s="1"/>
      <c r="E193" s="2"/>
      <c r="F193" s="3"/>
      <c r="G193" s="3"/>
      <c r="H193" s="3"/>
      <c r="J193" s="3"/>
      <c r="K193" s="3"/>
      <c r="L193" s="4"/>
      <c r="M193" s="4"/>
      <c r="N193" s="3"/>
      <c r="O193" s="3"/>
      <c r="P193" s="4"/>
      <c r="Q193" s="4"/>
      <c r="R193" s="4"/>
      <c r="S193" s="4"/>
      <c r="U193" s="9"/>
      <c r="X193" s="4"/>
      <c r="Y193" s="4"/>
      <c r="Z193" s="4"/>
      <c r="AA193" s="4"/>
      <c r="AB193" s="4"/>
      <c r="AC193" s="7"/>
      <c r="AD193" s="4"/>
      <c r="AE193" s="4"/>
      <c r="AF193" s="21"/>
    </row>
    <row r="194" spans="4:32" x14ac:dyDescent="0.25">
      <c r="D194" s="1"/>
      <c r="E194" s="2"/>
      <c r="F194" s="3"/>
      <c r="G194" s="3"/>
      <c r="H194" s="3"/>
      <c r="J194" s="3"/>
      <c r="K194" s="3"/>
      <c r="L194" s="4"/>
      <c r="M194" s="4"/>
      <c r="N194" s="3"/>
      <c r="O194" s="3"/>
      <c r="P194" s="4"/>
      <c r="Q194" s="4"/>
      <c r="R194" s="4"/>
      <c r="S194" s="4"/>
      <c r="U194" s="9"/>
      <c r="X194" s="4"/>
      <c r="Y194" s="4"/>
      <c r="Z194" s="4"/>
      <c r="AA194" s="4"/>
      <c r="AB194" s="4"/>
      <c r="AC194" s="7"/>
      <c r="AD194" s="4"/>
      <c r="AE194" s="4"/>
      <c r="AF194" s="21"/>
    </row>
    <row r="195" spans="4:32" x14ac:dyDescent="0.25">
      <c r="D195" s="1"/>
      <c r="E195" s="2"/>
      <c r="F195" s="3"/>
      <c r="G195" s="3"/>
      <c r="H195" s="3"/>
      <c r="J195" s="3"/>
      <c r="K195" s="3"/>
      <c r="L195" s="4"/>
      <c r="M195" s="4"/>
      <c r="N195" s="3"/>
      <c r="O195" s="3"/>
      <c r="P195" s="4"/>
      <c r="Q195" s="4"/>
      <c r="R195" s="4"/>
      <c r="S195" s="4"/>
      <c r="U195" s="9"/>
      <c r="X195" s="4"/>
      <c r="Y195" s="4"/>
      <c r="Z195" s="4"/>
      <c r="AA195" s="4"/>
      <c r="AB195" s="4"/>
      <c r="AC195" s="7"/>
      <c r="AD195" s="4"/>
      <c r="AE195" s="4"/>
      <c r="AF195" s="21"/>
    </row>
    <row r="196" spans="4:32" x14ac:dyDescent="0.25">
      <c r="D196" s="1"/>
      <c r="E196" s="2"/>
      <c r="F196" s="3"/>
      <c r="G196" s="3"/>
      <c r="H196" s="3"/>
      <c r="J196" s="3"/>
      <c r="K196" s="3"/>
      <c r="L196" s="4"/>
      <c r="M196" s="4"/>
      <c r="N196" s="3"/>
      <c r="O196" s="3"/>
      <c r="P196" s="4"/>
      <c r="Q196" s="4"/>
      <c r="R196" s="4"/>
      <c r="S196" s="4"/>
      <c r="U196" s="9"/>
      <c r="X196" s="4"/>
      <c r="Y196" s="4"/>
      <c r="Z196" s="4"/>
      <c r="AA196" s="4"/>
      <c r="AB196" s="4"/>
      <c r="AC196" s="7"/>
      <c r="AD196" s="4"/>
      <c r="AE196" s="4"/>
      <c r="AF196" s="21"/>
    </row>
    <row r="197" spans="4:32" x14ac:dyDescent="0.25">
      <c r="D197" s="1"/>
      <c r="E197" s="2"/>
      <c r="F197" s="3"/>
      <c r="G197" s="3"/>
      <c r="H197" s="3"/>
      <c r="J197" s="3"/>
      <c r="K197" s="3"/>
      <c r="L197" s="4"/>
      <c r="M197" s="4"/>
      <c r="N197" s="3"/>
      <c r="O197" s="3"/>
      <c r="P197" s="4"/>
      <c r="Q197" s="4"/>
      <c r="R197" s="4"/>
      <c r="S197" s="4"/>
      <c r="U197" s="9"/>
      <c r="X197" s="4"/>
      <c r="Y197" s="4"/>
      <c r="Z197" s="4"/>
      <c r="AA197" s="4"/>
      <c r="AB197" s="4"/>
      <c r="AC197" s="7"/>
      <c r="AD197" s="4"/>
      <c r="AE197" s="4"/>
      <c r="AF197" s="21"/>
    </row>
    <row r="198" spans="4:32" x14ac:dyDescent="0.25">
      <c r="D198" s="1"/>
      <c r="E198" s="2"/>
      <c r="F198" s="3"/>
      <c r="G198" s="3"/>
      <c r="H198" s="3"/>
      <c r="J198" s="3"/>
      <c r="K198" s="3"/>
      <c r="L198" s="4"/>
      <c r="M198" s="4"/>
      <c r="N198" s="3"/>
      <c r="O198" s="3"/>
      <c r="P198" s="4"/>
      <c r="Q198" s="4"/>
      <c r="R198" s="4"/>
      <c r="S198" s="4"/>
      <c r="U198" s="9"/>
      <c r="X198" s="4"/>
      <c r="Y198" s="4"/>
      <c r="Z198" s="4"/>
      <c r="AA198" s="4"/>
      <c r="AB198" s="4"/>
      <c r="AC198" s="7"/>
      <c r="AD198" s="4"/>
      <c r="AE198" s="4"/>
      <c r="AF198" s="21"/>
    </row>
    <row r="199" spans="4:32" x14ac:dyDescent="0.25">
      <c r="D199" s="1"/>
      <c r="E199" s="2"/>
      <c r="F199" s="3"/>
      <c r="G199" s="3"/>
      <c r="H199" s="3"/>
      <c r="J199" s="3"/>
      <c r="K199" s="3"/>
      <c r="L199" s="4"/>
      <c r="M199" s="4"/>
      <c r="N199" s="3"/>
      <c r="O199" s="3"/>
      <c r="P199" s="4"/>
      <c r="Q199" s="4"/>
      <c r="R199" s="4"/>
      <c r="S199" s="4"/>
      <c r="U199" s="9"/>
      <c r="X199" s="4"/>
      <c r="Y199" s="4"/>
      <c r="Z199" s="4"/>
      <c r="AA199" s="4"/>
      <c r="AB199" s="4"/>
      <c r="AC199" s="7"/>
      <c r="AD199" s="4"/>
      <c r="AE199" s="4"/>
      <c r="AF199" s="21"/>
    </row>
    <row r="200" spans="4:32" x14ac:dyDescent="0.25">
      <c r="D200" s="1"/>
      <c r="E200" s="2"/>
      <c r="F200" s="3"/>
      <c r="G200" s="3"/>
      <c r="H200" s="3"/>
      <c r="J200" s="3"/>
      <c r="K200" s="3"/>
      <c r="L200" s="4"/>
      <c r="M200" s="4"/>
      <c r="N200" s="3"/>
      <c r="O200" s="3"/>
      <c r="P200" s="4"/>
      <c r="Q200" s="4"/>
      <c r="R200" s="4"/>
      <c r="S200" s="4"/>
      <c r="U200" s="9"/>
      <c r="X200" s="4"/>
      <c r="Y200" s="4"/>
      <c r="Z200" s="4"/>
      <c r="AA200" s="4"/>
      <c r="AB200" s="4"/>
      <c r="AC200" s="7"/>
      <c r="AD200" s="4"/>
      <c r="AE200" s="4"/>
      <c r="AF200" s="21"/>
    </row>
    <row r="201" spans="4:32" x14ac:dyDescent="0.25">
      <c r="D201" s="1"/>
      <c r="E201" s="2"/>
      <c r="F201" s="3"/>
      <c r="G201" s="3"/>
      <c r="H201" s="3"/>
      <c r="J201" s="3"/>
      <c r="K201" s="3"/>
      <c r="L201" s="4"/>
      <c r="M201" s="4"/>
      <c r="N201" s="3"/>
      <c r="O201" s="3"/>
      <c r="P201" s="4"/>
      <c r="Q201" s="4"/>
      <c r="R201" s="4"/>
      <c r="S201" s="4"/>
      <c r="U201" s="9"/>
      <c r="X201" s="4"/>
      <c r="Y201" s="4"/>
      <c r="Z201" s="4"/>
      <c r="AA201" s="4"/>
      <c r="AB201" s="4"/>
      <c r="AC201" s="7"/>
      <c r="AD201" s="4"/>
      <c r="AE201" s="4"/>
      <c r="AF201" s="21"/>
    </row>
    <row r="202" spans="4:32" x14ac:dyDescent="0.25">
      <c r="D202" s="1"/>
      <c r="E202" s="2"/>
      <c r="F202" s="3"/>
      <c r="G202" s="3"/>
      <c r="H202" s="3"/>
      <c r="J202" s="3"/>
      <c r="K202" s="3"/>
      <c r="L202" s="4"/>
      <c r="M202" s="4"/>
      <c r="N202" s="3"/>
      <c r="O202" s="3"/>
      <c r="P202" s="4"/>
      <c r="Q202" s="4"/>
      <c r="R202" s="4"/>
      <c r="S202" s="4"/>
      <c r="U202" s="9"/>
      <c r="X202" s="4"/>
      <c r="Y202" s="4"/>
      <c r="Z202" s="4"/>
      <c r="AA202" s="4"/>
      <c r="AB202" s="4"/>
      <c r="AC202" s="7"/>
      <c r="AD202" s="4"/>
      <c r="AE202" s="4"/>
      <c r="AF202" s="21"/>
    </row>
    <row r="203" spans="4:32" x14ac:dyDescent="0.25">
      <c r="D203" s="1"/>
      <c r="E203" s="2"/>
      <c r="F203" s="3"/>
      <c r="G203" s="3"/>
      <c r="H203" s="3"/>
      <c r="J203" s="3"/>
      <c r="K203" s="3"/>
      <c r="L203" s="4"/>
      <c r="M203" s="4"/>
      <c r="N203" s="3"/>
      <c r="O203" s="3"/>
      <c r="P203" s="4"/>
      <c r="Q203" s="4"/>
      <c r="R203" s="4"/>
      <c r="S203" s="4"/>
      <c r="U203" s="9"/>
      <c r="X203" s="4"/>
      <c r="Y203" s="4"/>
      <c r="Z203" s="4"/>
      <c r="AA203" s="4"/>
      <c r="AB203" s="4"/>
      <c r="AC203" s="7"/>
      <c r="AD203" s="4"/>
      <c r="AE203" s="4"/>
      <c r="AF203" s="21"/>
    </row>
    <row r="204" spans="4:32" x14ac:dyDescent="0.25">
      <c r="D204" s="1"/>
      <c r="E204" s="2"/>
      <c r="F204" s="3"/>
      <c r="G204" s="3"/>
      <c r="H204" s="3"/>
      <c r="J204" s="3"/>
      <c r="K204" s="3"/>
      <c r="L204" s="4"/>
      <c r="M204" s="4"/>
      <c r="N204" s="3"/>
      <c r="O204" s="3"/>
      <c r="P204" s="4"/>
      <c r="Q204" s="4"/>
      <c r="R204" s="4"/>
      <c r="S204" s="4"/>
      <c r="U204" s="9"/>
      <c r="X204" s="4"/>
      <c r="Y204" s="4"/>
      <c r="Z204" s="4"/>
      <c r="AA204" s="4"/>
      <c r="AB204" s="4"/>
      <c r="AC204" s="7"/>
      <c r="AD204" s="4"/>
      <c r="AE204" s="4"/>
      <c r="AF204" s="21"/>
    </row>
    <row r="205" spans="4:32" x14ac:dyDescent="0.25">
      <c r="D205" s="1"/>
      <c r="E205" s="2"/>
      <c r="F205" s="3"/>
      <c r="G205" s="3"/>
      <c r="H205" s="3"/>
      <c r="J205" s="3"/>
      <c r="K205" s="3"/>
      <c r="L205" s="4"/>
      <c r="M205" s="4"/>
      <c r="N205" s="3"/>
      <c r="O205" s="3"/>
      <c r="P205" s="4"/>
      <c r="Q205" s="4"/>
      <c r="R205" s="4"/>
      <c r="S205" s="4"/>
      <c r="U205" s="9"/>
      <c r="X205" s="4"/>
      <c r="Y205" s="4"/>
      <c r="Z205" s="4"/>
      <c r="AA205" s="4"/>
      <c r="AB205" s="4"/>
      <c r="AC205" s="7"/>
      <c r="AD205" s="4"/>
      <c r="AE205" s="4"/>
      <c r="AF205" s="21"/>
    </row>
    <row r="206" spans="4:32" x14ac:dyDescent="0.25">
      <c r="D206" s="1"/>
      <c r="E206" s="2"/>
      <c r="F206" s="3"/>
      <c r="G206" s="3"/>
      <c r="H206" s="3"/>
      <c r="J206" s="3"/>
      <c r="K206" s="3"/>
      <c r="L206" s="4"/>
      <c r="M206" s="4"/>
      <c r="N206" s="3"/>
      <c r="O206" s="3"/>
      <c r="P206" s="4"/>
      <c r="Q206" s="4"/>
      <c r="R206" s="4"/>
      <c r="S206" s="4"/>
      <c r="U206" s="9"/>
      <c r="X206" s="4"/>
      <c r="Y206" s="4"/>
      <c r="Z206" s="4"/>
      <c r="AA206" s="4"/>
      <c r="AB206" s="4"/>
      <c r="AC206" s="7"/>
      <c r="AD206" s="4"/>
      <c r="AE206" s="4"/>
      <c r="AF206" s="21"/>
    </row>
    <row r="207" spans="4:32" x14ac:dyDescent="0.25">
      <c r="D207" s="1"/>
      <c r="E207" s="2"/>
      <c r="F207" s="3"/>
      <c r="G207" s="3"/>
      <c r="H207" s="3"/>
      <c r="J207" s="3"/>
      <c r="K207" s="3"/>
      <c r="L207" s="4"/>
      <c r="M207" s="4"/>
      <c r="N207" s="3"/>
      <c r="O207" s="3"/>
      <c r="P207" s="4"/>
      <c r="Q207" s="4"/>
      <c r="R207" s="4"/>
      <c r="S207" s="4"/>
      <c r="U207" s="9"/>
      <c r="X207" s="4"/>
      <c r="Y207" s="4"/>
      <c r="Z207" s="4"/>
      <c r="AA207" s="4"/>
      <c r="AB207" s="4"/>
      <c r="AC207" s="7"/>
      <c r="AD207" s="4"/>
      <c r="AE207" s="4"/>
      <c r="AF207" s="21"/>
    </row>
    <row r="208" spans="4:32" x14ac:dyDescent="0.25">
      <c r="D208" s="1"/>
      <c r="E208" s="2"/>
      <c r="F208" s="3"/>
      <c r="G208" s="3"/>
      <c r="H208" s="3"/>
      <c r="J208" s="3"/>
      <c r="K208" s="3"/>
      <c r="L208" s="4"/>
      <c r="M208" s="4"/>
      <c r="N208" s="3"/>
      <c r="O208" s="3"/>
      <c r="P208" s="4"/>
      <c r="Q208" s="4"/>
      <c r="R208" s="4"/>
      <c r="S208" s="4"/>
      <c r="U208" s="9"/>
      <c r="X208" s="4"/>
      <c r="Y208" s="4"/>
      <c r="Z208" s="4"/>
      <c r="AA208" s="4"/>
      <c r="AB208" s="4"/>
      <c r="AC208" s="7"/>
      <c r="AD208" s="4"/>
      <c r="AE208" s="4"/>
      <c r="AF208" s="21"/>
    </row>
    <row r="209" spans="4:32" x14ac:dyDescent="0.25">
      <c r="D209" s="1"/>
      <c r="E209" s="2"/>
      <c r="F209" s="3"/>
      <c r="G209" s="3"/>
      <c r="H209" s="3"/>
      <c r="J209" s="3"/>
      <c r="K209" s="3"/>
      <c r="L209" s="4"/>
      <c r="M209" s="4"/>
      <c r="N209" s="3"/>
      <c r="O209" s="3"/>
      <c r="P209" s="4"/>
      <c r="Q209" s="4"/>
      <c r="R209" s="4"/>
      <c r="S209" s="4"/>
      <c r="U209" s="9"/>
      <c r="X209" s="4"/>
      <c r="Y209" s="4"/>
      <c r="Z209" s="4"/>
      <c r="AA209" s="4"/>
      <c r="AB209" s="4"/>
      <c r="AC209" s="7"/>
      <c r="AD209" s="4"/>
      <c r="AE209" s="4"/>
      <c r="AF209" s="21"/>
    </row>
    <row r="210" spans="4:32" x14ac:dyDescent="0.25">
      <c r="D210" s="1"/>
      <c r="E210" s="2"/>
      <c r="F210" s="3"/>
      <c r="G210" s="3"/>
      <c r="H210" s="3"/>
      <c r="J210" s="3"/>
      <c r="K210" s="3"/>
      <c r="L210" s="4"/>
      <c r="M210" s="4"/>
      <c r="N210" s="3"/>
      <c r="O210" s="3"/>
      <c r="P210" s="4"/>
      <c r="Q210" s="4"/>
      <c r="R210" s="4"/>
      <c r="S210" s="4"/>
      <c r="U210" s="9"/>
      <c r="X210" s="4"/>
      <c r="Y210" s="4"/>
      <c r="Z210" s="4"/>
      <c r="AA210" s="4"/>
      <c r="AB210" s="4"/>
      <c r="AC210" s="7"/>
      <c r="AD210" s="4"/>
      <c r="AE210" s="4"/>
      <c r="AF210" s="21"/>
    </row>
    <row r="211" spans="4:32" x14ac:dyDescent="0.25">
      <c r="D211" s="1"/>
      <c r="E211" s="2"/>
      <c r="F211" s="3"/>
      <c r="G211" s="3"/>
      <c r="H211" s="3"/>
      <c r="J211" s="3"/>
      <c r="K211" s="3"/>
      <c r="L211" s="4"/>
      <c r="M211" s="4"/>
      <c r="N211" s="3"/>
      <c r="O211" s="3"/>
      <c r="P211" s="4"/>
      <c r="Q211" s="4"/>
      <c r="R211" s="4"/>
      <c r="S211" s="4"/>
      <c r="U211" s="9"/>
      <c r="X211" s="4"/>
      <c r="Y211" s="4"/>
      <c r="Z211" s="4"/>
      <c r="AA211" s="4"/>
      <c r="AB211" s="4"/>
      <c r="AC211" s="7"/>
      <c r="AD211" s="4"/>
      <c r="AE211" s="4"/>
      <c r="AF211" s="21"/>
    </row>
    <row r="212" spans="4:32" x14ac:dyDescent="0.25">
      <c r="D212" s="1"/>
      <c r="E212" s="2"/>
      <c r="F212" s="3"/>
      <c r="G212" s="3"/>
      <c r="H212" s="3"/>
      <c r="J212" s="3"/>
      <c r="K212" s="3"/>
      <c r="L212" s="4"/>
      <c r="M212" s="4"/>
      <c r="N212" s="3"/>
      <c r="O212" s="3"/>
      <c r="P212" s="4"/>
      <c r="Q212" s="4"/>
      <c r="R212" s="4"/>
      <c r="S212" s="4"/>
      <c r="U212" s="9"/>
      <c r="X212" s="4"/>
      <c r="Y212" s="4"/>
      <c r="Z212" s="4"/>
      <c r="AA212" s="4"/>
      <c r="AB212" s="4"/>
      <c r="AC212" s="7"/>
      <c r="AD212" s="4"/>
      <c r="AE212" s="4"/>
      <c r="AF212" s="21"/>
    </row>
    <row r="213" spans="4:32" x14ac:dyDescent="0.25">
      <c r="D213" s="1"/>
      <c r="E213" s="2"/>
      <c r="F213" s="3"/>
      <c r="G213" s="3"/>
      <c r="H213" s="3"/>
      <c r="J213" s="3"/>
      <c r="K213" s="3"/>
      <c r="L213" s="4"/>
      <c r="M213" s="4"/>
      <c r="N213" s="3"/>
      <c r="O213" s="3"/>
      <c r="P213" s="4"/>
      <c r="Q213" s="4"/>
      <c r="R213" s="4"/>
      <c r="S213" s="4"/>
      <c r="U213" s="9"/>
      <c r="X213" s="4"/>
      <c r="Y213" s="4"/>
      <c r="Z213" s="4"/>
      <c r="AA213" s="4"/>
      <c r="AB213" s="4"/>
      <c r="AC213" s="7"/>
      <c r="AD213" s="4"/>
      <c r="AE213" s="4"/>
      <c r="AF213" s="21"/>
    </row>
    <row r="214" spans="4:32" x14ac:dyDescent="0.25">
      <c r="D214" s="1"/>
      <c r="E214" s="2"/>
      <c r="F214" s="3"/>
      <c r="G214" s="3"/>
      <c r="H214" s="3"/>
      <c r="J214" s="3"/>
      <c r="K214" s="3"/>
      <c r="L214" s="4"/>
      <c r="M214" s="4"/>
      <c r="N214" s="3"/>
      <c r="O214" s="3"/>
      <c r="P214" s="4"/>
      <c r="Q214" s="4"/>
      <c r="R214" s="4"/>
      <c r="S214" s="4"/>
      <c r="U214" s="9"/>
      <c r="X214" s="4"/>
      <c r="Y214" s="4"/>
      <c r="Z214" s="4"/>
      <c r="AA214" s="4"/>
      <c r="AB214" s="4"/>
      <c r="AC214" s="7"/>
      <c r="AD214" s="4"/>
      <c r="AE214" s="4"/>
      <c r="AF214" s="21"/>
    </row>
    <row r="215" spans="4:32" x14ac:dyDescent="0.25">
      <c r="D215" s="1"/>
      <c r="E215" s="2"/>
      <c r="F215" s="3"/>
      <c r="G215" s="3"/>
      <c r="H215" s="3"/>
      <c r="J215" s="3"/>
      <c r="K215" s="3"/>
      <c r="L215" s="4"/>
      <c r="M215" s="4"/>
      <c r="N215" s="3"/>
      <c r="O215" s="3"/>
      <c r="P215" s="4"/>
      <c r="Q215" s="4"/>
      <c r="R215" s="4"/>
      <c r="S215" s="4"/>
      <c r="U215" s="9"/>
      <c r="X215" s="4"/>
      <c r="Y215" s="4"/>
      <c r="Z215" s="4"/>
      <c r="AA215" s="4"/>
      <c r="AB215" s="4"/>
      <c r="AC215" s="7"/>
      <c r="AD215" s="4"/>
      <c r="AE215" s="4"/>
      <c r="AF215" s="21"/>
    </row>
    <row r="216" spans="4:32" x14ac:dyDescent="0.25">
      <c r="D216" s="1"/>
      <c r="E216" s="2"/>
      <c r="F216" s="3"/>
      <c r="G216" s="3"/>
      <c r="H216" s="3"/>
      <c r="J216" s="3"/>
      <c r="K216" s="3"/>
      <c r="L216" s="4"/>
      <c r="M216" s="4"/>
      <c r="N216" s="3"/>
      <c r="O216" s="3"/>
      <c r="P216" s="4"/>
      <c r="Q216" s="4"/>
      <c r="R216" s="4"/>
      <c r="S216" s="4"/>
      <c r="U216" s="9"/>
      <c r="X216" s="4"/>
      <c r="Y216" s="4"/>
      <c r="Z216" s="4"/>
      <c r="AA216" s="4"/>
      <c r="AB216" s="4"/>
      <c r="AC216" s="7"/>
      <c r="AD216" s="4"/>
      <c r="AE216" s="4"/>
      <c r="AF216" s="21"/>
    </row>
    <row r="217" spans="4:32" x14ac:dyDescent="0.25">
      <c r="D217" s="1"/>
      <c r="E217" s="2"/>
      <c r="F217" s="3"/>
      <c r="G217" s="3"/>
      <c r="H217" s="3"/>
      <c r="J217" s="3"/>
      <c r="K217" s="3"/>
      <c r="L217" s="4"/>
      <c r="M217" s="4"/>
      <c r="N217" s="3"/>
      <c r="O217" s="3"/>
      <c r="P217" s="4"/>
      <c r="Q217" s="4"/>
      <c r="R217" s="4"/>
      <c r="S217" s="4"/>
      <c r="U217" s="9"/>
      <c r="X217" s="4"/>
      <c r="Y217" s="4"/>
      <c r="Z217" s="4"/>
      <c r="AA217" s="4"/>
      <c r="AB217" s="4"/>
      <c r="AC217" s="7"/>
      <c r="AD217" s="4"/>
      <c r="AE217" s="4"/>
      <c r="AF217" s="21"/>
    </row>
    <row r="218" spans="4:32" x14ac:dyDescent="0.25">
      <c r="D218" s="1"/>
      <c r="E218" s="2"/>
      <c r="F218" s="3"/>
      <c r="G218" s="3"/>
      <c r="H218" s="3"/>
      <c r="J218" s="3"/>
      <c r="K218" s="3"/>
      <c r="L218" s="4"/>
      <c r="M218" s="4"/>
      <c r="N218" s="3"/>
      <c r="O218" s="3"/>
      <c r="P218" s="4"/>
      <c r="Q218" s="4"/>
      <c r="R218" s="4"/>
      <c r="S218" s="4"/>
      <c r="U218" s="9"/>
      <c r="X218" s="4"/>
      <c r="Y218" s="4"/>
      <c r="Z218" s="4"/>
      <c r="AA218" s="4"/>
      <c r="AB218" s="4"/>
      <c r="AC218" s="7"/>
      <c r="AD218" s="4"/>
      <c r="AE218" s="4"/>
      <c r="AF218" s="21"/>
    </row>
    <row r="219" spans="4:32" x14ac:dyDescent="0.25">
      <c r="D219" s="1"/>
      <c r="E219" s="2"/>
      <c r="F219" s="3"/>
      <c r="G219" s="3"/>
      <c r="H219" s="3"/>
      <c r="J219" s="3"/>
      <c r="K219" s="3"/>
      <c r="L219" s="4"/>
      <c r="M219" s="4"/>
      <c r="N219" s="3"/>
      <c r="O219" s="3"/>
      <c r="P219" s="4"/>
      <c r="Q219" s="4"/>
      <c r="R219" s="4"/>
      <c r="S219" s="4"/>
      <c r="U219" s="9"/>
      <c r="X219" s="4"/>
      <c r="Y219" s="4"/>
      <c r="Z219" s="4"/>
      <c r="AA219" s="4"/>
      <c r="AB219" s="4"/>
      <c r="AC219" s="7"/>
      <c r="AD219" s="4"/>
      <c r="AE219" s="4"/>
      <c r="AF219" s="21"/>
    </row>
    <row r="220" spans="4:32" x14ac:dyDescent="0.25">
      <c r="D220" s="1"/>
      <c r="E220" s="2"/>
      <c r="F220" s="3"/>
      <c r="G220" s="3"/>
      <c r="H220" s="3"/>
      <c r="J220" s="3"/>
      <c r="K220" s="3"/>
      <c r="L220" s="4"/>
      <c r="M220" s="4"/>
      <c r="N220" s="3"/>
      <c r="O220" s="3"/>
      <c r="P220" s="4"/>
      <c r="Q220" s="4"/>
      <c r="R220" s="4"/>
      <c r="S220" s="4"/>
      <c r="U220" s="9"/>
      <c r="X220" s="4"/>
      <c r="Y220" s="4"/>
      <c r="Z220" s="4"/>
      <c r="AA220" s="4"/>
      <c r="AB220" s="4"/>
      <c r="AC220" s="7"/>
      <c r="AD220" s="4"/>
      <c r="AE220" s="4"/>
      <c r="AF220" s="21"/>
    </row>
    <row r="221" spans="4:32" x14ac:dyDescent="0.25">
      <c r="D221" s="1"/>
      <c r="E221" s="2"/>
      <c r="F221" s="3"/>
      <c r="G221" s="3"/>
      <c r="H221" s="3"/>
      <c r="J221" s="3"/>
      <c r="K221" s="3"/>
      <c r="L221" s="4"/>
      <c r="M221" s="4"/>
      <c r="N221" s="3"/>
      <c r="O221" s="3"/>
      <c r="P221" s="4"/>
      <c r="Q221" s="4"/>
      <c r="R221" s="4"/>
      <c r="S221" s="4"/>
      <c r="U221" s="9"/>
      <c r="X221" s="4"/>
      <c r="Y221" s="4"/>
      <c r="Z221" s="4"/>
      <c r="AA221" s="4"/>
      <c r="AB221" s="4"/>
      <c r="AC221" s="7"/>
      <c r="AD221" s="4"/>
      <c r="AE221" s="4"/>
      <c r="AF221" s="21"/>
    </row>
    <row r="222" spans="4:32" x14ac:dyDescent="0.25">
      <c r="D222" s="1"/>
      <c r="E222" s="2"/>
      <c r="F222" s="3"/>
      <c r="G222" s="3"/>
      <c r="H222" s="3"/>
      <c r="J222" s="3"/>
      <c r="K222" s="3"/>
      <c r="L222" s="4"/>
      <c r="M222" s="4"/>
      <c r="N222" s="3"/>
      <c r="O222" s="3"/>
      <c r="P222" s="4"/>
      <c r="Q222" s="4"/>
      <c r="R222" s="4"/>
      <c r="S222" s="4"/>
      <c r="U222" s="9"/>
      <c r="X222" s="4"/>
      <c r="Y222" s="4"/>
      <c r="Z222" s="4"/>
      <c r="AA222" s="4"/>
      <c r="AB222" s="4"/>
      <c r="AC222" s="7"/>
      <c r="AD222" s="4"/>
      <c r="AE222" s="4"/>
      <c r="AF222" s="21"/>
    </row>
    <row r="223" spans="4:32" x14ac:dyDescent="0.25">
      <c r="D223" s="1"/>
      <c r="E223" s="2"/>
      <c r="F223" s="3"/>
      <c r="G223" s="3"/>
      <c r="H223" s="3"/>
      <c r="J223" s="3"/>
      <c r="K223" s="3"/>
      <c r="L223" s="4"/>
      <c r="M223" s="4"/>
      <c r="N223" s="3"/>
      <c r="O223" s="3"/>
      <c r="P223" s="4"/>
      <c r="Q223" s="4"/>
      <c r="R223" s="4"/>
      <c r="S223" s="4"/>
      <c r="U223" s="9"/>
      <c r="X223" s="4"/>
      <c r="Y223" s="4"/>
      <c r="Z223" s="4"/>
      <c r="AA223" s="4"/>
      <c r="AB223" s="4"/>
      <c r="AC223" s="7"/>
      <c r="AD223" s="4"/>
      <c r="AE223" s="4"/>
      <c r="AF223" s="21"/>
    </row>
    <row r="224" spans="4:32" x14ac:dyDescent="0.25">
      <c r="D224" s="1"/>
      <c r="E224" s="2"/>
      <c r="F224" s="3"/>
      <c r="G224" s="3"/>
      <c r="H224" s="3"/>
      <c r="J224" s="3"/>
      <c r="K224" s="3"/>
      <c r="L224" s="4"/>
      <c r="M224" s="4"/>
      <c r="N224" s="3"/>
      <c r="O224" s="3"/>
      <c r="P224" s="4"/>
      <c r="Q224" s="4"/>
      <c r="R224" s="4"/>
      <c r="S224" s="4"/>
      <c r="U224" s="9"/>
      <c r="X224" s="4"/>
      <c r="Y224" s="4"/>
      <c r="Z224" s="4"/>
      <c r="AA224" s="4"/>
      <c r="AB224" s="4"/>
      <c r="AC224" s="7"/>
      <c r="AD224" s="4"/>
      <c r="AE224" s="4"/>
      <c r="AF224" s="21"/>
    </row>
    <row r="225" spans="4:32" x14ac:dyDescent="0.25">
      <c r="D225" s="1"/>
      <c r="E225" s="2"/>
      <c r="F225" s="3"/>
      <c r="G225" s="3"/>
      <c r="H225" s="3"/>
      <c r="J225" s="3"/>
      <c r="K225" s="3"/>
      <c r="L225" s="4"/>
      <c r="M225" s="4"/>
      <c r="N225" s="3"/>
      <c r="O225" s="3"/>
      <c r="P225" s="4"/>
      <c r="Q225" s="4"/>
      <c r="R225" s="4"/>
      <c r="S225" s="4"/>
      <c r="U225" s="9"/>
      <c r="X225" s="4"/>
      <c r="Y225" s="4"/>
      <c r="Z225" s="4"/>
      <c r="AA225" s="4"/>
      <c r="AB225" s="4"/>
      <c r="AC225" s="7"/>
      <c r="AD225" s="4"/>
      <c r="AE225" s="4"/>
      <c r="AF225" s="21"/>
    </row>
    <row r="226" spans="4:32" x14ac:dyDescent="0.25">
      <c r="D226" s="1"/>
      <c r="E226" s="2"/>
      <c r="F226" s="3"/>
      <c r="G226" s="3"/>
      <c r="H226" s="3"/>
      <c r="J226" s="3"/>
      <c r="K226" s="3"/>
      <c r="L226" s="4"/>
      <c r="M226" s="4"/>
      <c r="N226" s="3"/>
      <c r="O226" s="3"/>
      <c r="P226" s="4"/>
      <c r="Q226" s="4"/>
      <c r="R226" s="4"/>
      <c r="S226" s="4"/>
      <c r="U226" s="9"/>
      <c r="X226" s="4"/>
      <c r="Y226" s="4"/>
      <c r="Z226" s="4"/>
      <c r="AA226" s="4"/>
      <c r="AB226" s="4"/>
      <c r="AC226" s="7"/>
      <c r="AD226" s="4"/>
      <c r="AE226" s="4"/>
      <c r="AF226" s="21"/>
    </row>
    <row r="227" spans="4:32" x14ac:dyDescent="0.25">
      <c r="D227" s="1"/>
      <c r="E227" s="2"/>
      <c r="F227" s="3"/>
      <c r="G227" s="3"/>
      <c r="H227" s="3"/>
      <c r="J227" s="3"/>
      <c r="K227" s="3"/>
      <c r="L227" s="4"/>
      <c r="M227" s="4"/>
      <c r="N227" s="3"/>
      <c r="O227" s="3"/>
      <c r="P227" s="4"/>
      <c r="Q227" s="4"/>
      <c r="R227" s="4"/>
      <c r="S227" s="4"/>
      <c r="U227" s="9"/>
      <c r="X227" s="4"/>
      <c r="Y227" s="4"/>
      <c r="Z227" s="4"/>
      <c r="AA227" s="4"/>
      <c r="AB227" s="4"/>
      <c r="AC227" s="7"/>
      <c r="AD227" s="4"/>
      <c r="AE227" s="4"/>
      <c r="AF227" s="21"/>
    </row>
    <row r="228" spans="4:32" x14ac:dyDescent="0.25">
      <c r="D228" s="1"/>
      <c r="E228" s="2"/>
      <c r="F228" s="3"/>
      <c r="G228" s="3"/>
      <c r="H228" s="3"/>
      <c r="J228" s="3"/>
      <c r="K228" s="3"/>
      <c r="L228" s="4"/>
      <c r="M228" s="4"/>
      <c r="N228" s="3"/>
      <c r="O228" s="3"/>
      <c r="P228" s="4"/>
      <c r="Q228" s="4"/>
      <c r="R228" s="4"/>
      <c r="S228" s="4"/>
      <c r="U228" s="9"/>
      <c r="X228" s="4"/>
      <c r="Y228" s="4"/>
      <c r="Z228" s="4"/>
      <c r="AA228" s="4"/>
      <c r="AB228" s="4"/>
      <c r="AC228" s="7"/>
      <c r="AD228" s="4"/>
      <c r="AE228" s="4"/>
      <c r="AF228" s="21"/>
    </row>
    <row r="229" spans="4:32" x14ac:dyDescent="0.25">
      <c r="D229" s="1"/>
      <c r="E229" s="2"/>
      <c r="F229" s="3"/>
      <c r="G229" s="3"/>
      <c r="H229" s="3"/>
      <c r="J229" s="3"/>
      <c r="K229" s="3"/>
      <c r="L229" s="4"/>
      <c r="M229" s="4"/>
      <c r="N229" s="3"/>
      <c r="O229" s="3"/>
      <c r="P229" s="4"/>
      <c r="Q229" s="4"/>
      <c r="R229" s="4"/>
      <c r="S229" s="4"/>
      <c r="U229" s="9"/>
      <c r="X229" s="4"/>
      <c r="Y229" s="4"/>
      <c r="Z229" s="4"/>
      <c r="AA229" s="4"/>
      <c r="AB229" s="4"/>
      <c r="AC229" s="7"/>
      <c r="AD229" s="4"/>
      <c r="AE229" s="4"/>
      <c r="AF229" s="21"/>
    </row>
    <row r="230" spans="4:32" x14ac:dyDescent="0.25">
      <c r="D230" s="1"/>
      <c r="E230" s="2"/>
      <c r="F230" s="3"/>
      <c r="G230" s="3"/>
      <c r="H230" s="3"/>
      <c r="J230" s="3"/>
      <c r="K230" s="3"/>
      <c r="L230" s="4"/>
      <c r="M230" s="4"/>
      <c r="N230" s="3"/>
      <c r="O230" s="3"/>
      <c r="P230" s="4"/>
      <c r="Q230" s="4"/>
      <c r="R230" s="4"/>
      <c r="S230" s="4"/>
      <c r="U230" s="9"/>
      <c r="X230" s="4"/>
      <c r="Y230" s="4"/>
      <c r="Z230" s="4"/>
      <c r="AA230" s="4"/>
      <c r="AB230" s="4"/>
      <c r="AC230" s="7"/>
      <c r="AD230" s="4"/>
      <c r="AE230" s="4"/>
      <c r="AF230" s="21"/>
    </row>
    <row r="231" spans="4:32" x14ac:dyDescent="0.25">
      <c r="D231" s="1"/>
      <c r="E231" s="2"/>
      <c r="F231" s="3"/>
      <c r="G231" s="3"/>
      <c r="H231" s="3"/>
      <c r="J231" s="3"/>
      <c r="K231" s="3"/>
      <c r="L231" s="4"/>
      <c r="M231" s="4"/>
      <c r="N231" s="3"/>
      <c r="O231" s="3"/>
      <c r="P231" s="4"/>
      <c r="Q231" s="4"/>
      <c r="R231" s="4"/>
      <c r="S231" s="4"/>
      <c r="U231" s="9"/>
      <c r="X231" s="4"/>
      <c r="Y231" s="4"/>
      <c r="Z231" s="4"/>
      <c r="AA231" s="4"/>
      <c r="AB231" s="4"/>
      <c r="AC231" s="7"/>
      <c r="AD231" s="4"/>
      <c r="AE231" s="4"/>
      <c r="AF231" s="21"/>
    </row>
    <row r="232" spans="4:32" x14ac:dyDescent="0.25">
      <c r="D232" s="1"/>
      <c r="E232" s="2"/>
      <c r="F232" s="3"/>
      <c r="G232" s="3"/>
      <c r="H232" s="3"/>
      <c r="J232" s="3"/>
      <c r="K232" s="3"/>
      <c r="L232" s="4"/>
      <c r="M232" s="4"/>
      <c r="N232" s="3"/>
      <c r="O232" s="3"/>
      <c r="P232" s="4"/>
      <c r="Q232" s="4"/>
      <c r="R232" s="4"/>
      <c r="S232" s="4"/>
      <c r="U232" s="9"/>
      <c r="X232" s="4"/>
      <c r="Y232" s="4"/>
      <c r="Z232" s="4"/>
      <c r="AA232" s="4"/>
      <c r="AB232" s="4"/>
      <c r="AC232" s="7"/>
      <c r="AD232" s="4"/>
      <c r="AE232" s="4"/>
      <c r="AF232" s="21"/>
    </row>
    <row r="233" spans="4:32" x14ac:dyDescent="0.25">
      <c r="D233" s="1"/>
      <c r="E233" s="2"/>
      <c r="F233" s="3"/>
      <c r="G233" s="3"/>
      <c r="H233" s="3"/>
      <c r="J233" s="3"/>
      <c r="K233" s="3"/>
      <c r="L233" s="4"/>
      <c r="M233" s="4"/>
      <c r="N233" s="3"/>
      <c r="O233" s="3"/>
      <c r="P233" s="4"/>
      <c r="Q233" s="4"/>
      <c r="R233" s="4"/>
      <c r="S233" s="4"/>
      <c r="U233" s="9"/>
      <c r="X233" s="4"/>
      <c r="Y233" s="4"/>
      <c r="Z233" s="4"/>
      <c r="AA233" s="4"/>
      <c r="AB233" s="4"/>
      <c r="AC233" s="7"/>
      <c r="AD233" s="4"/>
      <c r="AE233" s="4"/>
      <c r="AF233" s="21"/>
    </row>
    <row r="234" spans="4:32" x14ac:dyDescent="0.25">
      <c r="D234" s="1"/>
      <c r="E234" s="2"/>
      <c r="F234" s="3"/>
      <c r="G234" s="3"/>
      <c r="H234" s="3"/>
      <c r="J234" s="3"/>
      <c r="K234" s="3"/>
      <c r="L234" s="4"/>
      <c r="M234" s="4"/>
      <c r="N234" s="3"/>
      <c r="O234" s="3"/>
      <c r="P234" s="4"/>
      <c r="Q234" s="4"/>
      <c r="R234" s="4"/>
      <c r="S234" s="4"/>
      <c r="U234" s="9"/>
      <c r="X234" s="4"/>
      <c r="Y234" s="4"/>
      <c r="Z234" s="4"/>
      <c r="AA234" s="4"/>
      <c r="AB234" s="4"/>
      <c r="AC234" s="7"/>
      <c r="AD234" s="4"/>
      <c r="AE234" s="4"/>
      <c r="AF234" s="21"/>
    </row>
    <row r="235" spans="4:32" x14ac:dyDescent="0.25">
      <c r="D235" s="1"/>
      <c r="E235" s="2"/>
      <c r="F235" s="3"/>
      <c r="G235" s="3"/>
      <c r="H235" s="3"/>
      <c r="J235" s="3"/>
      <c r="K235" s="3"/>
      <c r="L235" s="4"/>
      <c r="M235" s="4"/>
      <c r="N235" s="3"/>
      <c r="O235" s="3"/>
      <c r="P235" s="4"/>
      <c r="Q235" s="4"/>
      <c r="R235" s="4"/>
      <c r="S235" s="4"/>
      <c r="U235" s="9"/>
      <c r="X235" s="4"/>
      <c r="Y235" s="4"/>
      <c r="Z235" s="4"/>
      <c r="AA235" s="4"/>
      <c r="AB235" s="4"/>
      <c r="AC235" s="7"/>
      <c r="AD235" s="4"/>
      <c r="AE235" s="4"/>
      <c r="AF235" s="21"/>
    </row>
    <row r="236" spans="4:32" x14ac:dyDescent="0.25">
      <c r="D236" s="1"/>
      <c r="E236" s="2"/>
      <c r="F236" s="3"/>
      <c r="G236" s="3"/>
      <c r="H236" s="3"/>
      <c r="J236" s="3"/>
      <c r="K236" s="3"/>
      <c r="L236" s="4"/>
      <c r="M236" s="4"/>
      <c r="N236" s="3"/>
      <c r="O236" s="3"/>
      <c r="P236" s="4"/>
      <c r="Q236" s="4"/>
      <c r="R236" s="4"/>
      <c r="S236" s="4"/>
      <c r="U236" s="9"/>
      <c r="X236" s="4"/>
      <c r="Y236" s="4"/>
      <c r="Z236" s="4"/>
      <c r="AA236" s="4"/>
      <c r="AB236" s="4"/>
      <c r="AC236" s="7"/>
      <c r="AD236" s="4"/>
      <c r="AE236" s="4"/>
      <c r="AF236" s="21"/>
    </row>
    <row r="237" spans="4:32" x14ac:dyDescent="0.25">
      <c r="D237" s="1"/>
      <c r="E237" s="2"/>
      <c r="F237" s="3"/>
      <c r="G237" s="3"/>
      <c r="H237" s="3"/>
      <c r="J237" s="3"/>
      <c r="K237" s="3"/>
      <c r="L237" s="4"/>
      <c r="M237" s="4"/>
      <c r="N237" s="3"/>
      <c r="O237" s="3"/>
      <c r="P237" s="4"/>
      <c r="Q237" s="4"/>
      <c r="R237" s="4"/>
      <c r="S237" s="4"/>
      <c r="U237" s="9"/>
      <c r="X237" s="4"/>
      <c r="Y237" s="4"/>
      <c r="Z237" s="4"/>
      <c r="AA237" s="4"/>
      <c r="AB237" s="4"/>
      <c r="AC237" s="7"/>
      <c r="AD237" s="4"/>
      <c r="AE237" s="4"/>
      <c r="AF237" s="21"/>
    </row>
    <row r="238" spans="4:32" x14ac:dyDescent="0.25">
      <c r="D238" s="1"/>
      <c r="E238" s="2"/>
      <c r="F238" s="3"/>
      <c r="G238" s="3"/>
      <c r="H238" s="3"/>
      <c r="J238" s="3"/>
      <c r="K238" s="3"/>
      <c r="L238" s="4"/>
      <c r="M238" s="4"/>
      <c r="N238" s="3"/>
      <c r="O238" s="3"/>
      <c r="P238" s="4"/>
      <c r="Q238" s="4"/>
      <c r="R238" s="4"/>
      <c r="S238" s="4"/>
      <c r="U238" s="9"/>
      <c r="X238" s="4"/>
      <c r="Y238" s="4"/>
      <c r="Z238" s="4"/>
      <c r="AA238" s="4"/>
      <c r="AB238" s="4"/>
      <c r="AC238" s="7"/>
      <c r="AD238" s="4"/>
      <c r="AE238" s="4"/>
      <c r="AF238" s="21"/>
    </row>
    <row r="239" spans="4:32" x14ac:dyDescent="0.25">
      <c r="D239" s="1"/>
      <c r="E239" s="2"/>
      <c r="F239" s="3"/>
      <c r="G239" s="3"/>
      <c r="H239" s="3"/>
      <c r="J239" s="3"/>
      <c r="K239" s="3"/>
      <c r="L239" s="4"/>
      <c r="M239" s="4"/>
      <c r="N239" s="3"/>
      <c r="O239" s="3"/>
      <c r="P239" s="4"/>
      <c r="Q239" s="4"/>
      <c r="R239" s="4"/>
      <c r="S239" s="4"/>
      <c r="U239" s="9"/>
      <c r="X239" s="4"/>
      <c r="Y239" s="4"/>
      <c r="Z239" s="4"/>
      <c r="AA239" s="4"/>
      <c r="AB239" s="4"/>
      <c r="AC239" s="7"/>
      <c r="AD239" s="4"/>
      <c r="AE239" s="4"/>
      <c r="AF239" s="21"/>
    </row>
    <row r="240" spans="4:32" x14ac:dyDescent="0.25">
      <c r="D240" s="1"/>
      <c r="E240" s="2"/>
      <c r="F240" s="3"/>
      <c r="G240" s="3"/>
      <c r="H240" s="3"/>
      <c r="J240" s="3"/>
      <c r="K240" s="3"/>
      <c r="L240" s="4"/>
      <c r="M240" s="4"/>
      <c r="N240" s="3"/>
      <c r="O240" s="3"/>
      <c r="P240" s="4"/>
      <c r="Q240" s="4"/>
      <c r="R240" s="4"/>
      <c r="S240" s="4"/>
      <c r="U240" s="9"/>
      <c r="X240" s="4"/>
      <c r="Y240" s="4"/>
      <c r="Z240" s="4"/>
      <c r="AA240" s="4"/>
      <c r="AB240" s="4"/>
      <c r="AC240" s="7"/>
      <c r="AD240" s="4"/>
      <c r="AE240" s="4"/>
      <c r="AF240" s="21"/>
    </row>
    <row r="241" spans="4:32" x14ac:dyDescent="0.25">
      <c r="D241" s="1"/>
      <c r="E241" s="2"/>
      <c r="F241" s="3"/>
      <c r="G241" s="3"/>
      <c r="H241" s="3"/>
      <c r="J241" s="3"/>
      <c r="K241" s="3"/>
      <c r="L241" s="4"/>
      <c r="M241" s="4"/>
      <c r="N241" s="3"/>
      <c r="O241" s="3"/>
      <c r="P241" s="4"/>
      <c r="Q241" s="4"/>
      <c r="R241" s="4"/>
      <c r="S241" s="4"/>
      <c r="U241" s="9"/>
      <c r="X241" s="4"/>
      <c r="Y241" s="4"/>
      <c r="Z241" s="4"/>
      <c r="AA241" s="4"/>
      <c r="AB241" s="4"/>
      <c r="AC241" s="7"/>
      <c r="AD241" s="4"/>
      <c r="AE241" s="4"/>
      <c r="AF241" s="21"/>
    </row>
    <row r="242" spans="4:32" x14ac:dyDescent="0.25">
      <c r="D242" s="1"/>
      <c r="E242" s="2"/>
      <c r="F242" s="3"/>
      <c r="G242" s="3"/>
      <c r="H242" s="3"/>
      <c r="J242" s="3"/>
      <c r="K242" s="3"/>
      <c r="L242" s="4"/>
      <c r="M242" s="4"/>
      <c r="N242" s="3"/>
      <c r="O242" s="3"/>
      <c r="P242" s="4"/>
      <c r="Q242" s="4"/>
      <c r="R242" s="4"/>
      <c r="S242" s="4"/>
      <c r="U242" s="9"/>
      <c r="X242" s="4"/>
      <c r="Y242" s="4"/>
      <c r="Z242" s="4"/>
      <c r="AA242" s="4"/>
      <c r="AB242" s="4"/>
      <c r="AC242" s="7"/>
      <c r="AD242" s="4"/>
      <c r="AE242" s="4"/>
      <c r="AF242" s="21"/>
    </row>
    <row r="243" spans="4:32" x14ac:dyDescent="0.25">
      <c r="D243" s="1"/>
      <c r="E243" s="2"/>
      <c r="F243" s="3"/>
      <c r="G243" s="3"/>
      <c r="H243" s="3"/>
      <c r="J243" s="3"/>
      <c r="K243" s="3"/>
      <c r="L243" s="4"/>
      <c r="M243" s="4"/>
      <c r="N243" s="3"/>
      <c r="O243" s="3"/>
      <c r="P243" s="4"/>
      <c r="Q243" s="4"/>
      <c r="R243" s="4"/>
      <c r="S243" s="4"/>
      <c r="U243" s="9"/>
      <c r="X243" s="4"/>
      <c r="Y243" s="4"/>
      <c r="Z243" s="4"/>
      <c r="AA243" s="4"/>
      <c r="AB243" s="4"/>
      <c r="AC243" s="7"/>
      <c r="AD243" s="4"/>
      <c r="AE243" s="4"/>
      <c r="AF243" s="21"/>
    </row>
    <row r="244" spans="4:32" x14ac:dyDescent="0.25">
      <c r="D244" s="1"/>
      <c r="E244" s="2"/>
      <c r="F244" s="3"/>
      <c r="G244" s="3"/>
      <c r="H244" s="3"/>
      <c r="J244" s="3"/>
      <c r="K244" s="3"/>
      <c r="L244" s="4"/>
      <c r="M244" s="4"/>
      <c r="N244" s="3"/>
      <c r="O244" s="3"/>
      <c r="P244" s="4"/>
      <c r="Q244" s="4"/>
      <c r="R244" s="4"/>
      <c r="S244" s="4"/>
      <c r="U244" s="9"/>
      <c r="X244" s="4"/>
      <c r="Y244" s="4"/>
      <c r="Z244" s="4"/>
      <c r="AA244" s="4"/>
      <c r="AB244" s="4"/>
      <c r="AC244" s="7"/>
      <c r="AD244" s="4"/>
      <c r="AE244" s="4"/>
      <c r="AF244" s="21"/>
    </row>
    <row r="245" spans="4:32" x14ac:dyDescent="0.25">
      <c r="D245" s="1"/>
      <c r="E245" s="2"/>
      <c r="F245" s="3"/>
      <c r="G245" s="3"/>
      <c r="H245" s="3"/>
      <c r="J245" s="3"/>
      <c r="K245" s="3"/>
      <c r="L245" s="4"/>
      <c r="M245" s="4"/>
      <c r="N245" s="3"/>
      <c r="O245" s="3"/>
      <c r="P245" s="4"/>
      <c r="Q245" s="4"/>
      <c r="R245" s="4"/>
      <c r="S245" s="4"/>
      <c r="U245" s="9"/>
      <c r="X245" s="4"/>
      <c r="Y245" s="4"/>
      <c r="Z245" s="4"/>
      <c r="AA245" s="4"/>
      <c r="AB245" s="4"/>
      <c r="AC245" s="7"/>
      <c r="AD245" s="4"/>
      <c r="AE245" s="4"/>
      <c r="AF245" s="21"/>
    </row>
    <row r="246" spans="4:32" x14ac:dyDescent="0.25">
      <c r="D246" s="1"/>
      <c r="E246" s="2"/>
      <c r="F246" s="3"/>
      <c r="G246" s="3"/>
      <c r="H246" s="3"/>
      <c r="J246" s="3"/>
      <c r="K246" s="3"/>
      <c r="L246" s="4"/>
      <c r="M246" s="4"/>
      <c r="N246" s="3"/>
      <c r="O246" s="3"/>
      <c r="P246" s="4"/>
      <c r="Q246" s="4"/>
      <c r="R246" s="4"/>
      <c r="S246" s="4"/>
      <c r="U246" s="9"/>
      <c r="X246" s="4"/>
      <c r="Y246" s="4"/>
      <c r="Z246" s="4"/>
      <c r="AA246" s="4"/>
      <c r="AB246" s="4"/>
      <c r="AC246" s="7"/>
      <c r="AD246" s="4"/>
      <c r="AE246" s="4"/>
      <c r="AF246" s="21"/>
    </row>
    <row r="247" spans="4:32" x14ac:dyDescent="0.25">
      <c r="D247" s="1"/>
      <c r="E247" s="2"/>
      <c r="F247" s="3"/>
      <c r="G247" s="3"/>
      <c r="H247" s="3"/>
      <c r="J247" s="3"/>
      <c r="K247" s="3"/>
      <c r="L247" s="4"/>
      <c r="M247" s="4"/>
      <c r="N247" s="3"/>
      <c r="O247" s="3"/>
      <c r="P247" s="4"/>
      <c r="Q247" s="4"/>
      <c r="R247" s="4"/>
      <c r="S247" s="4"/>
      <c r="U247" s="9"/>
      <c r="X247" s="4"/>
      <c r="Y247" s="4"/>
      <c r="Z247" s="4"/>
      <c r="AA247" s="4"/>
      <c r="AB247" s="4"/>
      <c r="AC247" s="7"/>
      <c r="AD247" s="4"/>
      <c r="AE247" s="4"/>
      <c r="AF247" s="21"/>
    </row>
    <row r="248" spans="4:32" x14ac:dyDescent="0.25">
      <c r="D248" s="1"/>
      <c r="E248" s="2"/>
      <c r="F248" s="3"/>
      <c r="G248" s="3"/>
      <c r="H248" s="3"/>
      <c r="J248" s="3"/>
      <c r="K248" s="3"/>
      <c r="L248" s="4"/>
      <c r="M248" s="4"/>
      <c r="N248" s="3"/>
      <c r="O248" s="3"/>
      <c r="P248" s="4"/>
      <c r="Q248" s="4"/>
      <c r="R248" s="4"/>
      <c r="S248" s="4"/>
      <c r="U248" s="9"/>
      <c r="X248" s="4"/>
      <c r="Y248" s="4"/>
      <c r="Z248" s="4"/>
      <c r="AA248" s="4"/>
      <c r="AB248" s="4"/>
      <c r="AC248" s="7"/>
      <c r="AD248" s="4"/>
      <c r="AE248" s="4"/>
      <c r="AF248" s="21"/>
    </row>
    <row r="249" spans="4:32" x14ac:dyDescent="0.25">
      <c r="D249" s="1"/>
      <c r="E249" s="2"/>
      <c r="F249" s="3"/>
      <c r="G249" s="3"/>
      <c r="H249" s="3"/>
      <c r="J249" s="3"/>
      <c r="K249" s="3"/>
      <c r="L249" s="4"/>
      <c r="M249" s="4"/>
      <c r="N249" s="3"/>
      <c r="O249" s="3"/>
      <c r="P249" s="4"/>
      <c r="Q249" s="4"/>
      <c r="R249" s="4"/>
      <c r="S249" s="4"/>
      <c r="U249" s="9"/>
      <c r="X249" s="4"/>
      <c r="Y249" s="4"/>
      <c r="Z249" s="4"/>
      <c r="AA249" s="4"/>
      <c r="AB249" s="4"/>
      <c r="AC249" s="7"/>
      <c r="AD249" s="4"/>
      <c r="AE249" s="4"/>
      <c r="AF249" s="21"/>
    </row>
    <row r="250" spans="4:32" x14ac:dyDescent="0.25">
      <c r="D250" s="1"/>
      <c r="E250" s="2"/>
      <c r="F250" s="3"/>
      <c r="G250" s="3"/>
      <c r="H250" s="3"/>
      <c r="J250" s="3"/>
      <c r="K250" s="3"/>
      <c r="L250" s="4"/>
      <c r="M250" s="4"/>
      <c r="N250" s="3"/>
      <c r="O250" s="3"/>
      <c r="P250" s="4"/>
      <c r="Q250" s="4"/>
      <c r="R250" s="4"/>
      <c r="S250" s="4"/>
      <c r="U250" s="9"/>
      <c r="X250" s="4"/>
      <c r="Y250" s="4"/>
      <c r="Z250" s="4"/>
      <c r="AA250" s="4"/>
      <c r="AB250" s="4"/>
      <c r="AC250" s="7"/>
      <c r="AD250" s="4"/>
      <c r="AE250" s="4"/>
      <c r="AF250" s="21"/>
    </row>
    <row r="251" spans="4:32" x14ac:dyDescent="0.25">
      <c r="D251" s="1"/>
      <c r="E251" s="2"/>
      <c r="F251" s="3"/>
      <c r="G251" s="3"/>
      <c r="H251" s="3"/>
      <c r="J251" s="3"/>
      <c r="K251" s="3"/>
      <c r="L251" s="4"/>
      <c r="M251" s="4"/>
      <c r="N251" s="3"/>
      <c r="O251" s="3"/>
      <c r="P251" s="4"/>
      <c r="Q251" s="4"/>
      <c r="R251" s="4"/>
      <c r="S251" s="4"/>
      <c r="U251" s="9"/>
      <c r="X251" s="4"/>
      <c r="Y251" s="4"/>
      <c r="Z251" s="4"/>
      <c r="AA251" s="4"/>
      <c r="AB251" s="4"/>
      <c r="AC251" s="7"/>
      <c r="AD251" s="4"/>
      <c r="AE251" s="4"/>
      <c r="AF251" s="21"/>
    </row>
    <row r="252" spans="4:32" x14ac:dyDescent="0.25">
      <c r="D252" s="1"/>
      <c r="E252" s="2"/>
      <c r="F252" s="3"/>
      <c r="G252" s="3"/>
      <c r="H252" s="3"/>
      <c r="J252" s="3"/>
      <c r="K252" s="3"/>
      <c r="L252" s="4"/>
      <c r="M252" s="4"/>
      <c r="N252" s="3"/>
      <c r="O252" s="3"/>
      <c r="P252" s="4"/>
      <c r="Q252" s="4"/>
      <c r="R252" s="4"/>
      <c r="S252" s="4"/>
      <c r="U252" s="9"/>
      <c r="X252" s="4"/>
      <c r="Y252" s="4"/>
      <c r="Z252" s="4"/>
      <c r="AA252" s="4"/>
      <c r="AB252" s="4"/>
      <c r="AC252" s="7"/>
      <c r="AD252" s="4"/>
      <c r="AE252" s="4"/>
      <c r="AF252" s="21"/>
    </row>
    <row r="253" spans="4:32" x14ac:dyDescent="0.25">
      <c r="D253" s="1"/>
      <c r="E253" s="2"/>
      <c r="F253" s="3"/>
      <c r="G253" s="3"/>
      <c r="H253" s="3"/>
      <c r="J253" s="3"/>
      <c r="K253" s="3"/>
      <c r="L253" s="4"/>
      <c r="M253" s="4"/>
      <c r="N253" s="3"/>
      <c r="O253" s="3"/>
      <c r="P253" s="4"/>
      <c r="Q253" s="4"/>
      <c r="R253" s="4"/>
      <c r="S253" s="4"/>
      <c r="U253" s="9"/>
      <c r="X253" s="4"/>
      <c r="Y253" s="4"/>
      <c r="Z253" s="4"/>
      <c r="AA253" s="4"/>
      <c r="AB253" s="4"/>
      <c r="AC253" s="7"/>
      <c r="AD253" s="4"/>
      <c r="AE253" s="4"/>
      <c r="AF253" s="21"/>
    </row>
    <row r="254" spans="4:32" x14ac:dyDescent="0.25">
      <c r="D254" s="1"/>
      <c r="E254" s="2"/>
      <c r="F254" s="3"/>
      <c r="G254" s="3"/>
      <c r="H254" s="3"/>
      <c r="J254" s="3"/>
      <c r="K254" s="3"/>
      <c r="L254" s="4"/>
      <c r="M254" s="4"/>
      <c r="N254" s="3"/>
      <c r="O254" s="3"/>
      <c r="P254" s="4"/>
      <c r="Q254" s="4"/>
      <c r="R254" s="4"/>
      <c r="S254" s="4"/>
      <c r="U254" s="9"/>
      <c r="X254" s="4"/>
      <c r="Y254" s="4"/>
      <c r="Z254" s="4"/>
      <c r="AA254" s="4"/>
      <c r="AB254" s="4"/>
      <c r="AC254" s="7"/>
      <c r="AD254" s="4"/>
      <c r="AE254" s="4"/>
      <c r="AF254" s="21"/>
    </row>
    <row r="255" spans="4:32" x14ac:dyDescent="0.25">
      <c r="D255" s="1"/>
      <c r="E255" s="2"/>
      <c r="F255" s="3"/>
      <c r="G255" s="3"/>
      <c r="H255" s="3"/>
      <c r="J255" s="3"/>
      <c r="K255" s="3"/>
      <c r="L255" s="4"/>
      <c r="M255" s="4"/>
      <c r="N255" s="3"/>
      <c r="O255" s="3"/>
      <c r="P255" s="4"/>
      <c r="Q255" s="4"/>
      <c r="R255" s="4"/>
      <c r="S255" s="4"/>
      <c r="U255" s="9"/>
      <c r="X255" s="4"/>
      <c r="Y255" s="4"/>
      <c r="Z255" s="4"/>
      <c r="AA255" s="4"/>
      <c r="AB255" s="4"/>
      <c r="AC255" s="7"/>
      <c r="AD255" s="4"/>
      <c r="AE255" s="4"/>
      <c r="AF255" s="21"/>
    </row>
    <row r="256" spans="4:32" x14ac:dyDescent="0.25">
      <c r="D256" s="1"/>
      <c r="E256" s="2"/>
      <c r="F256" s="3"/>
      <c r="G256" s="3"/>
      <c r="H256" s="3"/>
      <c r="J256" s="3"/>
      <c r="K256" s="3"/>
      <c r="L256" s="4"/>
      <c r="M256" s="4"/>
      <c r="N256" s="3"/>
      <c r="O256" s="3"/>
      <c r="P256" s="4"/>
      <c r="Q256" s="4"/>
      <c r="R256" s="4"/>
      <c r="S256" s="4"/>
      <c r="U256" s="9"/>
      <c r="X256" s="4"/>
      <c r="Y256" s="4"/>
      <c r="Z256" s="4"/>
      <c r="AA256" s="4"/>
      <c r="AB256" s="4"/>
      <c r="AC256" s="7"/>
      <c r="AD256" s="4"/>
      <c r="AE256" s="4"/>
      <c r="AF256" s="21"/>
    </row>
    <row r="257" spans="4:32" x14ac:dyDescent="0.25">
      <c r="D257" s="1"/>
      <c r="E257" s="2"/>
      <c r="F257" s="3"/>
      <c r="G257" s="3"/>
      <c r="H257" s="3"/>
      <c r="J257" s="3"/>
      <c r="K257" s="3"/>
      <c r="L257" s="4"/>
      <c r="M257" s="4"/>
      <c r="N257" s="3"/>
      <c r="O257" s="3"/>
      <c r="P257" s="4"/>
      <c r="Q257" s="4"/>
      <c r="R257" s="4"/>
      <c r="S257" s="4"/>
      <c r="U257" s="9"/>
      <c r="X257" s="4"/>
      <c r="Y257" s="4"/>
      <c r="Z257" s="4"/>
      <c r="AA257" s="4"/>
      <c r="AB257" s="4"/>
      <c r="AC257" s="7"/>
      <c r="AD257" s="4"/>
      <c r="AE257" s="4"/>
      <c r="AF257" s="21"/>
    </row>
    <row r="258" spans="4:32" x14ac:dyDescent="0.25">
      <c r="D258" s="1"/>
      <c r="E258" s="2"/>
      <c r="F258" s="3"/>
      <c r="G258" s="3"/>
      <c r="H258" s="3"/>
      <c r="J258" s="3"/>
      <c r="K258" s="3"/>
      <c r="L258" s="4"/>
      <c r="M258" s="4"/>
      <c r="N258" s="3"/>
      <c r="O258" s="3"/>
      <c r="P258" s="4"/>
      <c r="Q258" s="4"/>
      <c r="R258" s="4"/>
      <c r="S258" s="4"/>
      <c r="U258" s="9"/>
      <c r="X258" s="4"/>
      <c r="Y258" s="4"/>
      <c r="Z258" s="4"/>
      <c r="AA258" s="4"/>
      <c r="AB258" s="4"/>
      <c r="AC258" s="7"/>
      <c r="AD258" s="4"/>
      <c r="AE258" s="4"/>
      <c r="AF258" s="21"/>
    </row>
    <row r="259" spans="4:32" x14ac:dyDescent="0.25">
      <c r="D259" s="1"/>
      <c r="E259" s="2"/>
      <c r="F259" s="3"/>
      <c r="G259" s="3"/>
      <c r="H259" s="3"/>
      <c r="J259" s="3"/>
      <c r="K259" s="3"/>
      <c r="L259" s="4"/>
      <c r="M259" s="4"/>
      <c r="N259" s="3"/>
      <c r="O259" s="3"/>
      <c r="P259" s="4"/>
      <c r="Q259" s="4"/>
      <c r="R259" s="4"/>
      <c r="S259" s="4"/>
      <c r="U259" s="9"/>
      <c r="X259" s="4"/>
      <c r="Y259" s="4"/>
      <c r="Z259" s="4"/>
      <c r="AA259" s="4"/>
      <c r="AB259" s="4"/>
      <c r="AC259" s="7"/>
      <c r="AD259" s="4"/>
      <c r="AE259" s="4"/>
      <c r="AF259" s="21"/>
    </row>
    <row r="260" spans="4:32" x14ac:dyDescent="0.25">
      <c r="D260" s="1"/>
      <c r="E260" s="2"/>
      <c r="F260" s="3"/>
      <c r="G260" s="3"/>
      <c r="H260" s="3"/>
      <c r="J260" s="3"/>
      <c r="K260" s="3"/>
      <c r="L260" s="4"/>
      <c r="M260" s="4"/>
      <c r="N260" s="3"/>
      <c r="O260" s="3"/>
      <c r="P260" s="4"/>
      <c r="Q260" s="4"/>
      <c r="R260" s="4"/>
      <c r="S260" s="4"/>
      <c r="U260" s="9"/>
      <c r="X260" s="4"/>
      <c r="Y260" s="4"/>
      <c r="Z260" s="4"/>
      <c r="AA260" s="4"/>
      <c r="AB260" s="4"/>
      <c r="AC260" s="7"/>
      <c r="AD260" s="4"/>
      <c r="AE260" s="4"/>
      <c r="AF260" s="21"/>
    </row>
    <row r="261" spans="4:32" x14ac:dyDescent="0.25">
      <c r="D261" s="1"/>
      <c r="E261" s="2"/>
      <c r="F261" s="3"/>
      <c r="G261" s="3"/>
      <c r="H261" s="3"/>
      <c r="J261" s="3"/>
      <c r="K261" s="3"/>
      <c r="L261" s="4"/>
      <c r="M261" s="4"/>
      <c r="N261" s="3"/>
      <c r="O261" s="3"/>
      <c r="P261" s="4"/>
      <c r="Q261" s="4"/>
      <c r="R261" s="4"/>
      <c r="S261" s="4"/>
      <c r="U261" s="9"/>
      <c r="X261" s="4"/>
      <c r="Y261" s="4"/>
      <c r="Z261" s="4"/>
      <c r="AA261" s="4"/>
      <c r="AB261" s="4"/>
      <c r="AC261" s="7"/>
      <c r="AD261" s="4"/>
      <c r="AE261" s="4"/>
      <c r="AF261" s="21"/>
    </row>
    <row r="262" spans="4:32" x14ac:dyDescent="0.25">
      <c r="D262" s="1"/>
      <c r="E262" s="2"/>
      <c r="F262" s="3"/>
      <c r="G262" s="3"/>
      <c r="H262" s="3"/>
      <c r="J262" s="3"/>
      <c r="K262" s="3"/>
      <c r="L262" s="4"/>
      <c r="M262" s="4"/>
      <c r="N262" s="3"/>
      <c r="O262" s="3"/>
      <c r="P262" s="4"/>
      <c r="Q262" s="4"/>
      <c r="R262" s="4"/>
      <c r="S262" s="4"/>
      <c r="U262" s="9"/>
      <c r="X262" s="4"/>
      <c r="Y262" s="4"/>
      <c r="Z262" s="4"/>
      <c r="AA262" s="4"/>
      <c r="AB262" s="4"/>
      <c r="AC262" s="7"/>
      <c r="AD262" s="4"/>
      <c r="AE262" s="4"/>
      <c r="AF262" s="21"/>
    </row>
    <row r="263" spans="4:32" x14ac:dyDescent="0.25">
      <c r="D263" s="1"/>
      <c r="E263" s="2"/>
      <c r="F263" s="3"/>
      <c r="G263" s="3"/>
      <c r="H263" s="3"/>
      <c r="J263" s="3"/>
      <c r="K263" s="3"/>
      <c r="L263" s="4"/>
      <c r="M263" s="4"/>
      <c r="N263" s="3"/>
      <c r="O263" s="3"/>
      <c r="P263" s="4"/>
      <c r="Q263" s="4"/>
      <c r="R263" s="4"/>
      <c r="S263" s="4"/>
      <c r="U263" s="9"/>
      <c r="X263" s="4"/>
      <c r="Y263" s="4"/>
      <c r="Z263" s="4"/>
      <c r="AA263" s="4"/>
      <c r="AB263" s="4"/>
      <c r="AC263" s="7"/>
      <c r="AD263" s="4"/>
      <c r="AE263" s="4"/>
      <c r="AF263" s="21"/>
    </row>
    <row r="264" spans="4:32" x14ac:dyDescent="0.25">
      <c r="D264" s="1"/>
      <c r="E264" s="2"/>
      <c r="F264" s="3"/>
      <c r="G264" s="3"/>
      <c r="H264" s="3"/>
      <c r="J264" s="3"/>
      <c r="K264" s="3"/>
      <c r="L264" s="4"/>
      <c r="M264" s="4"/>
      <c r="N264" s="3"/>
      <c r="O264" s="3"/>
      <c r="P264" s="4"/>
      <c r="Q264" s="4"/>
      <c r="R264" s="4"/>
      <c r="S264" s="4"/>
      <c r="U264" s="9"/>
      <c r="X264" s="4"/>
      <c r="Y264" s="4"/>
      <c r="Z264" s="4"/>
      <c r="AA264" s="4"/>
      <c r="AB264" s="4"/>
      <c r="AC264" s="7"/>
      <c r="AD264" s="4"/>
      <c r="AE264" s="4"/>
      <c r="AF264" s="21"/>
    </row>
    <row r="265" spans="4:32" x14ac:dyDescent="0.25">
      <c r="D265" s="1"/>
      <c r="E265" s="2"/>
      <c r="F265" s="3"/>
      <c r="G265" s="3"/>
      <c r="H265" s="3"/>
      <c r="J265" s="3"/>
      <c r="K265" s="3"/>
      <c r="L265" s="4"/>
      <c r="M265" s="4"/>
      <c r="N265" s="3"/>
      <c r="O265" s="3"/>
      <c r="P265" s="4"/>
      <c r="Q265" s="4"/>
      <c r="R265" s="4"/>
      <c r="S265" s="4"/>
      <c r="U265" s="9"/>
      <c r="X265" s="4"/>
      <c r="Y265" s="4"/>
      <c r="Z265" s="4"/>
      <c r="AA265" s="4"/>
      <c r="AB265" s="4"/>
      <c r="AC265" s="7"/>
      <c r="AD265" s="4"/>
      <c r="AE265" s="4"/>
      <c r="AF265" s="21"/>
    </row>
    <row r="266" spans="4:32" x14ac:dyDescent="0.25">
      <c r="D266" s="1"/>
      <c r="E266" s="2"/>
      <c r="F266" s="3"/>
      <c r="G266" s="3"/>
      <c r="H266" s="3"/>
      <c r="J266" s="3"/>
      <c r="K266" s="3"/>
      <c r="L266" s="4"/>
      <c r="M266" s="4"/>
      <c r="N266" s="3"/>
      <c r="O266" s="3"/>
      <c r="P266" s="4"/>
      <c r="Q266" s="4"/>
      <c r="R266" s="4"/>
      <c r="S266" s="4"/>
      <c r="U266" s="9"/>
      <c r="X266" s="4"/>
      <c r="Y266" s="4"/>
      <c r="Z266" s="4"/>
      <c r="AA266" s="4"/>
      <c r="AB266" s="4"/>
      <c r="AC266" s="7"/>
      <c r="AD266" s="4"/>
      <c r="AE266" s="4"/>
      <c r="AF266" s="21"/>
    </row>
    <row r="267" spans="4:32" x14ac:dyDescent="0.25">
      <c r="D267" s="1"/>
      <c r="E267" s="2"/>
      <c r="F267" s="3"/>
      <c r="G267" s="3"/>
      <c r="H267" s="3"/>
      <c r="J267" s="3"/>
      <c r="K267" s="3"/>
      <c r="L267" s="4"/>
      <c r="M267" s="4"/>
      <c r="N267" s="3"/>
      <c r="O267" s="3"/>
      <c r="P267" s="4"/>
      <c r="Q267" s="4"/>
      <c r="R267" s="4"/>
      <c r="S267" s="4"/>
      <c r="U267" s="9"/>
      <c r="X267" s="4"/>
      <c r="Y267" s="4"/>
      <c r="Z267" s="4"/>
      <c r="AA267" s="4"/>
      <c r="AB267" s="4"/>
      <c r="AC267" s="7"/>
      <c r="AD267" s="4"/>
      <c r="AE267" s="4"/>
      <c r="AF267" s="21"/>
    </row>
    <row r="268" spans="4:32" x14ac:dyDescent="0.25">
      <c r="D268" s="1"/>
      <c r="E268" s="2"/>
      <c r="F268" s="3"/>
      <c r="G268" s="3"/>
      <c r="H268" s="3"/>
      <c r="J268" s="3"/>
      <c r="K268" s="3"/>
      <c r="L268" s="4"/>
      <c r="M268" s="4"/>
      <c r="N268" s="3"/>
      <c r="O268" s="3"/>
      <c r="P268" s="4"/>
      <c r="Q268" s="4"/>
      <c r="R268" s="4"/>
      <c r="S268" s="4"/>
      <c r="U268" s="9"/>
      <c r="X268" s="4"/>
      <c r="Y268" s="4"/>
      <c r="Z268" s="4"/>
      <c r="AA268" s="4"/>
      <c r="AB268" s="4"/>
      <c r="AC268" s="7"/>
      <c r="AD268" s="4"/>
      <c r="AE268" s="4"/>
      <c r="AF268" s="21"/>
    </row>
    <row r="269" spans="4:32" x14ac:dyDescent="0.25">
      <c r="D269" s="1"/>
      <c r="E269" s="2"/>
      <c r="F269" s="3"/>
      <c r="G269" s="3"/>
      <c r="H269" s="3"/>
      <c r="J269" s="3"/>
      <c r="K269" s="3"/>
      <c r="L269" s="4"/>
      <c r="M269" s="4"/>
      <c r="N269" s="3"/>
      <c r="O269" s="3"/>
      <c r="P269" s="4"/>
      <c r="Q269" s="4"/>
      <c r="R269" s="4"/>
      <c r="S269" s="4"/>
      <c r="U269" s="9"/>
      <c r="X269" s="4"/>
      <c r="Y269" s="4"/>
      <c r="Z269" s="4"/>
      <c r="AA269" s="4"/>
      <c r="AB269" s="4"/>
      <c r="AC269" s="7"/>
      <c r="AD269" s="4"/>
      <c r="AE269" s="4"/>
      <c r="AF269" s="21"/>
    </row>
    <row r="270" spans="4:32" x14ac:dyDescent="0.25">
      <c r="D270" s="1"/>
      <c r="E270" s="2"/>
      <c r="F270" s="3"/>
      <c r="G270" s="3"/>
      <c r="H270" s="3"/>
      <c r="J270" s="3"/>
      <c r="K270" s="3"/>
      <c r="L270" s="4"/>
      <c r="M270" s="4"/>
      <c r="N270" s="3"/>
      <c r="O270" s="3"/>
      <c r="P270" s="4"/>
      <c r="Q270" s="4"/>
      <c r="R270" s="4"/>
      <c r="S270" s="4"/>
      <c r="U270" s="9"/>
      <c r="X270" s="4"/>
      <c r="Y270" s="4"/>
      <c r="Z270" s="4"/>
      <c r="AA270" s="4"/>
      <c r="AB270" s="4"/>
      <c r="AC270" s="7"/>
      <c r="AD270" s="4"/>
      <c r="AE270" s="4"/>
      <c r="AF270" s="21"/>
    </row>
    <row r="271" spans="4:32" x14ac:dyDescent="0.25">
      <c r="D271" s="1"/>
      <c r="E271" s="2"/>
      <c r="F271" s="3"/>
      <c r="G271" s="3"/>
      <c r="H271" s="3"/>
      <c r="J271" s="3"/>
      <c r="K271" s="3"/>
      <c r="L271" s="4"/>
      <c r="M271" s="4"/>
      <c r="N271" s="3"/>
      <c r="O271" s="3"/>
      <c r="P271" s="4"/>
      <c r="Q271" s="4"/>
      <c r="R271" s="4"/>
      <c r="S271" s="4"/>
      <c r="U271" s="9"/>
      <c r="X271" s="4"/>
      <c r="Y271" s="4"/>
      <c r="Z271" s="4"/>
      <c r="AA271" s="4"/>
      <c r="AB271" s="4"/>
      <c r="AC271" s="7"/>
      <c r="AD271" s="4"/>
      <c r="AE271" s="4"/>
      <c r="AF271" s="21"/>
    </row>
    <row r="272" spans="4:32" x14ac:dyDescent="0.25">
      <c r="D272" s="1"/>
      <c r="E272" s="2"/>
      <c r="F272" s="3"/>
      <c r="G272" s="3"/>
      <c r="H272" s="3"/>
      <c r="J272" s="3"/>
      <c r="K272" s="3"/>
      <c r="L272" s="4"/>
      <c r="M272" s="4"/>
      <c r="N272" s="3"/>
      <c r="O272" s="3"/>
      <c r="P272" s="4"/>
      <c r="Q272" s="4"/>
      <c r="R272" s="4"/>
      <c r="S272" s="4"/>
      <c r="U272" s="9"/>
      <c r="X272" s="4"/>
      <c r="Y272" s="4"/>
      <c r="Z272" s="4"/>
      <c r="AA272" s="4"/>
      <c r="AB272" s="4"/>
      <c r="AC272" s="7"/>
      <c r="AD272" s="4"/>
      <c r="AE272" s="4"/>
      <c r="AF272" s="21"/>
    </row>
    <row r="273" spans="4:32" x14ac:dyDescent="0.25">
      <c r="D273" s="1"/>
      <c r="E273" s="2"/>
      <c r="F273" s="3"/>
      <c r="G273" s="3"/>
      <c r="H273" s="3"/>
      <c r="J273" s="3"/>
      <c r="K273" s="3"/>
      <c r="L273" s="4"/>
      <c r="M273" s="4"/>
      <c r="N273" s="3"/>
      <c r="O273" s="3"/>
      <c r="P273" s="4"/>
      <c r="Q273" s="4"/>
      <c r="R273" s="4"/>
      <c r="S273" s="4"/>
      <c r="U273" s="9"/>
      <c r="X273" s="4"/>
      <c r="Y273" s="4"/>
      <c r="Z273" s="4"/>
      <c r="AA273" s="4"/>
      <c r="AB273" s="4"/>
      <c r="AC273" s="7"/>
      <c r="AD273" s="4"/>
      <c r="AE273" s="4"/>
      <c r="AF273" s="21"/>
    </row>
    <row r="274" spans="4:32" x14ac:dyDescent="0.25">
      <c r="D274" s="1"/>
      <c r="E274" s="2"/>
      <c r="F274" s="3"/>
      <c r="G274" s="3"/>
      <c r="H274" s="3"/>
      <c r="J274" s="3"/>
      <c r="K274" s="3"/>
      <c r="L274" s="4"/>
      <c r="M274" s="4"/>
      <c r="N274" s="3"/>
      <c r="O274" s="3"/>
      <c r="P274" s="4"/>
      <c r="Q274" s="4"/>
      <c r="R274" s="4"/>
      <c r="S274" s="4"/>
      <c r="U274" s="9"/>
      <c r="X274" s="4"/>
      <c r="Y274" s="4"/>
      <c r="Z274" s="4"/>
      <c r="AA274" s="4"/>
      <c r="AB274" s="4"/>
      <c r="AC274" s="7"/>
      <c r="AD274" s="4"/>
      <c r="AE274" s="4"/>
      <c r="AF274" s="21"/>
    </row>
    <row r="275" spans="4:32" x14ac:dyDescent="0.25">
      <c r="D275" s="1"/>
      <c r="E275" s="2"/>
      <c r="F275" s="3"/>
      <c r="G275" s="3"/>
      <c r="H275" s="3"/>
      <c r="J275" s="3"/>
      <c r="K275" s="3"/>
      <c r="L275" s="4"/>
      <c r="M275" s="4"/>
      <c r="N275" s="3"/>
      <c r="O275" s="3"/>
      <c r="P275" s="4"/>
      <c r="Q275" s="4"/>
      <c r="R275" s="4"/>
      <c r="S275" s="4"/>
      <c r="U275" s="9"/>
      <c r="X275" s="4"/>
      <c r="Y275" s="4"/>
      <c r="Z275" s="4"/>
      <c r="AA275" s="4"/>
      <c r="AB275" s="4"/>
      <c r="AC275" s="7"/>
      <c r="AD275" s="4"/>
      <c r="AE275" s="4"/>
      <c r="AF275" s="21"/>
    </row>
    <row r="276" spans="4:32" x14ac:dyDescent="0.25">
      <c r="D276" s="1"/>
      <c r="E276" s="2"/>
      <c r="F276" s="3"/>
      <c r="G276" s="3"/>
      <c r="H276" s="3"/>
      <c r="J276" s="3"/>
      <c r="K276" s="3"/>
      <c r="L276" s="4"/>
      <c r="M276" s="4"/>
      <c r="N276" s="3"/>
      <c r="O276" s="3"/>
      <c r="P276" s="4"/>
      <c r="Q276" s="4"/>
      <c r="R276" s="4"/>
      <c r="S276" s="4"/>
      <c r="U276" s="9"/>
      <c r="X276" s="4"/>
      <c r="Y276" s="4"/>
      <c r="Z276" s="4"/>
      <c r="AA276" s="4"/>
      <c r="AB276" s="4"/>
      <c r="AC276" s="7"/>
      <c r="AD276" s="4"/>
      <c r="AE276" s="4"/>
      <c r="AF276" s="21"/>
    </row>
    <row r="277" spans="4:32" x14ac:dyDescent="0.25">
      <c r="D277" s="1"/>
      <c r="E277" s="2"/>
      <c r="F277" s="3"/>
      <c r="G277" s="3"/>
      <c r="H277" s="3"/>
      <c r="J277" s="3"/>
      <c r="K277" s="3"/>
      <c r="L277" s="4"/>
      <c r="M277" s="4"/>
      <c r="N277" s="3"/>
      <c r="O277" s="3"/>
      <c r="P277" s="4"/>
      <c r="Q277" s="4"/>
      <c r="R277" s="4"/>
      <c r="S277" s="4"/>
      <c r="U277" s="9"/>
      <c r="X277" s="4"/>
      <c r="Y277" s="4"/>
      <c r="Z277" s="4"/>
      <c r="AA277" s="4"/>
      <c r="AB277" s="4"/>
      <c r="AC277" s="7"/>
      <c r="AD277" s="4"/>
      <c r="AE277" s="4"/>
      <c r="AF277" s="21"/>
    </row>
    <row r="278" spans="4:32" x14ac:dyDescent="0.25">
      <c r="D278" s="1"/>
      <c r="E278" s="2"/>
      <c r="F278" s="3"/>
      <c r="G278" s="3"/>
      <c r="H278" s="3"/>
      <c r="J278" s="3"/>
      <c r="K278" s="3"/>
      <c r="L278" s="4"/>
      <c r="M278" s="4"/>
      <c r="N278" s="3"/>
      <c r="O278" s="3"/>
      <c r="P278" s="4"/>
      <c r="Q278" s="4"/>
      <c r="R278" s="4"/>
      <c r="S278" s="4"/>
      <c r="U278" s="9"/>
      <c r="X278" s="4"/>
      <c r="Y278" s="4"/>
      <c r="Z278" s="4"/>
      <c r="AA278" s="4"/>
      <c r="AB278" s="4"/>
      <c r="AC278" s="7"/>
      <c r="AD278" s="4"/>
      <c r="AE278" s="4"/>
      <c r="AF278" s="21"/>
    </row>
    <row r="279" spans="4:32" x14ac:dyDescent="0.25">
      <c r="D279" s="1"/>
      <c r="E279" s="2"/>
      <c r="F279" s="3"/>
      <c r="G279" s="3"/>
      <c r="H279" s="3"/>
      <c r="J279" s="3"/>
      <c r="K279" s="3"/>
      <c r="L279" s="4"/>
      <c r="M279" s="4"/>
      <c r="N279" s="3"/>
      <c r="O279" s="3"/>
      <c r="P279" s="4"/>
      <c r="Q279" s="4"/>
      <c r="R279" s="4"/>
      <c r="S279" s="4"/>
      <c r="U279" s="9"/>
      <c r="X279" s="4"/>
      <c r="Y279" s="4"/>
      <c r="Z279" s="4"/>
      <c r="AA279" s="4"/>
      <c r="AB279" s="4"/>
      <c r="AC279" s="7"/>
      <c r="AD279" s="4"/>
      <c r="AE279" s="4"/>
      <c r="AF279" s="21"/>
    </row>
    <row r="280" spans="4:32" x14ac:dyDescent="0.25">
      <c r="D280" s="1"/>
      <c r="E280" s="2"/>
      <c r="F280" s="3"/>
      <c r="G280" s="3"/>
      <c r="H280" s="3"/>
      <c r="J280" s="3"/>
      <c r="K280" s="3"/>
      <c r="L280" s="4"/>
      <c r="M280" s="4"/>
      <c r="N280" s="3"/>
      <c r="O280" s="3"/>
      <c r="P280" s="4"/>
      <c r="Q280" s="4"/>
      <c r="R280" s="4"/>
      <c r="S280" s="4"/>
      <c r="U280" s="9"/>
      <c r="X280" s="4"/>
      <c r="Y280" s="4"/>
      <c r="Z280" s="4"/>
      <c r="AA280" s="4"/>
      <c r="AB280" s="4"/>
      <c r="AC280" s="7"/>
      <c r="AD280" s="4"/>
      <c r="AE280" s="4"/>
      <c r="AF280" s="21"/>
    </row>
    <row r="281" spans="4:32" x14ac:dyDescent="0.25">
      <c r="D281" s="1"/>
      <c r="E281" s="2"/>
      <c r="F281" s="3"/>
      <c r="G281" s="3"/>
      <c r="H281" s="3"/>
      <c r="J281" s="3"/>
      <c r="K281" s="3"/>
      <c r="L281" s="4"/>
      <c r="M281" s="4"/>
      <c r="N281" s="3"/>
      <c r="O281" s="3"/>
      <c r="P281" s="4"/>
      <c r="Q281" s="4"/>
      <c r="R281" s="4"/>
      <c r="S281" s="4"/>
      <c r="U281" s="9"/>
      <c r="X281" s="4"/>
      <c r="Y281" s="4"/>
      <c r="Z281" s="4"/>
      <c r="AA281" s="4"/>
      <c r="AB281" s="4"/>
      <c r="AC281" s="7"/>
      <c r="AD281" s="4"/>
      <c r="AE281" s="4"/>
      <c r="AF281" s="21"/>
    </row>
    <row r="282" spans="4:32" x14ac:dyDescent="0.25">
      <c r="D282" s="1"/>
      <c r="E282" s="2"/>
      <c r="F282" s="3"/>
      <c r="G282" s="3"/>
      <c r="H282" s="3"/>
      <c r="J282" s="3"/>
      <c r="K282" s="3"/>
      <c r="L282" s="4"/>
      <c r="M282" s="4"/>
      <c r="N282" s="3"/>
      <c r="O282" s="3"/>
      <c r="P282" s="4"/>
      <c r="Q282" s="4"/>
      <c r="R282" s="4"/>
      <c r="S282" s="4"/>
      <c r="U282" s="9"/>
      <c r="X282" s="4"/>
      <c r="Y282" s="4"/>
      <c r="Z282" s="4"/>
      <c r="AA282" s="4"/>
      <c r="AB282" s="4"/>
      <c r="AC282" s="7"/>
      <c r="AD282" s="4"/>
      <c r="AE282" s="4"/>
      <c r="AF282" s="21"/>
    </row>
    <row r="283" spans="4:32" x14ac:dyDescent="0.25">
      <c r="D283" s="1"/>
      <c r="E283" s="2"/>
      <c r="F283" s="3"/>
      <c r="G283" s="3"/>
      <c r="H283" s="3"/>
      <c r="J283" s="3"/>
      <c r="K283" s="3"/>
      <c r="L283" s="4"/>
      <c r="M283" s="4"/>
      <c r="N283" s="3"/>
      <c r="O283" s="3"/>
      <c r="P283" s="4"/>
      <c r="Q283" s="4"/>
      <c r="R283" s="4"/>
      <c r="S283" s="4"/>
      <c r="U283" s="9"/>
      <c r="X283" s="4"/>
      <c r="Y283" s="4"/>
      <c r="Z283" s="4"/>
      <c r="AA283" s="4"/>
      <c r="AB283" s="4"/>
      <c r="AC283" s="7"/>
      <c r="AD283" s="4"/>
      <c r="AE283" s="4"/>
      <c r="AF283" s="21"/>
    </row>
    <row r="284" spans="4:32" x14ac:dyDescent="0.25">
      <c r="D284" s="1"/>
      <c r="E284" s="2"/>
      <c r="F284" s="3"/>
      <c r="G284" s="3"/>
      <c r="H284" s="3"/>
      <c r="J284" s="3"/>
      <c r="K284" s="3"/>
      <c r="L284" s="4"/>
      <c r="M284" s="4"/>
      <c r="N284" s="3"/>
      <c r="O284" s="3"/>
      <c r="P284" s="4"/>
      <c r="Q284" s="4"/>
      <c r="R284" s="4"/>
      <c r="S284" s="4"/>
      <c r="U284" s="9"/>
      <c r="X284" s="4"/>
      <c r="Y284" s="4"/>
      <c r="Z284" s="4"/>
      <c r="AA284" s="4"/>
      <c r="AB284" s="4"/>
      <c r="AC284" s="7"/>
      <c r="AD284" s="4"/>
      <c r="AE284" s="4"/>
      <c r="AF284" s="21"/>
    </row>
    <row r="285" spans="4:32" x14ac:dyDescent="0.25">
      <c r="D285" s="1"/>
      <c r="E285" s="2"/>
      <c r="F285" s="3"/>
      <c r="G285" s="3"/>
      <c r="H285" s="3"/>
      <c r="J285" s="3"/>
      <c r="K285" s="3"/>
      <c r="L285" s="4"/>
      <c r="M285" s="4"/>
      <c r="N285" s="3"/>
      <c r="O285" s="3"/>
      <c r="P285" s="4"/>
      <c r="Q285" s="4"/>
      <c r="R285" s="4"/>
      <c r="S285" s="4"/>
      <c r="U285" s="9"/>
      <c r="X285" s="4"/>
      <c r="Y285" s="4"/>
      <c r="Z285" s="4"/>
      <c r="AA285" s="4"/>
      <c r="AB285" s="4"/>
      <c r="AC285" s="7"/>
      <c r="AD285" s="4"/>
      <c r="AE285" s="4"/>
      <c r="AF285" s="21"/>
    </row>
    <row r="286" spans="4:32" x14ac:dyDescent="0.25">
      <c r="D286" s="1"/>
      <c r="E286" s="2"/>
      <c r="F286" s="3"/>
      <c r="G286" s="3"/>
      <c r="H286" s="3"/>
      <c r="J286" s="3"/>
      <c r="K286" s="3"/>
      <c r="L286" s="4"/>
      <c r="M286" s="4"/>
      <c r="N286" s="3"/>
      <c r="O286" s="3"/>
      <c r="P286" s="4"/>
      <c r="Q286" s="4"/>
      <c r="R286" s="4"/>
      <c r="S286" s="4"/>
      <c r="U286" s="9"/>
      <c r="X286" s="4"/>
      <c r="Y286" s="4"/>
      <c r="Z286" s="4"/>
      <c r="AA286" s="4"/>
      <c r="AB286" s="4"/>
      <c r="AC286" s="7"/>
      <c r="AD286" s="4"/>
      <c r="AE286" s="4"/>
      <c r="AF286" s="21"/>
    </row>
    <row r="287" spans="4:32" x14ac:dyDescent="0.25">
      <c r="D287" s="1"/>
      <c r="E287" s="2"/>
      <c r="F287" s="3"/>
      <c r="G287" s="3"/>
      <c r="H287" s="3"/>
      <c r="J287" s="3"/>
      <c r="K287" s="3"/>
      <c r="L287" s="4"/>
      <c r="M287" s="4"/>
      <c r="N287" s="3"/>
      <c r="O287" s="3"/>
      <c r="P287" s="4"/>
      <c r="Q287" s="4"/>
      <c r="R287" s="4"/>
      <c r="S287" s="4"/>
      <c r="U287" s="9"/>
      <c r="X287" s="4"/>
      <c r="Y287" s="4"/>
      <c r="Z287" s="4"/>
      <c r="AA287" s="4"/>
      <c r="AB287" s="4"/>
      <c r="AC287" s="7"/>
      <c r="AD287" s="4"/>
      <c r="AE287" s="4"/>
      <c r="AF287" s="21"/>
    </row>
    <row r="288" spans="4:32" x14ac:dyDescent="0.25">
      <c r="D288" s="1"/>
      <c r="E288" s="2"/>
      <c r="F288" s="3"/>
      <c r="G288" s="3"/>
      <c r="H288" s="3"/>
      <c r="J288" s="3"/>
      <c r="K288" s="3"/>
      <c r="L288" s="4"/>
      <c r="M288" s="4"/>
      <c r="N288" s="3"/>
      <c r="O288" s="3"/>
      <c r="P288" s="4"/>
      <c r="Q288" s="4"/>
      <c r="R288" s="4"/>
      <c r="S288" s="4"/>
      <c r="U288" s="9"/>
      <c r="X288" s="4"/>
      <c r="Y288" s="4"/>
      <c r="Z288" s="4"/>
      <c r="AA288" s="4"/>
      <c r="AB288" s="4"/>
      <c r="AC288" s="7"/>
      <c r="AD288" s="4"/>
      <c r="AE288" s="4"/>
      <c r="AF288" s="21"/>
    </row>
    <row r="289" spans="4:32" x14ac:dyDescent="0.25">
      <c r="D289" s="1"/>
      <c r="E289" s="2"/>
      <c r="F289" s="3"/>
      <c r="G289" s="3"/>
      <c r="H289" s="3"/>
      <c r="J289" s="3"/>
      <c r="K289" s="3"/>
      <c r="L289" s="4"/>
      <c r="M289" s="4"/>
      <c r="N289" s="3"/>
      <c r="O289" s="3"/>
      <c r="P289" s="4"/>
      <c r="Q289" s="4"/>
      <c r="R289" s="4"/>
      <c r="S289" s="4"/>
      <c r="U289" s="9"/>
      <c r="X289" s="4"/>
      <c r="Y289" s="4"/>
      <c r="Z289" s="4"/>
      <c r="AA289" s="4"/>
      <c r="AB289" s="4"/>
      <c r="AC289" s="7"/>
      <c r="AD289" s="4"/>
      <c r="AE289" s="4"/>
      <c r="AF289" s="21"/>
    </row>
    <row r="290" spans="4:32" x14ac:dyDescent="0.25">
      <c r="D290" s="1"/>
      <c r="E290" s="2"/>
      <c r="F290" s="3"/>
      <c r="G290" s="3"/>
      <c r="H290" s="3"/>
      <c r="J290" s="3"/>
      <c r="K290" s="3"/>
      <c r="L290" s="4"/>
      <c r="M290" s="4"/>
      <c r="N290" s="3"/>
      <c r="O290" s="3"/>
      <c r="P290" s="4"/>
      <c r="Q290" s="4"/>
      <c r="R290" s="4"/>
      <c r="S290" s="4"/>
      <c r="U290" s="9"/>
      <c r="X290" s="4"/>
      <c r="Y290" s="4"/>
      <c r="Z290" s="4"/>
      <c r="AA290" s="4"/>
      <c r="AB290" s="4"/>
      <c r="AC290" s="7"/>
      <c r="AD290" s="4"/>
      <c r="AE290" s="4"/>
      <c r="AF290" s="21"/>
    </row>
    <row r="291" spans="4:32" x14ac:dyDescent="0.25">
      <c r="D291" s="1"/>
      <c r="E291" s="2"/>
      <c r="F291" s="3"/>
      <c r="G291" s="3"/>
      <c r="H291" s="3"/>
      <c r="J291" s="3"/>
      <c r="K291" s="3"/>
      <c r="L291" s="4"/>
      <c r="M291" s="4"/>
      <c r="N291" s="3"/>
      <c r="O291" s="3"/>
      <c r="P291" s="4"/>
      <c r="Q291" s="4"/>
      <c r="R291" s="4"/>
      <c r="S291" s="4"/>
      <c r="U291" s="9"/>
      <c r="X291" s="4"/>
      <c r="Y291" s="4"/>
      <c r="Z291" s="4"/>
      <c r="AA291" s="4"/>
      <c r="AB291" s="4"/>
      <c r="AC291" s="7"/>
      <c r="AD291" s="4"/>
      <c r="AE291" s="4"/>
      <c r="AF291" s="21"/>
    </row>
    <row r="292" spans="4:32" x14ac:dyDescent="0.25">
      <c r="D292" s="1"/>
      <c r="E292" s="2"/>
      <c r="F292" s="3"/>
      <c r="G292" s="3"/>
      <c r="H292" s="3"/>
      <c r="J292" s="3"/>
      <c r="K292" s="3"/>
      <c r="L292" s="4"/>
      <c r="M292" s="4"/>
      <c r="N292" s="3"/>
      <c r="O292" s="3"/>
      <c r="P292" s="4"/>
      <c r="Q292" s="4"/>
      <c r="R292" s="4"/>
      <c r="S292" s="4"/>
      <c r="U292" s="9"/>
      <c r="X292" s="4"/>
      <c r="Y292" s="4"/>
      <c r="Z292" s="4"/>
      <c r="AA292" s="4"/>
      <c r="AB292" s="4"/>
      <c r="AC292" s="7"/>
      <c r="AD292" s="4"/>
      <c r="AE292" s="4"/>
      <c r="AF292" s="21"/>
    </row>
    <row r="293" spans="4:32" x14ac:dyDescent="0.25">
      <c r="D293" s="1"/>
      <c r="E293" s="2"/>
      <c r="F293" s="3"/>
      <c r="G293" s="3"/>
      <c r="H293" s="3"/>
      <c r="J293" s="3"/>
      <c r="K293" s="3"/>
      <c r="L293" s="4"/>
      <c r="M293" s="4"/>
      <c r="N293" s="3"/>
      <c r="O293" s="3"/>
      <c r="P293" s="4"/>
      <c r="Q293" s="4"/>
      <c r="R293" s="4"/>
      <c r="S293" s="4"/>
      <c r="U293" s="9"/>
      <c r="X293" s="4"/>
      <c r="Y293" s="4"/>
      <c r="Z293" s="4"/>
      <c r="AA293" s="4"/>
      <c r="AB293" s="4"/>
      <c r="AC293" s="7"/>
      <c r="AD293" s="4"/>
      <c r="AE293" s="4"/>
      <c r="AF293" s="21"/>
    </row>
    <row r="294" spans="4:32" x14ac:dyDescent="0.25">
      <c r="D294" s="1"/>
      <c r="E294" s="2"/>
      <c r="F294" s="3"/>
      <c r="G294" s="3"/>
      <c r="H294" s="3"/>
      <c r="J294" s="3"/>
      <c r="K294" s="3"/>
      <c r="L294" s="4"/>
      <c r="M294" s="4"/>
      <c r="N294" s="3"/>
      <c r="O294" s="3"/>
      <c r="P294" s="4"/>
      <c r="Q294" s="4"/>
      <c r="R294" s="4"/>
      <c r="S294" s="4"/>
      <c r="U294" s="9"/>
      <c r="X294" s="4"/>
      <c r="Y294" s="4"/>
      <c r="Z294" s="4"/>
      <c r="AA294" s="4"/>
      <c r="AB294" s="4"/>
      <c r="AC294" s="7"/>
      <c r="AD294" s="4"/>
      <c r="AE294" s="4"/>
      <c r="AF294" s="21"/>
    </row>
    <row r="295" spans="4:32" x14ac:dyDescent="0.25">
      <c r="D295" s="1"/>
      <c r="E295" s="2"/>
      <c r="F295" s="3"/>
      <c r="G295" s="3"/>
      <c r="H295" s="3"/>
      <c r="J295" s="3"/>
      <c r="K295" s="3"/>
      <c r="L295" s="4"/>
      <c r="M295" s="4"/>
      <c r="N295" s="3"/>
      <c r="O295" s="3"/>
      <c r="P295" s="4"/>
      <c r="Q295" s="4"/>
      <c r="R295" s="4"/>
      <c r="S295" s="4"/>
      <c r="U295" s="9"/>
      <c r="X295" s="4"/>
      <c r="Y295" s="4"/>
      <c r="Z295" s="4"/>
      <c r="AA295" s="4"/>
      <c r="AB295" s="4"/>
      <c r="AC295" s="7"/>
      <c r="AD295" s="4"/>
      <c r="AE295" s="4"/>
      <c r="AF295" s="21"/>
    </row>
    <row r="296" spans="4:32" x14ac:dyDescent="0.25">
      <c r="D296" s="1"/>
      <c r="E296" s="2"/>
      <c r="F296" s="3"/>
      <c r="G296" s="3"/>
      <c r="H296" s="3"/>
      <c r="J296" s="3"/>
      <c r="K296" s="3"/>
      <c r="L296" s="4"/>
      <c r="M296" s="4"/>
      <c r="N296" s="3"/>
      <c r="O296" s="3"/>
      <c r="P296" s="4"/>
      <c r="Q296" s="4"/>
      <c r="R296" s="4"/>
      <c r="S296" s="4"/>
      <c r="U296" s="9"/>
      <c r="X296" s="4"/>
      <c r="Y296" s="4"/>
      <c r="Z296" s="4"/>
      <c r="AA296" s="4"/>
      <c r="AB296" s="4"/>
      <c r="AC296" s="7"/>
      <c r="AD296" s="4"/>
      <c r="AE296" s="4"/>
      <c r="AF296" s="21"/>
    </row>
    <row r="297" spans="4:32" x14ac:dyDescent="0.25">
      <c r="D297" s="1"/>
      <c r="E297" s="2"/>
      <c r="F297" s="3"/>
      <c r="G297" s="3"/>
      <c r="H297" s="3"/>
      <c r="J297" s="3"/>
      <c r="K297" s="3"/>
      <c r="L297" s="4"/>
      <c r="M297" s="4"/>
      <c r="N297" s="3"/>
      <c r="O297" s="3"/>
      <c r="P297" s="4"/>
      <c r="Q297" s="4"/>
      <c r="R297" s="4"/>
      <c r="S297" s="4"/>
      <c r="U297" s="9"/>
      <c r="X297" s="4"/>
      <c r="Y297" s="4"/>
      <c r="Z297" s="4"/>
      <c r="AA297" s="4"/>
      <c r="AB297" s="4"/>
      <c r="AC297" s="7"/>
      <c r="AD297" s="4"/>
      <c r="AE297" s="4"/>
      <c r="AF297" s="21"/>
    </row>
    <row r="298" spans="4:32" x14ac:dyDescent="0.25">
      <c r="D298" s="1"/>
      <c r="E298" s="2"/>
      <c r="F298" s="3"/>
      <c r="G298" s="3"/>
      <c r="H298" s="3"/>
      <c r="J298" s="3"/>
      <c r="K298" s="3"/>
      <c r="L298" s="4"/>
      <c r="M298" s="4"/>
      <c r="N298" s="3"/>
      <c r="O298" s="3"/>
      <c r="P298" s="4"/>
      <c r="Q298" s="4"/>
      <c r="R298" s="4"/>
      <c r="S298" s="4"/>
      <c r="U298" s="9"/>
      <c r="X298" s="4"/>
      <c r="Y298" s="4"/>
      <c r="Z298" s="4"/>
      <c r="AA298" s="4"/>
      <c r="AB298" s="4"/>
      <c r="AC298" s="7"/>
      <c r="AD298" s="4"/>
      <c r="AE298" s="4"/>
      <c r="AF298" s="21"/>
    </row>
    <row r="299" spans="4:32" x14ac:dyDescent="0.25">
      <c r="D299" s="1"/>
      <c r="E299" s="2"/>
      <c r="F299" s="3"/>
      <c r="G299" s="3"/>
      <c r="H299" s="3"/>
      <c r="J299" s="3"/>
      <c r="K299" s="3"/>
      <c r="L299" s="4"/>
      <c r="M299" s="4"/>
      <c r="N299" s="3"/>
      <c r="O299" s="3"/>
      <c r="P299" s="4"/>
      <c r="Q299" s="4"/>
      <c r="R299" s="4"/>
      <c r="S299" s="4"/>
      <c r="U299" s="9"/>
      <c r="X299" s="4"/>
      <c r="Y299" s="4"/>
      <c r="Z299" s="4"/>
      <c r="AA299" s="4"/>
      <c r="AB299" s="4"/>
      <c r="AC299" s="7"/>
      <c r="AD299" s="4"/>
      <c r="AE299" s="4"/>
      <c r="AF299" s="21"/>
    </row>
    <row r="300" spans="4:32" x14ac:dyDescent="0.25">
      <c r="D300" s="1"/>
      <c r="E300" s="2"/>
      <c r="F300" s="3"/>
      <c r="G300" s="3"/>
      <c r="H300" s="3"/>
      <c r="J300" s="3"/>
      <c r="K300" s="3"/>
      <c r="L300" s="4"/>
      <c r="M300" s="4"/>
      <c r="N300" s="3"/>
      <c r="O300" s="3"/>
      <c r="P300" s="4"/>
      <c r="Q300" s="4"/>
      <c r="R300" s="4"/>
      <c r="S300" s="4"/>
      <c r="U300" s="9"/>
      <c r="X300" s="4"/>
      <c r="Y300" s="4"/>
      <c r="Z300" s="4"/>
      <c r="AA300" s="4"/>
      <c r="AB300" s="4"/>
      <c r="AC300" s="7"/>
      <c r="AD300" s="4"/>
      <c r="AE300" s="4"/>
      <c r="AF300" s="21"/>
    </row>
    <row r="301" spans="4:32" x14ac:dyDescent="0.25">
      <c r="D301" s="1"/>
      <c r="E301" s="2"/>
      <c r="F301" s="3"/>
      <c r="G301" s="3"/>
      <c r="H301" s="3"/>
      <c r="J301" s="3"/>
      <c r="K301" s="3"/>
      <c r="L301" s="4"/>
      <c r="M301" s="4"/>
      <c r="N301" s="3"/>
      <c r="O301" s="3"/>
      <c r="P301" s="4"/>
      <c r="Q301" s="4"/>
      <c r="R301" s="4"/>
      <c r="S301" s="4"/>
      <c r="U301" s="9"/>
      <c r="X301" s="4"/>
      <c r="Y301" s="4"/>
      <c r="Z301" s="4"/>
      <c r="AA301" s="4"/>
      <c r="AB301" s="4"/>
      <c r="AC301" s="7"/>
      <c r="AD301" s="4"/>
      <c r="AE301" s="4"/>
      <c r="AF301" s="21"/>
    </row>
    <row r="302" spans="4:32" x14ac:dyDescent="0.25">
      <c r="D302" s="1"/>
      <c r="E302" s="2"/>
      <c r="F302" s="3"/>
      <c r="G302" s="3"/>
      <c r="H302" s="3"/>
      <c r="J302" s="3"/>
      <c r="K302" s="3"/>
      <c r="L302" s="4"/>
      <c r="M302" s="4"/>
      <c r="N302" s="3"/>
      <c r="O302" s="3"/>
      <c r="P302" s="4"/>
      <c r="Q302" s="4"/>
      <c r="R302" s="4"/>
      <c r="S302" s="4"/>
      <c r="U302" s="9"/>
      <c r="X302" s="4"/>
      <c r="Y302" s="4"/>
      <c r="Z302" s="4"/>
      <c r="AA302" s="4"/>
      <c r="AB302" s="4"/>
      <c r="AC302" s="7"/>
      <c r="AD302" s="4"/>
      <c r="AE302" s="4"/>
      <c r="AF302" s="21"/>
    </row>
    <row r="303" spans="4:32" x14ac:dyDescent="0.25">
      <c r="D303" s="1"/>
      <c r="E303" s="2"/>
      <c r="F303" s="3"/>
      <c r="G303" s="3"/>
      <c r="H303" s="3"/>
      <c r="J303" s="3"/>
      <c r="K303" s="3"/>
      <c r="L303" s="4"/>
      <c r="M303" s="4"/>
      <c r="N303" s="3"/>
      <c r="O303" s="3"/>
      <c r="P303" s="4"/>
      <c r="Q303" s="4"/>
      <c r="R303" s="4"/>
      <c r="S303" s="4"/>
      <c r="U303" s="9"/>
      <c r="X303" s="4"/>
      <c r="Y303" s="4"/>
      <c r="Z303" s="4"/>
      <c r="AA303" s="4"/>
      <c r="AB303" s="4"/>
      <c r="AC303" s="7"/>
      <c r="AD303" s="4"/>
      <c r="AE303" s="4"/>
      <c r="AF303" s="21"/>
    </row>
    <row r="304" spans="4:32" x14ac:dyDescent="0.25">
      <c r="D304" s="1"/>
      <c r="E304" s="2"/>
      <c r="F304" s="3"/>
      <c r="G304" s="3"/>
      <c r="H304" s="3"/>
      <c r="J304" s="3"/>
      <c r="K304" s="3"/>
      <c r="L304" s="4"/>
      <c r="M304" s="4"/>
      <c r="N304" s="3"/>
      <c r="O304" s="3"/>
      <c r="P304" s="4"/>
      <c r="Q304" s="4"/>
      <c r="R304" s="4"/>
      <c r="S304" s="4"/>
      <c r="U304" s="9"/>
      <c r="X304" s="4"/>
      <c r="Y304" s="4"/>
      <c r="Z304" s="4"/>
      <c r="AA304" s="4"/>
      <c r="AB304" s="4"/>
      <c r="AC304" s="7"/>
      <c r="AD304" s="4"/>
      <c r="AE304" s="4"/>
      <c r="AF304" s="21"/>
    </row>
    <row r="305" spans="4:32" x14ac:dyDescent="0.25">
      <c r="D305" s="1"/>
      <c r="E305" s="2"/>
      <c r="F305" s="3"/>
      <c r="G305" s="3"/>
      <c r="H305" s="3"/>
      <c r="J305" s="3"/>
      <c r="K305" s="3"/>
      <c r="L305" s="4"/>
      <c r="M305" s="4"/>
      <c r="N305" s="3"/>
      <c r="O305" s="3"/>
      <c r="P305" s="4"/>
      <c r="Q305" s="4"/>
      <c r="R305" s="4"/>
      <c r="S305" s="4"/>
      <c r="U305" s="9"/>
      <c r="X305" s="4"/>
      <c r="Y305" s="4"/>
      <c r="Z305" s="4"/>
      <c r="AA305" s="4"/>
      <c r="AB305" s="4"/>
      <c r="AC305" s="7"/>
      <c r="AD305" s="4"/>
      <c r="AE305" s="4"/>
      <c r="AF305" s="21"/>
    </row>
    <row r="306" spans="4:32" x14ac:dyDescent="0.25">
      <c r="D306" s="1"/>
      <c r="E306" s="2"/>
      <c r="F306" s="3"/>
      <c r="G306" s="3"/>
      <c r="H306" s="3"/>
      <c r="J306" s="3"/>
      <c r="K306" s="3"/>
      <c r="L306" s="4"/>
      <c r="M306" s="4"/>
      <c r="N306" s="3"/>
      <c r="O306" s="3"/>
      <c r="P306" s="4"/>
      <c r="Q306" s="4"/>
      <c r="R306" s="4"/>
      <c r="S306" s="4"/>
      <c r="U306" s="9"/>
      <c r="X306" s="4"/>
      <c r="Y306" s="4"/>
      <c r="Z306" s="4"/>
      <c r="AA306" s="4"/>
      <c r="AB306" s="4"/>
      <c r="AC306" s="7"/>
      <c r="AD306" s="4"/>
      <c r="AE306" s="4"/>
      <c r="AF306" s="21"/>
    </row>
    <row r="307" spans="4:32" x14ac:dyDescent="0.25">
      <c r="D307" s="1"/>
      <c r="E307" s="2"/>
      <c r="F307" s="3"/>
      <c r="G307" s="3"/>
      <c r="H307" s="3"/>
      <c r="J307" s="3"/>
      <c r="K307" s="3"/>
      <c r="L307" s="4"/>
      <c r="M307" s="4"/>
      <c r="N307" s="3"/>
      <c r="O307" s="3"/>
      <c r="P307" s="4"/>
      <c r="Q307" s="4"/>
      <c r="R307" s="4"/>
      <c r="S307" s="4"/>
      <c r="U307" s="9"/>
      <c r="X307" s="4"/>
      <c r="Y307" s="4"/>
      <c r="Z307" s="4"/>
      <c r="AA307" s="4"/>
      <c r="AB307" s="4"/>
      <c r="AC307" s="7"/>
      <c r="AD307" s="4"/>
      <c r="AE307" s="4"/>
      <c r="AF307" s="21"/>
    </row>
    <row r="308" spans="4:32" x14ac:dyDescent="0.25">
      <c r="D308" s="1"/>
      <c r="E308" s="2"/>
      <c r="F308" s="3"/>
      <c r="G308" s="3"/>
      <c r="H308" s="3"/>
      <c r="J308" s="3"/>
      <c r="K308" s="3"/>
      <c r="L308" s="4"/>
      <c r="M308" s="4"/>
      <c r="N308" s="3"/>
      <c r="O308" s="3"/>
      <c r="P308" s="4"/>
      <c r="Q308" s="4"/>
      <c r="R308" s="4"/>
      <c r="S308" s="4"/>
      <c r="U308" s="9"/>
      <c r="X308" s="4"/>
      <c r="Y308" s="4"/>
      <c r="Z308" s="4"/>
      <c r="AA308" s="4"/>
      <c r="AB308" s="4"/>
      <c r="AC308" s="7"/>
      <c r="AD308" s="4"/>
      <c r="AE308" s="4"/>
      <c r="AF308" s="21"/>
    </row>
    <row r="309" spans="4:32" x14ac:dyDescent="0.25">
      <c r="D309" s="1"/>
      <c r="E309" s="2"/>
      <c r="F309" s="3"/>
      <c r="G309" s="3"/>
      <c r="H309" s="3"/>
      <c r="J309" s="3"/>
      <c r="K309" s="3"/>
      <c r="L309" s="4"/>
      <c r="M309" s="4"/>
      <c r="N309" s="3"/>
      <c r="O309" s="3"/>
      <c r="P309" s="4"/>
      <c r="Q309" s="4"/>
      <c r="R309" s="4"/>
      <c r="S309" s="4"/>
      <c r="U309" s="9"/>
      <c r="X309" s="4"/>
      <c r="Y309" s="4"/>
      <c r="Z309" s="4"/>
      <c r="AA309" s="4"/>
      <c r="AB309" s="4"/>
      <c r="AC309" s="7"/>
      <c r="AD309" s="4"/>
      <c r="AE309" s="4"/>
      <c r="AF309" s="21"/>
    </row>
    <row r="310" spans="4:32" x14ac:dyDescent="0.25">
      <c r="D310" s="1"/>
      <c r="E310" s="2"/>
      <c r="F310" s="3"/>
      <c r="G310" s="3"/>
      <c r="H310" s="3"/>
      <c r="J310" s="3"/>
      <c r="K310" s="3"/>
      <c r="L310" s="4"/>
      <c r="M310" s="4"/>
      <c r="N310" s="3"/>
      <c r="O310" s="3"/>
      <c r="P310" s="4"/>
      <c r="Q310" s="4"/>
      <c r="R310" s="4"/>
      <c r="S310" s="4"/>
      <c r="U310" s="9"/>
      <c r="X310" s="4"/>
      <c r="Y310" s="4"/>
      <c r="Z310" s="4"/>
      <c r="AA310" s="4"/>
      <c r="AB310" s="4"/>
      <c r="AC310" s="7"/>
      <c r="AD310" s="4"/>
      <c r="AE310" s="4"/>
      <c r="AF310" s="21"/>
    </row>
    <row r="311" spans="4:32" x14ac:dyDescent="0.25">
      <c r="D311" s="1"/>
      <c r="E311" s="2"/>
      <c r="F311" s="3"/>
      <c r="G311" s="3"/>
      <c r="H311" s="3"/>
      <c r="J311" s="3"/>
      <c r="K311" s="3"/>
      <c r="L311" s="4"/>
      <c r="M311" s="4"/>
      <c r="N311" s="3"/>
      <c r="O311" s="3"/>
      <c r="P311" s="4"/>
      <c r="Q311" s="4"/>
      <c r="R311" s="4"/>
      <c r="S311" s="4"/>
      <c r="U311" s="9"/>
      <c r="X311" s="4"/>
      <c r="Y311" s="4"/>
      <c r="Z311" s="4"/>
      <c r="AA311" s="4"/>
      <c r="AB311" s="4"/>
      <c r="AC311" s="7"/>
      <c r="AD311" s="4"/>
      <c r="AE311" s="4"/>
      <c r="AF311" s="21"/>
    </row>
    <row r="312" spans="4:32" x14ac:dyDescent="0.25">
      <c r="D312" s="1"/>
      <c r="E312" s="2"/>
      <c r="F312" s="3"/>
      <c r="G312" s="3"/>
      <c r="H312" s="3"/>
      <c r="J312" s="3"/>
      <c r="K312" s="3"/>
      <c r="L312" s="4"/>
      <c r="M312" s="4"/>
      <c r="N312" s="3"/>
      <c r="O312" s="3"/>
      <c r="P312" s="4"/>
      <c r="Q312" s="4"/>
      <c r="R312" s="4"/>
      <c r="S312" s="4"/>
      <c r="U312" s="9"/>
      <c r="X312" s="4"/>
      <c r="Y312" s="4"/>
      <c r="Z312" s="4"/>
      <c r="AA312" s="4"/>
      <c r="AB312" s="4"/>
      <c r="AC312" s="7"/>
      <c r="AD312" s="4"/>
      <c r="AE312" s="4"/>
      <c r="AF312" s="21"/>
    </row>
    <row r="313" spans="4:32" x14ac:dyDescent="0.25">
      <c r="D313" s="1"/>
      <c r="E313" s="2"/>
      <c r="F313" s="3"/>
      <c r="G313" s="3"/>
      <c r="H313" s="3"/>
      <c r="J313" s="3"/>
      <c r="K313" s="3"/>
      <c r="L313" s="4"/>
      <c r="M313" s="4"/>
      <c r="N313" s="3"/>
      <c r="O313" s="3"/>
      <c r="P313" s="4"/>
      <c r="Q313" s="4"/>
      <c r="R313" s="4"/>
      <c r="S313" s="4"/>
      <c r="U313" s="9"/>
      <c r="X313" s="4"/>
      <c r="Y313" s="4"/>
      <c r="Z313" s="4"/>
      <c r="AA313" s="4"/>
      <c r="AB313" s="4"/>
      <c r="AC313" s="7"/>
      <c r="AD313" s="4"/>
      <c r="AE313" s="4"/>
      <c r="AF313" s="21"/>
    </row>
    <row r="314" spans="4:32" x14ac:dyDescent="0.25">
      <c r="D314" s="1"/>
      <c r="E314" s="2"/>
      <c r="F314" s="3"/>
      <c r="G314" s="3"/>
      <c r="H314" s="3"/>
      <c r="J314" s="3"/>
      <c r="K314" s="3"/>
      <c r="L314" s="4"/>
      <c r="M314" s="4"/>
      <c r="N314" s="3"/>
      <c r="O314" s="3"/>
      <c r="P314" s="4"/>
      <c r="Q314" s="4"/>
      <c r="R314" s="4"/>
      <c r="S314" s="4"/>
      <c r="U314" s="9"/>
      <c r="X314" s="4"/>
      <c r="Y314" s="4"/>
      <c r="Z314" s="4"/>
      <c r="AA314" s="4"/>
      <c r="AB314" s="4"/>
      <c r="AC314" s="7"/>
      <c r="AD314" s="4"/>
      <c r="AE314" s="4"/>
      <c r="AF314" s="21"/>
    </row>
    <row r="315" spans="4:32" x14ac:dyDescent="0.25">
      <c r="D315" s="1"/>
      <c r="E315" s="2"/>
      <c r="F315" s="3"/>
      <c r="G315" s="3"/>
      <c r="H315" s="3"/>
      <c r="J315" s="3"/>
      <c r="K315" s="3"/>
      <c r="L315" s="4"/>
      <c r="M315" s="4"/>
      <c r="N315" s="3"/>
      <c r="O315" s="3"/>
      <c r="P315" s="4"/>
      <c r="Q315" s="4"/>
      <c r="R315" s="4"/>
      <c r="S315" s="4"/>
      <c r="U315" s="9"/>
      <c r="X315" s="4"/>
      <c r="Y315" s="4"/>
      <c r="Z315" s="4"/>
      <c r="AA315" s="4"/>
      <c r="AB315" s="4"/>
      <c r="AC315" s="7"/>
      <c r="AD315" s="4"/>
      <c r="AE315" s="4"/>
      <c r="AF315" s="21"/>
    </row>
    <row r="316" spans="4:32" x14ac:dyDescent="0.25">
      <c r="D316" s="1"/>
      <c r="E316" s="2"/>
      <c r="F316" s="3"/>
      <c r="G316" s="3"/>
      <c r="H316" s="3"/>
      <c r="J316" s="3"/>
      <c r="K316" s="3"/>
      <c r="L316" s="4"/>
      <c r="M316" s="4"/>
      <c r="N316" s="3"/>
      <c r="O316" s="3"/>
      <c r="P316" s="4"/>
      <c r="Q316" s="4"/>
      <c r="R316" s="4"/>
      <c r="S316" s="4"/>
      <c r="U316" s="9"/>
      <c r="X316" s="4"/>
      <c r="Y316" s="4"/>
      <c r="Z316" s="4"/>
      <c r="AA316" s="4"/>
      <c r="AB316" s="4"/>
      <c r="AC316" s="7"/>
      <c r="AD316" s="4"/>
      <c r="AE316" s="4"/>
      <c r="AF316" s="21"/>
    </row>
    <row r="317" spans="4:32" x14ac:dyDescent="0.25">
      <c r="D317" s="1"/>
      <c r="E317" s="2"/>
      <c r="F317" s="3"/>
      <c r="G317" s="3"/>
      <c r="H317" s="3"/>
      <c r="J317" s="3"/>
      <c r="K317" s="3"/>
      <c r="L317" s="4"/>
      <c r="M317" s="4"/>
      <c r="N317" s="3"/>
      <c r="O317" s="3"/>
      <c r="P317" s="4"/>
      <c r="Q317" s="4"/>
      <c r="R317" s="4"/>
      <c r="S317" s="4"/>
      <c r="U317" s="9"/>
      <c r="X317" s="4"/>
      <c r="Y317" s="4"/>
      <c r="Z317" s="4"/>
      <c r="AA317" s="4"/>
      <c r="AB317" s="4"/>
      <c r="AC317" s="7"/>
      <c r="AD317" s="4"/>
      <c r="AE317" s="4"/>
      <c r="AF317" s="21"/>
    </row>
    <row r="318" spans="4:32" x14ac:dyDescent="0.25">
      <c r="D318" s="1"/>
      <c r="E318" s="2"/>
      <c r="F318" s="3"/>
      <c r="G318" s="3"/>
      <c r="H318" s="3"/>
      <c r="J318" s="3"/>
      <c r="K318" s="3"/>
      <c r="L318" s="4"/>
      <c r="M318" s="4"/>
      <c r="N318" s="3"/>
      <c r="O318" s="3"/>
      <c r="P318" s="4"/>
      <c r="Q318" s="4"/>
      <c r="R318" s="4"/>
      <c r="S318" s="4"/>
      <c r="U318" s="9"/>
      <c r="X318" s="4"/>
      <c r="Y318" s="4"/>
      <c r="Z318" s="4"/>
      <c r="AA318" s="4"/>
      <c r="AB318" s="4"/>
      <c r="AC318" s="7"/>
      <c r="AD318" s="4"/>
      <c r="AE318" s="4"/>
      <c r="AF318" s="21"/>
    </row>
    <row r="319" spans="4:32" x14ac:dyDescent="0.25">
      <c r="D319" s="1"/>
      <c r="E319" s="2"/>
      <c r="F319" s="3"/>
      <c r="G319" s="3"/>
      <c r="H319" s="3"/>
      <c r="J319" s="3"/>
      <c r="K319" s="3"/>
      <c r="L319" s="4"/>
      <c r="M319" s="4"/>
      <c r="N319" s="3"/>
      <c r="O319" s="3"/>
      <c r="P319" s="4"/>
      <c r="Q319" s="4"/>
      <c r="R319" s="4"/>
      <c r="S319" s="4"/>
      <c r="U319" s="9"/>
      <c r="X319" s="4"/>
      <c r="Y319" s="4"/>
      <c r="Z319" s="4"/>
      <c r="AA319" s="4"/>
      <c r="AB319" s="4"/>
      <c r="AC319" s="7"/>
      <c r="AD319" s="4"/>
      <c r="AE319" s="4"/>
      <c r="AF319" s="21"/>
    </row>
    <row r="320" spans="4:32" x14ac:dyDescent="0.25">
      <c r="D320" s="1"/>
      <c r="E320" s="2"/>
      <c r="F320" s="3"/>
      <c r="G320" s="3"/>
      <c r="H320" s="3"/>
      <c r="J320" s="3"/>
      <c r="K320" s="3"/>
      <c r="L320" s="4"/>
      <c r="M320" s="4"/>
      <c r="N320" s="3"/>
      <c r="O320" s="3"/>
      <c r="P320" s="4"/>
      <c r="Q320" s="4"/>
      <c r="R320" s="4"/>
      <c r="S320" s="4"/>
      <c r="U320" s="9"/>
      <c r="X320" s="4"/>
      <c r="Y320" s="4"/>
      <c r="Z320" s="4"/>
      <c r="AA320" s="4"/>
      <c r="AB320" s="4"/>
      <c r="AC320" s="7"/>
      <c r="AD320" s="4"/>
      <c r="AE320" s="4"/>
      <c r="AF320" s="21"/>
    </row>
    <row r="321" spans="4:32" x14ac:dyDescent="0.25">
      <c r="D321" s="1"/>
      <c r="E321" s="2"/>
      <c r="F321" s="3"/>
      <c r="G321" s="3"/>
      <c r="H321" s="3"/>
      <c r="J321" s="3"/>
      <c r="K321" s="3"/>
      <c r="L321" s="4"/>
      <c r="M321" s="4"/>
      <c r="N321" s="3"/>
      <c r="O321" s="3"/>
      <c r="P321" s="4"/>
      <c r="Q321" s="4"/>
      <c r="R321" s="4"/>
      <c r="S321" s="4"/>
      <c r="U321" s="9"/>
      <c r="X321" s="4"/>
      <c r="Y321" s="4"/>
      <c r="Z321" s="4"/>
      <c r="AA321" s="4"/>
      <c r="AB321" s="4"/>
      <c r="AC321" s="7"/>
      <c r="AD321" s="4"/>
      <c r="AE321" s="4"/>
      <c r="AF321" s="21"/>
    </row>
    <row r="322" spans="4:32" x14ac:dyDescent="0.25">
      <c r="D322" s="1"/>
      <c r="E322" s="2"/>
      <c r="F322" s="3"/>
      <c r="G322" s="3"/>
      <c r="H322" s="3"/>
      <c r="J322" s="3"/>
      <c r="K322" s="3"/>
      <c r="L322" s="4"/>
      <c r="M322" s="4"/>
      <c r="N322" s="3"/>
      <c r="O322" s="3"/>
      <c r="P322" s="4"/>
      <c r="Q322" s="4"/>
      <c r="R322" s="4"/>
      <c r="S322" s="4"/>
      <c r="U322" s="9"/>
      <c r="X322" s="4"/>
      <c r="Y322" s="4"/>
      <c r="Z322" s="4"/>
      <c r="AA322" s="4"/>
      <c r="AB322" s="4"/>
      <c r="AC322" s="7"/>
      <c r="AD322" s="4"/>
      <c r="AE322" s="4"/>
      <c r="AF322" s="21"/>
    </row>
    <row r="323" spans="4:32" x14ac:dyDescent="0.25">
      <c r="D323" s="1"/>
      <c r="E323" s="2"/>
      <c r="F323" s="3"/>
      <c r="G323" s="3"/>
      <c r="H323" s="3"/>
      <c r="J323" s="3"/>
      <c r="K323" s="3"/>
      <c r="L323" s="4"/>
      <c r="M323" s="4"/>
      <c r="N323" s="3"/>
      <c r="O323" s="3"/>
      <c r="P323" s="4"/>
      <c r="Q323" s="4"/>
      <c r="R323" s="4"/>
      <c r="S323" s="4"/>
      <c r="U323" s="9"/>
      <c r="X323" s="4"/>
      <c r="Y323" s="4"/>
      <c r="Z323" s="4"/>
      <c r="AA323" s="4"/>
      <c r="AB323" s="4"/>
      <c r="AC323" s="7"/>
      <c r="AD323" s="4"/>
      <c r="AE323" s="4"/>
      <c r="AF323" s="21"/>
    </row>
    <row r="324" spans="4:32" x14ac:dyDescent="0.25">
      <c r="D324" s="1"/>
      <c r="E324" s="2"/>
      <c r="F324" s="3"/>
      <c r="G324" s="3"/>
      <c r="H324" s="3"/>
      <c r="J324" s="3"/>
      <c r="K324" s="3"/>
      <c r="L324" s="4"/>
      <c r="M324" s="4"/>
      <c r="N324" s="3"/>
      <c r="O324" s="3"/>
      <c r="P324" s="4"/>
      <c r="Q324" s="4"/>
      <c r="R324" s="4"/>
      <c r="S324" s="4"/>
      <c r="U324" s="9"/>
      <c r="X324" s="4"/>
      <c r="Y324" s="4"/>
      <c r="Z324" s="4"/>
      <c r="AA324" s="4"/>
      <c r="AB324" s="4"/>
      <c r="AC324" s="7"/>
      <c r="AD324" s="4"/>
      <c r="AE324" s="4"/>
      <c r="AF324" s="21"/>
    </row>
    <row r="325" spans="4:32" x14ac:dyDescent="0.25">
      <c r="D325" s="1"/>
      <c r="E325" s="2"/>
      <c r="F325" s="3"/>
      <c r="G325" s="3"/>
      <c r="H325" s="3"/>
      <c r="J325" s="3"/>
      <c r="K325" s="3"/>
      <c r="L325" s="4"/>
      <c r="M325" s="4"/>
      <c r="N325" s="3"/>
      <c r="O325" s="3"/>
      <c r="P325" s="4"/>
      <c r="Q325" s="4"/>
      <c r="R325" s="4"/>
      <c r="S325" s="4"/>
      <c r="U325" s="9"/>
      <c r="X325" s="4"/>
      <c r="Y325" s="4"/>
      <c r="Z325" s="4"/>
      <c r="AA325" s="4"/>
      <c r="AB325" s="4"/>
      <c r="AC325" s="7"/>
      <c r="AD325" s="4"/>
      <c r="AE325" s="4"/>
      <c r="AF325" s="21"/>
    </row>
    <row r="326" spans="4:32" x14ac:dyDescent="0.25">
      <c r="D326" s="1"/>
      <c r="E326" s="2"/>
      <c r="F326" s="3"/>
      <c r="G326" s="3"/>
      <c r="H326" s="3"/>
      <c r="J326" s="3"/>
      <c r="K326" s="3"/>
      <c r="L326" s="4"/>
      <c r="M326" s="4"/>
      <c r="N326" s="3"/>
      <c r="O326" s="3"/>
      <c r="P326" s="4"/>
      <c r="Q326" s="4"/>
      <c r="R326" s="4"/>
      <c r="S326" s="4"/>
      <c r="U326" s="9"/>
      <c r="X326" s="4"/>
      <c r="Y326" s="4"/>
      <c r="Z326" s="4"/>
      <c r="AA326" s="4"/>
      <c r="AB326" s="4"/>
      <c r="AC326" s="7"/>
      <c r="AD326" s="4"/>
      <c r="AE326" s="4"/>
      <c r="AF326" s="21"/>
    </row>
    <row r="327" spans="4:32" x14ac:dyDescent="0.25">
      <c r="D327" s="1"/>
      <c r="E327" s="2"/>
      <c r="F327" s="3"/>
      <c r="G327" s="3"/>
      <c r="H327" s="3"/>
      <c r="J327" s="3"/>
      <c r="K327" s="3"/>
      <c r="L327" s="4"/>
      <c r="M327" s="4"/>
      <c r="N327" s="3"/>
      <c r="O327" s="3"/>
      <c r="P327" s="4"/>
      <c r="Q327" s="4"/>
      <c r="R327" s="4"/>
      <c r="S327" s="4"/>
      <c r="U327" s="9"/>
      <c r="X327" s="4"/>
      <c r="Y327" s="4"/>
      <c r="Z327" s="4"/>
      <c r="AA327" s="4"/>
      <c r="AB327" s="4"/>
      <c r="AC327" s="7"/>
      <c r="AD327" s="4"/>
      <c r="AE327" s="4"/>
      <c r="AF327" s="21"/>
    </row>
    <row r="328" spans="4:32" x14ac:dyDescent="0.25">
      <c r="D328" s="1"/>
      <c r="E328" s="2"/>
      <c r="F328" s="3"/>
      <c r="G328" s="3"/>
      <c r="H328" s="3"/>
      <c r="J328" s="3"/>
      <c r="K328" s="3"/>
      <c r="L328" s="4"/>
      <c r="M328" s="4"/>
      <c r="N328" s="3"/>
      <c r="O328" s="3"/>
      <c r="P328" s="4"/>
      <c r="Q328" s="4"/>
      <c r="R328" s="4"/>
      <c r="S328" s="4"/>
      <c r="U328" s="9"/>
      <c r="X328" s="4"/>
      <c r="Y328" s="4"/>
      <c r="Z328" s="4"/>
      <c r="AA328" s="4"/>
      <c r="AB328" s="4"/>
      <c r="AC328" s="7"/>
      <c r="AD328" s="4"/>
      <c r="AE328" s="4"/>
      <c r="AF328" s="21"/>
    </row>
    <row r="329" spans="4:32" x14ac:dyDescent="0.25">
      <c r="D329" s="1"/>
      <c r="E329" s="2"/>
      <c r="F329" s="3"/>
      <c r="G329" s="3"/>
      <c r="H329" s="3"/>
      <c r="J329" s="3"/>
      <c r="K329" s="3"/>
      <c r="L329" s="4"/>
      <c r="M329" s="4"/>
      <c r="N329" s="3"/>
      <c r="O329" s="3"/>
      <c r="P329" s="4"/>
      <c r="Q329" s="4"/>
      <c r="R329" s="4"/>
      <c r="S329" s="4"/>
      <c r="U329" s="9"/>
      <c r="X329" s="4"/>
      <c r="Y329" s="4"/>
      <c r="Z329" s="4"/>
      <c r="AA329" s="4"/>
      <c r="AB329" s="4"/>
      <c r="AC329" s="7"/>
      <c r="AD329" s="4"/>
      <c r="AE329" s="4"/>
      <c r="AF329" s="21"/>
    </row>
    <row r="330" spans="4:32" x14ac:dyDescent="0.25">
      <c r="D330" s="1"/>
      <c r="E330" s="2"/>
      <c r="F330" s="3"/>
      <c r="G330" s="3"/>
      <c r="H330" s="3"/>
      <c r="J330" s="3"/>
      <c r="K330" s="3"/>
      <c r="L330" s="4"/>
      <c r="M330" s="4"/>
      <c r="N330" s="3"/>
      <c r="O330" s="3"/>
      <c r="P330" s="4"/>
      <c r="Q330" s="4"/>
      <c r="R330" s="4"/>
      <c r="S330" s="4"/>
      <c r="U330" s="9"/>
      <c r="X330" s="4"/>
      <c r="Y330" s="4"/>
      <c r="Z330" s="4"/>
      <c r="AA330" s="4"/>
      <c r="AB330" s="4"/>
      <c r="AC330" s="7"/>
      <c r="AD330" s="4"/>
      <c r="AE330" s="4"/>
      <c r="AF330" s="21"/>
    </row>
    <row r="331" spans="4:32" x14ac:dyDescent="0.25">
      <c r="D331" s="1"/>
      <c r="E331" s="2"/>
      <c r="F331" s="3"/>
      <c r="G331" s="3"/>
      <c r="H331" s="3"/>
      <c r="J331" s="3"/>
      <c r="K331" s="3"/>
      <c r="L331" s="4"/>
      <c r="M331" s="4"/>
      <c r="N331" s="3"/>
      <c r="O331" s="3"/>
      <c r="P331" s="4"/>
      <c r="Q331" s="4"/>
      <c r="R331" s="4"/>
      <c r="S331" s="4"/>
      <c r="U331" s="9"/>
      <c r="X331" s="4"/>
      <c r="Y331" s="4"/>
      <c r="Z331" s="4"/>
      <c r="AA331" s="4"/>
      <c r="AB331" s="4"/>
      <c r="AC331" s="7"/>
      <c r="AD331" s="4"/>
      <c r="AE331" s="4"/>
      <c r="AF331" s="21"/>
    </row>
    <row r="332" spans="4:32" x14ac:dyDescent="0.25">
      <c r="D332" s="1"/>
      <c r="E332" s="2"/>
      <c r="F332" s="3"/>
      <c r="G332" s="3"/>
      <c r="H332" s="3"/>
      <c r="J332" s="3"/>
      <c r="K332" s="3"/>
      <c r="L332" s="4"/>
      <c r="M332" s="4"/>
      <c r="N332" s="3"/>
      <c r="O332" s="3"/>
      <c r="P332" s="4"/>
      <c r="Q332" s="4"/>
      <c r="R332" s="4"/>
      <c r="S332" s="4"/>
      <c r="U332" s="9"/>
      <c r="X332" s="4"/>
      <c r="Y332" s="4"/>
      <c r="Z332" s="4"/>
      <c r="AA332" s="4"/>
      <c r="AB332" s="4"/>
      <c r="AC332" s="7"/>
      <c r="AD332" s="4"/>
      <c r="AE332" s="4"/>
      <c r="AF332" s="21"/>
    </row>
    <row r="333" spans="4:32" x14ac:dyDescent="0.25">
      <c r="D333" s="1"/>
      <c r="E333" s="2"/>
      <c r="F333" s="3"/>
      <c r="G333" s="3"/>
      <c r="H333" s="3"/>
      <c r="J333" s="3"/>
      <c r="K333" s="3"/>
      <c r="L333" s="4"/>
      <c r="M333" s="4"/>
      <c r="N333" s="3"/>
      <c r="O333" s="3"/>
      <c r="P333" s="4"/>
      <c r="Q333" s="4"/>
      <c r="R333" s="4"/>
      <c r="S333" s="4"/>
      <c r="U333" s="9"/>
      <c r="X333" s="4"/>
      <c r="Y333" s="4"/>
      <c r="Z333" s="4"/>
      <c r="AA333" s="4"/>
      <c r="AB333" s="4"/>
      <c r="AC333" s="7"/>
      <c r="AD333" s="4"/>
      <c r="AE333" s="4"/>
      <c r="AF333" s="21"/>
    </row>
    <row r="334" spans="4:32" x14ac:dyDescent="0.25">
      <c r="D334" s="1"/>
      <c r="E334" s="2"/>
      <c r="F334" s="3"/>
      <c r="G334" s="3"/>
      <c r="H334" s="3"/>
      <c r="J334" s="3"/>
      <c r="K334" s="3"/>
      <c r="L334" s="4"/>
      <c r="M334" s="4"/>
      <c r="N334" s="3"/>
      <c r="O334" s="3"/>
      <c r="P334" s="4"/>
      <c r="Q334" s="4"/>
      <c r="R334" s="4"/>
      <c r="S334" s="4"/>
      <c r="U334" s="9"/>
      <c r="X334" s="4"/>
      <c r="Y334" s="4"/>
      <c r="Z334" s="4"/>
      <c r="AA334" s="4"/>
      <c r="AB334" s="4"/>
      <c r="AC334" s="7"/>
      <c r="AD334" s="4"/>
      <c r="AE334" s="4"/>
      <c r="AF334" s="21"/>
    </row>
    <row r="335" spans="4:32" x14ac:dyDescent="0.25">
      <c r="D335" s="1"/>
      <c r="E335" s="2"/>
      <c r="F335" s="3"/>
      <c r="G335" s="3"/>
      <c r="H335" s="3"/>
      <c r="J335" s="3"/>
      <c r="K335" s="3"/>
      <c r="L335" s="4"/>
      <c r="M335" s="4"/>
      <c r="N335" s="3"/>
      <c r="O335" s="3"/>
      <c r="P335" s="4"/>
      <c r="Q335" s="4"/>
      <c r="R335" s="4"/>
      <c r="S335" s="4"/>
      <c r="U335" s="9"/>
      <c r="X335" s="4"/>
      <c r="Y335" s="4"/>
      <c r="Z335" s="4"/>
      <c r="AA335" s="4"/>
      <c r="AB335" s="4"/>
      <c r="AC335" s="7"/>
      <c r="AD335" s="4"/>
      <c r="AE335" s="4"/>
      <c r="AF335" s="21"/>
    </row>
    <row r="336" spans="4:32" x14ac:dyDescent="0.25">
      <c r="D336" s="1"/>
      <c r="E336" s="2"/>
      <c r="F336" s="3"/>
      <c r="G336" s="3"/>
      <c r="H336" s="3"/>
      <c r="J336" s="3"/>
      <c r="K336" s="3"/>
      <c r="L336" s="4"/>
      <c r="M336" s="4"/>
      <c r="N336" s="3"/>
      <c r="O336" s="3"/>
      <c r="P336" s="4"/>
      <c r="Q336" s="4"/>
      <c r="R336" s="4"/>
      <c r="S336" s="4"/>
      <c r="U336" s="9"/>
      <c r="X336" s="4"/>
      <c r="Y336" s="4"/>
      <c r="Z336" s="4"/>
      <c r="AA336" s="4"/>
      <c r="AB336" s="4"/>
      <c r="AC336" s="7"/>
      <c r="AD336" s="4"/>
      <c r="AE336" s="4"/>
      <c r="AF336" s="21"/>
    </row>
    <row r="337" spans="4:32" x14ac:dyDescent="0.25">
      <c r="D337" s="1"/>
      <c r="E337" s="2"/>
      <c r="F337" s="3"/>
      <c r="G337" s="3"/>
      <c r="H337" s="3"/>
      <c r="J337" s="3"/>
      <c r="K337" s="3"/>
      <c r="L337" s="4"/>
      <c r="M337" s="4"/>
      <c r="N337" s="3"/>
      <c r="O337" s="3"/>
      <c r="P337" s="4"/>
      <c r="Q337" s="4"/>
      <c r="R337" s="4"/>
      <c r="S337" s="4"/>
      <c r="U337" s="9"/>
      <c r="X337" s="4"/>
      <c r="Y337" s="4"/>
      <c r="Z337" s="4"/>
      <c r="AA337" s="4"/>
      <c r="AB337" s="4"/>
      <c r="AC337" s="7"/>
      <c r="AD337" s="4"/>
      <c r="AE337" s="4"/>
      <c r="AF337" s="21"/>
    </row>
    <row r="338" spans="4:32" x14ac:dyDescent="0.25">
      <c r="D338" s="1"/>
      <c r="E338" s="2"/>
      <c r="F338" s="3"/>
      <c r="G338" s="3"/>
      <c r="H338" s="3"/>
      <c r="J338" s="3"/>
      <c r="K338" s="3"/>
      <c r="L338" s="4"/>
      <c r="M338" s="4"/>
      <c r="N338" s="3"/>
      <c r="O338" s="3"/>
      <c r="P338" s="4"/>
      <c r="Q338" s="4"/>
      <c r="R338" s="4"/>
      <c r="S338" s="4"/>
      <c r="U338" s="9"/>
      <c r="X338" s="4"/>
      <c r="Y338" s="4"/>
      <c r="Z338" s="4"/>
      <c r="AA338" s="4"/>
      <c r="AB338" s="4"/>
      <c r="AC338" s="7"/>
      <c r="AD338" s="4"/>
      <c r="AE338" s="4"/>
      <c r="AF338" s="21"/>
    </row>
    <row r="339" spans="4:32" x14ac:dyDescent="0.25">
      <c r="D339" s="1"/>
      <c r="E339" s="2"/>
      <c r="F339" s="3"/>
      <c r="G339" s="3"/>
      <c r="H339" s="3"/>
      <c r="J339" s="3"/>
      <c r="K339" s="3"/>
      <c r="L339" s="4"/>
      <c r="M339" s="4"/>
      <c r="N339" s="3"/>
      <c r="O339" s="3"/>
      <c r="P339" s="4"/>
      <c r="Q339" s="4"/>
      <c r="R339" s="4"/>
      <c r="S339" s="4"/>
      <c r="U339" s="9"/>
      <c r="X339" s="4"/>
      <c r="Y339" s="4"/>
      <c r="Z339" s="4"/>
      <c r="AA339" s="4"/>
      <c r="AB339" s="4"/>
      <c r="AC339" s="7"/>
      <c r="AD339" s="4"/>
      <c r="AE339" s="4"/>
      <c r="AF339" s="21"/>
    </row>
    <row r="340" spans="4:32" x14ac:dyDescent="0.25">
      <c r="D340" s="1"/>
      <c r="E340" s="2"/>
      <c r="F340" s="3"/>
      <c r="G340" s="3"/>
      <c r="H340" s="3"/>
      <c r="J340" s="3"/>
      <c r="K340" s="3"/>
      <c r="L340" s="4"/>
      <c r="M340" s="4"/>
      <c r="N340" s="3"/>
      <c r="O340" s="3"/>
      <c r="P340" s="4"/>
      <c r="Q340" s="4"/>
      <c r="R340" s="4"/>
      <c r="S340" s="4"/>
      <c r="U340" s="9"/>
      <c r="X340" s="4"/>
      <c r="Y340" s="4"/>
      <c r="Z340" s="4"/>
      <c r="AA340" s="4"/>
      <c r="AB340" s="4"/>
      <c r="AC340" s="7"/>
      <c r="AD340" s="4"/>
      <c r="AE340" s="4"/>
      <c r="AF340" s="21"/>
    </row>
    <row r="341" spans="4:32" x14ac:dyDescent="0.25">
      <c r="D341" s="1"/>
      <c r="E341" s="2"/>
      <c r="F341" s="3"/>
      <c r="G341" s="3"/>
      <c r="H341" s="3"/>
      <c r="J341" s="3"/>
      <c r="K341" s="3"/>
      <c r="L341" s="4"/>
      <c r="M341" s="4"/>
      <c r="N341" s="3"/>
      <c r="O341" s="3"/>
      <c r="P341" s="4"/>
      <c r="Q341" s="4"/>
      <c r="R341" s="4"/>
      <c r="S341" s="4"/>
      <c r="U341" s="9"/>
      <c r="X341" s="4"/>
      <c r="Y341" s="4"/>
      <c r="Z341" s="4"/>
      <c r="AA341" s="4"/>
      <c r="AB341" s="4"/>
      <c r="AC341" s="7"/>
      <c r="AD341" s="4"/>
      <c r="AE341" s="4"/>
      <c r="AF341" s="21"/>
    </row>
    <row r="342" spans="4:32" x14ac:dyDescent="0.25">
      <c r="D342" s="1"/>
      <c r="E342" s="2"/>
      <c r="F342" s="3"/>
      <c r="G342" s="3"/>
      <c r="H342" s="3"/>
      <c r="J342" s="3"/>
      <c r="K342" s="3"/>
      <c r="L342" s="4"/>
      <c r="M342" s="4"/>
      <c r="N342" s="3"/>
      <c r="O342" s="3"/>
      <c r="P342" s="4"/>
      <c r="Q342" s="4"/>
      <c r="R342" s="4"/>
      <c r="S342" s="4"/>
      <c r="U342" s="9"/>
      <c r="X342" s="4"/>
      <c r="Y342" s="4"/>
      <c r="Z342" s="4"/>
      <c r="AA342" s="4"/>
      <c r="AB342" s="4"/>
      <c r="AC342" s="7"/>
      <c r="AD342" s="4"/>
      <c r="AE342" s="4"/>
      <c r="AF342" s="21"/>
    </row>
    <row r="343" spans="4:32" x14ac:dyDescent="0.25">
      <c r="D343" s="1"/>
      <c r="E343" s="2"/>
      <c r="F343" s="3"/>
      <c r="G343" s="3"/>
      <c r="H343" s="3"/>
      <c r="J343" s="3"/>
      <c r="K343" s="3"/>
      <c r="L343" s="4"/>
      <c r="M343" s="4"/>
      <c r="N343" s="3"/>
      <c r="O343" s="3"/>
      <c r="P343" s="4"/>
      <c r="Q343" s="4"/>
      <c r="R343" s="4"/>
      <c r="S343" s="4"/>
      <c r="U343" s="9"/>
      <c r="X343" s="4"/>
      <c r="Y343" s="4"/>
      <c r="Z343" s="4"/>
      <c r="AA343" s="4"/>
      <c r="AB343" s="4"/>
      <c r="AC343" s="7"/>
      <c r="AD343" s="4"/>
      <c r="AE343" s="4"/>
      <c r="AF343" s="21"/>
    </row>
    <row r="344" spans="4:32" x14ac:dyDescent="0.25">
      <c r="D344" s="1"/>
      <c r="E344" s="2"/>
      <c r="F344" s="3"/>
      <c r="G344" s="3"/>
      <c r="H344" s="3"/>
      <c r="J344" s="3"/>
      <c r="K344" s="3"/>
      <c r="L344" s="4"/>
      <c r="M344" s="4"/>
      <c r="N344" s="3"/>
      <c r="O344" s="3"/>
      <c r="P344" s="4"/>
      <c r="Q344" s="4"/>
      <c r="R344" s="4"/>
      <c r="S344" s="4"/>
      <c r="U344" s="9"/>
      <c r="X344" s="4"/>
      <c r="Y344" s="4"/>
      <c r="Z344" s="4"/>
      <c r="AA344" s="4"/>
      <c r="AB344" s="4"/>
      <c r="AC344" s="7"/>
      <c r="AD344" s="4"/>
      <c r="AE344" s="4"/>
      <c r="AF344" s="21"/>
    </row>
    <row r="345" spans="4:32" x14ac:dyDescent="0.25">
      <c r="D345" s="1"/>
      <c r="E345" s="2"/>
      <c r="F345" s="3"/>
      <c r="G345" s="3"/>
      <c r="H345" s="3"/>
      <c r="J345" s="3"/>
      <c r="K345" s="3"/>
      <c r="L345" s="4"/>
      <c r="M345" s="4"/>
      <c r="N345" s="3"/>
      <c r="O345" s="3"/>
      <c r="P345" s="4"/>
      <c r="Q345" s="4"/>
      <c r="R345" s="4"/>
      <c r="S345" s="4"/>
      <c r="U345" s="9"/>
      <c r="X345" s="4"/>
      <c r="Y345" s="4"/>
      <c r="Z345" s="4"/>
      <c r="AA345" s="4"/>
      <c r="AB345" s="4"/>
      <c r="AC345" s="7"/>
      <c r="AD345" s="4"/>
      <c r="AE345" s="4"/>
      <c r="AF345" s="21"/>
    </row>
    <row r="346" spans="4:32" x14ac:dyDescent="0.25">
      <c r="D346" s="1"/>
      <c r="E346" s="2"/>
      <c r="F346" s="3"/>
      <c r="G346" s="3"/>
      <c r="H346" s="3"/>
      <c r="J346" s="3"/>
      <c r="K346" s="3"/>
      <c r="L346" s="4"/>
      <c r="M346" s="4"/>
      <c r="N346" s="3"/>
      <c r="O346" s="3"/>
      <c r="P346" s="4"/>
      <c r="Q346" s="4"/>
      <c r="R346" s="4"/>
      <c r="S346" s="4"/>
      <c r="U346" s="9"/>
      <c r="X346" s="4"/>
      <c r="Y346" s="4"/>
      <c r="Z346" s="4"/>
      <c r="AA346" s="4"/>
      <c r="AB346" s="4"/>
      <c r="AC346" s="7"/>
      <c r="AD346" s="4"/>
      <c r="AE346" s="4"/>
      <c r="AF346" s="21"/>
    </row>
    <row r="347" spans="4:32" x14ac:dyDescent="0.25">
      <c r="D347" s="1"/>
      <c r="E347" s="2"/>
      <c r="F347" s="3"/>
      <c r="G347" s="3"/>
      <c r="H347" s="3"/>
      <c r="J347" s="3"/>
      <c r="K347" s="3"/>
      <c r="L347" s="4"/>
      <c r="M347" s="4"/>
      <c r="N347" s="3"/>
      <c r="O347" s="3"/>
      <c r="P347" s="4"/>
      <c r="Q347" s="4"/>
      <c r="R347" s="4"/>
      <c r="S347" s="4"/>
      <c r="U347" s="9"/>
      <c r="X347" s="4"/>
      <c r="Y347" s="4"/>
      <c r="Z347" s="4"/>
      <c r="AA347" s="4"/>
      <c r="AB347" s="4"/>
      <c r="AC347" s="7"/>
      <c r="AD347" s="4"/>
      <c r="AE347" s="4"/>
      <c r="AF347" s="21"/>
    </row>
    <row r="348" spans="4:32" x14ac:dyDescent="0.25">
      <c r="D348" s="1"/>
      <c r="E348" s="2"/>
      <c r="F348" s="3"/>
      <c r="G348" s="3"/>
      <c r="H348" s="3"/>
      <c r="J348" s="3"/>
      <c r="K348" s="3"/>
      <c r="L348" s="4"/>
      <c r="M348" s="4"/>
      <c r="N348" s="3"/>
      <c r="O348" s="3"/>
      <c r="P348" s="4"/>
      <c r="Q348" s="4"/>
      <c r="R348" s="4"/>
      <c r="S348" s="4"/>
      <c r="U348" s="9"/>
      <c r="X348" s="4"/>
      <c r="Y348" s="4"/>
      <c r="Z348" s="4"/>
      <c r="AA348" s="4"/>
      <c r="AB348" s="4"/>
      <c r="AC348" s="7"/>
      <c r="AD348" s="4"/>
      <c r="AE348" s="4"/>
      <c r="AF348" s="21"/>
    </row>
    <row r="349" spans="4:32" x14ac:dyDescent="0.25">
      <c r="D349" s="1"/>
      <c r="E349" s="2"/>
      <c r="F349" s="3"/>
      <c r="G349" s="3"/>
      <c r="H349" s="3"/>
      <c r="J349" s="3"/>
      <c r="K349" s="3"/>
      <c r="L349" s="4"/>
      <c r="M349" s="4"/>
      <c r="N349" s="3"/>
      <c r="O349" s="3"/>
      <c r="P349" s="4"/>
      <c r="Q349" s="4"/>
      <c r="R349" s="4"/>
      <c r="S349" s="4"/>
      <c r="U349" s="9"/>
      <c r="X349" s="4"/>
      <c r="Y349" s="4"/>
      <c r="Z349" s="4"/>
      <c r="AA349" s="4"/>
      <c r="AB349" s="4"/>
      <c r="AC349" s="7"/>
      <c r="AD349" s="4"/>
      <c r="AE349" s="4"/>
      <c r="AF349" s="21"/>
    </row>
    <row r="350" spans="4:32" x14ac:dyDescent="0.25">
      <c r="D350" s="1"/>
      <c r="E350" s="2"/>
      <c r="F350" s="3"/>
      <c r="G350" s="3"/>
      <c r="H350" s="3"/>
      <c r="J350" s="3"/>
      <c r="K350" s="3"/>
      <c r="L350" s="4"/>
      <c r="M350" s="4"/>
      <c r="N350" s="3"/>
      <c r="O350" s="3"/>
      <c r="P350" s="4"/>
      <c r="Q350" s="4"/>
      <c r="R350" s="4"/>
      <c r="S350" s="4"/>
      <c r="U350" s="9"/>
      <c r="X350" s="4"/>
      <c r="Y350" s="4"/>
      <c r="Z350" s="4"/>
      <c r="AA350" s="4"/>
      <c r="AB350" s="4"/>
      <c r="AC350" s="7"/>
      <c r="AD350" s="4"/>
      <c r="AE350" s="4"/>
      <c r="AF350" s="21"/>
    </row>
    <row r="351" spans="4:32" x14ac:dyDescent="0.25">
      <c r="D351" s="1"/>
      <c r="E351" s="2"/>
      <c r="F351" s="3"/>
      <c r="G351" s="3"/>
      <c r="H351" s="3"/>
      <c r="J351" s="3"/>
      <c r="K351" s="3"/>
      <c r="L351" s="4"/>
      <c r="M351" s="4"/>
      <c r="N351" s="3"/>
      <c r="O351" s="3"/>
      <c r="P351" s="4"/>
      <c r="Q351" s="4"/>
      <c r="R351" s="4"/>
      <c r="S351" s="4"/>
      <c r="U351" s="9"/>
      <c r="X351" s="4"/>
      <c r="Y351" s="4"/>
      <c r="Z351" s="4"/>
      <c r="AA351" s="4"/>
      <c r="AB351" s="4"/>
      <c r="AC351" s="7"/>
      <c r="AD351" s="4"/>
      <c r="AE351" s="4"/>
      <c r="AF351" s="21"/>
    </row>
    <row r="352" spans="4:32" x14ac:dyDescent="0.25">
      <c r="D352" s="1"/>
      <c r="E352" s="2"/>
      <c r="F352" s="3"/>
      <c r="G352" s="3"/>
      <c r="H352" s="3"/>
      <c r="J352" s="3"/>
      <c r="K352" s="3"/>
      <c r="L352" s="4"/>
      <c r="M352" s="4"/>
      <c r="N352" s="3"/>
      <c r="O352" s="3"/>
      <c r="P352" s="4"/>
      <c r="Q352" s="4"/>
      <c r="R352" s="4"/>
      <c r="S352" s="4"/>
      <c r="U352" s="9"/>
      <c r="X352" s="4"/>
      <c r="Y352" s="4"/>
      <c r="Z352" s="4"/>
      <c r="AA352" s="4"/>
      <c r="AB352" s="4"/>
      <c r="AC352" s="7"/>
      <c r="AD352" s="4"/>
      <c r="AE352" s="4"/>
      <c r="AF352" s="21"/>
    </row>
    <row r="353" spans="4:32" x14ac:dyDescent="0.25">
      <c r="D353" s="1"/>
      <c r="E353" s="2"/>
      <c r="F353" s="3"/>
      <c r="G353" s="3"/>
      <c r="H353" s="3"/>
      <c r="J353" s="3"/>
      <c r="K353" s="3"/>
      <c r="L353" s="4"/>
      <c r="M353" s="4"/>
      <c r="N353" s="3"/>
      <c r="O353" s="3"/>
      <c r="P353" s="4"/>
      <c r="Q353" s="4"/>
      <c r="R353" s="4"/>
      <c r="S353" s="4"/>
      <c r="U353" s="9"/>
      <c r="X353" s="4"/>
      <c r="Y353" s="4"/>
      <c r="Z353" s="4"/>
      <c r="AA353" s="4"/>
      <c r="AB353" s="4"/>
      <c r="AC353" s="7"/>
      <c r="AD353" s="4"/>
      <c r="AE353" s="4"/>
      <c r="AF353" s="21"/>
    </row>
    <row r="354" spans="4:32" x14ac:dyDescent="0.25">
      <c r="D354" s="1"/>
      <c r="E354" s="2"/>
      <c r="F354" s="3"/>
      <c r="G354" s="3"/>
      <c r="H354" s="3"/>
      <c r="J354" s="3"/>
      <c r="K354" s="3"/>
      <c r="L354" s="4"/>
      <c r="M354" s="4"/>
      <c r="N354" s="3"/>
      <c r="O354" s="3"/>
      <c r="P354" s="4"/>
      <c r="Q354" s="4"/>
      <c r="R354" s="4"/>
      <c r="S354" s="4"/>
      <c r="U354" s="9"/>
      <c r="X354" s="4"/>
      <c r="Y354" s="4"/>
      <c r="Z354" s="4"/>
      <c r="AA354" s="4"/>
      <c r="AB354" s="4"/>
      <c r="AC354" s="7"/>
      <c r="AD354" s="4"/>
      <c r="AE354" s="4"/>
      <c r="AF354" s="21"/>
    </row>
    <row r="355" spans="4:32" x14ac:dyDescent="0.25">
      <c r="D355" s="1"/>
      <c r="E355" s="2"/>
      <c r="F355" s="3"/>
      <c r="G355" s="3"/>
      <c r="H355" s="3"/>
      <c r="J355" s="3"/>
      <c r="K355" s="3"/>
      <c r="L355" s="4"/>
      <c r="M355" s="4"/>
      <c r="N355" s="3"/>
      <c r="O355" s="3"/>
      <c r="P355" s="4"/>
      <c r="Q355" s="4"/>
      <c r="R355" s="4"/>
      <c r="S355" s="4"/>
      <c r="U355" s="9"/>
      <c r="X355" s="4"/>
      <c r="Y355" s="4"/>
      <c r="Z355" s="4"/>
      <c r="AA355" s="4"/>
      <c r="AB355" s="4"/>
      <c r="AC355" s="7"/>
      <c r="AD355" s="4"/>
      <c r="AE355" s="4"/>
      <c r="AF355" s="21"/>
    </row>
    <row r="356" spans="4:32" x14ac:dyDescent="0.25">
      <c r="D356" s="1"/>
      <c r="E356" s="2"/>
      <c r="F356" s="3"/>
      <c r="G356" s="3"/>
      <c r="H356" s="3"/>
      <c r="J356" s="3"/>
      <c r="K356" s="3"/>
      <c r="L356" s="4"/>
      <c r="M356" s="4"/>
      <c r="N356" s="3"/>
      <c r="O356" s="3"/>
      <c r="P356" s="4"/>
      <c r="Q356" s="4"/>
      <c r="R356" s="4"/>
      <c r="S356" s="4"/>
      <c r="U356" s="9"/>
      <c r="X356" s="4"/>
      <c r="Y356" s="4"/>
      <c r="Z356" s="4"/>
      <c r="AA356" s="4"/>
      <c r="AB356" s="4"/>
      <c r="AC356" s="7"/>
      <c r="AD356" s="4"/>
      <c r="AE356" s="4"/>
      <c r="AF356" s="21"/>
    </row>
    <row r="357" spans="4:32" x14ac:dyDescent="0.25">
      <c r="D357" s="1"/>
      <c r="E357" s="2"/>
      <c r="F357" s="3"/>
      <c r="G357" s="3"/>
      <c r="H357" s="3"/>
      <c r="J357" s="3"/>
      <c r="K357" s="3"/>
      <c r="L357" s="4"/>
      <c r="M357" s="4"/>
      <c r="N357" s="3"/>
      <c r="O357" s="3"/>
      <c r="P357" s="4"/>
      <c r="Q357" s="4"/>
      <c r="R357" s="4"/>
      <c r="S357" s="4"/>
      <c r="U357" s="9"/>
      <c r="X357" s="4"/>
      <c r="Y357" s="4"/>
      <c r="Z357" s="4"/>
      <c r="AA357" s="4"/>
      <c r="AB357" s="4"/>
      <c r="AC357" s="7"/>
      <c r="AD357" s="4"/>
      <c r="AE357" s="4"/>
      <c r="AF357" s="21"/>
    </row>
    <row r="358" spans="4:32" x14ac:dyDescent="0.25">
      <c r="D358" s="1"/>
      <c r="E358" s="2"/>
      <c r="F358" s="3"/>
      <c r="G358" s="3"/>
      <c r="H358" s="3"/>
      <c r="J358" s="3"/>
      <c r="K358" s="3"/>
      <c r="L358" s="4"/>
      <c r="M358" s="4"/>
      <c r="N358" s="3"/>
      <c r="O358" s="3"/>
      <c r="P358" s="4"/>
      <c r="Q358" s="4"/>
      <c r="R358" s="4"/>
      <c r="S358" s="4"/>
      <c r="U358" s="9"/>
      <c r="X358" s="4"/>
      <c r="Y358" s="4"/>
      <c r="Z358" s="4"/>
      <c r="AA358" s="4"/>
      <c r="AB358" s="4"/>
      <c r="AC358" s="7"/>
      <c r="AD358" s="4"/>
      <c r="AE358" s="4"/>
      <c r="AF358" s="21"/>
    </row>
    <row r="359" spans="4:32" x14ac:dyDescent="0.25">
      <c r="D359" s="1"/>
      <c r="E359" s="2"/>
      <c r="F359" s="3"/>
      <c r="G359" s="3"/>
      <c r="H359" s="3"/>
      <c r="J359" s="3"/>
      <c r="K359" s="3"/>
      <c r="L359" s="4"/>
      <c r="M359" s="4"/>
      <c r="N359" s="3"/>
      <c r="O359" s="3"/>
      <c r="P359" s="4"/>
      <c r="Q359" s="4"/>
      <c r="R359" s="4"/>
      <c r="S359" s="4"/>
      <c r="U359" s="9"/>
      <c r="X359" s="4"/>
      <c r="Y359" s="4"/>
      <c r="Z359" s="4"/>
      <c r="AA359" s="4"/>
      <c r="AB359" s="4"/>
      <c r="AC359" s="7"/>
      <c r="AD359" s="4"/>
      <c r="AE359" s="4"/>
      <c r="AF359" s="21"/>
    </row>
    <row r="360" spans="4:32" x14ac:dyDescent="0.25">
      <c r="D360" s="1"/>
      <c r="E360" s="2"/>
      <c r="F360" s="3"/>
      <c r="G360" s="3"/>
      <c r="H360" s="3"/>
      <c r="J360" s="3"/>
      <c r="K360" s="3"/>
      <c r="L360" s="4"/>
      <c r="M360" s="4"/>
      <c r="N360" s="3"/>
      <c r="O360" s="3"/>
      <c r="P360" s="4"/>
      <c r="Q360" s="4"/>
      <c r="R360" s="4"/>
      <c r="S360" s="4"/>
      <c r="U360" s="9"/>
      <c r="X360" s="4"/>
      <c r="Y360" s="4"/>
      <c r="Z360" s="4"/>
      <c r="AA360" s="4"/>
      <c r="AB360" s="4"/>
      <c r="AC360" s="7"/>
      <c r="AD360" s="4"/>
      <c r="AE360" s="4"/>
      <c r="AF360" s="21"/>
    </row>
    <row r="361" spans="4:32" x14ac:dyDescent="0.25">
      <c r="D361" s="1"/>
      <c r="E361" s="2"/>
      <c r="F361" s="3"/>
      <c r="G361" s="3"/>
      <c r="H361" s="3"/>
      <c r="J361" s="3"/>
      <c r="K361" s="3"/>
      <c r="L361" s="4"/>
      <c r="M361" s="4"/>
      <c r="N361" s="3"/>
      <c r="O361" s="3"/>
      <c r="P361" s="4"/>
      <c r="Q361" s="4"/>
      <c r="R361" s="4"/>
      <c r="S361" s="4"/>
      <c r="U361" s="9"/>
      <c r="X361" s="4"/>
      <c r="Y361" s="4"/>
      <c r="Z361" s="4"/>
      <c r="AA361" s="4"/>
      <c r="AB361" s="4"/>
      <c r="AC361" s="7"/>
      <c r="AD361" s="4"/>
      <c r="AE361" s="4"/>
      <c r="AF361" s="21"/>
    </row>
    <row r="362" spans="4:32" x14ac:dyDescent="0.25">
      <c r="D362" s="1"/>
      <c r="E362" s="2"/>
      <c r="F362" s="3"/>
      <c r="G362" s="3"/>
      <c r="H362" s="3"/>
      <c r="J362" s="3"/>
      <c r="K362" s="3"/>
      <c r="L362" s="4"/>
      <c r="M362" s="4"/>
      <c r="N362" s="3"/>
      <c r="O362" s="3"/>
      <c r="P362" s="4"/>
      <c r="Q362" s="4"/>
      <c r="R362" s="4"/>
      <c r="S362" s="4"/>
      <c r="U362" s="9"/>
      <c r="X362" s="4"/>
      <c r="Y362" s="4"/>
      <c r="Z362" s="4"/>
      <c r="AA362" s="4"/>
      <c r="AB362" s="4"/>
      <c r="AC362" s="7"/>
      <c r="AD362" s="4"/>
      <c r="AE362" s="4"/>
      <c r="AF362" s="21"/>
    </row>
    <row r="363" spans="4:32" x14ac:dyDescent="0.25">
      <c r="D363" s="1"/>
      <c r="E363" s="2"/>
      <c r="F363" s="3"/>
      <c r="G363" s="3"/>
      <c r="H363" s="3"/>
      <c r="J363" s="3"/>
      <c r="K363" s="3"/>
      <c r="L363" s="4"/>
      <c r="M363" s="4"/>
      <c r="N363" s="3"/>
      <c r="O363" s="3"/>
      <c r="P363" s="4"/>
      <c r="Q363" s="4"/>
      <c r="R363" s="4"/>
      <c r="S363" s="4"/>
      <c r="U363" s="9"/>
      <c r="X363" s="4"/>
      <c r="Y363" s="4"/>
      <c r="Z363" s="4"/>
      <c r="AA363" s="4"/>
      <c r="AB363" s="4"/>
      <c r="AC363" s="7"/>
      <c r="AD363" s="4"/>
      <c r="AE363" s="4"/>
      <c r="AF363" s="21"/>
    </row>
    <row r="364" spans="4:32" x14ac:dyDescent="0.25">
      <c r="D364" s="1"/>
      <c r="E364" s="2"/>
      <c r="F364" s="3"/>
      <c r="G364" s="3"/>
      <c r="H364" s="3"/>
      <c r="J364" s="3"/>
      <c r="K364" s="3"/>
      <c r="L364" s="4"/>
      <c r="M364" s="4"/>
      <c r="N364" s="3"/>
      <c r="O364" s="3"/>
      <c r="P364" s="4"/>
      <c r="Q364" s="4"/>
      <c r="R364" s="4"/>
      <c r="S364" s="4"/>
      <c r="U364" s="9"/>
      <c r="X364" s="4"/>
      <c r="Y364" s="4"/>
      <c r="Z364" s="4"/>
      <c r="AA364" s="4"/>
      <c r="AB364" s="4"/>
      <c r="AC364" s="7"/>
      <c r="AD364" s="4"/>
      <c r="AE364" s="4"/>
      <c r="AF364" s="21"/>
    </row>
    <row r="365" spans="4:32" x14ac:dyDescent="0.25">
      <c r="D365" s="1"/>
      <c r="E365" s="2"/>
      <c r="F365" s="3"/>
      <c r="G365" s="3"/>
      <c r="H365" s="3"/>
      <c r="J365" s="3"/>
      <c r="K365" s="3"/>
      <c r="L365" s="4"/>
      <c r="M365" s="4"/>
      <c r="N365" s="3"/>
      <c r="O365" s="3"/>
      <c r="P365" s="4"/>
      <c r="Q365" s="4"/>
      <c r="R365" s="4"/>
      <c r="S365" s="4"/>
      <c r="U365" s="9"/>
      <c r="X365" s="4"/>
      <c r="Y365" s="4"/>
      <c r="Z365" s="4"/>
      <c r="AA365" s="4"/>
      <c r="AB365" s="4"/>
      <c r="AC365" s="7"/>
      <c r="AD365" s="4"/>
      <c r="AE365" s="4"/>
      <c r="AF365" s="21"/>
    </row>
    <row r="366" spans="4:32" x14ac:dyDescent="0.25">
      <c r="D366" s="1"/>
      <c r="E366" s="2"/>
      <c r="F366" s="3"/>
      <c r="G366" s="3"/>
      <c r="H366" s="3"/>
      <c r="J366" s="3"/>
      <c r="K366" s="3"/>
      <c r="L366" s="4"/>
      <c r="M366" s="4"/>
      <c r="N366" s="3"/>
      <c r="O366" s="3"/>
      <c r="P366" s="4"/>
      <c r="Q366" s="4"/>
      <c r="R366" s="4"/>
      <c r="S366" s="4"/>
      <c r="U366" s="9"/>
      <c r="X366" s="4"/>
      <c r="Y366" s="4"/>
      <c r="Z366" s="4"/>
      <c r="AA366" s="4"/>
      <c r="AB366" s="4"/>
      <c r="AC366" s="7"/>
      <c r="AD366" s="4"/>
      <c r="AE366" s="4"/>
      <c r="AF366" s="21"/>
    </row>
    <row r="367" spans="4:32" x14ac:dyDescent="0.25">
      <c r="D367" s="1"/>
      <c r="E367" s="2"/>
      <c r="F367" s="3"/>
      <c r="G367" s="3"/>
      <c r="H367" s="3"/>
      <c r="J367" s="3"/>
      <c r="K367" s="3"/>
      <c r="L367" s="4"/>
      <c r="M367" s="4"/>
      <c r="N367" s="3"/>
      <c r="O367" s="3"/>
      <c r="P367" s="4"/>
      <c r="Q367" s="4"/>
      <c r="R367" s="4"/>
      <c r="S367" s="4"/>
      <c r="U367" s="9"/>
      <c r="X367" s="4"/>
      <c r="Y367" s="4"/>
      <c r="Z367" s="4"/>
      <c r="AA367" s="4"/>
      <c r="AB367" s="4"/>
      <c r="AC367" s="7"/>
      <c r="AD367" s="4"/>
      <c r="AE367" s="4"/>
      <c r="AF367" s="21"/>
    </row>
    <row r="368" spans="4:32" x14ac:dyDescent="0.25">
      <c r="D368" s="1"/>
      <c r="E368" s="2"/>
      <c r="F368" s="3"/>
      <c r="G368" s="3"/>
      <c r="H368" s="3"/>
      <c r="J368" s="3"/>
      <c r="K368" s="3"/>
      <c r="L368" s="4"/>
      <c r="M368" s="4"/>
      <c r="N368" s="3"/>
      <c r="O368" s="3"/>
      <c r="P368" s="4"/>
      <c r="Q368" s="4"/>
      <c r="R368" s="4"/>
      <c r="S368" s="4"/>
      <c r="U368" s="9"/>
      <c r="X368" s="4"/>
      <c r="Y368" s="4"/>
      <c r="Z368" s="4"/>
      <c r="AA368" s="4"/>
      <c r="AB368" s="4"/>
      <c r="AC368" s="7"/>
      <c r="AD368" s="4"/>
      <c r="AE368" s="4"/>
      <c r="AF368" s="21"/>
    </row>
    <row r="369" spans="4:32" x14ac:dyDescent="0.25">
      <c r="D369" s="1"/>
      <c r="E369" s="2"/>
      <c r="F369" s="3"/>
      <c r="G369" s="3"/>
      <c r="H369" s="3"/>
      <c r="J369" s="3"/>
      <c r="K369" s="3"/>
      <c r="L369" s="4"/>
      <c r="M369" s="4"/>
      <c r="N369" s="3"/>
      <c r="O369" s="3"/>
      <c r="P369" s="4"/>
      <c r="Q369" s="4"/>
      <c r="R369" s="4"/>
      <c r="S369" s="4"/>
      <c r="U369" s="9"/>
      <c r="X369" s="4"/>
      <c r="Y369" s="4"/>
      <c r="Z369" s="4"/>
      <c r="AA369" s="4"/>
      <c r="AB369" s="4"/>
      <c r="AC369" s="7"/>
      <c r="AD369" s="4"/>
      <c r="AE369" s="4"/>
      <c r="AF369" s="21"/>
    </row>
    <row r="370" spans="4:32" x14ac:dyDescent="0.25">
      <c r="D370" s="1"/>
      <c r="E370" s="2"/>
      <c r="F370" s="3"/>
      <c r="G370" s="3"/>
      <c r="H370" s="3"/>
      <c r="J370" s="3"/>
      <c r="K370" s="3"/>
      <c r="L370" s="4"/>
      <c r="M370" s="4"/>
      <c r="N370" s="3"/>
      <c r="O370" s="3"/>
      <c r="P370" s="4"/>
      <c r="Q370" s="4"/>
      <c r="R370" s="4"/>
      <c r="S370" s="4"/>
      <c r="U370" s="9"/>
      <c r="X370" s="4"/>
      <c r="Y370" s="4"/>
      <c r="Z370" s="4"/>
      <c r="AA370" s="4"/>
      <c r="AB370" s="4"/>
      <c r="AC370" s="7"/>
      <c r="AD370" s="4"/>
      <c r="AE370" s="4"/>
      <c r="AF370" s="21"/>
    </row>
    <row r="371" spans="4:32" x14ac:dyDescent="0.25">
      <c r="D371" s="1"/>
      <c r="E371" s="2"/>
      <c r="F371" s="3"/>
      <c r="G371" s="3"/>
      <c r="H371" s="3"/>
      <c r="J371" s="3"/>
      <c r="K371" s="3"/>
      <c r="L371" s="4"/>
      <c r="M371" s="4"/>
      <c r="N371" s="3"/>
      <c r="O371" s="3"/>
      <c r="P371" s="4"/>
      <c r="Q371" s="4"/>
      <c r="R371" s="4"/>
      <c r="S371" s="4"/>
      <c r="U371" s="9"/>
      <c r="X371" s="4"/>
      <c r="Y371" s="4"/>
      <c r="Z371" s="4"/>
      <c r="AA371" s="4"/>
      <c r="AB371" s="4"/>
      <c r="AC371" s="7"/>
      <c r="AD371" s="4"/>
      <c r="AE371" s="4"/>
      <c r="AF371" s="21"/>
    </row>
    <row r="372" spans="4:32" x14ac:dyDescent="0.25">
      <c r="D372" s="1"/>
      <c r="E372" s="2"/>
      <c r="F372" s="3"/>
      <c r="G372" s="3"/>
      <c r="H372" s="3"/>
      <c r="J372" s="3"/>
      <c r="K372" s="3"/>
      <c r="L372" s="4"/>
      <c r="M372" s="4"/>
      <c r="N372" s="3"/>
      <c r="O372" s="3"/>
      <c r="P372" s="4"/>
      <c r="Q372" s="4"/>
      <c r="R372" s="4"/>
      <c r="S372" s="4"/>
      <c r="U372" s="9"/>
      <c r="X372" s="4"/>
      <c r="Y372" s="4"/>
      <c r="Z372" s="4"/>
      <c r="AA372" s="4"/>
      <c r="AB372" s="4"/>
      <c r="AC372" s="7"/>
      <c r="AD372" s="4"/>
      <c r="AE372" s="4"/>
      <c r="AF372" s="21"/>
    </row>
    <row r="373" spans="4:32" x14ac:dyDescent="0.25">
      <c r="D373" s="1"/>
      <c r="E373" s="2"/>
      <c r="F373" s="3"/>
      <c r="G373" s="3"/>
      <c r="H373" s="3"/>
      <c r="J373" s="3"/>
      <c r="K373" s="3"/>
      <c r="L373" s="4"/>
      <c r="M373" s="4"/>
      <c r="N373" s="3"/>
      <c r="O373" s="3"/>
      <c r="P373" s="4"/>
      <c r="Q373" s="4"/>
      <c r="R373" s="4"/>
      <c r="S373" s="4"/>
      <c r="U373" s="9"/>
      <c r="X373" s="4"/>
      <c r="Y373" s="4"/>
      <c r="Z373" s="4"/>
      <c r="AA373" s="4"/>
      <c r="AB373" s="4"/>
      <c r="AC373" s="7"/>
      <c r="AD373" s="4"/>
      <c r="AE373" s="4"/>
      <c r="AF373" s="21"/>
    </row>
    <row r="374" spans="4:32" x14ac:dyDescent="0.25">
      <c r="D374" s="1"/>
      <c r="E374" s="2"/>
      <c r="F374" s="3"/>
      <c r="G374" s="3"/>
      <c r="H374" s="3"/>
      <c r="J374" s="3"/>
      <c r="K374" s="3"/>
      <c r="L374" s="4"/>
      <c r="M374" s="4"/>
      <c r="N374" s="3"/>
      <c r="O374" s="3"/>
      <c r="P374" s="4"/>
      <c r="Q374" s="4"/>
      <c r="R374" s="4"/>
      <c r="S374" s="4"/>
      <c r="U374" s="9"/>
      <c r="X374" s="4"/>
      <c r="Y374" s="4"/>
      <c r="Z374" s="4"/>
      <c r="AA374" s="4"/>
      <c r="AB374" s="4"/>
      <c r="AC374" s="7"/>
      <c r="AD374" s="4"/>
      <c r="AE374" s="4"/>
      <c r="AF374" s="21"/>
    </row>
    <row r="375" spans="4:32" x14ac:dyDescent="0.25">
      <c r="D375" s="1"/>
      <c r="E375" s="2"/>
      <c r="F375" s="3"/>
      <c r="G375" s="3"/>
      <c r="H375" s="3"/>
      <c r="J375" s="3"/>
      <c r="K375" s="3"/>
      <c r="L375" s="4"/>
      <c r="M375" s="4"/>
      <c r="N375" s="3"/>
      <c r="O375" s="3"/>
      <c r="P375" s="4"/>
      <c r="Q375" s="4"/>
      <c r="R375" s="4"/>
      <c r="S375" s="4"/>
      <c r="U375" s="9"/>
      <c r="X375" s="4"/>
      <c r="Y375" s="4"/>
      <c r="Z375" s="4"/>
      <c r="AA375" s="4"/>
      <c r="AB375" s="4"/>
      <c r="AC375" s="7"/>
      <c r="AD375" s="4"/>
      <c r="AE375" s="4"/>
      <c r="AF375" s="21"/>
    </row>
    <row r="376" spans="4:32" x14ac:dyDescent="0.25">
      <c r="D376" s="1"/>
      <c r="E376" s="2"/>
      <c r="F376" s="3"/>
      <c r="G376" s="3"/>
      <c r="H376" s="3"/>
      <c r="J376" s="3"/>
      <c r="K376" s="3"/>
      <c r="L376" s="4"/>
      <c r="M376" s="4"/>
      <c r="N376" s="3"/>
      <c r="O376" s="3"/>
      <c r="P376" s="4"/>
      <c r="Q376" s="4"/>
      <c r="R376" s="4"/>
      <c r="S376" s="4"/>
      <c r="U376" s="9"/>
      <c r="X376" s="4"/>
      <c r="Y376" s="4"/>
      <c r="Z376" s="4"/>
      <c r="AA376" s="4"/>
      <c r="AB376" s="4"/>
      <c r="AC376" s="7"/>
      <c r="AD376" s="4"/>
      <c r="AE376" s="4"/>
      <c r="AF376" s="21"/>
    </row>
    <row r="377" spans="4:32" x14ac:dyDescent="0.25">
      <c r="D377" s="1"/>
      <c r="E377" s="2"/>
      <c r="F377" s="3"/>
      <c r="G377" s="3"/>
      <c r="H377" s="3"/>
      <c r="J377" s="3"/>
      <c r="K377" s="3"/>
      <c r="L377" s="4"/>
      <c r="M377" s="4"/>
      <c r="N377" s="3"/>
      <c r="O377" s="3"/>
      <c r="P377" s="4"/>
      <c r="Q377" s="4"/>
      <c r="R377" s="4"/>
      <c r="S377" s="4"/>
      <c r="U377" s="9"/>
      <c r="X377" s="4"/>
      <c r="Y377" s="4"/>
      <c r="Z377" s="4"/>
      <c r="AA377" s="4"/>
      <c r="AB377" s="4"/>
      <c r="AC377" s="7"/>
      <c r="AD377" s="4"/>
      <c r="AE377" s="4"/>
      <c r="AF377" s="21"/>
    </row>
    <row r="378" spans="4:32" x14ac:dyDescent="0.25">
      <c r="D378" s="1"/>
      <c r="E378" s="2"/>
      <c r="F378" s="3"/>
      <c r="G378" s="3"/>
      <c r="H378" s="3"/>
      <c r="J378" s="3"/>
      <c r="K378" s="3"/>
      <c r="L378" s="4"/>
      <c r="M378" s="4"/>
      <c r="N378" s="3"/>
      <c r="O378" s="3"/>
      <c r="P378" s="4"/>
      <c r="Q378" s="4"/>
      <c r="R378" s="4"/>
      <c r="S378" s="4"/>
      <c r="U378" s="9"/>
      <c r="X378" s="4"/>
      <c r="Y378" s="4"/>
      <c r="Z378" s="4"/>
      <c r="AA378" s="4"/>
      <c r="AB378" s="4"/>
      <c r="AC378" s="7"/>
      <c r="AD378" s="4"/>
      <c r="AE378" s="4"/>
      <c r="AF378" s="21"/>
    </row>
    <row r="379" spans="4:32" x14ac:dyDescent="0.25">
      <c r="D379" s="1"/>
      <c r="E379" s="2"/>
      <c r="F379" s="3"/>
      <c r="G379" s="3"/>
      <c r="H379" s="3"/>
      <c r="J379" s="3"/>
      <c r="K379" s="3"/>
      <c r="L379" s="4"/>
      <c r="M379" s="4"/>
      <c r="N379" s="3"/>
      <c r="O379" s="3"/>
      <c r="P379" s="4"/>
      <c r="Q379" s="4"/>
      <c r="R379" s="4"/>
      <c r="S379" s="4"/>
      <c r="U379" s="9"/>
      <c r="X379" s="4"/>
      <c r="Y379" s="4"/>
      <c r="Z379" s="4"/>
      <c r="AA379" s="4"/>
      <c r="AB379" s="4"/>
      <c r="AC379" s="7"/>
      <c r="AD379" s="4"/>
      <c r="AE379" s="4"/>
      <c r="AF379" s="21"/>
    </row>
    <row r="380" spans="4:32" x14ac:dyDescent="0.25">
      <c r="D380" s="1"/>
      <c r="E380" s="2"/>
      <c r="F380" s="3"/>
      <c r="G380" s="3"/>
      <c r="H380" s="3"/>
      <c r="J380" s="3"/>
      <c r="K380" s="3"/>
      <c r="L380" s="4"/>
      <c r="M380" s="4"/>
      <c r="N380" s="3"/>
      <c r="O380" s="3"/>
      <c r="P380" s="4"/>
      <c r="Q380" s="4"/>
      <c r="R380" s="4"/>
      <c r="S380" s="4"/>
      <c r="U380" s="9"/>
      <c r="X380" s="4"/>
      <c r="Y380" s="4"/>
      <c r="Z380" s="4"/>
      <c r="AA380" s="4"/>
      <c r="AB380" s="4"/>
      <c r="AC380" s="7"/>
      <c r="AD380" s="4"/>
      <c r="AE380" s="4"/>
      <c r="AF380" s="21"/>
    </row>
    <row r="381" spans="4:32" x14ac:dyDescent="0.25">
      <c r="D381" s="1"/>
      <c r="E381" s="2"/>
      <c r="F381" s="3"/>
      <c r="G381" s="3"/>
      <c r="H381" s="3"/>
      <c r="J381" s="3"/>
      <c r="K381" s="3"/>
      <c r="L381" s="4"/>
      <c r="M381" s="4"/>
      <c r="N381" s="3"/>
      <c r="O381" s="3"/>
      <c r="P381" s="4"/>
      <c r="Q381" s="4"/>
      <c r="R381" s="4"/>
      <c r="S381" s="4"/>
      <c r="U381" s="9"/>
      <c r="X381" s="4"/>
      <c r="Y381" s="4"/>
      <c r="Z381" s="4"/>
      <c r="AA381" s="4"/>
      <c r="AB381" s="4"/>
      <c r="AC381" s="7"/>
      <c r="AD381" s="4"/>
      <c r="AE381" s="4"/>
      <c r="AF381" s="21"/>
    </row>
    <row r="382" spans="4:32" x14ac:dyDescent="0.25">
      <c r="D382" s="1"/>
      <c r="E382" s="2"/>
      <c r="F382" s="3"/>
      <c r="G382" s="3"/>
      <c r="H382" s="3"/>
      <c r="J382" s="3"/>
      <c r="K382" s="3"/>
      <c r="L382" s="4"/>
      <c r="M382" s="4"/>
      <c r="N382" s="3"/>
      <c r="O382" s="3"/>
      <c r="P382" s="4"/>
      <c r="Q382" s="4"/>
      <c r="R382" s="4"/>
      <c r="S382" s="4"/>
      <c r="U382" s="9"/>
      <c r="X382" s="4"/>
      <c r="Y382" s="4"/>
      <c r="Z382" s="4"/>
      <c r="AA382" s="4"/>
      <c r="AB382" s="4"/>
      <c r="AC382" s="7"/>
      <c r="AD382" s="4"/>
      <c r="AE382" s="4"/>
      <c r="AF382" s="21"/>
    </row>
    <row r="383" spans="4:32" x14ac:dyDescent="0.25">
      <c r="D383" s="1"/>
      <c r="E383" s="2"/>
      <c r="F383" s="3"/>
      <c r="G383" s="3"/>
      <c r="H383" s="3"/>
      <c r="J383" s="3"/>
      <c r="K383" s="3"/>
      <c r="L383" s="4"/>
      <c r="M383" s="4"/>
      <c r="N383" s="3"/>
      <c r="O383" s="3"/>
      <c r="P383" s="4"/>
      <c r="Q383" s="4"/>
      <c r="R383" s="4"/>
      <c r="S383" s="4"/>
      <c r="U383" s="9"/>
      <c r="X383" s="4"/>
      <c r="Y383" s="4"/>
      <c r="Z383" s="4"/>
      <c r="AA383" s="4"/>
      <c r="AB383" s="4"/>
      <c r="AC383" s="7"/>
      <c r="AD383" s="4"/>
      <c r="AE383" s="4"/>
      <c r="AF383" s="21"/>
    </row>
    <row r="384" spans="4:32" x14ac:dyDescent="0.25">
      <c r="D384" s="1"/>
      <c r="E384" s="2"/>
      <c r="F384" s="3"/>
      <c r="G384" s="3"/>
      <c r="H384" s="3"/>
      <c r="J384" s="3"/>
      <c r="K384" s="3"/>
      <c r="L384" s="4"/>
      <c r="M384" s="4"/>
      <c r="N384" s="3"/>
      <c r="O384" s="3"/>
      <c r="P384" s="4"/>
      <c r="Q384" s="4"/>
      <c r="R384" s="4"/>
      <c r="S384" s="4"/>
      <c r="U384" s="9"/>
      <c r="X384" s="4"/>
      <c r="Y384" s="4"/>
      <c r="Z384" s="4"/>
      <c r="AA384" s="4"/>
      <c r="AB384" s="4"/>
      <c r="AC384" s="7"/>
      <c r="AD384" s="4"/>
      <c r="AE384" s="4"/>
      <c r="AF384" s="21"/>
    </row>
    <row r="385" spans="4:32" x14ac:dyDescent="0.25">
      <c r="D385" s="1"/>
      <c r="E385" s="2"/>
      <c r="F385" s="3"/>
      <c r="G385" s="3"/>
      <c r="H385" s="3"/>
      <c r="J385" s="3"/>
      <c r="K385" s="3"/>
      <c r="L385" s="4"/>
      <c r="M385" s="4"/>
      <c r="N385" s="3"/>
      <c r="O385" s="3"/>
      <c r="P385" s="4"/>
      <c r="Q385" s="4"/>
      <c r="R385" s="4"/>
      <c r="S385" s="4"/>
      <c r="U385" s="9"/>
      <c r="X385" s="4"/>
      <c r="Y385" s="4"/>
      <c r="Z385" s="4"/>
      <c r="AA385" s="4"/>
      <c r="AB385" s="4"/>
      <c r="AC385" s="7"/>
      <c r="AD385" s="4"/>
      <c r="AE385" s="4"/>
      <c r="AF385" s="21"/>
    </row>
    <row r="386" spans="4:32" x14ac:dyDescent="0.25">
      <c r="D386" s="1"/>
      <c r="E386" s="2"/>
      <c r="F386" s="3"/>
      <c r="G386" s="3"/>
      <c r="H386" s="3"/>
      <c r="J386" s="3"/>
      <c r="K386" s="3"/>
      <c r="L386" s="4"/>
      <c r="M386" s="4"/>
      <c r="N386" s="3"/>
      <c r="O386" s="3"/>
      <c r="P386" s="4"/>
      <c r="Q386" s="4"/>
      <c r="R386" s="4"/>
      <c r="S386" s="4"/>
      <c r="U386" s="9"/>
      <c r="X386" s="4"/>
      <c r="Y386" s="4"/>
      <c r="Z386" s="4"/>
      <c r="AA386" s="4"/>
      <c r="AB386" s="4"/>
      <c r="AC386" s="7"/>
      <c r="AD386" s="4"/>
      <c r="AE386" s="4"/>
      <c r="AF386" s="21"/>
    </row>
    <row r="387" spans="4:32" x14ac:dyDescent="0.25">
      <c r="D387" s="1"/>
      <c r="E387" s="2"/>
      <c r="F387" s="3"/>
      <c r="G387" s="3"/>
      <c r="H387" s="3"/>
      <c r="J387" s="3"/>
      <c r="K387" s="3"/>
      <c r="L387" s="4"/>
      <c r="M387" s="4"/>
      <c r="N387" s="3"/>
      <c r="O387" s="3"/>
      <c r="P387" s="4"/>
      <c r="Q387" s="4"/>
      <c r="R387" s="4"/>
      <c r="S387" s="4"/>
      <c r="U387" s="9"/>
      <c r="X387" s="4"/>
      <c r="Y387" s="4"/>
      <c r="Z387" s="4"/>
      <c r="AA387" s="4"/>
      <c r="AB387" s="4"/>
      <c r="AC387" s="7"/>
      <c r="AD387" s="4"/>
      <c r="AE387" s="4"/>
      <c r="AF387" s="21"/>
    </row>
    <row r="388" spans="4:32" x14ac:dyDescent="0.25">
      <c r="D388" s="1"/>
      <c r="E388" s="2"/>
      <c r="F388" s="3"/>
      <c r="G388" s="3"/>
      <c r="H388" s="3"/>
      <c r="J388" s="3"/>
      <c r="K388" s="3"/>
      <c r="L388" s="4"/>
      <c r="M388" s="4"/>
      <c r="N388" s="3"/>
      <c r="O388" s="3"/>
      <c r="P388" s="4"/>
      <c r="Q388" s="4"/>
      <c r="R388" s="4"/>
      <c r="S388" s="4"/>
      <c r="U388" s="9"/>
      <c r="X388" s="4"/>
      <c r="Y388" s="4"/>
      <c r="Z388" s="4"/>
      <c r="AA388" s="4"/>
      <c r="AB388" s="4"/>
      <c r="AC388" s="7"/>
      <c r="AD388" s="4"/>
      <c r="AE388" s="4"/>
      <c r="AF388" s="21"/>
    </row>
    <row r="389" spans="4:32" x14ac:dyDescent="0.25">
      <c r="D389" s="1"/>
      <c r="E389" s="2"/>
      <c r="F389" s="3"/>
      <c r="G389" s="3"/>
      <c r="H389" s="3"/>
      <c r="J389" s="3"/>
      <c r="K389" s="3"/>
      <c r="L389" s="4"/>
      <c r="M389" s="4"/>
      <c r="N389" s="3"/>
      <c r="O389" s="3"/>
      <c r="P389" s="4"/>
      <c r="Q389" s="4"/>
      <c r="R389" s="4"/>
      <c r="S389" s="4"/>
      <c r="U389" s="9"/>
      <c r="X389" s="4"/>
      <c r="Y389" s="4"/>
      <c r="Z389" s="4"/>
      <c r="AA389" s="4"/>
      <c r="AB389" s="4"/>
      <c r="AC389" s="7"/>
      <c r="AD389" s="4"/>
      <c r="AE389" s="4"/>
      <c r="AF389" s="21"/>
    </row>
    <row r="390" spans="4:32" x14ac:dyDescent="0.25">
      <c r="D390" s="1"/>
      <c r="E390" s="2"/>
      <c r="F390" s="3"/>
      <c r="G390" s="3"/>
      <c r="H390" s="3"/>
      <c r="J390" s="3"/>
      <c r="K390" s="3"/>
      <c r="L390" s="4"/>
      <c r="M390" s="4"/>
      <c r="N390" s="3"/>
      <c r="O390" s="3"/>
      <c r="P390" s="4"/>
      <c r="Q390" s="4"/>
      <c r="R390" s="4"/>
      <c r="S390" s="4"/>
      <c r="U390" s="9"/>
      <c r="X390" s="4"/>
      <c r="Y390" s="4"/>
      <c r="Z390" s="4"/>
      <c r="AA390" s="4"/>
      <c r="AB390" s="4"/>
      <c r="AC390" s="7"/>
      <c r="AD390" s="4"/>
      <c r="AE390" s="4"/>
      <c r="AF390" s="21"/>
    </row>
    <row r="391" spans="4:32" x14ac:dyDescent="0.25">
      <c r="D391" s="1"/>
      <c r="E391" s="2"/>
      <c r="F391" s="3"/>
      <c r="G391" s="3"/>
      <c r="H391" s="3"/>
      <c r="J391" s="3"/>
      <c r="K391" s="3"/>
      <c r="L391" s="4"/>
      <c r="M391" s="4"/>
      <c r="N391" s="3"/>
      <c r="O391" s="3"/>
      <c r="P391" s="4"/>
      <c r="Q391" s="4"/>
      <c r="R391" s="4"/>
      <c r="S391" s="4"/>
      <c r="U391" s="9"/>
      <c r="X391" s="4"/>
      <c r="Y391" s="4"/>
      <c r="Z391" s="4"/>
      <c r="AA391" s="4"/>
      <c r="AB391" s="4"/>
      <c r="AC391" s="7"/>
      <c r="AD391" s="4"/>
      <c r="AE391" s="4"/>
      <c r="AF391" s="21"/>
    </row>
    <row r="392" spans="4:32" x14ac:dyDescent="0.25">
      <c r="D392" s="1"/>
      <c r="E392" s="2"/>
      <c r="F392" s="3"/>
      <c r="G392" s="3"/>
      <c r="H392" s="3"/>
      <c r="J392" s="3"/>
      <c r="K392" s="3"/>
      <c r="L392" s="4"/>
      <c r="M392" s="4"/>
      <c r="N392" s="3"/>
      <c r="O392" s="3"/>
      <c r="P392" s="4"/>
      <c r="Q392" s="4"/>
      <c r="R392" s="4"/>
      <c r="S392" s="4"/>
      <c r="U392" s="9"/>
      <c r="X392" s="4"/>
      <c r="Y392" s="4"/>
      <c r="Z392" s="4"/>
      <c r="AA392" s="4"/>
      <c r="AB392" s="4"/>
      <c r="AC392" s="7"/>
      <c r="AD392" s="4"/>
      <c r="AE392" s="4"/>
      <c r="AF392" s="21"/>
    </row>
    <row r="393" spans="4:32" x14ac:dyDescent="0.25">
      <c r="D393" s="1"/>
      <c r="E393" s="2"/>
      <c r="F393" s="3"/>
      <c r="G393" s="3"/>
      <c r="H393" s="3"/>
      <c r="J393" s="3"/>
      <c r="K393" s="3"/>
      <c r="L393" s="4"/>
      <c r="M393" s="4"/>
      <c r="N393" s="3"/>
      <c r="O393" s="3"/>
      <c r="P393" s="4"/>
      <c r="Q393" s="4"/>
      <c r="R393" s="4"/>
      <c r="S393" s="4"/>
      <c r="U393" s="9"/>
      <c r="X393" s="4"/>
      <c r="Y393" s="4"/>
      <c r="Z393" s="4"/>
      <c r="AA393" s="4"/>
      <c r="AB393" s="4"/>
      <c r="AC393" s="7"/>
      <c r="AD393" s="4"/>
      <c r="AE393" s="4"/>
      <c r="AF393" s="21"/>
    </row>
    <row r="394" spans="4:32" x14ac:dyDescent="0.25">
      <c r="D394" s="1"/>
      <c r="E394" s="2"/>
      <c r="F394" s="3"/>
      <c r="G394" s="3"/>
      <c r="H394" s="3"/>
      <c r="J394" s="3"/>
      <c r="K394" s="3"/>
      <c r="L394" s="4"/>
      <c r="M394" s="4"/>
      <c r="N394" s="3"/>
      <c r="O394" s="3"/>
      <c r="P394" s="4"/>
      <c r="Q394" s="4"/>
      <c r="R394" s="4"/>
      <c r="S394" s="4"/>
      <c r="U394" s="9"/>
      <c r="X394" s="4"/>
      <c r="Y394" s="4"/>
      <c r="Z394" s="4"/>
      <c r="AA394" s="4"/>
      <c r="AB394" s="4"/>
      <c r="AC394" s="7"/>
      <c r="AD394" s="4"/>
      <c r="AE394" s="4"/>
      <c r="AF394" s="21"/>
    </row>
    <row r="395" spans="4:32" x14ac:dyDescent="0.25">
      <c r="D395" s="1"/>
      <c r="E395" s="2"/>
      <c r="F395" s="3"/>
      <c r="G395" s="3"/>
      <c r="H395" s="3"/>
      <c r="J395" s="3"/>
      <c r="K395" s="3"/>
      <c r="L395" s="4"/>
      <c r="M395" s="4"/>
      <c r="N395" s="3"/>
      <c r="O395" s="3"/>
      <c r="P395" s="4"/>
      <c r="Q395" s="4"/>
      <c r="R395" s="4"/>
      <c r="S395" s="4"/>
      <c r="U395" s="9"/>
      <c r="X395" s="4"/>
      <c r="Y395" s="4"/>
      <c r="Z395" s="4"/>
      <c r="AA395" s="4"/>
      <c r="AB395" s="4"/>
      <c r="AC395" s="7"/>
      <c r="AD395" s="4"/>
      <c r="AE395" s="4"/>
      <c r="AF395" s="21"/>
    </row>
    <row r="396" spans="4:32" x14ac:dyDescent="0.25">
      <c r="D396" s="1"/>
      <c r="E396" s="2"/>
      <c r="F396" s="3"/>
      <c r="G396" s="3"/>
      <c r="H396" s="3"/>
      <c r="J396" s="3"/>
      <c r="K396" s="3"/>
      <c r="L396" s="4"/>
      <c r="M396" s="4"/>
      <c r="N396" s="3"/>
      <c r="O396" s="3"/>
      <c r="P396" s="4"/>
      <c r="Q396" s="4"/>
      <c r="R396" s="4"/>
      <c r="S396" s="4"/>
      <c r="U396" s="9"/>
      <c r="X396" s="4"/>
      <c r="Y396" s="4"/>
      <c r="Z396" s="4"/>
      <c r="AA396" s="4"/>
      <c r="AB396" s="4"/>
      <c r="AC396" s="7"/>
      <c r="AD396" s="4"/>
      <c r="AE396" s="4"/>
      <c r="AF396" s="21"/>
    </row>
    <row r="397" spans="4:32" x14ac:dyDescent="0.25">
      <c r="D397" s="1"/>
      <c r="E397" s="2"/>
      <c r="F397" s="3"/>
      <c r="G397" s="3"/>
      <c r="H397" s="3"/>
      <c r="J397" s="3"/>
      <c r="K397" s="3"/>
      <c r="L397" s="4"/>
      <c r="M397" s="4"/>
      <c r="N397" s="3"/>
      <c r="O397" s="3"/>
      <c r="P397" s="4"/>
      <c r="Q397" s="4"/>
      <c r="R397" s="4"/>
      <c r="S397" s="4"/>
      <c r="U397" s="9"/>
      <c r="X397" s="4"/>
      <c r="Y397" s="4"/>
      <c r="Z397" s="4"/>
      <c r="AA397" s="4"/>
      <c r="AB397" s="4"/>
      <c r="AC397" s="7"/>
      <c r="AD397" s="4"/>
      <c r="AE397" s="4"/>
      <c r="AF397" s="21"/>
    </row>
    <row r="398" spans="4:32" x14ac:dyDescent="0.25">
      <c r="D398" s="1"/>
      <c r="E398" s="2"/>
      <c r="F398" s="3"/>
      <c r="G398" s="3"/>
      <c r="H398" s="3"/>
      <c r="J398" s="3"/>
      <c r="K398" s="3"/>
      <c r="L398" s="4"/>
      <c r="M398" s="4"/>
      <c r="N398" s="3"/>
      <c r="O398" s="3"/>
      <c r="P398" s="4"/>
      <c r="Q398" s="4"/>
      <c r="R398" s="4"/>
      <c r="S398" s="4"/>
      <c r="U398" s="9"/>
      <c r="X398" s="4"/>
      <c r="Y398" s="4"/>
      <c r="Z398" s="4"/>
      <c r="AA398" s="4"/>
      <c r="AB398" s="4"/>
      <c r="AC398" s="7"/>
      <c r="AD398" s="4"/>
      <c r="AE398" s="4"/>
      <c r="AF398" s="21"/>
    </row>
    <row r="399" spans="4:32" x14ac:dyDescent="0.25">
      <c r="D399" s="1"/>
      <c r="E399" s="2"/>
      <c r="F399" s="3"/>
      <c r="G399" s="3"/>
      <c r="H399" s="3"/>
      <c r="J399" s="3"/>
      <c r="K399" s="3"/>
      <c r="L399" s="4"/>
      <c r="M399" s="4"/>
      <c r="N399" s="3"/>
      <c r="O399" s="3"/>
      <c r="P399" s="4"/>
      <c r="Q399" s="4"/>
      <c r="R399" s="4"/>
      <c r="S399" s="4"/>
      <c r="U399" s="9"/>
      <c r="X399" s="4"/>
      <c r="Y399" s="4"/>
      <c r="Z399" s="4"/>
      <c r="AA399" s="4"/>
      <c r="AB399" s="4"/>
      <c r="AC399" s="7"/>
      <c r="AD399" s="4"/>
      <c r="AE399" s="4"/>
      <c r="AF399" s="21"/>
    </row>
    <row r="400" spans="4:32" x14ac:dyDescent="0.25">
      <c r="D400" s="1"/>
      <c r="E400" s="2"/>
      <c r="F400" s="3"/>
      <c r="G400" s="3"/>
      <c r="H400" s="3"/>
      <c r="J400" s="3"/>
      <c r="K400" s="3"/>
      <c r="L400" s="4"/>
      <c r="M400" s="4"/>
      <c r="N400" s="3"/>
      <c r="O400" s="3"/>
      <c r="P400" s="4"/>
      <c r="Q400" s="4"/>
      <c r="R400" s="4"/>
      <c r="S400" s="4"/>
      <c r="U400" s="9"/>
      <c r="X400" s="4"/>
      <c r="Y400" s="4"/>
      <c r="Z400" s="4"/>
      <c r="AA400" s="4"/>
      <c r="AB400" s="4"/>
      <c r="AC400" s="7"/>
      <c r="AD400" s="4"/>
      <c r="AE400" s="4"/>
      <c r="AF400" s="21"/>
    </row>
    <row r="401" spans="4:32" x14ac:dyDescent="0.25">
      <c r="D401" s="1"/>
      <c r="E401" s="2"/>
      <c r="F401" s="3"/>
      <c r="G401" s="3"/>
      <c r="H401" s="3"/>
      <c r="J401" s="3"/>
      <c r="K401" s="3"/>
      <c r="L401" s="4"/>
      <c r="M401" s="4"/>
      <c r="N401" s="3"/>
      <c r="O401" s="3"/>
      <c r="P401" s="4"/>
      <c r="Q401" s="4"/>
      <c r="R401" s="4"/>
      <c r="S401" s="4"/>
      <c r="U401" s="9"/>
      <c r="X401" s="4"/>
      <c r="Y401" s="4"/>
      <c r="Z401" s="4"/>
      <c r="AA401" s="4"/>
      <c r="AB401" s="4"/>
      <c r="AC401" s="7"/>
      <c r="AD401" s="4"/>
      <c r="AE401" s="4"/>
      <c r="AF401" s="21"/>
    </row>
    <row r="402" spans="4:32" x14ac:dyDescent="0.25">
      <c r="D402" s="1"/>
      <c r="E402" s="2"/>
      <c r="F402" s="3"/>
      <c r="G402" s="3"/>
      <c r="H402" s="3"/>
      <c r="J402" s="3"/>
      <c r="K402" s="3"/>
      <c r="L402" s="4"/>
      <c r="M402" s="4"/>
      <c r="N402" s="3"/>
      <c r="O402" s="3"/>
      <c r="P402" s="4"/>
      <c r="Q402" s="4"/>
      <c r="R402" s="4"/>
      <c r="S402" s="4"/>
      <c r="U402" s="9"/>
      <c r="X402" s="4"/>
      <c r="Y402" s="4"/>
      <c r="Z402" s="4"/>
      <c r="AA402" s="4"/>
      <c r="AB402" s="4"/>
      <c r="AC402" s="7"/>
      <c r="AD402" s="4"/>
      <c r="AE402" s="4"/>
      <c r="AF402" s="21"/>
    </row>
    <row r="403" spans="4:32" x14ac:dyDescent="0.25">
      <c r="D403" s="1"/>
      <c r="E403" s="2"/>
      <c r="F403" s="3"/>
      <c r="G403" s="3"/>
      <c r="H403" s="3"/>
      <c r="J403" s="3"/>
      <c r="K403" s="3"/>
      <c r="L403" s="4"/>
      <c r="M403" s="4"/>
      <c r="N403" s="3"/>
      <c r="O403" s="3"/>
      <c r="P403" s="4"/>
      <c r="Q403" s="4"/>
      <c r="R403" s="4"/>
      <c r="S403" s="4"/>
      <c r="U403" s="9"/>
      <c r="X403" s="4"/>
      <c r="Y403" s="4"/>
      <c r="Z403" s="4"/>
      <c r="AA403" s="4"/>
      <c r="AB403" s="4"/>
      <c r="AC403" s="7"/>
      <c r="AD403" s="4"/>
      <c r="AE403" s="4"/>
      <c r="AF403" s="21"/>
    </row>
    <row r="404" spans="4:32" x14ac:dyDescent="0.25">
      <c r="D404" s="1"/>
      <c r="E404" s="2"/>
      <c r="F404" s="3"/>
      <c r="G404" s="3"/>
      <c r="H404" s="3"/>
      <c r="J404" s="3"/>
      <c r="K404" s="3"/>
      <c r="L404" s="4"/>
      <c r="M404" s="4"/>
      <c r="N404" s="3"/>
      <c r="O404" s="3"/>
      <c r="P404" s="4"/>
      <c r="Q404" s="4"/>
      <c r="R404" s="4"/>
      <c r="S404" s="4"/>
      <c r="U404" s="9"/>
      <c r="X404" s="4"/>
      <c r="Y404" s="4"/>
      <c r="Z404" s="4"/>
      <c r="AA404" s="4"/>
      <c r="AB404" s="4"/>
      <c r="AC404" s="7"/>
      <c r="AD404" s="4"/>
      <c r="AE404" s="4"/>
      <c r="AF404" s="21"/>
    </row>
    <row r="405" spans="4:32" x14ac:dyDescent="0.25">
      <c r="D405" s="1"/>
      <c r="E405" s="2"/>
      <c r="F405" s="3"/>
      <c r="G405" s="3"/>
      <c r="H405" s="3"/>
      <c r="J405" s="3"/>
      <c r="K405" s="3"/>
      <c r="L405" s="4"/>
      <c r="M405" s="4"/>
      <c r="N405" s="3"/>
      <c r="O405" s="3"/>
      <c r="P405" s="4"/>
      <c r="Q405" s="4"/>
      <c r="R405" s="4"/>
      <c r="S405" s="4"/>
      <c r="U405" s="9"/>
      <c r="X405" s="4"/>
      <c r="Y405" s="4"/>
      <c r="Z405" s="4"/>
      <c r="AA405" s="4"/>
      <c r="AB405" s="4"/>
      <c r="AC405" s="7"/>
      <c r="AD405" s="4"/>
      <c r="AE405" s="4"/>
      <c r="AF405" s="21"/>
    </row>
    <row r="406" spans="4:32" x14ac:dyDescent="0.25">
      <c r="D406" s="1"/>
      <c r="E406" s="2"/>
      <c r="F406" s="3"/>
      <c r="G406" s="3"/>
      <c r="H406" s="3"/>
      <c r="J406" s="3"/>
      <c r="K406" s="3"/>
      <c r="L406" s="4"/>
      <c r="M406" s="4"/>
      <c r="N406" s="3"/>
      <c r="O406" s="3"/>
      <c r="P406" s="4"/>
      <c r="Q406" s="4"/>
      <c r="R406" s="4"/>
      <c r="S406" s="4"/>
      <c r="U406" s="9"/>
      <c r="X406" s="4"/>
      <c r="Y406" s="4"/>
      <c r="Z406" s="4"/>
      <c r="AA406" s="4"/>
      <c r="AB406" s="4"/>
      <c r="AC406" s="7"/>
      <c r="AD406" s="4"/>
      <c r="AE406" s="4"/>
      <c r="AF406" s="21"/>
    </row>
    <row r="407" spans="4:32" x14ac:dyDescent="0.25">
      <c r="D407" s="1"/>
      <c r="E407" s="2"/>
      <c r="F407" s="3"/>
      <c r="G407" s="3"/>
      <c r="H407" s="3"/>
      <c r="J407" s="3"/>
      <c r="K407" s="3"/>
      <c r="L407" s="4"/>
      <c r="M407" s="4"/>
      <c r="N407" s="3"/>
      <c r="O407" s="3"/>
      <c r="P407" s="4"/>
      <c r="Q407" s="4"/>
      <c r="R407" s="4"/>
      <c r="S407" s="4"/>
      <c r="U407" s="9"/>
      <c r="X407" s="4"/>
      <c r="Y407" s="4"/>
      <c r="Z407" s="4"/>
      <c r="AA407" s="4"/>
      <c r="AB407" s="4"/>
      <c r="AC407" s="7"/>
      <c r="AD407" s="4"/>
      <c r="AE407" s="4"/>
      <c r="AF407" s="21"/>
    </row>
    <row r="408" spans="4:32" x14ac:dyDescent="0.25">
      <c r="D408" s="1"/>
      <c r="E408" s="2"/>
      <c r="F408" s="3"/>
      <c r="G408" s="3"/>
      <c r="H408" s="3"/>
      <c r="J408" s="3"/>
      <c r="K408" s="3"/>
      <c r="L408" s="4"/>
      <c r="M408" s="4"/>
      <c r="N408" s="3"/>
      <c r="O408" s="3"/>
      <c r="P408" s="4"/>
      <c r="Q408" s="4"/>
      <c r="R408" s="4"/>
      <c r="S408" s="4"/>
      <c r="U408" s="9"/>
      <c r="X408" s="4"/>
      <c r="Y408" s="4"/>
      <c r="Z408" s="4"/>
      <c r="AA408" s="4"/>
      <c r="AB408" s="4"/>
      <c r="AC408" s="7"/>
      <c r="AD408" s="4"/>
      <c r="AE408" s="4"/>
      <c r="AF408" s="21"/>
    </row>
    <row r="409" spans="4:32" x14ac:dyDescent="0.25">
      <c r="D409" s="1"/>
      <c r="E409" s="2"/>
      <c r="F409" s="3"/>
      <c r="G409" s="3"/>
      <c r="H409" s="3"/>
      <c r="J409" s="3"/>
      <c r="K409" s="3"/>
      <c r="L409" s="4"/>
      <c r="M409" s="4"/>
      <c r="N409" s="3"/>
      <c r="O409" s="3"/>
      <c r="P409" s="4"/>
      <c r="Q409" s="4"/>
      <c r="R409" s="4"/>
      <c r="S409" s="4"/>
      <c r="U409" s="9"/>
      <c r="X409" s="4"/>
      <c r="Y409" s="4"/>
      <c r="Z409" s="4"/>
      <c r="AA409" s="4"/>
      <c r="AB409" s="4"/>
      <c r="AC409" s="7"/>
      <c r="AD409" s="4"/>
      <c r="AE409" s="4"/>
      <c r="AF409" s="21"/>
    </row>
    <row r="410" spans="4:32" x14ac:dyDescent="0.25">
      <c r="D410" s="1"/>
      <c r="E410" s="2"/>
      <c r="F410" s="3"/>
      <c r="G410" s="3"/>
      <c r="H410" s="3"/>
      <c r="J410" s="3"/>
      <c r="K410" s="3"/>
      <c r="L410" s="4"/>
      <c r="M410" s="4"/>
      <c r="N410" s="3"/>
      <c r="O410" s="3"/>
      <c r="P410" s="4"/>
      <c r="Q410" s="4"/>
      <c r="R410" s="4"/>
      <c r="S410" s="4"/>
      <c r="U410" s="9"/>
      <c r="X410" s="4"/>
      <c r="Y410" s="4"/>
      <c r="Z410" s="4"/>
      <c r="AA410" s="4"/>
      <c r="AB410" s="4"/>
      <c r="AC410" s="7"/>
      <c r="AD410" s="4"/>
      <c r="AE410" s="4"/>
      <c r="AF410" s="21"/>
    </row>
    <row r="411" spans="4:32" x14ac:dyDescent="0.25">
      <c r="D411" s="1"/>
      <c r="E411" s="2"/>
      <c r="F411" s="3"/>
      <c r="G411" s="3"/>
      <c r="H411" s="3"/>
      <c r="J411" s="3"/>
      <c r="K411" s="3"/>
      <c r="L411" s="4"/>
      <c r="M411" s="4"/>
      <c r="N411" s="3"/>
      <c r="O411" s="3"/>
      <c r="P411" s="4"/>
      <c r="Q411" s="4"/>
      <c r="R411" s="4"/>
      <c r="S411" s="4"/>
      <c r="U411" s="9"/>
      <c r="X411" s="4"/>
      <c r="Y411" s="4"/>
      <c r="Z411" s="4"/>
      <c r="AA411" s="4"/>
      <c r="AB411" s="4"/>
      <c r="AC411" s="7"/>
      <c r="AD411" s="4"/>
      <c r="AE411" s="4"/>
      <c r="AF411" s="21"/>
    </row>
    <row r="412" spans="4:32" x14ac:dyDescent="0.25">
      <c r="D412" s="1"/>
      <c r="E412" s="2"/>
      <c r="F412" s="3"/>
      <c r="G412" s="3"/>
      <c r="H412" s="3"/>
      <c r="J412" s="3"/>
      <c r="K412" s="3"/>
      <c r="L412" s="4"/>
      <c r="M412" s="4"/>
      <c r="N412" s="3"/>
      <c r="O412" s="3"/>
      <c r="P412" s="4"/>
      <c r="Q412" s="4"/>
      <c r="R412" s="4"/>
      <c r="S412" s="4"/>
      <c r="U412" s="9"/>
      <c r="X412" s="4"/>
      <c r="Y412" s="4"/>
      <c r="Z412" s="4"/>
      <c r="AA412" s="4"/>
      <c r="AB412" s="4"/>
      <c r="AC412" s="7"/>
      <c r="AD412" s="4"/>
      <c r="AE412" s="4"/>
      <c r="AF412" s="21"/>
    </row>
    <row r="413" spans="4:32" x14ac:dyDescent="0.25">
      <c r="D413" s="1"/>
      <c r="E413" s="2"/>
      <c r="F413" s="3"/>
      <c r="G413" s="3"/>
      <c r="H413" s="3"/>
      <c r="J413" s="3"/>
      <c r="K413" s="3"/>
      <c r="L413" s="4"/>
      <c r="M413" s="4"/>
      <c r="N413" s="3"/>
      <c r="O413" s="3"/>
      <c r="P413" s="4"/>
      <c r="Q413" s="4"/>
      <c r="R413" s="4"/>
      <c r="S413" s="4"/>
      <c r="U413" s="9"/>
      <c r="X413" s="4"/>
      <c r="Y413" s="4"/>
      <c r="Z413" s="4"/>
      <c r="AA413" s="4"/>
      <c r="AB413" s="4"/>
      <c r="AC413" s="7"/>
      <c r="AD413" s="4"/>
      <c r="AE413" s="4"/>
      <c r="AF413" s="21"/>
    </row>
    <row r="414" spans="4:32" x14ac:dyDescent="0.25">
      <c r="D414" s="1"/>
      <c r="E414" s="2"/>
      <c r="F414" s="3"/>
      <c r="G414" s="3"/>
      <c r="H414" s="3"/>
      <c r="J414" s="3"/>
      <c r="K414" s="3"/>
      <c r="L414" s="4"/>
      <c r="M414" s="4"/>
      <c r="N414" s="3"/>
      <c r="O414" s="3"/>
      <c r="P414" s="4"/>
      <c r="Q414" s="4"/>
      <c r="R414" s="4"/>
      <c r="S414" s="4"/>
      <c r="U414" s="9"/>
      <c r="X414" s="4"/>
      <c r="Y414" s="4"/>
      <c r="Z414" s="4"/>
      <c r="AA414" s="4"/>
      <c r="AB414" s="4"/>
      <c r="AC414" s="7"/>
      <c r="AD414" s="4"/>
      <c r="AE414" s="4"/>
      <c r="AF414" s="21"/>
    </row>
    <row r="415" spans="4:32" x14ac:dyDescent="0.25">
      <c r="D415" s="1"/>
      <c r="E415" s="2"/>
      <c r="F415" s="3"/>
      <c r="G415" s="3"/>
      <c r="H415" s="3"/>
      <c r="J415" s="3"/>
      <c r="K415" s="3"/>
      <c r="L415" s="4"/>
      <c r="M415" s="4"/>
      <c r="N415" s="3"/>
      <c r="O415" s="3"/>
      <c r="P415" s="4"/>
      <c r="Q415" s="4"/>
      <c r="R415" s="4"/>
      <c r="S415" s="4"/>
      <c r="U415" s="9"/>
      <c r="X415" s="4"/>
      <c r="Y415" s="4"/>
      <c r="Z415" s="4"/>
      <c r="AA415" s="4"/>
      <c r="AB415" s="4"/>
      <c r="AC415" s="7"/>
      <c r="AD415" s="4"/>
      <c r="AE415" s="4"/>
      <c r="AF415" s="21"/>
    </row>
    <row r="416" spans="4:32" x14ac:dyDescent="0.25">
      <c r="D416" s="1"/>
      <c r="E416" s="2"/>
      <c r="F416" s="3"/>
      <c r="G416" s="3"/>
      <c r="H416" s="3"/>
      <c r="J416" s="3"/>
      <c r="K416" s="3"/>
      <c r="L416" s="4"/>
      <c r="M416" s="4"/>
      <c r="N416" s="3"/>
      <c r="O416" s="3"/>
      <c r="P416" s="4"/>
      <c r="Q416" s="4"/>
      <c r="R416" s="4"/>
      <c r="S416" s="4"/>
      <c r="U416" s="9"/>
      <c r="X416" s="4"/>
      <c r="Y416" s="4"/>
      <c r="Z416" s="4"/>
      <c r="AA416" s="4"/>
      <c r="AB416" s="4"/>
      <c r="AC416" s="7"/>
      <c r="AD416" s="4"/>
      <c r="AE416" s="4"/>
      <c r="AF416" s="21"/>
    </row>
    <row r="417" spans="4:32" x14ac:dyDescent="0.25">
      <c r="D417" s="1"/>
      <c r="E417" s="2"/>
      <c r="F417" s="3"/>
      <c r="G417" s="3"/>
      <c r="H417" s="3"/>
      <c r="J417" s="3"/>
      <c r="K417" s="3"/>
      <c r="L417" s="4"/>
      <c r="M417" s="4"/>
      <c r="N417" s="3"/>
      <c r="O417" s="3"/>
      <c r="P417" s="4"/>
      <c r="Q417" s="4"/>
      <c r="R417" s="4"/>
      <c r="S417" s="4"/>
      <c r="U417" s="9"/>
      <c r="X417" s="4"/>
      <c r="Y417" s="4"/>
      <c r="Z417" s="4"/>
      <c r="AA417" s="4"/>
      <c r="AB417" s="4"/>
      <c r="AC417" s="7"/>
      <c r="AD417" s="4"/>
      <c r="AE417" s="4"/>
      <c r="AF417" s="21"/>
    </row>
    <row r="418" spans="4:32" x14ac:dyDescent="0.25">
      <c r="D418" s="1"/>
      <c r="E418" s="2"/>
      <c r="F418" s="3"/>
      <c r="G418" s="3"/>
      <c r="H418" s="3"/>
      <c r="J418" s="3"/>
      <c r="K418" s="3"/>
      <c r="L418" s="4"/>
      <c r="M418" s="4"/>
      <c r="N418" s="3"/>
      <c r="O418" s="3"/>
      <c r="P418" s="4"/>
      <c r="Q418" s="4"/>
      <c r="R418" s="4"/>
      <c r="S418" s="4"/>
      <c r="U418" s="9"/>
      <c r="X418" s="4"/>
      <c r="Y418" s="4"/>
      <c r="Z418" s="4"/>
      <c r="AA418" s="4"/>
      <c r="AB418" s="4"/>
      <c r="AC418" s="7"/>
      <c r="AD418" s="4"/>
      <c r="AE418" s="4"/>
      <c r="AF418" s="21"/>
    </row>
    <row r="419" spans="4:32" x14ac:dyDescent="0.25">
      <c r="D419" s="1"/>
      <c r="E419" s="2"/>
      <c r="F419" s="3"/>
      <c r="G419" s="3"/>
      <c r="H419" s="3"/>
      <c r="J419" s="3"/>
      <c r="K419" s="3"/>
      <c r="L419" s="4"/>
      <c r="M419" s="4"/>
      <c r="N419" s="3"/>
      <c r="O419" s="3"/>
      <c r="P419" s="4"/>
      <c r="Q419" s="4"/>
      <c r="R419" s="4"/>
      <c r="S419" s="4"/>
      <c r="U419" s="9"/>
      <c r="X419" s="4"/>
      <c r="Y419" s="4"/>
      <c r="Z419" s="4"/>
      <c r="AA419" s="4"/>
      <c r="AB419" s="4"/>
      <c r="AC419" s="7"/>
      <c r="AD419" s="4"/>
      <c r="AE419" s="4"/>
      <c r="AF419" s="21"/>
    </row>
    <row r="420" spans="4:32" x14ac:dyDescent="0.25">
      <c r="D420" s="1"/>
      <c r="E420" s="2"/>
      <c r="F420" s="3"/>
      <c r="G420" s="3"/>
      <c r="H420" s="3"/>
      <c r="J420" s="3"/>
      <c r="K420" s="3"/>
      <c r="L420" s="4"/>
      <c r="M420" s="4"/>
      <c r="N420" s="3"/>
      <c r="O420" s="3"/>
      <c r="P420" s="4"/>
      <c r="Q420" s="4"/>
      <c r="R420" s="4"/>
      <c r="S420" s="4"/>
      <c r="U420" s="9"/>
      <c r="X420" s="4"/>
      <c r="Y420" s="4"/>
      <c r="Z420" s="4"/>
      <c r="AA420" s="4"/>
      <c r="AB420" s="4"/>
      <c r="AC420" s="7"/>
      <c r="AD420" s="4"/>
      <c r="AE420" s="4"/>
      <c r="AF420" s="21"/>
    </row>
    <row r="421" spans="4:32" x14ac:dyDescent="0.25">
      <c r="D421" s="1"/>
      <c r="E421" s="2"/>
      <c r="F421" s="3"/>
      <c r="G421" s="3"/>
      <c r="H421" s="3"/>
      <c r="J421" s="3"/>
      <c r="K421" s="3"/>
      <c r="L421" s="4"/>
      <c r="M421" s="4"/>
      <c r="N421" s="3"/>
      <c r="O421" s="3"/>
      <c r="P421" s="4"/>
      <c r="Q421" s="4"/>
      <c r="R421" s="4"/>
      <c r="S421" s="4"/>
      <c r="U421" s="9"/>
      <c r="X421" s="4"/>
      <c r="Y421" s="4"/>
      <c r="Z421" s="4"/>
      <c r="AA421" s="4"/>
      <c r="AB421" s="4"/>
      <c r="AC421" s="7"/>
      <c r="AD421" s="4"/>
      <c r="AE421" s="4"/>
      <c r="AF421" s="21"/>
    </row>
    <row r="422" spans="4:32" x14ac:dyDescent="0.25">
      <c r="D422" s="1"/>
      <c r="E422" s="2"/>
      <c r="F422" s="3"/>
      <c r="G422" s="3"/>
      <c r="H422" s="3"/>
      <c r="J422" s="3"/>
      <c r="K422" s="3"/>
      <c r="L422" s="4"/>
      <c r="M422" s="4"/>
      <c r="N422" s="3"/>
      <c r="O422" s="3"/>
      <c r="P422" s="4"/>
      <c r="Q422" s="4"/>
      <c r="R422" s="4"/>
      <c r="S422" s="4"/>
      <c r="U422" s="9"/>
      <c r="X422" s="4"/>
      <c r="Y422" s="4"/>
      <c r="Z422" s="4"/>
      <c r="AA422" s="4"/>
      <c r="AB422" s="4"/>
      <c r="AC422" s="7"/>
      <c r="AD422" s="4"/>
      <c r="AE422" s="4"/>
      <c r="AF422" s="21"/>
    </row>
    <row r="423" spans="4:32" x14ac:dyDescent="0.25">
      <c r="D423" s="1"/>
      <c r="E423" s="2"/>
      <c r="F423" s="3"/>
      <c r="G423" s="3"/>
      <c r="H423" s="3"/>
      <c r="J423" s="3"/>
      <c r="K423" s="3"/>
      <c r="L423" s="4"/>
      <c r="M423" s="4"/>
      <c r="N423" s="3"/>
      <c r="O423" s="3"/>
      <c r="P423" s="4"/>
      <c r="Q423" s="4"/>
      <c r="R423" s="4"/>
      <c r="S423" s="4"/>
      <c r="U423" s="9"/>
      <c r="X423" s="4"/>
      <c r="Y423" s="4"/>
      <c r="Z423" s="4"/>
      <c r="AA423" s="4"/>
      <c r="AB423" s="4"/>
      <c r="AC423" s="7"/>
      <c r="AD423" s="4"/>
      <c r="AE423" s="4"/>
      <c r="AF423" s="21"/>
    </row>
    <row r="424" spans="4:32" x14ac:dyDescent="0.25">
      <c r="D424" s="1"/>
      <c r="E424" s="2"/>
      <c r="F424" s="3"/>
      <c r="G424" s="3"/>
      <c r="H424" s="3"/>
      <c r="J424" s="3"/>
      <c r="K424" s="3"/>
      <c r="L424" s="4"/>
      <c r="M424" s="4"/>
      <c r="N424" s="3"/>
      <c r="O424" s="3"/>
      <c r="P424" s="4"/>
      <c r="Q424" s="4"/>
      <c r="R424" s="4"/>
      <c r="S424" s="4"/>
      <c r="U424" s="9"/>
      <c r="X424" s="4"/>
      <c r="Y424" s="4"/>
      <c r="Z424" s="4"/>
      <c r="AA424" s="4"/>
      <c r="AB424" s="4"/>
      <c r="AC424" s="7"/>
      <c r="AD424" s="4"/>
      <c r="AE424" s="4"/>
      <c r="AF424" s="21"/>
    </row>
    <row r="425" spans="4:32" x14ac:dyDescent="0.25">
      <c r="D425" s="1"/>
      <c r="E425" s="2"/>
      <c r="F425" s="3"/>
      <c r="G425" s="3"/>
      <c r="H425" s="3"/>
      <c r="J425" s="3"/>
      <c r="K425" s="3"/>
      <c r="L425" s="4"/>
      <c r="M425" s="4"/>
      <c r="N425" s="3"/>
      <c r="O425" s="3"/>
      <c r="P425" s="4"/>
      <c r="Q425" s="4"/>
      <c r="R425" s="4"/>
      <c r="S425" s="4"/>
      <c r="U425" s="9"/>
      <c r="X425" s="4"/>
      <c r="Y425" s="4"/>
      <c r="Z425" s="4"/>
      <c r="AA425" s="4"/>
      <c r="AB425" s="4"/>
      <c r="AC425" s="7"/>
      <c r="AD425" s="4"/>
      <c r="AE425" s="4"/>
      <c r="AF425" s="21"/>
    </row>
    <row r="426" spans="4:32" x14ac:dyDescent="0.25">
      <c r="D426" s="1"/>
      <c r="E426" s="2"/>
      <c r="F426" s="3"/>
      <c r="G426" s="3"/>
      <c r="H426" s="3"/>
      <c r="J426" s="3"/>
      <c r="K426" s="3"/>
      <c r="L426" s="4"/>
      <c r="M426" s="4"/>
      <c r="N426" s="3"/>
      <c r="O426" s="3"/>
      <c r="P426" s="4"/>
      <c r="Q426" s="4"/>
      <c r="R426" s="4"/>
      <c r="S426" s="4"/>
      <c r="U426" s="9"/>
      <c r="X426" s="4"/>
      <c r="Y426" s="4"/>
      <c r="Z426" s="4"/>
      <c r="AA426" s="4"/>
      <c r="AB426" s="4"/>
      <c r="AC426" s="7"/>
      <c r="AD426" s="4"/>
      <c r="AE426" s="4"/>
      <c r="AF426" s="21"/>
    </row>
    <row r="427" spans="4:32" x14ac:dyDescent="0.25">
      <c r="D427" s="1"/>
      <c r="E427" s="2"/>
      <c r="F427" s="3"/>
      <c r="G427" s="3"/>
      <c r="H427" s="3"/>
      <c r="J427" s="3"/>
      <c r="K427" s="3"/>
      <c r="L427" s="4"/>
      <c r="M427" s="4"/>
      <c r="N427" s="3"/>
      <c r="O427" s="3"/>
      <c r="P427" s="4"/>
      <c r="Q427" s="4"/>
      <c r="R427" s="4"/>
      <c r="S427" s="4"/>
      <c r="U427" s="9"/>
      <c r="X427" s="4"/>
      <c r="Y427" s="4"/>
      <c r="Z427" s="4"/>
      <c r="AA427" s="4"/>
      <c r="AB427" s="4"/>
      <c r="AC427" s="7"/>
      <c r="AD427" s="4"/>
      <c r="AE427" s="4"/>
      <c r="AF427" s="21"/>
    </row>
    <row r="428" spans="4:32" x14ac:dyDescent="0.25">
      <c r="D428" s="1"/>
      <c r="E428" s="2"/>
      <c r="F428" s="3"/>
      <c r="G428" s="3"/>
      <c r="H428" s="3"/>
      <c r="J428" s="3"/>
      <c r="K428" s="3"/>
      <c r="L428" s="4"/>
      <c r="M428" s="4"/>
      <c r="N428" s="3"/>
      <c r="O428" s="3"/>
      <c r="P428" s="4"/>
      <c r="Q428" s="4"/>
      <c r="R428" s="4"/>
      <c r="S428" s="4"/>
      <c r="U428" s="9"/>
      <c r="X428" s="4"/>
      <c r="Y428" s="4"/>
      <c r="Z428" s="4"/>
      <c r="AA428" s="4"/>
      <c r="AB428" s="4"/>
      <c r="AC428" s="7"/>
      <c r="AD428" s="4"/>
      <c r="AE428" s="4"/>
      <c r="AF428" s="21"/>
    </row>
    <row r="429" spans="4:32" x14ac:dyDescent="0.25">
      <c r="D429" s="1"/>
      <c r="E429" s="2"/>
      <c r="F429" s="3"/>
      <c r="G429" s="3"/>
      <c r="H429" s="3"/>
      <c r="J429" s="3"/>
      <c r="K429" s="3"/>
      <c r="L429" s="4"/>
      <c r="M429" s="4"/>
      <c r="N429" s="3"/>
      <c r="O429" s="3"/>
      <c r="P429" s="4"/>
      <c r="Q429" s="4"/>
      <c r="R429" s="4"/>
      <c r="S429" s="4"/>
      <c r="U429" s="9"/>
      <c r="X429" s="4"/>
      <c r="Y429" s="4"/>
      <c r="Z429" s="4"/>
      <c r="AA429" s="4"/>
      <c r="AB429" s="4"/>
      <c r="AC429" s="7"/>
      <c r="AD429" s="4"/>
      <c r="AE429" s="4"/>
      <c r="AF429" s="21"/>
    </row>
    <row r="430" spans="4:32" x14ac:dyDescent="0.25">
      <c r="D430" s="1"/>
      <c r="E430" s="2"/>
      <c r="F430" s="3"/>
      <c r="G430" s="3"/>
      <c r="H430" s="3"/>
      <c r="J430" s="3"/>
      <c r="K430" s="3"/>
      <c r="L430" s="4"/>
      <c r="M430" s="4"/>
      <c r="N430" s="3"/>
      <c r="O430" s="3"/>
      <c r="P430" s="4"/>
      <c r="Q430" s="4"/>
      <c r="R430" s="4"/>
      <c r="S430" s="4"/>
      <c r="U430" s="9"/>
      <c r="X430" s="4"/>
      <c r="Y430" s="4"/>
      <c r="Z430" s="4"/>
      <c r="AA430" s="4"/>
      <c r="AB430" s="4"/>
      <c r="AC430" s="7"/>
      <c r="AD430" s="4"/>
      <c r="AE430" s="4"/>
      <c r="AF430" s="21"/>
    </row>
    <row r="431" spans="4:32" x14ac:dyDescent="0.25">
      <c r="D431" s="1"/>
      <c r="E431" s="2"/>
      <c r="F431" s="3"/>
      <c r="G431" s="3"/>
      <c r="H431" s="3"/>
      <c r="J431" s="3"/>
      <c r="K431" s="3"/>
      <c r="L431" s="4"/>
      <c r="M431" s="4"/>
      <c r="N431" s="3"/>
      <c r="O431" s="3"/>
      <c r="P431" s="4"/>
      <c r="Q431" s="4"/>
      <c r="R431" s="4"/>
      <c r="S431" s="4"/>
      <c r="U431" s="9"/>
      <c r="X431" s="4"/>
      <c r="Y431" s="4"/>
      <c r="Z431" s="4"/>
      <c r="AA431" s="4"/>
      <c r="AB431" s="4"/>
      <c r="AC431" s="7"/>
      <c r="AD431" s="4"/>
      <c r="AE431" s="4"/>
      <c r="AF431" s="21"/>
    </row>
    <row r="432" spans="4:32" x14ac:dyDescent="0.25">
      <c r="D432" s="1"/>
      <c r="E432" s="2"/>
      <c r="F432" s="3"/>
      <c r="G432" s="3"/>
      <c r="H432" s="3"/>
      <c r="J432" s="3"/>
      <c r="K432" s="3"/>
      <c r="L432" s="4"/>
      <c r="M432" s="4"/>
      <c r="N432" s="3"/>
      <c r="O432" s="3"/>
      <c r="P432" s="4"/>
      <c r="Q432" s="4"/>
      <c r="R432" s="4"/>
      <c r="S432" s="4"/>
      <c r="U432" s="9"/>
      <c r="X432" s="4"/>
      <c r="Y432" s="4"/>
      <c r="Z432" s="4"/>
      <c r="AA432" s="4"/>
      <c r="AB432" s="4"/>
      <c r="AC432" s="7"/>
      <c r="AD432" s="4"/>
      <c r="AE432" s="4"/>
      <c r="AF432" s="21"/>
    </row>
    <row r="433" spans="4:32" x14ac:dyDescent="0.25">
      <c r="D433" s="1"/>
      <c r="E433" s="2"/>
      <c r="F433" s="3"/>
      <c r="G433" s="3"/>
      <c r="H433" s="3"/>
      <c r="J433" s="3"/>
      <c r="K433" s="3"/>
      <c r="L433" s="4"/>
      <c r="M433" s="4"/>
      <c r="N433" s="3"/>
      <c r="O433" s="3"/>
      <c r="P433" s="4"/>
      <c r="Q433" s="4"/>
      <c r="R433" s="4"/>
      <c r="S433" s="4"/>
      <c r="U433" s="9"/>
      <c r="X433" s="4"/>
      <c r="Y433" s="4"/>
      <c r="Z433" s="4"/>
      <c r="AA433" s="4"/>
      <c r="AB433" s="4"/>
      <c r="AC433" s="7"/>
      <c r="AD433" s="4"/>
      <c r="AE433" s="4"/>
      <c r="AF433" s="21"/>
    </row>
    <row r="434" spans="4:32" x14ac:dyDescent="0.25">
      <c r="D434" s="1"/>
      <c r="E434" s="2"/>
      <c r="F434" s="3"/>
      <c r="G434" s="3"/>
      <c r="H434" s="3"/>
      <c r="J434" s="3"/>
      <c r="K434" s="3"/>
      <c r="L434" s="4"/>
      <c r="M434" s="4"/>
      <c r="N434" s="3"/>
      <c r="O434" s="3"/>
      <c r="P434" s="4"/>
      <c r="Q434" s="4"/>
      <c r="R434" s="4"/>
      <c r="S434" s="4"/>
      <c r="U434" s="9"/>
      <c r="X434" s="4"/>
      <c r="Y434" s="4"/>
      <c r="Z434" s="4"/>
      <c r="AA434" s="4"/>
      <c r="AB434" s="4"/>
      <c r="AC434" s="7"/>
      <c r="AD434" s="4"/>
      <c r="AE434" s="4"/>
      <c r="AF434" s="21"/>
    </row>
    <row r="435" spans="4:32" x14ac:dyDescent="0.25">
      <c r="D435" s="1"/>
      <c r="E435" s="2"/>
      <c r="F435" s="3"/>
      <c r="G435" s="3"/>
      <c r="H435" s="3"/>
      <c r="J435" s="3"/>
      <c r="K435" s="3"/>
      <c r="L435" s="4"/>
      <c r="M435" s="4"/>
      <c r="N435" s="3"/>
      <c r="O435" s="3"/>
      <c r="P435" s="4"/>
      <c r="Q435" s="4"/>
      <c r="R435" s="4"/>
      <c r="S435" s="4"/>
      <c r="U435" s="9"/>
      <c r="X435" s="4"/>
      <c r="Y435" s="4"/>
      <c r="Z435" s="4"/>
      <c r="AA435" s="4"/>
      <c r="AB435" s="4"/>
      <c r="AC435" s="7"/>
      <c r="AD435" s="4"/>
      <c r="AE435" s="4"/>
      <c r="AF435" s="21"/>
    </row>
    <row r="436" spans="4:32" x14ac:dyDescent="0.25">
      <c r="D436" s="1"/>
      <c r="E436" s="2"/>
      <c r="F436" s="3"/>
      <c r="G436" s="3"/>
      <c r="H436" s="3"/>
      <c r="J436" s="3"/>
      <c r="K436" s="3"/>
      <c r="L436" s="4"/>
      <c r="M436" s="4"/>
      <c r="N436" s="3"/>
      <c r="O436" s="3"/>
      <c r="P436" s="4"/>
      <c r="Q436" s="4"/>
      <c r="R436" s="4"/>
      <c r="S436" s="4"/>
      <c r="U436" s="9"/>
      <c r="X436" s="4"/>
      <c r="Y436" s="4"/>
      <c r="Z436" s="4"/>
      <c r="AA436" s="4"/>
      <c r="AB436" s="4"/>
      <c r="AC436" s="7"/>
      <c r="AD436" s="4"/>
      <c r="AE436" s="4"/>
      <c r="AF436" s="21"/>
    </row>
    <row r="437" spans="4:32" x14ac:dyDescent="0.25">
      <c r="D437" s="1"/>
      <c r="E437" s="2"/>
      <c r="F437" s="3"/>
      <c r="G437" s="3"/>
      <c r="H437" s="3"/>
      <c r="J437" s="3"/>
      <c r="K437" s="3"/>
      <c r="L437" s="4"/>
      <c r="M437" s="4"/>
      <c r="N437" s="3"/>
      <c r="O437" s="3"/>
      <c r="P437" s="4"/>
      <c r="Q437" s="4"/>
      <c r="R437" s="4"/>
      <c r="S437" s="4"/>
      <c r="U437" s="9"/>
      <c r="X437" s="4"/>
      <c r="Y437" s="4"/>
      <c r="Z437" s="4"/>
      <c r="AA437" s="4"/>
      <c r="AB437" s="4"/>
      <c r="AC437" s="7"/>
      <c r="AD437" s="4"/>
      <c r="AE437" s="4"/>
      <c r="AF437" s="21"/>
    </row>
    <row r="438" spans="4:32" x14ac:dyDescent="0.25">
      <c r="D438" s="1"/>
      <c r="E438" s="2"/>
      <c r="F438" s="3"/>
      <c r="G438" s="3"/>
      <c r="H438" s="3"/>
      <c r="J438" s="3"/>
      <c r="K438" s="3"/>
      <c r="L438" s="4"/>
      <c r="M438" s="4"/>
      <c r="N438" s="3"/>
      <c r="O438" s="3"/>
      <c r="P438" s="4"/>
      <c r="Q438" s="4"/>
      <c r="R438" s="4"/>
      <c r="S438" s="4"/>
      <c r="U438" s="9"/>
      <c r="X438" s="4"/>
      <c r="Y438" s="4"/>
      <c r="Z438" s="4"/>
      <c r="AA438" s="4"/>
      <c r="AB438" s="4"/>
      <c r="AC438" s="7"/>
      <c r="AD438" s="4"/>
      <c r="AE438" s="4"/>
      <c r="AF438" s="21"/>
    </row>
    <row r="439" spans="4:32" x14ac:dyDescent="0.25">
      <c r="D439" s="1"/>
      <c r="E439" s="2"/>
      <c r="F439" s="3"/>
      <c r="G439" s="3"/>
      <c r="H439" s="3"/>
      <c r="J439" s="3"/>
      <c r="K439" s="3"/>
      <c r="L439" s="4"/>
      <c r="M439" s="4"/>
      <c r="N439" s="3"/>
      <c r="O439" s="3"/>
      <c r="P439" s="4"/>
      <c r="Q439" s="4"/>
      <c r="R439" s="4"/>
      <c r="S439" s="4"/>
      <c r="U439" s="9"/>
      <c r="X439" s="4"/>
      <c r="Y439" s="4"/>
      <c r="Z439" s="4"/>
      <c r="AA439" s="4"/>
      <c r="AB439" s="4"/>
      <c r="AC439" s="7"/>
      <c r="AD439" s="4"/>
      <c r="AE439" s="4"/>
      <c r="AF439" s="21"/>
    </row>
    <row r="440" spans="4:32" x14ac:dyDescent="0.25">
      <c r="D440" s="1"/>
      <c r="E440" s="2"/>
      <c r="F440" s="3"/>
      <c r="G440" s="3"/>
      <c r="H440" s="3"/>
      <c r="J440" s="3"/>
      <c r="K440" s="3"/>
      <c r="L440" s="4"/>
      <c r="M440" s="4"/>
      <c r="N440" s="3"/>
      <c r="O440" s="3"/>
      <c r="P440" s="4"/>
      <c r="Q440" s="4"/>
      <c r="R440" s="4"/>
      <c r="S440" s="4"/>
      <c r="U440" s="9"/>
      <c r="X440" s="4"/>
      <c r="Y440" s="4"/>
      <c r="Z440" s="4"/>
      <c r="AA440" s="4"/>
      <c r="AB440" s="4"/>
      <c r="AC440" s="7"/>
      <c r="AD440" s="4"/>
      <c r="AE440" s="4"/>
      <c r="AF440" s="21"/>
    </row>
    <row r="441" spans="4:32" x14ac:dyDescent="0.25">
      <c r="D441" s="1"/>
      <c r="E441" s="2"/>
      <c r="F441" s="3"/>
      <c r="G441" s="3"/>
      <c r="H441" s="3"/>
      <c r="J441" s="3"/>
      <c r="K441" s="3"/>
      <c r="L441" s="4"/>
      <c r="M441" s="4"/>
      <c r="N441" s="3"/>
      <c r="O441" s="3"/>
      <c r="P441" s="4"/>
      <c r="Q441" s="4"/>
      <c r="R441" s="4"/>
      <c r="S441" s="4"/>
      <c r="U441" s="9"/>
      <c r="X441" s="4"/>
      <c r="Y441" s="4"/>
      <c r="Z441" s="4"/>
      <c r="AA441" s="4"/>
      <c r="AB441" s="4"/>
      <c r="AC441" s="7"/>
      <c r="AD441" s="4"/>
      <c r="AE441" s="4"/>
      <c r="AF441" s="21"/>
    </row>
    <row r="442" spans="4:32" x14ac:dyDescent="0.25">
      <c r="D442" s="1"/>
      <c r="E442" s="2"/>
      <c r="F442" s="3"/>
      <c r="G442" s="3"/>
      <c r="H442" s="3"/>
      <c r="J442" s="3"/>
      <c r="K442" s="3"/>
      <c r="L442" s="4"/>
      <c r="M442" s="4"/>
      <c r="N442" s="3"/>
      <c r="O442" s="3"/>
      <c r="P442" s="4"/>
      <c r="Q442" s="4"/>
      <c r="R442" s="4"/>
      <c r="S442" s="4"/>
      <c r="U442" s="9"/>
      <c r="X442" s="4"/>
      <c r="Y442" s="4"/>
      <c r="Z442" s="4"/>
      <c r="AA442" s="4"/>
      <c r="AB442" s="4"/>
      <c r="AC442" s="7"/>
      <c r="AD442" s="4"/>
      <c r="AE442" s="4"/>
      <c r="AF442" s="21"/>
    </row>
    <row r="443" spans="4:32" x14ac:dyDescent="0.25">
      <c r="D443" s="1"/>
      <c r="E443" s="2"/>
      <c r="F443" s="3"/>
      <c r="G443" s="3"/>
      <c r="H443" s="3"/>
      <c r="J443" s="3"/>
      <c r="K443" s="3"/>
      <c r="L443" s="4"/>
      <c r="M443" s="4"/>
      <c r="N443" s="3"/>
      <c r="O443" s="3"/>
      <c r="P443" s="4"/>
      <c r="Q443" s="4"/>
      <c r="R443" s="4"/>
      <c r="S443" s="4"/>
      <c r="U443" s="9"/>
      <c r="X443" s="4"/>
      <c r="Y443" s="4"/>
      <c r="Z443" s="4"/>
      <c r="AA443" s="4"/>
      <c r="AB443" s="4"/>
      <c r="AC443" s="7"/>
      <c r="AD443" s="4"/>
      <c r="AE443" s="4"/>
      <c r="AF443" s="21"/>
    </row>
    <row r="444" spans="4:32" x14ac:dyDescent="0.25">
      <c r="D444" s="1"/>
      <c r="E444" s="2"/>
      <c r="F444" s="3"/>
      <c r="G444" s="3"/>
      <c r="H444" s="3"/>
      <c r="J444" s="3"/>
      <c r="K444" s="3"/>
      <c r="L444" s="4"/>
      <c r="M444" s="4"/>
      <c r="N444" s="3"/>
      <c r="O444" s="3"/>
      <c r="P444" s="4"/>
      <c r="Q444" s="4"/>
      <c r="R444" s="4"/>
      <c r="S444" s="4"/>
      <c r="U444" s="9"/>
      <c r="X444" s="4"/>
      <c r="Y444" s="4"/>
      <c r="Z444" s="4"/>
      <c r="AA444" s="4"/>
      <c r="AB444" s="4"/>
      <c r="AC444" s="7"/>
      <c r="AD444" s="4"/>
      <c r="AE444" s="4"/>
      <c r="AF444" s="21"/>
    </row>
    <row r="445" spans="4:32" x14ac:dyDescent="0.25">
      <c r="D445" s="1"/>
      <c r="E445" s="2"/>
      <c r="F445" s="3"/>
      <c r="G445" s="3"/>
      <c r="H445" s="3"/>
      <c r="J445" s="3"/>
      <c r="K445" s="3"/>
      <c r="L445" s="4"/>
      <c r="M445" s="4"/>
      <c r="N445" s="3"/>
      <c r="O445" s="3"/>
      <c r="P445" s="4"/>
      <c r="Q445" s="4"/>
      <c r="R445" s="4"/>
      <c r="S445" s="4"/>
      <c r="U445" s="9"/>
      <c r="X445" s="4"/>
      <c r="Y445" s="4"/>
      <c r="Z445" s="4"/>
      <c r="AA445" s="4"/>
      <c r="AB445" s="4"/>
      <c r="AC445" s="7"/>
      <c r="AD445" s="4"/>
      <c r="AE445" s="4"/>
      <c r="AF445" s="21"/>
    </row>
    <row r="446" spans="4:32" x14ac:dyDescent="0.25">
      <c r="D446" s="1"/>
      <c r="E446" s="2"/>
      <c r="F446" s="3"/>
      <c r="G446" s="3"/>
      <c r="H446" s="3"/>
      <c r="J446" s="3"/>
      <c r="K446" s="3"/>
      <c r="L446" s="4"/>
      <c r="M446" s="4"/>
      <c r="N446" s="3"/>
      <c r="O446" s="3"/>
      <c r="P446" s="4"/>
      <c r="Q446" s="4"/>
      <c r="R446" s="4"/>
      <c r="S446" s="4"/>
      <c r="U446" s="9"/>
      <c r="X446" s="4"/>
      <c r="Y446" s="4"/>
      <c r="Z446" s="4"/>
      <c r="AA446" s="4"/>
      <c r="AB446" s="4"/>
      <c r="AC446" s="7"/>
      <c r="AD446" s="4"/>
      <c r="AE446" s="4"/>
      <c r="AF446" s="21"/>
    </row>
    <row r="447" spans="4:32" x14ac:dyDescent="0.25">
      <c r="D447" s="1"/>
      <c r="E447" s="2"/>
      <c r="F447" s="3"/>
      <c r="G447" s="3"/>
      <c r="H447" s="3"/>
      <c r="J447" s="3"/>
      <c r="K447" s="3"/>
      <c r="L447" s="4"/>
      <c r="M447" s="4"/>
      <c r="N447" s="3"/>
      <c r="O447" s="3"/>
      <c r="P447" s="4"/>
      <c r="Q447" s="4"/>
      <c r="R447" s="4"/>
      <c r="S447" s="4"/>
      <c r="U447" s="9"/>
      <c r="X447" s="4"/>
      <c r="Y447" s="4"/>
      <c r="Z447" s="4"/>
      <c r="AA447" s="4"/>
      <c r="AB447" s="4"/>
      <c r="AC447" s="7"/>
      <c r="AD447" s="4"/>
      <c r="AE447" s="4"/>
      <c r="AF447" s="21"/>
    </row>
    <row r="448" spans="4:32" x14ac:dyDescent="0.25">
      <c r="D448" s="1"/>
      <c r="E448" s="2"/>
      <c r="F448" s="3"/>
      <c r="G448" s="3"/>
      <c r="H448" s="3"/>
      <c r="J448" s="3"/>
      <c r="K448" s="3"/>
      <c r="L448" s="4"/>
      <c r="M448" s="4"/>
      <c r="N448" s="3"/>
      <c r="O448" s="3"/>
      <c r="P448" s="4"/>
      <c r="Q448" s="4"/>
      <c r="R448" s="4"/>
      <c r="S448" s="4"/>
      <c r="U448" s="9"/>
      <c r="X448" s="4"/>
      <c r="Y448" s="4"/>
      <c r="Z448" s="4"/>
      <c r="AA448" s="4"/>
      <c r="AB448" s="4"/>
      <c r="AC448" s="7"/>
      <c r="AD448" s="4"/>
      <c r="AE448" s="4"/>
      <c r="AF448" s="21"/>
    </row>
    <row r="449" spans="4:32" x14ac:dyDescent="0.25">
      <c r="D449" s="1"/>
      <c r="E449" s="2"/>
      <c r="F449" s="3"/>
      <c r="G449" s="3"/>
      <c r="H449" s="3"/>
      <c r="J449" s="3"/>
      <c r="K449" s="3"/>
      <c r="L449" s="4"/>
      <c r="M449" s="4"/>
      <c r="N449" s="3"/>
      <c r="O449" s="3"/>
      <c r="P449" s="4"/>
      <c r="Q449" s="4"/>
      <c r="R449" s="4"/>
      <c r="S449" s="4"/>
      <c r="U449" s="9"/>
      <c r="X449" s="4"/>
      <c r="Y449" s="4"/>
      <c r="Z449" s="4"/>
      <c r="AA449" s="4"/>
      <c r="AB449" s="4"/>
      <c r="AC449" s="7"/>
      <c r="AD449" s="4"/>
      <c r="AE449" s="4"/>
      <c r="AF449" s="21"/>
    </row>
    <row r="450" spans="4:32" x14ac:dyDescent="0.25">
      <c r="D450" s="1"/>
      <c r="E450" s="2"/>
      <c r="F450" s="3"/>
      <c r="G450" s="3"/>
      <c r="H450" s="3"/>
      <c r="J450" s="3"/>
      <c r="K450" s="3"/>
      <c r="L450" s="4"/>
      <c r="M450" s="4"/>
      <c r="N450" s="3"/>
      <c r="O450" s="3"/>
      <c r="P450" s="4"/>
      <c r="Q450" s="4"/>
      <c r="R450" s="4"/>
      <c r="S450" s="4"/>
      <c r="U450" s="9"/>
      <c r="X450" s="4"/>
      <c r="Y450" s="4"/>
      <c r="Z450" s="4"/>
      <c r="AA450" s="4"/>
      <c r="AB450" s="4"/>
      <c r="AC450" s="7"/>
      <c r="AD450" s="4"/>
      <c r="AE450" s="4"/>
      <c r="AF450" s="21"/>
    </row>
    <row r="451" spans="4:32" x14ac:dyDescent="0.25">
      <c r="D451" s="1"/>
      <c r="E451" s="2"/>
      <c r="F451" s="3"/>
      <c r="G451" s="3"/>
      <c r="H451" s="3"/>
      <c r="J451" s="3"/>
      <c r="K451" s="3"/>
      <c r="L451" s="4"/>
      <c r="M451" s="4"/>
      <c r="N451" s="3"/>
      <c r="O451" s="3"/>
      <c r="P451" s="4"/>
      <c r="Q451" s="4"/>
      <c r="R451" s="4"/>
      <c r="S451" s="4"/>
      <c r="U451" s="9"/>
      <c r="X451" s="4"/>
      <c r="Y451" s="4"/>
      <c r="Z451" s="4"/>
      <c r="AA451" s="4"/>
      <c r="AB451" s="4"/>
      <c r="AC451" s="7"/>
      <c r="AD451" s="4"/>
      <c r="AE451" s="4"/>
      <c r="AF451" s="21"/>
    </row>
    <row r="452" spans="4:32" x14ac:dyDescent="0.25">
      <c r="D452" s="1"/>
      <c r="E452" s="2"/>
      <c r="F452" s="3"/>
      <c r="G452" s="3"/>
      <c r="H452" s="3"/>
      <c r="J452" s="3"/>
      <c r="K452" s="3"/>
      <c r="L452" s="4"/>
      <c r="M452" s="4"/>
      <c r="N452" s="3"/>
      <c r="O452" s="3"/>
      <c r="P452" s="4"/>
      <c r="Q452" s="4"/>
      <c r="R452" s="4"/>
      <c r="S452" s="4"/>
      <c r="U452" s="9"/>
      <c r="X452" s="4"/>
      <c r="Y452" s="4"/>
      <c r="Z452" s="4"/>
      <c r="AA452" s="4"/>
      <c r="AB452" s="4"/>
      <c r="AC452" s="7"/>
      <c r="AD452" s="4"/>
      <c r="AE452" s="4"/>
      <c r="AF452" s="21"/>
    </row>
    <row r="453" spans="4:32" x14ac:dyDescent="0.25">
      <c r="D453" s="1"/>
      <c r="E453" s="2"/>
      <c r="F453" s="3"/>
      <c r="G453" s="3"/>
      <c r="H453" s="3"/>
      <c r="J453" s="3"/>
      <c r="K453" s="3"/>
      <c r="L453" s="4"/>
      <c r="M453" s="4"/>
      <c r="N453" s="3"/>
      <c r="O453" s="3"/>
      <c r="P453" s="4"/>
      <c r="Q453" s="4"/>
      <c r="R453" s="4"/>
      <c r="S453" s="4"/>
      <c r="U453" s="9"/>
      <c r="X453" s="4"/>
      <c r="Y453" s="4"/>
      <c r="Z453" s="4"/>
      <c r="AA453" s="4"/>
      <c r="AB453" s="4"/>
      <c r="AC453" s="7"/>
      <c r="AD453" s="4"/>
      <c r="AE453" s="4"/>
      <c r="AF453" s="21"/>
    </row>
    <row r="454" spans="4:32" x14ac:dyDescent="0.25">
      <c r="D454" s="1"/>
      <c r="E454" s="2"/>
      <c r="F454" s="3"/>
      <c r="G454" s="3"/>
      <c r="H454" s="3"/>
      <c r="J454" s="3"/>
      <c r="K454" s="3"/>
      <c r="L454" s="4"/>
      <c r="M454" s="4"/>
      <c r="N454" s="3"/>
      <c r="O454" s="3"/>
      <c r="P454" s="4"/>
      <c r="Q454" s="4"/>
      <c r="R454" s="4"/>
      <c r="S454" s="4"/>
      <c r="U454" s="9"/>
      <c r="X454" s="4"/>
      <c r="Y454" s="4"/>
      <c r="Z454" s="4"/>
      <c r="AA454" s="4"/>
      <c r="AB454" s="4"/>
      <c r="AC454" s="7"/>
      <c r="AD454" s="4"/>
      <c r="AE454" s="4"/>
      <c r="AF454" s="21"/>
    </row>
    <row r="455" spans="4:32" x14ac:dyDescent="0.25">
      <c r="D455" s="1"/>
      <c r="E455" s="2"/>
      <c r="F455" s="3"/>
      <c r="G455" s="3"/>
      <c r="H455" s="3"/>
      <c r="J455" s="3"/>
      <c r="K455" s="3"/>
      <c r="L455" s="4"/>
      <c r="M455" s="4"/>
      <c r="N455" s="3"/>
      <c r="O455" s="3"/>
      <c r="P455" s="4"/>
      <c r="Q455" s="4"/>
      <c r="R455" s="4"/>
      <c r="S455" s="4"/>
      <c r="U455" s="9"/>
      <c r="X455" s="4"/>
      <c r="Y455" s="4"/>
      <c r="Z455" s="4"/>
      <c r="AA455" s="4"/>
      <c r="AB455" s="4"/>
      <c r="AC455" s="7"/>
      <c r="AD455" s="4"/>
      <c r="AE455" s="4"/>
      <c r="AF455" s="21"/>
    </row>
    <row r="456" spans="4:32" x14ac:dyDescent="0.25">
      <c r="D456" s="1"/>
      <c r="E456" s="2"/>
      <c r="F456" s="3"/>
      <c r="G456" s="3"/>
      <c r="H456" s="3"/>
      <c r="J456" s="3"/>
      <c r="K456" s="3"/>
      <c r="L456" s="4"/>
      <c r="M456" s="4"/>
      <c r="N456" s="3"/>
      <c r="O456" s="3"/>
      <c r="P456" s="4"/>
      <c r="Q456" s="4"/>
      <c r="R456" s="4"/>
      <c r="S456" s="4"/>
      <c r="U456" s="9"/>
      <c r="X456" s="4"/>
      <c r="Y456" s="4"/>
      <c r="Z456" s="4"/>
      <c r="AA456" s="4"/>
      <c r="AB456" s="4"/>
      <c r="AC456" s="7"/>
      <c r="AD456" s="4"/>
      <c r="AE456" s="4"/>
      <c r="AF456" s="21"/>
    </row>
    <row r="457" spans="4:32" x14ac:dyDescent="0.25">
      <c r="D457" s="1"/>
      <c r="E457" s="2"/>
      <c r="F457" s="3"/>
      <c r="G457" s="3"/>
      <c r="H457" s="3"/>
      <c r="J457" s="3"/>
      <c r="K457" s="3"/>
      <c r="L457" s="4"/>
      <c r="M457" s="4"/>
      <c r="N457" s="3"/>
      <c r="O457" s="3"/>
      <c r="P457" s="4"/>
      <c r="Q457" s="4"/>
      <c r="R457" s="4"/>
      <c r="S457" s="4"/>
      <c r="U457" s="9"/>
      <c r="X457" s="4"/>
      <c r="Y457" s="4"/>
      <c r="Z457" s="4"/>
      <c r="AA457" s="4"/>
      <c r="AB457" s="4"/>
      <c r="AC457" s="7"/>
      <c r="AD457" s="4"/>
      <c r="AE457" s="4"/>
      <c r="AF457" s="21"/>
    </row>
    <row r="458" spans="4:32" x14ac:dyDescent="0.25">
      <c r="D458" s="1"/>
      <c r="E458" s="2"/>
      <c r="F458" s="3"/>
      <c r="G458" s="3"/>
      <c r="H458" s="3"/>
      <c r="J458" s="3"/>
      <c r="K458" s="3"/>
      <c r="L458" s="4"/>
      <c r="M458" s="4"/>
      <c r="N458" s="3"/>
      <c r="O458" s="3"/>
      <c r="P458" s="4"/>
      <c r="Q458" s="4"/>
      <c r="R458" s="4"/>
      <c r="S458" s="4"/>
      <c r="U458" s="9"/>
      <c r="X458" s="4"/>
      <c r="Y458" s="4"/>
      <c r="Z458" s="4"/>
      <c r="AA458" s="4"/>
      <c r="AB458" s="4"/>
      <c r="AC458" s="7"/>
      <c r="AD458" s="4"/>
      <c r="AE458" s="4"/>
      <c r="AF458" s="21"/>
    </row>
    <row r="459" spans="4:32" x14ac:dyDescent="0.25">
      <c r="D459" s="1"/>
      <c r="E459" s="2"/>
      <c r="F459" s="3"/>
      <c r="G459" s="3"/>
      <c r="H459" s="3"/>
      <c r="J459" s="3"/>
      <c r="K459" s="3"/>
      <c r="L459" s="4"/>
      <c r="M459" s="4"/>
      <c r="N459" s="3"/>
      <c r="O459" s="3"/>
      <c r="P459" s="4"/>
      <c r="Q459" s="4"/>
      <c r="R459" s="4"/>
      <c r="S459" s="4"/>
      <c r="U459" s="9"/>
      <c r="X459" s="4"/>
      <c r="Y459" s="4"/>
      <c r="Z459" s="4"/>
      <c r="AA459" s="4"/>
      <c r="AB459" s="4"/>
      <c r="AC459" s="7"/>
      <c r="AD459" s="4"/>
      <c r="AE459" s="4"/>
      <c r="AF459" s="21"/>
    </row>
    <row r="460" spans="4:32" x14ac:dyDescent="0.25">
      <c r="D460" s="1"/>
      <c r="E460" s="2"/>
      <c r="F460" s="3"/>
      <c r="G460" s="3"/>
      <c r="H460" s="3"/>
      <c r="J460" s="3"/>
      <c r="K460" s="3"/>
      <c r="L460" s="4"/>
      <c r="M460" s="4"/>
      <c r="N460" s="3"/>
      <c r="O460" s="3"/>
      <c r="P460" s="4"/>
      <c r="Q460" s="4"/>
      <c r="R460" s="4"/>
      <c r="S460" s="4"/>
      <c r="U460" s="9"/>
      <c r="X460" s="4"/>
      <c r="Y460" s="4"/>
      <c r="Z460" s="4"/>
      <c r="AA460" s="4"/>
      <c r="AB460" s="4"/>
      <c r="AC460" s="7"/>
      <c r="AD460" s="4"/>
      <c r="AE460" s="4"/>
      <c r="AF460" s="21"/>
    </row>
    <row r="461" spans="4:32" x14ac:dyDescent="0.25">
      <c r="D461" s="1"/>
      <c r="E461" s="2"/>
      <c r="F461" s="3"/>
      <c r="G461" s="3"/>
      <c r="H461" s="3"/>
      <c r="J461" s="3"/>
      <c r="K461" s="3"/>
      <c r="L461" s="4"/>
      <c r="M461" s="4"/>
      <c r="N461" s="3"/>
      <c r="O461" s="3"/>
      <c r="P461" s="4"/>
      <c r="Q461" s="4"/>
      <c r="R461" s="4"/>
      <c r="S461" s="4"/>
      <c r="U461" s="9"/>
      <c r="X461" s="4"/>
      <c r="Y461" s="4"/>
      <c r="Z461" s="4"/>
      <c r="AA461" s="4"/>
      <c r="AB461" s="4"/>
      <c r="AC461" s="7"/>
      <c r="AD461" s="4"/>
      <c r="AE461" s="4"/>
      <c r="AF461" s="21"/>
    </row>
    <row r="462" spans="4:32" x14ac:dyDescent="0.25">
      <c r="D462" s="1"/>
      <c r="E462" s="2"/>
      <c r="F462" s="3"/>
      <c r="G462" s="3"/>
      <c r="H462" s="3"/>
      <c r="J462" s="3"/>
      <c r="K462" s="3"/>
      <c r="L462" s="4"/>
      <c r="M462" s="4"/>
      <c r="N462" s="3"/>
      <c r="O462" s="3"/>
      <c r="P462" s="4"/>
      <c r="Q462" s="4"/>
      <c r="R462" s="4"/>
      <c r="S462" s="4"/>
      <c r="U462" s="9"/>
      <c r="X462" s="4"/>
      <c r="Y462" s="4"/>
      <c r="Z462" s="4"/>
      <c r="AA462" s="4"/>
      <c r="AB462" s="4"/>
      <c r="AC462" s="7"/>
      <c r="AD462" s="4"/>
      <c r="AE462" s="4"/>
      <c r="AF462" s="21"/>
    </row>
    <row r="463" spans="4:32" x14ac:dyDescent="0.25">
      <c r="D463" s="1"/>
      <c r="E463" s="2"/>
      <c r="F463" s="3"/>
      <c r="G463" s="3"/>
      <c r="H463" s="3"/>
      <c r="J463" s="3"/>
      <c r="K463" s="3"/>
      <c r="L463" s="4"/>
      <c r="M463" s="4"/>
      <c r="N463" s="3"/>
      <c r="O463" s="3"/>
      <c r="P463" s="4"/>
      <c r="Q463" s="4"/>
      <c r="R463" s="4"/>
      <c r="S463" s="4"/>
      <c r="U463" s="9"/>
      <c r="X463" s="4"/>
      <c r="Y463" s="4"/>
      <c r="Z463" s="4"/>
      <c r="AA463" s="4"/>
      <c r="AB463" s="4"/>
      <c r="AC463" s="7"/>
      <c r="AD463" s="4"/>
      <c r="AE463" s="4"/>
      <c r="AF463" s="21"/>
    </row>
    <row r="464" spans="4:32" x14ac:dyDescent="0.25">
      <c r="D464" s="1"/>
      <c r="E464" s="2"/>
      <c r="F464" s="3"/>
      <c r="G464" s="3"/>
      <c r="H464" s="3"/>
      <c r="J464" s="3"/>
      <c r="K464" s="3"/>
      <c r="L464" s="4"/>
      <c r="M464" s="4"/>
      <c r="N464" s="3"/>
      <c r="O464" s="3"/>
      <c r="P464" s="4"/>
      <c r="Q464" s="4"/>
      <c r="R464" s="4"/>
      <c r="S464" s="4"/>
      <c r="U464" s="9"/>
      <c r="X464" s="4"/>
      <c r="Y464" s="4"/>
      <c r="Z464" s="4"/>
      <c r="AA464" s="4"/>
      <c r="AB464" s="4"/>
      <c r="AC464" s="7"/>
      <c r="AD464" s="4"/>
      <c r="AE464" s="4"/>
      <c r="AF464" s="21"/>
    </row>
    <row r="465" spans="4:32" x14ac:dyDescent="0.25">
      <c r="D465" s="1"/>
      <c r="E465" s="2"/>
      <c r="F465" s="3"/>
      <c r="G465" s="3"/>
      <c r="H465" s="3"/>
      <c r="J465" s="3"/>
      <c r="K465" s="3"/>
      <c r="L465" s="4"/>
      <c r="M465" s="4"/>
      <c r="N465" s="3"/>
      <c r="O465" s="3"/>
      <c r="P465" s="4"/>
      <c r="Q465" s="4"/>
      <c r="R465" s="4"/>
      <c r="S465" s="4"/>
      <c r="U465" s="9"/>
      <c r="X465" s="4"/>
      <c r="Y465" s="4"/>
      <c r="Z465" s="4"/>
      <c r="AA465" s="4"/>
      <c r="AB465" s="4"/>
      <c r="AC465" s="7"/>
      <c r="AD465" s="4"/>
      <c r="AE465" s="4"/>
      <c r="AF465" s="21"/>
    </row>
    <row r="466" spans="4:32" x14ac:dyDescent="0.25">
      <c r="D466" s="1"/>
      <c r="E466" s="2"/>
      <c r="F466" s="3"/>
      <c r="G466" s="3"/>
      <c r="H466" s="3"/>
      <c r="J466" s="3"/>
      <c r="K466" s="3"/>
      <c r="L466" s="4"/>
      <c r="M466" s="4"/>
      <c r="N466" s="3"/>
      <c r="O466" s="3"/>
      <c r="P466" s="4"/>
      <c r="Q466" s="4"/>
      <c r="R466" s="4"/>
      <c r="S466" s="4"/>
      <c r="U466" s="9"/>
      <c r="X466" s="4"/>
      <c r="Y466" s="4"/>
      <c r="Z466" s="4"/>
      <c r="AA466" s="4"/>
      <c r="AB466" s="4"/>
      <c r="AC466" s="7"/>
      <c r="AD466" s="4"/>
      <c r="AE466" s="4"/>
      <c r="AF466" s="21"/>
    </row>
    <row r="467" spans="4:32" x14ac:dyDescent="0.25">
      <c r="D467" s="1"/>
      <c r="E467" s="2"/>
      <c r="F467" s="3"/>
      <c r="G467" s="3"/>
      <c r="H467" s="3"/>
      <c r="J467" s="3"/>
      <c r="K467" s="3"/>
      <c r="L467" s="4"/>
      <c r="M467" s="4"/>
      <c r="N467" s="3"/>
      <c r="O467" s="3"/>
      <c r="P467" s="4"/>
      <c r="Q467" s="4"/>
      <c r="R467" s="4"/>
      <c r="S467" s="4"/>
      <c r="U467" s="9"/>
      <c r="X467" s="4"/>
      <c r="Y467" s="4"/>
      <c r="Z467" s="4"/>
      <c r="AA467" s="4"/>
      <c r="AB467" s="4"/>
      <c r="AC467" s="7"/>
      <c r="AD467" s="4"/>
      <c r="AE467" s="4"/>
      <c r="AF467" s="21"/>
    </row>
    <row r="468" spans="4:32" x14ac:dyDescent="0.25">
      <c r="D468" s="1"/>
      <c r="E468" s="2"/>
      <c r="F468" s="3"/>
      <c r="G468" s="3"/>
      <c r="H468" s="3"/>
      <c r="J468" s="3"/>
      <c r="K468" s="3"/>
      <c r="L468" s="4"/>
      <c r="M468" s="4"/>
      <c r="N468" s="3"/>
      <c r="O468" s="3"/>
      <c r="P468" s="4"/>
      <c r="Q468" s="4"/>
      <c r="R468" s="4"/>
      <c r="S468" s="4"/>
      <c r="U468" s="9"/>
      <c r="X468" s="4"/>
      <c r="Y468" s="4"/>
      <c r="Z468" s="4"/>
      <c r="AA468" s="4"/>
      <c r="AB468" s="4"/>
      <c r="AC468" s="7"/>
      <c r="AD468" s="4"/>
      <c r="AE468" s="4"/>
      <c r="AF468" s="21"/>
    </row>
    <row r="469" spans="4:32" x14ac:dyDescent="0.25">
      <c r="D469" s="1"/>
      <c r="E469" s="2"/>
      <c r="F469" s="3"/>
      <c r="G469" s="3"/>
      <c r="H469" s="3"/>
      <c r="J469" s="3"/>
      <c r="K469" s="3"/>
      <c r="L469" s="4"/>
      <c r="M469" s="4"/>
      <c r="N469" s="3"/>
      <c r="O469" s="3"/>
      <c r="P469" s="4"/>
      <c r="Q469" s="4"/>
      <c r="R469" s="4"/>
      <c r="S469" s="4"/>
      <c r="U469" s="9"/>
      <c r="X469" s="4"/>
      <c r="Y469" s="4"/>
      <c r="Z469" s="4"/>
      <c r="AA469" s="4"/>
      <c r="AB469" s="4"/>
      <c r="AC469" s="7"/>
      <c r="AD469" s="4"/>
      <c r="AE469" s="4"/>
      <c r="AF469" s="21"/>
    </row>
    <row r="470" spans="4:32" x14ac:dyDescent="0.25">
      <c r="D470" s="1"/>
      <c r="E470" s="2"/>
      <c r="F470" s="3"/>
      <c r="G470" s="3"/>
      <c r="H470" s="3"/>
      <c r="J470" s="3"/>
      <c r="K470" s="3"/>
      <c r="L470" s="4"/>
      <c r="M470" s="4"/>
      <c r="N470" s="3"/>
      <c r="O470" s="3"/>
      <c r="P470" s="4"/>
      <c r="Q470" s="4"/>
      <c r="R470" s="4"/>
      <c r="S470" s="4"/>
      <c r="U470" s="9"/>
      <c r="X470" s="4"/>
      <c r="Y470" s="4"/>
      <c r="Z470" s="4"/>
      <c r="AA470" s="4"/>
      <c r="AB470" s="4"/>
      <c r="AC470" s="7"/>
      <c r="AD470" s="4"/>
      <c r="AE470" s="4"/>
      <c r="AF470" s="21"/>
    </row>
    <row r="471" spans="4:32" x14ac:dyDescent="0.25">
      <c r="D471" s="1"/>
      <c r="E471" s="2"/>
      <c r="F471" s="3"/>
      <c r="G471" s="3"/>
      <c r="H471" s="3"/>
      <c r="J471" s="3"/>
      <c r="K471" s="3"/>
      <c r="L471" s="4"/>
      <c r="M471" s="4"/>
      <c r="N471" s="3"/>
      <c r="O471" s="3"/>
      <c r="P471" s="4"/>
      <c r="Q471" s="4"/>
      <c r="R471" s="4"/>
      <c r="S471" s="4"/>
      <c r="U471" s="9"/>
      <c r="X471" s="4"/>
      <c r="Y471" s="4"/>
      <c r="Z471" s="4"/>
      <c r="AA471" s="4"/>
      <c r="AB471" s="4"/>
      <c r="AC471" s="7"/>
      <c r="AD471" s="4"/>
      <c r="AE471" s="4"/>
      <c r="AF471" s="21"/>
    </row>
    <row r="472" spans="4:32" x14ac:dyDescent="0.25">
      <c r="D472" s="1"/>
      <c r="E472" s="2"/>
      <c r="F472" s="3"/>
      <c r="G472" s="3"/>
      <c r="H472" s="3"/>
      <c r="J472" s="3"/>
      <c r="K472" s="3"/>
      <c r="L472" s="4"/>
      <c r="M472" s="4"/>
      <c r="N472" s="3"/>
      <c r="O472" s="3"/>
      <c r="P472" s="4"/>
      <c r="Q472" s="4"/>
      <c r="R472" s="4"/>
      <c r="S472" s="4"/>
      <c r="U472" s="9"/>
      <c r="X472" s="4"/>
      <c r="Y472" s="4"/>
      <c r="Z472" s="4"/>
      <c r="AA472" s="4"/>
      <c r="AB472" s="4"/>
      <c r="AC472" s="7"/>
      <c r="AD472" s="4"/>
      <c r="AE472" s="4"/>
      <c r="AF472" s="21"/>
    </row>
    <row r="473" spans="4:32" x14ac:dyDescent="0.25">
      <c r="D473" s="1"/>
      <c r="E473" s="2"/>
      <c r="F473" s="3"/>
      <c r="G473" s="3"/>
      <c r="H473" s="3"/>
      <c r="J473" s="3"/>
      <c r="K473" s="3"/>
      <c r="L473" s="4"/>
      <c r="M473" s="4"/>
      <c r="N473" s="3"/>
      <c r="O473" s="3"/>
      <c r="P473" s="4"/>
      <c r="Q473" s="4"/>
      <c r="R473" s="4"/>
      <c r="S473" s="4"/>
      <c r="U473" s="9"/>
      <c r="X473" s="4"/>
      <c r="Y473" s="4"/>
      <c r="Z473" s="4"/>
      <c r="AA473" s="4"/>
      <c r="AB473" s="4"/>
      <c r="AC473" s="7"/>
      <c r="AD473" s="4"/>
      <c r="AE473" s="4"/>
      <c r="AF473" s="21"/>
    </row>
    <row r="474" spans="4:32" x14ac:dyDescent="0.25">
      <c r="D474" s="1"/>
      <c r="E474" s="2"/>
      <c r="F474" s="3"/>
      <c r="G474" s="3"/>
      <c r="H474" s="3"/>
      <c r="J474" s="3"/>
      <c r="K474" s="3"/>
      <c r="L474" s="4"/>
      <c r="M474" s="4"/>
      <c r="N474" s="3"/>
      <c r="O474" s="3"/>
      <c r="P474" s="4"/>
      <c r="Q474" s="4"/>
      <c r="R474" s="4"/>
      <c r="S474" s="4"/>
      <c r="U474" s="9"/>
      <c r="X474" s="4"/>
      <c r="Y474" s="4"/>
      <c r="Z474" s="4"/>
      <c r="AA474" s="4"/>
      <c r="AB474" s="4"/>
      <c r="AC474" s="7"/>
      <c r="AD474" s="4"/>
      <c r="AE474" s="4"/>
      <c r="AF474" s="21"/>
    </row>
    <row r="475" spans="4:32" x14ac:dyDescent="0.25">
      <c r="D475" s="1"/>
      <c r="E475" s="2"/>
      <c r="F475" s="3"/>
      <c r="G475" s="3"/>
      <c r="H475" s="3"/>
      <c r="J475" s="3"/>
      <c r="K475" s="3"/>
      <c r="L475" s="4"/>
      <c r="M475" s="4"/>
      <c r="N475" s="3"/>
      <c r="O475" s="3"/>
      <c r="P475" s="4"/>
      <c r="Q475" s="4"/>
      <c r="R475" s="4"/>
      <c r="S475" s="4"/>
      <c r="U475" s="9"/>
      <c r="X475" s="4"/>
      <c r="Y475" s="4"/>
      <c r="Z475" s="4"/>
      <c r="AA475" s="4"/>
      <c r="AB475" s="4"/>
      <c r="AC475" s="7"/>
      <c r="AD475" s="4"/>
      <c r="AE475" s="4"/>
      <c r="AF475" s="21"/>
    </row>
    <row r="476" spans="4:32" x14ac:dyDescent="0.25">
      <c r="D476" s="1"/>
      <c r="E476" s="2"/>
      <c r="F476" s="3"/>
      <c r="G476" s="3"/>
      <c r="H476" s="3"/>
      <c r="J476" s="3"/>
      <c r="K476" s="3"/>
      <c r="L476" s="4"/>
      <c r="M476" s="4"/>
      <c r="N476" s="3"/>
      <c r="O476" s="3"/>
      <c r="P476" s="4"/>
      <c r="Q476" s="4"/>
      <c r="R476" s="4"/>
      <c r="S476" s="4"/>
      <c r="U476" s="9"/>
      <c r="X476" s="4"/>
      <c r="Y476" s="4"/>
      <c r="Z476" s="4"/>
      <c r="AA476" s="4"/>
      <c r="AB476" s="4"/>
      <c r="AC476" s="7"/>
      <c r="AD476" s="4"/>
      <c r="AE476" s="4"/>
      <c r="AF476" s="21"/>
    </row>
    <row r="477" spans="4:32" x14ac:dyDescent="0.25">
      <c r="D477" s="1"/>
      <c r="E477" s="2"/>
      <c r="F477" s="3"/>
      <c r="G477" s="3"/>
      <c r="H477" s="3"/>
      <c r="J477" s="3"/>
      <c r="K477" s="3"/>
      <c r="L477" s="4"/>
      <c r="M477" s="4"/>
      <c r="N477" s="3"/>
      <c r="O477" s="3"/>
      <c r="P477" s="4"/>
      <c r="Q477" s="4"/>
      <c r="R477" s="4"/>
      <c r="S477" s="4"/>
      <c r="U477" s="9"/>
      <c r="X477" s="4"/>
      <c r="Y477" s="4"/>
      <c r="Z477" s="4"/>
      <c r="AA477" s="4"/>
      <c r="AB477" s="4"/>
      <c r="AC477" s="7"/>
      <c r="AD477" s="4"/>
      <c r="AE477" s="4"/>
      <c r="AF477" s="21"/>
    </row>
    <row r="478" spans="4:32" x14ac:dyDescent="0.25">
      <c r="D478" s="1"/>
      <c r="E478" s="2"/>
      <c r="F478" s="3"/>
      <c r="G478" s="3"/>
      <c r="H478" s="3"/>
      <c r="J478" s="3"/>
      <c r="K478" s="3"/>
      <c r="L478" s="4"/>
      <c r="M478" s="4"/>
      <c r="N478" s="3"/>
      <c r="O478" s="3"/>
      <c r="P478" s="4"/>
      <c r="Q478" s="4"/>
      <c r="R478" s="4"/>
      <c r="S478" s="4"/>
      <c r="U478" s="9"/>
      <c r="X478" s="4"/>
      <c r="Y478" s="4"/>
      <c r="Z478" s="4"/>
      <c r="AA478" s="4"/>
      <c r="AB478" s="4"/>
      <c r="AC478" s="7"/>
      <c r="AD478" s="4"/>
      <c r="AE478" s="4"/>
      <c r="AF478" s="21"/>
    </row>
    <row r="479" spans="4:32" x14ac:dyDescent="0.25">
      <c r="D479" s="1"/>
      <c r="E479" s="2"/>
      <c r="F479" s="3"/>
      <c r="G479" s="3"/>
      <c r="H479" s="3"/>
      <c r="J479" s="3"/>
      <c r="K479" s="3"/>
      <c r="L479" s="4"/>
      <c r="M479" s="4"/>
      <c r="N479" s="3"/>
      <c r="O479" s="3"/>
      <c r="P479" s="4"/>
      <c r="Q479" s="4"/>
      <c r="R479" s="4"/>
      <c r="S479" s="4"/>
      <c r="U479" s="9"/>
      <c r="X479" s="4"/>
      <c r="Y479" s="4"/>
      <c r="Z479" s="4"/>
      <c r="AA479" s="4"/>
      <c r="AB479" s="4"/>
      <c r="AC479" s="7"/>
      <c r="AD479" s="4"/>
      <c r="AE479" s="4"/>
      <c r="AF479" s="21"/>
    </row>
    <row r="480" spans="4:32" x14ac:dyDescent="0.25">
      <c r="D480" s="1"/>
      <c r="E480" s="2"/>
      <c r="F480" s="3"/>
      <c r="G480" s="3"/>
      <c r="H480" s="3"/>
      <c r="J480" s="3"/>
      <c r="K480" s="3"/>
      <c r="L480" s="4"/>
      <c r="M480" s="4"/>
      <c r="N480" s="3"/>
      <c r="O480" s="3"/>
      <c r="P480" s="4"/>
      <c r="Q480" s="4"/>
      <c r="R480" s="4"/>
      <c r="S480" s="4"/>
      <c r="U480" s="9"/>
      <c r="X480" s="4"/>
      <c r="Y480" s="4"/>
      <c r="Z480" s="4"/>
      <c r="AA480" s="4"/>
      <c r="AB480" s="4"/>
      <c r="AC480" s="7"/>
      <c r="AD480" s="4"/>
      <c r="AE480" s="4"/>
      <c r="AF480" s="21"/>
    </row>
    <row r="481" spans="4:32" x14ac:dyDescent="0.25">
      <c r="D481" s="1"/>
      <c r="E481" s="2"/>
      <c r="F481" s="3"/>
      <c r="G481" s="3"/>
      <c r="H481" s="3"/>
      <c r="J481" s="3"/>
      <c r="K481" s="3"/>
      <c r="L481" s="4"/>
      <c r="M481" s="4"/>
      <c r="N481" s="3"/>
      <c r="O481" s="3"/>
      <c r="P481" s="4"/>
      <c r="Q481" s="4"/>
      <c r="R481" s="4"/>
      <c r="S481" s="4"/>
      <c r="U481" s="9"/>
      <c r="X481" s="4"/>
      <c r="Y481" s="4"/>
      <c r="Z481" s="4"/>
      <c r="AA481" s="4"/>
      <c r="AB481" s="4"/>
      <c r="AC481" s="7"/>
      <c r="AD481" s="4"/>
      <c r="AE481" s="4"/>
      <c r="AF481" s="21"/>
    </row>
    <row r="482" spans="4:32" x14ac:dyDescent="0.25">
      <c r="D482" s="1"/>
      <c r="E482" s="2"/>
      <c r="F482" s="3"/>
      <c r="G482" s="3"/>
      <c r="H482" s="3"/>
      <c r="J482" s="3"/>
      <c r="K482" s="3"/>
      <c r="L482" s="4"/>
      <c r="M482" s="4"/>
      <c r="N482" s="3"/>
      <c r="O482" s="3"/>
      <c r="P482" s="4"/>
      <c r="Q482" s="4"/>
      <c r="R482" s="4"/>
      <c r="S482" s="4"/>
      <c r="U482" s="9"/>
      <c r="X482" s="4"/>
      <c r="Y482" s="4"/>
      <c r="Z482" s="4"/>
      <c r="AA482" s="4"/>
      <c r="AB482" s="4"/>
      <c r="AC482" s="7"/>
      <c r="AD482" s="4"/>
      <c r="AE482" s="4"/>
      <c r="AF482" s="21"/>
    </row>
    <row r="483" spans="4:32" x14ac:dyDescent="0.25">
      <c r="D483" s="1"/>
      <c r="E483" s="2"/>
      <c r="F483" s="3"/>
      <c r="G483" s="3"/>
      <c r="H483" s="3"/>
      <c r="J483" s="3"/>
      <c r="K483" s="3"/>
      <c r="L483" s="4"/>
      <c r="M483" s="4"/>
      <c r="N483" s="3"/>
      <c r="O483" s="3"/>
      <c r="P483" s="4"/>
      <c r="Q483" s="4"/>
      <c r="R483" s="4"/>
      <c r="S483" s="4"/>
      <c r="U483" s="9"/>
      <c r="X483" s="4"/>
      <c r="Y483" s="4"/>
      <c r="Z483" s="4"/>
      <c r="AA483" s="4"/>
      <c r="AB483" s="4"/>
      <c r="AC483" s="7"/>
      <c r="AD483" s="4"/>
      <c r="AE483" s="4"/>
      <c r="AF483" s="21"/>
    </row>
    <row r="484" spans="4:32" x14ac:dyDescent="0.25">
      <c r="D484" s="1"/>
      <c r="E484" s="2"/>
      <c r="F484" s="3"/>
      <c r="G484" s="3"/>
      <c r="H484" s="3"/>
      <c r="J484" s="3"/>
      <c r="K484" s="3"/>
      <c r="L484" s="4"/>
      <c r="M484" s="4"/>
      <c r="N484" s="3"/>
      <c r="O484" s="3"/>
      <c r="P484" s="4"/>
      <c r="Q484" s="4"/>
      <c r="R484" s="4"/>
      <c r="S484" s="4"/>
      <c r="U484" s="9"/>
      <c r="X484" s="4"/>
      <c r="Y484" s="4"/>
      <c r="Z484" s="4"/>
      <c r="AA484" s="4"/>
      <c r="AB484" s="4"/>
      <c r="AC484" s="7"/>
      <c r="AD484" s="4"/>
      <c r="AE484" s="4"/>
      <c r="AF484" s="21"/>
    </row>
    <row r="485" spans="4:32" x14ac:dyDescent="0.25">
      <c r="D485" s="1"/>
      <c r="E485" s="2"/>
      <c r="F485" s="3"/>
      <c r="G485" s="3"/>
      <c r="H485" s="3"/>
      <c r="J485" s="3"/>
      <c r="K485" s="3"/>
      <c r="L485" s="4"/>
      <c r="M485" s="4"/>
      <c r="N485" s="3"/>
      <c r="O485" s="3"/>
      <c r="P485" s="4"/>
      <c r="Q485" s="4"/>
      <c r="R485" s="4"/>
      <c r="S485" s="4"/>
      <c r="U485" s="9"/>
      <c r="X485" s="4"/>
      <c r="Y485" s="4"/>
      <c r="Z485" s="4"/>
      <c r="AA485" s="4"/>
      <c r="AB485" s="4"/>
      <c r="AC485" s="7"/>
      <c r="AD485" s="4"/>
      <c r="AE485" s="4"/>
      <c r="AF485" s="21"/>
    </row>
    <row r="486" spans="4:32" x14ac:dyDescent="0.25">
      <c r="D486" s="1"/>
      <c r="E486" s="2"/>
      <c r="F486" s="3"/>
      <c r="G486" s="3"/>
      <c r="H486" s="3"/>
      <c r="J486" s="3"/>
      <c r="K486" s="3"/>
      <c r="L486" s="4"/>
      <c r="M486" s="4"/>
      <c r="N486" s="3"/>
      <c r="O486" s="3"/>
      <c r="P486" s="4"/>
      <c r="Q486" s="4"/>
      <c r="R486" s="4"/>
      <c r="S486" s="4"/>
      <c r="U486" s="9"/>
      <c r="X486" s="4"/>
      <c r="Y486" s="4"/>
      <c r="Z486" s="4"/>
      <c r="AA486" s="4"/>
      <c r="AB486" s="4"/>
      <c r="AC486" s="7"/>
      <c r="AD486" s="4"/>
      <c r="AE486" s="4"/>
      <c r="AF486" s="21"/>
    </row>
    <row r="487" spans="4:32" x14ac:dyDescent="0.25">
      <c r="D487" s="1"/>
      <c r="E487" s="2"/>
      <c r="F487" s="3"/>
      <c r="G487" s="3"/>
      <c r="H487" s="3"/>
      <c r="J487" s="3"/>
      <c r="K487" s="3"/>
      <c r="L487" s="4"/>
      <c r="M487" s="4"/>
      <c r="N487" s="3"/>
      <c r="O487" s="3"/>
      <c r="P487" s="4"/>
      <c r="Q487" s="4"/>
      <c r="R487" s="4"/>
      <c r="S487" s="4"/>
      <c r="U487" s="9"/>
      <c r="X487" s="4"/>
      <c r="Y487" s="4"/>
      <c r="Z487" s="4"/>
      <c r="AA487" s="4"/>
      <c r="AB487" s="4"/>
      <c r="AC487" s="7"/>
      <c r="AD487" s="4"/>
      <c r="AE487" s="4"/>
      <c r="AF487" s="21"/>
    </row>
    <row r="488" spans="4:32" x14ac:dyDescent="0.25">
      <c r="D488" s="1"/>
      <c r="E488" s="2"/>
      <c r="F488" s="3"/>
      <c r="G488" s="3"/>
      <c r="H488" s="3"/>
      <c r="J488" s="3"/>
      <c r="K488" s="3"/>
      <c r="L488" s="4"/>
      <c r="M488" s="4"/>
      <c r="N488" s="3"/>
      <c r="O488" s="3"/>
      <c r="P488" s="4"/>
      <c r="Q488" s="4"/>
      <c r="R488" s="4"/>
      <c r="S488" s="4"/>
      <c r="U488" s="9"/>
      <c r="X488" s="4"/>
      <c r="Y488" s="4"/>
      <c r="Z488" s="4"/>
      <c r="AA488" s="4"/>
      <c r="AB488" s="4"/>
      <c r="AC488" s="7"/>
      <c r="AD488" s="4"/>
      <c r="AE488" s="4"/>
      <c r="AF488" s="21"/>
    </row>
    <row r="489" spans="4:32" x14ac:dyDescent="0.25">
      <c r="D489" s="1"/>
      <c r="E489" s="2"/>
      <c r="F489" s="3"/>
      <c r="G489" s="3"/>
      <c r="H489" s="3"/>
      <c r="J489" s="3"/>
      <c r="K489" s="3"/>
      <c r="L489" s="4"/>
      <c r="M489" s="4"/>
      <c r="N489" s="3"/>
      <c r="O489" s="3"/>
      <c r="P489" s="4"/>
      <c r="Q489" s="4"/>
      <c r="R489" s="4"/>
      <c r="S489" s="4"/>
      <c r="U489" s="9"/>
      <c r="X489" s="4"/>
      <c r="Y489" s="4"/>
      <c r="Z489" s="4"/>
      <c r="AA489" s="4"/>
      <c r="AB489" s="4"/>
      <c r="AC489" s="7"/>
      <c r="AD489" s="4"/>
      <c r="AE489" s="4"/>
      <c r="AF489" s="21"/>
    </row>
    <row r="490" spans="4:32" x14ac:dyDescent="0.25">
      <c r="D490" s="1"/>
      <c r="E490" s="2"/>
      <c r="F490" s="3"/>
      <c r="G490" s="3"/>
      <c r="H490" s="3"/>
      <c r="J490" s="3"/>
      <c r="K490" s="3"/>
      <c r="L490" s="4"/>
      <c r="M490" s="4"/>
      <c r="N490" s="3"/>
      <c r="O490" s="3"/>
      <c r="P490" s="4"/>
      <c r="Q490" s="4"/>
      <c r="R490" s="4"/>
      <c r="S490" s="4"/>
      <c r="U490" s="9"/>
      <c r="X490" s="4"/>
      <c r="Y490" s="4"/>
      <c r="Z490" s="4"/>
      <c r="AA490" s="4"/>
      <c r="AB490" s="4"/>
      <c r="AC490" s="7"/>
      <c r="AD490" s="4"/>
      <c r="AE490" s="4"/>
      <c r="AF490" s="21"/>
    </row>
    <row r="491" spans="4:32" x14ac:dyDescent="0.25">
      <c r="D491" s="1"/>
      <c r="E491" s="2"/>
      <c r="F491" s="3"/>
      <c r="G491" s="3"/>
      <c r="H491" s="3"/>
      <c r="J491" s="3"/>
      <c r="K491" s="3"/>
      <c r="L491" s="4"/>
      <c r="M491" s="4"/>
      <c r="N491" s="3"/>
      <c r="O491" s="3"/>
      <c r="P491" s="4"/>
      <c r="Q491" s="4"/>
      <c r="R491" s="4"/>
      <c r="S491" s="4"/>
      <c r="U491" s="9"/>
      <c r="X491" s="4"/>
      <c r="Y491" s="4"/>
      <c r="Z491" s="4"/>
      <c r="AA491" s="4"/>
      <c r="AB491" s="4"/>
      <c r="AC491" s="7"/>
      <c r="AD491" s="4"/>
      <c r="AE491" s="4"/>
      <c r="AF491" s="21"/>
    </row>
    <row r="492" spans="4:32" x14ac:dyDescent="0.25">
      <c r="D492" s="1"/>
      <c r="E492" s="2"/>
      <c r="F492" s="3"/>
      <c r="G492" s="3"/>
      <c r="H492" s="3"/>
      <c r="J492" s="3"/>
      <c r="K492" s="3"/>
      <c r="L492" s="4"/>
      <c r="M492" s="4"/>
      <c r="N492" s="3"/>
      <c r="O492" s="3"/>
      <c r="P492" s="4"/>
      <c r="Q492" s="4"/>
      <c r="R492" s="4"/>
      <c r="S492" s="4"/>
      <c r="U492" s="9"/>
      <c r="X492" s="4"/>
      <c r="Y492" s="4"/>
      <c r="Z492" s="4"/>
      <c r="AA492" s="4"/>
      <c r="AB492" s="4"/>
      <c r="AC492" s="7"/>
      <c r="AD492" s="4"/>
      <c r="AE492" s="4"/>
      <c r="AF492" s="21"/>
    </row>
    <row r="493" spans="4:32" x14ac:dyDescent="0.25">
      <c r="D493" s="1"/>
      <c r="E493" s="2"/>
      <c r="F493" s="3"/>
      <c r="G493" s="3"/>
      <c r="H493" s="3"/>
      <c r="J493" s="3"/>
      <c r="K493" s="3"/>
      <c r="L493" s="4"/>
      <c r="M493" s="4"/>
      <c r="N493" s="3"/>
      <c r="O493" s="3"/>
      <c r="P493" s="4"/>
      <c r="Q493" s="4"/>
      <c r="R493" s="4"/>
      <c r="S493" s="4"/>
      <c r="U493" s="9"/>
      <c r="X493" s="4"/>
      <c r="Y493" s="4"/>
      <c r="Z493" s="4"/>
      <c r="AA493" s="4"/>
      <c r="AB493" s="4"/>
      <c r="AC493" s="7"/>
      <c r="AD493" s="4"/>
      <c r="AE493" s="4"/>
      <c r="AF493" s="21"/>
    </row>
    <row r="494" spans="4:32" x14ac:dyDescent="0.25">
      <c r="D494" s="1"/>
      <c r="E494" s="2"/>
      <c r="F494" s="3"/>
      <c r="G494" s="3"/>
      <c r="H494" s="3"/>
      <c r="J494" s="3"/>
      <c r="K494" s="3"/>
      <c r="L494" s="4"/>
      <c r="M494" s="4"/>
      <c r="N494" s="3"/>
      <c r="O494" s="3"/>
      <c r="P494" s="4"/>
      <c r="Q494" s="4"/>
      <c r="R494" s="4"/>
      <c r="S494" s="4"/>
      <c r="U494" s="9"/>
      <c r="X494" s="4"/>
      <c r="Y494" s="4"/>
      <c r="Z494" s="4"/>
      <c r="AA494" s="4"/>
      <c r="AB494" s="4"/>
      <c r="AC494" s="7"/>
      <c r="AD494" s="4"/>
      <c r="AE494" s="4"/>
      <c r="AF494" s="21"/>
    </row>
    <row r="495" spans="4:32" x14ac:dyDescent="0.25">
      <c r="D495" s="1"/>
      <c r="E495" s="2"/>
      <c r="F495" s="3"/>
      <c r="G495" s="3"/>
      <c r="H495" s="3"/>
      <c r="J495" s="3"/>
      <c r="K495" s="3"/>
      <c r="L495" s="4"/>
      <c r="M495" s="4"/>
      <c r="N495" s="3"/>
      <c r="O495" s="3"/>
      <c r="P495" s="4"/>
      <c r="Q495" s="4"/>
      <c r="R495" s="4"/>
      <c r="S495" s="4"/>
      <c r="U495" s="9"/>
      <c r="X495" s="4"/>
      <c r="Y495" s="4"/>
      <c r="Z495" s="4"/>
      <c r="AA495" s="4"/>
      <c r="AB495" s="4"/>
      <c r="AC495" s="7"/>
      <c r="AD495" s="4"/>
      <c r="AE495" s="4"/>
      <c r="AF495" s="21"/>
    </row>
    <row r="496" spans="4:32" x14ac:dyDescent="0.25">
      <c r="D496" s="1"/>
      <c r="E496" s="2"/>
      <c r="F496" s="3"/>
      <c r="G496" s="3"/>
      <c r="H496" s="3"/>
      <c r="J496" s="3"/>
      <c r="K496" s="3"/>
      <c r="L496" s="4"/>
      <c r="M496" s="4"/>
      <c r="N496" s="3"/>
      <c r="O496" s="3"/>
      <c r="P496" s="4"/>
      <c r="Q496" s="4"/>
      <c r="R496" s="4"/>
      <c r="S496" s="4"/>
      <c r="U496" s="9"/>
      <c r="X496" s="4"/>
      <c r="Y496" s="4"/>
      <c r="Z496" s="4"/>
      <c r="AA496" s="4"/>
      <c r="AB496" s="4"/>
      <c r="AC496" s="7"/>
      <c r="AD496" s="4"/>
      <c r="AE496" s="4"/>
      <c r="AF496" s="21"/>
    </row>
    <row r="497" spans="4:32" x14ac:dyDescent="0.25">
      <c r="D497" s="1"/>
      <c r="E497" s="2"/>
      <c r="F497" s="3"/>
      <c r="G497" s="3"/>
      <c r="H497" s="3"/>
      <c r="J497" s="3"/>
      <c r="K497" s="3"/>
      <c r="L497" s="4"/>
      <c r="M497" s="4"/>
      <c r="N497" s="3"/>
      <c r="O497" s="3"/>
      <c r="P497" s="4"/>
      <c r="Q497" s="4"/>
      <c r="R497" s="4"/>
      <c r="S497" s="4"/>
      <c r="U497" s="9"/>
      <c r="X497" s="4"/>
      <c r="Y497" s="4"/>
      <c r="Z497" s="4"/>
      <c r="AA497" s="4"/>
      <c r="AB497" s="4"/>
      <c r="AC497" s="7"/>
      <c r="AD497" s="4"/>
      <c r="AE497" s="4"/>
      <c r="AF497" s="21"/>
    </row>
    <row r="498" spans="4:32" x14ac:dyDescent="0.25">
      <c r="D498" s="1"/>
      <c r="E498" s="2"/>
      <c r="F498" s="3"/>
      <c r="G498" s="3"/>
      <c r="H498" s="3"/>
      <c r="J498" s="3"/>
      <c r="K498" s="3"/>
      <c r="L498" s="4"/>
      <c r="M498" s="4"/>
      <c r="N498" s="3"/>
      <c r="O498" s="3"/>
      <c r="P498" s="4"/>
      <c r="Q498" s="4"/>
      <c r="R498" s="4"/>
      <c r="S498" s="4"/>
      <c r="U498" s="9"/>
      <c r="X498" s="4"/>
      <c r="Y498" s="4"/>
      <c r="Z498" s="4"/>
      <c r="AA498" s="4"/>
      <c r="AB498" s="4"/>
      <c r="AC498" s="7"/>
      <c r="AD498" s="4"/>
      <c r="AE498" s="4"/>
      <c r="AF498" s="21"/>
    </row>
    <row r="499" spans="4:32" x14ac:dyDescent="0.25">
      <c r="D499" s="1"/>
      <c r="E499" s="2"/>
      <c r="F499" s="3"/>
      <c r="G499" s="3"/>
      <c r="H499" s="3"/>
      <c r="J499" s="3"/>
      <c r="K499" s="3"/>
      <c r="L499" s="4"/>
      <c r="M499" s="4"/>
      <c r="N499" s="3"/>
      <c r="O499" s="3"/>
      <c r="P499" s="4"/>
      <c r="Q499" s="4"/>
      <c r="R499" s="4"/>
      <c r="S499" s="4"/>
      <c r="U499" s="9"/>
      <c r="X499" s="4"/>
      <c r="Y499" s="4"/>
      <c r="Z499" s="4"/>
      <c r="AA499" s="4"/>
      <c r="AB499" s="4"/>
      <c r="AC499" s="7"/>
      <c r="AD499" s="4"/>
      <c r="AE499" s="4"/>
      <c r="AF499" s="21"/>
    </row>
    <row r="500" spans="4:32" x14ac:dyDescent="0.25">
      <c r="D500" s="1"/>
      <c r="E500" s="2"/>
      <c r="F500" s="3"/>
      <c r="G500" s="3"/>
      <c r="H500" s="3"/>
      <c r="J500" s="3"/>
      <c r="K500" s="3"/>
      <c r="L500" s="4"/>
      <c r="M500" s="4"/>
      <c r="N500" s="3"/>
      <c r="O500" s="3"/>
      <c r="P500" s="4"/>
      <c r="Q500" s="4"/>
      <c r="R500" s="4"/>
      <c r="S500" s="4"/>
      <c r="U500" s="9"/>
      <c r="X500" s="4"/>
      <c r="Y500" s="4"/>
      <c r="Z500" s="4"/>
      <c r="AA500" s="4"/>
      <c r="AB500" s="4"/>
      <c r="AC500" s="7"/>
      <c r="AD500" s="4"/>
      <c r="AE500" s="4"/>
      <c r="AF500" s="21"/>
    </row>
    <row r="501" spans="4:32" x14ac:dyDescent="0.25">
      <c r="D501" s="1"/>
      <c r="E501" s="2"/>
      <c r="F501" s="3"/>
      <c r="G501" s="3"/>
      <c r="H501" s="3"/>
      <c r="J501" s="3"/>
      <c r="K501" s="3"/>
      <c r="L501" s="4"/>
      <c r="M501" s="4"/>
      <c r="N501" s="3"/>
      <c r="O501" s="3"/>
      <c r="P501" s="4"/>
      <c r="Q501" s="4"/>
      <c r="R501" s="4"/>
      <c r="S501" s="4"/>
      <c r="U501" s="9"/>
      <c r="X501" s="4"/>
      <c r="Y501" s="4"/>
      <c r="Z501" s="4"/>
      <c r="AA501" s="4"/>
      <c r="AB501" s="4"/>
      <c r="AC501" s="7"/>
      <c r="AD501" s="4"/>
      <c r="AE501" s="4"/>
      <c r="AF501" s="21"/>
    </row>
    <row r="502" spans="4:32" x14ac:dyDescent="0.25">
      <c r="D502" s="1"/>
      <c r="E502" s="2"/>
      <c r="F502" s="3"/>
      <c r="G502" s="3"/>
      <c r="H502" s="3"/>
      <c r="J502" s="3"/>
      <c r="K502" s="3"/>
      <c r="L502" s="4"/>
      <c r="M502" s="4"/>
      <c r="N502" s="3"/>
      <c r="O502" s="3"/>
      <c r="P502" s="4"/>
      <c r="Q502" s="4"/>
      <c r="R502" s="4"/>
      <c r="S502" s="4"/>
      <c r="U502" s="9"/>
      <c r="X502" s="4"/>
      <c r="Y502" s="4"/>
      <c r="Z502" s="4"/>
      <c r="AA502" s="4"/>
      <c r="AB502" s="4"/>
      <c r="AC502" s="7"/>
      <c r="AD502" s="4"/>
      <c r="AE502" s="4"/>
      <c r="AF502" s="21"/>
    </row>
    <row r="503" spans="4:32" x14ac:dyDescent="0.25">
      <c r="D503" s="1"/>
      <c r="E503" s="2"/>
      <c r="F503" s="3"/>
      <c r="G503" s="3"/>
      <c r="H503" s="3"/>
      <c r="J503" s="3"/>
      <c r="K503" s="3"/>
      <c r="L503" s="4"/>
      <c r="M503" s="4"/>
      <c r="N503" s="3"/>
      <c r="O503" s="3"/>
      <c r="P503" s="4"/>
      <c r="Q503" s="4"/>
      <c r="R503" s="4"/>
      <c r="S503" s="4"/>
      <c r="U503" s="9"/>
      <c r="X503" s="4"/>
      <c r="Y503" s="4"/>
      <c r="Z503" s="4"/>
      <c r="AA503" s="4"/>
      <c r="AB503" s="4"/>
      <c r="AC503" s="7"/>
      <c r="AD503" s="4"/>
      <c r="AE503" s="4"/>
      <c r="AF503" s="21"/>
    </row>
    <row r="504" spans="4:32" x14ac:dyDescent="0.25">
      <c r="D504" s="1"/>
      <c r="E504" s="2"/>
      <c r="F504" s="3"/>
      <c r="G504" s="3"/>
      <c r="H504" s="3"/>
      <c r="J504" s="3"/>
      <c r="K504" s="3"/>
      <c r="L504" s="4"/>
      <c r="M504" s="4"/>
      <c r="N504" s="3"/>
      <c r="O504" s="3"/>
      <c r="P504" s="4"/>
      <c r="Q504" s="4"/>
      <c r="R504" s="4"/>
      <c r="S504" s="4"/>
      <c r="U504" s="9"/>
      <c r="X504" s="4"/>
      <c r="Y504" s="4"/>
      <c r="Z504" s="4"/>
      <c r="AA504" s="4"/>
      <c r="AB504" s="4"/>
      <c r="AC504" s="7"/>
      <c r="AD504" s="4"/>
      <c r="AE504" s="4"/>
      <c r="AF504" s="21"/>
    </row>
    <row r="505" spans="4:32" x14ac:dyDescent="0.25">
      <c r="D505" s="1"/>
      <c r="E505" s="2"/>
      <c r="F505" s="3"/>
      <c r="G505" s="3"/>
      <c r="H505" s="3"/>
      <c r="J505" s="3"/>
      <c r="K505" s="3"/>
      <c r="L505" s="4"/>
      <c r="M505" s="4"/>
      <c r="N505" s="3"/>
      <c r="O505" s="3"/>
      <c r="P505" s="4"/>
      <c r="Q505" s="4"/>
      <c r="R505" s="4"/>
      <c r="S505" s="4"/>
      <c r="U505" s="9"/>
      <c r="X505" s="4"/>
      <c r="Y505" s="4"/>
      <c r="Z505" s="4"/>
      <c r="AA505" s="4"/>
      <c r="AB505" s="4"/>
      <c r="AC505" s="7"/>
      <c r="AD505" s="4"/>
      <c r="AE505" s="4"/>
      <c r="AF505" s="21"/>
    </row>
    <row r="506" spans="4:32" x14ac:dyDescent="0.25">
      <c r="D506" s="1"/>
      <c r="E506" s="2"/>
      <c r="F506" s="3"/>
      <c r="X506" s="4"/>
      <c r="Y506" s="4"/>
      <c r="Z506" s="4"/>
      <c r="AA506" s="4"/>
      <c r="AB506" s="4"/>
      <c r="AC506" s="7"/>
      <c r="AD506" s="4"/>
      <c r="AE506" s="4"/>
      <c r="AF506" s="21"/>
    </row>
    <row r="507" spans="4:32" x14ac:dyDescent="0.25">
      <c r="X507" s="4"/>
      <c r="Y507" s="4"/>
      <c r="Z507" s="4"/>
      <c r="AA507" s="4"/>
      <c r="AB507" s="4"/>
      <c r="AC507" s="7"/>
      <c r="AD507" s="4"/>
      <c r="AE507" s="4"/>
      <c r="AF507" s="21"/>
    </row>
    <row r="508" spans="4:32" x14ac:dyDescent="0.25">
      <c r="X508" s="4"/>
      <c r="Y508" s="4"/>
      <c r="Z508" s="4"/>
      <c r="AA508" s="4"/>
      <c r="AB508" s="4"/>
      <c r="AC508" s="7"/>
      <c r="AD508" s="4"/>
      <c r="AE508" s="4"/>
      <c r="AF508" s="21"/>
    </row>
    <row r="509" spans="4:32" x14ac:dyDescent="0.25">
      <c r="X509" s="4"/>
      <c r="Y509" s="4"/>
      <c r="Z509" s="4"/>
      <c r="AA509" s="4"/>
      <c r="AB509" s="4"/>
      <c r="AC509" s="7"/>
      <c r="AD509" s="4"/>
      <c r="AE509" s="4"/>
      <c r="AF509" s="21"/>
    </row>
    <row r="510" spans="4:32" x14ac:dyDescent="0.25">
      <c r="X510" s="4"/>
      <c r="Y510" s="4"/>
      <c r="Z510" s="4"/>
      <c r="AA510" s="4"/>
      <c r="AB510" s="4"/>
      <c r="AC510" s="7"/>
      <c r="AD510" s="4"/>
      <c r="AE510" s="4"/>
      <c r="AF510" s="21"/>
    </row>
    <row r="511" spans="4:32" x14ac:dyDescent="0.25">
      <c r="X511" s="4"/>
      <c r="Y511" s="4"/>
      <c r="Z511" s="4"/>
      <c r="AA511" s="4"/>
      <c r="AB511" s="4"/>
      <c r="AC511" s="7"/>
      <c r="AD511" s="4"/>
      <c r="AE511" s="4"/>
      <c r="AF511" s="21"/>
    </row>
    <row r="512" spans="4:32" x14ac:dyDescent="0.25">
      <c r="X512" s="4"/>
      <c r="Y512" s="4"/>
      <c r="Z512" s="4"/>
      <c r="AA512" s="4"/>
      <c r="AB512" s="4"/>
      <c r="AC512" s="7"/>
      <c r="AD512" s="4"/>
      <c r="AE512" s="4"/>
      <c r="AF512" s="21"/>
    </row>
    <row r="513" spans="24:32" x14ac:dyDescent="0.25">
      <c r="X513" s="4"/>
      <c r="Y513" s="4"/>
      <c r="Z513" s="4"/>
      <c r="AA513" s="4"/>
      <c r="AB513" s="4"/>
      <c r="AC513" s="7"/>
      <c r="AD513" s="4"/>
      <c r="AE513" s="4"/>
      <c r="AF513" s="21"/>
    </row>
    <row r="514" spans="24:32" x14ac:dyDescent="0.25">
      <c r="X514" s="4"/>
      <c r="Y514" s="4"/>
      <c r="Z514" s="4"/>
      <c r="AA514" s="4"/>
      <c r="AB514" s="4"/>
      <c r="AC514" s="7"/>
      <c r="AD514" s="4"/>
      <c r="AE514" s="4"/>
      <c r="AF514" s="21"/>
    </row>
    <row r="515" spans="24:32" x14ac:dyDescent="0.25">
      <c r="X515" s="4"/>
      <c r="Y515" s="4"/>
      <c r="Z515" s="4"/>
      <c r="AA515" s="4"/>
      <c r="AB515" s="4"/>
      <c r="AC515" s="7"/>
      <c r="AD515" s="4"/>
      <c r="AE515" s="4"/>
      <c r="AF515" s="21"/>
    </row>
    <row r="516" spans="24:32" x14ac:dyDescent="0.25">
      <c r="X516" s="4"/>
      <c r="Y516" s="4"/>
      <c r="Z516" s="4"/>
      <c r="AA516" s="4"/>
      <c r="AB516" s="4"/>
      <c r="AC516" s="7"/>
      <c r="AD516" s="4"/>
      <c r="AE516" s="4"/>
      <c r="AF516" s="21"/>
    </row>
    <row r="517" spans="24:32" x14ac:dyDescent="0.25">
      <c r="X517" s="4"/>
      <c r="Y517" s="4"/>
      <c r="Z517" s="4"/>
      <c r="AA517" s="4"/>
      <c r="AB517" s="4"/>
      <c r="AC517" s="7"/>
      <c r="AD517" s="4"/>
      <c r="AE517" s="4"/>
      <c r="AF517" s="21"/>
    </row>
    <row r="518" spans="24:32" x14ac:dyDescent="0.25">
      <c r="X518" s="4"/>
      <c r="Y518" s="4"/>
      <c r="Z518" s="4"/>
      <c r="AA518" s="4"/>
      <c r="AB518" s="4"/>
      <c r="AC518" s="7"/>
      <c r="AD518" s="4"/>
      <c r="AE518" s="4"/>
      <c r="AF518" s="21"/>
    </row>
    <row r="519" spans="24:32" x14ac:dyDescent="0.25">
      <c r="X519" s="4"/>
      <c r="Y519" s="4"/>
      <c r="Z519" s="4"/>
      <c r="AA519" s="4"/>
      <c r="AB519" s="4"/>
      <c r="AC519" s="7"/>
      <c r="AD519" s="4"/>
      <c r="AE519" s="4"/>
      <c r="AF519" s="21"/>
    </row>
    <row r="520" spans="24:32" x14ac:dyDescent="0.25">
      <c r="X520" s="4"/>
      <c r="Y520" s="4"/>
      <c r="Z520" s="4"/>
      <c r="AA520" s="4"/>
      <c r="AB520" s="4"/>
      <c r="AC520" s="7"/>
      <c r="AD520" s="4"/>
      <c r="AE520" s="4"/>
      <c r="AF520" s="21"/>
    </row>
    <row r="521" spans="24:32" x14ac:dyDescent="0.25">
      <c r="X521" s="4"/>
      <c r="Y521" s="4"/>
      <c r="Z521" s="4"/>
      <c r="AA521" s="4"/>
      <c r="AB521" s="4"/>
      <c r="AC521" s="7"/>
      <c r="AD521" s="4"/>
      <c r="AE521" s="4"/>
      <c r="AF521" s="21"/>
    </row>
    <row r="522" spans="24:32" x14ac:dyDescent="0.25">
      <c r="X522" s="4"/>
      <c r="Y522" s="4"/>
      <c r="Z522" s="4"/>
      <c r="AA522" s="4"/>
      <c r="AB522" s="4"/>
      <c r="AC522" s="7"/>
      <c r="AD522" s="4"/>
      <c r="AE522" s="4"/>
      <c r="AF522" s="21"/>
    </row>
    <row r="523" spans="24:32" x14ac:dyDescent="0.25">
      <c r="X523" s="4"/>
      <c r="Y523" s="4"/>
      <c r="Z523" s="4"/>
      <c r="AA523" s="4"/>
      <c r="AB523" s="4"/>
      <c r="AC523" s="7"/>
      <c r="AD523" s="4"/>
      <c r="AE523" s="4"/>
      <c r="AF523" s="21"/>
    </row>
    <row r="524" spans="24:32" x14ac:dyDescent="0.25">
      <c r="X524" s="4"/>
      <c r="Y524" s="4"/>
      <c r="Z524" s="4"/>
      <c r="AA524" s="4"/>
      <c r="AB524" s="4"/>
      <c r="AC524" s="7"/>
      <c r="AD524" s="4"/>
      <c r="AE524" s="4"/>
      <c r="AF524" s="21"/>
    </row>
    <row r="525" spans="24:32" x14ac:dyDescent="0.25">
      <c r="X525" s="4"/>
      <c r="Y525" s="4"/>
      <c r="Z525" s="4"/>
      <c r="AA525" s="4"/>
      <c r="AB525" s="4"/>
      <c r="AC525" s="7"/>
      <c r="AD525" s="4"/>
      <c r="AE525" s="4"/>
      <c r="AF525" s="21"/>
    </row>
    <row r="526" spans="24:32" x14ac:dyDescent="0.25">
      <c r="X526" s="4"/>
      <c r="Y526" s="4"/>
      <c r="Z526" s="4"/>
      <c r="AA526" s="4"/>
      <c r="AB526" s="4"/>
      <c r="AC526" s="7"/>
      <c r="AD526" s="4"/>
      <c r="AE526" s="4"/>
      <c r="AF526" s="21"/>
    </row>
    <row r="527" spans="24:32" x14ac:dyDescent="0.25">
      <c r="X527" s="4"/>
      <c r="Y527" s="4"/>
      <c r="Z527" s="4"/>
      <c r="AA527" s="4"/>
      <c r="AB527" s="4"/>
      <c r="AC527" s="7"/>
      <c r="AD527" s="4"/>
      <c r="AE527" s="4"/>
      <c r="AF527" s="21"/>
    </row>
    <row r="528" spans="24:32" x14ac:dyDescent="0.25">
      <c r="X528" s="4"/>
      <c r="Y528" s="4"/>
      <c r="Z528" s="4"/>
      <c r="AA528" s="4"/>
      <c r="AB528" s="4"/>
      <c r="AC528" s="7"/>
      <c r="AD528" s="4"/>
      <c r="AE528" s="4"/>
      <c r="AF528" s="21"/>
    </row>
    <row r="529" spans="24:32" x14ac:dyDescent="0.25">
      <c r="X529" s="4"/>
      <c r="Y529" s="4"/>
      <c r="Z529" s="4"/>
      <c r="AA529" s="4"/>
      <c r="AB529" s="4"/>
      <c r="AC529" s="7"/>
      <c r="AD529" s="4"/>
      <c r="AE529" s="4"/>
      <c r="AF529" s="21"/>
    </row>
    <row r="530" spans="24:32" x14ac:dyDescent="0.25">
      <c r="X530" s="4"/>
      <c r="Y530" s="4"/>
      <c r="Z530" s="4"/>
      <c r="AA530" s="4"/>
      <c r="AB530" s="4"/>
      <c r="AC530" s="7"/>
      <c r="AD530" s="4"/>
      <c r="AE530" s="4"/>
      <c r="AF530" s="21"/>
    </row>
    <row r="531" spans="24:32" x14ac:dyDescent="0.25">
      <c r="X531" s="4"/>
      <c r="Y531" s="4"/>
      <c r="Z531" s="4"/>
      <c r="AA531" s="4"/>
      <c r="AB531" s="4"/>
      <c r="AC531" s="7"/>
      <c r="AD531" s="4"/>
      <c r="AE531" s="4"/>
      <c r="AF531" s="21"/>
    </row>
    <row r="532" spans="24:32" x14ac:dyDescent="0.25">
      <c r="X532" s="4"/>
      <c r="Y532" s="4"/>
      <c r="Z532" s="4"/>
      <c r="AA532" s="4"/>
      <c r="AB532" s="4"/>
      <c r="AC532" s="7"/>
      <c r="AD532" s="4"/>
      <c r="AE532" s="4"/>
      <c r="AF532" s="21"/>
    </row>
    <row r="533" spans="24:32" x14ac:dyDescent="0.25">
      <c r="X533" s="4"/>
      <c r="Y533" s="4"/>
      <c r="Z533" s="4"/>
      <c r="AA533" s="4"/>
      <c r="AB533" s="4"/>
      <c r="AC533" s="7"/>
      <c r="AD533" s="4"/>
      <c r="AE533" s="4"/>
      <c r="AF533" s="21"/>
    </row>
    <row r="534" spans="24:32" x14ac:dyDescent="0.25">
      <c r="X534" s="4"/>
      <c r="Y534" s="4"/>
      <c r="Z534" s="4"/>
      <c r="AA534" s="4"/>
      <c r="AB534" s="4"/>
      <c r="AC534" s="7"/>
      <c r="AD534" s="4"/>
      <c r="AE534" s="4"/>
      <c r="AF534" s="21"/>
    </row>
    <row r="535" spans="24:32" x14ac:dyDescent="0.25">
      <c r="X535" s="4"/>
      <c r="Y535" s="4"/>
      <c r="Z535" s="4"/>
      <c r="AA535" s="4"/>
      <c r="AB535" s="4"/>
      <c r="AC535" s="7"/>
      <c r="AD535" s="4"/>
      <c r="AE535" s="4"/>
      <c r="AF535" s="21"/>
    </row>
    <row r="536" spans="24:32" x14ac:dyDescent="0.25">
      <c r="X536" s="4"/>
      <c r="Y536" s="4"/>
      <c r="Z536" s="4"/>
      <c r="AA536" s="4"/>
      <c r="AB536" s="4"/>
      <c r="AC536" s="7"/>
      <c r="AD536" s="4"/>
      <c r="AE536" s="4"/>
      <c r="AF536" s="21"/>
    </row>
    <row r="537" spans="24:32" x14ac:dyDescent="0.25">
      <c r="X537" s="4"/>
      <c r="Y537" s="4"/>
      <c r="Z537" s="4"/>
      <c r="AA537" s="4"/>
      <c r="AB537" s="4"/>
      <c r="AC537" s="7"/>
      <c r="AD537" s="4"/>
      <c r="AE537" s="4"/>
      <c r="AF537" s="21"/>
    </row>
    <row r="538" spans="24:32" x14ac:dyDescent="0.25">
      <c r="X538" s="4"/>
      <c r="Y538" s="4"/>
      <c r="Z538" s="4"/>
      <c r="AA538" s="4"/>
      <c r="AB538" s="4"/>
      <c r="AC538" s="7"/>
      <c r="AD538" s="4"/>
      <c r="AE538" s="4"/>
      <c r="AF538" s="21"/>
    </row>
    <row r="539" spans="24:32" x14ac:dyDescent="0.25">
      <c r="X539" s="4"/>
      <c r="Y539" s="4"/>
      <c r="Z539" s="4"/>
      <c r="AA539" s="4"/>
      <c r="AB539" s="4"/>
      <c r="AC539" s="7"/>
      <c r="AD539" s="4"/>
      <c r="AE539" s="4"/>
      <c r="AF539" s="21"/>
    </row>
    <row r="540" spans="24:32" x14ac:dyDescent="0.25">
      <c r="X540" s="4"/>
      <c r="Y540" s="4"/>
      <c r="Z540" s="4"/>
      <c r="AA540" s="4"/>
      <c r="AB540" s="4"/>
      <c r="AC540" s="7"/>
      <c r="AD540" s="4"/>
      <c r="AE540" s="4"/>
      <c r="AF540" s="21"/>
    </row>
    <row r="541" spans="24:32" x14ac:dyDescent="0.25">
      <c r="X541" s="4"/>
      <c r="Y541" s="4"/>
      <c r="Z541" s="4"/>
      <c r="AA541" s="4"/>
      <c r="AB541" s="4"/>
      <c r="AC541" s="7"/>
      <c r="AD541" s="4"/>
      <c r="AE541" s="4"/>
      <c r="AF541" s="21"/>
    </row>
    <row r="542" spans="24:32" x14ac:dyDescent="0.25">
      <c r="X542" s="4"/>
      <c r="Y542" s="4"/>
      <c r="Z542" s="4"/>
      <c r="AA542" s="4"/>
      <c r="AB542" s="4"/>
      <c r="AC542" s="7"/>
      <c r="AD542" s="4"/>
      <c r="AE542" s="4"/>
      <c r="AF542" s="21"/>
    </row>
    <row r="543" spans="24:32" x14ac:dyDescent="0.25">
      <c r="X543" s="4"/>
      <c r="Y543" s="4"/>
      <c r="Z543" s="4"/>
      <c r="AA543" s="4"/>
      <c r="AB543" s="4"/>
      <c r="AC543" s="7"/>
      <c r="AD543" s="4"/>
      <c r="AE543" s="4"/>
      <c r="AF543" s="21"/>
    </row>
    <row r="544" spans="24:32" x14ac:dyDescent="0.25">
      <c r="X544" s="4"/>
      <c r="Y544" s="4"/>
      <c r="Z544" s="4"/>
      <c r="AA544" s="4"/>
      <c r="AB544" s="4"/>
      <c r="AC544" s="7"/>
      <c r="AD544" s="4"/>
      <c r="AE544" s="4"/>
      <c r="AF544" s="21"/>
    </row>
    <row r="545" spans="24:32" x14ac:dyDescent="0.25">
      <c r="X545" s="4"/>
      <c r="Y545" s="4"/>
      <c r="Z545" s="4"/>
      <c r="AA545" s="4"/>
      <c r="AB545" s="4"/>
      <c r="AC545" s="7"/>
      <c r="AD545" s="4"/>
      <c r="AE545" s="4"/>
      <c r="AF545" s="21"/>
    </row>
    <row r="546" spans="24:32" x14ac:dyDescent="0.25">
      <c r="X546" s="4"/>
      <c r="Y546" s="4"/>
      <c r="Z546" s="4"/>
      <c r="AA546" s="4"/>
      <c r="AB546" s="4"/>
      <c r="AC546" s="7"/>
      <c r="AD546" s="4"/>
      <c r="AE546" s="4"/>
      <c r="AF546" s="21"/>
    </row>
    <row r="547" spans="24:32" x14ac:dyDescent="0.25">
      <c r="X547" s="4"/>
      <c r="Y547" s="4"/>
      <c r="Z547" s="4"/>
      <c r="AA547" s="4"/>
      <c r="AB547" s="4"/>
      <c r="AC547" s="7"/>
      <c r="AD547" s="4"/>
      <c r="AE547" s="4"/>
      <c r="AF547" s="21"/>
    </row>
    <row r="548" spans="24:32" x14ac:dyDescent="0.25">
      <c r="X548" s="4"/>
      <c r="Y548" s="4"/>
      <c r="Z548" s="4"/>
      <c r="AA548" s="4"/>
      <c r="AB548" s="4"/>
      <c r="AC548" s="7"/>
      <c r="AD548" s="4"/>
      <c r="AE548" s="4"/>
      <c r="AF548" s="21"/>
    </row>
    <row r="549" spans="24:32" x14ac:dyDescent="0.25">
      <c r="X549" s="4"/>
      <c r="Y549" s="4"/>
      <c r="Z549" s="4"/>
      <c r="AA549" s="4"/>
      <c r="AB549" s="4"/>
      <c r="AC549" s="7"/>
      <c r="AD549" s="4"/>
      <c r="AE549" s="4"/>
      <c r="AF549" s="21"/>
    </row>
    <row r="550" spans="24:32" x14ac:dyDescent="0.25">
      <c r="X550" s="4"/>
      <c r="Y550" s="4"/>
      <c r="Z550" s="4"/>
      <c r="AA550" s="4"/>
      <c r="AB550" s="4"/>
      <c r="AC550" s="7"/>
      <c r="AD550" s="4"/>
      <c r="AE550" s="4"/>
      <c r="AF550" s="21"/>
    </row>
    <row r="551" spans="24:32" x14ac:dyDescent="0.25">
      <c r="X551" s="4"/>
      <c r="Y551" s="4"/>
      <c r="Z551" s="4"/>
      <c r="AA551" s="4"/>
      <c r="AB551" s="4"/>
      <c r="AC551" s="7"/>
      <c r="AD551" s="4"/>
      <c r="AE551" s="4"/>
      <c r="AF551" s="21"/>
    </row>
    <row r="552" spans="24:32" x14ac:dyDescent="0.25">
      <c r="X552" s="4"/>
      <c r="Y552" s="4"/>
      <c r="Z552" s="4"/>
      <c r="AA552" s="4"/>
      <c r="AB552" s="4"/>
      <c r="AC552" s="7"/>
      <c r="AD552" s="4"/>
      <c r="AE552" s="4"/>
      <c r="AF552" s="21"/>
    </row>
    <row r="553" spans="24:32" x14ac:dyDescent="0.25">
      <c r="X553" s="4"/>
      <c r="Y553" s="4"/>
      <c r="Z553" s="4"/>
      <c r="AA553" s="4"/>
      <c r="AB553" s="4"/>
      <c r="AC553" s="7"/>
      <c r="AD553" s="4"/>
      <c r="AE553" s="4"/>
      <c r="AF553" s="21"/>
    </row>
    <row r="554" spans="24:32" x14ac:dyDescent="0.25">
      <c r="X554" s="4"/>
      <c r="Y554" s="4"/>
      <c r="Z554" s="4"/>
      <c r="AA554" s="4"/>
      <c r="AB554" s="4"/>
      <c r="AC554" s="7"/>
      <c r="AD554" s="4"/>
      <c r="AE554" s="4"/>
      <c r="AF554" s="21"/>
    </row>
    <row r="555" spans="24:32" x14ac:dyDescent="0.25">
      <c r="X555" s="4"/>
      <c r="Y555" s="4"/>
      <c r="Z555" s="4"/>
      <c r="AA555" s="4"/>
      <c r="AB555" s="4"/>
      <c r="AC555" s="7"/>
      <c r="AD555" s="4"/>
      <c r="AE555" s="4"/>
      <c r="AF555" s="21"/>
    </row>
    <row r="556" spans="24:32" x14ac:dyDescent="0.25">
      <c r="X556" s="4"/>
      <c r="Y556" s="4"/>
      <c r="Z556" s="4"/>
      <c r="AA556" s="4"/>
      <c r="AB556" s="4"/>
      <c r="AC556" s="7"/>
      <c r="AD556" s="4"/>
      <c r="AE556" s="4"/>
      <c r="AF556" s="21"/>
    </row>
    <row r="557" spans="24:32" x14ac:dyDescent="0.25">
      <c r="X557" s="4"/>
      <c r="Y557" s="4"/>
      <c r="Z557" s="4"/>
      <c r="AA557" s="4"/>
      <c r="AB557" s="4"/>
      <c r="AC557" s="7"/>
      <c r="AD557" s="4"/>
      <c r="AE557" s="4"/>
      <c r="AF557" s="21"/>
    </row>
    <row r="558" spans="24:32" x14ac:dyDescent="0.25">
      <c r="X558" s="4"/>
      <c r="Y558" s="4"/>
      <c r="Z558" s="4"/>
      <c r="AA558" s="4"/>
      <c r="AB558" s="4"/>
      <c r="AC558" s="7"/>
      <c r="AD558" s="4"/>
      <c r="AE558" s="4"/>
      <c r="AF558" s="21"/>
    </row>
    <row r="559" spans="24:32" x14ac:dyDescent="0.25">
      <c r="X559" s="4"/>
      <c r="Y559" s="4"/>
      <c r="Z559" s="4"/>
      <c r="AA559" s="4"/>
      <c r="AB559" s="4"/>
      <c r="AC559" s="7"/>
      <c r="AD559" s="4"/>
      <c r="AE559" s="4"/>
      <c r="AF559" s="21"/>
    </row>
    <row r="560" spans="24:32" x14ac:dyDescent="0.25">
      <c r="X560" s="4"/>
      <c r="Y560" s="4"/>
      <c r="Z560" s="4"/>
      <c r="AA560" s="4"/>
      <c r="AB560" s="4"/>
      <c r="AC560" s="7"/>
      <c r="AD560" s="4"/>
      <c r="AE560" s="4"/>
      <c r="AF560" s="21"/>
    </row>
    <row r="561" spans="24:32" x14ac:dyDescent="0.25">
      <c r="X561" s="4"/>
      <c r="Y561" s="4"/>
      <c r="Z561" s="4"/>
      <c r="AA561" s="4"/>
      <c r="AB561" s="4"/>
      <c r="AC561" s="7"/>
      <c r="AD561" s="4"/>
      <c r="AE561" s="4"/>
      <c r="AF561" s="21"/>
    </row>
    <row r="562" spans="24:32" x14ac:dyDescent="0.25">
      <c r="X562" s="4"/>
      <c r="Y562" s="4"/>
      <c r="Z562" s="4"/>
      <c r="AA562" s="4"/>
      <c r="AB562" s="4"/>
      <c r="AC562" s="7"/>
      <c r="AD562" s="4"/>
      <c r="AE562" s="4"/>
      <c r="AF562" s="21"/>
    </row>
    <row r="563" spans="24:32" x14ac:dyDescent="0.25">
      <c r="X563" s="4"/>
      <c r="Y563" s="4"/>
      <c r="Z563" s="4"/>
      <c r="AA563" s="4"/>
      <c r="AB563" s="4"/>
      <c r="AC563" s="7"/>
      <c r="AD563" s="4"/>
      <c r="AE563" s="4"/>
      <c r="AF563" s="21"/>
    </row>
    <row r="564" spans="24:32" x14ac:dyDescent="0.25">
      <c r="X564" s="4"/>
      <c r="Y564" s="4"/>
      <c r="Z564" s="4"/>
      <c r="AA564" s="4"/>
      <c r="AB564" s="4"/>
      <c r="AC564" s="7"/>
      <c r="AD564" s="4"/>
      <c r="AE564" s="4"/>
      <c r="AF564" s="21"/>
    </row>
    <row r="565" spans="24:32" x14ac:dyDescent="0.25">
      <c r="X565" s="4"/>
      <c r="Y565" s="4"/>
      <c r="Z565" s="4"/>
      <c r="AA565" s="4"/>
      <c r="AB565" s="4"/>
      <c r="AC565" s="7"/>
      <c r="AD565" s="4"/>
      <c r="AE565" s="4"/>
      <c r="AF565" s="21"/>
    </row>
    <row r="566" spans="24:32" x14ac:dyDescent="0.25">
      <c r="X566" s="4"/>
      <c r="Y566" s="4"/>
      <c r="Z566" s="4"/>
      <c r="AA566" s="4"/>
      <c r="AB566" s="4"/>
      <c r="AC566" s="7"/>
      <c r="AD566" s="4"/>
      <c r="AE566" s="4"/>
      <c r="AF566" s="21"/>
    </row>
    <row r="567" spans="24:32" x14ac:dyDescent="0.25">
      <c r="X567" s="4"/>
      <c r="Y567" s="4"/>
      <c r="Z567" s="4"/>
      <c r="AA567" s="4"/>
      <c r="AB567" s="4"/>
      <c r="AC567" s="7"/>
      <c r="AD567" s="4"/>
      <c r="AE567" s="4"/>
      <c r="AF567" s="21"/>
    </row>
    <row r="568" spans="24:32" x14ac:dyDescent="0.25">
      <c r="X568" s="4"/>
      <c r="Y568" s="4"/>
      <c r="Z568" s="4"/>
      <c r="AA568" s="4"/>
      <c r="AB568" s="4"/>
      <c r="AC568" s="7"/>
      <c r="AD568" s="4"/>
      <c r="AE568" s="4"/>
      <c r="AF568" s="21"/>
    </row>
    <row r="569" spans="24:32" x14ac:dyDescent="0.25">
      <c r="X569" s="4"/>
      <c r="Y569" s="4"/>
      <c r="Z569" s="4"/>
      <c r="AA569" s="4"/>
      <c r="AB569" s="4"/>
      <c r="AC569" s="7"/>
      <c r="AD569" s="4"/>
      <c r="AE569" s="4"/>
      <c r="AF569" s="21"/>
    </row>
    <row r="570" spans="24:32" x14ac:dyDescent="0.25">
      <c r="X570" s="4"/>
      <c r="Y570" s="4"/>
      <c r="Z570" s="4"/>
      <c r="AA570" s="4"/>
      <c r="AB570" s="4"/>
      <c r="AC570" s="7"/>
      <c r="AD570" s="4"/>
      <c r="AE570" s="4"/>
      <c r="AF570" s="21"/>
    </row>
    <row r="571" spans="24:32" x14ac:dyDescent="0.25">
      <c r="X571" s="4"/>
      <c r="Y571" s="4"/>
      <c r="Z571" s="4"/>
      <c r="AA571" s="4"/>
      <c r="AB571" s="4"/>
      <c r="AC571" s="7"/>
      <c r="AD571" s="4"/>
      <c r="AE571" s="4"/>
      <c r="AF571" s="21"/>
    </row>
    <row r="572" spans="24:32" x14ac:dyDescent="0.25">
      <c r="X572" s="4"/>
      <c r="Y572" s="4"/>
      <c r="Z572" s="4"/>
      <c r="AA572" s="4"/>
      <c r="AB572" s="4"/>
      <c r="AC572" s="7"/>
      <c r="AD572" s="4"/>
      <c r="AE572" s="4"/>
      <c r="AF572" s="21"/>
    </row>
    <row r="573" spans="24:32" x14ac:dyDescent="0.25">
      <c r="X573" s="4"/>
      <c r="Y573" s="4"/>
      <c r="Z573" s="4"/>
      <c r="AA573" s="4"/>
      <c r="AB573" s="4"/>
      <c r="AC573" s="7"/>
      <c r="AD573" s="4"/>
      <c r="AE573" s="4"/>
      <c r="AF573" s="21"/>
    </row>
    <row r="574" spans="24:32" x14ac:dyDescent="0.25">
      <c r="X574" s="4"/>
      <c r="Y574" s="4"/>
      <c r="Z574" s="4"/>
      <c r="AA574" s="4"/>
      <c r="AB574" s="4"/>
      <c r="AC574" s="7"/>
      <c r="AD574" s="4"/>
      <c r="AE574" s="4"/>
      <c r="AF574" s="21"/>
    </row>
    <row r="575" spans="24:32" x14ac:dyDescent="0.25">
      <c r="X575" s="4"/>
      <c r="Y575" s="4"/>
      <c r="Z575" s="4"/>
      <c r="AA575" s="4"/>
      <c r="AB575" s="4"/>
      <c r="AC575" s="7"/>
      <c r="AD575" s="4"/>
      <c r="AE575" s="4"/>
      <c r="AF575" s="21"/>
    </row>
    <row r="576" spans="24:32" x14ac:dyDescent="0.25">
      <c r="X576" s="4"/>
      <c r="Y576" s="4"/>
      <c r="Z576" s="4"/>
      <c r="AA576" s="4"/>
      <c r="AB576" s="4"/>
      <c r="AC576" s="7"/>
      <c r="AD576" s="4"/>
      <c r="AE576" s="4"/>
      <c r="AF576" s="21"/>
    </row>
    <row r="577" spans="24:32" x14ac:dyDescent="0.25">
      <c r="X577" s="4"/>
      <c r="Y577" s="4"/>
      <c r="Z577" s="4"/>
      <c r="AA577" s="4"/>
      <c r="AB577" s="4"/>
      <c r="AC577" s="7"/>
      <c r="AD577" s="4"/>
      <c r="AE577" s="4"/>
      <c r="AF577" s="21"/>
    </row>
    <row r="578" spans="24:32" x14ac:dyDescent="0.25">
      <c r="X578" s="4"/>
      <c r="Y578" s="4"/>
      <c r="Z578" s="4"/>
      <c r="AA578" s="4"/>
      <c r="AB578" s="4"/>
      <c r="AC578" s="7"/>
      <c r="AD578" s="4"/>
      <c r="AE578" s="4"/>
      <c r="AF578" s="21"/>
    </row>
    <row r="579" spans="24:32" x14ac:dyDescent="0.25">
      <c r="X579" s="4"/>
      <c r="Y579" s="4"/>
      <c r="Z579" s="4"/>
      <c r="AA579" s="4"/>
      <c r="AB579" s="4"/>
      <c r="AC579" s="7"/>
      <c r="AD579" s="4"/>
      <c r="AE579" s="4"/>
      <c r="AF579" s="21"/>
    </row>
    <row r="580" spans="24:32" x14ac:dyDescent="0.25">
      <c r="X580" s="4"/>
      <c r="Y580" s="4"/>
      <c r="Z580" s="4"/>
      <c r="AA580" s="4"/>
      <c r="AB580" s="4"/>
      <c r="AC580" s="7"/>
      <c r="AD580" s="4"/>
      <c r="AE580" s="4"/>
      <c r="AF580" s="21"/>
    </row>
    <row r="581" spans="24:32" x14ac:dyDescent="0.25">
      <c r="X581" s="4"/>
      <c r="Y581" s="4"/>
      <c r="Z581" s="4"/>
      <c r="AA581" s="4"/>
      <c r="AB581" s="4"/>
      <c r="AC581" s="7"/>
      <c r="AD581" s="4"/>
      <c r="AE581" s="4"/>
      <c r="AF581" s="21"/>
    </row>
    <row r="582" spans="24:32" x14ac:dyDescent="0.25">
      <c r="X582" s="4"/>
      <c r="Y582" s="4"/>
      <c r="Z582" s="4"/>
      <c r="AA582" s="4"/>
      <c r="AB582" s="4"/>
      <c r="AC582" s="7"/>
      <c r="AD582" s="4"/>
      <c r="AE582" s="4"/>
      <c r="AF582" s="21"/>
    </row>
    <row r="583" spans="24:32" x14ac:dyDescent="0.25">
      <c r="X583" s="4"/>
      <c r="Y583" s="4"/>
      <c r="Z583" s="4"/>
      <c r="AA583" s="4"/>
      <c r="AB583" s="4"/>
      <c r="AC583" s="7"/>
      <c r="AD583" s="4"/>
      <c r="AE583" s="4"/>
      <c r="AF583" s="21"/>
    </row>
    <row r="584" spans="24:32" x14ac:dyDescent="0.25">
      <c r="X584" s="4"/>
      <c r="Y584" s="4"/>
      <c r="Z584" s="4"/>
      <c r="AA584" s="4"/>
      <c r="AB584" s="4"/>
      <c r="AC584" s="7"/>
      <c r="AD584" s="4"/>
      <c r="AE584" s="4"/>
      <c r="AF584" s="21"/>
    </row>
    <row r="585" spans="24:32" x14ac:dyDescent="0.25">
      <c r="X585" s="4"/>
      <c r="Y585" s="4"/>
      <c r="Z585" s="4"/>
      <c r="AA585" s="4"/>
      <c r="AB585" s="4"/>
      <c r="AC585" s="7"/>
      <c r="AD585" s="4"/>
      <c r="AE585" s="4"/>
      <c r="AF585" s="21"/>
    </row>
    <row r="586" spans="24:32" x14ac:dyDescent="0.25">
      <c r="X586" s="4"/>
      <c r="Y586" s="4"/>
      <c r="Z586" s="4"/>
      <c r="AA586" s="4"/>
      <c r="AB586" s="4"/>
      <c r="AC586" s="7"/>
      <c r="AD586" s="4"/>
      <c r="AE586" s="4"/>
      <c r="AF586" s="21"/>
    </row>
    <row r="587" spans="24:32" x14ac:dyDescent="0.25">
      <c r="X587" s="4"/>
      <c r="Y587" s="4"/>
      <c r="Z587" s="4"/>
      <c r="AA587" s="4"/>
      <c r="AB587" s="4"/>
      <c r="AC587" s="7"/>
      <c r="AD587" s="4"/>
      <c r="AE587" s="4"/>
      <c r="AF587" s="21"/>
    </row>
    <row r="588" spans="24:32" x14ac:dyDescent="0.25">
      <c r="X588" s="4"/>
      <c r="Y588" s="4"/>
      <c r="Z588" s="4"/>
      <c r="AA588" s="4"/>
      <c r="AB588" s="4"/>
      <c r="AC588" s="7"/>
      <c r="AD588" s="4"/>
      <c r="AE588" s="4"/>
      <c r="AF588" s="21"/>
    </row>
    <row r="589" spans="24:32" x14ac:dyDescent="0.25">
      <c r="X589" s="4"/>
      <c r="Y589" s="4"/>
      <c r="Z589" s="4"/>
      <c r="AA589" s="4"/>
      <c r="AB589" s="4"/>
      <c r="AC589" s="7"/>
      <c r="AD589" s="4"/>
      <c r="AE589" s="4"/>
      <c r="AF589" s="21"/>
    </row>
    <row r="590" spans="24:32" x14ac:dyDescent="0.25">
      <c r="X590" s="4"/>
      <c r="Y590" s="4"/>
      <c r="Z590" s="4"/>
      <c r="AA590" s="4"/>
      <c r="AB590" s="4"/>
      <c r="AC590" s="7"/>
      <c r="AD590" s="4"/>
      <c r="AE590" s="4"/>
      <c r="AF590" s="21"/>
    </row>
    <row r="591" spans="24:32" x14ac:dyDescent="0.25">
      <c r="X591" s="4"/>
      <c r="Y591" s="4"/>
      <c r="Z591" s="4"/>
      <c r="AA591" s="4"/>
      <c r="AB591" s="4"/>
      <c r="AC591" s="7"/>
      <c r="AD591" s="4"/>
      <c r="AE591" s="4"/>
      <c r="AF591" s="21"/>
    </row>
    <row r="592" spans="24:32" x14ac:dyDescent="0.25">
      <c r="X592" s="4"/>
      <c r="Y592" s="4"/>
      <c r="Z592" s="4"/>
      <c r="AA592" s="4"/>
      <c r="AB592" s="4"/>
      <c r="AC592" s="7"/>
      <c r="AD592" s="4"/>
      <c r="AE592" s="4"/>
      <c r="AF592" s="21"/>
    </row>
    <row r="593" spans="24:32" x14ac:dyDescent="0.25">
      <c r="X593" s="4"/>
      <c r="Y593" s="4"/>
      <c r="Z593" s="4"/>
      <c r="AA593" s="4"/>
      <c r="AB593" s="4"/>
      <c r="AC593" s="7"/>
      <c r="AD593" s="4"/>
      <c r="AE593" s="4"/>
      <c r="AF593" s="21"/>
    </row>
    <row r="594" spans="24:32" x14ac:dyDescent="0.25">
      <c r="X594" s="4"/>
      <c r="Y594" s="4"/>
      <c r="Z594" s="4"/>
      <c r="AA594" s="4"/>
      <c r="AB594" s="4"/>
      <c r="AC594" s="7"/>
      <c r="AD594" s="4"/>
      <c r="AE594" s="4"/>
      <c r="AF594" s="21"/>
    </row>
    <row r="595" spans="24:32" x14ac:dyDescent="0.25">
      <c r="X595" s="4"/>
      <c r="Y595" s="4"/>
      <c r="Z595" s="4"/>
      <c r="AA595" s="4"/>
      <c r="AB595" s="4"/>
      <c r="AC595" s="7"/>
      <c r="AD595" s="4"/>
      <c r="AE595" s="4"/>
      <c r="AF595" s="21"/>
    </row>
    <row r="596" spans="24:32" x14ac:dyDescent="0.25">
      <c r="X596" s="4"/>
      <c r="Y596" s="4"/>
      <c r="Z596" s="4"/>
      <c r="AA596" s="4"/>
      <c r="AB596" s="4"/>
      <c r="AC596" s="7"/>
      <c r="AD596" s="4"/>
      <c r="AE596" s="4"/>
      <c r="AF596" s="21"/>
    </row>
    <row r="597" spans="24:32" x14ac:dyDescent="0.25">
      <c r="X597" s="4"/>
      <c r="Y597" s="4"/>
      <c r="Z597" s="4"/>
      <c r="AA597" s="4"/>
      <c r="AB597" s="4"/>
      <c r="AC597" s="7"/>
      <c r="AD597" s="4"/>
      <c r="AE597" s="4"/>
      <c r="AF597" s="21"/>
    </row>
    <row r="598" spans="24:32" x14ac:dyDescent="0.25">
      <c r="X598" s="4"/>
      <c r="Y598" s="4"/>
      <c r="Z598" s="4"/>
      <c r="AA598" s="4"/>
      <c r="AB598" s="4"/>
      <c r="AC598" s="7"/>
      <c r="AD598" s="4"/>
      <c r="AE598" s="4"/>
      <c r="AF598" s="21"/>
    </row>
    <row r="599" spans="24:32" x14ac:dyDescent="0.25">
      <c r="X599" s="4"/>
      <c r="Y599" s="4"/>
      <c r="Z599" s="4"/>
      <c r="AA599" s="4"/>
      <c r="AB599" s="4"/>
      <c r="AC599" s="7"/>
      <c r="AD599" s="4"/>
      <c r="AE599" s="4"/>
      <c r="AF599" s="21"/>
    </row>
    <row r="600" spans="24:32" x14ac:dyDescent="0.25">
      <c r="X600" s="4"/>
      <c r="Y600" s="4"/>
      <c r="Z600" s="4"/>
      <c r="AA600" s="4"/>
      <c r="AB600" s="4"/>
      <c r="AC600" s="7"/>
      <c r="AD600" s="4"/>
      <c r="AE600" s="4"/>
      <c r="AF600" s="21"/>
    </row>
    <row r="601" spans="24:32" x14ac:dyDescent="0.25">
      <c r="X601" s="4"/>
      <c r="Y601" s="4"/>
      <c r="Z601" s="4"/>
      <c r="AA601" s="4"/>
      <c r="AB601" s="4"/>
      <c r="AC601" s="7"/>
      <c r="AD601" s="4"/>
      <c r="AE601" s="4"/>
      <c r="AF601" s="21"/>
    </row>
    <row r="602" spans="24:32" x14ac:dyDescent="0.25">
      <c r="X602" s="4"/>
      <c r="Y602" s="4"/>
      <c r="Z602" s="4"/>
      <c r="AA602" s="4"/>
      <c r="AB602" s="4"/>
      <c r="AC602" s="7"/>
      <c r="AD602" s="4"/>
      <c r="AE602" s="4"/>
      <c r="AF602" s="21"/>
    </row>
    <row r="603" spans="24:32" x14ac:dyDescent="0.25">
      <c r="X603" s="4"/>
      <c r="Y603" s="4"/>
      <c r="Z603" s="4"/>
      <c r="AA603" s="4"/>
      <c r="AB603" s="4"/>
      <c r="AC603" s="7"/>
      <c r="AD603" s="4"/>
      <c r="AE603" s="4"/>
      <c r="AF603" s="21"/>
    </row>
    <row r="604" spans="24:32" x14ac:dyDescent="0.25">
      <c r="X604" s="4"/>
      <c r="Y604" s="4"/>
      <c r="Z604" s="4"/>
      <c r="AA604" s="4"/>
      <c r="AB604" s="4"/>
      <c r="AC604" s="7"/>
      <c r="AD604" s="4"/>
      <c r="AE604" s="4"/>
      <c r="AF604" s="21"/>
    </row>
    <row r="605" spans="24:32" x14ac:dyDescent="0.25">
      <c r="X605" s="4"/>
      <c r="Y605" s="4"/>
      <c r="Z605" s="4"/>
      <c r="AA605" s="4"/>
      <c r="AB605" s="4"/>
      <c r="AC605" s="7"/>
      <c r="AD605" s="4"/>
      <c r="AE605" s="4"/>
      <c r="AF605" s="21"/>
    </row>
    <row r="606" spans="24:32" x14ac:dyDescent="0.25">
      <c r="X606" s="4"/>
      <c r="Y606" s="4"/>
      <c r="Z606" s="4"/>
      <c r="AA606" s="4"/>
      <c r="AB606" s="4"/>
      <c r="AC606" s="7"/>
      <c r="AD606" s="4"/>
      <c r="AE606" s="4"/>
      <c r="AF606" s="21"/>
    </row>
    <row r="607" spans="24:32" x14ac:dyDescent="0.25">
      <c r="X607" s="4"/>
      <c r="Y607" s="4"/>
      <c r="Z607" s="4"/>
      <c r="AA607" s="4"/>
      <c r="AB607" s="4"/>
      <c r="AC607" s="7"/>
      <c r="AD607" s="4"/>
      <c r="AE607" s="4"/>
      <c r="AF607" s="21"/>
    </row>
    <row r="608" spans="24:32" x14ac:dyDescent="0.25">
      <c r="X608" s="4"/>
      <c r="Y608" s="4"/>
      <c r="Z608" s="4"/>
      <c r="AA608" s="4"/>
      <c r="AB608" s="4"/>
      <c r="AC608" s="7"/>
      <c r="AD608" s="4"/>
      <c r="AE608" s="4"/>
      <c r="AF608" s="21"/>
    </row>
    <row r="609" spans="24:32" x14ac:dyDescent="0.25">
      <c r="X609" s="4"/>
      <c r="Y609" s="4"/>
      <c r="Z609" s="4"/>
      <c r="AA609" s="4"/>
      <c r="AB609" s="4"/>
      <c r="AC609" s="7"/>
      <c r="AD609" s="4"/>
      <c r="AE609" s="4"/>
      <c r="AF609" s="21"/>
    </row>
    <row r="610" spans="24:32" x14ac:dyDescent="0.25">
      <c r="X610" s="4"/>
      <c r="Y610" s="4"/>
      <c r="Z610" s="4"/>
      <c r="AA610" s="4"/>
      <c r="AB610" s="4"/>
      <c r="AC610" s="7"/>
      <c r="AD610" s="4"/>
      <c r="AE610" s="4"/>
      <c r="AF610" s="21"/>
    </row>
    <row r="611" spans="24:32" x14ac:dyDescent="0.25">
      <c r="X611" s="4"/>
      <c r="Y611" s="4"/>
      <c r="Z611" s="4"/>
      <c r="AA611" s="4"/>
      <c r="AB611" s="4"/>
      <c r="AC611" s="7"/>
      <c r="AD611" s="4"/>
      <c r="AE611" s="4"/>
      <c r="AF611" s="21"/>
    </row>
    <row r="612" spans="24:32" x14ac:dyDescent="0.25">
      <c r="X612" s="4"/>
      <c r="Y612" s="4"/>
      <c r="Z612" s="4"/>
      <c r="AA612" s="4"/>
      <c r="AB612" s="4"/>
      <c r="AC612" s="7"/>
      <c r="AD612" s="4"/>
      <c r="AE612" s="4"/>
      <c r="AF612" s="21"/>
    </row>
    <row r="613" spans="24:32" x14ac:dyDescent="0.25">
      <c r="X613" s="4"/>
      <c r="Y613" s="4"/>
      <c r="Z613" s="4"/>
      <c r="AA613" s="4"/>
      <c r="AB613" s="4"/>
      <c r="AC613" s="7"/>
      <c r="AD613" s="4"/>
      <c r="AE613" s="4"/>
      <c r="AF613" s="21"/>
    </row>
    <row r="614" spans="24:32" x14ac:dyDescent="0.25">
      <c r="X614" s="4"/>
      <c r="Y614" s="4"/>
      <c r="Z614" s="4"/>
      <c r="AA614" s="4"/>
      <c r="AB614" s="4"/>
      <c r="AC614" s="7"/>
      <c r="AD614" s="4"/>
      <c r="AE614" s="4"/>
      <c r="AF614" s="21"/>
    </row>
    <row r="615" spans="24:32" x14ac:dyDescent="0.25">
      <c r="X615" s="4"/>
      <c r="Y615" s="4"/>
      <c r="Z615" s="4"/>
      <c r="AA615" s="4"/>
      <c r="AB615" s="4"/>
      <c r="AC615" s="7"/>
      <c r="AD615" s="4"/>
      <c r="AE615" s="4"/>
      <c r="AF615" s="21"/>
    </row>
    <row r="616" spans="24:32" x14ac:dyDescent="0.25">
      <c r="X616" s="4"/>
      <c r="Y616" s="4"/>
      <c r="Z616" s="4"/>
      <c r="AA616" s="4"/>
      <c r="AB616" s="4"/>
      <c r="AC616" s="7"/>
      <c r="AD616" s="4"/>
      <c r="AE616" s="4"/>
      <c r="AF616" s="21"/>
    </row>
    <row r="617" spans="24:32" x14ac:dyDescent="0.25">
      <c r="X617" s="4"/>
      <c r="Y617" s="4"/>
      <c r="Z617" s="4"/>
      <c r="AA617" s="4"/>
      <c r="AB617" s="4"/>
      <c r="AC617" s="7"/>
      <c r="AD617" s="4"/>
      <c r="AE617" s="4"/>
      <c r="AF617" s="21"/>
    </row>
    <row r="618" spans="24:32" x14ac:dyDescent="0.25">
      <c r="X618" s="4"/>
      <c r="Y618" s="4"/>
      <c r="Z618" s="4"/>
      <c r="AA618" s="4"/>
      <c r="AB618" s="4"/>
      <c r="AC618" s="7"/>
      <c r="AD618" s="4"/>
      <c r="AE618" s="4"/>
      <c r="AF618" s="21"/>
    </row>
    <row r="619" spans="24:32" x14ac:dyDescent="0.25">
      <c r="X619" s="4"/>
      <c r="Y619" s="4"/>
      <c r="Z619" s="4"/>
      <c r="AA619" s="4"/>
      <c r="AB619" s="4"/>
      <c r="AC619" s="7"/>
      <c r="AD619" s="4"/>
      <c r="AE619" s="4"/>
      <c r="AF619" s="21"/>
    </row>
    <row r="620" spans="24:32" x14ac:dyDescent="0.25">
      <c r="X620" s="4"/>
      <c r="Y620" s="4"/>
      <c r="Z620" s="4"/>
      <c r="AA620" s="4"/>
      <c r="AB620" s="4"/>
      <c r="AC620" s="7"/>
      <c r="AD620" s="4"/>
      <c r="AE620" s="4"/>
      <c r="AF620" s="21"/>
    </row>
    <row r="621" spans="24:32" x14ac:dyDescent="0.25">
      <c r="X621" s="4"/>
      <c r="Y621" s="4"/>
      <c r="Z621" s="4"/>
      <c r="AA621" s="4"/>
      <c r="AB621" s="4"/>
      <c r="AC621" s="7"/>
      <c r="AD621" s="4"/>
      <c r="AE621" s="4"/>
      <c r="AF621" s="21"/>
    </row>
    <row r="622" spans="24:32" x14ac:dyDescent="0.25">
      <c r="X622" s="4"/>
      <c r="Y622" s="4"/>
      <c r="Z622" s="4"/>
      <c r="AA622" s="4"/>
      <c r="AB622" s="4"/>
      <c r="AC622" s="7"/>
      <c r="AD622" s="4"/>
      <c r="AE622" s="4"/>
      <c r="AF622" s="21"/>
    </row>
    <row r="623" spans="24:32" x14ac:dyDescent="0.25">
      <c r="X623" s="4"/>
      <c r="Y623" s="4"/>
      <c r="Z623" s="4"/>
      <c r="AA623" s="4"/>
      <c r="AB623" s="4"/>
      <c r="AC623" s="7"/>
      <c r="AD623" s="4"/>
      <c r="AE623" s="4"/>
      <c r="AF623" s="21"/>
    </row>
    <row r="624" spans="24:32" x14ac:dyDescent="0.25">
      <c r="X624" s="4"/>
      <c r="Y624" s="4"/>
      <c r="Z624" s="4"/>
      <c r="AA624" s="4"/>
      <c r="AB624" s="4"/>
      <c r="AC624" s="7"/>
      <c r="AD624" s="4"/>
      <c r="AE624" s="4"/>
      <c r="AF624" s="21"/>
    </row>
    <row r="625" spans="24:32" x14ac:dyDescent="0.25">
      <c r="X625" s="4"/>
      <c r="Y625" s="4"/>
      <c r="Z625" s="4"/>
      <c r="AA625" s="4"/>
      <c r="AB625" s="4"/>
      <c r="AC625" s="7"/>
      <c r="AD625" s="4"/>
      <c r="AE625" s="4"/>
      <c r="AF625" s="21"/>
    </row>
    <row r="626" spans="24:32" x14ac:dyDescent="0.25">
      <c r="X626" s="4"/>
      <c r="Y626" s="4"/>
      <c r="Z626" s="4"/>
      <c r="AA626" s="4"/>
      <c r="AB626" s="4"/>
      <c r="AC626" s="7"/>
      <c r="AD626" s="4"/>
      <c r="AE626" s="4"/>
      <c r="AF626" s="21"/>
    </row>
    <row r="627" spans="24:32" x14ac:dyDescent="0.25">
      <c r="X627" s="4"/>
      <c r="Y627" s="4"/>
      <c r="Z627" s="4"/>
      <c r="AA627" s="4"/>
      <c r="AB627" s="4"/>
      <c r="AC627" s="7"/>
      <c r="AD627" s="4"/>
      <c r="AE627" s="4"/>
      <c r="AF627" s="21"/>
    </row>
    <row r="628" spans="24:32" x14ac:dyDescent="0.25">
      <c r="X628" s="4"/>
      <c r="Y628" s="4"/>
      <c r="Z628" s="4"/>
      <c r="AA628" s="4"/>
      <c r="AB628" s="4"/>
      <c r="AC628" s="7"/>
      <c r="AD628" s="4"/>
      <c r="AE628" s="4"/>
      <c r="AF628" s="21"/>
    </row>
    <row r="629" spans="24:32" x14ac:dyDescent="0.25">
      <c r="X629" s="4"/>
      <c r="Y629" s="4"/>
      <c r="Z629" s="4"/>
      <c r="AA629" s="4"/>
      <c r="AB629" s="4"/>
      <c r="AC629" s="7"/>
      <c r="AD629" s="4"/>
      <c r="AE629" s="4"/>
      <c r="AF629" s="21"/>
    </row>
    <row r="630" spans="24:32" x14ac:dyDescent="0.25">
      <c r="X630" s="4"/>
      <c r="Y630" s="4"/>
      <c r="Z630" s="4"/>
      <c r="AA630" s="4"/>
      <c r="AB630" s="4"/>
      <c r="AC630" s="7"/>
      <c r="AD630" s="4"/>
      <c r="AE630" s="4"/>
      <c r="AF630" s="21"/>
    </row>
    <row r="631" spans="24:32" x14ac:dyDescent="0.25">
      <c r="X631" s="4"/>
      <c r="Y631" s="4"/>
      <c r="Z631" s="4"/>
      <c r="AA631" s="4"/>
      <c r="AB631" s="4"/>
      <c r="AC631" s="7"/>
      <c r="AD631" s="4"/>
      <c r="AE631" s="4"/>
      <c r="AF631" s="21"/>
    </row>
    <row r="632" spans="24:32" x14ac:dyDescent="0.25">
      <c r="X632" s="4"/>
      <c r="Y632" s="4"/>
      <c r="Z632" s="4"/>
      <c r="AA632" s="4"/>
      <c r="AB632" s="4"/>
      <c r="AC632" s="7"/>
      <c r="AD632" s="4"/>
      <c r="AE632" s="4"/>
      <c r="AF632" s="21"/>
    </row>
    <row r="633" spans="24:32" x14ac:dyDescent="0.25">
      <c r="X633" s="4"/>
      <c r="Y633" s="4"/>
      <c r="Z633" s="4"/>
      <c r="AA633" s="4"/>
      <c r="AB633" s="4"/>
      <c r="AC633" s="7"/>
      <c r="AD633" s="4"/>
      <c r="AE633" s="4"/>
      <c r="AF633" s="21"/>
    </row>
    <row r="634" spans="24:32" x14ac:dyDescent="0.25">
      <c r="X634" s="4"/>
      <c r="Y634" s="4"/>
      <c r="Z634" s="4"/>
      <c r="AA634" s="4"/>
      <c r="AB634" s="4"/>
      <c r="AC634" s="7"/>
      <c r="AD634" s="4"/>
      <c r="AE634" s="4"/>
      <c r="AF634" s="21"/>
    </row>
    <row r="635" spans="24:32" x14ac:dyDescent="0.25">
      <c r="X635" s="4"/>
      <c r="Y635" s="4"/>
      <c r="Z635" s="4"/>
      <c r="AA635" s="4"/>
      <c r="AB635" s="4"/>
      <c r="AC635" s="7"/>
      <c r="AD635" s="4"/>
      <c r="AE635" s="4"/>
      <c r="AF635" s="21"/>
    </row>
    <row r="636" spans="24:32" x14ac:dyDescent="0.25">
      <c r="X636" s="4"/>
      <c r="Y636" s="4"/>
      <c r="Z636" s="4"/>
      <c r="AA636" s="4"/>
      <c r="AB636" s="4"/>
      <c r="AC636" s="7"/>
      <c r="AD636" s="4"/>
      <c r="AE636" s="4"/>
      <c r="AF636" s="21"/>
    </row>
    <row r="637" spans="24:32" x14ac:dyDescent="0.25">
      <c r="X637" s="4"/>
      <c r="Y637" s="4"/>
      <c r="Z637" s="4"/>
      <c r="AA637" s="4"/>
      <c r="AB637" s="4"/>
      <c r="AC637" s="7"/>
      <c r="AD637" s="4"/>
      <c r="AE637" s="4"/>
      <c r="AF637" s="21"/>
    </row>
    <row r="638" spans="24:32" x14ac:dyDescent="0.25">
      <c r="X638" s="4"/>
      <c r="Y638" s="4"/>
      <c r="Z638" s="4"/>
      <c r="AA638" s="4"/>
      <c r="AB638" s="4"/>
      <c r="AC638" s="7"/>
      <c r="AD638" s="4"/>
      <c r="AE638" s="4"/>
      <c r="AF638" s="21"/>
    </row>
    <row r="639" spans="24:32" x14ac:dyDescent="0.25">
      <c r="X639" s="4"/>
      <c r="Y639" s="4"/>
      <c r="Z639" s="4"/>
      <c r="AA639" s="4"/>
      <c r="AB639" s="4"/>
      <c r="AC639" s="7"/>
      <c r="AD639" s="4"/>
      <c r="AE639" s="4"/>
      <c r="AF639" s="21"/>
    </row>
    <row r="640" spans="24:32" x14ac:dyDescent="0.25">
      <c r="X640" s="4"/>
      <c r="Y640" s="4"/>
      <c r="Z640" s="4"/>
      <c r="AA640" s="4"/>
      <c r="AB640" s="4"/>
      <c r="AC640" s="7"/>
      <c r="AD640" s="4"/>
      <c r="AE640" s="4"/>
      <c r="AF640" s="21"/>
    </row>
    <row r="641" spans="24:32" x14ac:dyDescent="0.25">
      <c r="X641" s="4"/>
      <c r="Y641" s="4"/>
      <c r="Z641" s="4"/>
      <c r="AA641" s="4"/>
      <c r="AB641" s="4"/>
      <c r="AC641" s="7"/>
      <c r="AD641" s="4"/>
      <c r="AE641" s="4"/>
      <c r="AF641" s="21"/>
    </row>
    <row r="642" spans="24:32" x14ac:dyDescent="0.25">
      <c r="X642" s="4"/>
      <c r="Y642" s="4"/>
      <c r="Z642" s="4"/>
      <c r="AA642" s="4"/>
      <c r="AB642" s="4"/>
      <c r="AC642" s="7"/>
      <c r="AD642" s="4"/>
      <c r="AE642" s="4"/>
      <c r="AF642" s="21"/>
    </row>
    <row r="643" spans="24:32" x14ac:dyDescent="0.25">
      <c r="X643" s="4"/>
      <c r="Y643" s="4"/>
      <c r="Z643" s="4"/>
      <c r="AA643" s="4"/>
      <c r="AB643" s="4"/>
      <c r="AC643" s="7"/>
      <c r="AD643" s="4"/>
      <c r="AE643" s="4"/>
      <c r="AF643" s="21"/>
    </row>
    <row r="644" spans="24:32" x14ac:dyDescent="0.25">
      <c r="X644" s="4"/>
      <c r="Y644" s="4"/>
      <c r="Z644" s="4"/>
      <c r="AA644" s="4"/>
      <c r="AB644" s="4"/>
      <c r="AC644" s="7"/>
      <c r="AD644" s="4"/>
      <c r="AE644" s="4"/>
      <c r="AF644" s="21"/>
    </row>
    <row r="645" spans="24:32" x14ac:dyDescent="0.25">
      <c r="X645" s="4"/>
      <c r="Y645" s="4"/>
      <c r="Z645" s="4"/>
      <c r="AA645" s="4"/>
      <c r="AB645" s="4"/>
      <c r="AC645" s="7"/>
      <c r="AD645" s="4"/>
      <c r="AE645" s="4"/>
      <c r="AF645" s="21"/>
    </row>
    <row r="646" spans="24:32" x14ac:dyDescent="0.25">
      <c r="X646" s="4"/>
      <c r="Y646" s="4"/>
      <c r="Z646" s="4"/>
      <c r="AA646" s="4"/>
      <c r="AB646" s="4"/>
      <c r="AC646" s="7"/>
      <c r="AD646" s="4"/>
      <c r="AE646" s="4"/>
      <c r="AF646" s="21"/>
    </row>
    <row r="647" spans="24:32" x14ac:dyDescent="0.25">
      <c r="X647" s="4"/>
      <c r="Y647" s="4"/>
      <c r="Z647" s="4"/>
      <c r="AA647" s="4"/>
      <c r="AB647" s="4"/>
      <c r="AC647" s="7"/>
      <c r="AD647" s="4"/>
      <c r="AE647" s="4"/>
      <c r="AF647" s="21"/>
    </row>
    <row r="648" spans="24:32" x14ac:dyDescent="0.25">
      <c r="X648" s="4"/>
      <c r="Y648" s="4"/>
      <c r="Z648" s="4"/>
      <c r="AA648" s="4"/>
      <c r="AB648" s="4"/>
      <c r="AC648" s="7"/>
      <c r="AD648" s="4"/>
      <c r="AE648" s="4"/>
      <c r="AF648" s="21"/>
    </row>
    <row r="649" spans="24:32" x14ac:dyDescent="0.25">
      <c r="X649" s="4"/>
      <c r="Y649" s="4"/>
      <c r="Z649" s="4"/>
      <c r="AA649" s="4"/>
      <c r="AB649" s="4"/>
      <c r="AC649" s="7"/>
      <c r="AD649" s="4"/>
      <c r="AE649" s="4"/>
      <c r="AF649" s="21"/>
    </row>
    <row r="650" spans="24:32" x14ac:dyDescent="0.25">
      <c r="X650" s="4"/>
      <c r="Y650" s="4"/>
      <c r="Z650" s="4"/>
      <c r="AA650" s="4"/>
      <c r="AB650" s="4"/>
      <c r="AC650" s="7"/>
      <c r="AD650" s="4"/>
      <c r="AE650" s="4"/>
      <c r="AF650" s="21"/>
    </row>
    <row r="651" spans="24:32" x14ac:dyDescent="0.25">
      <c r="X651" s="4"/>
      <c r="Y651" s="4"/>
      <c r="Z651" s="4"/>
      <c r="AA651" s="4"/>
      <c r="AB651" s="4"/>
      <c r="AC651" s="7"/>
      <c r="AD651" s="4"/>
      <c r="AE651" s="4"/>
      <c r="AF651" s="21"/>
    </row>
    <row r="652" spans="24:32" x14ac:dyDescent="0.25">
      <c r="X652" s="4"/>
      <c r="Y652" s="4"/>
      <c r="Z652" s="4"/>
      <c r="AA652" s="4"/>
      <c r="AB652" s="4"/>
      <c r="AC652" s="7"/>
      <c r="AD652" s="4"/>
      <c r="AE652" s="4"/>
      <c r="AF652" s="21"/>
    </row>
    <row r="653" spans="24:32" x14ac:dyDescent="0.25">
      <c r="X653" s="4"/>
      <c r="Y653" s="4"/>
      <c r="Z653" s="4"/>
      <c r="AA653" s="4"/>
      <c r="AB653" s="4"/>
      <c r="AC653" s="7"/>
      <c r="AD653" s="4"/>
      <c r="AE653" s="4"/>
      <c r="AF653" s="21"/>
    </row>
    <row r="654" spans="24:32" x14ac:dyDescent="0.25">
      <c r="X654" s="4"/>
      <c r="Y654" s="4"/>
      <c r="Z654" s="4"/>
      <c r="AA654" s="4"/>
      <c r="AB654" s="4"/>
      <c r="AC654" s="7"/>
      <c r="AD654" s="4"/>
      <c r="AE654" s="4"/>
      <c r="AF654" s="21"/>
    </row>
    <row r="655" spans="24:32" x14ac:dyDescent="0.25">
      <c r="X655" s="4"/>
      <c r="Y655" s="4"/>
      <c r="Z655" s="4"/>
      <c r="AA655" s="4"/>
      <c r="AB655" s="4"/>
      <c r="AC655" s="7"/>
      <c r="AD655" s="4"/>
      <c r="AE655" s="4"/>
      <c r="AF655" s="21"/>
    </row>
    <row r="656" spans="24:32" x14ac:dyDescent="0.25">
      <c r="X656" s="4"/>
      <c r="Y656" s="4"/>
      <c r="Z656" s="4"/>
      <c r="AA656" s="4"/>
      <c r="AB656" s="4"/>
      <c r="AC656" s="7"/>
      <c r="AD656" s="4"/>
      <c r="AE656" s="4"/>
      <c r="AF656" s="21"/>
    </row>
    <row r="657" spans="24:32" x14ac:dyDescent="0.25">
      <c r="X657" s="4"/>
      <c r="Y657" s="4"/>
      <c r="Z657" s="4"/>
      <c r="AA657" s="4"/>
      <c r="AB657" s="4"/>
      <c r="AC657" s="7"/>
      <c r="AD657" s="4"/>
      <c r="AE657" s="4"/>
      <c r="AF657" s="21"/>
    </row>
    <row r="658" spans="24:32" x14ac:dyDescent="0.25">
      <c r="X658" s="4"/>
      <c r="Y658" s="4"/>
      <c r="Z658" s="4"/>
      <c r="AA658" s="4"/>
      <c r="AB658" s="4"/>
      <c r="AC658" s="7"/>
      <c r="AD658" s="4"/>
      <c r="AE658" s="4"/>
      <c r="AF658" s="21"/>
    </row>
    <row r="659" spans="24:32" x14ac:dyDescent="0.25">
      <c r="X659" s="4"/>
      <c r="Y659" s="4"/>
      <c r="Z659" s="4"/>
      <c r="AA659" s="4"/>
      <c r="AB659" s="4"/>
      <c r="AC659" s="7"/>
      <c r="AD659" s="4"/>
      <c r="AE659" s="4"/>
      <c r="AF659" s="21"/>
    </row>
    <row r="660" spans="24:32" x14ac:dyDescent="0.25">
      <c r="X660" s="4"/>
      <c r="Y660" s="4"/>
      <c r="Z660" s="4"/>
      <c r="AA660" s="4"/>
      <c r="AB660" s="4"/>
      <c r="AC660" s="7"/>
      <c r="AD660" s="4"/>
      <c r="AE660" s="4"/>
      <c r="AF660" s="21"/>
    </row>
    <row r="661" spans="24:32" x14ac:dyDescent="0.25">
      <c r="X661" s="4"/>
      <c r="Y661" s="4"/>
      <c r="Z661" s="4"/>
      <c r="AA661" s="4"/>
      <c r="AB661" s="4"/>
      <c r="AC661" s="7"/>
      <c r="AD661" s="4"/>
      <c r="AE661" s="4"/>
      <c r="AF661" s="21"/>
    </row>
    <row r="662" spans="24:32" x14ac:dyDescent="0.25">
      <c r="X662" s="4"/>
      <c r="Y662" s="4"/>
      <c r="Z662" s="4"/>
      <c r="AA662" s="4"/>
      <c r="AB662" s="4"/>
      <c r="AC662" s="7"/>
      <c r="AD662" s="4"/>
      <c r="AE662" s="4"/>
      <c r="AF662" s="21"/>
    </row>
    <row r="663" spans="24:32" x14ac:dyDescent="0.25">
      <c r="X663" s="4"/>
      <c r="Y663" s="4"/>
      <c r="Z663" s="4"/>
      <c r="AA663" s="4"/>
      <c r="AB663" s="4"/>
      <c r="AC663" s="7"/>
      <c r="AD663" s="4"/>
      <c r="AE663" s="4"/>
      <c r="AF663" s="21"/>
    </row>
    <row r="664" spans="24:32" x14ac:dyDescent="0.25">
      <c r="X664" s="4"/>
      <c r="Y664" s="4"/>
      <c r="Z664" s="4"/>
      <c r="AA664" s="4"/>
      <c r="AB664" s="4"/>
      <c r="AC664" s="7"/>
      <c r="AD664" s="4"/>
      <c r="AE664" s="4"/>
      <c r="AF664" s="21"/>
    </row>
    <row r="665" spans="24:32" x14ac:dyDescent="0.25">
      <c r="X665" s="4"/>
      <c r="Y665" s="4"/>
      <c r="Z665" s="4"/>
      <c r="AA665" s="4"/>
      <c r="AB665" s="4"/>
      <c r="AC665" s="7"/>
      <c r="AD665" s="4"/>
      <c r="AE665" s="4"/>
      <c r="AF665" s="21"/>
    </row>
    <row r="666" spans="24:32" x14ac:dyDescent="0.25">
      <c r="X666" s="4"/>
      <c r="Y666" s="4"/>
      <c r="Z666" s="4"/>
      <c r="AA666" s="4"/>
      <c r="AB666" s="4"/>
      <c r="AC666" s="7"/>
      <c r="AD666" s="4"/>
      <c r="AE666" s="4"/>
      <c r="AF666" s="21"/>
    </row>
    <row r="667" spans="24:32" x14ac:dyDescent="0.25">
      <c r="X667" s="4"/>
      <c r="Y667" s="4"/>
      <c r="Z667" s="4"/>
      <c r="AA667" s="4"/>
      <c r="AB667" s="4"/>
      <c r="AC667" s="7"/>
      <c r="AD667" s="4"/>
      <c r="AE667" s="4"/>
      <c r="AF667" s="21"/>
    </row>
    <row r="668" spans="24:32" x14ac:dyDescent="0.25">
      <c r="X668" s="4"/>
      <c r="Y668" s="4"/>
      <c r="Z668" s="4"/>
      <c r="AA668" s="4"/>
      <c r="AB668" s="4"/>
      <c r="AC668" s="7"/>
      <c r="AD668" s="4"/>
      <c r="AE668" s="4"/>
      <c r="AF668" s="21"/>
    </row>
    <row r="669" spans="24:32" x14ac:dyDescent="0.25">
      <c r="X669" s="4"/>
      <c r="Y669" s="4"/>
      <c r="Z669" s="4"/>
      <c r="AA669" s="4"/>
      <c r="AB669" s="4"/>
      <c r="AC669" s="7"/>
      <c r="AD669" s="4"/>
      <c r="AE669" s="4"/>
      <c r="AF669" s="21"/>
    </row>
    <row r="670" spans="24:32" x14ac:dyDescent="0.25">
      <c r="X670" s="4"/>
      <c r="Y670" s="4"/>
      <c r="Z670" s="4"/>
      <c r="AA670" s="4"/>
      <c r="AB670" s="4"/>
      <c r="AC670" s="7"/>
      <c r="AD670" s="4"/>
      <c r="AE670" s="4"/>
      <c r="AF670" s="21"/>
    </row>
    <row r="671" spans="24:32" x14ac:dyDescent="0.25">
      <c r="X671" s="4"/>
      <c r="Y671" s="4"/>
      <c r="Z671" s="4"/>
      <c r="AA671" s="4"/>
      <c r="AB671" s="4"/>
      <c r="AC671" s="7"/>
      <c r="AD671" s="4"/>
      <c r="AE671" s="4"/>
      <c r="AF671" s="21"/>
    </row>
    <row r="672" spans="24:32" x14ac:dyDescent="0.25">
      <c r="X672" s="4"/>
      <c r="Y672" s="4"/>
      <c r="Z672" s="4"/>
      <c r="AA672" s="4"/>
      <c r="AB672" s="4"/>
      <c r="AC672" s="7"/>
      <c r="AD672" s="4"/>
      <c r="AE672" s="4"/>
      <c r="AF672" s="21"/>
    </row>
    <row r="673" spans="24:32" x14ac:dyDescent="0.25">
      <c r="X673" s="4"/>
      <c r="Y673" s="4"/>
      <c r="Z673" s="4"/>
      <c r="AA673" s="4"/>
      <c r="AB673" s="4"/>
      <c r="AC673" s="7"/>
      <c r="AD673" s="4"/>
      <c r="AE673" s="4"/>
      <c r="AF673" s="21"/>
    </row>
    <row r="674" spans="24:32" x14ac:dyDescent="0.25">
      <c r="X674" s="4"/>
      <c r="Y674" s="4"/>
      <c r="Z674" s="4"/>
      <c r="AA674" s="4"/>
      <c r="AB674" s="4"/>
      <c r="AC674" s="7"/>
      <c r="AD674" s="4"/>
      <c r="AE674" s="4"/>
      <c r="AF674" s="21"/>
    </row>
    <row r="675" spans="24:32" x14ac:dyDescent="0.25">
      <c r="X675" s="4"/>
      <c r="Y675" s="4"/>
      <c r="Z675" s="4"/>
      <c r="AA675" s="4"/>
      <c r="AB675" s="4"/>
      <c r="AC675" s="7"/>
      <c r="AD675" s="4"/>
      <c r="AE675" s="4"/>
      <c r="AF675" s="21"/>
    </row>
    <row r="676" spans="24:32" x14ac:dyDescent="0.25">
      <c r="X676" s="4"/>
      <c r="Y676" s="4"/>
      <c r="Z676" s="4"/>
      <c r="AA676" s="4"/>
      <c r="AB676" s="4"/>
      <c r="AC676" s="7"/>
      <c r="AD676" s="4"/>
      <c r="AE676" s="4"/>
      <c r="AF676" s="21"/>
    </row>
    <row r="677" spans="24:32" x14ac:dyDescent="0.25">
      <c r="X677" s="4"/>
      <c r="Y677" s="4"/>
      <c r="Z677" s="4"/>
      <c r="AA677" s="4"/>
      <c r="AB677" s="4"/>
      <c r="AC677" s="7"/>
      <c r="AD677" s="4"/>
      <c r="AE677" s="4"/>
      <c r="AF677" s="21"/>
    </row>
    <row r="678" spans="24:32" x14ac:dyDescent="0.25">
      <c r="X678" s="4"/>
      <c r="Y678" s="4"/>
      <c r="Z678" s="4"/>
      <c r="AA678" s="4"/>
      <c r="AB678" s="4"/>
      <c r="AC678" s="7"/>
      <c r="AD678" s="4"/>
      <c r="AE678" s="4"/>
      <c r="AF678" s="21"/>
    </row>
    <row r="679" spans="24:32" x14ac:dyDescent="0.25">
      <c r="X679" s="4"/>
      <c r="Y679" s="4"/>
      <c r="Z679" s="4"/>
      <c r="AA679" s="4"/>
      <c r="AB679" s="4"/>
      <c r="AC679" s="7"/>
      <c r="AD679" s="4"/>
      <c r="AE679" s="4"/>
      <c r="AF679" s="21"/>
    </row>
    <row r="680" spans="24:32" x14ac:dyDescent="0.25">
      <c r="X680" s="4"/>
      <c r="Y680" s="4"/>
      <c r="Z680" s="4"/>
      <c r="AA680" s="4"/>
      <c r="AB680" s="4"/>
      <c r="AC680" s="7"/>
      <c r="AD680" s="4"/>
      <c r="AE680" s="4"/>
      <c r="AF680" s="21"/>
    </row>
    <row r="681" spans="24:32" x14ac:dyDescent="0.25">
      <c r="X681" s="4"/>
      <c r="Y681" s="4"/>
      <c r="Z681" s="4"/>
      <c r="AA681" s="4"/>
      <c r="AB681" s="4"/>
      <c r="AC681" s="7"/>
      <c r="AD681" s="4"/>
      <c r="AE681" s="4"/>
      <c r="AF681" s="21"/>
    </row>
    <row r="682" spans="24:32" x14ac:dyDescent="0.25">
      <c r="X682" s="4"/>
      <c r="Y682" s="4"/>
      <c r="Z682" s="4"/>
      <c r="AA682" s="4"/>
      <c r="AB682" s="4"/>
      <c r="AC682" s="7"/>
      <c r="AD682" s="4"/>
      <c r="AE682" s="4"/>
      <c r="AF682" s="21"/>
    </row>
    <row r="683" spans="24:32" x14ac:dyDescent="0.25">
      <c r="X683" s="4"/>
      <c r="Y683" s="4"/>
      <c r="Z683" s="4"/>
      <c r="AA683" s="4"/>
      <c r="AB683" s="4"/>
      <c r="AC683" s="7"/>
      <c r="AD683" s="4"/>
      <c r="AE683" s="4"/>
      <c r="AF683" s="21"/>
    </row>
    <row r="684" spans="24:32" x14ac:dyDescent="0.25">
      <c r="X684" s="4"/>
      <c r="Y684" s="4"/>
      <c r="Z684" s="4"/>
      <c r="AA684" s="4"/>
      <c r="AB684" s="4"/>
      <c r="AC684" s="7"/>
      <c r="AD684" s="4"/>
      <c r="AE684" s="4"/>
      <c r="AF684" s="21"/>
    </row>
    <row r="685" spans="24:32" x14ac:dyDescent="0.25">
      <c r="X685" s="4"/>
      <c r="Y685" s="4"/>
      <c r="Z685" s="4"/>
      <c r="AA685" s="4"/>
      <c r="AB685" s="4"/>
      <c r="AC685" s="7"/>
      <c r="AD685" s="4"/>
      <c r="AE685" s="4"/>
      <c r="AF685" s="21"/>
    </row>
    <row r="686" spans="24:32" x14ac:dyDescent="0.25">
      <c r="X686" s="4"/>
      <c r="Y686" s="4"/>
      <c r="Z686" s="4"/>
      <c r="AA686" s="4"/>
      <c r="AB686" s="4"/>
      <c r="AC686" s="7"/>
      <c r="AD686" s="4"/>
      <c r="AE686" s="4"/>
      <c r="AF686" s="21"/>
    </row>
    <row r="687" spans="24:32" x14ac:dyDescent="0.25">
      <c r="X687" s="4"/>
      <c r="Y687" s="4"/>
      <c r="Z687" s="4"/>
      <c r="AA687" s="4"/>
      <c r="AB687" s="4"/>
      <c r="AC687" s="7"/>
      <c r="AD687" s="4"/>
      <c r="AE687" s="4"/>
      <c r="AF687" s="21"/>
    </row>
    <row r="688" spans="24:32" x14ac:dyDescent="0.25">
      <c r="X688" s="4"/>
      <c r="Y688" s="4"/>
      <c r="Z688" s="4"/>
      <c r="AA688" s="4"/>
      <c r="AB688" s="4"/>
      <c r="AC688" s="7"/>
      <c r="AD688" s="4"/>
      <c r="AE688" s="4"/>
      <c r="AF688" s="21"/>
    </row>
    <row r="689" spans="24:32" x14ac:dyDescent="0.25">
      <c r="X689" s="4"/>
      <c r="Y689" s="4"/>
      <c r="Z689" s="4"/>
      <c r="AA689" s="4"/>
      <c r="AB689" s="4"/>
      <c r="AC689" s="7"/>
      <c r="AD689" s="4"/>
      <c r="AE689" s="4"/>
      <c r="AF689" s="21"/>
    </row>
    <row r="690" spans="24:32" x14ac:dyDescent="0.25">
      <c r="X690" s="4"/>
      <c r="Y690" s="4"/>
      <c r="Z690" s="4"/>
      <c r="AA690" s="4"/>
      <c r="AB690" s="4"/>
      <c r="AC690" s="7"/>
      <c r="AD690" s="4"/>
      <c r="AE690" s="4"/>
      <c r="AF690" s="21"/>
    </row>
    <row r="691" spans="24:32" x14ac:dyDescent="0.25">
      <c r="X691" s="4"/>
      <c r="Y691" s="4"/>
      <c r="Z691" s="4"/>
      <c r="AA691" s="4"/>
      <c r="AB691" s="4"/>
      <c r="AC691" s="7"/>
      <c r="AD691" s="4"/>
      <c r="AE691" s="4"/>
      <c r="AF691" s="21"/>
    </row>
    <row r="692" spans="24:32" x14ac:dyDescent="0.25">
      <c r="X692" s="4"/>
      <c r="Y692" s="4"/>
      <c r="Z692" s="4"/>
      <c r="AA692" s="4"/>
      <c r="AB692" s="4"/>
      <c r="AC692" s="7"/>
      <c r="AD692" s="4"/>
      <c r="AE692" s="4"/>
      <c r="AF692" s="21"/>
    </row>
    <row r="693" spans="24:32" x14ac:dyDescent="0.25">
      <c r="X693" s="4"/>
      <c r="Y693" s="4"/>
      <c r="Z693" s="4"/>
      <c r="AA693" s="4"/>
      <c r="AB693" s="4"/>
      <c r="AC693" s="7"/>
      <c r="AD693" s="4"/>
      <c r="AE693" s="4"/>
      <c r="AF693" s="21"/>
    </row>
    <row r="694" spans="24:32" x14ac:dyDescent="0.25">
      <c r="X694" s="4"/>
      <c r="Y694" s="4"/>
      <c r="Z694" s="4"/>
      <c r="AA694" s="4"/>
      <c r="AB694" s="4"/>
      <c r="AC694" s="7"/>
      <c r="AD694" s="4"/>
      <c r="AE694" s="4"/>
      <c r="AF694" s="21"/>
    </row>
    <row r="695" spans="24:32" x14ac:dyDescent="0.25">
      <c r="X695" s="4"/>
      <c r="Y695" s="4"/>
      <c r="Z695" s="4"/>
      <c r="AA695" s="4"/>
      <c r="AB695" s="4"/>
      <c r="AC695" s="7"/>
      <c r="AD695" s="4"/>
      <c r="AE695" s="4"/>
      <c r="AF695" s="21"/>
    </row>
    <row r="696" spans="24:32" x14ac:dyDescent="0.25">
      <c r="X696" s="4"/>
      <c r="Y696" s="4"/>
      <c r="Z696" s="4"/>
      <c r="AA696" s="4"/>
      <c r="AB696" s="4"/>
      <c r="AC696" s="7"/>
      <c r="AD696" s="4"/>
      <c r="AE696" s="4"/>
      <c r="AF696" s="21"/>
    </row>
    <row r="697" spans="24:32" x14ac:dyDescent="0.25">
      <c r="X697" s="4"/>
      <c r="Y697" s="4"/>
      <c r="Z697" s="4"/>
      <c r="AA697" s="4"/>
      <c r="AB697" s="4"/>
      <c r="AC697" s="7"/>
      <c r="AD697" s="4"/>
      <c r="AE697" s="4"/>
      <c r="AF697" s="21"/>
    </row>
    <row r="698" spans="24:32" x14ac:dyDescent="0.25">
      <c r="X698" s="4"/>
      <c r="Y698" s="4"/>
      <c r="Z698" s="4"/>
      <c r="AA698" s="4"/>
      <c r="AB698" s="4"/>
      <c r="AC698" s="7"/>
      <c r="AD698" s="4"/>
      <c r="AE698" s="4"/>
      <c r="AF698" s="21"/>
    </row>
    <row r="699" spans="24:32" x14ac:dyDescent="0.25">
      <c r="X699" s="4"/>
      <c r="Y699" s="4"/>
      <c r="Z699" s="4"/>
      <c r="AA699" s="4"/>
      <c r="AB699" s="4"/>
      <c r="AC699" s="7"/>
      <c r="AD699" s="4"/>
      <c r="AE699" s="4"/>
      <c r="AF699" s="21"/>
    </row>
    <row r="700" spans="24:32" x14ac:dyDescent="0.25">
      <c r="X700" s="4"/>
      <c r="Y700" s="4"/>
      <c r="Z700" s="4"/>
      <c r="AA700" s="4"/>
      <c r="AB700" s="4"/>
      <c r="AC700" s="7"/>
      <c r="AD700" s="4"/>
      <c r="AE700" s="4"/>
      <c r="AF700" s="21"/>
    </row>
    <row r="701" spans="24:32" x14ac:dyDescent="0.25">
      <c r="X701" s="4"/>
      <c r="Y701" s="4"/>
      <c r="Z701" s="4"/>
      <c r="AA701" s="4"/>
      <c r="AB701" s="4"/>
      <c r="AC701" s="7"/>
      <c r="AD701" s="4"/>
      <c r="AE701" s="4"/>
      <c r="AF701" s="21"/>
    </row>
    <row r="702" spans="24:32" x14ac:dyDescent="0.25">
      <c r="X702" s="4"/>
      <c r="Y702" s="4"/>
      <c r="Z702" s="4"/>
      <c r="AA702" s="4"/>
      <c r="AB702" s="4"/>
      <c r="AC702" s="7"/>
      <c r="AD702" s="4"/>
      <c r="AE702" s="4"/>
      <c r="AF702" s="21"/>
    </row>
    <row r="703" spans="24:32" x14ac:dyDescent="0.25">
      <c r="X703" s="4"/>
      <c r="Y703" s="4"/>
      <c r="Z703" s="4"/>
      <c r="AA703" s="4"/>
      <c r="AB703" s="4"/>
      <c r="AC703" s="7"/>
      <c r="AD703" s="4"/>
      <c r="AE703" s="4"/>
      <c r="AF703" s="21"/>
    </row>
    <row r="704" spans="24:32" x14ac:dyDescent="0.25">
      <c r="X704" s="4"/>
      <c r="Y704" s="4"/>
      <c r="Z704" s="4"/>
      <c r="AA704" s="4"/>
      <c r="AB704" s="4"/>
      <c r="AC704" s="7"/>
      <c r="AD704" s="4"/>
      <c r="AE704" s="4"/>
      <c r="AF704" s="21"/>
    </row>
    <row r="705" spans="24:32" x14ac:dyDescent="0.25">
      <c r="X705" s="4"/>
      <c r="Y705" s="4"/>
      <c r="Z705" s="4"/>
      <c r="AA705" s="4"/>
      <c r="AB705" s="4"/>
      <c r="AC705" s="7"/>
      <c r="AD705" s="4"/>
      <c r="AE705" s="4"/>
      <c r="AF705" s="21"/>
    </row>
    <row r="706" spans="24:32" x14ac:dyDescent="0.25">
      <c r="X706" s="4"/>
      <c r="Y706" s="4"/>
      <c r="Z706" s="4"/>
      <c r="AA706" s="4"/>
      <c r="AB706" s="4"/>
      <c r="AC706" s="7"/>
      <c r="AD706" s="4"/>
      <c r="AE706" s="4"/>
      <c r="AF706" s="21"/>
    </row>
    <row r="707" spans="24:32" x14ac:dyDescent="0.25">
      <c r="X707" s="4"/>
      <c r="Y707" s="4"/>
      <c r="Z707" s="4"/>
      <c r="AA707" s="4"/>
      <c r="AB707" s="4"/>
      <c r="AC707" s="7"/>
      <c r="AD707" s="4"/>
      <c r="AE707" s="4"/>
      <c r="AF707" s="21"/>
    </row>
    <row r="708" spans="24:32" x14ac:dyDescent="0.25">
      <c r="X708" s="4"/>
      <c r="Y708" s="4"/>
      <c r="Z708" s="4"/>
      <c r="AA708" s="4"/>
      <c r="AB708" s="4"/>
      <c r="AC708" s="7"/>
      <c r="AD708" s="4"/>
      <c r="AE708" s="4"/>
      <c r="AF708" s="21"/>
    </row>
    <row r="709" spans="24:32" x14ac:dyDescent="0.25">
      <c r="X709" s="4"/>
      <c r="Y709" s="4"/>
      <c r="Z709" s="4"/>
      <c r="AA709" s="4"/>
      <c r="AB709" s="4"/>
      <c r="AC709" s="7"/>
      <c r="AD709" s="4"/>
      <c r="AE709" s="4"/>
      <c r="AF709" s="21"/>
    </row>
    <row r="710" spans="24:32" x14ac:dyDescent="0.25">
      <c r="X710" s="4"/>
      <c r="Y710" s="4"/>
      <c r="Z710" s="4"/>
      <c r="AA710" s="4"/>
      <c r="AB710" s="4"/>
      <c r="AC710" s="7"/>
      <c r="AD710" s="4"/>
      <c r="AE710" s="4"/>
      <c r="AF710" s="21"/>
    </row>
    <row r="711" spans="24:32" x14ac:dyDescent="0.25">
      <c r="X711" s="4"/>
      <c r="Y711" s="4"/>
      <c r="Z711" s="4"/>
      <c r="AA711" s="4"/>
      <c r="AB711" s="4"/>
      <c r="AC711" s="7"/>
      <c r="AD711" s="4"/>
      <c r="AE711" s="4"/>
      <c r="AF711" s="21"/>
    </row>
    <row r="712" spans="24:32" x14ac:dyDescent="0.25">
      <c r="X712" s="4"/>
      <c r="Y712" s="4"/>
      <c r="Z712" s="4"/>
      <c r="AA712" s="4"/>
      <c r="AB712" s="4"/>
      <c r="AC712" s="7"/>
      <c r="AD712" s="4"/>
      <c r="AE712" s="4"/>
      <c r="AF712" s="21"/>
    </row>
    <row r="713" spans="24:32" x14ac:dyDescent="0.25">
      <c r="X713" s="4"/>
      <c r="Y713" s="4"/>
      <c r="Z713" s="4"/>
      <c r="AA713" s="4"/>
      <c r="AB713" s="4"/>
      <c r="AC713" s="7"/>
      <c r="AD713" s="4"/>
      <c r="AE713" s="4"/>
      <c r="AF713" s="21"/>
    </row>
    <row r="714" spans="24:32" x14ac:dyDescent="0.25">
      <c r="X714" s="4"/>
      <c r="Y714" s="4"/>
      <c r="Z714" s="4"/>
      <c r="AA714" s="4"/>
      <c r="AB714" s="4"/>
      <c r="AC714" s="7"/>
      <c r="AD714" s="4"/>
      <c r="AE714" s="4"/>
      <c r="AF714" s="21"/>
    </row>
    <row r="715" spans="24:32" x14ac:dyDescent="0.25">
      <c r="X715" s="4"/>
      <c r="Y715" s="4"/>
      <c r="Z715" s="4"/>
      <c r="AA715" s="4"/>
      <c r="AB715" s="4"/>
      <c r="AC715" s="7"/>
      <c r="AD715" s="4"/>
      <c r="AE715" s="4"/>
      <c r="AF715" s="21"/>
    </row>
    <row r="716" spans="24:32" x14ac:dyDescent="0.25">
      <c r="X716" s="4"/>
      <c r="Y716" s="4"/>
      <c r="Z716" s="4"/>
      <c r="AA716" s="4"/>
      <c r="AB716" s="4"/>
      <c r="AC716" s="7"/>
      <c r="AD716" s="4"/>
      <c r="AE716" s="4"/>
      <c r="AF716" s="21"/>
    </row>
    <row r="717" spans="24:32" x14ac:dyDescent="0.25">
      <c r="X717" s="4"/>
      <c r="Y717" s="4"/>
      <c r="Z717" s="4"/>
      <c r="AA717" s="4"/>
      <c r="AB717" s="4"/>
      <c r="AC717" s="7"/>
      <c r="AD717" s="4"/>
      <c r="AE717" s="4"/>
      <c r="AF717" s="21"/>
    </row>
    <row r="718" spans="24:32" x14ac:dyDescent="0.25">
      <c r="X718" s="4"/>
      <c r="Y718" s="4"/>
      <c r="Z718" s="4"/>
      <c r="AA718" s="4"/>
      <c r="AB718" s="4"/>
      <c r="AC718" s="7"/>
      <c r="AD718" s="4"/>
      <c r="AE718" s="4"/>
      <c r="AF718" s="21"/>
    </row>
    <row r="719" spans="24:32" x14ac:dyDescent="0.25">
      <c r="X719" s="4"/>
      <c r="Y719" s="4"/>
      <c r="Z719" s="4"/>
      <c r="AA719" s="4"/>
      <c r="AB719" s="4"/>
      <c r="AC719" s="7"/>
      <c r="AD719" s="4"/>
      <c r="AE719" s="4"/>
      <c r="AF719" s="21"/>
    </row>
    <row r="720" spans="24:32" x14ac:dyDescent="0.25">
      <c r="X720" s="4"/>
      <c r="Y720" s="4"/>
      <c r="Z720" s="4"/>
      <c r="AA720" s="4"/>
      <c r="AB720" s="4"/>
      <c r="AC720" s="7"/>
      <c r="AD720" s="4"/>
      <c r="AE720" s="4"/>
      <c r="AF720" s="21"/>
    </row>
    <row r="721" spans="24:32" x14ac:dyDescent="0.25">
      <c r="X721" s="4"/>
      <c r="Y721" s="4"/>
      <c r="Z721" s="4"/>
      <c r="AA721" s="4"/>
      <c r="AB721" s="4"/>
      <c r="AC721" s="7"/>
      <c r="AD721" s="4"/>
      <c r="AE721" s="4"/>
      <c r="AF721" s="21"/>
    </row>
    <row r="722" spans="24:32" x14ac:dyDescent="0.25">
      <c r="X722" s="4"/>
      <c r="Y722" s="4"/>
      <c r="Z722" s="4"/>
      <c r="AA722" s="4"/>
      <c r="AB722" s="4"/>
      <c r="AC722" s="7"/>
      <c r="AD722" s="4"/>
      <c r="AE722" s="4"/>
      <c r="AF722" s="21"/>
    </row>
    <row r="723" spans="24:32" x14ac:dyDescent="0.25">
      <c r="X723" s="4"/>
      <c r="Y723" s="4"/>
      <c r="Z723" s="4"/>
      <c r="AA723" s="4"/>
      <c r="AB723" s="4"/>
      <c r="AC723" s="7"/>
      <c r="AD723" s="4"/>
      <c r="AE723" s="4"/>
      <c r="AF723" s="21"/>
    </row>
    <row r="724" spans="24:32" x14ac:dyDescent="0.25">
      <c r="X724" s="4"/>
      <c r="Y724" s="4"/>
      <c r="Z724" s="4"/>
      <c r="AA724" s="4"/>
      <c r="AB724" s="4"/>
      <c r="AC724" s="7"/>
      <c r="AD724" s="4"/>
      <c r="AE724" s="4"/>
      <c r="AF724" s="21"/>
    </row>
    <row r="725" spans="24:32" x14ac:dyDescent="0.25">
      <c r="X725" s="4"/>
      <c r="Y725" s="4"/>
      <c r="Z725" s="4"/>
      <c r="AA725" s="4"/>
      <c r="AB725" s="4"/>
      <c r="AC725" s="7"/>
      <c r="AD725" s="4"/>
      <c r="AE725" s="4"/>
      <c r="AF725" s="21"/>
    </row>
    <row r="726" spans="24:32" x14ac:dyDescent="0.25">
      <c r="X726" s="4"/>
      <c r="Y726" s="4"/>
      <c r="Z726" s="4"/>
      <c r="AA726" s="4"/>
      <c r="AB726" s="4"/>
      <c r="AC726" s="7"/>
      <c r="AD726" s="4"/>
      <c r="AE726" s="4"/>
      <c r="AF726" s="21"/>
    </row>
    <row r="727" spans="24:32" x14ac:dyDescent="0.25">
      <c r="X727" s="4"/>
      <c r="Y727" s="4"/>
      <c r="Z727" s="4"/>
      <c r="AA727" s="4"/>
      <c r="AB727" s="4"/>
      <c r="AC727" s="7"/>
      <c r="AD727" s="4"/>
      <c r="AE727" s="4"/>
      <c r="AF727" s="21"/>
    </row>
    <row r="728" spans="24:32" x14ac:dyDescent="0.25">
      <c r="X728" s="4"/>
      <c r="Y728" s="4"/>
      <c r="Z728" s="4"/>
      <c r="AA728" s="4"/>
      <c r="AB728" s="4"/>
      <c r="AC728" s="7"/>
      <c r="AD728" s="4"/>
      <c r="AE728" s="4"/>
      <c r="AF728" s="21"/>
    </row>
    <row r="729" spans="24:32" x14ac:dyDescent="0.25">
      <c r="X729" s="4"/>
      <c r="Y729" s="4"/>
      <c r="Z729" s="4"/>
      <c r="AA729" s="4"/>
      <c r="AB729" s="4"/>
      <c r="AC729" s="7"/>
      <c r="AD729" s="4"/>
      <c r="AE729" s="4"/>
      <c r="AF729" s="21"/>
    </row>
    <row r="730" spans="24:32" x14ac:dyDescent="0.25">
      <c r="X730" s="4"/>
      <c r="Y730" s="4"/>
      <c r="Z730" s="4"/>
      <c r="AA730" s="4"/>
      <c r="AB730" s="4"/>
      <c r="AC730" s="7"/>
      <c r="AD730" s="4"/>
      <c r="AE730" s="4"/>
      <c r="AF730" s="21"/>
    </row>
    <row r="731" spans="24:32" x14ac:dyDescent="0.25">
      <c r="X731" s="4"/>
      <c r="Y731" s="4"/>
      <c r="Z731" s="4"/>
      <c r="AA731" s="4"/>
      <c r="AB731" s="4"/>
      <c r="AC731" s="7"/>
      <c r="AD731" s="4"/>
      <c r="AE731" s="4"/>
      <c r="AF731" s="21"/>
    </row>
    <row r="732" spans="24:32" x14ac:dyDescent="0.25">
      <c r="X732" s="4"/>
      <c r="Y732" s="4"/>
      <c r="Z732" s="4"/>
      <c r="AA732" s="4"/>
      <c r="AB732" s="4"/>
      <c r="AC732" s="7"/>
      <c r="AD732" s="4"/>
      <c r="AE732" s="4"/>
      <c r="AF732" s="21"/>
    </row>
    <row r="733" spans="24:32" x14ac:dyDescent="0.25">
      <c r="X733" s="4"/>
      <c r="Y733" s="4"/>
      <c r="Z733" s="4"/>
      <c r="AA733" s="4"/>
      <c r="AB733" s="4"/>
      <c r="AC733" s="7"/>
      <c r="AD733" s="4"/>
      <c r="AE733" s="4"/>
      <c r="AF733" s="21"/>
    </row>
    <row r="734" spans="24:32" x14ac:dyDescent="0.25">
      <c r="X734" s="4"/>
      <c r="Y734" s="4"/>
      <c r="Z734" s="4"/>
      <c r="AA734" s="4"/>
      <c r="AB734" s="4"/>
      <c r="AC734" s="7"/>
      <c r="AD734" s="4"/>
      <c r="AE734" s="4"/>
      <c r="AF734" s="21"/>
    </row>
    <row r="735" spans="24:32" x14ac:dyDescent="0.25">
      <c r="X735" s="4"/>
      <c r="Y735" s="4"/>
      <c r="Z735" s="4"/>
      <c r="AA735" s="4"/>
      <c r="AB735" s="4"/>
      <c r="AC735" s="7"/>
      <c r="AD735" s="4"/>
      <c r="AE735" s="4"/>
      <c r="AF735" s="21"/>
    </row>
    <row r="736" spans="24:32" x14ac:dyDescent="0.25">
      <c r="X736" s="4"/>
      <c r="Y736" s="4"/>
      <c r="Z736" s="4"/>
      <c r="AA736" s="4"/>
      <c r="AB736" s="4"/>
      <c r="AC736" s="7"/>
      <c r="AD736" s="4"/>
      <c r="AE736" s="4"/>
      <c r="AF736" s="21"/>
    </row>
    <row r="737" spans="24:32" x14ac:dyDescent="0.25">
      <c r="X737" s="4"/>
      <c r="Y737" s="4"/>
      <c r="Z737" s="4"/>
      <c r="AA737" s="4"/>
      <c r="AB737" s="4"/>
      <c r="AC737" s="7"/>
      <c r="AD737" s="4"/>
      <c r="AE737" s="4"/>
      <c r="AF737" s="21"/>
    </row>
    <row r="738" spans="24:32" x14ac:dyDescent="0.25">
      <c r="X738" s="4"/>
      <c r="Y738" s="4"/>
      <c r="Z738" s="4"/>
      <c r="AA738" s="4"/>
      <c r="AB738" s="4"/>
      <c r="AC738" s="7"/>
      <c r="AD738" s="4"/>
      <c r="AE738" s="4"/>
      <c r="AF738" s="21"/>
    </row>
    <row r="739" spans="24:32" x14ac:dyDescent="0.25">
      <c r="X739" s="4"/>
      <c r="Y739" s="4"/>
      <c r="Z739" s="4"/>
      <c r="AA739" s="4"/>
      <c r="AB739" s="4"/>
      <c r="AC739" s="7"/>
      <c r="AD739" s="4"/>
      <c r="AE739" s="4"/>
      <c r="AF739" s="21"/>
    </row>
    <row r="740" spans="24:32" x14ac:dyDescent="0.25">
      <c r="X740" s="4"/>
      <c r="Y740" s="4"/>
      <c r="Z740" s="4"/>
      <c r="AA740" s="4"/>
      <c r="AB740" s="4"/>
      <c r="AC740" s="7"/>
      <c r="AD740" s="4"/>
      <c r="AE740" s="4"/>
      <c r="AF740" s="21"/>
    </row>
    <row r="741" spans="24:32" x14ac:dyDescent="0.25">
      <c r="X741" s="4"/>
      <c r="Y741" s="4"/>
      <c r="Z741" s="4"/>
      <c r="AA741" s="4"/>
      <c r="AB741" s="4"/>
      <c r="AC741" s="7"/>
      <c r="AD741" s="4"/>
      <c r="AE741" s="4"/>
      <c r="AF741" s="21"/>
    </row>
    <row r="742" spans="24:32" x14ac:dyDescent="0.25">
      <c r="X742" s="4"/>
      <c r="Y742" s="4"/>
      <c r="Z742" s="4"/>
      <c r="AA742" s="4"/>
      <c r="AB742" s="4"/>
      <c r="AC742" s="7"/>
      <c r="AD742" s="4"/>
      <c r="AE742" s="4"/>
      <c r="AF742" s="21"/>
    </row>
    <row r="743" spans="24:32" x14ac:dyDescent="0.25">
      <c r="X743" s="4"/>
      <c r="Y743" s="4"/>
      <c r="Z743" s="4"/>
      <c r="AA743" s="4"/>
      <c r="AB743" s="4"/>
      <c r="AC743" s="7"/>
      <c r="AD743" s="4"/>
      <c r="AE743" s="4"/>
      <c r="AF743" s="21"/>
    </row>
    <row r="744" spans="24:32" x14ac:dyDescent="0.25">
      <c r="X744" s="4"/>
      <c r="Y744" s="4"/>
      <c r="Z744" s="4"/>
      <c r="AA744" s="4"/>
      <c r="AB744" s="4"/>
      <c r="AC744" s="7"/>
      <c r="AD744" s="4"/>
      <c r="AE744" s="4"/>
      <c r="AF744" s="21"/>
    </row>
    <row r="745" spans="24:32" x14ac:dyDescent="0.25">
      <c r="X745" s="4"/>
      <c r="Y745" s="4"/>
      <c r="Z745" s="4"/>
      <c r="AA745" s="4"/>
      <c r="AB745" s="4"/>
      <c r="AC745" s="7"/>
      <c r="AD745" s="4"/>
      <c r="AE745" s="4"/>
      <c r="AF745" s="21"/>
    </row>
    <row r="746" spans="24:32" x14ac:dyDescent="0.25">
      <c r="X746" s="4"/>
      <c r="Y746" s="4"/>
      <c r="Z746" s="4"/>
      <c r="AA746" s="4"/>
      <c r="AB746" s="4"/>
      <c r="AC746" s="7"/>
      <c r="AD746" s="4"/>
      <c r="AE746" s="4"/>
      <c r="AF746" s="21"/>
    </row>
    <row r="747" spans="24:32" x14ac:dyDescent="0.25">
      <c r="X747" s="4"/>
      <c r="Y747" s="4"/>
      <c r="Z747" s="4"/>
      <c r="AA747" s="4"/>
      <c r="AB747" s="4"/>
      <c r="AC747" s="7"/>
      <c r="AD747" s="4"/>
      <c r="AE747" s="4"/>
      <c r="AF747" s="21"/>
    </row>
    <row r="748" spans="24:32" x14ac:dyDescent="0.25">
      <c r="X748" s="4"/>
      <c r="Y748" s="4"/>
      <c r="Z748" s="4"/>
      <c r="AA748" s="4"/>
      <c r="AB748" s="4"/>
      <c r="AC748" s="7"/>
      <c r="AD748" s="4"/>
      <c r="AE748" s="4"/>
      <c r="AF748" s="21"/>
    </row>
    <row r="749" spans="24:32" x14ac:dyDescent="0.25">
      <c r="X749" s="4"/>
      <c r="Y749" s="4"/>
      <c r="Z749" s="4"/>
      <c r="AA749" s="4"/>
      <c r="AB749" s="4"/>
      <c r="AC749" s="7"/>
      <c r="AD749" s="4"/>
      <c r="AE749" s="4"/>
      <c r="AF749" s="21"/>
    </row>
    <row r="750" spans="24:32" x14ac:dyDescent="0.25">
      <c r="X750" s="4"/>
      <c r="Y750" s="4"/>
      <c r="Z750" s="4"/>
      <c r="AA750" s="4"/>
      <c r="AB750" s="4"/>
      <c r="AC750" s="7"/>
      <c r="AD750" s="4"/>
      <c r="AE750" s="4"/>
      <c r="AF750" s="21"/>
    </row>
    <row r="751" spans="24:32" x14ac:dyDescent="0.25">
      <c r="X751" s="4"/>
      <c r="Y751" s="4"/>
      <c r="Z751" s="4"/>
      <c r="AA751" s="4"/>
      <c r="AB751" s="4"/>
      <c r="AC751" s="7"/>
      <c r="AD751" s="4"/>
      <c r="AE751" s="4"/>
      <c r="AF751" s="21"/>
    </row>
    <row r="752" spans="24:32" x14ac:dyDescent="0.25">
      <c r="X752" s="4"/>
      <c r="Y752" s="4"/>
      <c r="Z752" s="4"/>
      <c r="AA752" s="4"/>
      <c r="AB752" s="4"/>
      <c r="AC752" s="7"/>
      <c r="AD752" s="4"/>
      <c r="AE752" s="4"/>
      <c r="AF752" s="21"/>
    </row>
    <row r="753" spans="24:32" x14ac:dyDescent="0.25">
      <c r="X753" s="4"/>
      <c r="Y753" s="4"/>
      <c r="Z753" s="4"/>
      <c r="AA753" s="4"/>
      <c r="AB753" s="4"/>
      <c r="AC753" s="7"/>
      <c r="AD753" s="4"/>
      <c r="AE753" s="4"/>
      <c r="AF753" s="21"/>
    </row>
    <row r="754" spans="24:32" x14ac:dyDescent="0.25">
      <c r="X754" s="4"/>
      <c r="Y754" s="4"/>
      <c r="Z754" s="4"/>
      <c r="AA754" s="4"/>
      <c r="AB754" s="4"/>
      <c r="AC754" s="7"/>
      <c r="AD754" s="4"/>
      <c r="AE754" s="4"/>
      <c r="AF754" s="21"/>
    </row>
    <row r="755" spans="24:32" x14ac:dyDescent="0.25">
      <c r="X755" s="4"/>
      <c r="Y755" s="4"/>
      <c r="Z755" s="4"/>
      <c r="AA755" s="4"/>
      <c r="AB755" s="4"/>
      <c r="AC755" s="7"/>
      <c r="AD755" s="4"/>
      <c r="AE755" s="4"/>
      <c r="AF755" s="21"/>
    </row>
    <row r="756" spans="24:32" x14ac:dyDescent="0.25">
      <c r="X756" s="4"/>
      <c r="Y756" s="4"/>
      <c r="Z756" s="4"/>
      <c r="AA756" s="4"/>
      <c r="AB756" s="4"/>
      <c r="AC756" s="7"/>
      <c r="AD756" s="4"/>
      <c r="AE756" s="4"/>
      <c r="AF756" s="21"/>
    </row>
    <row r="757" spans="24:32" x14ac:dyDescent="0.25">
      <c r="X757" s="4"/>
      <c r="Y757" s="4"/>
      <c r="Z757" s="4"/>
      <c r="AA757" s="4"/>
      <c r="AB757" s="4"/>
      <c r="AC757" s="7"/>
      <c r="AD757" s="4"/>
      <c r="AE757" s="4"/>
      <c r="AF757" s="21"/>
    </row>
    <row r="758" spans="24:32" x14ac:dyDescent="0.25">
      <c r="X758" s="4"/>
      <c r="Y758" s="4"/>
      <c r="Z758" s="4"/>
      <c r="AA758" s="4"/>
      <c r="AB758" s="4"/>
      <c r="AC758" s="7"/>
      <c r="AD758" s="4"/>
      <c r="AE758" s="4"/>
      <c r="AF758" s="21"/>
    </row>
    <row r="759" spans="24:32" x14ac:dyDescent="0.25">
      <c r="X759" s="4"/>
      <c r="Y759" s="4"/>
      <c r="Z759" s="4"/>
      <c r="AA759" s="4"/>
      <c r="AB759" s="4"/>
      <c r="AC759" s="7"/>
      <c r="AD759" s="4"/>
      <c r="AE759" s="4"/>
      <c r="AF759" s="21"/>
    </row>
    <row r="760" spans="24:32" x14ac:dyDescent="0.25">
      <c r="X760" s="4"/>
      <c r="Y760" s="4"/>
      <c r="Z760" s="4"/>
      <c r="AA760" s="4"/>
      <c r="AB760" s="4"/>
      <c r="AC760" s="7"/>
      <c r="AD760" s="4"/>
      <c r="AE760" s="4"/>
      <c r="AF760" s="21"/>
    </row>
    <row r="761" spans="24:32" x14ac:dyDescent="0.25">
      <c r="X761" s="4"/>
      <c r="Y761" s="4"/>
      <c r="Z761" s="4"/>
      <c r="AA761" s="4"/>
      <c r="AB761" s="4"/>
      <c r="AC761" s="7"/>
      <c r="AD761" s="4"/>
      <c r="AE761" s="4"/>
      <c r="AF761" s="21"/>
    </row>
    <row r="762" spans="24:32" x14ac:dyDescent="0.25">
      <c r="X762" s="4"/>
      <c r="Y762" s="4"/>
      <c r="Z762" s="4"/>
      <c r="AA762" s="4"/>
      <c r="AB762" s="4"/>
      <c r="AC762" s="7"/>
      <c r="AD762" s="4"/>
      <c r="AE762" s="4"/>
      <c r="AF762" s="21"/>
    </row>
    <row r="763" spans="24:32" x14ac:dyDescent="0.25">
      <c r="X763" s="4"/>
      <c r="Y763" s="4"/>
      <c r="Z763" s="4"/>
      <c r="AA763" s="4"/>
      <c r="AB763" s="4"/>
      <c r="AC763" s="7"/>
      <c r="AD763" s="4"/>
      <c r="AE763" s="4"/>
      <c r="AF763" s="21"/>
    </row>
    <row r="764" spans="24:32" x14ac:dyDescent="0.25">
      <c r="X764" s="4"/>
      <c r="Y764" s="4"/>
      <c r="Z764" s="4"/>
      <c r="AA764" s="4"/>
      <c r="AB764" s="4"/>
      <c r="AC764" s="7"/>
      <c r="AD764" s="4"/>
      <c r="AE764" s="4"/>
      <c r="AF764" s="21"/>
    </row>
    <row r="765" spans="24:32" x14ac:dyDescent="0.25">
      <c r="X765" s="4"/>
      <c r="Y765" s="4"/>
      <c r="Z765" s="4"/>
      <c r="AA765" s="4"/>
      <c r="AB765" s="4"/>
      <c r="AC765" s="7"/>
      <c r="AD765" s="4"/>
      <c r="AE765" s="4"/>
      <c r="AF765" s="21"/>
    </row>
    <row r="766" spans="24:32" x14ac:dyDescent="0.25">
      <c r="X766" s="4"/>
      <c r="Y766" s="4"/>
      <c r="Z766" s="4"/>
      <c r="AA766" s="4"/>
      <c r="AB766" s="4"/>
      <c r="AC766" s="7"/>
      <c r="AD766" s="4"/>
      <c r="AE766" s="4"/>
      <c r="AF766" s="21"/>
    </row>
    <row r="767" spans="24:32" x14ac:dyDescent="0.25">
      <c r="X767" s="4"/>
      <c r="Y767" s="4"/>
      <c r="Z767" s="4"/>
      <c r="AA767" s="4"/>
      <c r="AB767" s="4"/>
      <c r="AC767" s="7"/>
      <c r="AD767" s="4"/>
      <c r="AE767" s="4"/>
      <c r="AF767" s="21"/>
    </row>
    <row r="768" spans="24:32" x14ac:dyDescent="0.25">
      <c r="X768" s="4"/>
      <c r="Y768" s="4"/>
      <c r="Z768" s="4"/>
      <c r="AA768" s="4"/>
      <c r="AB768" s="4"/>
      <c r="AC768" s="7"/>
      <c r="AD768" s="4"/>
      <c r="AE768" s="4"/>
      <c r="AF768" s="21"/>
    </row>
    <row r="769" spans="24:32" x14ac:dyDescent="0.25">
      <c r="X769" s="4"/>
      <c r="Y769" s="4"/>
      <c r="Z769" s="4"/>
      <c r="AA769" s="4"/>
      <c r="AB769" s="4"/>
      <c r="AC769" s="7"/>
      <c r="AD769" s="4"/>
      <c r="AE769" s="4"/>
      <c r="AF769" s="21"/>
    </row>
    <row r="770" spans="24:32" x14ac:dyDescent="0.25">
      <c r="X770" s="4"/>
      <c r="Y770" s="4"/>
      <c r="Z770" s="4"/>
      <c r="AA770" s="4"/>
      <c r="AB770" s="4"/>
      <c r="AC770" s="7"/>
      <c r="AD770" s="4"/>
      <c r="AE770" s="4"/>
      <c r="AF770" s="21"/>
    </row>
    <row r="771" spans="24:32" x14ac:dyDescent="0.25">
      <c r="X771" s="4"/>
      <c r="Y771" s="4"/>
      <c r="Z771" s="4"/>
      <c r="AA771" s="4"/>
      <c r="AB771" s="4"/>
      <c r="AC771" s="7"/>
      <c r="AD771" s="4"/>
      <c r="AE771" s="4"/>
      <c r="AF771" s="21"/>
    </row>
    <row r="772" spans="24:32" x14ac:dyDescent="0.25">
      <c r="X772" s="4"/>
      <c r="Y772" s="4"/>
      <c r="Z772" s="4"/>
      <c r="AA772" s="4"/>
      <c r="AB772" s="4"/>
      <c r="AC772" s="7"/>
      <c r="AD772" s="4"/>
      <c r="AE772" s="4"/>
      <c r="AF772" s="21"/>
    </row>
    <row r="773" spans="24:32" x14ac:dyDescent="0.25">
      <c r="X773" s="4"/>
      <c r="Y773" s="4"/>
      <c r="Z773" s="4"/>
      <c r="AA773" s="4"/>
      <c r="AB773" s="4"/>
      <c r="AC773" s="7"/>
      <c r="AD773" s="4"/>
      <c r="AE773" s="4"/>
      <c r="AF773" s="21"/>
    </row>
    <row r="774" spans="24:32" x14ac:dyDescent="0.25">
      <c r="X774" s="4"/>
      <c r="Y774" s="4"/>
      <c r="Z774" s="4"/>
      <c r="AA774" s="4"/>
      <c r="AB774" s="4"/>
      <c r="AC774" s="7"/>
      <c r="AD774" s="4"/>
      <c r="AE774" s="4"/>
      <c r="AF774" s="21"/>
    </row>
    <row r="775" spans="24:32" x14ac:dyDescent="0.25">
      <c r="X775" s="4"/>
      <c r="Y775" s="4"/>
      <c r="Z775" s="4"/>
      <c r="AA775" s="4"/>
      <c r="AB775" s="4"/>
      <c r="AC775" s="7"/>
      <c r="AD775" s="4"/>
      <c r="AE775" s="4"/>
      <c r="AF775" s="21"/>
    </row>
    <row r="776" spans="24:32" x14ac:dyDescent="0.25">
      <c r="X776" s="4"/>
      <c r="Y776" s="4"/>
      <c r="Z776" s="4"/>
      <c r="AA776" s="4"/>
      <c r="AB776" s="4"/>
      <c r="AC776" s="7"/>
      <c r="AD776" s="4"/>
      <c r="AE776" s="4"/>
      <c r="AF776" s="21"/>
    </row>
    <row r="777" spans="24:32" x14ac:dyDescent="0.25">
      <c r="X777" s="4"/>
      <c r="Y777" s="4"/>
      <c r="Z777" s="4"/>
      <c r="AA777" s="4"/>
      <c r="AB777" s="4"/>
      <c r="AC777" s="7"/>
      <c r="AD777" s="4"/>
      <c r="AE777" s="4"/>
      <c r="AF777" s="21"/>
    </row>
    <row r="778" spans="24:32" x14ac:dyDescent="0.25">
      <c r="X778" s="4"/>
      <c r="Y778" s="4"/>
      <c r="Z778" s="4"/>
      <c r="AA778" s="4"/>
      <c r="AB778" s="4"/>
      <c r="AC778" s="7"/>
      <c r="AD778" s="4"/>
      <c r="AE778" s="4"/>
      <c r="AF778" s="21"/>
    </row>
    <row r="779" spans="24:32" x14ac:dyDescent="0.25">
      <c r="X779" s="4"/>
      <c r="Y779" s="4"/>
      <c r="Z779" s="4"/>
      <c r="AA779" s="4"/>
      <c r="AB779" s="4"/>
      <c r="AC779" s="7"/>
      <c r="AD779" s="4"/>
      <c r="AE779" s="4"/>
      <c r="AF779" s="21"/>
    </row>
    <row r="780" spans="24:32" x14ac:dyDescent="0.25">
      <c r="X780" s="4"/>
      <c r="Y780" s="4"/>
      <c r="Z780" s="4"/>
      <c r="AA780" s="4"/>
      <c r="AB780" s="4"/>
      <c r="AC780" s="7"/>
      <c r="AD780" s="4"/>
      <c r="AE780" s="4"/>
      <c r="AF780" s="21"/>
    </row>
    <row r="781" spans="24:32" x14ac:dyDescent="0.25">
      <c r="X781" s="4"/>
      <c r="Y781" s="4"/>
      <c r="Z781" s="4"/>
      <c r="AA781" s="4"/>
      <c r="AB781" s="4"/>
      <c r="AC781" s="7"/>
      <c r="AD781" s="4"/>
      <c r="AE781" s="4"/>
      <c r="AF781" s="21"/>
    </row>
    <row r="782" spans="24:32" x14ac:dyDescent="0.25">
      <c r="X782" s="4"/>
      <c r="Y782" s="4"/>
      <c r="Z782" s="4"/>
      <c r="AA782" s="4"/>
      <c r="AB782" s="4"/>
      <c r="AC782" s="7"/>
      <c r="AD782" s="4"/>
      <c r="AE782" s="4"/>
      <c r="AF782" s="21"/>
    </row>
    <row r="783" spans="24:32" x14ac:dyDescent="0.25">
      <c r="X783" s="4"/>
      <c r="Y783" s="4"/>
      <c r="Z783" s="4"/>
      <c r="AA783" s="4"/>
      <c r="AB783" s="4"/>
      <c r="AC783" s="7"/>
      <c r="AD783" s="4"/>
      <c r="AE783" s="4"/>
      <c r="AF783" s="21"/>
    </row>
    <row r="784" spans="24:32" x14ac:dyDescent="0.25">
      <c r="X784" s="4"/>
      <c r="Y784" s="4"/>
      <c r="Z784" s="4"/>
      <c r="AA784" s="4"/>
      <c r="AB784" s="4"/>
      <c r="AC784" s="7"/>
      <c r="AD784" s="4"/>
      <c r="AE784" s="4"/>
      <c r="AF784" s="21"/>
    </row>
    <row r="785" spans="24:32" x14ac:dyDescent="0.25">
      <c r="X785" s="4"/>
      <c r="Y785" s="4"/>
      <c r="Z785" s="4"/>
      <c r="AA785" s="4"/>
      <c r="AB785" s="4"/>
      <c r="AC785" s="7"/>
      <c r="AD785" s="4"/>
      <c r="AE785" s="4"/>
      <c r="AF785" s="21"/>
    </row>
    <row r="786" spans="24:32" x14ac:dyDescent="0.25">
      <c r="X786" s="4"/>
      <c r="Y786" s="4"/>
      <c r="Z786" s="4"/>
      <c r="AA786" s="4"/>
      <c r="AB786" s="4"/>
      <c r="AC786" s="7"/>
      <c r="AD786" s="4"/>
      <c r="AE786" s="4"/>
      <c r="AF786" s="21"/>
    </row>
    <row r="787" spans="24:32" x14ac:dyDescent="0.25">
      <c r="X787" s="4"/>
      <c r="Y787" s="4"/>
      <c r="Z787" s="4"/>
      <c r="AA787" s="4"/>
      <c r="AB787" s="4"/>
      <c r="AC787" s="7"/>
      <c r="AD787" s="4"/>
      <c r="AE787" s="4"/>
      <c r="AF787" s="21"/>
    </row>
    <row r="788" spans="24:32" x14ac:dyDescent="0.25">
      <c r="X788" s="4"/>
      <c r="Y788" s="4"/>
      <c r="Z788" s="4"/>
      <c r="AA788" s="4"/>
      <c r="AB788" s="4"/>
      <c r="AC788" s="7"/>
      <c r="AD788" s="4"/>
      <c r="AE788" s="4"/>
      <c r="AF788" s="21"/>
    </row>
    <row r="789" spans="24:32" x14ac:dyDescent="0.25">
      <c r="X789" s="4"/>
      <c r="Y789" s="4"/>
      <c r="Z789" s="4"/>
      <c r="AA789" s="4"/>
      <c r="AB789" s="4"/>
      <c r="AC789" s="7"/>
      <c r="AD789" s="4"/>
      <c r="AE789" s="4"/>
      <c r="AF789" s="21"/>
    </row>
    <row r="790" spans="24:32" x14ac:dyDescent="0.25">
      <c r="X790" s="4"/>
      <c r="Y790" s="4"/>
      <c r="Z790" s="4"/>
      <c r="AA790" s="4"/>
      <c r="AB790" s="4"/>
      <c r="AC790" s="7"/>
      <c r="AD790" s="4"/>
      <c r="AE790" s="4"/>
      <c r="AF790" s="21"/>
    </row>
    <row r="791" spans="24:32" x14ac:dyDescent="0.25">
      <c r="X791" s="4"/>
      <c r="Y791" s="4"/>
      <c r="Z791" s="4"/>
      <c r="AA791" s="4"/>
      <c r="AB791" s="4"/>
      <c r="AC791" s="7"/>
      <c r="AD791" s="4"/>
      <c r="AE791" s="4"/>
      <c r="AF791" s="21"/>
    </row>
    <row r="792" spans="24:32" x14ac:dyDescent="0.25">
      <c r="X792" s="4"/>
      <c r="Y792" s="4"/>
      <c r="Z792" s="4"/>
      <c r="AA792" s="4"/>
      <c r="AB792" s="4"/>
      <c r="AC792" s="7"/>
      <c r="AD792" s="4"/>
      <c r="AE792" s="4"/>
      <c r="AF792" s="21"/>
    </row>
    <row r="793" spans="24:32" x14ac:dyDescent="0.25">
      <c r="X793" s="4"/>
      <c r="Y793" s="4"/>
      <c r="Z793" s="4"/>
      <c r="AA793" s="4"/>
      <c r="AB793" s="4"/>
      <c r="AC793" s="7"/>
      <c r="AD793" s="4"/>
      <c r="AE793" s="4"/>
      <c r="AF793" s="21"/>
    </row>
    <row r="794" spans="24:32" x14ac:dyDescent="0.25">
      <c r="X794" s="4"/>
      <c r="Y794" s="4"/>
      <c r="Z794" s="4"/>
      <c r="AA794" s="4"/>
      <c r="AB794" s="4"/>
      <c r="AC794" s="7"/>
      <c r="AD794" s="4"/>
      <c r="AE794" s="4"/>
      <c r="AF794" s="21"/>
    </row>
    <row r="795" spans="24:32" x14ac:dyDescent="0.25">
      <c r="X795" s="4"/>
      <c r="Y795" s="4"/>
      <c r="Z795" s="4"/>
      <c r="AA795" s="4"/>
      <c r="AB795" s="4"/>
      <c r="AC795" s="7"/>
      <c r="AD795" s="4"/>
      <c r="AE795" s="4"/>
      <c r="AF795" s="21"/>
    </row>
    <row r="796" spans="24:32" x14ac:dyDescent="0.25">
      <c r="X796" s="4"/>
      <c r="Y796" s="4"/>
      <c r="Z796" s="4"/>
      <c r="AA796" s="4"/>
      <c r="AB796" s="4"/>
      <c r="AC796" s="7"/>
      <c r="AD796" s="4"/>
      <c r="AE796" s="4"/>
      <c r="AF796" s="21"/>
    </row>
    <row r="797" spans="24:32" x14ac:dyDescent="0.25">
      <c r="X797" s="4"/>
      <c r="Y797" s="4"/>
      <c r="Z797" s="4"/>
      <c r="AA797" s="4"/>
      <c r="AB797" s="4"/>
      <c r="AC797" s="7"/>
      <c r="AD797" s="4"/>
      <c r="AE797" s="4"/>
      <c r="AF797" s="21"/>
    </row>
    <row r="798" spans="24:32" x14ac:dyDescent="0.25">
      <c r="X798" s="4"/>
      <c r="Y798" s="4"/>
      <c r="Z798" s="4"/>
      <c r="AA798" s="4"/>
      <c r="AB798" s="4"/>
      <c r="AC798" s="7"/>
      <c r="AD798" s="4"/>
      <c r="AE798" s="4"/>
      <c r="AF798" s="21"/>
    </row>
    <row r="799" spans="24:32" x14ac:dyDescent="0.25">
      <c r="X799" s="4"/>
      <c r="Y799" s="4"/>
      <c r="Z799" s="4"/>
      <c r="AA799" s="4"/>
      <c r="AB799" s="4"/>
      <c r="AC799" s="7"/>
      <c r="AD799" s="4"/>
      <c r="AE799" s="4"/>
      <c r="AF799" s="21"/>
    </row>
    <row r="800" spans="24:32" x14ac:dyDescent="0.25">
      <c r="X800" s="4"/>
      <c r="Y800" s="4"/>
      <c r="Z800" s="4"/>
      <c r="AA800" s="4"/>
      <c r="AB800" s="4"/>
      <c r="AC800" s="7"/>
      <c r="AD800" s="4"/>
      <c r="AE800" s="4"/>
      <c r="AF800" s="21"/>
    </row>
    <row r="801" spans="24:32" x14ac:dyDescent="0.25">
      <c r="X801" s="4"/>
      <c r="Y801" s="4"/>
      <c r="Z801" s="4"/>
      <c r="AA801" s="4"/>
      <c r="AB801" s="4"/>
      <c r="AC801" s="7"/>
      <c r="AD801" s="4"/>
      <c r="AE801" s="4"/>
      <c r="AF801" s="21"/>
    </row>
    <row r="802" spans="24:32" x14ac:dyDescent="0.25">
      <c r="X802" s="4"/>
      <c r="Y802" s="4"/>
      <c r="Z802" s="4"/>
      <c r="AA802" s="4"/>
      <c r="AB802" s="4"/>
      <c r="AC802" s="7"/>
      <c r="AD802" s="4"/>
      <c r="AE802" s="4"/>
      <c r="AF802" s="21"/>
    </row>
    <row r="803" spans="24:32" x14ac:dyDescent="0.25">
      <c r="X803" s="4"/>
      <c r="Y803" s="4"/>
      <c r="Z803" s="4"/>
      <c r="AA803" s="4"/>
      <c r="AB803" s="4"/>
      <c r="AC803" s="7"/>
      <c r="AD803" s="4"/>
      <c r="AE803" s="4"/>
      <c r="AF803" s="21"/>
    </row>
    <row r="804" spans="24:32" x14ac:dyDescent="0.25">
      <c r="X804" s="4"/>
      <c r="Y804" s="4"/>
      <c r="Z804" s="4"/>
      <c r="AA804" s="4"/>
      <c r="AB804" s="4"/>
      <c r="AC804" s="7"/>
      <c r="AD804" s="4"/>
      <c r="AE804" s="4"/>
      <c r="AF804" s="21"/>
    </row>
    <row r="805" spans="24:32" x14ac:dyDescent="0.25">
      <c r="X805" s="4"/>
      <c r="Y805" s="4"/>
      <c r="Z805" s="4"/>
      <c r="AA805" s="4"/>
      <c r="AB805" s="4"/>
      <c r="AC805" s="7"/>
      <c r="AD805" s="4"/>
      <c r="AE805" s="4"/>
      <c r="AF805" s="21"/>
    </row>
    <row r="806" spans="24:32" x14ac:dyDescent="0.25">
      <c r="X806" s="4"/>
      <c r="Y806" s="4"/>
      <c r="Z806" s="4"/>
      <c r="AA806" s="4"/>
      <c r="AB806" s="4"/>
      <c r="AC806" s="7"/>
      <c r="AD806" s="4"/>
      <c r="AE806" s="4"/>
      <c r="AF806" s="21"/>
    </row>
    <row r="807" spans="24:32" x14ac:dyDescent="0.25">
      <c r="X807" s="4"/>
      <c r="Y807" s="4"/>
      <c r="Z807" s="4"/>
      <c r="AA807" s="4"/>
      <c r="AB807" s="4"/>
      <c r="AC807" s="7"/>
      <c r="AD807" s="4"/>
      <c r="AE807" s="4"/>
      <c r="AF807" s="21"/>
    </row>
    <row r="808" spans="24:32" x14ac:dyDescent="0.25">
      <c r="X808" s="4"/>
      <c r="Y808" s="4"/>
      <c r="Z808" s="4"/>
      <c r="AA808" s="4"/>
      <c r="AB808" s="4"/>
      <c r="AC808" s="7"/>
      <c r="AD808" s="4"/>
      <c r="AE808" s="4"/>
      <c r="AF808" s="21"/>
    </row>
    <row r="809" spans="24:32" x14ac:dyDescent="0.25">
      <c r="X809" s="4"/>
      <c r="Y809" s="4"/>
      <c r="Z809" s="4"/>
      <c r="AA809" s="4"/>
      <c r="AB809" s="4"/>
      <c r="AC809" s="7"/>
      <c r="AD809" s="4"/>
      <c r="AE809" s="4"/>
      <c r="AF809" s="21"/>
    </row>
    <row r="810" spans="24:32" x14ac:dyDescent="0.25">
      <c r="X810" s="4"/>
      <c r="Y810" s="4"/>
      <c r="Z810" s="4"/>
      <c r="AA810" s="4"/>
      <c r="AB810" s="4"/>
      <c r="AC810" s="7"/>
      <c r="AD810" s="4"/>
      <c r="AE810" s="4"/>
      <c r="AF810" s="21"/>
    </row>
    <row r="811" spans="24:32" x14ac:dyDescent="0.25">
      <c r="X811" s="4"/>
      <c r="Y811" s="4"/>
      <c r="Z811" s="4"/>
      <c r="AA811" s="4"/>
      <c r="AB811" s="4"/>
      <c r="AC811" s="7"/>
      <c r="AD811" s="4"/>
      <c r="AE811" s="4"/>
      <c r="AF811" s="21"/>
    </row>
    <row r="812" spans="24:32" x14ac:dyDescent="0.25">
      <c r="X812" s="4"/>
      <c r="Y812" s="4"/>
      <c r="Z812" s="4"/>
      <c r="AA812" s="4"/>
      <c r="AB812" s="4"/>
      <c r="AC812" s="7"/>
      <c r="AD812" s="4"/>
      <c r="AE812" s="4"/>
      <c r="AF812" s="21"/>
    </row>
    <row r="813" spans="24:32" x14ac:dyDescent="0.25">
      <c r="X813" s="4"/>
      <c r="Y813" s="4"/>
      <c r="Z813" s="4"/>
      <c r="AA813" s="4"/>
      <c r="AB813" s="4"/>
      <c r="AC813" s="7"/>
      <c r="AD813" s="4"/>
      <c r="AE813" s="4"/>
      <c r="AF813" s="21"/>
    </row>
    <row r="814" spans="24:32" x14ac:dyDescent="0.25">
      <c r="X814" s="4"/>
      <c r="Y814" s="4"/>
      <c r="Z814" s="4"/>
      <c r="AA814" s="4"/>
      <c r="AB814" s="4"/>
      <c r="AC814" s="7"/>
      <c r="AD814" s="4"/>
      <c r="AE814" s="4"/>
      <c r="AF814" s="21"/>
    </row>
    <row r="815" spans="24:32" x14ac:dyDescent="0.25">
      <c r="X815" s="4"/>
      <c r="Y815" s="4"/>
      <c r="Z815" s="4"/>
      <c r="AA815" s="4"/>
      <c r="AB815" s="4"/>
      <c r="AC815" s="7"/>
      <c r="AD815" s="4"/>
      <c r="AE815" s="4"/>
      <c r="AF815" s="21"/>
    </row>
    <row r="816" spans="24:32" x14ac:dyDescent="0.25">
      <c r="X816" s="4"/>
      <c r="Y816" s="4"/>
      <c r="Z816" s="4"/>
      <c r="AA816" s="4"/>
      <c r="AB816" s="4"/>
      <c r="AC816" s="7"/>
      <c r="AD816" s="4"/>
      <c r="AE816" s="4"/>
      <c r="AF816" s="21"/>
    </row>
    <row r="817" spans="24:32" x14ac:dyDescent="0.25">
      <c r="X817" s="4"/>
      <c r="Y817" s="4"/>
      <c r="Z817" s="4"/>
      <c r="AA817" s="4"/>
      <c r="AB817" s="4"/>
      <c r="AC817" s="7"/>
      <c r="AD817" s="4"/>
      <c r="AE817" s="4"/>
      <c r="AF817" s="21"/>
    </row>
    <row r="818" spans="24:32" x14ac:dyDescent="0.25">
      <c r="X818" s="4"/>
      <c r="Y818" s="4"/>
      <c r="Z818" s="4"/>
      <c r="AA818" s="4"/>
      <c r="AB818" s="4"/>
      <c r="AC818" s="7"/>
      <c r="AD818" s="4"/>
      <c r="AE818" s="4"/>
      <c r="AF818" s="21"/>
    </row>
    <row r="819" spans="24:32" x14ac:dyDescent="0.25">
      <c r="X819" s="4"/>
      <c r="Y819" s="4"/>
      <c r="Z819" s="4"/>
      <c r="AA819" s="4"/>
      <c r="AB819" s="4"/>
      <c r="AC819" s="7"/>
      <c r="AD819" s="4"/>
      <c r="AE819" s="4"/>
      <c r="AF819" s="21"/>
    </row>
    <row r="820" spans="24:32" x14ac:dyDescent="0.25">
      <c r="X820" s="4"/>
      <c r="Y820" s="4"/>
      <c r="Z820" s="4"/>
      <c r="AA820" s="4"/>
      <c r="AB820" s="4"/>
      <c r="AC820" s="7"/>
      <c r="AD820" s="4"/>
      <c r="AE820" s="4"/>
      <c r="AF820" s="21"/>
    </row>
    <row r="821" spans="24:32" x14ac:dyDescent="0.25">
      <c r="X821" s="4"/>
      <c r="Y821" s="4"/>
      <c r="Z821" s="4"/>
      <c r="AA821" s="4"/>
      <c r="AB821" s="4"/>
      <c r="AC821" s="7"/>
      <c r="AD821" s="4"/>
      <c r="AE821" s="4"/>
      <c r="AF821" s="21"/>
    </row>
    <row r="822" spans="24:32" x14ac:dyDescent="0.25">
      <c r="X822" s="4"/>
      <c r="Y822" s="4"/>
      <c r="Z822" s="4"/>
      <c r="AA822" s="4"/>
      <c r="AB822" s="4"/>
      <c r="AC822" s="7"/>
      <c r="AD822" s="4"/>
      <c r="AE822" s="4"/>
      <c r="AF822" s="21"/>
    </row>
    <row r="823" spans="24:32" x14ac:dyDescent="0.25">
      <c r="X823" s="4"/>
      <c r="Y823" s="4"/>
      <c r="Z823" s="4"/>
      <c r="AA823" s="4"/>
      <c r="AB823" s="4"/>
      <c r="AC823" s="7"/>
      <c r="AD823" s="4"/>
      <c r="AE823" s="4"/>
      <c r="AF823" s="21"/>
    </row>
    <row r="824" spans="24:32" x14ac:dyDescent="0.25">
      <c r="X824" s="4"/>
      <c r="Y824" s="4"/>
      <c r="Z824" s="4"/>
      <c r="AA824" s="4"/>
      <c r="AB824" s="4"/>
      <c r="AC824" s="7"/>
      <c r="AD824" s="4"/>
      <c r="AE824" s="4"/>
      <c r="AF824" s="21"/>
    </row>
    <row r="825" spans="24:32" x14ac:dyDescent="0.25">
      <c r="X825" s="4"/>
      <c r="Y825" s="4"/>
      <c r="Z825" s="4"/>
      <c r="AA825" s="4"/>
      <c r="AB825" s="4"/>
      <c r="AC825" s="7"/>
      <c r="AD825" s="4"/>
      <c r="AE825" s="4"/>
      <c r="AF825" s="21"/>
    </row>
    <row r="826" spans="24:32" x14ac:dyDescent="0.25">
      <c r="X826" s="4"/>
      <c r="Y826" s="4"/>
      <c r="Z826" s="4"/>
      <c r="AA826" s="4"/>
      <c r="AB826" s="4"/>
      <c r="AC826" s="7"/>
      <c r="AD826" s="4"/>
      <c r="AE826" s="4"/>
      <c r="AF826" s="21"/>
    </row>
    <row r="827" spans="24:32" x14ac:dyDescent="0.25">
      <c r="X827" s="4"/>
      <c r="Y827" s="4"/>
      <c r="Z827" s="4"/>
      <c r="AA827" s="4"/>
      <c r="AB827" s="4"/>
      <c r="AC827" s="7"/>
      <c r="AD827" s="4"/>
      <c r="AE827" s="4"/>
      <c r="AF827" s="21"/>
    </row>
    <row r="828" spans="24:32" x14ac:dyDescent="0.25">
      <c r="X828" s="4"/>
      <c r="Y828" s="4"/>
      <c r="Z828" s="4"/>
      <c r="AA828" s="4"/>
      <c r="AB828" s="4"/>
      <c r="AC828" s="7"/>
      <c r="AD828" s="4"/>
      <c r="AE828" s="4"/>
      <c r="AF828" s="21"/>
    </row>
    <row r="829" spans="24:32" x14ac:dyDescent="0.25">
      <c r="X829" s="4"/>
      <c r="Y829" s="4"/>
      <c r="Z829" s="4"/>
      <c r="AA829" s="4"/>
      <c r="AB829" s="4"/>
      <c r="AC829" s="7"/>
      <c r="AD829" s="4"/>
      <c r="AE829" s="4"/>
      <c r="AF829" s="21"/>
    </row>
    <row r="830" spans="24:32" x14ac:dyDescent="0.25">
      <c r="X830" s="4"/>
      <c r="Y830" s="4"/>
      <c r="Z830" s="4"/>
      <c r="AA830" s="4"/>
      <c r="AB830" s="4"/>
      <c r="AC830" s="7"/>
      <c r="AD830" s="4"/>
      <c r="AE830" s="4"/>
      <c r="AF830" s="21"/>
    </row>
    <row r="831" spans="24:32" x14ac:dyDescent="0.25">
      <c r="X831" s="4"/>
      <c r="Y831" s="4"/>
      <c r="Z831" s="4"/>
      <c r="AA831" s="4"/>
      <c r="AB831" s="4"/>
      <c r="AC831" s="7"/>
      <c r="AD831" s="4"/>
      <c r="AE831" s="4"/>
      <c r="AF831" s="21"/>
    </row>
    <row r="832" spans="24:32" x14ac:dyDescent="0.25">
      <c r="X832" s="4"/>
      <c r="Y832" s="4"/>
      <c r="Z832" s="4"/>
      <c r="AA832" s="4"/>
      <c r="AB832" s="4"/>
      <c r="AC832" s="7"/>
      <c r="AD832" s="4"/>
      <c r="AE832" s="4"/>
      <c r="AF832" s="21"/>
    </row>
    <row r="833" spans="24:32" x14ac:dyDescent="0.25">
      <c r="X833" s="4"/>
      <c r="Y833" s="4"/>
      <c r="Z833" s="4"/>
      <c r="AA833" s="4"/>
      <c r="AB833" s="4"/>
      <c r="AC833" s="7"/>
      <c r="AD833" s="4"/>
      <c r="AE833" s="4"/>
      <c r="AF833" s="21"/>
    </row>
    <row r="834" spans="24:32" x14ac:dyDescent="0.25">
      <c r="X834" s="4"/>
      <c r="Y834" s="4"/>
      <c r="Z834" s="4"/>
      <c r="AA834" s="4"/>
      <c r="AB834" s="4"/>
      <c r="AC834" s="7"/>
      <c r="AD834" s="4"/>
      <c r="AE834" s="4"/>
      <c r="AF834" s="21"/>
    </row>
    <row r="835" spans="24:32" x14ac:dyDescent="0.25">
      <c r="X835" s="4"/>
      <c r="Y835" s="4"/>
      <c r="Z835" s="4"/>
      <c r="AA835" s="4"/>
      <c r="AB835" s="4"/>
      <c r="AC835" s="7"/>
      <c r="AD835" s="4"/>
      <c r="AE835" s="4"/>
      <c r="AF835" s="21"/>
    </row>
    <row r="836" spans="24:32" x14ac:dyDescent="0.25">
      <c r="X836" s="4"/>
      <c r="Y836" s="4"/>
      <c r="Z836" s="4"/>
      <c r="AA836" s="4"/>
      <c r="AB836" s="4"/>
      <c r="AC836" s="7"/>
      <c r="AD836" s="4"/>
      <c r="AE836" s="4"/>
      <c r="AF836" s="21"/>
    </row>
    <row r="837" spans="24:32" x14ac:dyDescent="0.25">
      <c r="X837" s="4"/>
      <c r="Y837" s="4"/>
      <c r="Z837" s="4"/>
      <c r="AA837" s="4"/>
      <c r="AB837" s="4"/>
      <c r="AC837" s="7"/>
      <c r="AD837" s="4"/>
      <c r="AE837" s="4"/>
      <c r="AF837" s="21"/>
    </row>
    <row r="838" spans="24:32" x14ac:dyDescent="0.25">
      <c r="X838" s="4"/>
      <c r="Y838" s="4"/>
      <c r="Z838" s="4"/>
      <c r="AA838" s="4"/>
      <c r="AB838" s="4"/>
      <c r="AC838" s="7"/>
      <c r="AD838" s="4"/>
      <c r="AE838" s="4"/>
      <c r="AF838" s="21"/>
    </row>
    <row r="839" spans="24:32" x14ac:dyDescent="0.25">
      <c r="X839" s="4"/>
      <c r="Y839" s="4"/>
      <c r="Z839" s="4"/>
      <c r="AA839" s="4"/>
      <c r="AB839" s="4"/>
      <c r="AC839" s="7"/>
      <c r="AD839" s="4"/>
      <c r="AE839" s="4"/>
      <c r="AF839" s="21"/>
    </row>
    <row r="840" spans="24:32" x14ac:dyDescent="0.25">
      <c r="X840" s="4"/>
      <c r="Y840" s="4"/>
      <c r="Z840" s="4"/>
      <c r="AA840" s="4"/>
      <c r="AB840" s="4"/>
      <c r="AC840" s="7"/>
      <c r="AD840" s="4"/>
      <c r="AE840" s="4"/>
      <c r="AF840" s="21"/>
    </row>
    <row r="841" spans="24:32" x14ac:dyDescent="0.25">
      <c r="X841" s="4"/>
      <c r="Y841" s="4"/>
      <c r="Z841" s="4"/>
      <c r="AA841" s="4"/>
      <c r="AB841" s="4"/>
      <c r="AC841" s="7"/>
      <c r="AD841" s="4"/>
      <c r="AE841" s="4"/>
      <c r="AF841" s="21"/>
    </row>
    <row r="842" spans="24:32" x14ac:dyDescent="0.25">
      <c r="X842" s="4"/>
      <c r="Y842" s="4"/>
      <c r="Z842" s="4"/>
      <c r="AA842" s="4"/>
      <c r="AB842" s="4"/>
      <c r="AC842" s="7"/>
      <c r="AD842" s="4"/>
      <c r="AE842" s="4"/>
      <c r="AF842" s="21"/>
    </row>
    <row r="843" spans="24:32" x14ac:dyDescent="0.25">
      <c r="X843" s="4"/>
      <c r="Y843" s="4"/>
      <c r="Z843" s="4"/>
      <c r="AA843" s="4"/>
      <c r="AB843" s="4"/>
      <c r="AC843" s="7"/>
      <c r="AD843" s="4"/>
      <c r="AE843" s="4"/>
      <c r="AF843" s="21"/>
    </row>
    <row r="844" spans="24:32" x14ac:dyDescent="0.25">
      <c r="X844" s="4"/>
      <c r="Y844" s="4"/>
      <c r="Z844" s="4"/>
      <c r="AA844" s="4"/>
      <c r="AB844" s="4"/>
      <c r="AC844" s="7"/>
      <c r="AD844" s="4"/>
      <c r="AE844" s="4"/>
      <c r="AF844" s="21"/>
    </row>
    <row r="845" spans="24:32" x14ac:dyDescent="0.25">
      <c r="X845" s="4"/>
      <c r="Y845" s="4"/>
      <c r="Z845" s="4"/>
      <c r="AA845" s="4"/>
      <c r="AB845" s="4"/>
      <c r="AC845" s="7"/>
      <c r="AD845" s="4"/>
      <c r="AE845" s="4"/>
      <c r="AF845" s="21"/>
    </row>
    <row r="846" spans="24:32" x14ac:dyDescent="0.25">
      <c r="X846" s="4"/>
      <c r="Y846" s="4"/>
      <c r="Z846" s="4"/>
      <c r="AA846" s="4"/>
      <c r="AB846" s="4"/>
      <c r="AC846" s="7"/>
      <c r="AD846" s="4"/>
      <c r="AE846" s="4"/>
      <c r="AF846" s="21"/>
    </row>
    <row r="847" spans="24:32" x14ac:dyDescent="0.25">
      <c r="X847" s="4"/>
      <c r="Y847" s="4"/>
      <c r="Z847" s="4"/>
      <c r="AA847" s="4"/>
      <c r="AB847" s="4"/>
      <c r="AC847" s="7"/>
      <c r="AD847" s="4"/>
      <c r="AE847" s="4"/>
      <c r="AF847" s="21"/>
    </row>
    <row r="848" spans="24:32" x14ac:dyDescent="0.25">
      <c r="X848" s="4"/>
      <c r="Y848" s="4"/>
      <c r="Z848" s="4"/>
      <c r="AA848" s="4"/>
      <c r="AB848" s="4"/>
      <c r="AC848" s="7"/>
      <c r="AD848" s="4"/>
      <c r="AE848" s="4"/>
      <c r="AF848" s="21"/>
    </row>
    <row r="849" spans="24:32" x14ac:dyDescent="0.25">
      <c r="X849" s="4"/>
      <c r="Y849" s="4"/>
      <c r="Z849" s="4"/>
      <c r="AA849" s="4"/>
      <c r="AB849" s="4"/>
      <c r="AC849" s="7"/>
      <c r="AD849" s="4"/>
      <c r="AE849" s="4"/>
      <c r="AF849" s="21"/>
    </row>
    <row r="850" spans="24:32" x14ac:dyDescent="0.25">
      <c r="X850" s="4"/>
      <c r="Y850" s="4"/>
      <c r="Z850" s="4"/>
      <c r="AA850" s="4"/>
      <c r="AB850" s="4"/>
      <c r="AC850" s="7"/>
      <c r="AD850" s="4"/>
      <c r="AE850" s="4"/>
      <c r="AF850" s="21"/>
    </row>
    <row r="851" spans="24:32" x14ac:dyDescent="0.25">
      <c r="X851" s="4"/>
      <c r="Y851" s="4"/>
      <c r="Z851" s="4"/>
      <c r="AA851" s="4"/>
      <c r="AB851" s="4"/>
      <c r="AC851" s="7"/>
      <c r="AD851" s="4"/>
      <c r="AE851" s="4"/>
      <c r="AF851" s="21"/>
    </row>
    <row r="852" spans="24:32" x14ac:dyDescent="0.25">
      <c r="X852" s="4"/>
      <c r="Y852" s="4"/>
      <c r="Z852" s="4"/>
      <c r="AA852" s="4"/>
      <c r="AB852" s="4"/>
      <c r="AC852" s="7"/>
      <c r="AD852" s="4"/>
      <c r="AE852" s="4"/>
      <c r="AF852" s="21"/>
    </row>
    <row r="853" spans="24:32" x14ac:dyDescent="0.25">
      <c r="X853" s="4"/>
      <c r="Y853" s="4"/>
      <c r="Z853" s="4"/>
      <c r="AA853" s="4"/>
      <c r="AB853" s="4"/>
      <c r="AC853" s="7"/>
      <c r="AD853" s="4"/>
      <c r="AE853" s="4"/>
      <c r="AF853" s="21"/>
    </row>
    <row r="854" spans="24:32" x14ac:dyDescent="0.25">
      <c r="X854" s="4"/>
      <c r="Y854" s="4"/>
      <c r="Z854" s="4"/>
      <c r="AA854" s="4"/>
      <c r="AB854" s="4"/>
      <c r="AC854" s="7"/>
      <c r="AD854" s="4"/>
      <c r="AE854" s="4"/>
      <c r="AF854" s="21"/>
    </row>
    <row r="855" spans="24:32" x14ac:dyDescent="0.25">
      <c r="X855" s="4"/>
      <c r="Y855" s="4"/>
      <c r="Z855" s="4"/>
      <c r="AA855" s="4"/>
      <c r="AB855" s="4"/>
      <c r="AC855" s="7"/>
      <c r="AD855" s="4"/>
      <c r="AE855" s="4"/>
      <c r="AF855" s="21"/>
    </row>
    <row r="856" spans="24:32" x14ac:dyDescent="0.25">
      <c r="X856" s="4"/>
      <c r="Y856" s="4"/>
      <c r="Z856" s="4"/>
      <c r="AA856" s="4"/>
      <c r="AB856" s="4"/>
      <c r="AC856" s="7"/>
      <c r="AD856" s="4"/>
      <c r="AE856" s="4"/>
      <c r="AF856" s="21"/>
    </row>
    <row r="857" spans="24:32" x14ac:dyDescent="0.25">
      <c r="X857" s="4"/>
      <c r="Y857" s="4"/>
      <c r="Z857" s="4"/>
      <c r="AA857" s="4"/>
      <c r="AB857" s="4"/>
      <c r="AC857" s="7"/>
      <c r="AD857" s="4"/>
      <c r="AE857" s="4"/>
      <c r="AF857" s="21"/>
    </row>
    <row r="858" spans="24:32" x14ac:dyDescent="0.25">
      <c r="X858" s="4"/>
      <c r="Y858" s="4"/>
      <c r="Z858" s="4"/>
      <c r="AA858" s="4"/>
      <c r="AB858" s="4"/>
      <c r="AC858" s="7"/>
      <c r="AD858" s="4"/>
      <c r="AE858" s="4"/>
      <c r="AF858" s="21"/>
    </row>
    <row r="859" spans="24:32" x14ac:dyDescent="0.25">
      <c r="X859" s="4"/>
      <c r="Y859" s="4"/>
      <c r="Z859" s="4"/>
      <c r="AA859" s="4"/>
      <c r="AB859" s="4"/>
      <c r="AC859" s="7"/>
      <c r="AD859" s="4"/>
      <c r="AE859" s="4"/>
      <c r="AF859" s="21"/>
    </row>
    <row r="860" spans="24:32" x14ac:dyDescent="0.25">
      <c r="X860" s="4"/>
      <c r="Y860" s="4"/>
      <c r="Z860" s="4"/>
      <c r="AA860" s="4"/>
      <c r="AB860" s="4"/>
      <c r="AC860" s="7"/>
      <c r="AD860" s="4"/>
      <c r="AE860" s="4"/>
      <c r="AF860" s="21"/>
    </row>
    <row r="861" spans="24:32" x14ac:dyDescent="0.25">
      <c r="X861" s="4"/>
      <c r="Y861" s="4"/>
      <c r="Z861" s="4"/>
      <c r="AA861" s="4"/>
      <c r="AB861" s="4"/>
      <c r="AC861" s="7"/>
      <c r="AD861" s="4"/>
      <c r="AE861" s="4"/>
      <c r="AF861" s="21"/>
    </row>
    <row r="862" spans="24:32" x14ac:dyDescent="0.25">
      <c r="X862" s="4"/>
      <c r="Y862" s="4"/>
      <c r="Z862" s="4"/>
      <c r="AA862" s="4"/>
      <c r="AB862" s="4"/>
      <c r="AC862" s="7"/>
      <c r="AD862" s="4"/>
      <c r="AE862" s="4"/>
      <c r="AF862" s="21"/>
    </row>
    <row r="863" spans="24:32" x14ac:dyDescent="0.25">
      <c r="X863" s="4"/>
      <c r="Y863" s="4"/>
      <c r="Z863" s="4"/>
      <c r="AA863" s="4"/>
      <c r="AB863" s="4"/>
      <c r="AC863" s="7"/>
      <c r="AD863" s="4"/>
      <c r="AE863" s="4"/>
      <c r="AF863" s="21"/>
    </row>
    <row r="864" spans="24:32" x14ac:dyDescent="0.25">
      <c r="X864" s="4"/>
      <c r="Y864" s="4"/>
      <c r="Z864" s="4"/>
      <c r="AA864" s="4"/>
      <c r="AB864" s="4"/>
      <c r="AC864" s="7"/>
      <c r="AD864" s="4"/>
      <c r="AE864" s="4"/>
      <c r="AF864" s="21"/>
    </row>
    <row r="865" spans="24:32" x14ac:dyDescent="0.25">
      <c r="X865" s="4"/>
      <c r="Y865" s="4"/>
      <c r="Z865" s="4"/>
      <c r="AA865" s="4"/>
      <c r="AB865" s="4"/>
      <c r="AC865" s="7"/>
      <c r="AD865" s="4"/>
      <c r="AE865" s="4"/>
      <c r="AF865" s="21"/>
    </row>
    <row r="866" spans="24:32" x14ac:dyDescent="0.25">
      <c r="X866" s="4"/>
      <c r="Y866" s="4"/>
      <c r="Z866" s="4"/>
      <c r="AA866" s="4"/>
      <c r="AB866" s="4"/>
      <c r="AC866" s="7"/>
      <c r="AD866" s="4"/>
      <c r="AE866" s="4"/>
      <c r="AF866" s="21"/>
    </row>
    <row r="867" spans="24:32" x14ac:dyDescent="0.25">
      <c r="X867" s="4"/>
      <c r="Y867" s="4"/>
      <c r="Z867" s="4"/>
      <c r="AA867" s="4"/>
      <c r="AB867" s="4"/>
      <c r="AC867" s="7"/>
      <c r="AD867" s="4"/>
      <c r="AE867" s="4"/>
      <c r="AF867" s="21"/>
    </row>
    <row r="868" spans="24:32" x14ac:dyDescent="0.25">
      <c r="X868" s="4"/>
      <c r="Y868" s="4"/>
      <c r="Z868" s="4"/>
      <c r="AA868" s="4"/>
      <c r="AB868" s="4"/>
      <c r="AC868" s="7"/>
      <c r="AD868" s="4"/>
      <c r="AE868" s="4"/>
      <c r="AF868" s="21"/>
    </row>
    <row r="869" spans="24:32" x14ac:dyDescent="0.25">
      <c r="X869" s="4"/>
      <c r="Y869" s="4"/>
      <c r="Z869" s="4"/>
      <c r="AA869" s="4"/>
      <c r="AB869" s="4"/>
      <c r="AC869" s="7"/>
      <c r="AD869" s="4"/>
      <c r="AE869" s="4"/>
      <c r="AF869" s="21"/>
    </row>
    <row r="870" spans="24:32" x14ac:dyDescent="0.25">
      <c r="X870" s="4"/>
      <c r="Y870" s="4"/>
      <c r="Z870" s="4"/>
      <c r="AA870" s="4"/>
      <c r="AB870" s="4"/>
      <c r="AC870" s="7"/>
      <c r="AD870" s="4"/>
      <c r="AE870" s="4"/>
      <c r="AF870" s="21"/>
    </row>
    <row r="871" spans="24:32" x14ac:dyDescent="0.25">
      <c r="X871" s="4"/>
      <c r="Y871" s="4"/>
      <c r="Z871" s="4"/>
      <c r="AA871" s="4"/>
      <c r="AB871" s="4"/>
      <c r="AC871" s="7"/>
      <c r="AD871" s="4"/>
      <c r="AE871" s="4"/>
      <c r="AF871" s="21"/>
    </row>
    <row r="872" spans="24:32" x14ac:dyDescent="0.25">
      <c r="X872" s="4"/>
      <c r="Y872" s="4"/>
      <c r="Z872" s="4"/>
      <c r="AA872" s="4"/>
      <c r="AB872" s="4"/>
      <c r="AC872" s="7"/>
      <c r="AD872" s="4"/>
      <c r="AE872" s="4"/>
      <c r="AF872" s="21"/>
    </row>
    <row r="873" spans="24:32" x14ac:dyDescent="0.25">
      <c r="X873" s="4"/>
      <c r="Y873" s="4"/>
      <c r="Z873" s="4"/>
      <c r="AA873" s="4"/>
      <c r="AB873" s="4"/>
      <c r="AC873" s="7"/>
      <c r="AD873" s="4"/>
      <c r="AE873" s="4"/>
      <c r="AF873" s="21"/>
    </row>
    <row r="874" spans="24:32" x14ac:dyDescent="0.25">
      <c r="X874" s="4"/>
      <c r="Y874" s="4"/>
      <c r="Z874" s="4"/>
      <c r="AA874" s="4"/>
      <c r="AB874" s="4"/>
      <c r="AC874" s="7"/>
      <c r="AD874" s="4"/>
      <c r="AE874" s="4"/>
      <c r="AF874" s="21"/>
    </row>
    <row r="875" spans="24:32" x14ac:dyDescent="0.25">
      <c r="X875" s="4"/>
      <c r="Y875" s="4"/>
      <c r="Z875" s="4"/>
      <c r="AA875" s="4"/>
      <c r="AB875" s="4"/>
      <c r="AC875" s="7"/>
      <c r="AD875" s="4"/>
      <c r="AE875" s="4"/>
      <c r="AF875" s="21"/>
    </row>
    <row r="876" spans="24:32" x14ac:dyDescent="0.25">
      <c r="X876" s="4"/>
      <c r="Y876" s="4"/>
      <c r="Z876" s="4"/>
      <c r="AA876" s="4"/>
      <c r="AB876" s="4"/>
      <c r="AC876" s="7"/>
      <c r="AD876" s="4"/>
      <c r="AE876" s="4"/>
      <c r="AF876" s="21"/>
    </row>
    <row r="877" spans="24:32" x14ac:dyDescent="0.25">
      <c r="X877" s="4"/>
      <c r="Y877" s="4"/>
      <c r="Z877" s="4"/>
      <c r="AA877" s="4"/>
      <c r="AB877" s="4"/>
      <c r="AC877" s="7"/>
      <c r="AD877" s="4"/>
      <c r="AE877" s="4"/>
      <c r="AF877" s="21"/>
    </row>
    <row r="878" spans="24:32" x14ac:dyDescent="0.25">
      <c r="X878" s="4"/>
      <c r="Y878" s="4"/>
      <c r="Z878" s="4"/>
      <c r="AA878" s="4"/>
      <c r="AB878" s="4"/>
      <c r="AC878" s="7"/>
      <c r="AD878" s="4"/>
      <c r="AE878" s="4"/>
      <c r="AF878" s="21"/>
    </row>
    <row r="879" spans="24:32" x14ac:dyDescent="0.25">
      <c r="X879" s="4"/>
      <c r="Y879" s="4"/>
      <c r="Z879" s="4"/>
      <c r="AA879" s="4"/>
      <c r="AB879" s="4"/>
      <c r="AC879" s="7"/>
      <c r="AD879" s="4"/>
      <c r="AE879" s="4"/>
      <c r="AF879" s="21"/>
    </row>
    <row r="880" spans="24:32" x14ac:dyDescent="0.25">
      <c r="X880" s="4"/>
      <c r="Y880" s="4"/>
      <c r="Z880" s="4"/>
      <c r="AA880" s="4"/>
      <c r="AB880" s="4"/>
      <c r="AC880" s="7"/>
      <c r="AD880" s="4"/>
      <c r="AE880" s="4"/>
      <c r="AF880" s="21"/>
    </row>
    <row r="881" spans="24:32" x14ac:dyDescent="0.25">
      <c r="X881" s="4"/>
      <c r="Y881" s="4"/>
      <c r="Z881" s="4"/>
      <c r="AA881" s="4"/>
      <c r="AB881" s="4"/>
      <c r="AC881" s="7"/>
      <c r="AD881" s="4"/>
      <c r="AE881" s="4"/>
      <c r="AF881" s="21"/>
    </row>
    <row r="882" spans="24:32" x14ac:dyDescent="0.25">
      <c r="X882" s="4"/>
      <c r="Y882" s="4"/>
      <c r="Z882" s="4"/>
      <c r="AA882" s="4"/>
      <c r="AB882" s="4"/>
      <c r="AC882" s="7"/>
      <c r="AD882" s="4"/>
      <c r="AE882" s="4"/>
      <c r="AF882" s="21"/>
    </row>
    <row r="883" spans="24:32" x14ac:dyDescent="0.25">
      <c r="X883" s="4"/>
      <c r="Y883" s="4"/>
      <c r="Z883" s="4"/>
      <c r="AA883" s="4"/>
      <c r="AB883" s="4"/>
      <c r="AC883" s="7"/>
      <c r="AD883" s="4"/>
      <c r="AE883" s="4"/>
      <c r="AF883" s="21"/>
    </row>
    <row r="884" spans="24:32" x14ac:dyDescent="0.25">
      <c r="X884" s="4"/>
      <c r="Y884" s="4"/>
      <c r="Z884" s="4"/>
      <c r="AA884" s="4"/>
      <c r="AB884" s="4"/>
      <c r="AC884" s="7"/>
      <c r="AD884" s="4"/>
      <c r="AE884" s="4"/>
      <c r="AF884" s="21"/>
    </row>
    <row r="885" spans="24:32" x14ac:dyDescent="0.25">
      <c r="X885" s="4"/>
      <c r="Y885" s="4"/>
      <c r="Z885" s="4"/>
      <c r="AA885" s="4"/>
      <c r="AB885" s="4"/>
      <c r="AC885" s="7"/>
      <c r="AD885" s="4"/>
      <c r="AE885" s="4"/>
      <c r="AF885" s="21"/>
    </row>
    <row r="886" spans="24:32" x14ac:dyDescent="0.25">
      <c r="X886" s="4"/>
      <c r="Y886" s="4"/>
      <c r="Z886" s="4"/>
      <c r="AA886" s="4"/>
      <c r="AB886" s="4"/>
      <c r="AC886" s="7"/>
      <c r="AD886" s="4"/>
      <c r="AE886" s="4"/>
      <c r="AF886" s="21"/>
    </row>
    <row r="887" spans="24:32" x14ac:dyDescent="0.25">
      <c r="X887" s="4"/>
      <c r="Y887" s="4"/>
      <c r="Z887" s="4"/>
      <c r="AA887" s="4"/>
      <c r="AB887" s="4"/>
      <c r="AC887" s="7"/>
      <c r="AD887" s="4"/>
      <c r="AE887" s="4"/>
      <c r="AF887" s="21"/>
    </row>
    <row r="888" spans="24:32" x14ac:dyDescent="0.25">
      <c r="X888" s="4"/>
      <c r="Y888" s="4"/>
      <c r="Z888" s="4"/>
      <c r="AA888" s="4"/>
      <c r="AB888" s="4"/>
      <c r="AC888" s="7"/>
      <c r="AD888" s="4"/>
      <c r="AE888" s="4"/>
      <c r="AF888" s="21"/>
    </row>
    <row r="889" spans="24:32" x14ac:dyDescent="0.25">
      <c r="X889" s="4"/>
      <c r="Y889" s="4"/>
      <c r="Z889" s="4"/>
      <c r="AA889" s="4"/>
      <c r="AB889" s="4"/>
      <c r="AC889" s="7"/>
      <c r="AD889" s="4"/>
      <c r="AE889" s="4"/>
      <c r="AF889" s="21"/>
    </row>
    <row r="890" spans="24:32" x14ac:dyDescent="0.25">
      <c r="X890" s="4"/>
      <c r="Y890" s="4"/>
      <c r="Z890" s="4"/>
      <c r="AA890" s="4"/>
      <c r="AB890" s="4"/>
      <c r="AC890" s="7"/>
      <c r="AD890" s="4"/>
      <c r="AE890" s="4"/>
      <c r="AF890" s="21"/>
    </row>
    <row r="891" spans="24:32" x14ac:dyDescent="0.25">
      <c r="X891" s="4"/>
      <c r="Y891" s="4"/>
      <c r="Z891" s="4"/>
      <c r="AA891" s="4"/>
      <c r="AB891" s="4"/>
      <c r="AC891" s="7"/>
      <c r="AD891" s="4"/>
      <c r="AE891" s="4"/>
      <c r="AF891" s="21"/>
    </row>
    <row r="892" spans="24:32" x14ac:dyDescent="0.25">
      <c r="X892" s="4"/>
      <c r="Y892" s="4"/>
      <c r="Z892" s="4"/>
      <c r="AA892" s="4"/>
      <c r="AB892" s="4"/>
      <c r="AC892" s="7"/>
      <c r="AD892" s="4"/>
      <c r="AE892" s="4"/>
      <c r="AF892" s="21"/>
    </row>
    <row r="893" spans="24:32" x14ac:dyDescent="0.25">
      <c r="X893" s="4"/>
      <c r="Y893" s="4"/>
      <c r="Z893" s="4"/>
      <c r="AA893" s="4"/>
      <c r="AB893" s="4"/>
      <c r="AC893" s="7"/>
      <c r="AD893" s="4"/>
      <c r="AE893" s="4"/>
      <c r="AF893" s="21"/>
    </row>
    <row r="894" spans="24:32" x14ac:dyDescent="0.25">
      <c r="X894" s="4"/>
      <c r="Y894" s="4"/>
      <c r="Z894" s="4"/>
      <c r="AA894" s="4"/>
      <c r="AB894" s="4"/>
      <c r="AC894" s="7"/>
      <c r="AD894" s="4"/>
      <c r="AE894" s="4"/>
      <c r="AF894" s="21"/>
    </row>
    <row r="895" spans="24:32" x14ac:dyDescent="0.25">
      <c r="X895" s="4"/>
      <c r="Y895" s="4"/>
      <c r="Z895" s="4"/>
      <c r="AA895" s="4"/>
      <c r="AB895" s="4"/>
      <c r="AC895" s="7"/>
      <c r="AD895" s="4"/>
      <c r="AE895" s="4"/>
      <c r="AF895" s="21"/>
    </row>
    <row r="896" spans="24:32" x14ac:dyDescent="0.25">
      <c r="X896" s="4"/>
      <c r="Y896" s="4"/>
      <c r="Z896" s="4"/>
      <c r="AA896" s="4"/>
      <c r="AB896" s="4"/>
      <c r="AC896" s="7"/>
      <c r="AD896" s="4"/>
      <c r="AE896" s="4"/>
      <c r="AF896" s="21"/>
    </row>
    <row r="897" spans="24:32" x14ac:dyDescent="0.25">
      <c r="X897" s="4"/>
      <c r="Y897" s="4"/>
      <c r="Z897" s="4"/>
      <c r="AA897" s="4"/>
      <c r="AB897" s="4"/>
      <c r="AC897" s="7"/>
      <c r="AD897" s="4"/>
      <c r="AE897" s="4"/>
      <c r="AF897" s="21"/>
    </row>
    <row r="898" spans="24:32" x14ac:dyDescent="0.25">
      <c r="X898" s="4"/>
      <c r="Y898" s="4"/>
      <c r="Z898" s="4"/>
      <c r="AA898" s="4"/>
      <c r="AB898" s="4"/>
      <c r="AC898" s="7"/>
      <c r="AD898" s="4"/>
      <c r="AE898" s="4"/>
      <c r="AF898" s="21"/>
    </row>
    <row r="899" spans="24:32" x14ac:dyDescent="0.25">
      <c r="X899" s="4"/>
      <c r="Y899" s="4"/>
      <c r="Z899" s="4"/>
      <c r="AA899" s="4"/>
      <c r="AB899" s="4"/>
      <c r="AC899" s="7"/>
      <c r="AD899" s="4"/>
      <c r="AE899" s="4"/>
      <c r="AF899" s="21"/>
    </row>
    <row r="900" spans="24:32" x14ac:dyDescent="0.25">
      <c r="X900" s="4"/>
      <c r="Y900" s="4"/>
      <c r="Z900" s="4"/>
      <c r="AA900" s="4"/>
      <c r="AB900" s="4"/>
      <c r="AC900" s="7"/>
      <c r="AD900" s="4"/>
      <c r="AE900" s="4"/>
      <c r="AF900" s="21"/>
    </row>
    <row r="901" spans="24:32" x14ac:dyDescent="0.25">
      <c r="X901" s="4"/>
      <c r="Y901" s="4"/>
      <c r="Z901" s="4"/>
      <c r="AA901" s="4"/>
      <c r="AB901" s="4"/>
      <c r="AC901" s="7"/>
      <c r="AD901" s="4"/>
      <c r="AE901" s="4"/>
      <c r="AF901" s="21"/>
    </row>
    <row r="902" spans="24:32" x14ac:dyDescent="0.25">
      <c r="X902" s="4"/>
      <c r="Y902" s="4"/>
      <c r="Z902" s="4"/>
      <c r="AA902" s="4"/>
      <c r="AB902" s="4"/>
      <c r="AC902" s="7"/>
      <c r="AD902" s="4"/>
      <c r="AE902" s="4"/>
      <c r="AF902" s="21"/>
    </row>
    <row r="903" spans="24:32" x14ac:dyDescent="0.25">
      <c r="X903" s="4"/>
      <c r="Y903" s="4"/>
      <c r="Z903" s="4"/>
      <c r="AA903" s="4"/>
      <c r="AB903" s="4"/>
      <c r="AC903" s="7"/>
      <c r="AD903" s="4"/>
      <c r="AE903" s="4"/>
      <c r="AF903" s="21"/>
    </row>
    <row r="904" spans="24:32" x14ac:dyDescent="0.25">
      <c r="X904" s="4"/>
      <c r="Y904" s="4"/>
      <c r="Z904" s="4"/>
      <c r="AA904" s="4"/>
      <c r="AB904" s="4"/>
      <c r="AC904" s="7"/>
      <c r="AD904" s="4"/>
      <c r="AE904" s="4"/>
      <c r="AF904" s="21"/>
    </row>
    <row r="905" spans="24:32" x14ac:dyDescent="0.25">
      <c r="X905" s="4"/>
      <c r="Y905" s="4"/>
      <c r="Z905" s="4"/>
      <c r="AA905" s="4"/>
      <c r="AB905" s="4"/>
      <c r="AC905" s="7"/>
      <c r="AD905" s="4"/>
      <c r="AE905" s="4"/>
      <c r="AF905" s="21"/>
    </row>
    <row r="906" spans="24:32" x14ac:dyDescent="0.25">
      <c r="X906" s="4"/>
      <c r="Y906" s="4"/>
      <c r="Z906" s="4"/>
      <c r="AA906" s="4"/>
      <c r="AB906" s="4"/>
      <c r="AC906" s="7"/>
      <c r="AD906" s="4"/>
      <c r="AE906" s="4"/>
      <c r="AF906" s="21"/>
    </row>
    <row r="907" spans="24:32" x14ac:dyDescent="0.25">
      <c r="X907" s="4"/>
      <c r="Y907" s="4"/>
      <c r="Z907" s="4"/>
      <c r="AA907" s="4"/>
      <c r="AB907" s="4"/>
      <c r="AC907" s="7"/>
      <c r="AD907" s="4"/>
      <c r="AE907" s="4"/>
      <c r="AF907" s="21"/>
    </row>
    <row r="908" spans="24:32" x14ac:dyDescent="0.25">
      <c r="X908" s="4"/>
      <c r="Y908" s="4"/>
      <c r="Z908" s="4"/>
      <c r="AA908" s="4"/>
      <c r="AB908" s="4"/>
      <c r="AC908" s="7"/>
      <c r="AD908" s="4"/>
      <c r="AE908" s="4"/>
      <c r="AF908" s="21"/>
    </row>
    <row r="909" spans="24:32" x14ac:dyDescent="0.25">
      <c r="X909" s="4"/>
      <c r="Y909" s="4"/>
      <c r="Z909" s="4"/>
      <c r="AA909" s="4"/>
      <c r="AB909" s="4"/>
      <c r="AC909" s="7"/>
      <c r="AD909" s="4"/>
      <c r="AE909" s="4"/>
      <c r="AF909" s="21"/>
    </row>
    <row r="910" spans="24:32" x14ac:dyDescent="0.25">
      <c r="X910" s="4"/>
      <c r="Y910" s="4"/>
      <c r="Z910" s="4"/>
      <c r="AA910" s="4"/>
      <c r="AB910" s="4"/>
      <c r="AC910" s="7"/>
      <c r="AD910" s="4"/>
      <c r="AE910" s="4"/>
      <c r="AF910" s="21"/>
    </row>
    <row r="911" spans="24:32" x14ac:dyDescent="0.25">
      <c r="X911" s="4"/>
      <c r="Y911" s="4"/>
      <c r="Z911" s="4"/>
      <c r="AA911" s="4"/>
      <c r="AB911" s="4"/>
      <c r="AC911" s="7"/>
      <c r="AD911" s="4"/>
      <c r="AE911" s="4"/>
      <c r="AF911" s="21"/>
    </row>
    <row r="912" spans="24:32" x14ac:dyDescent="0.25">
      <c r="X912" s="4"/>
      <c r="Y912" s="4"/>
      <c r="Z912" s="4"/>
      <c r="AA912" s="4"/>
      <c r="AB912" s="4"/>
      <c r="AC912" s="7"/>
      <c r="AD912" s="4"/>
      <c r="AE912" s="4"/>
      <c r="AF912" s="21"/>
    </row>
    <row r="913" spans="24:32" x14ac:dyDescent="0.25">
      <c r="X913" s="4"/>
      <c r="Y913" s="4"/>
      <c r="Z913" s="4"/>
      <c r="AA913" s="4"/>
      <c r="AB913" s="4"/>
      <c r="AC913" s="7"/>
      <c r="AD913" s="4"/>
      <c r="AE913" s="4"/>
      <c r="AF913" s="21"/>
    </row>
    <row r="914" spans="24:32" x14ac:dyDescent="0.25">
      <c r="X914" s="4"/>
      <c r="Y914" s="4"/>
      <c r="Z914" s="4"/>
      <c r="AA914" s="4"/>
      <c r="AB914" s="4"/>
      <c r="AC914" s="7"/>
      <c r="AD914" s="4"/>
      <c r="AE914" s="4"/>
      <c r="AF914" s="21"/>
    </row>
    <row r="915" spans="24:32" x14ac:dyDescent="0.25">
      <c r="X915" s="4"/>
      <c r="Y915" s="4"/>
      <c r="Z915" s="4"/>
      <c r="AA915" s="4"/>
      <c r="AB915" s="4"/>
      <c r="AC915" s="7"/>
      <c r="AD915" s="4"/>
      <c r="AE915" s="4"/>
      <c r="AF915" s="21"/>
    </row>
    <row r="916" spans="24:32" x14ac:dyDescent="0.25">
      <c r="X916" s="4"/>
      <c r="Y916" s="4"/>
      <c r="Z916" s="4"/>
      <c r="AA916" s="4"/>
      <c r="AB916" s="4"/>
      <c r="AC916" s="7"/>
      <c r="AD916" s="4"/>
      <c r="AE916" s="4"/>
      <c r="AF916" s="21"/>
    </row>
    <row r="917" spans="24:32" x14ac:dyDescent="0.25">
      <c r="X917" s="4"/>
      <c r="Y917" s="4"/>
      <c r="Z917" s="4"/>
      <c r="AA917" s="4"/>
      <c r="AB917" s="4"/>
      <c r="AC917" s="7"/>
      <c r="AD917" s="4"/>
      <c r="AE917" s="4"/>
      <c r="AF917" s="21"/>
    </row>
    <row r="918" spans="24:32" x14ac:dyDescent="0.25">
      <c r="X918" s="4"/>
      <c r="Y918" s="4"/>
      <c r="Z918" s="4"/>
      <c r="AA918" s="4"/>
      <c r="AB918" s="4"/>
      <c r="AC918" s="7"/>
      <c r="AD918" s="4"/>
      <c r="AE918" s="4"/>
      <c r="AF918" s="21"/>
    </row>
    <row r="919" spans="24:32" x14ac:dyDescent="0.25">
      <c r="X919" s="4"/>
      <c r="Y919" s="4"/>
      <c r="Z919" s="4"/>
      <c r="AA919" s="4"/>
      <c r="AB919" s="4"/>
      <c r="AC919" s="7"/>
      <c r="AD919" s="4"/>
      <c r="AE919" s="4"/>
      <c r="AF919" s="21"/>
    </row>
    <row r="920" spans="24:32" x14ac:dyDescent="0.25">
      <c r="X920" s="4"/>
      <c r="Y920" s="4"/>
      <c r="Z920" s="4"/>
      <c r="AA920" s="4"/>
      <c r="AB920" s="4"/>
      <c r="AC920" s="7"/>
      <c r="AD920" s="4"/>
      <c r="AE920" s="4"/>
      <c r="AF920" s="21"/>
    </row>
    <row r="921" spans="24:32" x14ac:dyDescent="0.25">
      <c r="X921" s="4"/>
      <c r="Y921" s="4"/>
      <c r="Z921" s="4"/>
      <c r="AA921" s="4"/>
      <c r="AB921" s="4"/>
      <c r="AC921" s="7"/>
      <c r="AD921" s="4"/>
      <c r="AE921" s="4"/>
      <c r="AF921" s="21"/>
    </row>
    <row r="922" spans="24:32" x14ac:dyDescent="0.25">
      <c r="X922" s="4"/>
      <c r="Y922" s="4"/>
      <c r="Z922" s="4"/>
      <c r="AA922" s="4"/>
      <c r="AB922" s="4"/>
      <c r="AC922" s="7"/>
      <c r="AD922" s="4"/>
      <c r="AE922" s="4"/>
      <c r="AF922" s="21"/>
    </row>
    <row r="923" spans="24:32" x14ac:dyDescent="0.25">
      <c r="X923" s="4"/>
      <c r="Y923" s="4"/>
      <c r="Z923" s="4"/>
      <c r="AA923" s="4"/>
      <c r="AB923" s="4"/>
      <c r="AC923" s="7"/>
      <c r="AD923" s="4"/>
      <c r="AE923" s="4"/>
      <c r="AF923" s="21"/>
    </row>
    <row r="924" spans="24:32" x14ac:dyDescent="0.25">
      <c r="X924" s="4"/>
      <c r="Y924" s="4"/>
      <c r="Z924" s="4"/>
      <c r="AA924" s="4"/>
      <c r="AB924" s="4"/>
      <c r="AC924" s="7"/>
      <c r="AD924" s="4"/>
      <c r="AE924" s="4"/>
      <c r="AF924" s="21"/>
    </row>
    <row r="925" spans="24:32" x14ac:dyDescent="0.25">
      <c r="X925" s="4"/>
      <c r="Y925" s="4"/>
      <c r="Z925" s="4"/>
      <c r="AA925" s="4"/>
      <c r="AB925" s="4"/>
      <c r="AC925" s="7"/>
      <c r="AD925" s="4"/>
      <c r="AE925" s="4"/>
      <c r="AF925" s="21"/>
    </row>
    <row r="926" spans="24:32" x14ac:dyDescent="0.25">
      <c r="X926" s="4"/>
      <c r="Y926" s="4"/>
      <c r="Z926" s="4"/>
      <c r="AA926" s="4"/>
      <c r="AB926" s="4"/>
      <c r="AC926" s="7"/>
      <c r="AD926" s="4"/>
      <c r="AE926" s="4"/>
      <c r="AF926" s="21"/>
    </row>
    <row r="927" spans="24:32" x14ac:dyDescent="0.25">
      <c r="X927" s="4"/>
      <c r="Y927" s="4"/>
      <c r="Z927" s="4"/>
      <c r="AA927" s="4"/>
      <c r="AB927" s="4"/>
      <c r="AC927" s="7"/>
      <c r="AD927" s="4"/>
      <c r="AE927" s="4"/>
      <c r="AF927" s="21"/>
    </row>
    <row r="928" spans="24:32" x14ac:dyDescent="0.25">
      <c r="X928" s="4"/>
      <c r="Y928" s="4"/>
      <c r="Z928" s="4"/>
      <c r="AA928" s="4"/>
      <c r="AB928" s="4"/>
      <c r="AC928" s="7"/>
      <c r="AD928" s="4"/>
      <c r="AE928" s="4"/>
      <c r="AF928" s="21"/>
    </row>
    <row r="929" spans="24:32" x14ac:dyDescent="0.25">
      <c r="X929" s="4"/>
      <c r="Y929" s="4"/>
      <c r="Z929" s="4"/>
      <c r="AA929" s="4"/>
      <c r="AB929" s="4"/>
      <c r="AC929" s="7"/>
      <c r="AD929" s="4"/>
      <c r="AE929" s="4"/>
      <c r="AF929" s="21"/>
    </row>
    <row r="930" spans="24:32" x14ac:dyDescent="0.25">
      <c r="X930" s="4"/>
      <c r="Y930" s="4"/>
      <c r="Z930" s="4"/>
      <c r="AA930" s="4"/>
      <c r="AB930" s="4"/>
      <c r="AC930" s="7"/>
      <c r="AD930" s="4"/>
      <c r="AE930" s="4"/>
      <c r="AF930" s="21"/>
    </row>
    <row r="931" spans="24:32" x14ac:dyDescent="0.25">
      <c r="X931" s="4"/>
      <c r="Y931" s="4"/>
      <c r="Z931" s="4"/>
      <c r="AA931" s="4"/>
      <c r="AB931" s="4"/>
      <c r="AC931" s="7"/>
      <c r="AD931" s="4"/>
      <c r="AE931" s="4"/>
      <c r="AF931" s="21"/>
    </row>
    <row r="932" spans="24:32" x14ac:dyDescent="0.25">
      <c r="X932" s="4"/>
      <c r="Y932" s="4"/>
      <c r="Z932" s="4"/>
      <c r="AA932" s="4"/>
      <c r="AB932" s="4"/>
      <c r="AC932" s="7"/>
      <c r="AD932" s="4"/>
      <c r="AE932" s="4"/>
      <c r="AF932" s="21"/>
    </row>
    <row r="933" spans="24:32" x14ac:dyDescent="0.25">
      <c r="X933" s="4"/>
      <c r="Y933" s="4"/>
      <c r="Z933" s="4"/>
      <c r="AA933" s="4"/>
      <c r="AB933" s="4"/>
      <c r="AC933" s="7"/>
      <c r="AD933" s="4"/>
      <c r="AE933" s="4"/>
      <c r="AF933" s="21"/>
    </row>
    <row r="934" spans="24:32" x14ac:dyDescent="0.25">
      <c r="X934" s="4"/>
      <c r="Y934" s="4"/>
      <c r="Z934" s="4"/>
      <c r="AA934" s="4"/>
      <c r="AB934" s="4"/>
      <c r="AC934" s="7"/>
      <c r="AD934" s="4"/>
      <c r="AE934" s="4"/>
      <c r="AF934" s="21"/>
    </row>
    <row r="935" spans="24:32" x14ac:dyDescent="0.25">
      <c r="X935" s="4"/>
      <c r="Y935" s="4"/>
      <c r="Z935" s="4"/>
      <c r="AA935" s="4"/>
      <c r="AB935" s="4"/>
      <c r="AC935" s="7"/>
      <c r="AD935" s="4"/>
      <c r="AE935" s="4"/>
      <c r="AF935" s="21"/>
    </row>
    <row r="936" spans="24:32" x14ac:dyDescent="0.25">
      <c r="X936" s="4"/>
      <c r="Y936" s="4"/>
      <c r="Z936" s="4"/>
      <c r="AA936" s="4"/>
      <c r="AB936" s="4"/>
      <c r="AC936" s="7"/>
      <c r="AD936" s="4"/>
      <c r="AE936" s="4"/>
      <c r="AF936" s="21"/>
    </row>
    <row r="937" spans="24:32" x14ac:dyDescent="0.25">
      <c r="X937" s="4"/>
      <c r="Y937" s="4"/>
      <c r="Z937" s="4"/>
      <c r="AA937" s="4"/>
      <c r="AB937" s="4"/>
      <c r="AC937" s="7"/>
      <c r="AD937" s="4"/>
      <c r="AE937" s="4"/>
      <c r="AF937" s="21"/>
    </row>
    <row r="938" spans="24:32" x14ac:dyDescent="0.25">
      <c r="X938" s="4"/>
      <c r="Y938" s="4"/>
      <c r="Z938" s="4"/>
      <c r="AA938" s="4"/>
      <c r="AB938" s="4"/>
      <c r="AC938" s="7"/>
      <c r="AD938" s="4"/>
      <c r="AE938" s="4"/>
      <c r="AF938" s="21"/>
    </row>
    <row r="939" spans="24:32" x14ac:dyDescent="0.25">
      <c r="X939" s="4"/>
      <c r="Y939" s="4"/>
      <c r="Z939" s="4"/>
      <c r="AA939" s="4"/>
      <c r="AB939" s="4"/>
      <c r="AC939" s="7"/>
      <c r="AD939" s="4"/>
      <c r="AE939" s="4"/>
      <c r="AF939" s="21"/>
    </row>
    <row r="940" spans="24:32" x14ac:dyDescent="0.25">
      <c r="X940" s="4"/>
      <c r="Y940" s="4"/>
      <c r="Z940" s="4"/>
      <c r="AA940" s="4"/>
      <c r="AB940" s="4"/>
      <c r="AC940" s="7"/>
      <c r="AD940" s="4"/>
      <c r="AE940" s="4"/>
      <c r="AF940" s="21"/>
    </row>
    <row r="941" spans="24:32" x14ac:dyDescent="0.25">
      <c r="X941" s="4"/>
      <c r="Y941" s="4"/>
      <c r="Z941" s="4"/>
      <c r="AA941" s="4"/>
      <c r="AB941" s="4"/>
      <c r="AC941" s="7"/>
      <c r="AD941" s="4"/>
      <c r="AE941" s="4"/>
      <c r="AF941" s="21"/>
    </row>
    <row r="942" spans="24:32" x14ac:dyDescent="0.25">
      <c r="X942" s="4"/>
      <c r="Y942" s="4"/>
      <c r="Z942" s="4"/>
      <c r="AA942" s="4"/>
      <c r="AB942" s="4"/>
      <c r="AC942" s="7"/>
      <c r="AD942" s="4"/>
      <c r="AE942" s="4"/>
      <c r="AF942" s="21"/>
    </row>
    <row r="943" spans="24:32" x14ac:dyDescent="0.25">
      <c r="X943" s="4"/>
      <c r="Y943" s="4"/>
      <c r="Z943" s="4"/>
      <c r="AA943" s="4"/>
      <c r="AB943" s="4"/>
      <c r="AC943" s="7"/>
      <c r="AD943" s="4"/>
      <c r="AE943" s="4"/>
      <c r="AF943" s="21"/>
    </row>
    <row r="944" spans="24:32" x14ac:dyDescent="0.25">
      <c r="X944" s="4"/>
      <c r="Y944" s="4"/>
      <c r="Z944" s="4"/>
      <c r="AA944" s="4"/>
      <c r="AB944" s="4"/>
      <c r="AC944" s="7"/>
      <c r="AD944" s="4"/>
      <c r="AE944" s="4"/>
      <c r="AF944" s="21"/>
    </row>
    <row r="945" spans="24:32" x14ac:dyDescent="0.25">
      <c r="X945" s="4"/>
      <c r="Y945" s="4"/>
      <c r="Z945" s="4"/>
      <c r="AA945" s="4"/>
      <c r="AB945" s="4"/>
      <c r="AC945" s="7"/>
      <c r="AD945" s="4"/>
      <c r="AE945" s="4"/>
      <c r="AF945" s="21"/>
    </row>
    <row r="946" spans="24:32" x14ac:dyDescent="0.25">
      <c r="X946" s="4"/>
      <c r="Y946" s="4"/>
      <c r="Z946" s="4"/>
      <c r="AA946" s="4"/>
      <c r="AB946" s="4"/>
      <c r="AC946" s="7"/>
      <c r="AD946" s="4"/>
      <c r="AE946" s="4"/>
      <c r="AF946" s="21"/>
    </row>
    <row r="947" spans="24:32" x14ac:dyDescent="0.25">
      <c r="X947" s="4"/>
      <c r="Y947" s="4"/>
      <c r="Z947" s="4"/>
      <c r="AA947" s="4"/>
      <c r="AB947" s="4"/>
      <c r="AC947" s="7"/>
      <c r="AD947" s="4"/>
      <c r="AE947" s="4"/>
      <c r="AF947" s="21"/>
    </row>
    <row r="948" spans="24:32" x14ac:dyDescent="0.25">
      <c r="X948" s="4"/>
      <c r="Y948" s="4"/>
      <c r="Z948" s="4"/>
      <c r="AA948" s="4"/>
      <c r="AB948" s="4"/>
      <c r="AC948" s="7"/>
      <c r="AD948" s="4"/>
      <c r="AE948" s="4"/>
      <c r="AF948" s="21"/>
    </row>
    <row r="949" spans="24:32" x14ac:dyDescent="0.25">
      <c r="X949" s="4"/>
      <c r="Y949" s="4"/>
      <c r="Z949" s="4"/>
      <c r="AA949" s="4"/>
      <c r="AB949" s="4"/>
      <c r="AC949" s="7"/>
      <c r="AD949" s="4"/>
      <c r="AE949" s="4"/>
      <c r="AF949" s="21"/>
    </row>
    <row r="950" spans="24:32" x14ac:dyDescent="0.25">
      <c r="X950" s="4"/>
      <c r="Y950" s="4"/>
      <c r="Z950" s="4"/>
      <c r="AA950" s="4"/>
      <c r="AB950" s="4"/>
      <c r="AC950" s="7"/>
      <c r="AD950" s="4"/>
      <c r="AE950" s="4"/>
      <c r="AF950" s="21"/>
    </row>
    <row r="951" spans="24:32" x14ac:dyDescent="0.25">
      <c r="X951" s="4"/>
      <c r="Y951" s="4"/>
      <c r="Z951" s="4"/>
      <c r="AA951" s="4"/>
      <c r="AB951" s="4"/>
      <c r="AC951" s="7"/>
      <c r="AD951" s="4"/>
      <c r="AE951" s="4"/>
      <c r="AF951" s="21"/>
    </row>
    <row r="952" spans="24:32" x14ac:dyDescent="0.25">
      <c r="X952" s="4"/>
      <c r="Y952" s="4"/>
      <c r="Z952" s="4"/>
      <c r="AA952" s="4"/>
      <c r="AB952" s="4"/>
      <c r="AC952" s="7"/>
      <c r="AD952" s="4"/>
      <c r="AE952" s="4"/>
      <c r="AF952" s="21"/>
    </row>
    <row r="953" spans="24:32" x14ac:dyDescent="0.25">
      <c r="X953" s="4"/>
      <c r="Y953" s="4"/>
      <c r="Z953" s="4"/>
      <c r="AA953" s="4"/>
      <c r="AB953" s="4"/>
      <c r="AC953" s="7"/>
      <c r="AD953" s="4"/>
      <c r="AE953" s="4"/>
      <c r="AF953" s="21"/>
    </row>
    <row r="954" spans="24:32" x14ac:dyDescent="0.25">
      <c r="X954" s="4"/>
      <c r="Y954" s="4"/>
      <c r="Z954" s="4"/>
      <c r="AA954" s="4"/>
      <c r="AB954" s="4"/>
      <c r="AC954" s="7"/>
      <c r="AD954" s="4"/>
      <c r="AE954" s="4"/>
      <c r="AF954" s="21"/>
    </row>
    <row r="955" spans="24:32" x14ac:dyDescent="0.25">
      <c r="X955" s="4"/>
      <c r="Y955" s="4"/>
      <c r="Z955" s="4"/>
      <c r="AA955" s="4"/>
      <c r="AB955" s="4"/>
      <c r="AC955" s="7"/>
      <c r="AD955" s="4"/>
      <c r="AE955" s="4"/>
      <c r="AF955" s="21"/>
    </row>
    <row r="956" spans="24:32" x14ac:dyDescent="0.25">
      <c r="X956" s="4"/>
      <c r="Y956" s="4"/>
      <c r="Z956" s="4"/>
      <c r="AA956" s="4"/>
      <c r="AB956" s="4"/>
      <c r="AC956" s="7"/>
      <c r="AD956" s="4"/>
      <c r="AE956" s="4"/>
      <c r="AF956" s="21"/>
    </row>
    <row r="957" spans="24:32" x14ac:dyDescent="0.25">
      <c r="X957" s="4"/>
      <c r="Y957" s="4"/>
      <c r="Z957" s="4"/>
      <c r="AA957" s="4"/>
      <c r="AB957" s="4"/>
      <c r="AC957" s="7"/>
      <c r="AD957" s="4"/>
      <c r="AE957" s="4"/>
      <c r="AF957" s="21"/>
    </row>
    <row r="958" spans="24:32" x14ac:dyDescent="0.25">
      <c r="X958" s="4"/>
      <c r="Y958" s="4"/>
      <c r="Z958" s="4"/>
      <c r="AA958" s="4"/>
      <c r="AB958" s="4"/>
      <c r="AC958" s="7"/>
      <c r="AD958" s="4"/>
      <c r="AE958" s="4"/>
      <c r="AF958" s="21"/>
    </row>
    <row r="959" spans="24:32" x14ac:dyDescent="0.25">
      <c r="X959" s="4"/>
      <c r="Y959" s="4"/>
      <c r="Z959" s="4"/>
      <c r="AA959" s="4"/>
      <c r="AB959" s="4"/>
      <c r="AC959" s="7"/>
      <c r="AD959" s="4"/>
      <c r="AE959" s="4"/>
      <c r="AF959" s="21"/>
    </row>
    <row r="960" spans="24:32" x14ac:dyDescent="0.25">
      <c r="X960" s="4"/>
      <c r="Y960" s="4"/>
      <c r="Z960" s="4"/>
      <c r="AA960" s="4"/>
      <c r="AB960" s="4"/>
      <c r="AC960" s="7"/>
      <c r="AD960" s="4"/>
      <c r="AE960" s="4"/>
      <c r="AF960" s="21"/>
    </row>
    <row r="961" spans="24:32" x14ac:dyDescent="0.25">
      <c r="X961" s="4"/>
      <c r="Y961" s="4"/>
      <c r="Z961" s="4"/>
      <c r="AA961" s="4"/>
      <c r="AB961" s="4"/>
      <c r="AC961" s="7"/>
      <c r="AD961" s="4"/>
      <c r="AE961" s="4"/>
      <c r="AF961" s="21"/>
    </row>
    <row r="962" spans="24:32" x14ac:dyDescent="0.25">
      <c r="X962" s="4"/>
      <c r="Y962" s="4"/>
      <c r="Z962" s="4"/>
      <c r="AA962" s="4"/>
      <c r="AB962" s="4"/>
      <c r="AC962" s="7"/>
      <c r="AD962" s="4"/>
      <c r="AE962" s="4"/>
      <c r="AF962" s="21"/>
    </row>
    <row r="963" spans="24:32" x14ac:dyDescent="0.25">
      <c r="X963" s="4"/>
      <c r="Y963" s="4"/>
      <c r="Z963" s="4"/>
      <c r="AA963" s="4"/>
      <c r="AB963" s="4"/>
      <c r="AC963" s="7"/>
      <c r="AD963" s="4"/>
      <c r="AE963" s="4"/>
      <c r="AF963" s="21"/>
    </row>
    <row r="964" spans="24:32" x14ac:dyDescent="0.25">
      <c r="X964" s="4"/>
      <c r="Y964" s="4"/>
      <c r="Z964" s="4"/>
      <c r="AA964" s="4"/>
      <c r="AB964" s="4"/>
      <c r="AC964" s="7"/>
      <c r="AD964" s="4"/>
      <c r="AE964" s="4"/>
      <c r="AF964" s="21"/>
    </row>
    <row r="965" spans="24:32" x14ac:dyDescent="0.25">
      <c r="X965" s="4"/>
      <c r="Y965" s="4"/>
      <c r="Z965" s="4"/>
      <c r="AA965" s="4"/>
      <c r="AB965" s="4"/>
      <c r="AC965" s="7"/>
      <c r="AD965" s="4"/>
      <c r="AE965" s="4"/>
      <c r="AF965" s="21"/>
    </row>
    <row r="966" spans="24:32" x14ac:dyDescent="0.25">
      <c r="X966" s="4"/>
      <c r="Y966" s="4"/>
      <c r="Z966" s="4"/>
      <c r="AA966" s="4"/>
      <c r="AB966" s="4"/>
      <c r="AC966" s="7"/>
      <c r="AD966" s="4"/>
      <c r="AE966" s="4"/>
      <c r="AF966" s="21"/>
    </row>
    <row r="967" spans="24:32" x14ac:dyDescent="0.25">
      <c r="X967" s="4"/>
      <c r="Y967" s="4"/>
      <c r="Z967" s="4"/>
      <c r="AA967" s="4"/>
      <c r="AB967" s="4"/>
      <c r="AC967" s="7"/>
      <c r="AD967" s="4"/>
      <c r="AE967" s="4"/>
      <c r="AF967" s="21"/>
    </row>
    <row r="968" spans="24:32" x14ac:dyDescent="0.25">
      <c r="X968" s="4"/>
      <c r="Y968" s="4"/>
      <c r="Z968" s="4"/>
      <c r="AA968" s="4"/>
      <c r="AB968" s="4"/>
      <c r="AC968" s="7"/>
      <c r="AD968" s="4"/>
      <c r="AE968" s="4"/>
      <c r="AF968" s="21"/>
    </row>
    <row r="969" spans="24:32" x14ac:dyDescent="0.25">
      <c r="X969" s="4"/>
      <c r="Y969" s="4"/>
      <c r="Z969" s="4"/>
      <c r="AA969" s="4"/>
      <c r="AB969" s="4"/>
      <c r="AC969" s="7"/>
      <c r="AD969" s="4"/>
      <c r="AE969" s="4"/>
      <c r="AF969" s="21"/>
    </row>
    <row r="970" spans="24:32" x14ac:dyDescent="0.25">
      <c r="X970" s="4"/>
      <c r="Y970" s="4"/>
      <c r="Z970" s="4"/>
      <c r="AA970" s="4"/>
      <c r="AB970" s="4"/>
      <c r="AC970" s="7"/>
      <c r="AD970" s="4"/>
      <c r="AE970" s="4"/>
      <c r="AF970" s="21"/>
    </row>
    <row r="971" spans="24:32" x14ac:dyDescent="0.25">
      <c r="X971" s="4"/>
      <c r="Y971" s="4"/>
      <c r="Z971" s="4"/>
      <c r="AA971" s="4"/>
      <c r="AB971" s="4"/>
      <c r="AC971" s="7"/>
      <c r="AD971" s="4"/>
      <c r="AE971" s="4"/>
      <c r="AF971" s="21"/>
    </row>
    <row r="972" spans="24:32" x14ac:dyDescent="0.25">
      <c r="X972" s="4"/>
      <c r="Y972" s="4"/>
      <c r="Z972" s="4"/>
      <c r="AA972" s="4"/>
      <c r="AB972" s="4"/>
      <c r="AC972" s="7"/>
      <c r="AD972" s="4"/>
      <c r="AE972" s="4"/>
      <c r="AF972" s="21"/>
    </row>
    <row r="973" spans="24:32" x14ac:dyDescent="0.25">
      <c r="X973" s="4"/>
      <c r="Y973" s="4"/>
      <c r="Z973" s="4"/>
      <c r="AA973" s="4"/>
      <c r="AB973" s="4"/>
      <c r="AC973" s="7"/>
      <c r="AD973" s="4"/>
      <c r="AE973" s="4"/>
      <c r="AF973" s="21"/>
    </row>
    <row r="974" spans="24:32" x14ac:dyDescent="0.25">
      <c r="X974" s="4"/>
      <c r="Y974" s="4"/>
      <c r="Z974" s="4"/>
      <c r="AA974" s="4"/>
      <c r="AB974" s="4"/>
      <c r="AC974" s="7"/>
      <c r="AD974" s="4"/>
      <c r="AE974" s="4"/>
      <c r="AF974" s="21"/>
    </row>
    <row r="975" spans="24:32" x14ac:dyDescent="0.25">
      <c r="X975" s="4"/>
      <c r="Y975" s="4"/>
      <c r="Z975" s="4"/>
      <c r="AA975" s="4"/>
      <c r="AB975" s="4"/>
      <c r="AC975" s="7"/>
      <c r="AD975" s="4"/>
      <c r="AE975" s="4"/>
      <c r="AF975" s="21"/>
    </row>
    <row r="976" spans="24:32" x14ac:dyDescent="0.25">
      <c r="X976" s="4"/>
      <c r="Y976" s="4"/>
      <c r="Z976" s="4"/>
      <c r="AA976" s="4"/>
      <c r="AB976" s="4"/>
      <c r="AC976" s="7"/>
      <c r="AD976" s="4"/>
      <c r="AE976" s="4"/>
      <c r="AF976" s="21"/>
    </row>
    <row r="977" spans="24:32" x14ac:dyDescent="0.25">
      <c r="X977" s="4"/>
      <c r="Y977" s="4"/>
      <c r="Z977" s="4"/>
      <c r="AA977" s="4"/>
      <c r="AB977" s="4"/>
      <c r="AC977" s="7"/>
      <c r="AD977" s="4"/>
      <c r="AE977" s="4"/>
      <c r="AF977" s="21"/>
    </row>
    <row r="978" spans="24:32" x14ac:dyDescent="0.25">
      <c r="X978" s="4"/>
      <c r="Y978" s="4"/>
      <c r="Z978" s="4"/>
      <c r="AA978" s="4"/>
      <c r="AB978" s="4"/>
      <c r="AC978" s="7"/>
      <c r="AD978" s="4"/>
      <c r="AE978" s="4"/>
      <c r="AF978" s="21"/>
    </row>
    <row r="979" spans="24:32" x14ac:dyDescent="0.25">
      <c r="X979" s="4"/>
      <c r="Y979" s="4"/>
      <c r="Z979" s="4"/>
      <c r="AA979" s="4"/>
      <c r="AB979" s="4"/>
      <c r="AC979" s="7"/>
      <c r="AD979" s="4"/>
      <c r="AE979" s="4"/>
      <c r="AF979" s="21"/>
    </row>
    <row r="980" spans="24:32" x14ac:dyDescent="0.25">
      <c r="X980" s="4"/>
      <c r="Y980" s="4"/>
      <c r="Z980" s="4"/>
      <c r="AA980" s="4"/>
      <c r="AB980" s="4"/>
      <c r="AC980" s="7"/>
      <c r="AD980" s="4"/>
      <c r="AE980" s="4"/>
      <c r="AF980" s="21"/>
    </row>
    <row r="981" spans="24:32" x14ac:dyDescent="0.25">
      <c r="X981" s="4"/>
      <c r="Y981" s="4"/>
      <c r="Z981" s="4"/>
      <c r="AA981" s="4"/>
      <c r="AB981" s="4"/>
      <c r="AC981" s="7"/>
      <c r="AD981" s="4"/>
      <c r="AE981" s="4"/>
      <c r="AF981" s="21"/>
    </row>
    <row r="982" spans="24:32" x14ac:dyDescent="0.25">
      <c r="X982" s="4"/>
      <c r="Y982" s="4"/>
      <c r="Z982" s="4"/>
      <c r="AA982" s="4"/>
      <c r="AB982" s="4"/>
      <c r="AC982" s="7"/>
      <c r="AD982" s="4"/>
      <c r="AE982" s="4"/>
      <c r="AF982" s="21"/>
    </row>
    <row r="983" spans="24:32" x14ac:dyDescent="0.25">
      <c r="X983" s="4"/>
      <c r="Y983" s="4"/>
      <c r="Z983" s="4"/>
      <c r="AA983" s="4"/>
      <c r="AB983" s="4"/>
      <c r="AC983" s="7"/>
      <c r="AD983" s="4"/>
      <c r="AE983" s="4"/>
      <c r="AF983" s="21"/>
    </row>
    <row r="984" spans="24:32" x14ac:dyDescent="0.25">
      <c r="X984" s="4"/>
      <c r="Y984" s="4"/>
      <c r="Z984" s="4"/>
      <c r="AA984" s="4"/>
      <c r="AB984" s="4"/>
      <c r="AC984" s="7"/>
      <c r="AD984" s="4"/>
      <c r="AE984" s="4"/>
      <c r="AF984" s="21"/>
    </row>
    <row r="985" spans="24:32" x14ac:dyDescent="0.25">
      <c r="X985" s="4"/>
      <c r="Y985" s="4"/>
      <c r="Z985" s="4"/>
      <c r="AA985" s="4"/>
      <c r="AB985" s="4"/>
      <c r="AC985" s="7"/>
      <c r="AD985" s="4"/>
      <c r="AE985" s="4"/>
      <c r="AF985" s="21"/>
    </row>
    <row r="986" spans="24:32" x14ac:dyDescent="0.25">
      <c r="X986" s="4"/>
      <c r="Y986" s="4"/>
      <c r="Z986" s="4"/>
      <c r="AA986" s="4"/>
      <c r="AB986" s="4"/>
      <c r="AC986" s="7"/>
      <c r="AD986" s="4"/>
      <c r="AE986" s="4"/>
      <c r="AF986" s="21"/>
    </row>
    <row r="987" spans="24:32" x14ac:dyDescent="0.25">
      <c r="X987" s="4"/>
      <c r="Y987" s="4"/>
      <c r="Z987" s="4"/>
      <c r="AA987" s="4"/>
      <c r="AB987" s="4"/>
      <c r="AC987" s="7"/>
      <c r="AD987" s="4"/>
      <c r="AE987" s="4"/>
      <c r="AF987" s="21"/>
    </row>
    <row r="988" spans="24:32" x14ac:dyDescent="0.25">
      <c r="X988" s="4"/>
      <c r="Y988" s="4"/>
      <c r="Z988" s="4"/>
      <c r="AA988" s="4"/>
      <c r="AB988" s="4"/>
      <c r="AC988" s="7"/>
      <c r="AD988" s="4"/>
      <c r="AE988" s="4"/>
      <c r="AF988" s="21"/>
    </row>
    <row r="989" spans="24:32" x14ac:dyDescent="0.25">
      <c r="X989" s="4"/>
      <c r="Y989" s="4"/>
      <c r="Z989" s="4"/>
      <c r="AA989" s="4"/>
      <c r="AB989" s="4"/>
      <c r="AC989" s="7"/>
      <c r="AD989" s="4"/>
      <c r="AE989" s="4"/>
      <c r="AF989" s="21"/>
    </row>
    <row r="990" spans="24:32" x14ac:dyDescent="0.25">
      <c r="X990" s="4"/>
      <c r="Y990" s="4"/>
      <c r="Z990" s="4"/>
      <c r="AA990" s="4"/>
      <c r="AB990" s="4"/>
      <c r="AC990" s="7"/>
      <c r="AD990" s="4"/>
      <c r="AE990" s="4"/>
      <c r="AF990" s="21"/>
    </row>
    <row r="991" spans="24:32" x14ac:dyDescent="0.25">
      <c r="X991" s="4"/>
      <c r="Y991" s="4"/>
      <c r="Z991" s="4"/>
      <c r="AA991" s="4"/>
      <c r="AB991" s="4"/>
      <c r="AC991" s="7"/>
      <c r="AD991" s="4"/>
      <c r="AE991" s="4"/>
      <c r="AF991" s="21"/>
    </row>
    <row r="992" spans="24:32" x14ac:dyDescent="0.25">
      <c r="X992" s="4"/>
      <c r="Y992" s="4"/>
      <c r="Z992" s="4"/>
      <c r="AA992" s="4"/>
      <c r="AB992" s="4"/>
      <c r="AC992" s="7"/>
      <c r="AD992" s="4"/>
      <c r="AE992" s="4"/>
      <c r="AF992" s="21"/>
    </row>
    <row r="993" spans="24:32" x14ac:dyDescent="0.25">
      <c r="X993" s="4"/>
      <c r="Y993" s="4"/>
      <c r="Z993" s="4"/>
      <c r="AA993" s="4"/>
      <c r="AB993" s="4"/>
      <c r="AC993" s="7"/>
      <c r="AD993" s="4"/>
      <c r="AE993" s="4"/>
      <c r="AF993" s="21"/>
    </row>
    <row r="994" spans="24:32" x14ac:dyDescent="0.25">
      <c r="X994" s="4"/>
      <c r="Y994" s="4"/>
      <c r="Z994" s="4"/>
      <c r="AA994" s="4"/>
      <c r="AB994" s="4"/>
      <c r="AC994" s="7"/>
      <c r="AD994" s="4"/>
      <c r="AE994" s="4"/>
      <c r="AF994" s="21"/>
    </row>
    <row r="995" spans="24:32" x14ac:dyDescent="0.25">
      <c r="X995" s="4"/>
      <c r="Y995" s="4"/>
      <c r="Z995" s="4"/>
      <c r="AA995" s="4"/>
      <c r="AB995" s="4"/>
      <c r="AC995" s="7"/>
      <c r="AD995" s="4"/>
      <c r="AE995" s="4"/>
      <c r="AF995" s="21"/>
    </row>
    <row r="996" spans="24:32" x14ac:dyDescent="0.25">
      <c r="X996" s="4"/>
      <c r="Y996" s="4"/>
      <c r="Z996" s="4"/>
      <c r="AA996" s="4"/>
      <c r="AB996" s="4"/>
      <c r="AC996" s="7"/>
      <c r="AD996" s="4"/>
      <c r="AE996" s="4"/>
      <c r="AF996" s="21"/>
    </row>
    <row r="997" spans="24:32" x14ac:dyDescent="0.25">
      <c r="X997" s="4"/>
      <c r="Y997" s="4"/>
      <c r="Z997" s="4"/>
      <c r="AA997" s="4"/>
      <c r="AB997" s="4"/>
      <c r="AC997" s="7"/>
      <c r="AD997" s="4"/>
      <c r="AE997" s="4"/>
      <c r="AF997" s="21"/>
    </row>
    <row r="998" spans="24:32" x14ac:dyDescent="0.25">
      <c r="X998" s="4"/>
      <c r="Y998" s="4"/>
      <c r="Z998" s="4"/>
      <c r="AA998" s="4"/>
      <c r="AB998" s="4"/>
      <c r="AC998" s="7"/>
      <c r="AD998" s="4"/>
      <c r="AE998" s="4"/>
      <c r="AF998" s="21"/>
    </row>
    <row r="999" spans="24:32" x14ac:dyDescent="0.25">
      <c r="X999" s="4"/>
      <c r="Y999" s="4"/>
      <c r="Z999" s="4"/>
      <c r="AA999" s="4"/>
      <c r="AB999" s="4"/>
      <c r="AC999" s="7"/>
      <c r="AD999" s="4"/>
      <c r="AE999" s="4"/>
      <c r="AF999" s="21"/>
    </row>
    <row r="1000" spans="24:32" x14ac:dyDescent="0.25">
      <c r="X1000" s="4"/>
      <c r="Y1000" s="4"/>
      <c r="Z1000" s="4"/>
      <c r="AA1000" s="4"/>
      <c r="AB1000" s="4"/>
      <c r="AC1000" s="7"/>
      <c r="AD1000" s="4"/>
      <c r="AE1000" s="4"/>
      <c r="AF1000" s="21"/>
    </row>
    <row r="1001" spans="24:32" x14ac:dyDescent="0.25">
      <c r="X1001" s="4"/>
      <c r="Y1001" s="4"/>
      <c r="Z1001" s="4"/>
      <c r="AA1001" s="4"/>
      <c r="AB1001" s="4"/>
      <c r="AC1001" s="7"/>
      <c r="AD1001" s="4"/>
      <c r="AE1001" s="4"/>
      <c r="AF1001" s="21"/>
    </row>
    <row r="1002" spans="24:32" x14ac:dyDescent="0.25">
      <c r="X1002" s="4"/>
      <c r="Y1002" s="4"/>
      <c r="Z1002" s="4"/>
      <c r="AA1002" s="4"/>
      <c r="AB1002" s="4"/>
      <c r="AC1002" s="7"/>
      <c r="AD1002" s="4"/>
      <c r="AE1002" s="4"/>
      <c r="AF1002" s="21"/>
    </row>
    <row r="1003" spans="24:32" x14ac:dyDescent="0.25">
      <c r="X1003" s="4"/>
      <c r="Y1003" s="4"/>
      <c r="Z1003" s="4"/>
      <c r="AA1003" s="4"/>
      <c r="AB1003" s="4"/>
      <c r="AC1003" s="7"/>
      <c r="AD1003" s="4"/>
      <c r="AE1003" s="4"/>
      <c r="AF1003" s="21"/>
    </row>
    <row r="1004" spans="24:32" x14ac:dyDescent="0.25">
      <c r="X1004" s="4"/>
      <c r="Y1004" s="4"/>
      <c r="Z1004" s="4"/>
      <c r="AA1004" s="4"/>
      <c r="AB1004" s="4"/>
      <c r="AC1004" s="7"/>
      <c r="AD1004" s="4"/>
      <c r="AE1004" s="4"/>
      <c r="AF1004" s="21"/>
    </row>
    <row r="1005" spans="24:32" x14ac:dyDescent="0.25">
      <c r="X1005" s="4"/>
      <c r="Y1005" s="4"/>
      <c r="Z1005" s="4"/>
      <c r="AA1005" s="4"/>
      <c r="AB1005" s="4"/>
      <c r="AC1005" s="7"/>
      <c r="AD1005" s="4"/>
      <c r="AE1005" s="4"/>
      <c r="AF1005" s="21"/>
    </row>
    <row r="1006" spans="24:32" x14ac:dyDescent="0.25">
      <c r="X1006" s="4"/>
      <c r="Y1006" s="4"/>
      <c r="Z1006" s="4"/>
      <c r="AA1006" s="4"/>
      <c r="AB1006" s="4"/>
      <c r="AC1006" s="7"/>
      <c r="AD1006" s="4"/>
      <c r="AE1006" s="4"/>
      <c r="AF1006" s="21"/>
    </row>
    <row r="1007" spans="24:32" x14ac:dyDescent="0.25">
      <c r="X1007" s="4"/>
      <c r="Y1007" s="4"/>
      <c r="Z1007" s="4"/>
      <c r="AA1007" s="4"/>
      <c r="AB1007" s="4"/>
      <c r="AC1007" s="7"/>
      <c r="AD1007" s="4"/>
      <c r="AE1007" s="4"/>
      <c r="AF1007" s="21"/>
    </row>
    <row r="1008" spans="24:32" x14ac:dyDescent="0.25">
      <c r="X1008" s="4"/>
      <c r="Y1008" s="4"/>
      <c r="Z1008" s="4"/>
      <c r="AA1008" s="4"/>
      <c r="AB1008" s="4"/>
      <c r="AC1008" s="7"/>
      <c r="AD1008" s="4"/>
      <c r="AE1008" s="4"/>
      <c r="AF1008" s="21"/>
    </row>
    <row r="1009" spans="24:32" x14ac:dyDescent="0.25">
      <c r="X1009" s="4"/>
      <c r="Y1009" s="4"/>
      <c r="Z1009" s="4"/>
      <c r="AA1009" s="4"/>
      <c r="AB1009" s="4"/>
      <c r="AC1009" s="7"/>
      <c r="AD1009" s="4"/>
      <c r="AE1009" s="4"/>
      <c r="AF1009" s="21"/>
    </row>
    <row r="1010" spans="24:32" x14ac:dyDescent="0.25">
      <c r="X1010" s="4"/>
      <c r="Y1010" s="4"/>
      <c r="Z1010" s="4"/>
      <c r="AA1010" s="4"/>
      <c r="AB1010" s="4"/>
      <c r="AC1010" s="7"/>
      <c r="AD1010" s="4"/>
      <c r="AE1010" s="4"/>
      <c r="AF1010" s="21"/>
    </row>
    <row r="1011" spans="24:32" x14ac:dyDescent="0.25">
      <c r="X1011" s="4"/>
      <c r="Y1011" s="4"/>
      <c r="Z1011" s="4"/>
      <c r="AA1011" s="4"/>
      <c r="AB1011" s="4"/>
      <c r="AC1011" s="7"/>
      <c r="AD1011" s="4"/>
      <c r="AE1011" s="4"/>
      <c r="AF1011" s="21"/>
    </row>
    <row r="1012" spans="24:32" x14ac:dyDescent="0.25">
      <c r="X1012" s="4"/>
      <c r="Y1012" s="4"/>
      <c r="Z1012" s="4"/>
      <c r="AA1012" s="4"/>
      <c r="AB1012" s="4"/>
      <c r="AC1012" s="7"/>
      <c r="AD1012" s="4"/>
      <c r="AE1012" s="4"/>
      <c r="AF1012" s="21"/>
    </row>
    <row r="1013" spans="24:32" x14ac:dyDescent="0.25">
      <c r="X1013" s="4"/>
      <c r="Y1013" s="4"/>
      <c r="Z1013" s="4"/>
      <c r="AA1013" s="4"/>
      <c r="AB1013" s="4"/>
      <c r="AC1013" s="7"/>
      <c r="AD1013" s="4"/>
      <c r="AE1013" s="4"/>
      <c r="AF1013" s="21"/>
    </row>
    <row r="1014" spans="24:32" x14ac:dyDescent="0.25">
      <c r="X1014" s="4"/>
      <c r="Y1014" s="4"/>
      <c r="Z1014" s="4"/>
      <c r="AA1014" s="4"/>
      <c r="AB1014" s="4"/>
      <c r="AC1014" s="7"/>
      <c r="AD1014" s="4"/>
      <c r="AE1014" s="4"/>
      <c r="AF1014" s="21"/>
    </row>
    <row r="1015" spans="24:32" x14ac:dyDescent="0.25">
      <c r="X1015" s="4"/>
      <c r="Y1015" s="4"/>
      <c r="Z1015" s="4"/>
      <c r="AA1015" s="4"/>
      <c r="AB1015" s="4"/>
      <c r="AC1015" s="7"/>
      <c r="AD1015" s="4"/>
      <c r="AE1015" s="4"/>
      <c r="AF1015" s="21"/>
    </row>
    <row r="1016" spans="24:32" x14ac:dyDescent="0.25">
      <c r="X1016" s="4"/>
      <c r="Y1016" s="4"/>
      <c r="Z1016" s="4"/>
      <c r="AA1016" s="4"/>
      <c r="AB1016" s="4"/>
      <c r="AC1016" s="7"/>
      <c r="AD1016" s="4"/>
      <c r="AE1016" s="4"/>
      <c r="AF1016" s="21"/>
    </row>
    <row r="1017" spans="24:32" x14ac:dyDescent="0.25">
      <c r="X1017" s="4"/>
      <c r="Y1017" s="4"/>
      <c r="Z1017" s="4"/>
      <c r="AA1017" s="4"/>
      <c r="AB1017" s="4"/>
      <c r="AC1017" s="7"/>
      <c r="AD1017" s="4"/>
      <c r="AE1017" s="4"/>
      <c r="AF1017" s="21"/>
    </row>
    <row r="1018" spans="24:32" x14ac:dyDescent="0.25">
      <c r="X1018" s="4"/>
      <c r="Y1018" s="4"/>
      <c r="Z1018" s="4"/>
      <c r="AA1018" s="4"/>
      <c r="AB1018" s="4"/>
      <c r="AC1018" s="7"/>
      <c r="AD1018" s="4"/>
      <c r="AE1018" s="4"/>
      <c r="AF1018" s="21"/>
    </row>
    <row r="1019" spans="24:32" x14ac:dyDescent="0.25">
      <c r="X1019" s="4"/>
      <c r="Y1019" s="4"/>
      <c r="Z1019" s="4"/>
      <c r="AA1019" s="4"/>
      <c r="AB1019" s="4"/>
      <c r="AC1019" s="7"/>
      <c r="AD1019" s="4"/>
      <c r="AE1019" s="4"/>
      <c r="AF1019" s="21"/>
    </row>
    <row r="1020" spans="24:32" x14ac:dyDescent="0.25">
      <c r="X1020" s="4"/>
      <c r="Y1020" s="4"/>
      <c r="Z1020" s="4"/>
      <c r="AA1020" s="4"/>
      <c r="AB1020" s="4"/>
      <c r="AC1020" s="7"/>
      <c r="AD1020" s="4"/>
      <c r="AE1020" s="4"/>
      <c r="AF1020" s="21"/>
    </row>
    <row r="1021" spans="24:32" x14ac:dyDescent="0.25">
      <c r="X1021" s="4"/>
      <c r="Y1021" s="4"/>
      <c r="Z1021" s="4"/>
      <c r="AA1021" s="4"/>
      <c r="AB1021" s="4"/>
      <c r="AC1021" s="7"/>
      <c r="AD1021" s="4"/>
      <c r="AE1021" s="4"/>
      <c r="AF1021" s="21"/>
    </row>
    <row r="1022" spans="24:32" x14ac:dyDescent="0.25">
      <c r="X1022" s="4"/>
      <c r="Y1022" s="4"/>
      <c r="Z1022" s="4"/>
      <c r="AA1022" s="4"/>
      <c r="AB1022" s="4"/>
      <c r="AC1022" s="7"/>
      <c r="AD1022" s="4"/>
      <c r="AE1022" s="4"/>
      <c r="AF1022" s="21"/>
    </row>
    <row r="1023" spans="24:32" x14ac:dyDescent="0.25">
      <c r="X1023" s="4"/>
      <c r="Y1023" s="4"/>
      <c r="Z1023" s="4"/>
      <c r="AA1023" s="4"/>
      <c r="AB1023" s="4"/>
      <c r="AC1023" s="7"/>
      <c r="AD1023" s="4"/>
      <c r="AE1023" s="4"/>
      <c r="AF1023" s="21"/>
    </row>
    <row r="1024" spans="24:32" x14ac:dyDescent="0.25">
      <c r="X1024" s="4"/>
      <c r="Y1024" s="4"/>
      <c r="Z1024" s="4"/>
      <c r="AA1024" s="4"/>
      <c r="AB1024" s="4"/>
      <c r="AC1024" s="7"/>
      <c r="AD1024" s="4"/>
      <c r="AE1024" s="4"/>
      <c r="AF1024" s="21"/>
    </row>
    <row r="1025" spans="24:32" x14ac:dyDescent="0.25">
      <c r="X1025" s="4"/>
      <c r="Y1025" s="4"/>
      <c r="Z1025" s="4"/>
      <c r="AA1025" s="4"/>
      <c r="AB1025" s="4"/>
      <c r="AC1025" s="7"/>
      <c r="AD1025" s="4"/>
      <c r="AE1025" s="4"/>
      <c r="AF1025" s="21"/>
    </row>
    <row r="1026" spans="24:32" x14ac:dyDescent="0.25">
      <c r="X1026" s="4"/>
      <c r="Y1026" s="4"/>
      <c r="Z1026" s="4"/>
      <c r="AA1026" s="4"/>
      <c r="AB1026" s="4"/>
      <c r="AC1026" s="7"/>
      <c r="AD1026" s="4"/>
      <c r="AE1026" s="4"/>
      <c r="AF1026" s="21"/>
    </row>
    <row r="1027" spans="24:32" x14ac:dyDescent="0.25">
      <c r="X1027" s="4"/>
      <c r="Y1027" s="4"/>
      <c r="Z1027" s="4"/>
      <c r="AA1027" s="4"/>
      <c r="AB1027" s="4"/>
      <c r="AC1027" s="7"/>
      <c r="AD1027" s="4"/>
      <c r="AE1027" s="4"/>
      <c r="AF1027" s="21"/>
    </row>
    <row r="1028" spans="24:32" x14ac:dyDescent="0.25">
      <c r="X1028" s="4"/>
      <c r="Y1028" s="4"/>
      <c r="Z1028" s="4"/>
      <c r="AA1028" s="4"/>
      <c r="AB1028" s="4"/>
      <c r="AC1028" s="7"/>
      <c r="AD1028" s="4"/>
      <c r="AE1028" s="4"/>
      <c r="AF1028" s="21"/>
    </row>
    <row r="1029" spans="24:32" x14ac:dyDescent="0.25">
      <c r="X1029" s="4"/>
      <c r="Y1029" s="4"/>
      <c r="Z1029" s="4"/>
      <c r="AA1029" s="4"/>
      <c r="AB1029" s="4"/>
      <c r="AC1029" s="7"/>
      <c r="AD1029" s="4"/>
      <c r="AE1029" s="4"/>
      <c r="AF1029" s="21"/>
    </row>
    <row r="1030" spans="24:32" x14ac:dyDescent="0.25">
      <c r="X1030" s="4"/>
      <c r="Y1030" s="4"/>
      <c r="Z1030" s="4"/>
      <c r="AA1030" s="4"/>
      <c r="AB1030" s="4"/>
      <c r="AC1030" s="7"/>
      <c r="AD1030" s="4"/>
      <c r="AE1030" s="4"/>
      <c r="AF1030" s="21"/>
    </row>
    <row r="1031" spans="24:32" x14ac:dyDescent="0.25">
      <c r="X1031" s="4"/>
      <c r="Y1031" s="4"/>
      <c r="Z1031" s="4"/>
      <c r="AA1031" s="4"/>
      <c r="AB1031" s="4"/>
      <c r="AC1031" s="7"/>
      <c r="AD1031" s="4"/>
      <c r="AE1031" s="4"/>
      <c r="AF1031" s="21"/>
    </row>
    <row r="1032" spans="24:32" x14ac:dyDescent="0.25">
      <c r="X1032" s="4"/>
      <c r="Y1032" s="4"/>
      <c r="Z1032" s="4"/>
      <c r="AA1032" s="4"/>
      <c r="AB1032" s="4"/>
      <c r="AC1032" s="7"/>
      <c r="AD1032" s="4"/>
      <c r="AE1032" s="4"/>
      <c r="AF1032" s="21"/>
    </row>
    <row r="1033" spans="24:32" x14ac:dyDescent="0.25">
      <c r="X1033" s="4"/>
      <c r="Y1033" s="4"/>
      <c r="Z1033" s="4"/>
      <c r="AA1033" s="4"/>
      <c r="AB1033" s="4"/>
      <c r="AC1033" s="7"/>
      <c r="AD1033" s="4"/>
      <c r="AE1033" s="4"/>
      <c r="AF1033" s="21"/>
    </row>
    <row r="1034" spans="24:32" x14ac:dyDescent="0.25">
      <c r="X1034" s="4"/>
      <c r="Y1034" s="4"/>
      <c r="Z1034" s="4"/>
      <c r="AA1034" s="4"/>
      <c r="AB1034" s="4"/>
      <c r="AC1034" s="7"/>
      <c r="AD1034" s="4"/>
      <c r="AE1034" s="4"/>
      <c r="AF1034" s="21"/>
    </row>
    <row r="1035" spans="24:32" x14ac:dyDescent="0.25">
      <c r="X1035" s="4"/>
      <c r="Y1035" s="4"/>
      <c r="Z1035" s="4"/>
      <c r="AA1035" s="4"/>
      <c r="AB1035" s="4"/>
      <c r="AC1035" s="7"/>
      <c r="AD1035" s="4"/>
      <c r="AE1035" s="4"/>
      <c r="AF1035" s="21"/>
    </row>
    <row r="1036" spans="24:32" x14ac:dyDescent="0.25">
      <c r="X1036" s="4"/>
      <c r="Y1036" s="4"/>
      <c r="Z1036" s="4"/>
      <c r="AA1036" s="4"/>
      <c r="AB1036" s="4"/>
      <c r="AC1036" s="7"/>
      <c r="AD1036" s="4"/>
      <c r="AE1036" s="4"/>
      <c r="AF1036" s="21"/>
    </row>
    <row r="1037" spans="24:32" x14ac:dyDescent="0.25">
      <c r="X1037" s="4"/>
      <c r="Y1037" s="4"/>
      <c r="Z1037" s="4"/>
      <c r="AA1037" s="4"/>
      <c r="AB1037" s="4"/>
      <c r="AC1037" s="7"/>
      <c r="AD1037" s="4"/>
      <c r="AE1037" s="4"/>
      <c r="AF1037" s="21"/>
    </row>
    <row r="1038" spans="24:32" x14ac:dyDescent="0.25">
      <c r="X1038" s="4"/>
      <c r="Y1038" s="4"/>
      <c r="Z1038" s="4"/>
      <c r="AA1038" s="4"/>
      <c r="AB1038" s="4"/>
      <c r="AC1038" s="7"/>
      <c r="AD1038" s="4"/>
      <c r="AE1038" s="4"/>
      <c r="AF1038" s="21"/>
    </row>
    <row r="1039" spans="24:32" x14ac:dyDescent="0.25">
      <c r="X1039" s="4"/>
      <c r="Y1039" s="4"/>
      <c r="Z1039" s="4"/>
      <c r="AA1039" s="4"/>
      <c r="AB1039" s="4"/>
      <c r="AC1039" s="7"/>
      <c r="AD1039" s="4"/>
      <c r="AE1039" s="4"/>
      <c r="AF1039" s="21"/>
    </row>
    <row r="1040" spans="24:32" x14ac:dyDescent="0.25">
      <c r="X1040" s="4"/>
      <c r="Y1040" s="4"/>
      <c r="Z1040" s="4"/>
      <c r="AA1040" s="4"/>
      <c r="AB1040" s="4"/>
      <c r="AC1040" s="7"/>
      <c r="AD1040" s="4"/>
      <c r="AE1040" s="4"/>
      <c r="AF1040" s="21"/>
    </row>
    <row r="1041" spans="24:32" x14ac:dyDescent="0.25">
      <c r="X1041" s="4"/>
      <c r="Y1041" s="4"/>
      <c r="Z1041" s="4"/>
      <c r="AA1041" s="4"/>
      <c r="AB1041" s="4"/>
      <c r="AC1041" s="7"/>
      <c r="AD1041" s="4"/>
      <c r="AE1041" s="4"/>
      <c r="AF1041" s="21"/>
    </row>
    <row r="1042" spans="24:32" x14ac:dyDescent="0.25">
      <c r="X1042" s="4"/>
      <c r="Y1042" s="4"/>
      <c r="Z1042" s="4"/>
      <c r="AA1042" s="4"/>
      <c r="AB1042" s="4"/>
      <c r="AC1042" s="7"/>
      <c r="AD1042" s="4"/>
      <c r="AE1042" s="4"/>
      <c r="AF1042" s="21"/>
    </row>
    <row r="1043" spans="24:32" x14ac:dyDescent="0.25">
      <c r="X1043" s="4"/>
      <c r="Y1043" s="4"/>
      <c r="Z1043" s="4"/>
      <c r="AA1043" s="4"/>
      <c r="AB1043" s="4"/>
      <c r="AC1043" s="7"/>
      <c r="AD1043" s="4"/>
      <c r="AE1043" s="4"/>
      <c r="AF1043" s="21"/>
    </row>
    <row r="1044" spans="24:32" x14ac:dyDescent="0.25">
      <c r="X1044" s="4"/>
      <c r="Y1044" s="4"/>
      <c r="Z1044" s="4"/>
      <c r="AA1044" s="4"/>
      <c r="AB1044" s="4"/>
      <c r="AC1044" s="7"/>
      <c r="AD1044" s="4"/>
      <c r="AE1044" s="4"/>
      <c r="AF1044" s="21"/>
    </row>
    <row r="1045" spans="24:32" x14ac:dyDescent="0.25">
      <c r="X1045" s="4"/>
      <c r="Y1045" s="4"/>
      <c r="Z1045" s="4"/>
      <c r="AA1045" s="4"/>
      <c r="AB1045" s="4"/>
      <c r="AC1045" s="7"/>
      <c r="AD1045" s="4"/>
      <c r="AE1045" s="4"/>
      <c r="AF1045" s="21"/>
    </row>
    <row r="1046" spans="24:32" x14ac:dyDescent="0.25">
      <c r="X1046" s="4"/>
      <c r="Y1046" s="4"/>
      <c r="Z1046" s="4"/>
      <c r="AA1046" s="4"/>
      <c r="AB1046" s="4"/>
      <c r="AC1046" s="7"/>
      <c r="AD1046" s="4"/>
      <c r="AE1046" s="4"/>
      <c r="AF1046" s="21"/>
    </row>
    <row r="1047" spans="24:32" x14ac:dyDescent="0.25">
      <c r="X1047" s="4"/>
      <c r="Y1047" s="4"/>
      <c r="Z1047" s="4"/>
      <c r="AA1047" s="4"/>
      <c r="AB1047" s="4"/>
      <c r="AC1047" s="7"/>
      <c r="AD1047" s="4"/>
      <c r="AE1047" s="4"/>
      <c r="AF1047" s="21"/>
    </row>
    <row r="1048" spans="24:32" x14ac:dyDescent="0.25">
      <c r="X1048" s="4"/>
      <c r="Y1048" s="4"/>
      <c r="Z1048" s="4"/>
      <c r="AA1048" s="4"/>
      <c r="AB1048" s="4"/>
      <c r="AC1048" s="7"/>
      <c r="AD1048" s="4"/>
      <c r="AE1048" s="4"/>
      <c r="AF1048" s="21"/>
    </row>
    <row r="1049" spans="24:32" x14ac:dyDescent="0.25">
      <c r="X1049" s="4"/>
      <c r="Y1049" s="4"/>
      <c r="Z1049" s="4"/>
      <c r="AA1049" s="4"/>
      <c r="AB1049" s="4"/>
      <c r="AC1049" s="7"/>
      <c r="AD1049" s="4"/>
      <c r="AE1049" s="4"/>
      <c r="AF1049" s="21"/>
    </row>
    <row r="1050" spans="24:32" x14ac:dyDescent="0.25">
      <c r="X1050" s="4"/>
      <c r="Y1050" s="4"/>
      <c r="Z1050" s="4"/>
      <c r="AA1050" s="4"/>
      <c r="AB1050" s="4"/>
      <c r="AC1050" s="7"/>
      <c r="AD1050" s="4"/>
      <c r="AE1050" s="4"/>
      <c r="AF1050" s="21"/>
    </row>
    <row r="1051" spans="24:32" x14ac:dyDescent="0.25">
      <c r="X1051" s="4"/>
      <c r="Y1051" s="4"/>
      <c r="Z1051" s="4"/>
      <c r="AA1051" s="4"/>
      <c r="AB1051" s="4"/>
      <c r="AC1051" s="7"/>
      <c r="AD1051" s="4"/>
      <c r="AE1051" s="4"/>
      <c r="AF1051" s="21"/>
    </row>
    <row r="1052" spans="24:32" x14ac:dyDescent="0.25">
      <c r="X1052" s="4"/>
      <c r="Y1052" s="4"/>
      <c r="Z1052" s="4"/>
      <c r="AA1052" s="4"/>
      <c r="AB1052" s="4"/>
      <c r="AC1052" s="7"/>
      <c r="AD1052" s="4"/>
      <c r="AE1052" s="4"/>
      <c r="AF1052" s="21"/>
    </row>
    <row r="1053" spans="24:32" x14ac:dyDescent="0.25">
      <c r="X1053" s="4"/>
      <c r="Y1053" s="4"/>
      <c r="Z1053" s="4"/>
      <c r="AA1053" s="4"/>
      <c r="AB1053" s="4"/>
      <c r="AC1053" s="7"/>
      <c r="AD1053" s="4"/>
      <c r="AE1053" s="4"/>
      <c r="AF1053" s="21"/>
    </row>
    <row r="1054" spans="24:32" x14ac:dyDescent="0.25">
      <c r="X1054" s="4"/>
      <c r="Y1054" s="4"/>
      <c r="Z1054" s="4"/>
      <c r="AA1054" s="4"/>
      <c r="AB1054" s="4"/>
      <c r="AC1054" s="7"/>
      <c r="AD1054" s="4"/>
      <c r="AE1054" s="4"/>
      <c r="AF1054" s="21"/>
    </row>
    <row r="1055" spans="24:32" x14ac:dyDescent="0.25">
      <c r="X1055" s="4"/>
      <c r="Y1055" s="4"/>
      <c r="Z1055" s="4"/>
      <c r="AA1055" s="4"/>
      <c r="AB1055" s="4"/>
      <c r="AC1055" s="7"/>
      <c r="AD1055" s="4"/>
      <c r="AE1055" s="4"/>
      <c r="AF1055" s="21"/>
    </row>
    <row r="1056" spans="24:32" x14ac:dyDescent="0.25">
      <c r="X1056" s="4"/>
      <c r="Y1056" s="4"/>
      <c r="Z1056" s="4"/>
      <c r="AA1056" s="4"/>
      <c r="AB1056" s="4"/>
      <c r="AC1056" s="7"/>
      <c r="AD1056" s="4"/>
      <c r="AE1056" s="4"/>
      <c r="AF1056" s="21"/>
    </row>
    <row r="1057" spans="24:32" x14ac:dyDescent="0.25">
      <c r="X1057" s="4"/>
      <c r="Y1057" s="4"/>
      <c r="Z1057" s="4"/>
      <c r="AA1057" s="4"/>
      <c r="AB1057" s="4"/>
      <c r="AC1057" s="7"/>
      <c r="AD1057" s="4"/>
      <c r="AE1057" s="4"/>
      <c r="AF1057" s="21"/>
    </row>
    <row r="1058" spans="24:32" x14ac:dyDescent="0.25">
      <c r="X1058" s="4"/>
      <c r="Y1058" s="4"/>
      <c r="Z1058" s="4"/>
      <c r="AA1058" s="4"/>
      <c r="AB1058" s="4"/>
      <c r="AC1058" s="7"/>
      <c r="AD1058" s="4"/>
      <c r="AE1058" s="4"/>
      <c r="AF1058" s="21"/>
    </row>
    <row r="1059" spans="24:32" x14ac:dyDescent="0.25">
      <c r="X1059" s="4"/>
      <c r="Y1059" s="4"/>
      <c r="Z1059" s="4"/>
      <c r="AA1059" s="4"/>
      <c r="AB1059" s="4"/>
      <c r="AC1059" s="7"/>
      <c r="AD1059" s="4"/>
      <c r="AE1059" s="4"/>
      <c r="AF1059" s="21"/>
    </row>
    <row r="1060" spans="24:32" x14ac:dyDescent="0.25">
      <c r="X1060" s="4"/>
      <c r="Y1060" s="4"/>
      <c r="Z1060" s="4"/>
      <c r="AA1060" s="4"/>
      <c r="AB1060" s="4"/>
      <c r="AC1060" s="7"/>
      <c r="AD1060" s="4"/>
      <c r="AE1060" s="4"/>
      <c r="AF1060" s="21"/>
    </row>
    <row r="1061" spans="24:32" x14ac:dyDescent="0.25">
      <c r="X1061" s="4"/>
      <c r="Y1061" s="4"/>
      <c r="Z1061" s="4"/>
      <c r="AA1061" s="4"/>
      <c r="AB1061" s="4"/>
      <c r="AC1061" s="7"/>
      <c r="AD1061" s="4"/>
      <c r="AE1061" s="4"/>
      <c r="AF1061" s="21"/>
    </row>
    <row r="1062" spans="24:32" x14ac:dyDescent="0.25">
      <c r="X1062" s="4"/>
      <c r="Y1062" s="4"/>
      <c r="Z1062" s="4"/>
      <c r="AA1062" s="4"/>
      <c r="AB1062" s="4"/>
      <c r="AC1062" s="7"/>
      <c r="AD1062" s="4"/>
      <c r="AE1062" s="4"/>
      <c r="AF1062" s="21"/>
    </row>
    <row r="1063" spans="24:32" x14ac:dyDescent="0.25">
      <c r="X1063" s="4"/>
      <c r="Y1063" s="4"/>
      <c r="Z1063" s="4"/>
      <c r="AA1063" s="4"/>
      <c r="AB1063" s="4"/>
      <c r="AC1063" s="7"/>
      <c r="AD1063" s="4"/>
      <c r="AE1063" s="4"/>
      <c r="AF1063" s="21"/>
    </row>
    <row r="1064" spans="24:32" x14ac:dyDescent="0.25">
      <c r="X1064" s="4"/>
      <c r="Y1064" s="4"/>
      <c r="Z1064" s="4"/>
      <c r="AA1064" s="4"/>
      <c r="AB1064" s="4"/>
      <c r="AC1064" s="7"/>
      <c r="AD1064" s="4"/>
      <c r="AE1064" s="4"/>
      <c r="AF1064" s="21"/>
    </row>
    <row r="1065" spans="24:32" x14ac:dyDescent="0.25">
      <c r="X1065" s="4"/>
      <c r="Y1065" s="4"/>
      <c r="Z1065" s="4"/>
      <c r="AA1065" s="4"/>
      <c r="AB1065" s="4"/>
      <c r="AC1065" s="7"/>
      <c r="AD1065" s="4"/>
      <c r="AE1065" s="4"/>
      <c r="AF1065" s="21"/>
    </row>
    <row r="1066" spans="24:32" x14ac:dyDescent="0.25">
      <c r="X1066" s="4"/>
      <c r="Y1066" s="4"/>
      <c r="Z1066" s="4"/>
      <c r="AA1066" s="4"/>
      <c r="AB1066" s="4"/>
      <c r="AC1066" s="7"/>
      <c r="AD1066" s="4"/>
      <c r="AE1066" s="4"/>
      <c r="AF1066" s="21"/>
    </row>
    <row r="1067" spans="24:32" x14ac:dyDescent="0.25">
      <c r="X1067" s="4"/>
      <c r="Y1067" s="4"/>
      <c r="Z1067" s="4"/>
      <c r="AA1067" s="4"/>
      <c r="AB1067" s="4"/>
      <c r="AC1067" s="7"/>
      <c r="AD1067" s="4"/>
      <c r="AE1067" s="4"/>
      <c r="AF1067" s="21"/>
    </row>
    <row r="1068" spans="24:32" x14ac:dyDescent="0.25">
      <c r="X1068" s="4"/>
      <c r="Y1068" s="4"/>
      <c r="Z1068" s="4"/>
      <c r="AA1068" s="4"/>
      <c r="AB1068" s="4"/>
      <c r="AC1068" s="7"/>
      <c r="AD1068" s="4"/>
      <c r="AE1068" s="4"/>
      <c r="AF1068" s="21"/>
    </row>
    <row r="1069" spans="24:32" x14ac:dyDescent="0.25">
      <c r="X1069" s="4"/>
      <c r="Y1069" s="4"/>
      <c r="Z1069" s="4"/>
      <c r="AA1069" s="4"/>
      <c r="AB1069" s="4"/>
      <c r="AC1069" s="7"/>
      <c r="AD1069" s="4"/>
      <c r="AE1069" s="4"/>
      <c r="AF1069" s="21"/>
    </row>
    <row r="1070" spans="24:32" x14ac:dyDescent="0.25">
      <c r="X1070" s="4"/>
      <c r="Y1070" s="4"/>
      <c r="Z1070" s="4"/>
      <c r="AA1070" s="4"/>
      <c r="AB1070" s="4"/>
      <c r="AC1070" s="7"/>
      <c r="AD1070" s="4"/>
      <c r="AE1070" s="4"/>
      <c r="AF1070" s="21"/>
    </row>
    <row r="1071" spans="24:32" x14ac:dyDescent="0.25">
      <c r="X1071" s="4"/>
      <c r="Y1071" s="4"/>
      <c r="Z1071" s="4"/>
      <c r="AA1071" s="4"/>
      <c r="AB1071" s="4"/>
      <c r="AC1071" s="7"/>
      <c r="AD1071" s="4"/>
      <c r="AE1071" s="4"/>
      <c r="AF1071" s="21"/>
    </row>
    <row r="1072" spans="24:32" x14ac:dyDescent="0.25">
      <c r="X1072" s="4"/>
      <c r="Y1072" s="4"/>
      <c r="Z1072" s="4"/>
      <c r="AA1072" s="4"/>
      <c r="AB1072" s="4"/>
      <c r="AC1072" s="7"/>
      <c r="AD1072" s="4"/>
      <c r="AE1072" s="4"/>
      <c r="AF1072" s="21"/>
    </row>
    <row r="1073" spans="24:32" x14ac:dyDescent="0.25">
      <c r="X1073" s="4"/>
      <c r="Y1073" s="4"/>
      <c r="Z1073" s="4"/>
      <c r="AA1073" s="4"/>
      <c r="AB1073" s="4"/>
      <c r="AC1073" s="7"/>
      <c r="AD1073" s="4"/>
      <c r="AE1073" s="4"/>
      <c r="AF1073" s="21"/>
    </row>
    <row r="1074" spans="24:32" x14ac:dyDescent="0.25">
      <c r="X1074" s="4"/>
      <c r="Y1074" s="4"/>
      <c r="Z1074" s="4"/>
      <c r="AA1074" s="4"/>
      <c r="AB1074" s="4"/>
      <c r="AC1074" s="7"/>
      <c r="AD1074" s="4"/>
      <c r="AE1074" s="4"/>
      <c r="AF1074" s="21"/>
    </row>
    <row r="1075" spans="24:32" x14ac:dyDescent="0.25">
      <c r="X1075" s="4"/>
      <c r="Y1075" s="4"/>
      <c r="Z1075" s="4"/>
      <c r="AA1075" s="4"/>
      <c r="AB1075" s="4"/>
      <c r="AC1075" s="7"/>
      <c r="AD1075" s="4"/>
      <c r="AE1075" s="4"/>
      <c r="AF1075" s="21"/>
    </row>
    <row r="1076" spans="24:32" x14ac:dyDescent="0.25">
      <c r="X1076" s="4"/>
      <c r="Y1076" s="4"/>
      <c r="Z1076" s="4"/>
      <c r="AA1076" s="4"/>
      <c r="AB1076" s="4"/>
      <c r="AC1076" s="7"/>
      <c r="AD1076" s="4"/>
      <c r="AE1076" s="4"/>
      <c r="AF1076" s="21"/>
    </row>
    <row r="1077" spans="24:32" x14ac:dyDescent="0.25">
      <c r="X1077" s="4"/>
      <c r="Y1077" s="4"/>
      <c r="Z1077" s="4"/>
      <c r="AA1077" s="4"/>
      <c r="AB1077" s="4"/>
      <c r="AC1077" s="7"/>
      <c r="AD1077" s="4"/>
      <c r="AE1077" s="4"/>
      <c r="AF1077" s="21"/>
    </row>
    <row r="1078" spans="24:32" x14ac:dyDescent="0.25">
      <c r="X1078" s="4"/>
      <c r="Y1078" s="4"/>
      <c r="Z1078" s="4"/>
      <c r="AA1078" s="4"/>
      <c r="AB1078" s="4"/>
      <c r="AC1078" s="7"/>
      <c r="AD1078" s="4"/>
      <c r="AE1078" s="4"/>
      <c r="AF1078" s="21"/>
    </row>
    <row r="1079" spans="24:32" x14ac:dyDescent="0.25">
      <c r="X1079" s="4"/>
      <c r="Y1079" s="4"/>
      <c r="Z1079" s="4"/>
      <c r="AA1079" s="4"/>
      <c r="AB1079" s="4"/>
      <c r="AC1079" s="7"/>
      <c r="AD1079" s="4"/>
      <c r="AE1079" s="4"/>
      <c r="AF1079" s="21"/>
    </row>
    <row r="1080" spans="24:32" x14ac:dyDescent="0.25">
      <c r="X1080" s="4"/>
      <c r="Y1080" s="4"/>
      <c r="Z1080" s="4"/>
      <c r="AA1080" s="4"/>
      <c r="AB1080" s="4"/>
      <c r="AC1080" s="7"/>
      <c r="AD1080" s="4"/>
      <c r="AE1080" s="4"/>
      <c r="AF1080" s="21"/>
    </row>
    <row r="1081" spans="24:32" x14ac:dyDescent="0.25">
      <c r="X1081" s="4"/>
      <c r="Y1081" s="4"/>
      <c r="Z1081" s="4"/>
      <c r="AA1081" s="4"/>
      <c r="AB1081" s="4"/>
      <c r="AC1081" s="7"/>
      <c r="AD1081" s="4"/>
      <c r="AE1081" s="4"/>
      <c r="AF1081" s="21"/>
    </row>
    <row r="1082" spans="24:32" x14ac:dyDescent="0.25">
      <c r="X1082" s="4"/>
      <c r="Y1082" s="4"/>
      <c r="Z1082" s="4"/>
      <c r="AA1082" s="4"/>
      <c r="AB1082" s="4"/>
      <c r="AC1082" s="7"/>
      <c r="AD1082" s="4"/>
      <c r="AE1082" s="4"/>
      <c r="AF1082" s="21"/>
    </row>
    <row r="1083" spans="24:32" x14ac:dyDescent="0.25">
      <c r="X1083" s="4"/>
      <c r="Y1083" s="4"/>
      <c r="Z1083" s="4"/>
      <c r="AA1083" s="4"/>
      <c r="AB1083" s="4"/>
      <c r="AC1083" s="7"/>
      <c r="AD1083" s="4"/>
      <c r="AE1083" s="4"/>
      <c r="AF1083" s="21"/>
    </row>
    <row r="1084" spans="24:32" x14ac:dyDescent="0.25">
      <c r="X1084" s="4"/>
      <c r="Y1084" s="4"/>
      <c r="Z1084" s="4"/>
      <c r="AA1084" s="4"/>
      <c r="AB1084" s="4"/>
      <c r="AC1084" s="7"/>
      <c r="AD1084" s="4"/>
      <c r="AE1084" s="4"/>
      <c r="AF1084" s="21"/>
    </row>
    <row r="1085" spans="24:32" x14ac:dyDescent="0.25">
      <c r="X1085" s="4"/>
      <c r="Y1085" s="4"/>
      <c r="Z1085" s="4"/>
      <c r="AA1085" s="4"/>
      <c r="AB1085" s="4"/>
      <c r="AC1085" s="7"/>
      <c r="AD1085" s="4"/>
      <c r="AE1085" s="4"/>
      <c r="AF1085" s="21"/>
    </row>
    <row r="1086" spans="24:32" x14ac:dyDescent="0.25">
      <c r="X1086" s="4"/>
      <c r="Y1086" s="4"/>
      <c r="Z1086" s="4"/>
      <c r="AA1086" s="4"/>
      <c r="AB1086" s="4"/>
      <c r="AC1086" s="7"/>
      <c r="AD1086" s="4"/>
      <c r="AE1086" s="4"/>
      <c r="AF1086" s="21"/>
    </row>
    <row r="1087" spans="24:32" x14ac:dyDescent="0.25">
      <c r="X1087" s="4"/>
      <c r="Y1087" s="4"/>
      <c r="Z1087" s="4"/>
      <c r="AA1087" s="4"/>
      <c r="AB1087" s="4"/>
      <c r="AC1087" s="7"/>
      <c r="AD1087" s="4"/>
      <c r="AE1087" s="4"/>
      <c r="AF1087" s="21"/>
    </row>
    <row r="1088" spans="24:32" x14ac:dyDescent="0.25">
      <c r="X1088" s="4"/>
      <c r="Y1088" s="4"/>
      <c r="Z1088" s="4"/>
      <c r="AA1088" s="4"/>
      <c r="AB1088" s="4"/>
      <c r="AC1088" s="7"/>
      <c r="AD1088" s="4"/>
      <c r="AE1088" s="4"/>
      <c r="AF1088" s="21"/>
    </row>
    <row r="1089" spans="24:32" x14ac:dyDescent="0.25">
      <c r="X1089" s="4"/>
      <c r="Y1089" s="4"/>
      <c r="Z1089" s="4"/>
      <c r="AA1089" s="4"/>
      <c r="AB1089" s="4"/>
      <c r="AC1089" s="7"/>
      <c r="AD1089" s="4"/>
      <c r="AE1089" s="4"/>
      <c r="AF1089" s="21"/>
    </row>
    <row r="1090" spans="24:32" x14ac:dyDescent="0.25">
      <c r="X1090" s="4"/>
      <c r="Y1090" s="4"/>
      <c r="Z1090" s="4"/>
      <c r="AA1090" s="4"/>
      <c r="AB1090" s="4"/>
      <c r="AC1090" s="7"/>
      <c r="AD1090" s="4"/>
      <c r="AE1090" s="4"/>
      <c r="AF1090" s="21"/>
    </row>
    <row r="1091" spans="24:32" x14ac:dyDescent="0.25">
      <c r="X1091" s="4"/>
      <c r="Y1091" s="4"/>
      <c r="Z1091" s="4"/>
      <c r="AA1091" s="4"/>
      <c r="AB1091" s="4"/>
      <c r="AC1091" s="7"/>
      <c r="AD1091" s="4"/>
      <c r="AE1091" s="4"/>
      <c r="AF1091" s="21"/>
    </row>
    <row r="1092" spans="24:32" x14ac:dyDescent="0.25">
      <c r="X1092" s="4"/>
      <c r="Y1092" s="4"/>
      <c r="Z1092" s="4"/>
      <c r="AA1092" s="4"/>
      <c r="AB1092" s="4"/>
      <c r="AC1092" s="7"/>
      <c r="AD1092" s="4"/>
      <c r="AE1092" s="4"/>
      <c r="AF1092" s="21"/>
    </row>
    <row r="1093" spans="24:32" x14ac:dyDescent="0.25">
      <c r="X1093" s="4"/>
      <c r="Y1093" s="4"/>
      <c r="Z1093" s="4"/>
      <c r="AA1093" s="4"/>
      <c r="AB1093" s="4"/>
      <c r="AC1093" s="7"/>
      <c r="AD1093" s="4"/>
      <c r="AE1093" s="4"/>
      <c r="AF1093" s="21"/>
    </row>
    <row r="1094" spans="24:32" x14ac:dyDescent="0.25">
      <c r="X1094" s="4"/>
      <c r="Y1094" s="4"/>
      <c r="Z1094" s="4"/>
      <c r="AA1094" s="4"/>
      <c r="AB1094" s="4"/>
      <c r="AC1094" s="7"/>
      <c r="AD1094" s="4"/>
      <c r="AE1094" s="4"/>
      <c r="AF1094" s="21"/>
    </row>
    <row r="1095" spans="24:32" x14ac:dyDescent="0.25">
      <c r="X1095" s="4"/>
      <c r="Y1095" s="4"/>
      <c r="Z1095" s="4"/>
      <c r="AA1095" s="4"/>
      <c r="AB1095" s="4"/>
      <c r="AC1095" s="7"/>
      <c r="AD1095" s="4"/>
      <c r="AE1095" s="4"/>
      <c r="AF1095" s="21"/>
    </row>
    <row r="1096" spans="24:32" x14ac:dyDescent="0.25">
      <c r="X1096" s="4"/>
      <c r="Y1096" s="4"/>
      <c r="Z1096" s="4"/>
      <c r="AA1096" s="4"/>
      <c r="AB1096" s="4"/>
      <c r="AC1096" s="7"/>
      <c r="AD1096" s="4"/>
      <c r="AE1096" s="4"/>
      <c r="AF1096" s="21"/>
    </row>
    <row r="1097" spans="24:32" x14ac:dyDescent="0.25">
      <c r="X1097" s="4"/>
      <c r="Y1097" s="4"/>
      <c r="Z1097" s="4"/>
      <c r="AA1097" s="4"/>
      <c r="AB1097" s="4"/>
      <c r="AC1097" s="7"/>
      <c r="AD1097" s="4"/>
      <c r="AE1097" s="4"/>
      <c r="AF1097" s="21"/>
    </row>
    <row r="1098" spans="24:32" x14ac:dyDescent="0.25">
      <c r="X1098" s="4"/>
      <c r="Y1098" s="4"/>
      <c r="Z1098" s="4"/>
      <c r="AA1098" s="4"/>
      <c r="AB1098" s="4"/>
      <c r="AC1098" s="7"/>
      <c r="AD1098" s="4"/>
      <c r="AE1098" s="4"/>
      <c r="AF1098" s="21"/>
    </row>
    <row r="1099" spans="24:32" x14ac:dyDescent="0.25">
      <c r="X1099" s="4"/>
      <c r="Y1099" s="4"/>
      <c r="Z1099" s="4"/>
      <c r="AA1099" s="4"/>
      <c r="AB1099" s="4"/>
      <c r="AC1099" s="7"/>
      <c r="AD1099" s="4"/>
      <c r="AE1099" s="4"/>
      <c r="AF1099" s="21"/>
    </row>
    <row r="1100" spans="24:32" x14ac:dyDescent="0.25">
      <c r="X1100" s="4"/>
      <c r="Y1100" s="4"/>
      <c r="Z1100" s="4"/>
      <c r="AA1100" s="4"/>
      <c r="AB1100" s="4"/>
      <c r="AC1100" s="7"/>
      <c r="AD1100" s="4"/>
      <c r="AE1100" s="4"/>
      <c r="AF1100" s="21"/>
    </row>
    <row r="1101" spans="24:32" x14ac:dyDescent="0.25">
      <c r="X1101" s="4"/>
      <c r="Y1101" s="4"/>
      <c r="Z1101" s="4"/>
      <c r="AA1101" s="4"/>
      <c r="AB1101" s="4"/>
      <c r="AC1101" s="7"/>
      <c r="AD1101" s="4"/>
      <c r="AE1101" s="4"/>
      <c r="AF1101" s="21"/>
    </row>
    <row r="1102" spans="24:32" x14ac:dyDescent="0.25">
      <c r="X1102" s="4"/>
      <c r="Y1102" s="4"/>
      <c r="Z1102" s="4"/>
      <c r="AA1102" s="4"/>
      <c r="AB1102" s="4"/>
      <c r="AC1102" s="7"/>
      <c r="AD1102" s="4"/>
      <c r="AE1102" s="4"/>
      <c r="AF1102" s="21"/>
    </row>
    <row r="1103" spans="24:32" x14ac:dyDescent="0.25">
      <c r="X1103" s="4"/>
      <c r="Y1103" s="4"/>
      <c r="Z1103" s="4"/>
      <c r="AA1103" s="4"/>
      <c r="AB1103" s="4"/>
      <c r="AC1103" s="7"/>
      <c r="AD1103" s="4"/>
      <c r="AE1103" s="4"/>
      <c r="AF1103" s="21"/>
    </row>
    <row r="1104" spans="24:32" x14ac:dyDescent="0.25">
      <c r="X1104" s="4"/>
      <c r="Y1104" s="4"/>
      <c r="Z1104" s="4"/>
      <c r="AA1104" s="4"/>
      <c r="AB1104" s="4"/>
      <c r="AC1104" s="7"/>
      <c r="AD1104" s="4"/>
      <c r="AE1104" s="4"/>
      <c r="AF1104" s="21"/>
    </row>
    <row r="1105" spans="24:32" x14ac:dyDescent="0.25">
      <c r="X1105" s="4"/>
      <c r="Y1105" s="4"/>
      <c r="Z1105" s="4"/>
      <c r="AA1105" s="4"/>
      <c r="AB1105" s="4"/>
      <c r="AC1105" s="7"/>
      <c r="AD1105" s="4"/>
      <c r="AE1105" s="4"/>
      <c r="AF1105" s="21"/>
    </row>
    <row r="1106" spans="24:32" x14ac:dyDescent="0.25">
      <c r="X1106" s="4"/>
      <c r="Y1106" s="4"/>
      <c r="Z1106" s="4"/>
      <c r="AA1106" s="4"/>
      <c r="AB1106" s="4"/>
      <c r="AC1106" s="7"/>
      <c r="AD1106" s="4"/>
      <c r="AE1106" s="4"/>
      <c r="AF1106" s="21"/>
    </row>
    <row r="1107" spans="24:32" x14ac:dyDescent="0.25">
      <c r="X1107" s="4"/>
      <c r="Y1107" s="4"/>
      <c r="Z1107" s="4"/>
      <c r="AA1107" s="4"/>
      <c r="AB1107" s="4"/>
      <c r="AC1107" s="7"/>
      <c r="AD1107" s="4"/>
      <c r="AE1107" s="4"/>
      <c r="AF1107" s="21"/>
    </row>
    <row r="1108" spans="24:32" x14ac:dyDescent="0.25">
      <c r="X1108" s="4"/>
      <c r="Y1108" s="4"/>
      <c r="Z1108" s="4"/>
      <c r="AA1108" s="4"/>
      <c r="AB1108" s="4"/>
      <c r="AC1108" s="7"/>
      <c r="AD1108" s="4"/>
      <c r="AE1108" s="4"/>
      <c r="AF1108" s="21"/>
    </row>
    <row r="1109" spans="24:32" x14ac:dyDescent="0.25">
      <c r="X1109" s="4"/>
      <c r="Y1109" s="4"/>
      <c r="Z1109" s="4"/>
      <c r="AA1109" s="4"/>
      <c r="AB1109" s="4"/>
      <c r="AC1109" s="7"/>
      <c r="AD1109" s="4"/>
      <c r="AE1109" s="4"/>
      <c r="AF1109" s="21"/>
    </row>
    <row r="1110" spans="24:32" x14ac:dyDescent="0.25">
      <c r="X1110" s="4"/>
      <c r="Y1110" s="4"/>
      <c r="Z1110" s="4"/>
      <c r="AA1110" s="4"/>
      <c r="AB1110" s="4"/>
      <c r="AC1110" s="7"/>
      <c r="AD1110" s="4"/>
      <c r="AE1110" s="4"/>
      <c r="AF1110" s="21"/>
    </row>
    <row r="1111" spans="24:32" x14ac:dyDescent="0.25">
      <c r="X1111" s="4"/>
      <c r="Y1111" s="4"/>
      <c r="Z1111" s="4"/>
      <c r="AA1111" s="4"/>
      <c r="AB1111" s="4"/>
      <c r="AC1111" s="7"/>
      <c r="AD1111" s="4"/>
      <c r="AE1111" s="4"/>
      <c r="AF1111" s="21"/>
    </row>
    <row r="1112" spans="24:32" x14ac:dyDescent="0.25">
      <c r="X1112" s="4"/>
      <c r="Y1112" s="4"/>
      <c r="Z1112" s="4"/>
      <c r="AA1112" s="4"/>
      <c r="AB1112" s="4"/>
      <c r="AC1112" s="7"/>
      <c r="AD1112" s="4"/>
      <c r="AE1112" s="4"/>
      <c r="AF1112" s="21"/>
    </row>
    <row r="1113" spans="24:32" x14ac:dyDescent="0.25">
      <c r="X1113" s="4"/>
      <c r="Y1113" s="4"/>
      <c r="Z1113" s="4"/>
      <c r="AA1113" s="4"/>
      <c r="AB1113" s="4"/>
      <c r="AC1113" s="7"/>
      <c r="AD1113" s="4"/>
      <c r="AE1113" s="4"/>
      <c r="AF1113" s="21"/>
    </row>
    <row r="1114" spans="24:32" x14ac:dyDescent="0.25">
      <c r="X1114" s="4"/>
      <c r="Y1114" s="4"/>
      <c r="Z1114" s="4"/>
      <c r="AA1114" s="4"/>
      <c r="AB1114" s="4"/>
      <c r="AC1114" s="7"/>
      <c r="AD1114" s="4"/>
      <c r="AE1114" s="4"/>
      <c r="AF1114" s="21"/>
    </row>
    <row r="1115" spans="24:32" x14ac:dyDescent="0.25">
      <c r="X1115" s="4"/>
      <c r="Y1115" s="4"/>
      <c r="Z1115" s="4"/>
      <c r="AA1115" s="4"/>
      <c r="AB1115" s="4"/>
      <c r="AC1115" s="7"/>
      <c r="AD1115" s="4"/>
      <c r="AE1115" s="4"/>
      <c r="AF1115" s="21"/>
    </row>
    <row r="1116" spans="24:32" x14ac:dyDescent="0.25">
      <c r="X1116" s="4"/>
      <c r="Y1116" s="4"/>
      <c r="Z1116" s="4"/>
      <c r="AA1116" s="4"/>
      <c r="AB1116" s="4"/>
      <c r="AC1116" s="7"/>
      <c r="AD1116" s="4"/>
      <c r="AE1116" s="4"/>
      <c r="AF1116" s="21"/>
    </row>
    <row r="1117" spans="24:32" x14ac:dyDescent="0.25">
      <c r="X1117" s="4"/>
      <c r="Y1117" s="4"/>
      <c r="Z1117" s="4"/>
      <c r="AA1117" s="4"/>
      <c r="AB1117" s="4"/>
      <c r="AC1117" s="7"/>
      <c r="AD1117" s="4"/>
      <c r="AE1117" s="4"/>
      <c r="AF1117" s="21"/>
    </row>
    <row r="1118" spans="24:32" x14ac:dyDescent="0.25">
      <c r="X1118" s="4"/>
      <c r="Y1118" s="4"/>
      <c r="Z1118" s="4"/>
      <c r="AA1118" s="4"/>
      <c r="AB1118" s="4"/>
      <c r="AC1118" s="7"/>
      <c r="AD1118" s="4"/>
      <c r="AE1118" s="4"/>
      <c r="AF1118" s="21"/>
    </row>
    <row r="1119" spans="24:32" x14ac:dyDescent="0.25">
      <c r="X1119" s="4"/>
      <c r="Y1119" s="4"/>
      <c r="Z1119" s="4"/>
      <c r="AA1119" s="4"/>
      <c r="AB1119" s="4"/>
      <c r="AC1119" s="7"/>
      <c r="AD1119" s="4"/>
      <c r="AE1119" s="4"/>
      <c r="AF1119" s="21"/>
    </row>
    <row r="1120" spans="24:32" x14ac:dyDescent="0.25">
      <c r="X1120" s="4"/>
      <c r="Y1120" s="4"/>
      <c r="Z1120" s="4"/>
      <c r="AA1120" s="4"/>
      <c r="AB1120" s="4"/>
      <c r="AC1120" s="7"/>
      <c r="AD1120" s="4"/>
      <c r="AE1120" s="4"/>
      <c r="AF1120" s="21"/>
    </row>
    <row r="1121" spans="24:32" x14ac:dyDescent="0.25">
      <c r="X1121" s="4"/>
      <c r="Y1121" s="4"/>
      <c r="Z1121" s="4"/>
      <c r="AA1121" s="4"/>
      <c r="AB1121" s="4"/>
      <c r="AC1121" s="7"/>
      <c r="AD1121" s="4"/>
      <c r="AE1121" s="4"/>
      <c r="AF1121" s="21"/>
    </row>
    <row r="1122" spans="24:32" x14ac:dyDescent="0.25">
      <c r="X1122" s="4"/>
      <c r="Y1122" s="4"/>
      <c r="Z1122" s="4"/>
      <c r="AA1122" s="4"/>
      <c r="AB1122" s="4"/>
      <c r="AC1122" s="7"/>
      <c r="AD1122" s="4"/>
      <c r="AE1122" s="4"/>
      <c r="AF1122" s="21"/>
    </row>
    <row r="1123" spans="24:32" x14ac:dyDescent="0.25">
      <c r="X1123" s="4"/>
      <c r="Y1123" s="4"/>
      <c r="Z1123" s="4"/>
      <c r="AA1123" s="4"/>
      <c r="AB1123" s="4"/>
      <c r="AC1123" s="7"/>
      <c r="AD1123" s="4"/>
      <c r="AE1123" s="4"/>
      <c r="AF1123" s="21"/>
    </row>
    <row r="1124" spans="24:32" x14ac:dyDescent="0.25">
      <c r="X1124" s="4"/>
      <c r="Y1124" s="4"/>
      <c r="Z1124" s="4"/>
      <c r="AA1124" s="4"/>
      <c r="AB1124" s="4"/>
      <c r="AC1124" s="7"/>
      <c r="AD1124" s="4"/>
      <c r="AE1124" s="4"/>
      <c r="AF1124" s="21"/>
    </row>
    <row r="1125" spans="24:32" x14ac:dyDescent="0.25">
      <c r="X1125" s="4"/>
      <c r="Y1125" s="4"/>
      <c r="Z1125" s="4"/>
      <c r="AA1125" s="4"/>
      <c r="AB1125" s="4"/>
      <c r="AC1125" s="7"/>
      <c r="AD1125" s="4"/>
      <c r="AE1125" s="4"/>
      <c r="AF1125" s="21"/>
    </row>
    <row r="1126" spans="24:32" x14ac:dyDescent="0.25">
      <c r="X1126" s="4"/>
      <c r="Y1126" s="4"/>
      <c r="Z1126" s="4"/>
      <c r="AA1126" s="4"/>
      <c r="AB1126" s="4"/>
      <c r="AC1126" s="7"/>
      <c r="AD1126" s="4"/>
      <c r="AE1126" s="4"/>
      <c r="AF1126" s="21"/>
    </row>
    <row r="1127" spans="24:32" x14ac:dyDescent="0.25">
      <c r="X1127" s="4"/>
      <c r="Y1127" s="4"/>
      <c r="Z1127" s="4"/>
      <c r="AA1127" s="4"/>
      <c r="AB1127" s="4"/>
      <c r="AC1127" s="7"/>
      <c r="AD1127" s="4"/>
      <c r="AE1127" s="4"/>
      <c r="AF1127" s="21"/>
    </row>
    <row r="1128" spans="24:32" x14ac:dyDescent="0.25">
      <c r="X1128" s="4"/>
      <c r="Y1128" s="4"/>
      <c r="Z1128" s="4"/>
      <c r="AA1128" s="4"/>
      <c r="AB1128" s="4"/>
      <c r="AC1128" s="7"/>
      <c r="AD1128" s="4"/>
      <c r="AE1128" s="4"/>
      <c r="AF1128" s="21"/>
    </row>
    <row r="1129" spans="24:32" x14ac:dyDescent="0.25">
      <c r="X1129" s="4"/>
      <c r="Y1129" s="4"/>
      <c r="Z1129" s="4"/>
      <c r="AA1129" s="4"/>
      <c r="AB1129" s="4"/>
      <c r="AC1129" s="7"/>
      <c r="AD1129" s="4"/>
      <c r="AE1129" s="4"/>
      <c r="AF1129" s="21"/>
    </row>
    <row r="1130" spans="24:32" x14ac:dyDescent="0.25">
      <c r="X1130" s="4"/>
      <c r="Y1130" s="4"/>
      <c r="Z1130" s="4"/>
      <c r="AA1130" s="4"/>
      <c r="AB1130" s="4"/>
      <c r="AC1130" s="7"/>
      <c r="AD1130" s="4"/>
      <c r="AE1130" s="4"/>
      <c r="AF1130" s="21"/>
    </row>
    <row r="1131" spans="24:32" x14ac:dyDescent="0.25">
      <c r="X1131" s="4"/>
      <c r="Y1131" s="4"/>
      <c r="Z1131" s="4"/>
      <c r="AA1131" s="4"/>
      <c r="AB1131" s="4"/>
      <c r="AC1131" s="7"/>
      <c r="AD1131" s="4"/>
      <c r="AE1131" s="4"/>
      <c r="AF1131" s="21"/>
    </row>
    <row r="1132" spans="24:32" x14ac:dyDescent="0.25">
      <c r="X1132" s="4"/>
      <c r="Y1132" s="4"/>
      <c r="Z1132" s="4"/>
      <c r="AA1132" s="4"/>
      <c r="AB1132" s="4"/>
      <c r="AC1132" s="7"/>
      <c r="AD1132" s="4"/>
      <c r="AE1132" s="4"/>
      <c r="AF1132" s="21"/>
    </row>
    <row r="1133" spans="24:32" x14ac:dyDescent="0.25">
      <c r="X1133" s="4"/>
      <c r="Y1133" s="4"/>
      <c r="Z1133" s="4"/>
      <c r="AA1133" s="4"/>
      <c r="AB1133" s="4"/>
      <c r="AC1133" s="7"/>
      <c r="AD1133" s="4"/>
      <c r="AE1133" s="4"/>
      <c r="AF1133" s="21"/>
    </row>
    <row r="1134" spans="24:32" x14ac:dyDescent="0.25">
      <c r="X1134" s="4"/>
      <c r="Y1134" s="4"/>
      <c r="Z1134" s="4"/>
      <c r="AA1134" s="4"/>
      <c r="AB1134" s="4"/>
      <c r="AC1134" s="7"/>
      <c r="AD1134" s="4"/>
      <c r="AE1134" s="4"/>
      <c r="AF1134" s="21"/>
    </row>
    <row r="1135" spans="24:32" x14ac:dyDescent="0.25">
      <c r="X1135" s="4"/>
      <c r="Y1135" s="4"/>
      <c r="Z1135" s="4"/>
      <c r="AA1135" s="4"/>
      <c r="AB1135" s="4"/>
      <c r="AC1135" s="7"/>
      <c r="AD1135" s="4"/>
      <c r="AE1135" s="4"/>
      <c r="AF1135" s="21"/>
    </row>
    <row r="1136" spans="24:32" x14ac:dyDescent="0.25">
      <c r="X1136" s="4"/>
      <c r="Y1136" s="4"/>
      <c r="Z1136" s="4"/>
      <c r="AA1136" s="4"/>
      <c r="AB1136" s="4"/>
      <c r="AC1136" s="7"/>
      <c r="AD1136" s="4"/>
      <c r="AE1136" s="4"/>
      <c r="AF1136" s="21"/>
    </row>
    <row r="1137" spans="24:32" x14ac:dyDescent="0.25">
      <c r="X1137" s="4"/>
      <c r="Y1137" s="4"/>
      <c r="Z1137" s="4"/>
      <c r="AA1137" s="4"/>
      <c r="AB1137" s="4"/>
      <c r="AC1137" s="7"/>
      <c r="AD1137" s="4"/>
      <c r="AE1137" s="4"/>
      <c r="AF1137" s="21"/>
    </row>
    <row r="1138" spans="24:32" x14ac:dyDescent="0.25">
      <c r="X1138" s="4"/>
      <c r="Y1138" s="4"/>
      <c r="Z1138" s="4"/>
      <c r="AA1138" s="4"/>
      <c r="AB1138" s="4"/>
      <c r="AC1138" s="7"/>
      <c r="AD1138" s="4"/>
      <c r="AE1138" s="4"/>
      <c r="AF1138" s="21"/>
    </row>
    <row r="1139" spans="24:32" x14ac:dyDescent="0.25">
      <c r="X1139" s="4"/>
      <c r="Y1139" s="4"/>
      <c r="Z1139" s="4"/>
      <c r="AA1139" s="4"/>
      <c r="AB1139" s="4"/>
      <c r="AC1139" s="7"/>
      <c r="AD1139" s="4"/>
      <c r="AE1139" s="4"/>
      <c r="AF1139" s="21"/>
    </row>
    <row r="1140" spans="24:32" x14ac:dyDescent="0.25">
      <c r="X1140" s="4"/>
      <c r="Y1140" s="4"/>
      <c r="Z1140" s="4"/>
      <c r="AA1140" s="4"/>
      <c r="AB1140" s="4"/>
      <c r="AC1140" s="7"/>
      <c r="AD1140" s="4"/>
      <c r="AE1140" s="4"/>
      <c r="AF1140" s="21"/>
    </row>
    <row r="1141" spans="24:32" x14ac:dyDescent="0.25">
      <c r="X1141" s="4"/>
      <c r="Y1141" s="4"/>
      <c r="Z1141" s="4"/>
      <c r="AA1141" s="4"/>
      <c r="AB1141" s="4"/>
      <c r="AC1141" s="7"/>
      <c r="AD1141" s="4"/>
      <c r="AE1141" s="4"/>
      <c r="AF1141" s="21"/>
    </row>
    <row r="1142" spans="24:32" x14ac:dyDescent="0.25">
      <c r="X1142" s="4"/>
      <c r="Y1142" s="4"/>
      <c r="Z1142" s="4"/>
      <c r="AA1142" s="4"/>
      <c r="AB1142" s="4"/>
      <c r="AC1142" s="7"/>
      <c r="AD1142" s="4"/>
      <c r="AE1142" s="4"/>
      <c r="AF1142" s="21"/>
    </row>
    <row r="1143" spans="24:32" x14ac:dyDescent="0.25">
      <c r="X1143" s="4"/>
      <c r="Y1143" s="4"/>
      <c r="Z1143" s="4"/>
      <c r="AA1143" s="4"/>
      <c r="AB1143" s="4"/>
      <c r="AC1143" s="7"/>
      <c r="AD1143" s="4"/>
      <c r="AE1143" s="4"/>
      <c r="AF1143" s="21"/>
    </row>
    <row r="1144" spans="24:32" x14ac:dyDescent="0.25">
      <c r="X1144" s="4"/>
      <c r="Y1144" s="4"/>
      <c r="Z1144" s="4"/>
      <c r="AA1144" s="4"/>
      <c r="AB1144" s="4"/>
      <c r="AC1144" s="7"/>
      <c r="AD1144" s="4"/>
      <c r="AE1144" s="4"/>
      <c r="AF1144" s="21"/>
    </row>
    <row r="1145" spans="24:32" x14ac:dyDescent="0.25">
      <c r="X1145" s="4"/>
      <c r="Y1145" s="4"/>
      <c r="Z1145" s="4"/>
      <c r="AA1145" s="4"/>
      <c r="AB1145" s="4"/>
      <c r="AC1145" s="7"/>
      <c r="AD1145" s="4"/>
      <c r="AE1145" s="4"/>
      <c r="AF1145" s="21"/>
    </row>
    <row r="1146" spans="24:32" x14ac:dyDescent="0.25">
      <c r="X1146" s="4"/>
      <c r="Y1146" s="4"/>
      <c r="Z1146" s="4"/>
      <c r="AA1146" s="4"/>
      <c r="AB1146" s="4"/>
      <c r="AC1146" s="7"/>
      <c r="AD1146" s="4"/>
      <c r="AE1146" s="4"/>
      <c r="AF1146" s="21"/>
    </row>
    <row r="1147" spans="24:32" x14ac:dyDescent="0.25">
      <c r="X1147" s="4"/>
      <c r="Y1147" s="4"/>
      <c r="Z1147" s="4"/>
      <c r="AA1147" s="4"/>
      <c r="AB1147" s="4"/>
      <c r="AC1147" s="7"/>
      <c r="AD1147" s="4"/>
      <c r="AE1147" s="4"/>
      <c r="AF1147" s="21"/>
    </row>
    <row r="1148" spans="24:32" x14ac:dyDescent="0.25">
      <c r="X1148" s="4"/>
      <c r="Y1148" s="4"/>
      <c r="Z1148" s="4"/>
      <c r="AA1148" s="4"/>
      <c r="AB1148" s="4"/>
      <c r="AC1148" s="7"/>
      <c r="AD1148" s="4"/>
      <c r="AE1148" s="4"/>
      <c r="AF1148" s="21"/>
    </row>
    <row r="1149" spans="24:32" x14ac:dyDescent="0.25">
      <c r="X1149" s="4"/>
      <c r="Y1149" s="4"/>
      <c r="Z1149" s="4"/>
      <c r="AA1149" s="4"/>
      <c r="AB1149" s="4"/>
      <c r="AC1149" s="7"/>
      <c r="AD1149" s="4"/>
      <c r="AE1149" s="4"/>
      <c r="AF1149" s="21"/>
    </row>
    <row r="1150" spans="24:32" x14ac:dyDescent="0.25">
      <c r="X1150" s="4"/>
      <c r="Y1150" s="4"/>
      <c r="Z1150" s="4"/>
      <c r="AA1150" s="4"/>
      <c r="AB1150" s="4"/>
      <c r="AC1150" s="7"/>
      <c r="AD1150" s="4"/>
      <c r="AE1150" s="4"/>
      <c r="AF1150" s="21"/>
    </row>
    <row r="1151" spans="24:32" x14ac:dyDescent="0.25">
      <c r="X1151" s="4"/>
      <c r="Y1151" s="4"/>
      <c r="Z1151" s="4"/>
      <c r="AA1151" s="4"/>
      <c r="AB1151" s="4"/>
      <c r="AC1151" s="7"/>
      <c r="AD1151" s="4"/>
      <c r="AE1151" s="4"/>
      <c r="AF1151" s="21"/>
    </row>
    <row r="1152" spans="24:32" x14ac:dyDescent="0.25">
      <c r="X1152" s="4"/>
      <c r="Y1152" s="4"/>
      <c r="Z1152" s="4"/>
      <c r="AA1152" s="4"/>
      <c r="AB1152" s="4"/>
      <c r="AC1152" s="7"/>
      <c r="AD1152" s="4"/>
      <c r="AE1152" s="4"/>
      <c r="AF1152" s="21"/>
    </row>
    <row r="1153" spans="24:32" x14ac:dyDescent="0.25">
      <c r="X1153" s="4"/>
      <c r="Y1153" s="4"/>
      <c r="Z1153" s="4"/>
      <c r="AA1153" s="4"/>
      <c r="AB1153" s="4"/>
      <c r="AC1153" s="7"/>
      <c r="AD1153" s="4"/>
      <c r="AE1153" s="4"/>
      <c r="AF1153" s="21"/>
    </row>
    <row r="1154" spans="24:32" x14ac:dyDescent="0.25">
      <c r="X1154" s="4"/>
      <c r="Y1154" s="4"/>
      <c r="Z1154" s="4"/>
      <c r="AA1154" s="4"/>
      <c r="AB1154" s="4"/>
      <c r="AC1154" s="7"/>
      <c r="AD1154" s="4"/>
      <c r="AE1154" s="4"/>
      <c r="AF1154" s="21"/>
    </row>
    <row r="1155" spans="24:32" x14ac:dyDescent="0.25">
      <c r="X1155" s="4"/>
      <c r="Y1155" s="4"/>
      <c r="Z1155" s="4"/>
      <c r="AA1155" s="4"/>
      <c r="AB1155" s="4"/>
      <c r="AC1155" s="7"/>
      <c r="AD1155" s="4"/>
      <c r="AE1155" s="4"/>
      <c r="AF1155" s="21"/>
    </row>
    <row r="1156" spans="24:32" x14ac:dyDescent="0.25">
      <c r="X1156" s="4"/>
      <c r="Y1156" s="4"/>
      <c r="Z1156" s="4"/>
      <c r="AA1156" s="4"/>
      <c r="AB1156" s="4"/>
      <c r="AC1156" s="7"/>
      <c r="AD1156" s="4"/>
      <c r="AE1156" s="4"/>
      <c r="AF1156" s="21"/>
    </row>
    <row r="1157" spans="24:32" x14ac:dyDescent="0.25">
      <c r="X1157" s="4"/>
      <c r="Y1157" s="4"/>
      <c r="Z1157" s="4"/>
      <c r="AA1157" s="4"/>
      <c r="AB1157" s="4"/>
      <c r="AC1157" s="7"/>
      <c r="AD1157" s="4"/>
      <c r="AE1157" s="4"/>
      <c r="AF1157" s="21"/>
    </row>
    <row r="1158" spans="24:32" x14ac:dyDescent="0.25">
      <c r="X1158" s="4"/>
      <c r="Y1158" s="4"/>
      <c r="Z1158" s="4"/>
      <c r="AA1158" s="4"/>
      <c r="AB1158" s="4"/>
      <c r="AC1158" s="7"/>
      <c r="AD1158" s="4"/>
      <c r="AE1158" s="4"/>
      <c r="AF1158" s="21"/>
    </row>
    <row r="1159" spans="24:32" x14ac:dyDescent="0.25">
      <c r="X1159" s="4"/>
      <c r="Y1159" s="4"/>
      <c r="Z1159" s="4"/>
      <c r="AA1159" s="4"/>
      <c r="AB1159" s="4"/>
      <c r="AC1159" s="7"/>
      <c r="AD1159" s="4"/>
      <c r="AE1159" s="4"/>
      <c r="AF1159" s="21"/>
    </row>
    <row r="1160" spans="24:32" x14ac:dyDescent="0.25">
      <c r="X1160" s="4"/>
      <c r="Y1160" s="4"/>
      <c r="Z1160" s="4"/>
      <c r="AA1160" s="4"/>
      <c r="AB1160" s="4"/>
      <c r="AC1160" s="7"/>
      <c r="AD1160" s="4"/>
      <c r="AE1160" s="4"/>
      <c r="AF1160" s="21"/>
    </row>
    <row r="1161" spans="24:32" x14ac:dyDescent="0.25">
      <c r="X1161" s="4"/>
      <c r="Y1161" s="4"/>
      <c r="Z1161" s="4"/>
      <c r="AA1161" s="4"/>
      <c r="AB1161" s="4"/>
      <c r="AC1161" s="7"/>
      <c r="AD1161" s="4"/>
      <c r="AE1161" s="4"/>
      <c r="AF1161" s="21"/>
    </row>
    <row r="1162" spans="24:32" x14ac:dyDescent="0.25">
      <c r="X1162" s="4"/>
      <c r="Y1162" s="4"/>
      <c r="Z1162" s="4"/>
      <c r="AA1162" s="4"/>
      <c r="AB1162" s="4"/>
      <c r="AC1162" s="7"/>
      <c r="AD1162" s="4"/>
      <c r="AE1162" s="4"/>
      <c r="AF1162" s="21"/>
    </row>
    <row r="1163" spans="24:32" x14ac:dyDescent="0.25">
      <c r="X1163" s="4"/>
      <c r="Y1163" s="4"/>
      <c r="Z1163" s="4"/>
      <c r="AA1163" s="4"/>
      <c r="AB1163" s="4"/>
      <c r="AC1163" s="7"/>
      <c r="AD1163" s="4"/>
      <c r="AE1163" s="4"/>
      <c r="AF1163" s="21"/>
    </row>
    <row r="1164" spans="24:32" x14ac:dyDescent="0.25">
      <c r="X1164" s="4"/>
      <c r="Y1164" s="4"/>
      <c r="Z1164" s="4"/>
      <c r="AA1164" s="4"/>
      <c r="AB1164" s="4"/>
      <c r="AC1164" s="7"/>
      <c r="AD1164" s="4"/>
      <c r="AE1164" s="4"/>
      <c r="AF1164" s="21"/>
    </row>
    <row r="1165" spans="24:32" x14ac:dyDescent="0.25">
      <c r="X1165" s="4"/>
      <c r="Y1165" s="4"/>
      <c r="Z1165" s="4"/>
      <c r="AA1165" s="4"/>
      <c r="AB1165" s="4"/>
      <c r="AC1165" s="7"/>
      <c r="AD1165" s="4"/>
      <c r="AE1165" s="4"/>
      <c r="AF1165" s="21"/>
    </row>
    <row r="1166" spans="24:32" x14ac:dyDescent="0.25">
      <c r="X1166" s="4"/>
      <c r="Y1166" s="4"/>
      <c r="Z1166" s="4"/>
      <c r="AA1166" s="4"/>
      <c r="AB1166" s="4"/>
      <c r="AC1166" s="7"/>
      <c r="AD1166" s="4"/>
      <c r="AE1166" s="4"/>
      <c r="AF1166" s="21"/>
    </row>
    <row r="1167" spans="24:32" x14ac:dyDescent="0.25">
      <c r="X1167" s="4"/>
      <c r="Y1167" s="4"/>
      <c r="Z1167" s="4"/>
      <c r="AA1167" s="4"/>
      <c r="AB1167" s="4"/>
      <c r="AC1167" s="7"/>
      <c r="AD1167" s="4"/>
      <c r="AE1167" s="4"/>
      <c r="AF1167" s="21"/>
    </row>
    <row r="1168" spans="24:32" x14ac:dyDescent="0.25">
      <c r="X1168" s="4"/>
      <c r="Y1168" s="4"/>
      <c r="Z1168" s="4"/>
      <c r="AA1168" s="4"/>
      <c r="AB1168" s="4"/>
      <c r="AC1168" s="7"/>
      <c r="AD1168" s="4"/>
      <c r="AE1168" s="4"/>
      <c r="AF1168" s="21"/>
    </row>
    <row r="1169" spans="24:32" x14ac:dyDescent="0.25">
      <c r="X1169" s="4"/>
      <c r="Y1169" s="4"/>
      <c r="Z1169" s="4"/>
      <c r="AA1169" s="4"/>
      <c r="AB1169" s="4"/>
      <c r="AC1169" s="7"/>
      <c r="AD1169" s="4"/>
      <c r="AE1169" s="4"/>
      <c r="AF1169" s="21"/>
    </row>
    <row r="1170" spans="24:32" x14ac:dyDescent="0.25">
      <c r="X1170" s="4"/>
      <c r="Y1170" s="4"/>
      <c r="Z1170" s="4"/>
      <c r="AA1170" s="4"/>
      <c r="AB1170" s="4"/>
      <c r="AC1170" s="7"/>
      <c r="AD1170" s="4"/>
      <c r="AE1170" s="4"/>
      <c r="AF1170" s="21"/>
    </row>
    <row r="1171" spans="24:32" x14ac:dyDescent="0.25">
      <c r="X1171" s="4"/>
      <c r="Y1171" s="4"/>
      <c r="Z1171" s="4"/>
      <c r="AA1171" s="4"/>
      <c r="AB1171" s="4"/>
      <c r="AC1171" s="7"/>
      <c r="AD1171" s="4"/>
      <c r="AE1171" s="4"/>
      <c r="AF1171" s="21"/>
    </row>
    <row r="1172" spans="24:32" x14ac:dyDescent="0.25">
      <c r="X1172" s="4"/>
      <c r="Y1172" s="4"/>
      <c r="Z1172" s="4"/>
      <c r="AA1172" s="4"/>
      <c r="AB1172" s="4"/>
      <c r="AC1172" s="7"/>
      <c r="AD1172" s="4"/>
      <c r="AE1172" s="4"/>
      <c r="AF1172" s="21"/>
    </row>
    <row r="1173" spans="24:32" x14ac:dyDescent="0.25">
      <c r="X1173" s="4"/>
      <c r="Y1173" s="4"/>
      <c r="Z1173" s="4"/>
      <c r="AA1173" s="4"/>
      <c r="AB1173" s="4"/>
      <c r="AC1173" s="7"/>
      <c r="AD1173" s="4"/>
      <c r="AE1173" s="4"/>
      <c r="AF1173" s="21"/>
    </row>
    <row r="1174" spans="24:32" x14ac:dyDescent="0.25">
      <c r="X1174" s="4"/>
      <c r="Y1174" s="4"/>
      <c r="Z1174" s="4"/>
      <c r="AA1174" s="4"/>
      <c r="AB1174" s="4"/>
      <c r="AC1174" s="7"/>
      <c r="AD1174" s="4"/>
      <c r="AE1174" s="4"/>
      <c r="AF1174" s="21"/>
    </row>
    <row r="1175" spans="24:32" x14ac:dyDescent="0.25">
      <c r="X1175" s="4"/>
      <c r="Y1175" s="4"/>
      <c r="Z1175" s="4"/>
      <c r="AA1175" s="4"/>
      <c r="AB1175" s="4"/>
      <c r="AC1175" s="7"/>
      <c r="AD1175" s="4"/>
      <c r="AE1175" s="4"/>
      <c r="AF1175" s="21"/>
    </row>
    <row r="1176" spans="24:32" x14ac:dyDescent="0.25">
      <c r="X1176" s="4"/>
      <c r="Y1176" s="4"/>
      <c r="Z1176" s="4"/>
      <c r="AA1176" s="4"/>
      <c r="AB1176" s="4"/>
      <c r="AC1176" s="7"/>
      <c r="AD1176" s="4"/>
      <c r="AE1176" s="4"/>
      <c r="AF1176" s="21"/>
    </row>
    <row r="1177" spans="24:32" x14ac:dyDescent="0.25">
      <c r="X1177" s="4"/>
      <c r="Y1177" s="4"/>
      <c r="Z1177" s="4"/>
      <c r="AA1177" s="4"/>
      <c r="AB1177" s="4"/>
      <c r="AC1177" s="7"/>
      <c r="AD1177" s="4"/>
      <c r="AE1177" s="4"/>
      <c r="AF1177" s="21"/>
    </row>
    <row r="1178" spans="24:32" x14ac:dyDescent="0.25">
      <c r="X1178" s="4"/>
      <c r="Y1178" s="4"/>
      <c r="Z1178" s="4"/>
      <c r="AA1178" s="4"/>
      <c r="AB1178" s="4"/>
      <c r="AC1178" s="7"/>
      <c r="AD1178" s="4"/>
      <c r="AE1178" s="4"/>
      <c r="AF1178" s="21"/>
    </row>
    <row r="1179" spans="24:32" x14ac:dyDescent="0.25">
      <c r="X1179" s="4"/>
      <c r="Y1179" s="4"/>
      <c r="Z1179" s="4"/>
      <c r="AA1179" s="4"/>
      <c r="AB1179" s="4"/>
      <c r="AC1179" s="7"/>
      <c r="AD1179" s="4"/>
      <c r="AE1179" s="4"/>
      <c r="AF1179" s="21"/>
    </row>
    <row r="1180" spans="24:32" x14ac:dyDescent="0.25">
      <c r="X1180" s="4"/>
      <c r="Y1180" s="4"/>
      <c r="Z1180" s="4"/>
      <c r="AA1180" s="4"/>
      <c r="AB1180" s="4"/>
      <c r="AC1180" s="7"/>
      <c r="AD1180" s="4"/>
      <c r="AE1180" s="4"/>
      <c r="AF1180" s="21"/>
    </row>
    <row r="1181" spans="24:32" x14ac:dyDescent="0.25">
      <c r="X1181" s="4"/>
      <c r="Y1181" s="4"/>
      <c r="Z1181" s="4"/>
      <c r="AA1181" s="4"/>
      <c r="AB1181" s="4"/>
      <c r="AC1181" s="7"/>
      <c r="AD1181" s="4"/>
      <c r="AE1181" s="4"/>
      <c r="AF1181" s="21"/>
    </row>
    <row r="1182" spans="24:32" x14ac:dyDescent="0.25">
      <c r="X1182" s="4"/>
      <c r="Y1182" s="4"/>
      <c r="Z1182" s="4"/>
      <c r="AA1182" s="4"/>
      <c r="AB1182" s="4"/>
      <c r="AC1182" s="7"/>
      <c r="AD1182" s="4"/>
      <c r="AE1182" s="4"/>
      <c r="AF1182" s="21"/>
    </row>
    <row r="1183" spans="24:32" x14ac:dyDescent="0.25">
      <c r="X1183" s="4"/>
      <c r="Y1183" s="4"/>
      <c r="Z1183" s="4"/>
      <c r="AA1183" s="4"/>
      <c r="AB1183" s="4"/>
      <c r="AC1183" s="7"/>
      <c r="AD1183" s="4"/>
      <c r="AE1183" s="4"/>
      <c r="AF1183" s="21"/>
    </row>
    <row r="1184" spans="24:32" x14ac:dyDescent="0.25">
      <c r="X1184" s="4"/>
      <c r="Y1184" s="4"/>
      <c r="Z1184" s="4"/>
      <c r="AA1184" s="4"/>
      <c r="AB1184" s="4"/>
      <c r="AC1184" s="7"/>
      <c r="AD1184" s="4"/>
      <c r="AE1184" s="4"/>
      <c r="AF1184" s="21"/>
    </row>
    <row r="1185" spans="24:32" x14ac:dyDescent="0.25">
      <c r="X1185" s="4"/>
      <c r="Y1185" s="4"/>
      <c r="Z1185" s="4"/>
      <c r="AA1185" s="4"/>
      <c r="AB1185" s="4"/>
      <c r="AC1185" s="7"/>
      <c r="AD1185" s="4"/>
      <c r="AE1185" s="4"/>
      <c r="AF1185" s="21"/>
    </row>
    <row r="1186" spans="24:32" x14ac:dyDescent="0.25">
      <c r="X1186" s="4"/>
      <c r="Y1186" s="4"/>
      <c r="Z1186" s="4"/>
      <c r="AA1186" s="4"/>
      <c r="AB1186" s="4"/>
      <c r="AC1186" s="7"/>
      <c r="AD1186" s="4"/>
      <c r="AE1186" s="4"/>
      <c r="AF1186" s="21"/>
    </row>
    <row r="1187" spans="24:32" x14ac:dyDescent="0.25">
      <c r="X1187" s="4"/>
      <c r="Y1187" s="4"/>
      <c r="Z1187" s="4"/>
      <c r="AA1187" s="4"/>
      <c r="AB1187" s="4"/>
      <c r="AC1187" s="7"/>
      <c r="AD1187" s="4"/>
      <c r="AE1187" s="4"/>
      <c r="AF1187" s="21"/>
    </row>
    <row r="1188" spans="24:32" x14ac:dyDescent="0.25">
      <c r="X1188" s="4"/>
      <c r="Y1188" s="4"/>
      <c r="Z1188" s="4"/>
      <c r="AA1188" s="4"/>
      <c r="AB1188" s="4"/>
      <c r="AC1188" s="7"/>
      <c r="AD1188" s="4"/>
      <c r="AE1188" s="4"/>
      <c r="AF1188" s="21"/>
    </row>
    <row r="1189" spans="24:32" x14ac:dyDescent="0.25">
      <c r="X1189" s="4"/>
      <c r="Y1189" s="4"/>
      <c r="Z1189" s="4"/>
      <c r="AA1189" s="4"/>
      <c r="AB1189" s="4"/>
      <c r="AC1189" s="7"/>
      <c r="AD1189" s="4"/>
      <c r="AE1189" s="4"/>
      <c r="AF1189" s="21"/>
    </row>
    <row r="1190" spans="24:32" x14ac:dyDescent="0.25">
      <c r="X1190" s="4"/>
      <c r="Y1190" s="4"/>
      <c r="Z1190" s="4"/>
      <c r="AA1190" s="4"/>
      <c r="AB1190" s="4"/>
      <c r="AC1190" s="7"/>
      <c r="AD1190" s="4"/>
      <c r="AE1190" s="4"/>
      <c r="AF1190" s="21"/>
    </row>
    <row r="1191" spans="24:32" x14ac:dyDescent="0.25">
      <c r="X1191" s="4"/>
      <c r="Y1191" s="4"/>
      <c r="Z1191" s="4"/>
      <c r="AA1191" s="4"/>
      <c r="AB1191" s="4"/>
      <c r="AC1191" s="7"/>
      <c r="AD1191" s="4"/>
      <c r="AE1191" s="4"/>
      <c r="AF1191" s="21"/>
    </row>
    <row r="1192" spans="24:32" x14ac:dyDescent="0.25">
      <c r="X1192" s="4"/>
      <c r="Y1192" s="4"/>
      <c r="Z1192" s="4"/>
      <c r="AA1192" s="4"/>
      <c r="AB1192" s="4"/>
      <c r="AC1192" s="7"/>
      <c r="AD1192" s="4"/>
      <c r="AE1192" s="4"/>
      <c r="AF1192" s="21"/>
    </row>
    <row r="1193" spans="24:32" x14ac:dyDescent="0.25">
      <c r="X1193" s="4"/>
      <c r="Y1193" s="4"/>
      <c r="Z1193" s="4"/>
      <c r="AA1193" s="4"/>
      <c r="AB1193" s="4"/>
      <c r="AC1193" s="7"/>
      <c r="AD1193" s="4"/>
      <c r="AE1193" s="4"/>
      <c r="AF1193" s="21"/>
    </row>
    <row r="1194" spans="24:32" x14ac:dyDescent="0.25">
      <c r="X1194" s="4"/>
      <c r="Y1194" s="4"/>
      <c r="Z1194" s="4"/>
      <c r="AA1194" s="4"/>
      <c r="AB1194" s="4"/>
      <c r="AC1194" s="7"/>
      <c r="AD1194" s="4"/>
      <c r="AE1194" s="4"/>
      <c r="AF1194" s="21"/>
    </row>
    <row r="1195" spans="24:32" x14ac:dyDescent="0.25">
      <c r="X1195" s="4"/>
      <c r="Y1195" s="4"/>
      <c r="Z1195" s="4"/>
      <c r="AA1195" s="4"/>
      <c r="AB1195" s="4"/>
      <c r="AC1195" s="7"/>
      <c r="AD1195" s="4"/>
      <c r="AE1195" s="4"/>
      <c r="AF1195" s="21"/>
    </row>
    <row r="1196" spans="24:32" x14ac:dyDescent="0.25">
      <c r="X1196" s="4"/>
      <c r="Y1196" s="4"/>
      <c r="Z1196" s="4"/>
      <c r="AA1196" s="4"/>
      <c r="AB1196" s="4"/>
      <c r="AC1196" s="7"/>
      <c r="AD1196" s="4"/>
      <c r="AE1196" s="4"/>
      <c r="AF1196" s="21"/>
    </row>
    <row r="1197" spans="24:32" x14ac:dyDescent="0.25">
      <c r="X1197" s="4"/>
      <c r="Y1197" s="4"/>
      <c r="Z1197" s="4"/>
      <c r="AA1197" s="4"/>
      <c r="AB1197" s="4"/>
      <c r="AC1197" s="7"/>
      <c r="AD1197" s="4"/>
      <c r="AE1197" s="4"/>
      <c r="AF1197" s="21"/>
    </row>
    <row r="1198" spans="24:32" x14ac:dyDescent="0.25">
      <c r="X1198" s="4"/>
      <c r="Y1198" s="4"/>
      <c r="Z1198" s="4"/>
      <c r="AA1198" s="4"/>
      <c r="AB1198" s="4"/>
      <c r="AC1198" s="7"/>
      <c r="AD1198" s="4"/>
      <c r="AE1198" s="4"/>
      <c r="AF1198" s="21"/>
    </row>
    <row r="1199" spans="24:32" x14ac:dyDescent="0.25">
      <c r="X1199" s="4"/>
      <c r="Y1199" s="4"/>
      <c r="Z1199" s="4"/>
      <c r="AA1199" s="4"/>
      <c r="AB1199" s="4"/>
      <c r="AC1199" s="7"/>
      <c r="AD1199" s="4"/>
      <c r="AE1199" s="4"/>
      <c r="AF1199" s="21"/>
    </row>
    <row r="1200" spans="24:32" x14ac:dyDescent="0.25">
      <c r="X1200" s="4"/>
      <c r="Y1200" s="4"/>
      <c r="Z1200" s="4"/>
      <c r="AA1200" s="4"/>
      <c r="AB1200" s="4"/>
      <c r="AC1200" s="7"/>
      <c r="AD1200" s="4"/>
      <c r="AE1200" s="4"/>
      <c r="AF1200" s="21"/>
    </row>
    <row r="1201" spans="24:32" x14ac:dyDescent="0.25">
      <c r="X1201" s="4"/>
      <c r="Y1201" s="4"/>
      <c r="Z1201" s="4"/>
      <c r="AA1201" s="4"/>
      <c r="AB1201" s="4"/>
      <c r="AC1201" s="7"/>
      <c r="AD1201" s="4"/>
      <c r="AE1201" s="4"/>
      <c r="AF1201" s="21"/>
    </row>
    <row r="1202" spans="24:32" x14ac:dyDescent="0.25">
      <c r="X1202" s="4"/>
      <c r="Y1202" s="4"/>
      <c r="Z1202" s="4"/>
      <c r="AA1202" s="4"/>
      <c r="AB1202" s="4"/>
      <c r="AC1202" s="7"/>
      <c r="AD1202" s="4"/>
      <c r="AE1202" s="4"/>
      <c r="AF1202" s="21"/>
    </row>
    <row r="1203" spans="24:32" x14ac:dyDescent="0.25">
      <c r="X1203" s="4"/>
      <c r="Y1203" s="4"/>
      <c r="Z1203" s="4"/>
      <c r="AA1203" s="4"/>
      <c r="AB1203" s="4"/>
      <c r="AC1203" s="7"/>
      <c r="AD1203" s="4"/>
      <c r="AE1203" s="4"/>
      <c r="AF1203" s="21"/>
    </row>
    <row r="1204" spans="24:32" x14ac:dyDescent="0.25">
      <c r="X1204" s="4"/>
      <c r="Y1204" s="4"/>
      <c r="Z1204" s="4"/>
      <c r="AA1204" s="4"/>
      <c r="AB1204" s="4"/>
      <c r="AC1204" s="7"/>
      <c r="AD1204" s="4"/>
      <c r="AE1204" s="4"/>
      <c r="AF1204" s="21"/>
    </row>
    <row r="1205" spans="24:32" x14ac:dyDescent="0.25">
      <c r="X1205" s="4"/>
      <c r="Y1205" s="4"/>
      <c r="Z1205" s="4"/>
      <c r="AA1205" s="4"/>
      <c r="AB1205" s="4"/>
      <c r="AC1205" s="7"/>
      <c r="AD1205" s="4"/>
      <c r="AE1205" s="4"/>
      <c r="AF1205" s="21"/>
    </row>
    <row r="1206" spans="24:32" x14ac:dyDescent="0.25">
      <c r="X1206" s="4"/>
      <c r="Y1206" s="4"/>
      <c r="Z1206" s="4"/>
      <c r="AA1206" s="4"/>
      <c r="AB1206" s="4"/>
      <c r="AC1206" s="7"/>
      <c r="AD1206" s="4"/>
      <c r="AE1206" s="4"/>
      <c r="AF1206" s="21"/>
    </row>
    <row r="1207" spans="24:32" x14ac:dyDescent="0.25">
      <c r="X1207" s="4"/>
      <c r="Y1207" s="4"/>
      <c r="Z1207" s="4"/>
      <c r="AA1207" s="4"/>
      <c r="AB1207" s="4"/>
      <c r="AC1207" s="7"/>
      <c r="AD1207" s="4"/>
      <c r="AE1207" s="4"/>
      <c r="AF1207" s="21"/>
    </row>
    <row r="1208" spans="24:32" x14ac:dyDescent="0.25">
      <c r="X1208" s="4"/>
      <c r="Y1208" s="4"/>
      <c r="Z1208" s="4"/>
      <c r="AA1208" s="4"/>
      <c r="AB1208" s="4"/>
      <c r="AC1208" s="7"/>
      <c r="AD1208" s="4"/>
      <c r="AE1208" s="4"/>
      <c r="AF1208" s="21"/>
    </row>
    <row r="1209" spans="24:32" x14ac:dyDescent="0.25">
      <c r="X1209" s="4"/>
      <c r="Y1209" s="4"/>
      <c r="Z1209" s="4"/>
      <c r="AA1209" s="4"/>
      <c r="AB1209" s="4"/>
      <c r="AC1209" s="7"/>
      <c r="AD1209" s="4"/>
      <c r="AE1209" s="4"/>
      <c r="AF1209" s="21"/>
    </row>
    <row r="1210" spans="24:32" x14ac:dyDescent="0.25">
      <c r="X1210" s="4"/>
      <c r="Y1210" s="4"/>
      <c r="Z1210" s="4"/>
      <c r="AA1210" s="4"/>
      <c r="AB1210" s="4"/>
      <c r="AC1210" s="7"/>
      <c r="AD1210" s="4"/>
      <c r="AE1210" s="4"/>
      <c r="AF1210" s="21"/>
    </row>
    <row r="1211" spans="24:32" x14ac:dyDescent="0.25">
      <c r="X1211" s="4"/>
      <c r="Y1211" s="4"/>
      <c r="Z1211" s="4"/>
      <c r="AA1211" s="4"/>
      <c r="AB1211" s="4"/>
      <c r="AC1211" s="7"/>
      <c r="AD1211" s="4"/>
      <c r="AE1211" s="4"/>
      <c r="AF1211" s="21"/>
    </row>
    <row r="1212" spans="24:32" x14ac:dyDescent="0.25">
      <c r="X1212" s="4"/>
      <c r="Y1212" s="4"/>
      <c r="Z1212" s="4"/>
      <c r="AA1212" s="4"/>
      <c r="AB1212" s="4"/>
      <c r="AC1212" s="7"/>
      <c r="AD1212" s="4"/>
      <c r="AE1212" s="4"/>
      <c r="AF1212" s="21"/>
    </row>
    <row r="1213" spans="24:32" x14ac:dyDescent="0.25">
      <c r="X1213" s="4"/>
      <c r="Y1213" s="4"/>
      <c r="Z1213" s="4"/>
      <c r="AA1213" s="4"/>
      <c r="AB1213" s="4"/>
      <c r="AC1213" s="7"/>
      <c r="AD1213" s="4"/>
      <c r="AE1213" s="4"/>
      <c r="AF1213" s="21"/>
    </row>
    <row r="1214" spans="24:32" x14ac:dyDescent="0.25">
      <c r="X1214" s="4"/>
      <c r="Y1214" s="4"/>
      <c r="Z1214" s="4"/>
      <c r="AA1214" s="4"/>
      <c r="AB1214" s="4"/>
      <c r="AC1214" s="7"/>
      <c r="AD1214" s="4"/>
      <c r="AE1214" s="4"/>
      <c r="AF1214" s="21"/>
    </row>
    <row r="1215" spans="24:32" x14ac:dyDescent="0.25">
      <c r="X1215" s="4"/>
      <c r="Y1215" s="4"/>
      <c r="Z1215" s="4"/>
      <c r="AA1215" s="4"/>
      <c r="AB1215" s="4"/>
      <c r="AC1215" s="7"/>
      <c r="AD1215" s="4"/>
      <c r="AE1215" s="4"/>
      <c r="AF1215" s="21"/>
    </row>
    <row r="1216" spans="24:32" x14ac:dyDescent="0.25">
      <c r="X1216" s="4"/>
      <c r="Y1216" s="4"/>
      <c r="Z1216" s="4"/>
      <c r="AA1216" s="4"/>
      <c r="AB1216" s="4"/>
      <c r="AC1216" s="7"/>
      <c r="AD1216" s="4"/>
      <c r="AE1216" s="4"/>
      <c r="AF1216" s="21"/>
    </row>
    <row r="1217" spans="24:32" x14ac:dyDescent="0.25">
      <c r="X1217" s="4"/>
      <c r="Y1217" s="4"/>
      <c r="Z1217" s="4"/>
      <c r="AA1217" s="4"/>
      <c r="AB1217" s="4"/>
      <c r="AC1217" s="7"/>
      <c r="AD1217" s="4"/>
      <c r="AE1217" s="4"/>
      <c r="AF1217" s="21"/>
    </row>
    <row r="1218" spans="24:32" x14ac:dyDescent="0.25">
      <c r="X1218" s="4"/>
      <c r="Y1218" s="4"/>
      <c r="Z1218" s="4"/>
      <c r="AA1218" s="4"/>
      <c r="AB1218" s="4"/>
      <c r="AC1218" s="7"/>
      <c r="AD1218" s="4"/>
      <c r="AE1218" s="4"/>
      <c r="AF1218" s="21"/>
    </row>
    <row r="1219" spans="24:32" x14ac:dyDescent="0.25">
      <c r="X1219" s="4"/>
      <c r="Y1219" s="4"/>
      <c r="Z1219" s="4"/>
      <c r="AA1219" s="4"/>
      <c r="AB1219" s="4"/>
      <c r="AC1219" s="7"/>
      <c r="AD1219" s="4"/>
      <c r="AE1219" s="4"/>
      <c r="AF1219" s="21"/>
    </row>
    <row r="1220" spans="24:32" x14ac:dyDescent="0.25">
      <c r="X1220" s="4"/>
      <c r="Y1220" s="4"/>
      <c r="Z1220" s="4"/>
      <c r="AA1220" s="4"/>
      <c r="AB1220" s="4"/>
      <c r="AC1220" s="7"/>
      <c r="AD1220" s="4"/>
      <c r="AE1220" s="4"/>
      <c r="AF1220" s="21"/>
    </row>
    <row r="1221" spans="24:32" x14ac:dyDescent="0.25">
      <c r="X1221" s="4"/>
      <c r="Y1221" s="4"/>
      <c r="Z1221" s="4"/>
      <c r="AA1221" s="4"/>
      <c r="AB1221" s="4"/>
      <c r="AC1221" s="7"/>
      <c r="AD1221" s="4"/>
      <c r="AE1221" s="4"/>
      <c r="AF1221" s="21"/>
    </row>
    <row r="1222" spans="24:32" x14ac:dyDescent="0.25">
      <c r="X1222" s="4"/>
      <c r="Y1222" s="4"/>
      <c r="Z1222" s="4"/>
      <c r="AA1222" s="4"/>
      <c r="AB1222" s="4"/>
      <c r="AC1222" s="7"/>
      <c r="AD1222" s="4"/>
      <c r="AE1222" s="4"/>
      <c r="AF1222" s="21"/>
    </row>
    <row r="1223" spans="24:32" x14ac:dyDescent="0.25">
      <c r="X1223" s="4"/>
      <c r="Y1223" s="4"/>
      <c r="Z1223" s="4"/>
      <c r="AA1223" s="4"/>
      <c r="AB1223" s="4"/>
      <c r="AC1223" s="7"/>
      <c r="AD1223" s="4"/>
      <c r="AE1223" s="4"/>
      <c r="AF1223" s="21"/>
    </row>
    <row r="1224" spans="24:32" x14ac:dyDescent="0.25">
      <c r="X1224" s="4"/>
      <c r="Y1224" s="4"/>
      <c r="Z1224" s="4"/>
      <c r="AA1224" s="4"/>
      <c r="AB1224" s="4"/>
      <c r="AC1224" s="7"/>
      <c r="AD1224" s="4"/>
      <c r="AE1224" s="4"/>
      <c r="AF1224" s="21"/>
    </row>
    <row r="1225" spans="24:32" x14ac:dyDescent="0.25">
      <c r="X1225" s="4"/>
      <c r="Y1225" s="4"/>
      <c r="Z1225" s="4"/>
      <c r="AA1225" s="4"/>
      <c r="AB1225" s="4"/>
      <c r="AC1225" s="7"/>
      <c r="AD1225" s="4"/>
      <c r="AE1225" s="4"/>
      <c r="AF1225" s="21"/>
    </row>
    <row r="1226" spans="24:32" x14ac:dyDescent="0.25">
      <c r="X1226" s="4"/>
      <c r="Y1226" s="4"/>
      <c r="Z1226" s="4"/>
      <c r="AA1226" s="4"/>
      <c r="AB1226" s="4"/>
      <c r="AC1226" s="7"/>
      <c r="AD1226" s="4"/>
      <c r="AE1226" s="4"/>
      <c r="AF1226" s="21"/>
    </row>
    <row r="1227" spans="24:32" x14ac:dyDescent="0.25">
      <c r="X1227" s="4"/>
      <c r="Y1227" s="4"/>
      <c r="Z1227" s="4"/>
      <c r="AA1227" s="4"/>
      <c r="AB1227" s="4"/>
      <c r="AC1227" s="7"/>
      <c r="AD1227" s="4"/>
      <c r="AE1227" s="4"/>
      <c r="AF1227" s="21"/>
    </row>
    <row r="1228" spans="24:32" x14ac:dyDescent="0.25">
      <c r="X1228" s="4"/>
      <c r="Y1228" s="4"/>
      <c r="Z1228" s="4"/>
      <c r="AA1228" s="4"/>
      <c r="AB1228" s="4"/>
      <c r="AC1228" s="7"/>
      <c r="AD1228" s="4"/>
      <c r="AE1228" s="4"/>
      <c r="AF1228" s="21"/>
    </row>
    <row r="1229" spans="24:32" x14ac:dyDescent="0.25">
      <c r="X1229" s="4"/>
      <c r="Y1229" s="4"/>
      <c r="Z1229" s="4"/>
      <c r="AA1229" s="4"/>
      <c r="AB1229" s="4"/>
      <c r="AC1229" s="7"/>
      <c r="AD1229" s="4"/>
      <c r="AE1229" s="4"/>
      <c r="AF1229" s="21"/>
    </row>
    <row r="1230" spans="24:32" x14ac:dyDescent="0.25">
      <c r="X1230" s="4"/>
      <c r="Y1230" s="4"/>
      <c r="Z1230" s="4"/>
      <c r="AA1230" s="4"/>
      <c r="AB1230" s="4"/>
      <c r="AC1230" s="7"/>
      <c r="AD1230" s="4"/>
      <c r="AE1230" s="4"/>
      <c r="AF1230" s="21"/>
    </row>
    <row r="1231" spans="24:32" x14ac:dyDescent="0.25">
      <c r="X1231" s="4"/>
      <c r="Y1231" s="4"/>
      <c r="Z1231" s="4"/>
      <c r="AA1231" s="4"/>
      <c r="AB1231" s="4"/>
      <c r="AC1231" s="7"/>
      <c r="AD1231" s="4"/>
      <c r="AE1231" s="4"/>
      <c r="AF1231" s="21"/>
    </row>
    <row r="1232" spans="24:32" x14ac:dyDescent="0.25">
      <c r="X1232" s="4"/>
      <c r="Y1232" s="4"/>
      <c r="Z1232" s="4"/>
      <c r="AA1232" s="4"/>
      <c r="AB1232" s="4"/>
      <c r="AC1232" s="7"/>
      <c r="AD1232" s="4"/>
      <c r="AE1232" s="4"/>
      <c r="AF1232" s="21"/>
    </row>
    <row r="1233" spans="24:32" x14ac:dyDescent="0.25">
      <c r="X1233" s="4"/>
      <c r="Y1233" s="4"/>
      <c r="Z1233" s="4"/>
      <c r="AA1233" s="4"/>
      <c r="AB1233" s="4"/>
      <c r="AC1233" s="7"/>
      <c r="AD1233" s="4"/>
      <c r="AE1233" s="4"/>
      <c r="AF1233" s="21"/>
    </row>
    <row r="1234" spans="24:32" x14ac:dyDescent="0.25">
      <c r="X1234" s="4"/>
      <c r="Y1234" s="4"/>
      <c r="Z1234" s="4"/>
      <c r="AA1234" s="4"/>
      <c r="AB1234" s="4"/>
      <c r="AC1234" s="7"/>
      <c r="AD1234" s="4"/>
      <c r="AE1234" s="4"/>
      <c r="AF1234" s="21"/>
    </row>
    <row r="1235" spans="24:32" x14ac:dyDescent="0.25">
      <c r="X1235" s="4"/>
      <c r="Y1235" s="4"/>
      <c r="Z1235" s="4"/>
      <c r="AA1235" s="4"/>
      <c r="AB1235" s="4"/>
      <c r="AC1235" s="7"/>
      <c r="AD1235" s="4"/>
      <c r="AE1235" s="4"/>
      <c r="AF1235" s="21"/>
    </row>
    <row r="1236" spans="24:32" x14ac:dyDescent="0.25">
      <c r="X1236" s="4"/>
      <c r="Y1236" s="4"/>
      <c r="Z1236" s="4"/>
      <c r="AA1236" s="4"/>
      <c r="AB1236" s="4"/>
      <c r="AC1236" s="7"/>
      <c r="AD1236" s="4"/>
      <c r="AE1236" s="4"/>
      <c r="AF1236" s="21"/>
    </row>
    <row r="1237" spans="24:32" x14ac:dyDescent="0.25">
      <c r="X1237" s="4"/>
      <c r="Y1237" s="4"/>
      <c r="Z1237" s="4"/>
      <c r="AA1237" s="4"/>
      <c r="AB1237" s="4"/>
      <c r="AC1237" s="7"/>
      <c r="AD1237" s="4"/>
      <c r="AE1237" s="4"/>
      <c r="AF1237" s="21"/>
    </row>
    <row r="1238" spans="24:32" x14ac:dyDescent="0.25">
      <c r="X1238" s="4"/>
      <c r="Y1238" s="4"/>
      <c r="Z1238" s="4"/>
      <c r="AA1238" s="4"/>
      <c r="AB1238" s="4"/>
      <c r="AC1238" s="7"/>
      <c r="AD1238" s="4"/>
      <c r="AE1238" s="4"/>
      <c r="AF1238" s="21"/>
    </row>
    <row r="1239" spans="24:32" x14ac:dyDescent="0.25">
      <c r="X1239" s="4"/>
      <c r="Y1239" s="4"/>
      <c r="Z1239" s="4"/>
      <c r="AA1239" s="4"/>
      <c r="AB1239" s="4"/>
      <c r="AC1239" s="7"/>
      <c r="AD1239" s="4"/>
      <c r="AE1239" s="4"/>
      <c r="AF1239" s="21"/>
    </row>
    <row r="1240" spans="24:32" x14ac:dyDescent="0.25">
      <c r="X1240" s="4"/>
      <c r="Y1240" s="4"/>
      <c r="Z1240" s="4"/>
      <c r="AA1240" s="4"/>
      <c r="AB1240" s="4"/>
      <c r="AC1240" s="7"/>
      <c r="AD1240" s="4"/>
      <c r="AE1240" s="4"/>
      <c r="AF1240" s="21"/>
    </row>
    <row r="1241" spans="24:32" x14ac:dyDescent="0.25">
      <c r="X1241" s="4"/>
      <c r="Y1241" s="4"/>
      <c r="Z1241" s="4"/>
      <c r="AA1241" s="4"/>
      <c r="AB1241" s="4"/>
      <c r="AC1241" s="7"/>
      <c r="AD1241" s="4"/>
      <c r="AE1241" s="4"/>
      <c r="AF1241" s="21"/>
    </row>
    <row r="1242" spans="24:32" x14ac:dyDescent="0.25">
      <c r="X1242" s="4"/>
      <c r="Y1242" s="4"/>
      <c r="Z1242" s="4"/>
      <c r="AA1242" s="4"/>
      <c r="AB1242" s="4"/>
      <c r="AC1242" s="7"/>
      <c r="AD1242" s="4"/>
      <c r="AE1242" s="4"/>
      <c r="AF1242" s="21"/>
    </row>
    <row r="1243" spans="24:32" x14ac:dyDescent="0.25">
      <c r="X1243" s="4"/>
      <c r="Y1243" s="4"/>
      <c r="Z1243" s="4"/>
      <c r="AA1243" s="4"/>
      <c r="AB1243" s="4"/>
      <c r="AC1243" s="7"/>
      <c r="AD1243" s="4"/>
      <c r="AE1243" s="4"/>
      <c r="AF1243" s="21"/>
    </row>
    <row r="1244" spans="24:32" x14ac:dyDescent="0.25">
      <c r="X1244" s="4"/>
      <c r="Y1244" s="4"/>
      <c r="Z1244" s="4"/>
      <c r="AA1244" s="4"/>
      <c r="AB1244" s="4"/>
      <c r="AC1244" s="7"/>
      <c r="AD1244" s="4"/>
      <c r="AE1244" s="4"/>
      <c r="AF1244" s="21"/>
    </row>
    <row r="1245" spans="24:32" x14ac:dyDescent="0.25">
      <c r="X1245" s="4"/>
      <c r="Y1245" s="4"/>
      <c r="Z1245" s="4"/>
      <c r="AA1245" s="4"/>
      <c r="AB1245" s="4"/>
      <c r="AC1245" s="7"/>
      <c r="AD1245" s="4"/>
      <c r="AE1245" s="4"/>
      <c r="AF1245" s="21"/>
    </row>
    <row r="1246" spans="24:32" x14ac:dyDescent="0.25">
      <c r="X1246" s="4"/>
      <c r="Y1246" s="4"/>
      <c r="Z1246" s="4"/>
      <c r="AA1246" s="4"/>
      <c r="AB1246" s="4"/>
      <c r="AC1246" s="7"/>
      <c r="AD1246" s="4"/>
      <c r="AE1246" s="4"/>
      <c r="AF1246" s="21"/>
    </row>
    <row r="1247" spans="24:32" x14ac:dyDescent="0.25">
      <c r="X1247" s="4"/>
      <c r="Y1247" s="4"/>
      <c r="Z1247" s="4"/>
      <c r="AA1247" s="4"/>
      <c r="AB1247" s="4"/>
      <c r="AC1247" s="7"/>
      <c r="AD1247" s="4"/>
      <c r="AE1247" s="4"/>
      <c r="AF1247" s="21"/>
    </row>
    <row r="1248" spans="24:32" x14ac:dyDescent="0.25">
      <c r="X1248" s="4"/>
      <c r="Y1248" s="4"/>
      <c r="Z1248" s="4"/>
      <c r="AA1248" s="4"/>
      <c r="AB1248" s="4"/>
      <c r="AC1248" s="7"/>
      <c r="AD1248" s="4"/>
      <c r="AE1248" s="4"/>
      <c r="AF1248" s="21"/>
    </row>
    <row r="1249" spans="24:32" x14ac:dyDescent="0.25">
      <c r="X1249" s="4"/>
      <c r="Y1249" s="4"/>
      <c r="Z1249" s="4"/>
      <c r="AA1249" s="4"/>
      <c r="AB1249" s="4"/>
      <c r="AC1249" s="7"/>
      <c r="AD1249" s="4"/>
      <c r="AE1249" s="4"/>
      <c r="AF1249" s="21"/>
    </row>
    <row r="1250" spans="24:32" x14ac:dyDescent="0.25">
      <c r="X1250" s="4"/>
      <c r="Y1250" s="4"/>
      <c r="Z1250" s="4"/>
      <c r="AA1250" s="4"/>
      <c r="AB1250" s="4"/>
      <c r="AC1250" s="7"/>
      <c r="AD1250" s="4"/>
      <c r="AE1250" s="4"/>
      <c r="AF1250" s="21"/>
    </row>
    <row r="1251" spans="24:32" x14ac:dyDescent="0.25">
      <c r="X1251" s="4"/>
      <c r="Y1251" s="4"/>
      <c r="Z1251" s="4"/>
      <c r="AA1251" s="4"/>
      <c r="AB1251" s="4"/>
      <c r="AC1251" s="7"/>
      <c r="AD1251" s="4"/>
      <c r="AE1251" s="4"/>
      <c r="AF1251" s="21"/>
    </row>
    <row r="1252" spans="24:32" x14ac:dyDescent="0.25">
      <c r="X1252" s="4"/>
      <c r="Y1252" s="4"/>
      <c r="Z1252" s="4"/>
      <c r="AA1252" s="4"/>
      <c r="AB1252" s="4"/>
      <c r="AC1252" s="7"/>
      <c r="AD1252" s="4"/>
      <c r="AE1252" s="4"/>
      <c r="AF1252" s="21"/>
    </row>
    <row r="1253" spans="24:32" x14ac:dyDescent="0.25">
      <c r="X1253" s="4"/>
      <c r="Y1253" s="4"/>
      <c r="Z1253" s="4"/>
      <c r="AA1253" s="4"/>
      <c r="AB1253" s="4"/>
      <c r="AC1253" s="7"/>
      <c r="AD1253" s="4"/>
      <c r="AE1253" s="4"/>
      <c r="AF1253" s="21"/>
    </row>
    <row r="1254" spans="24:32" x14ac:dyDescent="0.25">
      <c r="X1254" s="4"/>
      <c r="Y1254" s="4"/>
      <c r="Z1254" s="4"/>
      <c r="AA1254" s="4"/>
      <c r="AB1254" s="4"/>
      <c r="AC1254" s="7"/>
      <c r="AD1254" s="4"/>
      <c r="AE1254" s="4"/>
      <c r="AF1254" s="21"/>
    </row>
    <row r="1255" spans="24:32" x14ac:dyDescent="0.25">
      <c r="X1255" s="4"/>
      <c r="Y1255" s="4"/>
      <c r="Z1255" s="4"/>
      <c r="AA1255" s="4"/>
      <c r="AB1255" s="4"/>
      <c r="AC1255" s="7"/>
      <c r="AD1255" s="4"/>
      <c r="AE1255" s="4"/>
      <c r="AF1255" s="21"/>
    </row>
    <row r="1256" spans="24:32" x14ac:dyDescent="0.25">
      <c r="X1256" s="4"/>
      <c r="Y1256" s="4"/>
      <c r="Z1256" s="4"/>
      <c r="AA1256" s="4"/>
      <c r="AB1256" s="4"/>
      <c r="AC1256" s="7"/>
      <c r="AD1256" s="4"/>
      <c r="AE1256" s="4"/>
      <c r="AF1256" s="21"/>
    </row>
    <row r="1257" spans="24:32" x14ac:dyDescent="0.25">
      <c r="X1257" s="4"/>
      <c r="Y1257" s="4"/>
      <c r="Z1257" s="4"/>
      <c r="AA1257" s="4"/>
      <c r="AB1257" s="4"/>
      <c r="AC1257" s="7"/>
      <c r="AD1257" s="4"/>
      <c r="AE1257" s="4"/>
      <c r="AF1257" s="21"/>
    </row>
    <row r="1258" spans="24:32" x14ac:dyDescent="0.25">
      <c r="X1258" s="4"/>
      <c r="Y1258" s="4"/>
      <c r="Z1258" s="4"/>
      <c r="AA1258" s="4"/>
      <c r="AB1258" s="4"/>
      <c r="AC1258" s="7"/>
      <c r="AD1258" s="4"/>
      <c r="AE1258" s="4"/>
      <c r="AF1258" s="21"/>
    </row>
    <row r="1259" spans="24:32" x14ac:dyDescent="0.25">
      <c r="X1259" s="4"/>
      <c r="Y1259" s="4"/>
      <c r="Z1259" s="4"/>
      <c r="AA1259" s="4"/>
      <c r="AB1259" s="4"/>
      <c r="AC1259" s="7"/>
      <c r="AD1259" s="4"/>
      <c r="AE1259" s="4"/>
      <c r="AF1259" s="21"/>
    </row>
    <row r="1260" spans="24:32" x14ac:dyDescent="0.25">
      <c r="X1260" s="4"/>
      <c r="Y1260" s="4"/>
      <c r="Z1260" s="4"/>
      <c r="AA1260" s="4"/>
      <c r="AB1260" s="4"/>
      <c r="AC1260" s="7"/>
      <c r="AD1260" s="4"/>
      <c r="AE1260" s="4"/>
      <c r="AF1260" s="21"/>
    </row>
    <row r="1261" spans="24:32" x14ac:dyDescent="0.25">
      <c r="X1261" s="4"/>
      <c r="Y1261" s="4"/>
      <c r="Z1261" s="4"/>
      <c r="AA1261" s="4"/>
      <c r="AB1261" s="4"/>
      <c r="AC1261" s="7"/>
      <c r="AD1261" s="4"/>
      <c r="AE1261" s="4"/>
      <c r="AF1261" s="21"/>
    </row>
    <row r="1262" spans="24:32" x14ac:dyDescent="0.25">
      <c r="X1262" s="4"/>
      <c r="Y1262" s="4"/>
      <c r="Z1262" s="4"/>
      <c r="AA1262" s="4"/>
      <c r="AB1262" s="4"/>
      <c r="AC1262" s="7"/>
      <c r="AD1262" s="4"/>
      <c r="AE1262" s="4"/>
      <c r="AF1262" s="21"/>
    </row>
    <row r="1263" spans="24:32" x14ac:dyDescent="0.25">
      <c r="X1263" s="4"/>
      <c r="Y1263" s="4"/>
      <c r="Z1263" s="4"/>
      <c r="AA1263" s="4"/>
      <c r="AB1263" s="4"/>
      <c r="AC1263" s="7"/>
      <c r="AD1263" s="4"/>
      <c r="AE1263" s="4"/>
      <c r="AF1263" s="21"/>
    </row>
    <row r="1264" spans="24:32" x14ac:dyDescent="0.25">
      <c r="X1264" s="4"/>
      <c r="Y1264" s="4"/>
      <c r="Z1264" s="4"/>
      <c r="AA1264" s="4"/>
      <c r="AB1264" s="4"/>
      <c r="AC1264" s="7"/>
      <c r="AD1264" s="4"/>
      <c r="AE1264" s="4"/>
      <c r="AF1264" s="21"/>
    </row>
    <row r="1265" spans="24:32" x14ac:dyDescent="0.25">
      <c r="X1265" s="4"/>
      <c r="Y1265" s="4"/>
      <c r="Z1265" s="4"/>
      <c r="AA1265" s="4"/>
      <c r="AB1265" s="4"/>
      <c r="AC1265" s="7"/>
      <c r="AD1265" s="4"/>
      <c r="AE1265" s="4"/>
      <c r="AF1265" s="21"/>
    </row>
    <row r="1266" spans="24:32" x14ac:dyDescent="0.25">
      <c r="X1266" s="4"/>
      <c r="Y1266" s="4"/>
      <c r="Z1266" s="4"/>
      <c r="AA1266" s="4"/>
      <c r="AB1266" s="4"/>
      <c r="AC1266" s="7"/>
      <c r="AD1266" s="4"/>
      <c r="AE1266" s="4"/>
      <c r="AF1266" s="21"/>
    </row>
    <row r="1267" spans="24:32" x14ac:dyDescent="0.25">
      <c r="X1267" s="4"/>
      <c r="Y1267" s="4"/>
      <c r="Z1267" s="4"/>
      <c r="AA1267" s="4"/>
      <c r="AB1267" s="4"/>
      <c r="AC1267" s="7"/>
      <c r="AD1267" s="4"/>
      <c r="AE1267" s="4"/>
      <c r="AF1267" s="21"/>
    </row>
    <row r="1268" spans="24:32" x14ac:dyDescent="0.25">
      <c r="X1268" s="4"/>
      <c r="Y1268" s="4"/>
      <c r="Z1268" s="4"/>
      <c r="AA1268" s="4"/>
      <c r="AB1268" s="4"/>
      <c r="AC1268" s="7"/>
      <c r="AD1268" s="4"/>
      <c r="AE1268" s="4"/>
      <c r="AF1268" s="21"/>
    </row>
    <row r="1269" spans="24:32" x14ac:dyDescent="0.25">
      <c r="X1269" s="4"/>
      <c r="Y1269" s="4"/>
      <c r="Z1269" s="4"/>
      <c r="AA1269" s="4"/>
      <c r="AB1269" s="4"/>
      <c r="AC1269" s="7"/>
      <c r="AD1269" s="4"/>
      <c r="AE1269" s="4"/>
      <c r="AF1269" s="21"/>
    </row>
    <row r="1270" spans="24:32" x14ac:dyDescent="0.25">
      <c r="X1270" s="4"/>
      <c r="Y1270" s="4"/>
      <c r="Z1270" s="4"/>
      <c r="AA1270" s="4"/>
      <c r="AB1270" s="4"/>
      <c r="AC1270" s="7"/>
      <c r="AD1270" s="4"/>
      <c r="AE1270" s="4"/>
      <c r="AF1270" s="21"/>
    </row>
    <row r="1271" spans="24:32" x14ac:dyDescent="0.25">
      <c r="X1271" s="4"/>
      <c r="Y1271" s="4"/>
      <c r="Z1271" s="4"/>
      <c r="AA1271" s="4"/>
      <c r="AB1271" s="4"/>
      <c r="AC1271" s="7"/>
      <c r="AD1271" s="4"/>
      <c r="AE1271" s="4"/>
      <c r="AF1271" s="21"/>
    </row>
    <row r="1272" spans="24:32" x14ac:dyDescent="0.25">
      <c r="X1272" s="4"/>
      <c r="Y1272" s="4"/>
      <c r="Z1272" s="4"/>
      <c r="AA1272" s="4"/>
      <c r="AB1272" s="4"/>
      <c r="AC1272" s="7"/>
      <c r="AD1272" s="4"/>
      <c r="AE1272" s="4"/>
      <c r="AF1272" s="21"/>
    </row>
    <row r="1273" spans="24:32" x14ac:dyDescent="0.25">
      <c r="X1273" s="4"/>
      <c r="Y1273" s="4"/>
      <c r="Z1273" s="4"/>
      <c r="AA1273" s="4"/>
      <c r="AB1273" s="4"/>
      <c r="AC1273" s="7"/>
      <c r="AD1273" s="4"/>
      <c r="AE1273" s="4"/>
      <c r="AF1273" s="21"/>
    </row>
    <row r="1274" spans="24:32" x14ac:dyDescent="0.25">
      <c r="X1274" s="4"/>
      <c r="Y1274" s="4"/>
      <c r="Z1274" s="4"/>
      <c r="AA1274" s="4"/>
      <c r="AB1274" s="4"/>
      <c r="AC1274" s="7"/>
      <c r="AD1274" s="4"/>
      <c r="AE1274" s="4"/>
      <c r="AF1274" s="21"/>
    </row>
    <row r="1275" spans="24:32" x14ac:dyDescent="0.25">
      <c r="X1275" s="4"/>
      <c r="Y1275" s="4"/>
      <c r="Z1275" s="4"/>
      <c r="AA1275" s="4"/>
      <c r="AB1275" s="4"/>
      <c r="AC1275" s="7"/>
      <c r="AD1275" s="4"/>
      <c r="AE1275" s="4"/>
      <c r="AF1275" s="21"/>
    </row>
    <row r="1276" spans="24:32" x14ac:dyDescent="0.25">
      <c r="X1276" s="4"/>
      <c r="Y1276" s="4"/>
      <c r="Z1276" s="4"/>
      <c r="AA1276" s="4"/>
      <c r="AB1276" s="4"/>
      <c r="AC1276" s="7"/>
      <c r="AD1276" s="4"/>
      <c r="AE1276" s="4"/>
      <c r="AF1276" s="21"/>
    </row>
    <row r="1277" spans="24:32" x14ac:dyDescent="0.25">
      <c r="X1277" s="4"/>
      <c r="Y1277" s="4"/>
      <c r="Z1277" s="4"/>
      <c r="AA1277" s="4"/>
      <c r="AB1277" s="4"/>
      <c r="AC1277" s="7"/>
      <c r="AD1277" s="4"/>
      <c r="AE1277" s="4"/>
      <c r="AF1277" s="21"/>
    </row>
    <row r="1278" spans="24:32" x14ac:dyDescent="0.25">
      <c r="X1278" s="4"/>
      <c r="Y1278" s="4"/>
      <c r="Z1278" s="4"/>
      <c r="AA1278" s="4"/>
      <c r="AB1278" s="4"/>
      <c r="AC1278" s="7"/>
      <c r="AD1278" s="4"/>
      <c r="AE1278" s="4"/>
      <c r="AF1278" s="21"/>
    </row>
    <row r="1279" spans="24:32" x14ac:dyDescent="0.25">
      <c r="X1279" s="4"/>
      <c r="Y1279" s="4"/>
      <c r="Z1279" s="4"/>
      <c r="AA1279" s="4"/>
      <c r="AB1279" s="4"/>
      <c r="AC1279" s="7"/>
      <c r="AD1279" s="4"/>
      <c r="AE1279" s="4"/>
      <c r="AF1279" s="21"/>
    </row>
    <row r="1280" spans="24:32" x14ac:dyDescent="0.25">
      <c r="X1280" s="4"/>
      <c r="Y1280" s="4"/>
      <c r="Z1280" s="4"/>
      <c r="AA1280" s="4"/>
      <c r="AB1280" s="4"/>
      <c r="AC1280" s="7"/>
      <c r="AD1280" s="4"/>
      <c r="AE1280" s="4"/>
      <c r="AF1280" s="21"/>
    </row>
    <row r="1281" spans="24:32" x14ac:dyDescent="0.25">
      <c r="X1281" s="4"/>
      <c r="Y1281" s="4"/>
      <c r="Z1281" s="4"/>
      <c r="AA1281" s="4"/>
      <c r="AB1281" s="4"/>
      <c r="AC1281" s="7"/>
      <c r="AD1281" s="4"/>
      <c r="AE1281" s="4"/>
      <c r="AF1281" s="21"/>
    </row>
    <row r="1282" spans="24:32" x14ac:dyDescent="0.25">
      <c r="X1282" s="4"/>
      <c r="Y1282" s="4"/>
      <c r="Z1282" s="4"/>
      <c r="AA1282" s="4"/>
      <c r="AB1282" s="4"/>
      <c r="AC1282" s="7"/>
      <c r="AD1282" s="4"/>
      <c r="AE1282" s="4"/>
      <c r="AF1282" s="21"/>
    </row>
    <row r="1283" spans="24:32" x14ac:dyDescent="0.25">
      <c r="X1283" s="4"/>
      <c r="Y1283" s="4"/>
      <c r="Z1283" s="4"/>
      <c r="AA1283" s="4"/>
      <c r="AB1283" s="4"/>
      <c r="AC1283" s="7"/>
      <c r="AD1283" s="4"/>
      <c r="AE1283" s="4"/>
      <c r="AF1283" s="21"/>
    </row>
    <row r="1284" spans="24:32" x14ac:dyDescent="0.25">
      <c r="X1284" s="4"/>
      <c r="Y1284" s="4"/>
      <c r="Z1284" s="4"/>
      <c r="AA1284" s="4"/>
      <c r="AB1284" s="4"/>
      <c r="AC1284" s="7"/>
      <c r="AD1284" s="4"/>
      <c r="AE1284" s="4"/>
      <c r="AF1284" s="21"/>
    </row>
    <row r="1285" spans="24:32" x14ac:dyDescent="0.25">
      <c r="X1285" s="4"/>
      <c r="Y1285" s="4"/>
      <c r="Z1285" s="4"/>
      <c r="AA1285" s="4"/>
      <c r="AB1285" s="4"/>
      <c r="AC1285" s="7"/>
      <c r="AD1285" s="4"/>
      <c r="AE1285" s="4"/>
      <c r="AF1285" s="21"/>
    </row>
    <row r="1286" spans="24:32" x14ac:dyDescent="0.25">
      <c r="X1286" s="4"/>
      <c r="Y1286" s="4"/>
      <c r="Z1286" s="4"/>
      <c r="AA1286" s="4"/>
      <c r="AB1286" s="4"/>
      <c r="AC1286" s="7"/>
      <c r="AD1286" s="4"/>
      <c r="AE1286" s="4"/>
      <c r="AF1286" s="21"/>
    </row>
    <row r="1287" spans="24:32" x14ac:dyDescent="0.25">
      <c r="X1287" s="4"/>
      <c r="Y1287" s="4"/>
      <c r="Z1287" s="4"/>
      <c r="AA1287" s="4"/>
      <c r="AB1287" s="4"/>
      <c r="AC1287" s="7"/>
      <c r="AD1287" s="4"/>
      <c r="AE1287" s="4"/>
      <c r="AF1287" s="21"/>
    </row>
    <row r="1288" spans="24:32" x14ac:dyDescent="0.25">
      <c r="X1288" s="4"/>
      <c r="Y1288" s="4"/>
      <c r="Z1288" s="4"/>
      <c r="AA1288" s="4"/>
      <c r="AB1288" s="4"/>
      <c r="AC1288" s="7"/>
      <c r="AD1288" s="4"/>
      <c r="AE1288" s="4"/>
      <c r="AF1288" s="21"/>
    </row>
    <row r="1289" spans="24:32" x14ac:dyDescent="0.25">
      <c r="X1289" s="4"/>
      <c r="Y1289" s="4"/>
      <c r="Z1289" s="4"/>
      <c r="AA1289" s="4"/>
      <c r="AB1289" s="4"/>
      <c r="AC1289" s="7"/>
      <c r="AD1289" s="4"/>
      <c r="AE1289" s="4"/>
      <c r="AF1289" s="21"/>
    </row>
    <row r="1290" spans="24:32" x14ac:dyDescent="0.25">
      <c r="X1290" s="4"/>
      <c r="Y1290" s="4"/>
      <c r="Z1290" s="4"/>
      <c r="AA1290" s="4"/>
      <c r="AB1290" s="4"/>
      <c r="AC1290" s="7"/>
      <c r="AD1290" s="4"/>
      <c r="AE1290" s="4"/>
      <c r="AF1290" s="21"/>
    </row>
    <row r="1291" spans="24:32" x14ac:dyDescent="0.25">
      <c r="X1291" s="4"/>
      <c r="Y1291" s="4"/>
      <c r="Z1291" s="4"/>
      <c r="AA1291" s="4"/>
      <c r="AB1291" s="4"/>
      <c r="AC1291" s="7"/>
      <c r="AD1291" s="4"/>
      <c r="AE1291" s="4"/>
      <c r="AF1291" s="21"/>
    </row>
    <row r="1292" spans="24:32" x14ac:dyDescent="0.25">
      <c r="X1292" s="4"/>
      <c r="Y1292" s="4"/>
      <c r="Z1292" s="4"/>
      <c r="AA1292" s="4"/>
      <c r="AB1292" s="4"/>
      <c r="AC1292" s="7"/>
      <c r="AD1292" s="4"/>
      <c r="AE1292" s="4"/>
      <c r="AF1292" s="21"/>
    </row>
    <row r="1293" spans="24:32" x14ac:dyDescent="0.25">
      <c r="X1293" s="4"/>
      <c r="Y1293" s="4"/>
      <c r="Z1293" s="4"/>
      <c r="AA1293" s="4"/>
      <c r="AB1293" s="4"/>
      <c r="AC1293" s="7"/>
      <c r="AD1293" s="4"/>
      <c r="AE1293" s="4"/>
      <c r="AF1293" s="21"/>
    </row>
    <row r="1294" spans="24:32" x14ac:dyDescent="0.25">
      <c r="X1294" s="4"/>
      <c r="Y1294" s="4"/>
      <c r="Z1294" s="4"/>
      <c r="AA1294" s="4"/>
      <c r="AB1294" s="4"/>
      <c r="AC1294" s="7"/>
      <c r="AD1294" s="4"/>
      <c r="AE1294" s="4"/>
      <c r="AF1294" s="21"/>
    </row>
    <row r="1295" spans="24:32" x14ac:dyDescent="0.25">
      <c r="X1295" s="4"/>
      <c r="Y1295" s="4"/>
      <c r="Z1295" s="4"/>
      <c r="AA1295" s="4"/>
      <c r="AB1295" s="4"/>
      <c r="AC1295" s="7"/>
      <c r="AD1295" s="4"/>
      <c r="AE1295" s="4"/>
      <c r="AF1295" s="21"/>
    </row>
    <row r="1296" spans="24:32" x14ac:dyDescent="0.25">
      <c r="X1296" s="4"/>
      <c r="Y1296" s="4"/>
      <c r="Z1296" s="4"/>
      <c r="AA1296" s="4"/>
      <c r="AB1296" s="4"/>
      <c r="AC1296" s="7"/>
      <c r="AD1296" s="4"/>
      <c r="AE1296" s="4"/>
      <c r="AF1296" s="21"/>
    </row>
    <row r="1297" spans="24:32" x14ac:dyDescent="0.25">
      <c r="X1297" s="4"/>
      <c r="Y1297" s="4"/>
      <c r="Z1297" s="4"/>
      <c r="AA1297" s="4"/>
      <c r="AB1297" s="4"/>
      <c r="AC1297" s="7"/>
      <c r="AD1297" s="4"/>
      <c r="AE1297" s="4"/>
      <c r="AF1297" s="21"/>
    </row>
    <row r="1298" spans="24:32" x14ac:dyDescent="0.25">
      <c r="X1298" s="4"/>
      <c r="Y1298" s="4"/>
      <c r="Z1298" s="4"/>
      <c r="AA1298" s="4"/>
      <c r="AB1298" s="4"/>
      <c r="AC1298" s="7"/>
      <c r="AD1298" s="4"/>
      <c r="AE1298" s="4"/>
      <c r="AF1298" s="21"/>
    </row>
    <row r="1299" spans="24:32" x14ac:dyDescent="0.25">
      <c r="X1299" s="4"/>
      <c r="Y1299" s="4"/>
      <c r="Z1299" s="4"/>
      <c r="AA1299" s="4"/>
      <c r="AB1299" s="4"/>
      <c r="AC1299" s="7"/>
      <c r="AD1299" s="4"/>
      <c r="AE1299" s="4"/>
      <c r="AF1299" s="21"/>
    </row>
    <row r="1300" spans="24:32" x14ac:dyDescent="0.25">
      <c r="X1300" s="4"/>
      <c r="Y1300" s="4"/>
      <c r="Z1300" s="4"/>
      <c r="AA1300" s="4"/>
      <c r="AB1300" s="4"/>
      <c r="AC1300" s="7"/>
      <c r="AD1300" s="4"/>
      <c r="AE1300" s="4"/>
      <c r="AF1300" s="21"/>
    </row>
    <row r="1301" spans="24:32" x14ac:dyDescent="0.25">
      <c r="X1301" s="4"/>
      <c r="Y1301" s="4"/>
      <c r="Z1301" s="4"/>
      <c r="AA1301" s="4"/>
      <c r="AB1301" s="4"/>
      <c r="AC1301" s="7"/>
      <c r="AD1301" s="4"/>
      <c r="AE1301" s="4"/>
      <c r="AF1301" s="21"/>
    </row>
    <row r="1302" spans="24:32" x14ac:dyDescent="0.25">
      <c r="X1302" s="4"/>
      <c r="Y1302" s="4"/>
      <c r="Z1302" s="4"/>
      <c r="AA1302" s="4"/>
      <c r="AB1302" s="4"/>
      <c r="AC1302" s="7"/>
      <c r="AD1302" s="4"/>
      <c r="AE1302" s="4"/>
      <c r="AF1302" s="21"/>
    </row>
    <row r="1303" spans="24:32" x14ac:dyDescent="0.25">
      <c r="X1303" s="4"/>
      <c r="Y1303" s="4"/>
      <c r="Z1303" s="4"/>
      <c r="AA1303" s="4"/>
      <c r="AB1303" s="4"/>
      <c r="AC1303" s="7"/>
      <c r="AD1303" s="4"/>
      <c r="AE1303" s="4"/>
      <c r="AF1303" s="21"/>
    </row>
    <row r="1304" spans="24:32" x14ac:dyDescent="0.25">
      <c r="X1304" s="4"/>
      <c r="Y1304" s="4"/>
      <c r="Z1304" s="4"/>
      <c r="AA1304" s="4"/>
      <c r="AB1304" s="4"/>
      <c r="AC1304" s="7"/>
      <c r="AD1304" s="4"/>
      <c r="AE1304" s="4"/>
      <c r="AF1304" s="21"/>
    </row>
    <row r="1305" spans="24:32" x14ac:dyDescent="0.25">
      <c r="X1305" s="4"/>
      <c r="Y1305" s="4"/>
      <c r="Z1305" s="4"/>
      <c r="AA1305" s="4"/>
      <c r="AB1305" s="4"/>
      <c r="AC1305" s="7"/>
      <c r="AD1305" s="4"/>
      <c r="AE1305" s="4"/>
      <c r="AF1305" s="21"/>
    </row>
    <row r="1306" spans="24:32" x14ac:dyDescent="0.25">
      <c r="X1306" s="4"/>
      <c r="Y1306" s="4"/>
      <c r="Z1306" s="4"/>
      <c r="AA1306" s="4"/>
      <c r="AB1306" s="4"/>
      <c r="AC1306" s="7"/>
      <c r="AD1306" s="4"/>
      <c r="AE1306" s="4"/>
      <c r="AF1306" s="21"/>
    </row>
    <row r="1307" spans="24:32" x14ac:dyDescent="0.25">
      <c r="X1307" s="4"/>
      <c r="Y1307" s="4"/>
      <c r="Z1307" s="4"/>
      <c r="AA1307" s="4"/>
      <c r="AB1307" s="4"/>
      <c r="AC1307" s="7"/>
      <c r="AD1307" s="4"/>
      <c r="AE1307" s="4"/>
      <c r="AF1307" s="21"/>
    </row>
    <row r="1308" spans="24:32" x14ac:dyDescent="0.25">
      <c r="X1308" s="4"/>
      <c r="Y1308" s="4"/>
      <c r="Z1308" s="4"/>
      <c r="AA1308" s="4"/>
      <c r="AB1308" s="4"/>
      <c r="AC1308" s="7"/>
      <c r="AD1308" s="4"/>
      <c r="AE1308" s="4"/>
      <c r="AF1308" s="21"/>
    </row>
    <row r="1309" spans="24:32" x14ac:dyDescent="0.25">
      <c r="X1309" s="4"/>
      <c r="Y1309" s="4"/>
      <c r="Z1309" s="4"/>
      <c r="AA1309" s="4"/>
      <c r="AB1309" s="4"/>
      <c r="AC1309" s="7"/>
      <c r="AD1309" s="4"/>
      <c r="AE1309" s="4"/>
      <c r="AF1309" s="21"/>
    </row>
    <row r="1310" spans="24:32" x14ac:dyDescent="0.25">
      <c r="X1310" s="4"/>
      <c r="Y1310" s="4"/>
      <c r="Z1310" s="4"/>
      <c r="AA1310" s="4"/>
      <c r="AB1310" s="4"/>
      <c r="AC1310" s="7"/>
      <c r="AD1310" s="4"/>
      <c r="AE1310" s="4"/>
      <c r="AF1310" s="21"/>
    </row>
    <row r="1311" spans="24:32" x14ac:dyDescent="0.25">
      <c r="X1311" s="4"/>
      <c r="Y1311" s="4"/>
      <c r="Z1311" s="4"/>
      <c r="AA1311" s="4"/>
      <c r="AB1311" s="4"/>
      <c r="AC1311" s="7"/>
      <c r="AD1311" s="4"/>
      <c r="AE1311" s="4"/>
      <c r="AF1311" s="21"/>
    </row>
    <row r="1312" spans="24:32" x14ac:dyDescent="0.25">
      <c r="X1312" s="4"/>
      <c r="Y1312" s="4"/>
      <c r="Z1312" s="4"/>
      <c r="AA1312" s="4"/>
      <c r="AB1312" s="4"/>
      <c r="AC1312" s="7"/>
      <c r="AD1312" s="4"/>
      <c r="AE1312" s="4"/>
      <c r="AF1312" s="21"/>
    </row>
    <row r="1313" spans="24:32" x14ac:dyDescent="0.25">
      <c r="X1313" s="4"/>
      <c r="Y1313" s="4"/>
      <c r="Z1313" s="4"/>
      <c r="AA1313" s="4"/>
      <c r="AB1313" s="4"/>
      <c r="AC1313" s="7"/>
      <c r="AD1313" s="4"/>
      <c r="AE1313" s="4"/>
      <c r="AF1313" s="21"/>
    </row>
    <row r="1314" spans="24:32" x14ac:dyDescent="0.25">
      <c r="X1314" s="4"/>
      <c r="Y1314" s="4"/>
      <c r="Z1314" s="4"/>
      <c r="AA1314" s="4"/>
      <c r="AB1314" s="4"/>
      <c r="AC1314" s="7"/>
      <c r="AD1314" s="4"/>
      <c r="AE1314" s="4"/>
      <c r="AF1314" s="21"/>
    </row>
    <row r="1315" spans="24:32" x14ac:dyDescent="0.25">
      <c r="X1315" s="4"/>
      <c r="Y1315" s="4"/>
      <c r="Z1315" s="4"/>
      <c r="AA1315" s="4"/>
      <c r="AB1315" s="4"/>
      <c r="AC1315" s="7"/>
      <c r="AD1315" s="4"/>
      <c r="AE1315" s="4"/>
      <c r="AF1315" s="21"/>
    </row>
    <row r="1316" spans="24:32" x14ac:dyDescent="0.25">
      <c r="X1316" s="4"/>
      <c r="Y1316" s="4"/>
      <c r="Z1316" s="4"/>
      <c r="AA1316" s="4"/>
      <c r="AB1316" s="4"/>
      <c r="AC1316" s="7"/>
      <c r="AD1316" s="4"/>
      <c r="AE1316" s="4"/>
      <c r="AF1316" s="21"/>
    </row>
    <row r="1317" spans="24:32" x14ac:dyDescent="0.25">
      <c r="X1317" s="4"/>
      <c r="Y1317" s="4"/>
      <c r="Z1317" s="4"/>
      <c r="AA1317" s="4"/>
      <c r="AB1317" s="4"/>
      <c r="AC1317" s="7"/>
      <c r="AD1317" s="4"/>
      <c r="AE1317" s="4"/>
      <c r="AF1317" s="21"/>
    </row>
    <row r="1318" spans="24:32" x14ac:dyDescent="0.25">
      <c r="X1318" s="4"/>
      <c r="Y1318" s="4"/>
      <c r="Z1318" s="4"/>
      <c r="AA1318" s="4"/>
      <c r="AB1318" s="4"/>
      <c r="AC1318" s="7"/>
      <c r="AD1318" s="4"/>
      <c r="AE1318" s="4"/>
      <c r="AF1318" s="21"/>
    </row>
    <row r="1319" spans="24:32" x14ac:dyDescent="0.25">
      <c r="X1319" s="4"/>
      <c r="Y1319" s="4"/>
      <c r="Z1319" s="4"/>
      <c r="AA1319" s="4"/>
      <c r="AB1319" s="4"/>
      <c r="AC1319" s="7"/>
      <c r="AD1319" s="4"/>
      <c r="AE1319" s="4"/>
      <c r="AF1319" s="21"/>
    </row>
    <row r="1320" spans="24:32" x14ac:dyDescent="0.25">
      <c r="X1320" s="4"/>
      <c r="Y1320" s="4"/>
      <c r="Z1320" s="4"/>
      <c r="AA1320" s="4"/>
      <c r="AB1320" s="4"/>
      <c r="AC1320" s="7"/>
      <c r="AD1320" s="4"/>
      <c r="AE1320" s="4"/>
      <c r="AF1320" s="21"/>
    </row>
    <row r="1321" spans="24:32" x14ac:dyDescent="0.25">
      <c r="X1321" s="4"/>
      <c r="Y1321" s="4"/>
      <c r="Z1321" s="4"/>
      <c r="AA1321" s="4"/>
      <c r="AB1321" s="4"/>
      <c r="AC1321" s="7"/>
      <c r="AD1321" s="4"/>
      <c r="AE1321" s="4"/>
      <c r="AF1321" s="21"/>
    </row>
    <row r="1322" spans="24:32" x14ac:dyDescent="0.25">
      <c r="X1322" s="4"/>
      <c r="Y1322" s="4"/>
      <c r="Z1322" s="4"/>
      <c r="AA1322" s="4"/>
      <c r="AB1322" s="4"/>
      <c r="AC1322" s="7"/>
      <c r="AD1322" s="4"/>
      <c r="AE1322" s="4"/>
      <c r="AF1322" s="21"/>
    </row>
    <row r="1323" spans="24:32" x14ac:dyDescent="0.25">
      <c r="X1323" s="4"/>
      <c r="Y1323" s="4"/>
      <c r="Z1323" s="4"/>
      <c r="AA1323" s="4"/>
      <c r="AB1323" s="4"/>
      <c r="AC1323" s="7"/>
      <c r="AD1323" s="4"/>
      <c r="AE1323" s="4"/>
      <c r="AF1323" s="21"/>
    </row>
    <row r="1324" spans="24:32" x14ac:dyDescent="0.25">
      <c r="X1324" s="4"/>
      <c r="Y1324" s="4"/>
      <c r="Z1324" s="4"/>
      <c r="AA1324" s="4"/>
      <c r="AB1324" s="4"/>
      <c r="AC1324" s="7"/>
      <c r="AD1324" s="4"/>
      <c r="AE1324" s="4"/>
      <c r="AF1324" s="21"/>
    </row>
    <row r="1325" spans="24:32" x14ac:dyDescent="0.25">
      <c r="X1325" s="4"/>
      <c r="Y1325" s="4"/>
      <c r="Z1325" s="4"/>
      <c r="AA1325" s="4"/>
      <c r="AB1325" s="4"/>
      <c r="AC1325" s="7"/>
      <c r="AD1325" s="4"/>
      <c r="AE1325" s="4"/>
      <c r="AF1325" s="21"/>
    </row>
    <row r="1326" spans="24:32" x14ac:dyDescent="0.25">
      <c r="X1326" s="4"/>
      <c r="Y1326" s="4"/>
      <c r="Z1326" s="4"/>
      <c r="AA1326" s="4"/>
      <c r="AB1326" s="4"/>
      <c r="AC1326" s="7"/>
      <c r="AD1326" s="4"/>
      <c r="AE1326" s="4"/>
      <c r="AF1326" s="21"/>
    </row>
    <row r="1327" spans="24:32" x14ac:dyDescent="0.25">
      <c r="X1327" s="4"/>
      <c r="Y1327" s="4"/>
      <c r="Z1327" s="4"/>
      <c r="AA1327" s="4"/>
      <c r="AB1327" s="4"/>
      <c r="AC1327" s="7"/>
      <c r="AD1327" s="4"/>
      <c r="AE1327" s="4"/>
      <c r="AF1327" s="21"/>
    </row>
    <row r="1328" spans="24:32" x14ac:dyDescent="0.25">
      <c r="X1328" s="4"/>
      <c r="Y1328" s="4"/>
      <c r="Z1328" s="4"/>
      <c r="AA1328" s="4"/>
      <c r="AB1328" s="4"/>
      <c r="AC1328" s="7"/>
      <c r="AD1328" s="4"/>
      <c r="AE1328" s="4"/>
      <c r="AF1328" s="21"/>
    </row>
    <row r="1329" spans="24:32" x14ac:dyDescent="0.25">
      <c r="X1329" s="4"/>
      <c r="Y1329" s="4"/>
      <c r="Z1329" s="4"/>
      <c r="AA1329" s="4"/>
      <c r="AB1329" s="4"/>
      <c r="AC1329" s="7"/>
      <c r="AD1329" s="4"/>
      <c r="AE1329" s="4"/>
      <c r="AF1329" s="21"/>
    </row>
    <row r="1330" spans="24:32" x14ac:dyDescent="0.25">
      <c r="X1330" s="4"/>
      <c r="Y1330" s="4"/>
      <c r="Z1330" s="4"/>
      <c r="AA1330" s="4"/>
      <c r="AB1330" s="4"/>
      <c r="AC1330" s="7"/>
      <c r="AD1330" s="4"/>
      <c r="AE1330" s="4"/>
      <c r="AF1330" s="21"/>
    </row>
    <row r="1331" spans="24:32" x14ac:dyDescent="0.25">
      <c r="X1331" s="4"/>
      <c r="Y1331" s="4"/>
      <c r="Z1331" s="4"/>
      <c r="AA1331" s="4"/>
      <c r="AB1331" s="4"/>
      <c r="AC1331" s="7"/>
      <c r="AD1331" s="4"/>
      <c r="AE1331" s="4"/>
      <c r="AF1331" s="21"/>
    </row>
    <row r="1332" spans="24:32" x14ac:dyDescent="0.25">
      <c r="X1332" s="4"/>
      <c r="Y1332" s="4"/>
      <c r="Z1332" s="4"/>
      <c r="AA1332" s="4"/>
      <c r="AB1332" s="4"/>
      <c r="AC1332" s="7"/>
      <c r="AD1332" s="4"/>
      <c r="AE1332" s="4"/>
      <c r="AF1332" s="21"/>
    </row>
    <row r="1333" spans="24:32" x14ac:dyDescent="0.25">
      <c r="X1333" s="4"/>
      <c r="Y1333" s="4"/>
      <c r="Z1333" s="4"/>
      <c r="AA1333" s="4"/>
      <c r="AB1333" s="4"/>
      <c r="AC1333" s="7"/>
      <c r="AD1333" s="4"/>
      <c r="AE1333" s="4"/>
      <c r="AF1333" s="21"/>
    </row>
    <row r="1334" spans="24:32" x14ac:dyDescent="0.25">
      <c r="X1334" s="4"/>
      <c r="Y1334" s="4"/>
      <c r="Z1334" s="4"/>
      <c r="AA1334" s="4"/>
      <c r="AB1334" s="4"/>
      <c r="AC1334" s="7"/>
      <c r="AD1334" s="4"/>
      <c r="AE1334" s="4"/>
      <c r="AF1334" s="21"/>
    </row>
    <row r="1335" spans="24:32" x14ac:dyDescent="0.25">
      <c r="X1335" s="4"/>
      <c r="Y1335" s="4"/>
      <c r="Z1335" s="4"/>
      <c r="AA1335" s="4"/>
      <c r="AB1335" s="4"/>
      <c r="AC1335" s="7"/>
      <c r="AD1335" s="4"/>
      <c r="AE1335" s="4"/>
      <c r="AF1335" s="21"/>
    </row>
    <row r="1336" spans="24:32" x14ac:dyDescent="0.25">
      <c r="X1336" s="4"/>
      <c r="Y1336" s="4"/>
      <c r="Z1336" s="4"/>
      <c r="AA1336" s="4"/>
      <c r="AB1336" s="4"/>
      <c r="AC1336" s="7"/>
      <c r="AD1336" s="4"/>
      <c r="AE1336" s="4"/>
      <c r="AF1336" s="21"/>
    </row>
    <row r="1337" spans="24:32" x14ac:dyDescent="0.25">
      <c r="X1337" s="4"/>
      <c r="Y1337" s="4"/>
      <c r="Z1337" s="4"/>
      <c r="AA1337" s="4"/>
      <c r="AB1337" s="4"/>
      <c r="AC1337" s="7"/>
      <c r="AD1337" s="4"/>
      <c r="AE1337" s="4"/>
      <c r="AF1337" s="21"/>
    </row>
    <row r="1338" spans="24:32" x14ac:dyDescent="0.25">
      <c r="X1338" s="4"/>
      <c r="Y1338" s="4"/>
      <c r="Z1338" s="4"/>
      <c r="AA1338" s="4"/>
      <c r="AB1338" s="4"/>
      <c r="AC1338" s="7"/>
      <c r="AD1338" s="4"/>
      <c r="AE1338" s="4"/>
      <c r="AF1338" s="21"/>
    </row>
    <row r="1339" spans="24:32" x14ac:dyDescent="0.25">
      <c r="X1339" s="4"/>
      <c r="Y1339" s="4"/>
      <c r="Z1339" s="4"/>
      <c r="AA1339" s="4"/>
      <c r="AB1339" s="4"/>
      <c r="AC1339" s="7"/>
      <c r="AD1339" s="4"/>
      <c r="AE1339" s="4"/>
      <c r="AF1339" s="21"/>
    </row>
    <row r="1340" spans="24:32" x14ac:dyDescent="0.25">
      <c r="X1340" s="4"/>
      <c r="Y1340" s="4"/>
      <c r="Z1340" s="4"/>
      <c r="AA1340" s="4"/>
      <c r="AB1340" s="4"/>
      <c r="AC1340" s="7"/>
      <c r="AD1340" s="4"/>
      <c r="AE1340" s="4"/>
      <c r="AF1340" s="21"/>
    </row>
    <row r="1341" spans="24:32" x14ac:dyDescent="0.25">
      <c r="X1341" s="4"/>
      <c r="Y1341" s="4"/>
      <c r="Z1341" s="4"/>
      <c r="AA1341" s="4"/>
      <c r="AB1341" s="4"/>
      <c r="AC1341" s="7"/>
      <c r="AD1341" s="4"/>
      <c r="AE1341" s="4"/>
      <c r="AF1341" s="21"/>
    </row>
    <row r="1342" spans="24:32" x14ac:dyDescent="0.25">
      <c r="X1342" s="4"/>
      <c r="Y1342" s="4"/>
      <c r="Z1342" s="4"/>
      <c r="AA1342" s="4"/>
      <c r="AB1342" s="4"/>
      <c r="AC1342" s="7"/>
      <c r="AD1342" s="4"/>
      <c r="AE1342" s="4"/>
      <c r="AF1342" s="21"/>
    </row>
    <row r="1343" spans="24:32" x14ac:dyDescent="0.25">
      <c r="X1343" s="4"/>
      <c r="Y1343" s="4"/>
      <c r="Z1343" s="4"/>
      <c r="AA1343" s="4"/>
      <c r="AB1343" s="4"/>
      <c r="AC1343" s="7"/>
      <c r="AD1343" s="4"/>
      <c r="AE1343" s="4"/>
      <c r="AF1343" s="21"/>
    </row>
    <row r="1344" spans="24:32" x14ac:dyDescent="0.25">
      <c r="X1344" s="4"/>
      <c r="Y1344" s="4"/>
      <c r="Z1344" s="4"/>
      <c r="AA1344" s="4"/>
      <c r="AB1344" s="4"/>
      <c r="AC1344" s="7"/>
      <c r="AD1344" s="4"/>
      <c r="AE1344" s="4"/>
      <c r="AF1344" s="21"/>
    </row>
    <row r="1345" spans="24:32" x14ac:dyDescent="0.25">
      <c r="X1345" s="4"/>
      <c r="Y1345" s="4"/>
      <c r="Z1345" s="4"/>
      <c r="AA1345" s="4"/>
      <c r="AB1345" s="4"/>
      <c r="AC1345" s="7"/>
      <c r="AD1345" s="4"/>
      <c r="AE1345" s="4"/>
      <c r="AF1345" s="21"/>
    </row>
    <row r="1346" spans="24:32" x14ac:dyDescent="0.25">
      <c r="X1346" s="4"/>
      <c r="Y1346" s="4"/>
      <c r="Z1346" s="4"/>
      <c r="AA1346" s="4"/>
      <c r="AB1346" s="4"/>
      <c r="AC1346" s="7"/>
      <c r="AD1346" s="4"/>
      <c r="AE1346" s="4"/>
      <c r="AF1346" s="21"/>
    </row>
    <row r="1347" spans="24:32" x14ac:dyDescent="0.25">
      <c r="X1347" s="4"/>
      <c r="Y1347" s="4"/>
      <c r="Z1347" s="4"/>
      <c r="AA1347" s="4"/>
      <c r="AB1347" s="4"/>
      <c r="AC1347" s="7"/>
      <c r="AD1347" s="4"/>
      <c r="AE1347" s="4"/>
      <c r="AF1347" s="21"/>
    </row>
    <row r="1348" spans="24:32" x14ac:dyDescent="0.25">
      <c r="X1348" s="4"/>
      <c r="Y1348" s="4"/>
      <c r="Z1348" s="4"/>
      <c r="AA1348" s="4"/>
      <c r="AB1348" s="4"/>
      <c r="AC1348" s="7"/>
      <c r="AD1348" s="4"/>
      <c r="AE1348" s="4"/>
      <c r="AF1348" s="21"/>
    </row>
    <row r="1349" spans="24:32" x14ac:dyDescent="0.25">
      <c r="X1349" s="4"/>
      <c r="Y1349" s="4"/>
      <c r="Z1349" s="4"/>
      <c r="AA1349" s="4"/>
      <c r="AB1349" s="4"/>
      <c r="AC1349" s="7"/>
      <c r="AD1349" s="4"/>
      <c r="AE1349" s="4"/>
      <c r="AF1349" s="21"/>
    </row>
    <row r="1350" spans="24:32" x14ac:dyDescent="0.25">
      <c r="X1350" s="4"/>
      <c r="Y1350" s="4"/>
      <c r="Z1350" s="4"/>
      <c r="AA1350" s="4"/>
      <c r="AB1350" s="4"/>
      <c r="AC1350" s="7"/>
      <c r="AD1350" s="4"/>
      <c r="AE1350" s="4"/>
      <c r="AF1350" s="21"/>
    </row>
    <row r="1351" spans="24:32" x14ac:dyDescent="0.25">
      <c r="X1351" s="4"/>
      <c r="Y1351" s="4"/>
      <c r="Z1351" s="4"/>
      <c r="AA1351" s="4"/>
      <c r="AB1351" s="4"/>
      <c r="AC1351" s="7"/>
      <c r="AD1351" s="4"/>
      <c r="AE1351" s="4"/>
      <c r="AF1351" s="21"/>
    </row>
    <row r="1352" spans="24:32" x14ac:dyDescent="0.25">
      <c r="X1352" s="4"/>
      <c r="Y1352" s="4"/>
      <c r="Z1352" s="4"/>
      <c r="AA1352" s="4"/>
      <c r="AB1352" s="4"/>
      <c r="AC1352" s="7"/>
      <c r="AD1352" s="4"/>
      <c r="AE1352" s="4"/>
      <c r="AF1352" s="21"/>
    </row>
    <row r="1353" spans="24:32" x14ac:dyDescent="0.25">
      <c r="X1353" s="4"/>
      <c r="Y1353" s="4"/>
      <c r="Z1353" s="4"/>
      <c r="AA1353" s="4"/>
      <c r="AB1353" s="4"/>
      <c r="AC1353" s="7"/>
      <c r="AD1353" s="4"/>
      <c r="AE1353" s="4"/>
      <c r="AF1353" s="21"/>
    </row>
    <row r="1354" spans="24:32" x14ac:dyDescent="0.25">
      <c r="X1354" s="4"/>
      <c r="Y1354" s="4"/>
      <c r="Z1354" s="4"/>
      <c r="AA1354" s="4"/>
      <c r="AB1354" s="4"/>
      <c r="AC1354" s="7"/>
      <c r="AD1354" s="4"/>
      <c r="AE1354" s="4"/>
      <c r="AF1354" s="21"/>
    </row>
    <row r="1355" spans="24:32" x14ac:dyDescent="0.25">
      <c r="X1355" s="4"/>
      <c r="Y1355" s="4"/>
      <c r="Z1355" s="4"/>
      <c r="AA1355" s="4"/>
      <c r="AB1355" s="4"/>
      <c r="AC1355" s="7"/>
      <c r="AD1355" s="4"/>
      <c r="AE1355" s="4"/>
      <c r="AF1355" s="21"/>
    </row>
    <row r="1356" spans="24:32" x14ac:dyDescent="0.25">
      <c r="X1356" s="4"/>
      <c r="Y1356" s="4"/>
      <c r="Z1356" s="4"/>
      <c r="AA1356" s="4"/>
      <c r="AB1356" s="4"/>
      <c r="AC1356" s="7"/>
      <c r="AD1356" s="4"/>
      <c r="AE1356" s="4"/>
      <c r="AF1356" s="21"/>
    </row>
    <row r="1357" spans="24:32" x14ac:dyDescent="0.25">
      <c r="X1357" s="4"/>
      <c r="Y1357" s="4"/>
      <c r="Z1357" s="4"/>
      <c r="AA1357" s="4"/>
      <c r="AB1357" s="4"/>
      <c r="AC1357" s="7"/>
      <c r="AD1357" s="4"/>
      <c r="AE1357" s="4"/>
      <c r="AF1357" s="21"/>
    </row>
    <row r="1358" spans="24:32" x14ac:dyDescent="0.25">
      <c r="X1358" s="4"/>
      <c r="Y1358" s="4"/>
      <c r="Z1358" s="4"/>
      <c r="AA1358" s="4"/>
      <c r="AB1358" s="4"/>
      <c r="AC1358" s="7"/>
      <c r="AD1358" s="4"/>
      <c r="AE1358" s="4"/>
      <c r="AF1358" s="21"/>
    </row>
    <row r="1359" spans="24:32" x14ac:dyDescent="0.25">
      <c r="X1359" s="4"/>
      <c r="Y1359" s="4"/>
      <c r="Z1359" s="4"/>
      <c r="AA1359" s="4"/>
      <c r="AB1359" s="4"/>
      <c r="AC1359" s="7"/>
      <c r="AD1359" s="4"/>
      <c r="AE1359" s="4"/>
      <c r="AF1359" s="21"/>
    </row>
    <row r="1360" spans="24:32" x14ac:dyDescent="0.25">
      <c r="X1360" s="4"/>
      <c r="Y1360" s="4"/>
      <c r="Z1360" s="4"/>
      <c r="AA1360" s="4"/>
      <c r="AB1360" s="4"/>
      <c r="AC1360" s="7"/>
      <c r="AD1360" s="4"/>
      <c r="AE1360" s="4"/>
      <c r="AF1360" s="21"/>
    </row>
    <row r="1361" spans="24:32" x14ac:dyDescent="0.25">
      <c r="X1361" s="4"/>
      <c r="Y1361" s="4"/>
      <c r="Z1361" s="4"/>
      <c r="AA1361" s="4"/>
      <c r="AB1361" s="4"/>
      <c r="AC1361" s="7"/>
      <c r="AD1361" s="4"/>
      <c r="AE1361" s="4"/>
      <c r="AF1361" s="21"/>
    </row>
    <row r="1362" spans="24:32" x14ac:dyDescent="0.25">
      <c r="X1362" s="4"/>
      <c r="Y1362" s="4"/>
      <c r="Z1362" s="4"/>
      <c r="AA1362" s="4"/>
      <c r="AB1362" s="4"/>
      <c r="AC1362" s="7"/>
      <c r="AD1362" s="4"/>
      <c r="AE1362" s="4"/>
      <c r="AF1362" s="21"/>
    </row>
    <row r="1363" spans="24:32" x14ac:dyDescent="0.25">
      <c r="X1363" s="4"/>
      <c r="Y1363" s="4"/>
      <c r="Z1363" s="4"/>
      <c r="AA1363" s="4"/>
      <c r="AB1363" s="4"/>
      <c r="AC1363" s="7"/>
      <c r="AD1363" s="4"/>
      <c r="AE1363" s="4"/>
      <c r="AF1363" s="21"/>
    </row>
    <row r="1364" spans="24:32" x14ac:dyDescent="0.25">
      <c r="X1364" s="4"/>
      <c r="Y1364" s="4"/>
      <c r="Z1364" s="4"/>
      <c r="AA1364" s="4"/>
      <c r="AB1364" s="4"/>
      <c r="AC1364" s="7"/>
      <c r="AD1364" s="4"/>
      <c r="AE1364" s="4"/>
      <c r="AF1364" s="21"/>
    </row>
    <row r="1365" spans="24:32" x14ac:dyDescent="0.25">
      <c r="X1365" s="4"/>
      <c r="Y1365" s="4"/>
      <c r="Z1365" s="4"/>
      <c r="AA1365" s="4"/>
      <c r="AB1365" s="4"/>
      <c r="AC1365" s="7"/>
      <c r="AD1365" s="4"/>
      <c r="AE1365" s="4"/>
      <c r="AF1365" s="21"/>
    </row>
    <row r="1366" spans="24:32" x14ac:dyDescent="0.25">
      <c r="X1366" s="4"/>
      <c r="Y1366" s="4"/>
      <c r="Z1366" s="4"/>
      <c r="AA1366" s="4"/>
      <c r="AB1366" s="4"/>
      <c r="AC1366" s="7"/>
      <c r="AD1366" s="4"/>
      <c r="AE1366" s="4"/>
      <c r="AF1366" s="21"/>
    </row>
    <row r="1367" spans="24:32" x14ac:dyDescent="0.25">
      <c r="X1367" s="4"/>
      <c r="Y1367" s="4"/>
      <c r="Z1367" s="4"/>
      <c r="AA1367" s="4"/>
      <c r="AB1367" s="4"/>
      <c r="AC1367" s="7"/>
      <c r="AD1367" s="4"/>
      <c r="AE1367" s="4"/>
      <c r="AF1367" s="21"/>
    </row>
    <row r="1368" spans="24:32" x14ac:dyDescent="0.25">
      <c r="X1368" s="4"/>
      <c r="Y1368" s="4"/>
      <c r="Z1368" s="4"/>
      <c r="AA1368" s="4"/>
      <c r="AB1368" s="4"/>
      <c r="AC1368" s="7"/>
      <c r="AD1368" s="4"/>
      <c r="AE1368" s="4"/>
      <c r="AF1368" s="21"/>
    </row>
    <row r="1369" spans="24:32" x14ac:dyDescent="0.25">
      <c r="X1369" s="4"/>
      <c r="Y1369" s="4"/>
      <c r="Z1369" s="4"/>
      <c r="AA1369" s="4"/>
      <c r="AB1369" s="4"/>
      <c r="AC1369" s="7"/>
      <c r="AD1369" s="4"/>
      <c r="AE1369" s="4"/>
      <c r="AF1369" s="21"/>
    </row>
    <row r="1370" spans="24:32" x14ac:dyDescent="0.25">
      <c r="X1370" s="4"/>
      <c r="Y1370" s="4"/>
      <c r="Z1370" s="4"/>
      <c r="AA1370" s="4"/>
      <c r="AB1370" s="4"/>
      <c r="AC1370" s="7"/>
      <c r="AD1370" s="4"/>
      <c r="AE1370" s="4"/>
      <c r="AF1370" s="21"/>
    </row>
    <row r="1371" spans="24:32" x14ac:dyDescent="0.25">
      <c r="X1371" s="4"/>
      <c r="Y1371" s="4"/>
      <c r="Z1371" s="4"/>
      <c r="AA1371" s="4"/>
      <c r="AB1371" s="4"/>
      <c r="AC1371" s="7"/>
      <c r="AD1371" s="4"/>
      <c r="AE1371" s="4"/>
      <c r="AF1371" s="21"/>
    </row>
    <row r="1372" spans="24:32" x14ac:dyDescent="0.25">
      <c r="X1372" s="4"/>
      <c r="Y1372" s="4"/>
      <c r="Z1372" s="4"/>
      <c r="AA1372" s="4"/>
      <c r="AB1372" s="4"/>
      <c r="AC1372" s="7"/>
      <c r="AD1372" s="4"/>
      <c r="AE1372" s="4"/>
      <c r="AF1372" s="21"/>
    </row>
    <row r="1373" spans="24:32" x14ac:dyDescent="0.25">
      <c r="X1373" s="4"/>
      <c r="Y1373" s="4"/>
      <c r="Z1373" s="4"/>
      <c r="AA1373" s="4"/>
      <c r="AB1373" s="4"/>
      <c r="AC1373" s="7"/>
      <c r="AD1373" s="4"/>
      <c r="AE1373" s="4"/>
      <c r="AF1373" s="21"/>
    </row>
    <row r="1374" spans="24:32" x14ac:dyDescent="0.25">
      <c r="X1374" s="4"/>
      <c r="Y1374" s="4"/>
      <c r="Z1374" s="4"/>
      <c r="AA1374" s="4"/>
      <c r="AB1374" s="4"/>
      <c r="AC1374" s="7"/>
      <c r="AD1374" s="4"/>
      <c r="AE1374" s="4"/>
      <c r="AF1374" s="21"/>
    </row>
    <row r="1375" spans="24:32" x14ac:dyDescent="0.25">
      <c r="X1375" s="4"/>
      <c r="Y1375" s="4"/>
      <c r="Z1375" s="4"/>
      <c r="AA1375" s="4"/>
      <c r="AB1375" s="4"/>
      <c r="AC1375" s="7"/>
      <c r="AD1375" s="4"/>
      <c r="AE1375" s="4"/>
      <c r="AF1375" s="21"/>
    </row>
    <row r="1376" spans="24:32" x14ac:dyDescent="0.25">
      <c r="X1376" s="4"/>
      <c r="Y1376" s="4"/>
      <c r="Z1376" s="4"/>
      <c r="AA1376" s="4"/>
      <c r="AB1376" s="4"/>
      <c r="AC1376" s="7"/>
      <c r="AD1376" s="4"/>
      <c r="AE1376" s="4"/>
      <c r="AF1376" s="21"/>
    </row>
    <row r="1377" spans="24:32" x14ac:dyDescent="0.25">
      <c r="X1377" s="4"/>
      <c r="Y1377" s="4"/>
      <c r="Z1377" s="4"/>
      <c r="AA1377" s="4"/>
      <c r="AB1377" s="4"/>
      <c r="AC1377" s="7"/>
      <c r="AD1377" s="4"/>
      <c r="AE1377" s="4"/>
      <c r="AF1377" s="21"/>
    </row>
    <row r="1378" spans="24:32" x14ac:dyDescent="0.25">
      <c r="X1378" s="4"/>
      <c r="Y1378" s="4"/>
      <c r="Z1378" s="4"/>
      <c r="AA1378" s="4"/>
      <c r="AB1378" s="4"/>
      <c r="AC1378" s="7"/>
      <c r="AD1378" s="4"/>
      <c r="AE1378" s="4"/>
      <c r="AF1378" s="21"/>
    </row>
    <row r="1379" spans="24:32" x14ac:dyDescent="0.25">
      <c r="X1379" s="4"/>
      <c r="Y1379" s="4"/>
      <c r="Z1379" s="4"/>
      <c r="AA1379" s="4"/>
      <c r="AB1379" s="4"/>
      <c r="AC1379" s="7"/>
      <c r="AD1379" s="4"/>
      <c r="AE1379" s="4"/>
      <c r="AF1379" s="21"/>
    </row>
    <row r="1380" spans="24:32" x14ac:dyDescent="0.25">
      <c r="X1380" s="4"/>
      <c r="Y1380" s="4"/>
      <c r="Z1380" s="4"/>
      <c r="AA1380" s="4"/>
      <c r="AB1380" s="4"/>
      <c r="AC1380" s="7"/>
      <c r="AD1380" s="4"/>
      <c r="AE1380" s="4"/>
      <c r="AF1380" s="21"/>
    </row>
    <row r="1381" spans="24:32" x14ac:dyDescent="0.25">
      <c r="X1381" s="4"/>
      <c r="Y1381" s="4"/>
      <c r="Z1381" s="4"/>
      <c r="AA1381" s="4"/>
      <c r="AB1381" s="4"/>
      <c r="AC1381" s="7"/>
      <c r="AD1381" s="4"/>
      <c r="AE1381" s="4"/>
      <c r="AF1381" s="21"/>
    </row>
    <row r="1382" spans="24:32" x14ac:dyDescent="0.25">
      <c r="X1382" s="4"/>
      <c r="Y1382" s="4"/>
      <c r="Z1382" s="4"/>
      <c r="AA1382" s="4"/>
      <c r="AB1382" s="4"/>
      <c r="AC1382" s="7"/>
      <c r="AD1382" s="4"/>
      <c r="AE1382" s="4"/>
      <c r="AF1382" s="21"/>
    </row>
    <row r="1383" spans="24:32" x14ac:dyDescent="0.25">
      <c r="X1383" s="4"/>
      <c r="Y1383" s="4"/>
      <c r="Z1383" s="4"/>
      <c r="AA1383" s="4"/>
      <c r="AB1383" s="4"/>
      <c r="AC1383" s="7"/>
      <c r="AD1383" s="4"/>
      <c r="AE1383" s="4"/>
      <c r="AF1383" s="21"/>
    </row>
    <row r="1384" spans="24:32" x14ac:dyDescent="0.25">
      <c r="X1384" s="4"/>
      <c r="Y1384" s="4"/>
      <c r="Z1384" s="4"/>
      <c r="AA1384" s="4"/>
      <c r="AB1384" s="4"/>
      <c r="AC1384" s="7"/>
      <c r="AD1384" s="4"/>
      <c r="AE1384" s="4"/>
      <c r="AF1384" s="21"/>
    </row>
    <row r="1385" spans="24:32" x14ac:dyDescent="0.25">
      <c r="X1385" s="4"/>
      <c r="Y1385" s="4"/>
      <c r="Z1385" s="4"/>
      <c r="AA1385" s="4"/>
      <c r="AB1385" s="4"/>
      <c r="AC1385" s="7"/>
      <c r="AD1385" s="4"/>
      <c r="AE1385" s="4"/>
      <c r="AF1385" s="21"/>
    </row>
    <row r="1386" spans="24:32" x14ac:dyDescent="0.25">
      <c r="X1386" s="4"/>
      <c r="Y1386" s="4"/>
      <c r="Z1386" s="4"/>
      <c r="AA1386" s="4"/>
      <c r="AB1386" s="4"/>
      <c r="AC1386" s="7"/>
      <c r="AD1386" s="4"/>
      <c r="AE1386" s="4"/>
      <c r="AF1386" s="21"/>
    </row>
    <row r="1387" spans="24:32" x14ac:dyDescent="0.25">
      <c r="X1387" s="4"/>
      <c r="Y1387" s="4"/>
      <c r="Z1387" s="4"/>
      <c r="AA1387" s="4"/>
      <c r="AB1387" s="4"/>
      <c r="AC1387" s="7"/>
      <c r="AD1387" s="4"/>
      <c r="AE1387" s="4"/>
      <c r="AF1387" s="21"/>
    </row>
    <row r="1388" spans="24:32" x14ac:dyDescent="0.25">
      <c r="X1388" s="4"/>
      <c r="Y1388" s="4"/>
      <c r="Z1388" s="4"/>
      <c r="AA1388" s="4"/>
      <c r="AB1388" s="4"/>
      <c r="AC1388" s="7"/>
      <c r="AD1388" s="4"/>
      <c r="AE1388" s="4"/>
      <c r="AF1388" s="21"/>
    </row>
    <row r="1389" spans="24:32" x14ac:dyDescent="0.25">
      <c r="X1389" s="4"/>
      <c r="Y1389" s="4"/>
      <c r="Z1389" s="4"/>
      <c r="AA1389" s="4"/>
      <c r="AB1389" s="4"/>
      <c r="AC1389" s="7"/>
      <c r="AD1389" s="4"/>
      <c r="AE1389" s="4"/>
      <c r="AF1389" s="21"/>
    </row>
    <row r="1390" spans="24:32" x14ac:dyDescent="0.25">
      <c r="X1390" s="4"/>
      <c r="Y1390" s="4"/>
      <c r="Z1390" s="4"/>
      <c r="AA1390" s="4"/>
      <c r="AB1390" s="4"/>
      <c r="AC1390" s="7"/>
      <c r="AD1390" s="4"/>
      <c r="AE1390" s="4"/>
      <c r="AF1390" s="21"/>
    </row>
    <row r="1391" spans="24:32" x14ac:dyDescent="0.25">
      <c r="X1391" s="4"/>
      <c r="Y1391" s="4"/>
      <c r="Z1391" s="4"/>
      <c r="AA1391" s="4"/>
      <c r="AB1391" s="4"/>
      <c r="AC1391" s="7"/>
      <c r="AD1391" s="4"/>
      <c r="AE1391" s="4"/>
      <c r="AF1391" s="21"/>
    </row>
    <row r="1392" spans="24:32" x14ac:dyDescent="0.25">
      <c r="X1392" s="4"/>
      <c r="Y1392" s="4"/>
      <c r="Z1392" s="4"/>
      <c r="AA1392" s="4"/>
      <c r="AB1392" s="4"/>
      <c r="AC1392" s="7"/>
      <c r="AD1392" s="4"/>
      <c r="AE1392" s="4"/>
      <c r="AF1392" s="21"/>
    </row>
    <row r="1393" spans="24:32" x14ac:dyDescent="0.25">
      <c r="X1393" s="4"/>
      <c r="Y1393" s="4"/>
      <c r="Z1393" s="4"/>
      <c r="AA1393" s="4"/>
      <c r="AB1393" s="4"/>
      <c r="AC1393" s="7"/>
      <c r="AD1393" s="4"/>
      <c r="AE1393" s="4"/>
      <c r="AF1393" s="21"/>
    </row>
    <row r="1394" spans="24:32" x14ac:dyDescent="0.25">
      <c r="X1394" s="4"/>
      <c r="Y1394" s="4"/>
      <c r="Z1394" s="4"/>
      <c r="AA1394" s="4"/>
      <c r="AB1394" s="4"/>
      <c r="AC1394" s="7"/>
      <c r="AD1394" s="4"/>
      <c r="AE1394" s="4"/>
      <c r="AF1394" s="21"/>
    </row>
    <row r="1395" spans="24:32" x14ac:dyDescent="0.25">
      <c r="X1395" s="4"/>
      <c r="Y1395" s="4"/>
      <c r="Z1395" s="4"/>
      <c r="AA1395" s="4"/>
      <c r="AB1395" s="4"/>
      <c r="AC1395" s="7"/>
      <c r="AD1395" s="4"/>
      <c r="AE1395" s="4"/>
      <c r="AF1395" s="21"/>
    </row>
    <row r="1396" spans="24:32" x14ac:dyDescent="0.25">
      <c r="X1396" s="4"/>
      <c r="Y1396" s="4"/>
      <c r="Z1396" s="4"/>
      <c r="AA1396" s="4"/>
      <c r="AB1396" s="4"/>
      <c r="AC1396" s="7"/>
      <c r="AD1396" s="4"/>
      <c r="AE1396" s="4"/>
      <c r="AF1396" s="21"/>
    </row>
    <row r="1397" spans="24:32" x14ac:dyDescent="0.25">
      <c r="X1397" s="4"/>
      <c r="Y1397" s="4"/>
      <c r="Z1397" s="4"/>
      <c r="AA1397" s="4"/>
      <c r="AB1397" s="4"/>
      <c r="AC1397" s="7"/>
      <c r="AD1397" s="4"/>
      <c r="AE1397" s="4"/>
      <c r="AF1397" s="21"/>
    </row>
    <row r="1398" spans="24:32" x14ac:dyDescent="0.25">
      <c r="X1398" s="4"/>
      <c r="Y1398" s="4"/>
      <c r="Z1398" s="4"/>
      <c r="AA1398" s="4"/>
      <c r="AB1398" s="4"/>
      <c r="AC1398" s="7"/>
      <c r="AD1398" s="4"/>
      <c r="AE1398" s="4"/>
      <c r="AF1398" s="21"/>
    </row>
    <row r="1399" spans="24:32" x14ac:dyDescent="0.25">
      <c r="X1399" s="4"/>
      <c r="Y1399" s="4"/>
      <c r="Z1399" s="4"/>
      <c r="AA1399" s="4"/>
      <c r="AB1399" s="4"/>
      <c r="AC1399" s="7"/>
      <c r="AD1399" s="4"/>
      <c r="AE1399" s="4"/>
      <c r="AF1399" s="21"/>
    </row>
    <row r="1400" spans="24:32" x14ac:dyDescent="0.25">
      <c r="X1400" s="4"/>
      <c r="Y1400" s="4"/>
      <c r="Z1400" s="4"/>
      <c r="AA1400" s="4"/>
      <c r="AB1400" s="4"/>
      <c r="AC1400" s="7"/>
      <c r="AD1400" s="4"/>
      <c r="AE1400" s="4"/>
      <c r="AF1400" s="21"/>
    </row>
    <row r="1401" spans="24:32" x14ac:dyDescent="0.25">
      <c r="X1401" s="4"/>
      <c r="Y1401" s="4"/>
      <c r="Z1401" s="4"/>
      <c r="AA1401" s="4"/>
      <c r="AB1401" s="4"/>
      <c r="AC1401" s="7"/>
      <c r="AD1401" s="4"/>
      <c r="AE1401" s="4"/>
      <c r="AF1401" s="21"/>
    </row>
    <row r="1402" spans="24:32" x14ac:dyDescent="0.25">
      <c r="X1402" s="4"/>
      <c r="Y1402" s="4"/>
      <c r="Z1402" s="4"/>
      <c r="AA1402" s="4"/>
      <c r="AB1402" s="4"/>
      <c r="AC1402" s="7"/>
      <c r="AD1402" s="4"/>
      <c r="AE1402" s="4"/>
      <c r="AF1402" s="21"/>
    </row>
    <row r="1403" spans="24:32" x14ac:dyDescent="0.25">
      <c r="X1403" s="4"/>
      <c r="Y1403" s="4"/>
      <c r="Z1403" s="4"/>
      <c r="AA1403" s="4"/>
      <c r="AB1403" s="4"/>
      <c r="AC1403" s="7"/>
      <c r="AD1403" s="4"/>
      <c r="AE1403" s="4"/>
      <c r="AF1403" s="21"/>
    </row>
    <row r="1404" spans="24:32" x14ac:dyDescent="0.25">
      <c r="X1404" s="4"/>
      <c r="Y1404" s="4"/>
      <c r="Z1404" s="4"/>
      <c r="AA1404" s="4"/>
      <c r="AB1404" s="4"/>
      <c r="AC1404" s="7"/>
      <c r="AD1404" s="4"/>
      <c r="AE1404" s="4"/>
      <c r="AF1404" s="21"/>
    </row>
    <row r="1405" spans="24:32" x14ac:dyDescent="0.25">
      <c r="X1405" s="4"/>
      <c r="Y1405" s="4"/>
      <c r="Z1405" s="4"/>
      <c r="AA1405" s="4"/>
      <c r="AB1405" s="4"/>
      <c r="AC1405" s="7"/>
      <c r="AD1405" s="4"/>
      <c r="AE1405" s="4"/>
      <c r="AF1405" s="21"/>
    </row>
    <row r="1406" spans="24:32" x14ac:dyDescent="0.25">
      <c r="X1406" s="4"/>
      <c r="Y1406" s="4"/>
      <c r="Z1406" s="4"/>
      <c r="AA1406" s="4"/>
      <c r="AB1406" s="4"/>
      <c r="AC1406" s="7"/>
      <c r="AD1406" s="4"/>
      <c r="AE1406" s="4"/>
      <c r="AF1406" s="21"/>
    </row>
    <row r="1407" spans="24:32" x14ac:dyDescent="0.25">
      <c r="X1407" s="4"/>
      <c r="Y1407" s="4"/>
      <c r="Z1407" s="4"/>
      <c r="AA1407" s="4"/>
      <c r="AB1407" s="4"/>
      <c r="AC1407" s="7"/>
      <c r="AD1407" s="4"/>
      <c r="AE1407" s="4"/>
      <c r="AF1407" s="21"/>
    </row>
    <row r="1408" spans="24:32" x14ac:dyDescent="0.25">
      <c r="X1408" s="4"/>
      <c r="Y1408" s="4"/>
      <c r="Z1408" s="4"/>
      <c r="AA1408" s="4"/>
      <c r="AB1408" s="4"/>
      <c r="AC1408" s="7"/>
      <c r="AD1408" s="4"/>
      <c r="AE1408" s="4"/>
      <c r="AF1408" s="21"/>
    </row>
    <row r="1409" spans="24:32" x14ac:dyDescent="0.25">
      <c r="X1409" s="4"/>
      <c r="Y1409" s="4"/>
      <c r="Z1409" s="4"/>
      <c r="AA1409" s="4"/>
      <c r="AB1409" s="4"/>
      <c r="AC1409" s="7"/>
      <c r="AD1409" s="4"/>
      <c r="AE1409" s="4"/>
      <c r="AF1409" s="21"/>
    </row>
    <row r="1410" spans="24:32" x14ac:dyDescent="0.25">
      <c r="X1410" s="4"/>
      <c r="Y1410" s="4"/>
      <c r="Z1410" s="4"/>
      <c r="AA1410" s="4"/>
      <c r="AB1410" s="4"/>
      <c r="AC1410" s="7"/>
      <c r="AD1410" s="4"/>
      <c r="AE1410" s="4"/>
      <c r="AF1410" s="21"/>
    </row>
    <row r="1411" spans="24:32" x14ac:dyDescent="0.25">
      <c r="X1411" s="4"/>
      <c r="Y1411" s="4"/>
      <c r="Z1411" s="4"/>
      <c r="AA1411" s="4"/>
      <c r="AB1411" s="4"/>
      <c r="AC1411" s="7"/>
      <c r="AD1411" s="4"/>
      <c r="AE1411" s="4"/>
      <c r="AF1411" s="21"/>
    </row>
    <row r="1412" spans="24:32" x14ac:dyDescent="0.25">
      <c r="X1412" s="4"/>
      <c r="Y1412" s="4"/>
      <c r="Z1412" s="4"/>
      <c r="AA1412" s="4"/>
      <c r="AB1412" s="4"/>
      <c r="AC1412" s="7"/>
      <c r="AD1412" s="4"/>
      <c r="AE1412" s="4"/>
      <c r="AF1412" s="21"/>
    </row>
    <row r="1413" spans="24:32" x14ac:dyDescent="0.25">
      <c r="X1413" s="4"/>
      <c r="Y1413" s="4"/>
      <c r="Z1413" s="4"/>
      <c r="AA1413" s="4"/>
      <c r="AB1413" s="4"/>
      <c r="AC1413" s="7"/>
      <c r="AD1413" s="4"/>
      <c r="AE1413" s="4"/>
      <c r="AF1413" s="21"/>
    </row>
    <row r="1414" spans="24:32" x14ac:dyDescent="0.25">
      <c r="X1414" s="4"/>
      <c r="Y1414" s="4"/>
      <c r="Z1414" s="4"/>
      <c r="AA1414" s="4"/>
      <c r="AB1414" s="4"/>
      <c r="AC1414" s="7"/>
      <c r="AD1414" s="4"/>
      <c r="AE1414" s="4"/>
      <c r="AF1414" s="21"/>
    </row>
    <row r="1415" spans="24:32" x14ac:dyDescent="0.25">
      <c r="X1415" s="4"/>
      <c r="Y1415" s="4"/>
      <c r="Z1415" s="4"/>
      <c r="AA1415" s="4"/>
      <c r="AB1415" s="4"/>
      <c r="AC1415" s="7"/>
      <c r="AD1415" s="4"/>
      <c r="AE1415" s="4"/>
      <c r="AF1415" s="21"/>
    </row>
    <row r="1416" spans="24:32" x14ac:dyDescent="0.25">
      <c r="X1416" s="4"/>
      <c r="Y1416" s="4"/>
      <c r="Z1416" s="4"/>
      <c r="AA1416" s="4"/>
      <c r="AB1416" s="4"/>
      <c r="AC1416" s="7"/>
      <c r="AD1416" s="4"/>
      <c r="AE1416" s="4"/>
      <c r="AF1416" s="21"/>
    </row>
    <row r="1417" spans="24:32" x14ac:dyDescent="0.25">
      <c r="X1417" s="4"/>
      <c r="Y1417" s="4"/>
      <c r="Z1417" s="4"/>
      <c r="AA1417" s="4"/>
      <c r="AB1417" s="4"/>
      <c r="AC1417" s="7"/>
      <c r="AD1417" s="4"/>
      <c r="AE1417" s="4"/>
      <c r="AF1417" s="21"/>
    </row>
    <row r="1418" spans="24:32" x14ac:dyDescent="0.25">
      <c r="X1418" s="4"/>
      <c r="Y1418" s="4"/>
      <c r="Z1418" s="4"/>
      <c r="AA1418" s="4"/>
      <c r="AB1418" s="4"/>
      <c r="AC1418" s="7"/>
      <c r="AD1418" s="4"/>
      <c r="AE1418" s="4"/>
      <c r="AF1418" s="21"/>
    </row>
    <row r="1419" spans="24:32" x14ac:dyDescent="0.25">
      <c r="X1419" s="4"/>
      <c r="Y1419" s="4"/>
      <c r="Z1419" s="4"/>
      <c r="AA1419" s="4"/>
      <c r="AB1419" s="4"/>
      <c r="AC1419" s="7"/>
      <c r="AD1419" s="4"/>
      <c r="AE1419" s="4"/>
      <c r="AF1419" s="21"/>
    </row>
    <row r="1420" spans="24:32" x14ac:dyDescent="0.25">
      <c r="X1420" s="4"/>
      <c r="Y1420" s="4"/>
      <c r="Z1420" s="4"/>
      <c r="AA1420" s="4"/>
      <c r="AB1420" s="4"/>
      <c r="AC1420" s="7"/>
      <c r="AD1420" s="4"/>
      <c r="AE1420" s="4"/>
      <c r="AF1420" s="21"/>
    </row>
    <row r="1421" spans="24:32" x14ac:dyDescent="0.25">
      <c r="X1421" s="4"/>
      <c r="Y1421" s="4"/>
      <c r="Z1421" s="4"/>
      <c r="AA1421" s="4"/>
      <c r="AB1421" s="4"/>
      <c r="AC1421" s="7"/>
      <c r="AD1421" s="4"/>
      <c r="AE1421" s="4"/>
      <c r="AF1421" s="21"/>
    </row>
    <row r="1422" spans="24:32" x14ac:dyDescent="0.25">
      <c r="X1422" s="4"/>
      <c r="Y1422" s="4"/>
      <c r="Z1422" s="4"/>
      <c r="AA1422" s="4"/>
      <c r="AB1422" s="4"/>
      <c r="AC1422" s="7"/>
      <c r="AD1422" s="4"/>
      <c r="AE1422" s="4"/>
      <c r="AF1422" s="21"/>
    </row>
    <row r="1423" spans="24:32" x14ac:dyDescent="0.25">
      <c r="X1423" s="4"/>
      <c r="Y1423" s="4"/>
      <c r="Z1423" s="4"/>
      <c r="AA1423" s="4"/>
      <c r="AB1423" s="4"/>
      <c r="AC1423" s="7"/>
      <c r="AD1423" s="4"/>
      <c r="AE1423" s="4"/>
      <c r="AF1423" s="21"/>
    </row>
    <row r="1424" spans="24:32" x14ac:dyDescent="0.25">
      <c r="X1424" s="4"/>
      <c r="Y1424" s="4"/>
      <c r="Z1424" s="4"/>
      <c r="AA1424" s="4"/>
      <c r="AB1424" s="4"/>
      <c r="AC1424" s="7"/>
      <c r="AD1424" s="4"/>
      <c r="AE1424" s="4"/>
      <c r="AF1424" s="21"/>
    </row>
    <row r="1425" spans="24:32" x14ac:dyDescent="0.25">
      <c r="X1425" s="4"/>
      <c r="Y1425" s="4"/>
      <c r="Z1425" s="4"/>
      <c r="AA1425" s="4"/>
      <c r="AB1425" s="4"/>
      <c r="AC1425" s="7"/>
      <c r="AD1425" s="4"/>
      <c r="AE1425" s="4"/>
      <c r="AF1425" s="21"/>
    </row>
    <row r="1426" spans="24:32" x14ac:dyDescent="0.25">
      <c r="X1426" s="4"/>
      <c r="Y1426" s="4"/>
      <c r="Z1426" s="4"/>
      <c r="AA1426" s="4"/>
      <c r="AB1426" s="4"/>
      <c r="AC1426" s="7"/>
      <c r="AD1426" s="4"/>
      <c r="AE1426" s="4"/>
      <c r="AF1426" s="21"/>
    </row>
    <row r="1427" spans="24:32" x14ac:dyDescent="0.25">
      <c r="X1427" s="4"/>
      <c r="Y1427" s="4"/>
      <c r="Z1427" s="4"/>
      <c r="AA1427" s="4"/>
      <c r="AB1427" s="4"/>
      <c r="AC1427" s="7"/>
      <c r="AD1427" s="4"/>
      <c r="AE1427" s="4"/>
      <c r="AF1427" s="21"/>
    </row>
    <row r="1428" spans="24:32" x14ac:dyDescent="0.25">
      <c r="X1428" s="4"/>
      <c r="Y1428" s="4"/>
      <c r="Z1428" s="4"/>
      <c r="AA1428" s="4"/>
      <c r="AB1428" s="4"/>
      <c r="AC1428" s="7"/>
      <c r="AD1428" s="4"/>
      <c r="AE1428" s="4"/>
      <c r="AF1428" s="21"/>
    </row>
    <row r="1429" spans="24:32" x14ac:dyDescent="0.25">
      <c r="X1429" s="4"/>
      <c r="Y1429" s="4"/>
      <c r="Z1429" s="4"/>
      <c r="AA1429" s="4"/>
      <c r="AB1429" s="4"/>
      <c r="AC1429" s="7"/>
      <c r="AD1429" s="4"/>
      <c r="AE1429" s="4"/>
      <c r="AF1429" s="21"/>
    </row>
    <row r="1430" spans="24:32" x14ac:dyDescent="0.25">
      <c r="X1430" s="4"/>
      <c r="Y1430" s="4"/>
      <c r="Z1430" s="4"/>
      <c r="AA1430" s="4"/>
      <c r="AB1430" s="4"/>
      <c r="AC1430" s="7"/>
      <c r="AD1430" s="4"/>
      <c r="AE1430" s="4"/>
      <c r="AF1430" s="21"/>
    </row>
    <row r="1431" spans="24:32" x14ac:dyDescent="0.25">
      <c r="X1431" s="4"/>
      <c r="Y1431" s="4"/>
      <c r="Z1431" s="4"/>
      <c r="AA1431" s="4"/>
      <c r="AB1431" s="4"/>
      <c r="AC1431" s="7"/>
      <c r="AD1431" s="4"/>
      <c r="AE1431" s="4"/>
      <c r="AF1431" s="21"/>
    </row>
    <row r="1432" spans="24:32" x14ac:dyDescent="0.25">
      <c r="X1432" s="4"/>
      <c r="Y1432" s="4"/>
      <c r="Z1432" s="4"/>
      <c r="AA1432" s="4"/>
      <c r="AB1432" s="4"/>
      <c r="AC1432" s="7"/>
      <c r="AD1432" s="4"/>
      <c r="AE1432" s="4"/>
      <c r="AF1432" s="21"/>
    </row>
    <row r="1433" spans="24:32" x14ac:dyDescent="0.25">
      <c r="X1433" s="4"/>
      <c r="Y1433" s="4"/>
      <c r="Z1433" s="4"/>
      <c r="AA1433" s="4"/>
      <c r="AB1433" s="4"/>
      <c r="AC1433" s="7"/>
      <c r="AD1433" s="4"/>
      <c r="AE1433" s="4"/>
      <c r="AF1433" s="21"/>
    </row>
    <row r="1434" spans="24:32" x14ac:dyDescent="0.25">
      <c r="X1434" s="4"/>
      <c r="Y1434" s="4"/>
      <c r="Z1434" s="4"/>
      <c r="AA1434" s="4"/>
      <c r="AB1434" s="4"/>
      <c r="AC1434" s="7"/>
      <c r="AD1434" s="4"/>
      <c r="AE1434" s="4"/>
      <c r="AF1434" s="21"/>
    </row>
    <row r="1435" spans="24:32" x14ac:dyDescent="0.25">
      <c r="X1435" s="4"/>
      <c r="Y1435" s="4"/>
      <c r="Z1435" s="4"/>
      <c r="AA1435" s="4"/>
      <c r="AB1435" s="4"/>
      <c r="AC1435" s="7"/>
      <c r="AD1435" s="4"/>
      <c r="AE1435" s="4"/>
      <c r="AF1435" s="21"/>
    </row>
    <row r="1436" spans="24:32" x14ac:dyDescent="0.25">
      <c r="X1436" s="4"/>
      <c r="Y1436" s="4"/>
      <c r="Z1436" s="4"/>
      <c r="AA1436" s="4"/>
      <c r="AB1436" s="4"/>
      <c r="AC1436" s="7"/>
      <c r="AD1436" s="4"/>
      <c r="AE1436" s="4"/>
      <c r="AF1436" s="21"/>
    </row>
    <row r="1437" spans="24:32" x14ac:dyDescent="0.25">
      <c r="X1437" s="4"/>
      <c r="Y1437" s="4"/>
      <c r="Z1437" s="4"/>
      <c r="AA1437" s="4"/>
      <c r="AB1437" s="4"/>
      <c r="AC1437" s="7"/>
      <c r="AD1437" s="4"/>
      <c r="AE1437" s="4"/>
      <c r="AF1437" s="21"/>
    </row>
    <row r="1438" spans="24:32" x14ac:dyDescent="0.25">
      <c r="X1438" s="4"/>
      <c r="Y1438" s="4"/>
      <c r="Z1438" s="4"/>
      <c r="AA1438" s="4"/>
      <c r="AB1438" s="4"/>
      <c r="AC1438" s="7"/>
      <c r="AD1438" s="4"/>
      <c r="AE1438" s="4"/>
      <c r="AF1438" s="21"/>
    </row>
    <row r="1439" spans="24:32" x14ac:dyDescent="0.25">
      <c r="X1439" s="4"/>
      <c r="Y1439" s="4"/>
      <c r="Z1439" s="4"/>
      <c r="AA1439" s="4"/>
      <c r="AB1439" s="4"/>
      <c r="AC1439" s="7"/>
      <c r="AD1439" s="4"/>
      <c r="AE1439" s="4"/>
      <c r="AF1439" s="21"/>
    </row>
    <row r="1440" spans="24:32" x14ac:dyDescent="0.25">
      <c r="X1440" s="4"/>
      <c r="Y1440" s="4"/>
      <c r="Z1440" s="4"/>
      <c r="AA1440" s="4"/>
      <c r="AB1440" s="4"/>
      <c r="AC1440" s="7"/>
      <c r="AD1440" s="4"/>
      <c r="AE1440" s="4"/>
      <c r="AF1440" s="21"/>
    </row>
    <row r="1441" spans="24:32" x14ac:dyDescent="0.25">
      <c r="X1441" s="4"/>
      <c r="Y1441" s="4"/>
      <c r="Z1441" s="4"/>
      <c r="AA1441" s="4"/>
      <c r="AB1441" s="4"/>
      <c r="AC1441" s="7"/>
      <c r="AD1441" s="4"/>
      <c r="AE1441" s="4"/>
      <c r="AF1441" s="21"/>
    </row>
    <row r="1442" spans="24:32" x14ac:dyDescent="0.25">
      <c r="X1442" s="4"/>
      <c r="Y1442" s="4"/>
      <c r="Z1442" s="4"/>
      <c r="AA1442" s="4"/>
      <c r="AB1442" s="4"/>
      <c r="AC1442" s="7"/>
      <c r="AD1442" s="4"/>
      <c r="AE1442" s="4"/>
      <c r="AF1442" s="21"/>
    </row>
    <row r="1443" spans="24:32" x14ac:dyDescent="0.25">
      <c r="X1443" s="4"/>
      <c r="Y1443" s="4"/>
      <c r="Z1443" s="4"/>
      <c r="AA1443" s="4"/>
      <c r="AB1443" s="4"/>
      <c r="AC1443" s="7"/>
      <c r="AD1443" s="4"/>
      <c r="AE1443" s="4"/>
      <c r="AF1443" s="21"/>
    </row>
    <row r="1444" spans="24:32" x14ac:dyDescent="0.25">
      <c r="X1444" s="4"/>
      <c r="Y1444" s="4"/>
      <c r="Z1444" s="4"/>
      <c r="AA1444" s="4"/>
      <c r="AB1444" s="4"/>
      <c r="AC1444" s="7"/>
      <c r="AD1444" s="4"/>
      <c r="AE1444" s="4"/>
      <c r="AF1444" s="21"/>
    </row>
    <row r="1445" spans="24:32" x14ac:dyDescent="0.25">
      <c r="X1445" s="4"/>
      <c r="Y1445" s="4"/>
      <c r="Z1445" s="4"/>
      <c r="AA1445" s="4"/>
      <c r="AB1445" s="4"/>
      <c r="AC1445" s="7"/>
      <c r="AD1445" s="4"/>
      <c r="AE1445" s="4"/>
      <c r="AF1445" s="21"/>
    </row>
    <row r="1446" spans="24:32" x14ac:dyDescent="0.25">
      <c r="X1446" s="4"/>
      <c r="Y1446" s="4"/>
      <c r="Z1446" s="4"/>
      <c r="AA1446" s="4"/>
      <c r="AB1446" s="4"/>
      <c r="AC1446" s="7"/>
      <c r="AD1446" s="4"/>
      <c r="AE1446" s="4"/>
      <c r="AF1446" s="21"/>
    </row>
    <row r="1447" spans="24:32" x14ac:dyDescent="0.25">
      <c r="X1447" s="4"/>
      <c r="Y1447" s="4"/>
      <c r="Z1447" s="4"/>
      <c r="AA1447" s="4"/>
      <c r="AB1447" s="4"/>
      <c r="AC1447" s="7"/>
      <c r="AD1447" s="4"/>
      <c r="AE1447" s="4"/>
      <c r="AF1447" s="21"/>
    </row>
    <row r="1448" spans="24:32" x14ac:dyDescent="0.25">
      <c r="X1448" s="4"/>
      <c r="Y1448" s="4"/>
      <c r="Z1448" s="4"/>
      <c r="AA1448" s="4"/>
      <c r="AB1448" s="4"/>
      <c r="AC1448" s="7"/>
      <c r="AD1448" s="4"/>
      <c r="AE1448" s="4"/>
      <c r="AF1448" s="21"/>
    </row>
    <row r="1449" spans="24:32" x14ac:dyDescent="0.25">
      <c r="X1449" s="4"/>
      <c r="Y1449" s="4"/>
      <c r="Z1449" s="4"/>
      <c r="AA1449" s="4"/>
      <c r="AB1449" s="4"/>
      <c r="AC1449" s="7"/>
      <c r="AD1449" s="4"/>
      <c r="AE1449" s="4"/>
      <c r="AF1449" s="21"/>
    </row>
    <row r="1450" spans="24:32" x14ac:dyDescent="0.25">
      <c r="X1450" s="4"/>
      <c r="Y1450" s="4"/>
      <c r="Z1450" s="4"/>
      <c r="AA1450" s="4"/>
      <c r="AB1450" s="4"/>
      <c r="AC1450" s="7"/>
      <c r="AD1450" s="4"/>
      <c r="AE1450" s="4"/>
      <c r="AF1450" s="21"/>
    </row>
    <row r="1451" spans="24:32" x14ac:dyDescent="0.25">
      <c r="X1451" s="4"/>
      <c r="Y1451" s="4"/>
      <c r="Z1451" s="4"/>
      <c r="AA1451" s="4"/>
      <c r="AB1451" s="4"/>
      <c r="AC1451" s="7"/>
      <c r="AD1451" s="4"/>
      <c r="AE1451" s="4"/>
      <c r="AF1451" s="21"/>
    </row>
    <row r="1452" spans="24:32" x14ac:dyDescent="0.25">
      <c r="X1452" s="4"/>
      <c r="Y1452" s="4"/>
      <c r="Z1452" s="4"/>
      <c r="AA1452" s="4"/>
      <c r="AB1452" s="4"/>
      <c r="AC1452" s="7"/>
      <c r="AD1452" s="4"/>
      <c r="AE1452" s="4"/>
      <c r="AF1452" s="21"/>
    </row>
    <row r="1453" spans="24:32" x14ac:dyDescent="0.25">
      <c r="X1453" s="4"/>
      <c r="Y1453" s="4"/>
      <c r="Z1453" s="4"/>
      <c r="AA1453" s="4"/>
      <c r="AB1453" s="4"/>
      <c r="AC1453" s="7"/>
      <c r="AD1453" s="4"/>
      <c r="AE1453" s="4"/>
      <c r="AF1453" s="21"/>
    </row>
    <row r="1454" spans="24:32" x14ac:dyDescent="0.25">
      <c r="X1454" s="4"/>
      <c r="Y1454" s="4"/>
      <c r="Z1454" s="4"/>
      <c r="AA1454" s="4"/>
      <c r="AB1454" s="4"/>
      <c r="AC1454" s="7"/>
      <c r="AD1454" s="4"/>
      <c r="AE1454" s="4"/>
      <c r="AF1454" s="21"/>
    </row>
    <row r="1455" spans="24:32" x14ac:dyDescent="0.25">
      <c r="X1455" s="4"/>
      <c r="Y1455" s="4"/>
      <c r="Z1455" s="4"/>
      <c r="AA1455" s="4"/>
      <c r="AB1455" s="4"/>
      <c r="AC1455" s="7"/>
      <c r="AD1455" s="4"/>
      <c r="AE1455" s="4"/>
      <c r="AF1455" s="21"/>
    </row>
    <row r="1456" spans="24:32" x14ac:dyDescent="0.25">
      <c r="X1456" s="4"/>
      <c r="Y1456" s="4"/>
      <c r="Z1456" s="4"/>
      <c r="AA1456" s="4"/>
      <c r="AB1456" s="4"/>
      <c r="AC1456" s="7"/>
      <c r="AD1456" s="4"/>
      <c r="AE1456" s="4"/>
      <c r="AF1456" s="21"/>
    </row>
    <row r="1457" spans="24:32" x14ac:dyDescent="0.25">
      <c r="X1457" s="4"/>
      <c r="Y1457" s="4"/>
      <c r="Z1457" s="4"/>
      <c r="AA1457" s="4"/>
      <c r="AB1457" s="4"/>
      <c r="AC1457" s="7"/>
      <c r="AD1457" s="4"/>
      <c r="AE1457" s="4"/>
      <c r="AF1457" s="21"/>
    </row>
    <row r="1458" spans="24:32" x14ac:dyDescent="0.25">
      <c r="X1458" s="4"/>
      <c r="Y1458" s="4"/>
      <c r="Z1458" s="4"/>
      <c r="AA1458" s="4"/>
      <c r="AB1458" s="4"/>
      <c r="AC1458" s="7"/>
      <c r="AD1458" s="4"/>
      <c r="AE1458" s="4"/>
      <c r="AF1458" s="21"/>
    </row>
    <row r="1459" spans="24:32" x14ac:dyDescent="0.25">
      <c r="X1459" s="4"/>
      <c r="Y1459" s="4"/>
      <c r="Z1459" s="4"/>
      <c r="AA1459" s="4"/>
      <c r="AB1459" s="4"/>
      <c r="AC1459" s="7"/>
      <c r="AD1459" s="4"/>
      <c r="AE1459" s="4"/>
      <c r="AF1459" s="21"/>
    </row>
    <row r="1460" spans="24:32" x14ac:dyDescent="0.25">
      <c r="X1460" s="4"/>
      <c r="Y1460" s="4"/>
      <c r="Z1460" s="4"/>
      <c r="AA1460" s="4"/>
      <c r="AB1460" s="4"/>
      <c r="AC1460" s="7"/>
      <c r="AD1460" s="4"/>
      <c r="AE1460" s="4"/>
      <c r="AF1460" s="21"/>
    </row>
    <row r="1461" spans="24:32" x14ac:dyDescent="0.25">
      <c r="X1461" s="4"/>
      <c r="Y1461" s="4"/>
      <c r="Z1461" s="4"/>
      <c r="AA1461" s="4"/>
      <c r="AB1461" s="4"/>
      <c r="AC1461" s="7"/>
      <c r="AD1461" s="4"/>
      <c r="AE1461" s="4"/>
      <c r="AF1461" s="21"/>
    </row>
    <row r="1462" spans="24:32" x14ac:dyDescent="0.25">
      <c r="X1462" s="4"/>
      <c r="Y1462" s="4"/>
      <c r="Z1462" s="4"/>
      <c r="AA1462" s="4"/>
      <c r="AB1462" s="4"/>
      <c r="AC1462" s="7"/>
      <c r="AD1462" s="4"/>
      <c r="AE1462" s="4"/>
      <c r="AF1462" s="21"/>
    </row>
    <row r="1463" spans="24:32" x14ac:dyDescent="0.25">
      <c r="X1463" s="4"/>
      <c r="Y1463" s="4"/>
      <c r="Z1463" s="4"/>
      <c r="AA1463" s="4"/>
      <c r="AB1463" s="4"/>
      <c r="AC1463" s="7"/>
      <c r="AD1463" s="4"/>
      <c r="AE1463" s="4"/>
      <c r="AF1463" s="21"/>
    </row>
    <row r="1464" spans="24:32" x14ac:dyDescent="0.25">
      <c r="X1464" s="4"/>
      <c r="Y1464" s="4"/>
      <c r="Z1464" s="4"/>
      <c r="AA1464" s="4"/>
      <c r="AB1464" s="4"/>
      <c r="AC1464" s="7"/>
      <c r="AD1464" s="4"/>
      <c r="AE1464" s="4"/>
      <c r="AF1464" s="21"/>
    </row>
    <row r="1465" spans="24:32" x14ac:dyDescent="0.25">
      <c r="X1465" s="4"/>
      <c r="Y1465" s="4"/>
      <c r="Z1465" s="4"/>
      <c r="AA1465" s="4"/>
      <c r="AB1465" s="4"/>
      <c r="AC1465" s="7"/>
      <c r="AD1465" s="4"/>
      <c r="AE1465" s="4"/>
      <c r="AF1465" s="21"/>
    </row>
    <row r="1466" spans="24:32" x14ac:dyDescent="0.25">
      <c r="X1466" s="4"/>
      <c r="Y1466" s="4"/>
      <c r="Z1466" s="4"/>
      <c r="AA1466" s="4"/>
      <c r="AB1466" s="4"/>
      <c r="AC1466" s="7"/>
      <c r="AD1466" s="4"/>
      <c r="AE1466" s="4"/>
      <c r="AF1466" s="21"/>
    </row>
    <row r="1467" spans="24:32" x14ac:dyDescent="0.25">
      <c r="X1467" s="4"/>
      <c r="Y1467" s="4"/>
      <c r="Z1467" s="4"/>
      <c r="AA1467" s="4"/>
      <c r="AB1467" s="4"/>
      <c r="AC1467" s="7"/>
      <c r="AD1467" s="4"/>
      <c r="AE1467" s="4"/>
      <c r="AF1467" s="21"/>
    </row>
    <row r="1468" spans="24:32" x14ac:dyDescent="0.25">
      <c r="X1468" s="4"/>
      <c r="Y1468" s="4"/>
      <c r="Z1468" s="4"/>
      <c r="AA1468" s="4"/>
      <c r="AB1468" s="4"/>
      <c r="AC1468" s="7"/>
      <c r="AD1468" s="4"/>
      <c r="AE1468" s="4"/>
      <c r="AF1468" s="21"/>
    </row>
    <row r="1469" spans="24:32" x14ac:dyDescent="0.25">
      <c r="X1469" s="4"/>
      <c r="Y1469" s="4"/>
      <c r="Z1469" s="4"/>
      <c r="AA1469" s="4"/>
      <c r="AB1469" s="4"/>
      <c r="AC1469" s="7"/>
      <c r="AD1469" s="4"/>
      <c r="AE1469" s="4"/>
      <c r="AF1469" s="21"/>
    </row>
    <row r="1470" spans="24:32" x14ac:dyDescent="0.25">
      <c r="X1470" s="4"/>
      <c r="Y1470" s="4"/>
      <c r="Z1470" s="4"/>
      <c r="AA1470" s="4"/>
      <c r="AB1470" s="4"/>
      <c r="AC1470" s="7"/>
      <c r="AD1470" s="4"/>
      <c r="AE1470" s="4"/>
      <c r="AF1470" s="21"/>
    </row>
    <row r="1471" spans="24:32" x14ac:dyDescent="0.25">
      <c r="X1471" s="4"/>
      <c r="Y1471" s="4"/>
      <c r="Z1471" s="4"/>
      <c r="AA1471" s="4"/>
      <c r="AB1471" s="4"/>
      <c r="AC1471" s="7"/>
      <c r="AD1471" s="4"/>
      <c r="AE1471" s="4"/>
      <c r="AF1471" s="21"/>
    </row>
    <row r="1472" spans="24:32" x14ac:dyDescent="0.25">
      <c r="X1472" s="4"/>
      <c r="Y1472" s="4"/>
      <c r="Z1472" s="4"/>
      <c r="AA1472" s="4"/>
      <c r="AB1472" s="4"/>
      <c r="AC1472" s="7"/>
      <c r="AD1472" s="4"/>
      <c r="AE1472" s="4"/>
      <c r="AF1472" s="21"/>
    </row>
    <row r="1473" spans="24:32" x14ac:dyDescent="0.25">
      <c r="X1473" s="4"/>
      <c r="Y1473" s="4"/>
      <c r="Z1473" s="4"/>
      <c r="AA1473" s="4"/>
      <c r="AB1473" s="4"/>
      <c r="AC1473" s="7"/>
      <c r="AD1473" s="4"/>
      <c r="AE1473" s="4"/>
      <c r="AF1473" s="21"/>
    </row>
    <row r="1474" spans="24:32" x14ac:dyDescent="0.25">
      <c r="X1474" s="4"/>
      <c r="Y1474" s="4"/>
      <c r="Z1474" s="4"/>
      <c r="AA1474" s="4"/>
      <c r="AB1474" s="4"/>
      <c r="AC1474" s="7"/>
      <c r="AD1474" s="4"/>
      <c r="AE1474" s="4"/>
      <c r="AF1474" s="21"/>
    </row>
    <row r="1475" spans="24:32" x14ac:dyDescent="0.25">
      <c r="X1475" s="4"/>
      <c r="Y1475" s="4"/>
      <c r="Z1475" s="4"/>
      <c r="AA1475" s="4"/>
      <c r="AB1475" s="4"/>
      <c r="AC1475" s="7"/>
      <c r="AD1475" s="4"/>
      <c r="AE1475" s="4"/>
      <c r="AF1475" s="21"/>
    </row>
    <row r="1476" spans="24:32" x14ac:dyDescent="0.25">
      <c r="X1476" s="4"/>
      <c r="Y1476" s="4"/>
      <c r="Z1476" s="4"/>
      <c r="AA1476" s="4"/>
      <c r="AB1476" s="4"/>
      <c r="AC1476" s="7"/>
      <c r="AD1476" s="4"/>
      <c r="AE1476" s="4"/>
      <c r="AF1476" s="21"/>
    </row>
    <row r="1477" spans="24:32" x14ac:dyDescent="0.25">
      <c r="X1477" s="4"/>
      <c r="Y1477" s="4"/>
      <c r="Z1477" s="4"/>
      <c r="AA1477" s="4"/>
      <c r="AB1477" s="4"/>
      <c r="AC1477" s="7"/>
      <c r="AD1477" s="4"/>
      <c r="AE1477" s="4"/>
      <c r="AF1477" s="21"/>
    </row>
    <row r="1478" spans="24:32" x14ac:dyDescent="0.25">
      <c r="X1478" s="4"/>
      <c r="Y1478" s="4"/>
      <c r="Z1478" s="4"/>
      <c r="AA1478" s="4"/>
      <c r="AB1478" s="4"/>
      <c r="AC1478" s="7"/>
      <c r="AD1478" s="4"/>
      <c r="AE1478" s="4"/>
      <c r="AF1478" s="21"/>
    </row>
    <row r="1479" spans="24:32" x14ac:dyDescent="0.25">
      <c r="X1479" s="4"/>
      <c r="Y1479" s="4"/>
      <c r="Z1479" s="4"/>
      <c r="AA1479" s="4"/>
      <c r="AB1479" s="4"/>
      <c r="AC1479" s="7"/>
      <c r="AD1479" s="4"/>
      <c r="AE1479" s="4"/>
      <c r="AF1479" s="21"/>
    </row>
    <row r="1480" spans="24:32" x14ac:dyDescent="0.25">
      <c r="X1480" s="4"/>
      <c r="Y1480" s="4"/>
      <c r="Z1480" s="4"/>
      <c r="AA1480" s="4"/>
      <c r="AB1480" s="4"/>
      <c r="AC1480" s="7"/>
      <c r="AD1480" s="4"/>
      <c r="AE1480" s="4"/>
      <c r="AF1480" s="21"/>
    </row>
    <row r="1481" spans="24:32" x14ac:dyDescent="0.25">
      <c r="X1481" s="4"/>
      <c r="Y1481" s="4"/>
      <c r="Z1481" s="4"/>
      <c r="AA1481" s="4"/>
      <c r="AB1481" s="4"/>
      <c r="AC1481" s="7"/>
      <c r="AD1481" s="4"/>
      <c r="AE1481" s="4"/>
      <c r="AF1481" s="21"/>
    </row>
    <row r="1482" spans="24:32" x14ac:dyDescent="0.25">
      <c r="X1482" s="4"/>
      <c r="Y1482" s="4"/>
      <c r="Z1482" s="4"/>
      <c r="AA1482" s="4"/>
      <c r="AB1482" s="4"/>
      <c r="AC1482" s="7"/>
      <c r="AD1482" s="4"/>
      <c r="AE1482" s="4"/>
      <c r="AF1482" s="21"/>
    </row>
    <row r="1483" spans="24:32" x14ac:dyDescent="0.25">
      <c r="X1483" s="4"/>
      <c r="Y1483" s="4"/>
      <c r="Z1483" s="4"/>
      <c r="AA1483" s="4"/>
      <c r="AB1483" s="4"/>
      <c r="AC1483" s="7"/>
      <c r="AD1483" s="4"/>
      <c r="AE1483" s="4"/>
      <c r="AF1483" s="21"/>
    </row>
    <row r="1484" spans="24:32" x14ac:dyDescent="0.25">
      <c r="X1484" s="4"/>
      <c r="Y1484" s="4"/>
      <c r="Z1484" s="4"/>
      <c r="AA1484" s="4"/>
      <c r="AB1484" s="4"/>
      <c r="AC1484" s="7"/>
      <c r="AD1484" s="4"/>
      <c r="AE1484" s="4"/>
      <c r="AF1484" s="21"/>
    </row>
    <row r="1485" spans="24:32" x14ac:dyDescent="0.25">
      <c r="X1485" s="4"/>
      <c r="Y1485" s="4"/>
      <c r="Z1485" s="4"/>
      <c r="AA1485" s="4"/>
      <c r="AB1485" s="4"/>
      <c r="AC1485" s="7"/>
      <c r="AD1485" s="4"/>
      <c r="AE1485" s="4"/>
      <c r="AF1485" s="21"/>
    </row>
    <row r="1486" spans="24:32" x14ac:dyDescent="0.25">
      <c r="X1486" s="4"/>
      <c r="Y1486" s="4"/>
      <c r="Z1486" s="4"/>
      <c r="AA1486" s="4"/>
      <c r="AB1486" s="4"/>
      <c r="AC1486" s="7"/>
      <c r="AD1486" s="4"/>
      <c r="AE1486" s="4"/>
      <c r="AF1486" s="21"/>
    </row>
    <row r="1487" spans="24:32" x14ac:dyDescent="0.25">
      <c r="X1487" s="4"/>
      <c r="Y1487" s="4"/>
      <c r="Z1487" s="4"/>
      <c r="AA1487" s="4"/>
      <c r="AB1487" s="4"/>
      <c r="AC1487" s="7"/>
      <c r="AD1487" s="4"/>
      <c r="AE1487" s="4"/>
      <c r="AF1487" s="21"/>
    </row>
    <row r="1488" spans="24:32" x14ac:dyDescent="0.25">
      <c r="X1488" s="4"/>
      <c r="Y1488" s="4"/>
      <c r="Z1488" s="4"/>
      <c r="AA1488" s="4"/>
      <c r="AB1488" s="4"/>
      <c r="AC1488" s="7"/>
      <c r="AD1488" s="4"/>
      <c r="AE1488" s="4"/>
      <c r="AF1488" s="21"/>
    </row>
    <row r="1489" spans="24:32" x14ac:dyDescent="0.25">
      <c r="X1489" s="4"/>
      <c r="Y1489" s="4"/>
      <c r="Z1489" s="4"/>
      <c r="AA1489" s="4"/>
      <c r="AB1489" s="4"/>
      <c r="AC1489" s="7"/>
      <c r="AD1489" s="4"/>
      <c r="AE1489" s="4"/>
      <c r="AF1489" s="21"/>
    </row>
    <row r="1490" spans="24:32" x14ac:dyDescent="0.25">
      <c r="X1490" s="4"/>
      <c r="Y1490" s="4"/>
      <c r="Z1490" s="4"/>
      <c r="AA1490" s="4"/>
      <c r="AB1490" s="4"/>
      <c r="AC1490" s="7"/>
      <c r="AD1490" s="4"/>
      <c r="AE1490" s="4"/>
      <c r="AF1490" s="21"/>
    </row>
    <row r="1491" spans="24:32" x14ac:dyDescent="0.25">
      <c r="X1491" s="4"/>
      <c r="Y1491" s="4"/>
      <c r="Z1491" s="4"/>
      <c r="AA1491" s="4"/>
      <c r="AB1491" s="4"/>
      <c r="AC1491" s="7"/>
      <c r="AD1491" s="4"/>
      <c r="AE1491" s="4"/>
      <c r="AF1491" s="21"/>
    </row>
    <row r="1492" spans="24:32" x14ac:dyDescent="0.25">
      <c r="X1492" s="4"/>
      <c r="Y1492" s="4"/>
      <c r="Z1492" s="4"/>
      <c r="AA1492" s="4"/>
      <c r="AB1492" s="4"/>
      <c r="AC1492" s="7"/>
      <c r="AD1492" s="4"/>
      <c r="AE1492" s="4"/>
      <c r="AF1492" s="21"/>
    </row>
    <row r="1493" spans="24:32" x14ac:dyDescent="0.25">
      <c r="X1493" s="4"/>
      <c r="Y1493" s="4"/>
      <c r="Z1493" s="4"/>
      <c r="AA1493" s="4"/>
      <c r="AB1493" s="4"/>
      <c r="AC1493" s="7"/>
      <c r="AD1493" s="4"/>
      <c r="AE1493" s="4"/>
      <c r="AF1493" s="21"/>
    </row>
    <row r="1494" spans="24:32" x14ac:dyDescent="0.25">
      <c r="X1494" s="4"/>
      <c r="Y1494" s="4"/>
      <c r="Z1494" s="4"/>
      <c r="AA1494" s="4"/>
      <c r="AB1494" s="4"/>
      <c r="AC1494" s="7"/>
      <c r="AD1494" s="4"/>
      <c r="AE1494" s="4"/>
      <c r="AF1494" s="21"/>
    </row>
    <row r="1495" spans="24:32" x14ac:dyDescent="0.25">
      <c r="X1495" s="4"/>
      <c r="Y1495" s="4"/>
      <c r="Z1495" s="4"/>
      <c r="AA1495" s="4"/>
      <c r="AB1495" s="4"/>
      <c r="AC1495" s="7"/>
      <c r="AD1495" s="4"/>
      <c r="AE1495" s="4"/>
      <c r="AF1495" s="21"/>
    </row>
    <row r="1496" spans="24:32" x14ac:dyDescent="0.25">
      <c r="X1496" s="4"/>
      <c r="Y1496" s="4"/>
      <c r="Z1496" s="4"/>
      <c r="AA1496" s="4"/>
      <c r="AB1496" s="4"/>
      <c r="AC1496" s="7"/>
      <c r="AD1496" s="4"/>
      <c r="AE1496" s="4"/>
      <c r="AF1496" s="21"/>
    </row>
    <row r="1497" spans="24:32" x14ac:dyDescent="0.25">
      <c r="X1497" s="4"/>
      <c r="Y1497" s="4"/>
      <c r="Z1497" s="4"/>
      <c r="AA1497" s="4"/>
      <c r="AB1497" s="4"/>
      <c r="AC1497" s="7"/>
      <c r="AD1497" s="4"/>
      <c r="AE1497" s="4"/>
      <c r="AF1497" s="21"/>
    </row>
    <row r="1498" spans="24:32" x14ac:dyDescent="0.25">
      <c r="X1498" s="4"/>
      <c r="Y1498" s="4"/>
      <c r="Z1498" s="4"/>
      <c r="AA1498" s="4"/>
      <c r="AB1498" s="4"/>
      <c r="AC1498" s="7"/>
      <c r="AD1498" s="4"/>
      <c r="AE1498" s="4"/>
      <c r="AF1498" s="21"/>
    </row>
    <row r="1499" spans="24:32" x14ac:dyDescent="0.25">
      <c r="X1499" s="4"/>
      <c r="Y1499" s="4"/>
      <c r="Z1499" s="4"/>
      <c r="AA1499" s="4"/>
      <c r="AB1499" s="4"/>
      <c r="AC1499" s="7"/>
      <c r="AD1499" s="4"/>
      <c r="AE1499" s="4"/>
      <c r="AF1499" s="21"/>
    </row>
    <row r="1500" spans="24:32" x14ac:dyDescent="0.25">
      <c r="X1500" s="4"/>
      <c r="Y1500" s="4"/>
      <c r="Z1500" s="4"/>
      <c r="AA1500" s="4"/>
      <c r="AB1500" s="4"/>
      <c r="AC1500" s="7"/>
      <c r="AD1500" s="4"/>
      <c r="AE1500" s="4"/>
      <c r="AF1500" s="21"/>
    </row>
    <row r="1501" spans="24:32" x14ac:dyDescent="0.25">
      <c r="X1501" s="4"/>
      <c r="Y1501" s="4"/>
      <c r="Z1501" s="4"/>
      <c r="AA1501" s="4"/>
      <c r="AB1501" s="4"/>
      <c r="AC1501" s="7"/>
      <c r="AD1501" s="4"/>
      <c r="AE1501" s="4"/>
      <c r="AF1501" s="21"/>
    </row>
    <row r="1502" spans="24:32" x14ac:dyDescent="0.25">
      <c r="X1502" s="4"/>
      <c r="Y1502" s="4"/>
      <c r="Z1502" s="4"/>
      <c r="AA1502" s="4"/>
      <c r="AB1502" s="4"/>
      <c r="AC1502" s="7"/>
      <c r="AD1502" s="4"/>
      <c r="AE1502" s="4"/>
      <c r="AF1502" s="21"/>
    </row>
    <row r="1503" spans="24:32" x14ac:dyDescent="0.25">
      <c r="X1503" s="4"/>
      <c r="Y1503" s="4"/>
      <c r="Z1503" s="4"/>
      <c r="AA1503" s="4"/>
      <c r="AB1503" s="4"/>
      <c r="AC1503" s="7"/>
      <c r="AD1503" s="4"/>
      <c r="AE1503" s="4"/>
      <c r="AF1503" s="21"/>
    </row>
    <row r="1504" spans="24:32" x14ac:dyDescent="0.25">
      <c r="X1504" s="4"/>
      <c r="Y1504" s="4"/>
      <c r="Z1504" s="4"/>
      <c r="AA1504" s="4"/>
      <c r="AB1504" s="4"/>
      <c r="AC1504" s="7"/>
      <c r="AD1504" s="4"/>
      <c r="AE1504" s="4"/>
      <c r="AF1504" s="21"/>
    </row>
    <row r="1505" spans="24:32" x14ac:dyDescent="0.25">
      <c r="X1505" s="4"/>
      <c r="Y1505" s="4"/>
      <c r="Z1505" s="4"/>
      <c r="AA1505" s="4"/>
      <c r="AB1505" s="4"/>
      <c r="AC1505" s="7"/>
      <c r="AD1505" s="4"/>
      <c r="AE1505" s="4"/>
      <c r="AF1505" s="21"/>
    </row>
    <row r="1506" spans="24:32" x14ac:dyDescent="0.25">
      <c r="X1506" s="4"/>
      <c r="Y1506" s="4"/>
      <c r="Z1506" s="4"/>
      <c r="AA1506" s="4"/>
      <c r="AB1506" s="4"/>
      <c r="AC1506" s="7"/>
      <c r="AD1506" s="4"/>
      <c r="AE1506" s="4"/>
      <c r="AF1506" s="21"/>
    </row>
    <row r="1507" spans="24:32" x14ac:dyDescent="0.25">
      <c r="X1507" s="4"/>
      <c r="Y1507" s="4"/>
      <c r="Z1507" s="4"/>
      <c r="AA1507" s="4"/>
      <c r="AB1507" s="4"/>
      <c r="AC1507" s="7"/>
      <c r="AD1507" s="4"/>
      <c r="AE1507" s="4"/>
      <c r="AF1507" s="21"/>
    </row>
    <row r="1508" spans="24:32" x14ac:dyDescent="0.25">
      <c r="X1508" s="4"/>
      <c r="Y1508" s="4"/>
      <c r="Z1508" s="4"/>
      <c r="AA1508" s="4"/>
      <c r="AB1508" s="4"/>
      <c r="AC1508" s="7"/>
      <c r="AD1508" s="4"/>
      <c r="AE1508" s="4"/>
      <c r="AF1508" s="21"/>
    </row>
    <row r="1509" spans="24:32" x14ac:dyDescent="0.25">
      <c r="X1509" s="4"/>
      <c r="Y1509" s="4"/>
      <c r="Z1509" s="4"/>
      <c r="AA1509" s="4"/>
      <c r="AB1509" s="4"/>
      <c r="AC1509" s="7"/>
      <c r="AD1509" s="4"/>
      <c r="AE1509" s="4"/>
      <c r="AF1509" s="21"/>
    </row>
    <row r="1510" spans="24:32" x14ac:dyDescent="0.25">
      <c r="X1510" s="4"/>
      <c r="Y1510" s="4"/>
      <c r="Z1510" s="4"/>
      <c r="AA1510" s="4"/>
      <c r="AB1510" s="4"/>
      <c r="AC1510" s="7"/>
      <c r="AD1510" s="4"/>
      <c r="AE1510" s="4"/>
      <c r="AF1510" s="21"/>
    </row>
    <row r="1511" spans="24:32" x14ac:dyDescent="0.25">
      <c r="X1511" s="4"/>
      <c r="Y1511" s="4"/>
      <c r="Z1511" s="4"/>
      <c r="AA1511" s="4"/>
      <c r="AB1511" s="4"/>
      <c r="AC1511" s="7"/>
      <c r="AD1511" s="4"/>
      <c r="AE1511" s="4"/>
      <c r="AF1511" s="21"/>
    </row>
    <row r="1512" spans="24:32" x14ac:dyDescent="0.25">
      <c r="X1512" s="4"/>
      <c r="Y1512" s="4"/>
      <c r="Z1512" s="4"/>
      <c r="AA1512" s="4"/>
      <c r="AB1512" s="4"/>
      <c r="AC1512" s="7"/>
      <c r="AD1512" s="4"/>
      <c r="AE1512" s="4"/>
      <c r="AF1512" s="21"/>
    </row>
    <row r="1513" spans="24:32" x14ac:dyDescent="0.25">
      <c r="X1513" s="4"/>
      <c r="Y1513" s="4"/>
      <c r="Z1513" s="4"/>
      <c r="AA1513" s="4"/>
      <c r="AB1513" s="4"/>
      <c r="AC1513" s="7"/>
      <c r="AD1513" s="4"/>
      <c r="AE1513" s="4"/>
      <c r="AF1513" s="21"/>
    </row>
    <row r="1514" spans="24:32" x14ac:dyDescent="0.25">
      <c r="X1514" s="4"/>
      <c r="Y1514" s="4"/>
      <c r="Z1514" s="4"/>
      <c r="AA1514" s="4"/>
      <c r="AB1514" s="4"/>
      <c r="AC1514" s="7"/>
      <c r="AD1514" s="4"/>
      <c r="AE1514" s="4"/>
      <c r="AF1514" s="21"/>
    </row>
    <row r="1515" spans="24:32" x14ac:dyDescent="0.25">
      <c r="X1515" s="4"/>
      <c r="Y1515" s="4"/>
      <c r="Z1515" s="4"/>
      <c r="AA1515" s="4"/>
      <c r="AB1515" s="4"/>
      <c r="AC1515" s="7"/>
      <c r="AD1515" s="4"/>
      <c r="AE1515" s="4"/>
      <c r="AF1515" s="21"/>
    </row>
    <row r="1516" spans="24:32" x14ac:dyDescent="0.25">
      <c r="X1516" s="4"/>
      <c r="Y1516" s="4"/>
      <c r="Z1516" s="4"/>
      <c r="AA1516" s="4"/>
      <c r="AB1516" s="4"/>
      <c r="AC1516" s="7"/>
      <c r="AD1516" s="4"/>
      <c r="AE1516" s="4"/>
      <c r="AF1516" s="21"/>
    </row>
    <row r="1517" spans="24:32" x14ac:dyDescent="0.25">
      <c r="X1517" s="4"/>
      <c r="Y1517" s="4"/>
      <c r="Z1517" s="4"/>
      <c r="AA1517" s="4"/>
      <c r="AB1517" s="4"/>
      <c r="AC1517" s="7"/>
      <c r="AD1517" s="4"/>
      <c r="AE1517" s="4"/>
      <c r="AF1517" s="21"/>
    </row>
    <row r="1518" spans="24:32" x14ac:dyDescent="0.25">
      <c r="X1518" s="4"/>
      <c r="Y1518" s="4"/>
      <c r="Z1518" s="4"/>
      <c r="AA1518" s="4"/>
      <c r="AB1518" s="4"/>
      <c r="AC1518" s="7"/>
      <c r="AD1518" s="4"/>
      <c r="AE1518" s="4"/>
      <c r="AF1518" s="21"/>
    </row>
    <row r="1519" spans="24:32" x14ac:dyDescent="0.25">
      <c r="X1519" s="4"/>
      <c r="Y1519" s="4"/>
      <c r="Z1519" s="4"/>
      <c r="AA1519" s="4"/>
      <c r="AB1519" s="4"/>
      <c r="AC1519" s="7"/>
      <c r="AD1519" s="4"/>
      <c r="AE1519" s="4"/>
      <c r="AF1519" s="21"/>
    </row>
    <row r="1520" spans="24:32" x14ac:dyDescent="0.25">
      <c r="X1520" s="4"/>
      <c r="Y1520" s="4"/>
      <c r="Z1520" s="4"/>
      <c r="AA1520" s="4"/>
      <c r="AB1520" s="4"/>
      <c r="AC1520" s="7"/>
      <c r="AD1520" s="4"/>
      <c r="AE1520" s="4"/>
      <c r="AF1520" s="21"/>
    </row>
    <row r="1521" spans="24:32" x14ac:dyDescent="0.25">
      <c r="X1521" s="4"/>
      <c r="Y1521" s="4"/>
      <c r="Z1521" s="4"/>
      <c r="AA1521" s="4"/>
      <c r="AB1521" s="4"/>
      <c r="AC1521" s="7"/>
      <c r="AD1521" s="4"/>
      <c r="AE1521" s="4"/>
      <c r="AF1521" s="21"/>
    </row>
    <row r="1522" spans="24:32" x14ac:dyDescent="0.25">
      <c r="X1522" s="4"/>
      <c r="Y1522" s="4"/>
      <c r="Z1522" s="4"/>
      <c r="AA1522" s="4"/>
      <c r="AB1522" s="4"/>
      <c r="AC1522" s="7"/>
      <c r="AD1522" s="4"/>
      <c r="AE1522" s="4"/>
      <c r="AF1522" s="21"/>
    </row>
    <row r="1523" spans="24:32" x14ac:dyDescent="0.25">
      <c r="X1523" s="4"/>
      <c r="Y1523" s="4"/>
      <c r="Z1523" s="4"/>
      <c r="AA1523" s="4"/>
      <c r="AB1523" s="4"/>
      <c r="AC1523" s="7"/>
      <c r="AD1523" s="4"/>
      <c r="AE1523" s="4"/>
      <c r="AF1523" s="21"/>
    </row>
    <row r="1524" spans="24:32" x14ac:dyDescent="0.25">
      <c r="X1524" s="4"/>
      <c r="Y1524" s="4"/>
      <c r="Z1524" s="4"/>
      <c r="AA1524" s="4"/>
      <c r="AB1524" s="4"/>
      <c r="AC1524" s="7"/>
      <c r="AD1524" s="4"/>
      <c r="AE1524" s="4"/>
      <c r="AF1524" s="21"/>
    </row>
    <row r="1525" spans="24:32" x14ac:dyDescent="0.25">
      <c r="X1525" s="4"/>
      <c r="Y1525" s="4"/>
      <c r="Z1525" s="4"/>
      <c r="AA1525" s="4"/>
      <c r="AB1525" s="4"/>
      <c r="AC1525" s="7"/>
      <c r="AD1525" s="4"/>
      <c r="AE1525" s="4"/>
      <c r="AF1525" s="21"/>
    </row>
    <row r="1526" spans="24:32" x14ac:dyDescent="0.25">
      <c r="X1526" s="4"/>
      <c r="Y1526" s="4"/>
      <c r="Z1526" s="4"/>
      <c r="AA1526" s="4"/>
      <c r="AB1526" s="4"/>
      <c r="AC1526" s="7"/>
      <c r="AD1526" s="4"/>
      <c r="AE1526" s="4"/>
      <c r="AF1526" s="21"/>
    </row>
    <row r="1527" spans="24:32" x14ac:dyDescent="0.25">
      <c r="X1527" s="4"/>
      <c r="Y1527" s="4"/>
      <c r="Z1527" s="4"/>
      <c r="AA1527" s="4"/>
      <c r="AB1527" s="4"/>
      <c r="AC1527" s="7"/>
      <c r="AD1527" s="4"/>
      <c r="AE1527" s="4"/>
      <c r="AF1527" s="21"/>
    </row>
    <row r="1528" spans="24:32" x14ac:dyDescent="0.25">
      <c r="X1528" s="4"/>
      <c r="Y1528" s="4"/>
      <c r="Z1528" s="4"/>
      <c r="AA1528" s="4"/>
      <c r="AB1528" s="4"/>
      <c r="AC1528" s="7"/>
      <c r="AD1528" s="4"/>
      <c r="AE1528" s="4"/>
      <c r="AF1528" s="21"/>
    </row>
    <row r="1529" spans="24:32" x14ac:dyDescent="0.25">
      <c r="X1529" s="4"/>
      <c r="Y1529" s="4"/>
      <c r="Z1529" s="4"/>
      <c r="AA1529" s="4"/>
      <c r="AB1529" s="4"/>
      <c r="AC1529" s="7"/>
      <c r="AD1529" s="4"/>
      <c r="AE1529" s="4"/>
      <c r="AF1529" s="21"/>
    </row>
    <row r="1530" spans="24:32" x14ac:dyDescent="0.25">
      <c r="X1530" s="4"/>
      <c r="Y1530" s="4"/>
      <c r="Z1530" s="4"/>
      <c r="AA1530" s="4"/>
      <c r="AB1530" s="4"/>
      <c r="AC1530" s="7"/>
      <c r="AD1530" s="4"/>
      <c r="AE1530" s="4"/>
      <c r="AF1530" s="21"/>
    </row>
    <row r="1531" spans="24:32" x14ac:dyDescent="0.25">
      <c r="X1531" s="4"/>
      <c r="Y1531" s="4"/>
      <c r="Z1531" s="4"/>
      <c r="AA1531" s="4"/>
      <c r="AB1531" s="4"/>
      <c r="AC1531" s="7"/>
      <c r="AD1531" s="4"/>
      <c r="AE1531" s="4"/>
      <c r="AF1531" s="21"/>
    </row>
    <row r="1532" spans="24:32" x14ac:dyDescent="0.25">
      <c r="X1532" s="4"/>
      <c r="Y1532" s="4"/>
      <c r="Z1532" s="4"/>
      <c r="AA1532" s="4"/>
      <c r="AB1532" s="4"/>
      <c r="AC1532" s="7"/>
      <c r="AD1532" s="4"/>
      <c r="AE1532" s="4"/>
      <c r="AF1532" s="21"/>
    </row>
    <row r="1533" spans="24:32" x14ac:dyDescent="0.25">
      <c r="X1533" s="4"/>
      <c r="Y1533" s="4"/>
      <c r="Z1533" s="4"/>
      <c r="AA1533" s="4"/>
      <c r="AB1533" s="4"/>
      <c r="AC1533" s="7"/>
      <c r="AD1533" s="4"/>
      <c r="AE1533" s="4"/>
      <c r="AF1533" s="21"/>
    </row>
    <row r="1534" spans="24:32" x14ac:dyDescent="0.25">
      <c r="X1534" s="4"/>
      <c r="Y1534" s="4"/>
      <c r="Z1534" s="4"/>
      <c r="AA1534" s="4"/>
      <c r="AB1534" s="4"/>
      <c r="AC1534" s="7"/>
      <c r="AD1534" s="4"/>
      <c r="AE1534" s="4"/>
      <c r="AF1534" s="21"/>
    </row>
    <row r="1535" spans="24:32" x14ac:dyDescent="0.25">
      <c r="X1535" s="4"/>
      <c r="Y1535" s="4"/>
      <c r="Z1535" s="4"/>
      <c r="AA1535" s="4"/>
      <c r="AB1535" s="4"/>
      <c r="AC1535" s="7"/>
      <c r="AD1535" s="4"/>
      <c r="AE1535" s="4"/>
      <c r="AF1535" s="21"/>
    </row>
    <row r="1536" spans="24:32" x14ac:dyDescent="0.25">
      <c r="X1536" s="4"/>
      <c r="Y1536" s="4"/>
      <c r="Z1536" s="4"/>
      <c r="AA1536" s="4"/>
      <c r="AB1536" s="4"/>
      <c r="AC1536" s="7"/>
      <c r="AD1536" s="4"/>
      <c r="AE1536" s="4"/>
      <c r="AF1536" s="21"/>
    </row>
    <row r="1537" spans="24:32" x14ac:dyDescent="0.25">
      <c r="X1537" s="4"/>
      <c r="Y1537" s="4"/>
      <c r="Z1537" s="4"/>
      <c r="AA1537" s="4"/>
      <c r="AB1537" s="4"/>
      <c r="AC1537" s="7"/>
      <c r="AD1537" s="4"/>
      <c r="AE1537" s="4"/>
      <c r="AF1537" s="21"/>
    </row>
    <row r="1538" spans="24:32" x14ac:dyDescent="0.25">
      <c r="X1538" s="4"/>
      <c r="Y1538" s="4"/>
      <c r="Z1538" s="4"/>
      <c r="AA1538" s="4"/>
      <c r="AB1538" s="4"/>
      <c r="AC1538" s="7"/>
      <c r="AD1538" s="4"/>
      <c r="AE1538" s="4"/>
      <c r="AF1538" s="21"/>
    </row>
    <row r="1539" spans="24:32" x14ac:dyDescent="0.25">
      <c r="X1539" s="4"/>
      <c r="Y1539" s="4"/>
      <c r="Z1539" s="4"/>
      <c r="AA1539" s="4"/>
      <c r="AB1539" s="4"/>
      <c r="AC1539" s="7"/>
      <c r="AD1539" s="4"/>
      <c r="AE1539" s="4"/>
      <c r="AF1539" s="21"/>
    </row>
    <row r="1540" spans="24:32" x14ac:dyDescent="0.25">
      <c r="X1540" s="4"/>
      <c r="Y1540" s="4"/>
      <c r="Z1540" s="4"/>
      <c r="AA1540" s="4"/>
      <c r="AB1540" s="4"/>
      <c r="AC1540" s="7"/>
      <c r="AD1540" s="4"/>
      <c r="AE1540" s="4"/>
      <c r="AF1540" s="21"/>
    </row>
    <row r="1541" spans="24:32" x14ac:dyDescent="0.25">
      <c r="X1541" s="4"/>
      <c r="Y1541" s="4"/>
      <c r="Z1541" s="4"/>
      <c r="AA1541" s="4"/>
      <c r="AB1541" s="4"/>
      <c r="AC1541" s="7"/>
      <c r="AD1541" s="4"/>
      <c r="AE1541" s="4"/>
      <c r="AF1541" s="21"/>
    </row>
    <row r="1542" spans="24:32" x14ac:dyDescent="0.25">
      <c r="X1542" s="4"/>
      <c r="Y1542" s="4"/>
      <c r="Z1542" s="4"/>
      <c r="AA1542" s="4"/>
      <c r="AB1542" s="4"/>
      <c r="AC1542" s="7"/>
      <c r="AD1542" s="4"/>
      <c r="AE1542" s="4"/>
      <c r="AF1542" s="21"/>
    </row>
    <row r="1543" spans="24:32" x14ac:dyDescent="0.25">
      <c r="X1543" s="4"/>
      <c r="Y1543" s="4"/>
      <c r="Z1543" s="4"/>
      <c r="AA1543" s="4"/>
      <c r="AB1543" s="4"/>
      <c r="AC1543" s="7"/>
      <c r="AD1543" s="4"/>
      <c r="AE1543" s="4"/>
      <c r="AF1543" s="21"/>
    </row>
    <row r="1544" spans="24:32" x14ac:dyDescent="0.25">
      <c r="X1544" s="4"/>
      <c r="Y1544" s="4"/>
      <c r="Z1544" s="4"/>
      <c r="AA1544" s="4"/>
      <c r="AB1544" s="4"/>
      <c r="AC1544" s="7"/>
      <c r="AD1544" s="4"/>
      <c r="AE1544" s="4"/>
      <c r="AF1544" s="21"/>
    </row>
    <row r="1545" spans="24:32" x14ac:dyDescent="0.25">
      <c r="X1545" s="4"/>
      <c r="Y1545" s="4"/>
      <c r="Z1545" s="4"/>
      <c r="AA1545" s="4"/>
      <c r="AB1545" s="4"/>
      <c r="AC1545" s="7"/>
      <c r="AD1545" s="4"/>
      <c r="AE1545" s="4"/>
      <c r="AF1545" s="21"/>
    </row>
    <row r="1546" spans="24:32" x14ac:dyDescent="0.25">
      <c r="X1546" s="4"/>
      <c r="Y1546" s="4"/>
      <c r="Z1546" s="4"/>
      <c r="AA1546" s="4"/>
      <c r="AB1546" s="4"/>
      <c r="AC1546" s="7"/>
      <c r="AD1546" s="4"/>
      <c r="AE1546" s="4"/>
      <c r="AF1546" s="21"/>
    </row>
    <row r="1547" spans="24:32" x14ac:dyDescent="0.25">
      <c r="X1547" s="4"/>
      <c r="Y1547" s="4"/>
      <c r="Z1547" s="4"/>
      <c r="AA1547" s="4"/>
      <c r="AB1547" s="4"/>
      <c r="AC1547" s="7"/>
      <c r="AD1547" s="4"/>
      <c r="AE1547" s="4"/>
      <c r="AF1547" s="21"/>
    </row>
    <row r="1548" spans="24:32" x14ac:dyDescent="0.25">
      <c r="X1548" s="4"/>
      <c r="Y1548" s="4"/>
      <c r="Z1548" s="4"/>
      <c r="AA1548" s="4"/>
      <c r="AB1548" s="4"/>
      <c r="AC1548" s="7"/>
      <c r="AD1548" s="4"/>
      <c r="AE1548" s="4"/>
      <c r="AF1548" s="21"/>
    </row>
    <row r="1549" spans="24:32" x14ac:dyDescent="0.25">
      <c r="X1549" s="4"/>
      <c r="Y1549" s="4"/>
      <c r="Z1549" s="4"/>
      <c r="AA1549" s="4"/>
      <c r="AB1549" s="4"/>
      <c r="AC1549" s="7"/>
      <c r="AD1549" s="4"/>
      <c r="AE1549" s="4"/>
      <c r="AF1549" s="21"/>
    </row>
    <row r="1550" spans="24:32" x14ac:dyDescent="0.25">
      <c r="X1550" s="4"/>
      <c r="Y1550" s="4"/>
      <c r="Z1550" s="4"/>
      <c r="AA1550" s="4"/>
      <c r="AB1550" s="4"/>
      <c r="AC1550" s="7"/>
      <c r="AD1550" s="4"/>
      <c r="AE1550" s="4"/>
      <c r="AF1550" s="21"/>
    </row>
    <row r="1551" spans="24:32" x14ac:dyDescent="0.25">
      <c r="X1551" s="4"/>
      <c r="Y1551" s="4"/>
      <c r="Z1551" s="4"/>
      <c r="AA1551" s="4"/>
      <c r="AB1551" s="4"/>
      <c r="AC1551" s="7"/>
      <c r="AD1551" s="4"/>
      <c r="AE1551" s="4"/>
      <c r="AF1551" s="21"/>
    </row>
    <row r="1552" spans="24:32" x14ac:dyDescent="0.25">
      <c r="X1552" s="4"/>
      <c r="Y1552" s="4"/>
      <c r="Z1552" s="4"/>
      <c r="AA1552" s="4"/>
      <c r="AB1552" s="4"/>
      <c r="AC1552" s="7"/>
      <c r="AD1552" s="4"/>
      <c r="AE1552" s="4"/>
      <c r="AF1552" s="21"/>
    </row>
    <row r="1553" spans="24:32" x14ac:dyDescent="0.25">
      <c r="X1553" s="4"/>
      <c r="Y1553" s="4"/>
      <c r="Z1553" s="4"/>
      <c r="AA1553" s="4"/>
      <c r="AB1553" s="4"/>
      <c r="AC1553" s="7"/>
      <c r="AD1553" s="4"/>
      <c r="AE1553" s="4"/>
      <c r="AF1553" s="21"/>
    </row>
    <row r="1554" spans="24:32" x14ac:dyDescent="0.25">
      <c r="X1554" s="4"/>
      <c r="Y1554" s="4"/>
      <c r="Z1554" s="4"/>
      <c r="AA1554" s="4"/>
      <c r="AB1554" s="4"/>
      <c r="AC1554" s="7"/>
      <c r="AD1554" s="4"/>
      <c r="AE1554" s="4"/>
      <c r="AF1554" s="21"/>
    </row>
    <row r="1555" spans="24:32" x14ac:dyDescent="0.25">
      <c r="X1555" s="4"/>
      <c r="Y1555" s="4"/>
      <c r="Z1555" s="4"/>
      <c r="AA1555" s="4"/>
      <c r="AB1555" s="4"/>
      <c r="AC1555" s="7"/>
      <c r="AD1555" s="4"/>
      <c r="AE1555" s="4"/>
      <c r="AF1555" s="21"/>
    </row>
    <row r="1556" spans="24:32" x14ac:dyDescent="0.25">
      <c r="X1556" s="4"/>
      <c r="Y1556" s="4"/>
      <c r="Z1556" s="4"/>
      <c r="AA1556" s="4"/>
      <c r="AB1556" s="4"/>
      <c r="AC1556" s="7"/>
      <c r="AD1556" s="4"/>
      <c r="AE1556" s="4"/>
      <c r="AF1556" s="21"/>
    </row>
    <row r="1557" spans="24:32" x14ac:dyDescent="0.25">
      <c r="X1557" s="4"/>
      <c r="Y1557" s="4"/>
      <c r="Z1557" s="4"/>
      <c r="AA1557" s="4"/>
      <c r="AB1557" s="4"/>
      <c r="AC1557" s="7"/>
      <c r="AD1557" s="4"/>
      <c r="AE1557" s="4"/>
      <c r="AF1557" s="21"/>
    </row>
    <row r="1558" spans="24:32" x14ac:dyDescent="0.25">
      <c r="X1558" s="4"/>
      <c r="Y1558" s="4"/>
      <c r="Z1558" s="4"/>
      <c r="AA1558" s="4"/>
      <c r="AB1558" s="4"/>
      <c r="AC1558" s="7"/>
      <c r="AD1558" s="4"/>
      <c r="AE1558" s="4"/>
      <c r="AF1558" s="21"/>
    </row>
    <row r="1559" spans="24:32" x14ac:dyDescent="0.25">
      <c r="X1559" s="4"/>
      <c r="Y1559" s="4"/>
      <c r="Z1559" s="4"/>
      <c r="AA1559" s="4"/>
      <c r="AB1559" s="4"/>
      <c r="AC1559" s="7"/>
      <c r="AD1559" s="4"/>
      <c r="AE1559" s="4"/>
      <c r="AF1559" s="21"/>
    </row>
    <row r="1560" spans="24:32" x14ac:dyDescent="0.25">
      <c r="X1560" s="4"/>
      <c r="Y1560" s="4"/>
      <c r="Z1560" s="4"/>
      <c r="AA1560" s="4"/>
      <c r="AB1560" s="4"/>
      <c r="AC1560" s="7"/>
      <c r="AD1560" s="4"/>
      <c r="AE1560" s="4"/>
      <c r="AF1560" s="21"/>
    </row>
    <row r="1561" spans="24:32" x14ac:dyDescent="0.25">
      <c r="X1561" s="4"/>
      <c r="Y1561" s="4"/>
      <c r="Z1561" s="4"/>
      <c r="AA1561" s="4"/>
      <c r="AB1561" s="4"/>
      <c r="AC1561" s="7"/>
      <c r="AD1561" s="4"/>
      <c r="AE1561" s="4"/>
      <c r="AF1561" s="21"/>
    </row>
    <row r="1562" spans="24:32" x14ac:dyDescent="0.25">
      <c r="X1562" s="4"/>
      <c r="Y1562" s="4"/>
      <c r="Z1562" s="4"/>
      <c r="AA1562" s="4"/>
      <c r="AB1562" s="4"/>
      <c r="AC1562" s="7"/>
      <c r="AD1562" s="4"/>
      <c r="AE1562" s="4"/>
      <c r="AF1562" s="21"/>
    </row>
    <row r="1563" spans="24:32" x14ac:dyDescent="0.25">
      <c r="X1563" s="4"/>
      <c r="Y1563" s="4"/>
      <c r="Z1563" s="4"/>
      <c r="AA1563" s="4"/>
      <c r="AB1563" s="4"/>
      <c r="AC1563" s="7"/>
      <c r="AD1563" s="4"/>
      <c r="AE1563" s="4"/>
      <c r="AF1563" s="21"/>
    </row>
    <row r="1564" spans="24:32" x14ac:dyDescent="0.25">
      <c r="X1564" s="4"/>
      <c r="Y1564" s="4"/>
      <c r="Z1564" s="4"/>
      <c r="AA1564" s="4"/>
      <c r="AB1564" s="4"/>
      <c r="AC1564" s="7"/>
      <c r="AD1564" s="4"/>
      <c r="AE1564" s="4"/>
      <c r="AF1564" s="21"/>
    </row>
    <row r="1565" spans="24:32" x14ac:dyDescent="0.25">
      <c r="X1565" s="4"/>
      <c r="Y1565" s="4"/>
      <c r="Z1565" s="4"/>
      <c r="AA1565" s="4"/>
      <c r="AB1565" s="4"/>
      <c r="AC1565" s="7"/>
      <c r="AD1565" s="4"/>
      <c r="AE1565" s="4"/>
      <c r="AF1565" s="21"/>
    </row>
    <row r="1566" spans="24:32" x14ac:dyDescent="0.25">
      <c r="X1566" s="4"/>
      <c r="Y1566" s="4"/>
      <c r="Z1566" s="4"/>
      <c r="AA1566" s="4"/>
      <c r="AB1566" s="4"/>
      <c r="AC1566" s="7"/>
      <c r="AD1566" s="4"/>
      <c r="AE1566" s="4"/>
      <c r="AF1566" s="21"/>
    </row>
    <row r="1567" spans="24:32" x14ac:dyDescent="0.25">
      <c r="X1567" s="4"/>
      <c r="Y1567" s="4"/>
      <c r="Z1567" s="4"/>
      <c r="AA1567" s="4"/>
      <c r="AB1567" s="4"/>
      <c r="AC1567" s="7"/>
      <c r="AD1567" s="4"/>
      <c r="AE1567" s="4"/>
      <c r="AF1567" s="21"/>
    </row>
    <row r="1568" spans="24:32" x14ac:dyDescent="0.25">
      <c r="X1568" s="4"/>
      <c r="Y1568" s="4"/>
      <c r="Z1568" s="4"/>
      <c r="AA1568" s="4"/>
      <c r="AB1568" s="4"/>
      <c r="AC1568" s="7"/>
      <c r="AD1568" s="4"/>
      <c r="AE1568" s="4"/>
      <c r="AF1568" s="21"/>
    </row>
    <row r="1569" spans="24:32" x14ac:dyDescent="0.25">
      <c r="X1569" s="4"/>
      <c r="Y1569" s="4"/>
      <c r="Z1569" s="4"/>
      <c r="AA1569" s="4"/>
      <c r="AB1569" s="4"/>
      <c r="AC1569" s="7"/>
      <c r="AD1569" s="4"/>
      <c r="AE1569" s="4"/>
      <c r="AF1569" s="21"/>
    </row>
    <row r="1570" spans="24:32" x14ac:dyDescent="0.25">
      <c r="X1570" s="4"/>
      <c r="Y1570" s="4"/>
      <c r="Z1570" s="4"/>
      <c r="AA1570" s="4"/>
      <c r="AB1570" s="4"/>
      <c r="AC1570" s="7"/>
      <c r="AD1570" s="4"/>
      <c r="AE1570" s="4"/>
      <c r="AF1570" s="21"/>
    </row>
    <row r="1571" spans="24:32" x14ac:dyDescent="0.25">
      <c r="X1571" s="4"/>
      <c r="Y1571" s="4"/>
      <c r="Z1571" s="4"/>
      <c r="AA1571" s="4"/>
      <c r="AB1571" s="4"/>
      <c r="AC1571" s="7"/>
      <c r="AD1571" s="4"/>
      <c r="AE1571" s="4"/>
      <c r="AF1571" s="21"/>
    </row>
    <row r="1572" spans="24:32" x14ac:dyDescent="0.25">
      <c r="X1572" s="4"/>
      <c r="Y1572" s="4"/>
      <c r="Z1572" s="4"/>
      <c r="AA1572" s="4"/>
      <c r="AB1572" s="4"/>
      <c r="AC1572" s="7"/>
      <c r="AD1572" s="4"/>
      <c r="AE1572" s="4"/>
      <c r="AF1572" s="21"/>
    </row>
    <row r="1573" spans="24:32" x14ac:dyDescent="0.25">
      <c r="X1573" s="4"/>
      <c r="Y1573" s="4"/>
      <c r="Z1573" s="4"/>
      <c r="AA1573" s="4"/>
      <c r="AB1573" s="4"/>
      <c r="AC1573" s="7"/>
      <c r="AD1573" s="4"/>
      <c r="AE1573" s="4"/>
      <c r="AF1573" s="21"/>
    </row>
    <row r="1574" spans="24:32" x14ac:dyDescent="0.25">
      <c r="X1574" s="4"/>
      <c r="Y1574" s="4"/>
      <c r="Z1574" s="4"/>
      <c r="AA1574" s="4"/>
      <c r="AB1574" s="4"/>
      <c r="AC1574" s="7"/>
      <c r="AD1574" s="4"/>
      <c r="AE1574" s="4"/>
      <c r="AF1574" s="21"/>
    </row>
    <row r="1575" spans="24:32" x14ac:dyDescent="0.25">
      <c r="X1575" s="4"/>
      <c r="Y1575" s="4"/>
      <c r="Z1575" s="4"/>
      <c r="AA1575" s="4"/>
      <c r="AB1575" s="4"/>
      <c r="AC1575" s="7"/>
      <c r="AD1575" s="4"/>
      <c r="AE1575" s="4"/>
      <c r="AF1575" s="21"/>
    </row>
    <row r="1576" spans="24:32" x14ac:dyDescent="0.25">
      <c r="X1576" s="4"/>
      <c r="Y1576" s="4"/>
      <c r="Z1576" s="4"/>
      <c r="AA1576" s="4"/>
      <c r="AB1576" s="4"/>
      <c r="AC1576" s="7"/>
      <c r="AD1576" s="4"/>
      <c r="AE1576" s="4"/>
      <c r="AF1576" s="21"/>
    </row>
    <row r="1577" spans="24:32" x14ac:dyDescent="0.25">
      <c r="X1577" s="4"/>
      <c r="Y1577" s="4"/>
      <c r="Z1577" s="4"/>
      <c r="AA1577" s="4"/>
      <c r="AB1577" s="4"/>
      <c r="AC1577" s="7"/>
      <c r="AD1577" s="4"/>
      <c r="AE1577" s="4"/>
      <c r="AF1577" s="21"/>
    </row>
    <row r="1578" spans="24:32" x14ac:dyDescent="0.25">
      <c r="X1578" s="4"/>
      <c r="Y1578" s="4"/>
      <c r="Z1578" s="4"/>
      <c r="AA1578" s="4"/>
      <c r="AB1578" s="4"/>
      <c r="AC1578" s="7"/>
      <c r="AD1578" s="4"/>
      <c r="AE1578" s="4"/>
      <c r="AF1578" s="21"/>
    </row>
    <row r="1579" spans="24:32" x14ac:dyDescent="0.25">
      <c r="X1579" s="4"/>
      <c r="Y1579" s="4"/>
      <c r="Z1579" s="4"/>
      <c r="AA1579" s="4"/>
      <c r="AB1579" s="4"/>
      <c r="AC1579" s="7"/>
      <c r="AD1579" s="4"/>
      <c r="AE1579" s="4"/>
      <c r="AF1579" s="21"/>
    </row>
    <row r="1580" spans="24:32" x14ac:dyDescent="0.25">
      <c r="X1580" s="4"/>
      <c r="Y1580" s="4"/>
      <c r="Z1580" s="4"/>
      <c r="AA1580" s="4"/>
      <c r="AB1580" s="4"/>
      <c r="AC1580" s="7"/>
      <c r="AD1580" s="4"/>
      <c r="AE1580" s="4"/>
      <c r="AF1580" s="21"/>
    </row>
    <row r="1581" spans="24:32" x14ac:dyDescent="0.25">
      <c r="X1581" s="4"/>
      <c r="Y1581" s="4"/>
      <c r="Z1581" s="4"/>
      <c r="AA1581" s="4"/>
      <c r="AB1581" s="4"/>
      <c r="AC1581" s="7"/>
      <c r="AD1581" s="4"/>
      <c r="AE1581" s="4"/>
      <c r="AF1581" s="21"/>
    </row>
    <row r="1582" spans="24:32" x14ac:dyDescent="0.25">
      <c r="X1582" s="4"/>
      <c r="Y1582" s="4"/>
      <c r="Z1582" s="4"/>
      <c r="AA1582" s="4"/>
      <c r="AB1582" s="4"/>
      <c r="AC1582" s="7"/>
      <c r="AD1582" s="4"/>
      <c r="AE1582" s="4"/>
      <c r="AF1582" s="21"/>
    </row>
    <row r="1583" spans="24:32" x14ac:dyDescent="0.25">
      <c r="X1583" s="4"/>
      <c r="Y1583" s="4"/>
      <c r="Z1583" s="4"/>
      <c r="AA1583" s="4"/>
      <c r="AB1583" s="4"/>
      <c r="AC1583" s="7"/>
      <c r="AD1583" s="4"/>
      <c r="AE1583" s="4"/>
      <c r="AF1583" s="21"/>
    </row>
    <row r="1584" spans="24:32" x14ac:dyDescent="0.25">
      <c r="X1584" s="4"/>
      <c r="Y1584" s="4"/>
      <c r="Z1584" s="4"/>
      <c r="AA1584" s="4"/>
      <c r="AB1584" s="4"/>
      <c r="AC1584" s="7"/>
      <c r="AD1584" s="4"/>
      <c r="AE1584" s="4"/>
      <c r="AF1584" s="21"/>
    </row>
    <row r="1585" spans="24:32" x14ac:dyDescent="0.25">
      <c r="X1585" s="4"/>
      <c r="Y1585" s="4"/>
      <c r="Z1585" s="4"/>
      <c r="AA1585" s="4"/>
      <c r="AB1585" s="4"/>
      <c r="AC1585" s="7"/>
      <c r="AD1585" s="4"/>
      <c r="AE1585" s="4"/>
      <c r="AF1585" s="21"/>
    </row>
    <row r="1586" spans="24:32" x14ac:dyDescent="0.25">
      <c r="X1586" s="4"/>
      <c r="Y1586" s="4"/>
      <c r="Z1586" s="4"/>
      <c r="AA1586" s="4"/>
      <c r="AB1586" s="4"/>
      <c r="AC1586" s="7"/>
      <c r="AD1586" s="4"/>
      <c r="AE1586" s="4"/>
      <c r="AF1586" s="21"/>
    </row>
    <row r="1587" spans="24:32" x14ac:dyDescent="0.25">
      <c r="X1587" s="4"/>
      <c r="Y1587" s="4"/>
      <c r="Z1587" s="4"/>
      <c r="AA1587" s="4"/>
      <c r="AB1587" s="4"/>
      <c r="AC1587" s="7"/>
      <c r="AD1587" s="4"/>
      <c r="AE1587" s="4"/>
      <c r="AF1587" s="21"/>
    </row>
    <row r="1588" spans="24:32" x14ac:dyDescent="0.25">
      <c r="X1588" s="4"/>
      <c r="Y1588" s="4"/>
      <c r="Z1588" s="4"/>
      <c r="AA1588" s="4"/>
      <c r="AB1588" s="4"/>
      <c r="AC1588" s="7"/>
      <c r="AD1588" s="4"/>
      <c r="AE1588" s="4"/>
      <c r="AF1588" s="21"/>
    </row>
    <row r="1589" spans="24:32" x14ac:dyDescent="0.25">
      <c r="X1589" s="4"/>
      <c r="Y1589" s="4"/>
      <c r="Z1589" s="4"/>
      <c r="AA1589" s="4"/>
      <c r="AB1589" s="4"/>
      <c r="AC1589" s="7"/>
      <c r="AD1589" s="4"/>
      <c r="AE1589" s="4"/>
      <c r="AF1589" s="21"/>
    </row>
    <row r="1590" spans="24:32" x14ac:dyDescent="0.25">
      <c r="X1590" s="4"/>
      <c r="Y1590" s="4"/>
      <c r="Z1590" s="4"/>
      <c r="AA1590" s="4"/>
      <c r="AB1590" s="4"/>
      <c r="AC1590" s="7"/>
      <c r="AD1590" s="4"/>
      <c r="AE1590" s="4"/>
      <c r="AF1590" s="21"/>
    </row>
    <row r="1591" spans="24:32" x14ac:dyDescent="0.25">
      <c r="X1591" s="4"/>
      <c r="Y1591" s="4"/>
      <c r="Z1591" s="4"/>
      <c r="AA1591" s="4"/>
      <c r="AB1591" s="4"/>
      <c r="AC1591" s="7"/>
      <c r="AD1591" s="4"/>
      <c r="AE1591" s="4"/>
      <c r="AF1591" s="21"/>
    </row>
    <row r="1592" spans="24:32" x14ac:dyDescent="0.25">
      <c r="X1592" s="4"/>
      <c r="Y1592" s="4"/>
      <c r="Z1592" s="4"/>
      <c r="AA1592" s="4"/>
      <c r="AB1592" s="4"/>
      <c r="AC1592" s="7"/>
      <c r="AD1592" s="4"/>
      <c r="AE1592" s="4"/>
      <c r="AF1592" s="21"/>
    </row>
    <row r="1593" spans="24:32" x14ac:dyDescent="0.25">
      <c r="X1593" s="4"/>
      <c r="Y1593" s="4"/>
      <c r="Z1593" s="4"/>
      <c r="AA1593" s="4"/>
      <c r="AB1593" s="4"/>
      <c r="AC1593" s="7"/>
      <c r="AD1593" s="4"/>
      <c r="AE1593" s="4"/>
      <c r="AF1593" s="21"/>
    </row>
    <row r="1594" spans="24:32" x14ac:dyDescent="0.25">
      <c r="X1594" s="4"/>
      <c r="Y1594" s="4"/>
      <c r="Z1594" s="4"/>
      <c r="AA1594" s="4"/>
      <c r="AB1594" s="4"/>
      <c r="AC1594" s="7"/>
      <c r="AD1594" s="4"/>
      <c r="AE1594" s="4"/>
      <c r="AF1594" s="21"/>
    </row>
    <row r="1595" spans="24:32" x14ac:dyDescent="0.25">
      <c r="X1595" s="4"/>
      <c r="Y1595" s="4"/>
      <c r="Z1595" s="4"/>
      <c r="AA1595" s="4"/>
      <c r="AB1595" s="4"/>
      <c r="AC1595" s="7"/>
      <c r="AD1595" s="4"/>
      <c r="AE1595" s="4"/>
      <c r="AF1595" s="21"/>
    </row>
    <row r="1596" spans="24:32" x14ac:dyDescent="0.25">
      <c r="X1596" s="4"/>
      <c r="Y1596" s="4"/>
      <c r="Z1596" s="4"/>
      <c r="AA1596" s="4"/>
      <c r="AB1596" s="4"/>
      <c r="AC1596" s="7"/>
      <c r="AD1596" s="4"/>
      <c r="AE1596" s="4"/>
      <c r="AF1596" s="21"/>
    </row>
    <row r="1597" spans="24:32" x14ac:dyDescent="0.25">
      <c r="X1597" s="4"/>
      <c r="Y1597" s="4"/>
      <c r="Z1597" s="4"/>
      <c r="AA1597" s="4"/>
      <c r="AB1597" s="4"/>
      <c r="AC1597" s="7"/>
      <c r="AD1597" s="4"/>
      <c r="AE1597" s="4"/>
      <c r="AF1597" s="21"/>
    </row>
    <row r="1598" spans="24:32" x14ac:dyDescent="0.25">
      <c r="X1598" s="4"/>
      <c r="Y1598" s="4"/>
      <c r="Z1598" s="4"/>
      <c r="AA1598" s="4"/>
      <c r="AB1598" s="4"/>
      <c r="AC1598" s="7"/>
      <c r="AD1598" s="4"/>
      <c r="AE1598" s="4"/>
      <c r="AF1598" s="21"/>
    </row>
    <row r="1599" spans="24:32" x14ac:dyDescent="0.25">
      <c r="X1599" s="4"/>
      <c r="Y1599" s="4"/>
      <c r="Z1599" s="4"/>
      <c r="AA1599" s="4"/>
      <c r="AB1599" s="4"/>
      <c r="AC1599" s="7"/>
      <c r="AD1599" s="4"/>
      <c r="AE1599" s="4"/>
      <c r="AF1599" s="21"/>
    </row>
    <row r="1600" spans="24:32" x14ac:dyDescent="0.25">
      <c r="X1600" s="4"/>
      <c r="Y1600" s="4"/>
      <c r="Z1600" s="4"/>
      <c r="AA1600" s="4"/>
      <c r="AB1600" s="4"/>
      <c r="AC1600" s="7"/>
      <c r="AD1600" s="4"/>
      <c r="AE1600" s="4"/>
      <c r="AF1600" s="21"/>
    </row>
    <row r="1601" spans="24:32" x14ac:dyDescent="0.25">
      <c r="X1601" s="4"/>
      <c r="Y1601" s="4"/>
      <c r="Z1601" s="4"/>
      <c r="AA1601" s="4"/>
      <c r="AB1601" s="4"/>
      <c r="AC1601" s="7"/>
      <c r="AD1601" s="4"/>
      <c r="AE1601" s="4"/>
      <c r="AF1601" s="21"/>
    </row>
    <row r="1602" spans="24:32" x14ac:dyDescent="0.25">
      <c r="X1602" s="4"/>
      <c r="Y1602" s="4"/>
      <c r="Z1602" s="4"/>
      <c r="AA1602" s="4"/>
      <c r="AB1602" s="4"/>
      <c r="AC1602" s="7"/>
      <c r="AD1602" s="4"/>
      <c r="AE1602" s="4"/>
      <c r="AF1602" s="21"/>
    </row>
    <row r="1603" spans="24:32" x14ac:dyDescent="0.25">
      <c r="X1603" s="4"/>
      <c r="Y1603" s="4"/>
      <c r="Z1603" s="4"/>
      <c r="AA1603" s="4"/>
      <c r="AB1603" s="4"/>
      <c r="AC1603" s="7"/>
      <c r="AD1603" s="4"/>
      <c r="AE1603" s="4"/>
      <c r="AF1603" s="21"/>
    </row>
    <row r="1604" spans="24:32" x14ac:dyDescent="0.25">
      <c r="X1604" s="4"/>
      <c r="Y1604" s="4"/>
      <c r="Z1604" s="4"/>
      <c r="AA1604" s="4"/>
      <c r="AB1604" s="4"/>
      <c r="AC1604" s="7"/>
      <c r="AD1604" s="4"/>
      <c r="AE1604" s="4"/>
      <c r="AF1604" s="21"/>
    </row>
    <row r="1605" spans="24:32" x14ac:dyDescent="0.25">
      <c r="X1605" s="4"/>
      <c r="Y1605" s="4"/>
      <c r="Z1605" s="4"/>
      <c r="AA1605" s="4"/>
      <c r="AB1605" s="4"/>
      <c r="AC1605" s="7"/>
      <c r="AD1605" s="4"/>
      <c r="AE1605" s="4"/>
      <c r="AF1605" s="21"/>
    </row>
    <row r="1606" spans="24:32" x14ac:dyDescent="0.25">
      <c r="X1606" s="4"/>
      <c r="Y1606" s="4"/>
      <c r="Z1606" s="4"/>
      <c r="AA1606" s="4"/>
      <c r="AB1606" s="4"/>
      <c r="AC1606" s="7"/>
      <c r="AD1606" s="4"/>
      <c r="AE1606" s="4"/>
      <c r="AF1606" s="21"/>
    </row>
    <row r="1607" spans="24:32" x14ac:dyDescent="0.25">
      <c r="X1607" s="4"/>
      <c r="Y1607" s="4"/>
      <c r="Z1607" s="4"/>
      <c r="AA1607" s="4"/>
      <c r="AB1607" s="4"/>
      <c r="AC1607" s="7"/>
      <c r="AD1607" s="4"/>
      <c r="AE1607" s="4"/>
      <c r="AF1607" s="21"/>
    </row>
    <row r="1608" spans="24:32" x14ac:dyDescent="0.25">
      <c r="X1608" s="4"/>
      <c r="Y1608" s="4"/>
      <c r="Z1608" s="4"/>
      <c r="AA1608" s="4"/>
      <c r="AB1608" s="4"/>
      <c r="AC1608" s="7"/>
      <c r="AD1608" s="4"/>
      <c r="AE1608" s="4"/>
      <c r="AF1608" s="21"/>
    </row>
    <row r="1609" spans="24:32" x14ac:dyDescent="0.25">
      <c r="X1609" s="4"/>
      <c r="Y1609" s="4"/>
      <c r="Z1609" s="4"/>
      <c r="AA1609" s="4"/>
      <c r="AB1609" s="4"/>
      <c r="AC1609" s="7"/>
      <c r="AD1609" s="4"/>
      <c r="AE1609" s="4"/>
      <c r="AF1609" s="21"/>
    </row>
    <row r="1610" spans="24:32" x14ac:dyDescent="0.25">
      <c r="X1610" s="4"/>
      <c r="Y1610" s="4"/>
      <c r="Z1610" s="4"/>
      <c r="AA1610" s="4"/>
      <c r="AB1610" s="4"/>
      <c r="AC1610" s="7"/>
      <c r="AD1610" s="4"/>
      <c r="AE1610" s="4"/>
      <c r="AF1610" s="21"/>
    </row>
    <row r="1611" spans="24:32" x14ac:dyDescent="0.25">
      <c r="X1611" s="4"/>
      <c r="Y1611" s="4"/>
      <c r="Z1611" s="4"/>
      <c r="AA1611" s="4"/>
      <c r="AB1611" s="4"/>
      <c r="AC1611" s="7"/>
      <c r="AD1611" s="4"/>
      <c r="AE1611" s="4"/>
      <c r="AF1611" s="21"/>
    </row>
    <row r="1612" spans="24:32" x14ac:dyDescent="0.25">
      <c r="X1612" s="4"/>
      <c r="Y1612" s="4"/>
      <c r="Z1612" s="4"/>
      <c r="AA1612" s="4"/>
      <c r="AB1612" s="4"/>
      <c r="AC1612" s="7"/>
      <c r="AD1612" s="4"/>
      <c r="AE1612" s="4"/>
      <c r="AF1612" s="21"/>
    </row>
    <row r="1613" spans="24:32" x14ac:dyDescent="0.25">
      <c r="X1613" s="4"/>
      <c r="Y1613" s="4"/>
      <c r="Z1613" s="4"/>
      <c r="AA1613" s="4"/>
      <c r="AB1613" s="4"/>
      <c r="AC1613" s="7"/>
      <c r="AD1613" s="4"/>
      <c r="AE1613" s="4"/>
      <c r="AF1613" s="21"/>
    </row>
    <row r="1614" spans="24:32" x14ac:dyDescent="0.25">
      <c r="X1614" s="4"/>
      <c r="Y1614" s="4"/>
      <c r="Z1614" s="4"/>
      <c r="AA1614" s="4"/>
      <c r="AB1614" s="4"/>
      <c r="AC1614" s="7"/>
      <c r="AD1614" s="4"/>
      <c r="AE1614" s="4"/>
      <c r="AF1614" s="21"/>
    </row>
    <row r="1615" spans="24:32" x14ac:dyDescent="0.25">
      <c r="X1615" s="4"/>
      <c r="Y1615" s="4"/>
      <c r="Z1615" s="4"/>
      <c r="AA1615" s="4"/>
      <c r="AB1615" s="4"/>
      <c r="AC1615" s="7"/>
      <c r="AD1615" s="4"/>
      <c r="AE1615" s="4"/>
      <c r="AF1615" s="21"/>
    </row>
    <row r="1616" spans="24:32" x14ac:dyDescent="0.25">
      <c r="X1616" s="4"/>
      <c r="Y1616" s="4"/>
      <c r="Z1616" s="4"/>
      <c r="AA1616" s="4"/>
      <c r="AB1616" s="4"/>
      <c r="AC1616" s="7"/>
      <c r="AD1616" s="4"/>
      <c r="AE1616" s="4"/>
      <c r="AF1616" s="21"/>
    </row>
    <row r="1617" spans="24:32" x14ac:dyDescent="0.25">
      <c r="X1617" s="4"/>
      <c r="Y1617" s="4"/>
      <c r="Z1617" s="4"/>
      <c r="AA1617" s="4"/>
      <c r="AB1617" s="4"/>
      <c r="AC1617" s="7"/>
      <c r="AD1617" s="4"/>
      <c r="AE1617" s="4"/>
      <c r="AF1617" s="21"/>
    </row>
    <row r="1618" spans="24:32" x14ac:dyDescent="0.25">
      <c r="X1618" s="4"/>
      <c r="Y1618" s="4"/>
      <c r="Z1618" s="4"/>
      <c r="AA1618" s="4"/>
      <c r="AB1618" s="4"/>
      <c r="AC1618" s="7"/>
      <c r="AD1618" s="4"/>
      <c r="AE1618" s="4"/>
      <c r="AF1618" s="21"/>
    </row>
    <row r="1619" spans="24:32" x14ac:dyDescent="0.25">
      <c r="X1619" s="4"/>
      <c r="Y1619" s="4"/>
      <c r="Z1619" s="4"/>
      <c r="AA1619" s="4"/>
      <c r="AB1619" s="4"/>
      <c r="AC1619" s="7"/>
      <c r="AD1619" s="4"/>
      <c r="AE1619" s="4"/>
      <c r="AF1619" s="21"/>
    </row>
    <row r="1620" spans="24:32" x14ac:dyDescent="0.25">
      <c r="X1620" s="4"/>
      <c r="Y1620" s="4"/>
      <c r="Z1620" s="4"/>
      <c r="AA1620" s="4"/>
      <c r="AB1620" s="4"/>
      <c r="AC1620" s="7"/>
      <c r="AD1620" s="4"/>
      <c r="AE1620" s="4"/>
      <c r="AF1620" s="21"/>
    </row>
    <row r="1621" spans="24:32" x14ac:dyDescent="0.25">
      <c r="X1621" s="4"/>
      <c r="Y1621" s="4"/>
      <c r="Z1621" s="4"/>
      <c r="AA1621" s="4"/>
      <c r="AB1621" s="4"/>
      <c r="AC1621" s="7"/>
      <c r="AD1621" s="4"/>
      <c r="AE1621" s="4"/>
      <c r="AF1621" s="21"/>
    </row>
    <row r="1622" spans="24:32" x14ac:dyDescent="0.25">
      <c r="X1622" s="4"/>
      <c r="Y1622" s="4"/>
      <c r="Z1622" s="4"/>
      <c r="AA1622" s="4"/>
      <c r="AB1622" s="4"/>
      <c r="AC1622" s="7"/>
      <c r="AD1622" s="4"/>
      <c r="AE1622" s="4"/>
      <c r="AF1622" s="21"/>
    </row>
    <row r="1623" spans="24:32" x14ac:dyDescent="0.25">
      <c r="X1623" s="4"/>
      <c r="Y1623" s="4"/>
      <c r="Z1623" s="4"/>
      <c r="AA1623" s="4"/>
      <c r="AB1623" s="4"/>
      <c r="AC1623" s="7"/>
      <c r="AD1623" s="4"/>
      <c r="AE1623" s="4"/>
      <c r="AF1623" s="21"/>
    </row>
    <row r="1624" spans="24:32" x14ac:dyDescent="0.25">
      <c r="X1624" s="4"/>
      <c r="Y1624" s="4"/>
      <c r="Z1624" s="4"/>
      <c r="AA1624" s="4"/>
      <c r="AB1624" s="4"/>
      <c r="AC1624" s="7"/>
      <c r="AD1624" s="4"/>
      <c r="AE1624" s="4"/>
      <c r="AF1624" s="21"/>
    </row>
    <row r="1625" spans="24:32" x14ac:dyDescent="0.25">
      <c r="X1625" s="4"/>
      <c r="Y1625" s="4"/>
      <c r="Z1625" s="4"/>
      <c r="AA1625" s="4"/>
      <c r="AB1625" s="4"/>
      <c r="AC1625" s="7"/>
      <c r="AD1625" s="4"/>
      <c r="AE1625" s="4"/>
      <c r="AF1625" s="21"/>
    </row>
    <row r="1626" spans="24:32" x14ac:dyDescent="0.25">
      <c r="X1626" s="4"/>
      <c r="Y1626" s="4"/>
      <c r="Z1626" s="4"/>
      <c r="AA1626" s="4"/>
      <c r="AB1626" s="4"/>
      <c r="AC1626" s="7"/>
      <c r="AD1626" s="4"/>
      <c r="AE1626" s="4"/>
      <c r="AF1626" s="21"/>
    </row>
    <row r="1627" spans="24:32" x14ac:dyDescent="0.25">
      <c r="X1627" s="4"/>
      <c r="Y1627" s="4"/>
      <c r="Z1627" s="4"/>
      <c r="AA1627" s="4"/>
      <c r="AB1627" s="4"/>
      <c r="AC1627" s="7"/>
      <c r="AD1627" s="4"/>
      <c r="AE1627" s="4"/>
      <c r="AF1627" s="21"/>
    </row>
    <row r="1628" spans="24:32" x14ac:dyDescent="0.25">
      <c r="X1628" s="4"/>
      <c r="Y1628" s="4"/>
      <c r="Z1628" s="4"/>
      <c r="AA1628" s="4"/>
      <c r="AB1628" s="4"/>
      <c r="AC1628" s="7"/>
      <c r="AD1628" s="4"/>
      <c r="AE1628" s="4"/>
      <c r="AF1628" s="21"/>
    </row>
    <row r="1629" spans="24:32" x14ac:dyDescent="0.25">
      <c r="X1629" s="4"/>
      <c r="Y1629" s="4"/>
      <c r="Z1629" s="4"/>
      <c r="AA1629" s="4"/>
      <c r="AB1629" s="4"/>
      <c r="AC1629" s="7"/>
      <c r="AD1629" s="4"/>
      <c r="AE1629" s="4"/>
      <c r="AF1629" s="21"/>
    </row>
    <row r="1630" spans="24:32" x14ac:dyDescent="0.25">
      <c r="X1630" s="4"/>
      <c r="Y1630" s="4"/>
      <c r="Z1630" s="4"/>
      <c r="AA1630" s="4"/>
      <c r="AB1630" s="4"/>
      <c r="AC1630" s="7"/>
      <c r="AD1630" s="4"/>
      <c r="AE1630" s="4"/>
      <c r="AF1630" s="21"/>
    </row>
    <row r="1631" spans="24:32" x14ac:dyDescent="0.25">
      <c r="X1631" s="4"/>
      <c r="Y1631" s="4"/>
      <c r="Z1631" s="4"/>
      <c r="AA1631" s="4"/>
      <c r="AB1631" s="4"/>
      <c r="AC1631" s="7"/>
      <c r="AD1631" s="4"/>
      <c r="AE1631" s="4"/>
      <c r="AF1631" s="21"/>
    </row>
    <row r="1632" spans="24:32" x14ac:dyDescent="0.25">
      <c r="X1632" s="4"/>
      <c r="Y1632" s="4"/>
      <c r="Z1632" s="4"/>
      <c r="AA1632" s="4"/>
      <c r="AB1632" s="4"/>
      <c r="AC1632" s="7"/>
      <c r="AD1632" s="4"/>
      <c r="AE1632" s="4"/>
      <c r="AF1632" s="21"/>
    </row>
    <row r="1633" spans="24:32" x14ac:dyDescent="0.25">
      <c r="X1633" s="4"/>
      <c r="Y1633" s="4"/>
      <c r="Z1633" s="4"/>
      <c r="AA1633" s="4"/>
      <c r="AB1633" s="4"/>
      <c r="AC1633" s="7"/>
      <c r="AD1633" s="4"/>
      <c r="AE1633" s="4"/>
      <c r="AF1633" s="21"/>
    </row>
    <row r="1634" spans="24:32" x14ac:dyDescent="0.25">
      <c r="X1634" s="4"/>
      <c r="Y1634" s="4"/>
      <c r="Z1634" s="4"/>
      <c r="AA1634" s="4"/>
      <c r="AB1634" s="4"/>
      <c r="AC1634" s="7"/>
      <c r="AD1634" s="4"/>
      <c r="AE1634" s="4"/>
      <c r="AF1634" s="21"/>
    </row>
    <row r="1635" spans="24:32" x14ac:dyDescent="0.25">
      <c r="X1635" s="4"/>
      <c r="Y1635" s="4"/>
      <c r="Z1635" s="4"/>
      <c r="AA1635" s="4"/>
      <c r="AB1635" s="4"/>
      <c r="AC1635" s="7"/>
      <c r="AD1635" s="4"/>
      <c r="AE1635" s="4"/>
      <c r="AF1635" s="21"/>
    </row>
    <row r="1636" spans="24:32" x14ac:dyDescent="0.25">
      <c r="X1636" s="4"/>
      <c r="Y1636" s="4"/>
      <c r="Z1636" s="4"/>
      <c r="AA1636" s="4"/>
      <c r="AB1636" s="4"/>
      <c r="AC1636" s="7"/>
      <c r="AD1636" s="4"/>
      <c r="AE1636" s="4"/>
      <c r="AF1636" s="21"/>
    </row>
    <row r="1637" spans="24:32" x14ac:dyDescent="0.25">
      <c r="X1637" s="4"/>
      <c r="Y1637" s="4"/>
      <c r="Z1637" s="4"/>
      <c r="AA1637" s="4"/>
      <c r="AB1637" s="4"/>
      <c r="AC1637" s="7"/>
      <c r="AD1637" s="4"/>
      <c r="AE1637" s="4"/>
      <c r="AF1637" s="21"/>
    </row>
    <row r="1638" spans="24:32" x14ac:dyDescent="0.25">
      <c r="X1638" s="4"/>
      <c r="Y1638" s="4"/>
      <c r="Z1638" s="4"/>
      <c r="AA1638" s="4"/>
      <c r="AB1638" s="4"/>
      <c r="AC1638" s="7"/>
      <c r="AD1638" s="4"/>
      <c r="AE1638" s="4"/>
      <c r="AF1638" s="21"/>
    </row>
    <row r="1639" spans="24:32" x14ac:dyDescent="0.25">
      <c r="X1639" s="4"/>
      <c r="Y1639" s="4"/>
      <c r="Z1639" s="4"/>
      <c r="AA1639" s="4"/>
      <c r="AB1639" s="4"/>
      <c r="AC1639" s="7"/>
      <c r="AD1639" s="4"/>
      <c r="AE1639" s="4"/>
      <c r="AF1639" s="21"/>
    </row>
    <row r="1640" spans="24:32" x14ac:dyDescent="0.25">
      <c r="X1640" s="4"/>
      <c r="Y1640" s="4"/>
      <c r="Z1640" s="4"/>
      <c r="AA1640" s="4"/>
      <c r="AB1640" s="4"/>
      <c r="AC1640" s="7"/>
      <c r="AD1640" s="4"/>
      <c r="AE1640" s="4"/>
      <c r="AF1640" s="21"/>
    </row>
    <row r="1641" spans="24:32" x14ac:dyDescent="0.25">
      <c r="X1641" s="4"/>
      <c r="Y1641" s="4"/>
      <c r="Z1641" s="4"/>
      <c r="AA1641" s="4"/>
      <c r="AB1641" s="4"/>
      <c r="AC1641" s="7"/>
      <c r="AD1641" s="4"/>
      <c r="AE1641" s="4"/>
      <c r="AF1641" s="21"/>
    </row>
    <row r="1642" spans="24:32" x14ac:dyDescent="0.25">
      <c r="X1642" s="4"/>
      <c r="Y1642" s="4"/>
      <c r="Z1642" s="4"/>
      <c r="AA1642" s="4"/>
      <c r="AB1642" s="4"/>
      <c r="AC1642" s="7"/>
      <c r="AD1642" s="4"/>
      <c r="AE1642" s="4"/>
      <c r="AF1642" s="21"/>
    </row>
    <row r="1643" spans="24:32" x14ac:dyDescent="0.25">
      <c r="X1643" s="4"/>
      <c r="Y1643" s="4"/>
      <c r="Z1643" s="4"/>
      <c r="AA1643" s="4"/>
      <c r="AB1643" s="4"/>
      <c r="AC1643" s="7"/>
      <c r="AD1643" s="4"/>
      <c r="AE1643" s="4"/>
      <c r="AF1643" s="21"/>
    </row>
    <row r="1644" spans="24:32" x14ac:dyDescent="0.25">
      <c r="X1644" s="4"/>
      <c r="Y1644" s="4"/>
      <c r="Z1644" s="4"/>
      <c r="AA1644" s="4"/>
      <c r="AB1644" s="4"/>
      <c r="AC1644" s="7"/>
      <c r="AD1644" s="4"/>
      <c r="AE1644" s="4"/>
      <c r="AF1644" s="21"/>
    </row>
    <row r="1645" spans="24:32" x14ac:dyDescent="0.25">
      <c r="X1645" s="4"/>
      <c r="Y1645" s="4"/>
      <c r="Z1645" s="4"/>
      <c r="AA1645" s="4"/>
      <c r="AB1645" s="4"/>
      <c r="AC1645" s="7"/>
      <c r="AD1645" s="4"/>
      <c r="AE1645" s="4"/>
      <c r="AF1645" s="21"/>
    </row>
    <row r="1646" spans="24:32" x14ac:dyDescent="0.25">
      <c r="X1646" s="4"/>
      <c r="Y1646" s="4"/>
      <c r="Z1646" s="4"/>
      <c r="AA1646" s="4"/>
      <c r="AB1646" s="4"/>
      <c r="AC1646" s="7"/>
      <c r="AD1646" s="4"/>
      <c r="AE1646" s="4"/>
      <c r="AF1646" s="21"/>
    </row>
    <row r="1647" spans="24:32" x14ac:dyDescent="0.25">
      <c r="X1647" s="4"/>
      <c r="Y1647" s="4"/>
      <c r="Z1647" s="4"/>
      <c r="AA1647" s="4"/>
      <c r="AB1647" s="4"/>
      <c r="AC1647" s="7"/>
      <c r="AD1647" s="4"/>
      <c r="AE1647" s="4"/>
      <c r="AF1647" s="21"/>
    </row>
    <row r="1648" spans="24:32" x14ac:dyDescent="0.25">
      <c r="X1648" s="4"/>
      <c r="Y1648" s="4"/>
      <c r="Z1648" s="4"/>
      <c r="AA1648" s="4"/>
      <c r="AB1648" s="4"/>
      <c r="AC1648" s="7"/>
      <c r="AD1648" s="4"/>
      <c r="AE1648" s="4"/>
      <c r="AF1648" s="21"/>
    </row>
    <row r="1649" spans="24:32" x14ac:dyDescent="0.25">
      <c r="X1649" s="4"/>
      <c r="Y1649" s="4"/>
      <c r="Z1649" s="4"/>
      <c r="AA1649" s="4"/>
      <c r="AB1649" s="4"/>
      <c r="AC1649" s="7"/>
      <c r="AD1649" s="4"/>
      <c r="AE1649" s="4"/>
      <c r="AF1649" s="21"/>
    </row>
    <row r="1650" spans="24:32" x14ac:dyDescent="0.25">
      <c r="X1650" s="4"/>
      <c r="Y1650" s="4"/>
      <c r="Z1650" s="4"/>
      <c r="AA1650" s="4"/>
      <c r="AB1650" s="4"/>
      <c r="AC1650" s="7"/>
      <c r="AD1650" s="4"/>
      <c r="AE1650" s="4"/>
      <c r="AF1650" s="21"/>
    </row>
    <row r="1651" spans="24:32" x14ac:dyDescent="0.25">
      <c r="X1651" s="4"/>
      <c r="Y1651" s="4"/>
      <c r="Z1651" s="4"/>
      <c r="AA1651" s="4"/>
      <c r="AB1651" s="4"/>
      <c r="AC1651" s="7"/>
      <c r="AD1651" s="4"/>
      <c r="AE1651" s="4"/>
      <c r="AF1651" s="21"/>
    </row>
    <row r="1652" spans="24:32" x14ac:dyDescent="0.25">
      <c r="X1652" s="4"/>
      <c r="Y1652" s="4"/>
      <c r="Z1652" s="4"/>
      <c r="AA1652" s="4"/>
      <c r="AB1652" s="4"/>
      <c r="AC1652" s="7"/>
      <c r="AD1652" s="4"/>
      <c r="AE1652" s="4"/>
      <c r="AF1652" s="21"/>
    </row>
    <row r="1653" spans="24:32" x14ac:dyDescent="0.25">
      <c r="X1653" s="4"/>
      <c r="Y1653" s="4"/>
      <c r="Z1653" s="4"/>
      <c r="AA1653" s="4"/>
      <c r="AB1653" s="4"/>
      <c r="AC1653" s="7"/>
      <c r="AD1653" s="4"/>
      <c r="AE1653" s="4"/>
      <c r="AF1653" s="21"/>
    </row>
    <row r="1654" spans="24:32" x14ac:dyDescent="0.25">
      <c r="X1654" s="4"/>
      <c r="Y1654" s="4"/>
      <c r="Z1654" s="4"/>
      <c r="AA1654" s="4"/>
      <c r="AB1654" s="4"/>
      <c r="AC1654" s="7"/>
      <c r="AD1654" s="4"/>
      <c r="AE1654" s="4"/>
      <c r="AF1654" s="21"/>
    </row>
    <row r="1655" spans="24:32" x14ac:dyDescent="0.25">
      <c r="X1655" s="4"/>
      <c r="Y1655" s="4"/>
      <c r="Z1655" s="4"/>
      <c r="AA1655" s="4"/>
      <c r="AB1655" s="4"/>
      <c r="AC1655" s="7"/>
      <c r="AD1655" s="4"/>
      <c r="AE1655" s="4"/>
      <c r="AF1655" s="21"/>
    </row>
    <row r="1656" spans="24:32" x14ac:dyDescent="0.25">
      <c r="X1656" s="4"/>
      <c r="Y1656" s="4"/>
      <c r="Z1656" s="4"/>
      <c r="AA1656" s="4"/>
      <c r="AB1656" s="4"/>
      <c r="AC1656" s="7"/>
      <c r="AD1656" s="4"/>
      <c r="AE1656" s="4"/>
      <c r="AF1656" s="21"/>
    </row>
    <row r="1657" spans="24:32" x14ac:dyDescent="0.25">
      <c r="X1657" s="4"/>
      <c r="Y1657" s="4"/>
      <c r="Z1657" s="4"/>
      <c r="AA1657" s="4"/>
      <c r="AB1657" s="4"/>
      <c r="AC1657" s="7"/>
      <c r="AD1657" s="4"/>
      <c r="AE1657" s="4"/>
      <c r="AF1657" s="21"/>
    </row>
    <row r="1658" spans="24:32" x14ac:dyDescent="0.25">
      <c r="X1658" s="4"/>
      <c r="Y1658" s="4"/>
      <c r="Z1658" s="4"/>
      <c r="AA1658" s="4"/>
      <c r="AB1658" s="4"/>
      <c r="AC1658" s="7"/>
      <c r="AD1658" s="4"/>
      <c r="AE1658" s="4"/>
      <c r="AF1658" s="21"/>
    </row>
    <row r="1659" spans="24:32" x14ac:dyDescent="0.25">
      <c r="X1659" s="4"/>
      <c r="Y1659" s="4"/>
      <c r="Z1659" s="4"/>
      <c r="AA1659" s="4"/>
      <c r="AB1659" s="4"/>
      <c r="AC1659" s="7"/>
      <c r="AD1659" s="4"/>
      <c r="AE1659" s="4"/>
      <c r="AF1659" s="21"/>
    </row>
    <row r="1660" spans="24:32" x14ac:dyDescent="0.25">
      <c r="X1660" s="4"/>
      <c r="Y1660" s="4"/>
      <c r="Z1660" s="4"/>
      <c r="AA1660" s="4"/>
      <c r="AB1660" s="4"/>
      <c r="AC1660" s="7"/>
      <c r="AD1660" s="4"/>
      <c r="AE1660" s="4"/>
      <c r="AF1660" s="21"/>
    </row>
    <row r="1661" spans="24:32" x14ac:dyDescent="0.25">
      <c r="X1661" s="4"/>
      <c r="Y1661" s="4"/>
      <c r="Z1661" s="4"/>
      <c r="AA1661" s="4"/>
      <c r="AB1661" s="4"/>
      <c r="AC1661" s="7"/>
      <c r="AD1661" s="4"/>
      <c r="AE1661" s="4"/>
      <c r="AF1661" s="21"/>
    </row>
    <row r="1662" spans="24:32" x14ac:dyDescent="0.25">
      <c r="X1662" s="4"/>
      <c r="Y1662" s="4"/>
      <c r="Z1662" s="4"/>
      <c r="AA1662" s="4"/>
      <c r="AB1662" s="4"/>
      <c r="AC1662" s="7"/>
      <c r="AD1662" s="4"/>
      <c r="AE1662" s="4"/>
      <c r="AF1662" s="21"/>
    </row>
    <row r="1663" spans="24:32" x14ac:dyDescent="0.25">
      <c r="X1663" s="4"/>
      <c r="Y1663" s="4"/>
      <c r="Z1663" s="4"/>
      <c r="AA1663" s="4"/>
      <c r="AB1663" s="4"/>
      <c r="AC1663" s="7"/>
      <c r="AD1663" s="4"/>
      <c r="AE1663" s="4"/>
      <c r="AF1663" s="21"/>
    </row>
    <row r="1664" spans="24:32" x14ac:dyDescent="0.25">
      <c r="X1664" s="4"/>
      <c r="Y1664" s="4"/>
      <c r="Z1664" s="4"/>
      <c r="AA1664" s="4"/>
      <c r="AB1664" s="4"/>
      <c r="AC1664" s="7"/>
      <c r="AD1664" s="4"/>
      <c r="AE1664" s="4"/>
      <c r="AF1664" s="21"/>
    </row>
    <row r="1665" spans="24:32" x14ac:dyDescent="0.25">
      <c r="X1665" s="4"/>
      <c r="Y1665" s="4"/>
      <c r="Z1665" s="4"/>
      <c r="AA1665" s="4"/>
      <c r="AB1665" s="4"/>
      <c r="AC1665" s="7"/>
      <c r="AD1665" s="4"/>
      <c r="AE1665" s="4"/>
      <c r="AF1665" s="21"/>
    </row>
    <row r="1666" spans="24:32" x14ac:dyDescent="0.25">
      <c r="X1666" s="4"/>
      <c r="Y1666" s="4"/>
      <c r="Z1666" s="4"/>
      <c r="AA1666" s="4"/>
      <c r="AB1666" s="4"/>
      <c r="AC1666" s="7"/>
      <c r="AD1666" s="4"/>
      <c r="AE1666" s="4"/>
      <c r="AF1666" s="21"/>
    </row>
    <row r="1667" spans="24:32" x14ac:dyDescent="0.25">
      <c r="X1667" s="4"/>
      <c r="Y1667" s="4"/>
      <c r="Z1667" s="4"/>
      <c r="AA1667" s="4"/>
      <c r="AB1667" s="4"/>
      <c r="AC1667" s="7"/>
      <c r="AD1667" s="4"/>
      <c r="AE1667" s="4"/>
      <c r="AF1667" s="21"/>
    </row>
    <row r="1668" spans="24:32" x14ac:dyDescent="0.25">
      <c r="X1668" s="4"/>
      <c r="Y1668" s="4"/>
      <c r="Z1668" s="4"/>
      <c r="AA1668" s="4"/>
      <c r="AB1668" s="4"/>
      <c r="AC1668" s="7"/>
      <c r="AD1668" s="4"/>
      <c r="AE1668" s="4"/>
      <c r="AF1668" s="21"/>
    </row>
    <row r="1669" spans="24:32" x14ac:dyDescent="0.25">
      <c r="X1669" s="4"/>
      <c r="Y1669" s="4"/>
      <c r="Z1669" s="4"/>
      <c r="AA1669" s="4"/>
      <c r="AB1669" s="4"/>
      <c r="AC1669" s="7"/>
      <c r="AD1669" s="4"/>
      <c r="AE1669" s="4"/>
      <c r="AF1669" s="21"/>
    </row>
    <row r="1670" spans="24:32" x14ac:dyDescent="0.25">
      <c r="X1670" s="4"/>
      <c r="Y1670" s="4"/>
      <c r="Z1670" s="4"/>
      <c r="AA1670" s="4"/>
      <c r="AB1670" s="4"/>
      <c r="AC1670" s="7"/>
      <c r="AD1670" s="4"/>
      <c r="AE1670" s="4"/>
      <c r="AF1670" s="21"/>
    </row>
    <row r="1671" spans="24:32" x14ac:dyDescent="0.25">
      <c r="X1671" s="4"/>
      <c r="Y1671" s="4"/>
      <c r="Z1671" s="4"/>
      <c r="AA1671" s="4"/>
      <c r="AB1671" s="4"/>
      <c r="AC1671" s="7"/>
      <c r="AD1671" s="4"/>
      <c r="AE1671" s="4"/>
      <c r="AF1671" s="21"/>
    </row>
    <row r="1672" spans="24:32" x14ac:dyDescent="0.25">
      <c r="X1672" s="4"/>
      <c r="Y1672" s="4"/>
      <c r="Z1672" s="4"/>
      <c r="AA1672" s="4"/>
      <c r="AB1672" s="4"/>
      <c r="AC1672" s="7"/>
      <c r="AD1672" s="4"/>
      <c r="AE1672" s="4"/>
      <c r="AF1672" s="21"/>
    </row>
    <row r="1673" spans="24:32" x14ac:dyDescent="0.25">
      <c r="X1673" s="4"/>
      <c r="Y1673" s="4"/>
      <c r="Z1673" s="4"/>
      <c r="AA1673" s="4"/>
      <c r="AB1673" s="4"/>
      <c r="AC1673" s="7"/>
      <c r="AD1673" s="4"/>
      <c r="AE1673" s="4"/>
      <c r="AF1673" s="21"/>
    </row>
    <row r="1674" spans="24:32" x14ac:dyDescent="0.25">
      <c r="X1674" s="4"/>
      <c r="Y1674" s="4"/>
      <c r="Z1674" s="4"/>
      <c r="AA1674" s="4"/>
      <c r="AB1674" s="4"/>
      <c r="AC1674" s="7"/>
      <c r="AD1674" s="4"/>
      <c r="AE1674" s="4"/>
      <c r="AF1674" s="21"/>
    </row>
    <row r="1675" spans="24:32" x14ac:dyDescent="0.25">
      <c r="X1675" s="4"/>
      <c r="Y1675" s="4"/>
      <c r="Z1675" s="4"/>
      <c r="AA1675" s="4"/>
      <c r="AB1675" s="4"/>
      <c r="AC1675" s="7"/>
      <c r="AD1675" s="4"/>
      <c r="AE1675" s="4"/>
      <c r="AF1675" s="21"/>
    </row>
    <row r="1676" spans="24:32" x14ac:dyDescent="0.25">
      <c r="X1676" s="4"/>
      <c r="Y1676" s="4"/>
      <c r="Z1676" s="4"/>
      <c r="AA1676" s="4"/>
      <c r="AB1676" s="4"/>
      <c r="AC1676" s="7"/>
      <c r="AD1676" s="4"/>
      <c r="AE1676" s="4"/>
      <c r="AF1676" s="21"/>
    </row>
    <row r="1677" spans="24:32" x14ac:dyDescent="0.25">
      <c r="X1677" s="4"/>
      <c r="Y1677" s="4"/>
      <c r="Z1677" s="4"/>
      <c r="AA1677" s="4"/>
      <c r="AB1677" s="4"/>
      <c r="AC1677" s="7"/>
      <c r="AD1677" s="4"/>
      <c r="AE1677" s="4"/>
      <c r="AF1677" s="21"/>
    </row>
    <row r="1678" spans="24:32" x14ac:dyDescent="0.25">
      <c r="X1678" s="4"/>
      <c r="Y1678" s="4"/>
      <c r="Z1678" s="4"/>
      <c r="AA1678" s="4"/>
      <c r="AB1678" s="4"/>
      <c r="AC1678" s="7"/>
      <c r="AD1678" s="4"/>
      <c r="AE1678" s="4"/>
      <c r="AF1678" s="21"/>
    </row>
    <row r="1679" spans="24:32" x14ac:dyDescent="0.25">
      <c r="X1679" s="4"/>
      <c r="Y1679" s="4"/>
      <c r="Z1679" s="4"/>
      <c r="AA1679" s="4"/>
      <c r="AB1679" s="4"/>
      <c r="AC1679" s="7"/>
      <c r="AD1679" s="4"/>
      <c r="AE1679" s="4"/>
      <c r="AF1679" s="21"/>
    </row>
    <row r="1680" spans="24:32" x14ac:dyDescent="0.25">
      <c r="X1680" s="4"/>
      <c r="Y1680" s="4"/>
      <c r="Z1680" s="4"/>
      <c r="AA1680" s="4"/>
      <c r="AB1680" s="4"/>
      <c r="AC1680" s="7"/>
      <c r="AD1680" s="4"/>
      <c r="AE1680" s="4"/>
      <c r="AF1680" s="21"/>
    </row>
    <row r="1681" spans="24:32" x14ac:dyDescent="0.25">
      <c r="X1681" s="4"/>
      <c r="Y1681" s="4"/>
      <c r="Z1681" s="4"/>
      <c r="AA1681" s="4"/>
      <c r="AB1681" s="4"/>
      <c r="AC1681" s="7"/>
      <c r="AD1681" s="4"/>
      <c r="AE1681" s="4"/>
      <c r="AF1681" s="21"/>
    </row>
    <row r="1682" spans="24:32" x14ac:dyDescent="0.25">
      <c r="X1682" s="4"/>
      <c r="Y1682" s="4"/>
      <c r="Z1682" s="4"/>
      <c r="AA1682" s="4"/>
      <c r="AB1682" s="4"/>
      <c r="AC1682" s="7"/>
      <c r="AD1682" s="4"/>
      <c r="AE1682" s="4"/>
      <c r="AF1682" s="21"/>
    </row>
    <row r="1683" spans="24:32" x14ac:dyDescent="0.25">
      <c r="X1683" s="4"/>
      <c r="Y1683" s="4"/>
      <c r="Z1683" s="4"/>
      <c r="AA1683" s="4"/>
      <c r="AB1683" s="4"/>
      <c r="AC1683" s="7"/>
      <c r="AD1683" s="4"/>
      <c r="AE1683" s="4"/>
      <c r="AF1683" s="21"/>
    </row>
    <row r="1684" spans="24:32" x14ac:dyDescent="0.25">
      <c r="X1684" s="4"/>
      <c r="Y1684" s="4"/>
      <c r="Z1684" s="4"/>
      <c r="AA1684" s="4"/>
      <c r="AB1684" s="4"/>
      <c r="AC1684" s="7"/>
      <c r="AD1684" s="4"/>
      <c r="AE1684" s="4"/>
      <c r="AF1684" s="21"/>
    </row>
    <row r="1685" spans="24:32" x14ac:dyDescent="0.25">
      <c r="X1685" s="4"/>
      <c r="Y1685" s="4"/>
      <c r="Z1685" s="4"/>
      <c r="AA1685" s="4"/>
      <c r="AB1685" s="4"/>
      <c r="AC1685" s="7"/>
      <c r="AD1685" s="4"/>
      <c r="AE1685" s="4"/>
      <c r="AF1685" s="21"/>
    </row>
    <row r="1686" spans="24:32" x14ac:dyDescent="0.25">
      <c r="X1686" s="4"/>
      <c r="Y1686" s="4"/>
      <c r="Z1686" s="4"/>
      <c r="AA1686" s="4"/>
      <c r="AB1686" s="4"/>
      <c r="AC1686" s="7"/>
      <c r="AD1686" s="4"/>
      <c r="AE1686" s="4"/>
      <c r="AF1686" s="21"/>
    </row>
    <row r="1687" spans="24:32" x14ac:dyDescent="0.25">
      <c r="X1687" s="4"/>
      <c r="Y1687" s="4"/>
      <c r="Z1687" s="4"/>
      <c r="AA1687" s="4"/>
      <c r="AB1687" s="4"/>
      <c r="AC1687" s="7"/>
      <c r="AD1687" s="4"/>
      <c r="AE1687" s="4"/>
      <c r="AF1687" s="21"/>
    </row>
    <row r="1688" spans="24:32" x14ac:dyDescent="0.25">
      <c r="X1688" s="4"/>
      <c r="Y1688" s="4"/>
      <c r="Z1688" s="4"/>
      <c r="AA1688" s="4"/>
      <c r="AB1688" s="4"/>
      <c r="AC1688" s="7"/>
      <c r="AD1688" s="4"/>
      <c r="AE1688" s="4"/>
      <c r="AF1688" s="21"/>
    </row>
    <row r="1689" spans="24:32" x14ac:dyDescent="0.25">
      <c r="X1689" s="4"/>
      <c r="Y1689" s="4"/>
      <c r="Z1689" s="4"/>
      <c r="AA1689" s="4"/>
      <c r="AB1689" s="4"/>
      <c r="AC1689" s="7"/>
      <c r="AD1689" s="4"/>
      <c r="AE1689" s="4"/>
      <c r="AF1689" s="21"/>
    </row>
    <row r="1690" spans="24:32" x14ac:dyDescent="0.25">
      <c r="X1690" s="4"/>
      <c r="Y1690" s="4"/>
      <c r="Z1690" s="4"/>
      <c r="AA1690" s="4"/>
      <c r="AB1690" s="4"/>
      <c r="AC1690" s="7"/>
      <c r="AD1690" s="4"/>
      <c r="AE1690" s="4"/>
      <c r="AF1690" s="21"/>
    </row>
    <row r="1691" spans="24:32" x14ac:dyDescent="0.25">
      <c r="X1691" s="4"/>
      <c r="Y1691" s="4"/>
      <c r="Z1691" s="4"/>
      <c r="AA1691" s="4"/>
      <c r="AB1691" s="4"/>
      <c r="AC1691" s="7"/>
      <c r="AD1691" s="4"/>
      <c r="AE1691" s="4"/>
      <c r="AF1691" s="21"/>
    </row>
    <row r="1692" spans="24:32" x14ac:dyDescent="0.25">
      <c r="X1692" s="4"/>
      <c r="Y1692" s="4"/>
      <c r="Z1692" s="4"/>
      <c r="AA1692" s="4"/>
      <c r="AB1692" s="4"/>
      <c r="AC1692" s="7"/>
      <c r="AD1692" s="4"/>
      <c r="AE1692" s="4"/>
      <c r="AF1692" s="21"/>
    </row>
    <row r="1693" spans="24:32" x14ac:dyDescent="0.25">
      <c r="X1693" s="4"/>
      <c r="Y1693" s="4"/>
      <c r="Z1693" s="4"/>
      <c r="AA1693" s="4"/>
      <c r="AB1693" s="4"/>
      <c r="AC1693" s="7"/>
      <c r="AD1693" s="4"/>
      <c r="AE1693" s="4"/>
      <c r="AF1693" s="21"/>
    </row>
    <row r="1694" spans="24:32" x14ac:dyDescent="0.25">
      <c r="X1694" s="4"/>
      <c r="Y1694" s="4"/>
      <c r="Z1694" s="4"/>
      <c r="AA1694" s="4"/>
      <c r="AB1694" s="4"/>
      <c r="AC1694" s="7"/>
      <c r="AD1694" s="4"/>
      <c r="AE1694" s="4"/>
      <c r="AF1694" s="21"/>
    </row>
    <row r="1695" spans="24:32" x14ac:dyDescent="0.25">
      <c r="X1695" s="4"/>
      <c r="Y1695" s="4"/>
      <c r="Z1695" s="4"/>
      <c r="AA1695" s="4"/>
      <c r="AB1695" s="4"/>
      <c r="AC1695" s="7"/>
      <c r="AD1695" s="4"/>
      <c r="AE1695" s="4"/>
      <c r="AF1695" s="21"/>
    </row>
    <row r="1696" spans="24:32" x14ac:dyDescent="0.25">
      <c r="X1696" s="4"/>
      <c r="Y1696" s="4"/>
      <c r="Z1696" s="4"/>
      <c r="AA1696" s="4"/>
      <c r="AB1696" s="4"/>
      <c r="AC1696" s="7"/>
      <c r="AD1696" s="4"/>
      <c r="AE1696" s="4"/>
      <c r="AF1696" s="21"/>
    </row>
    <row r="1697" spans="24:32" x14ac:dyDescent="0.25">
      <c r="X1697" s="4"/>
      <c r="Y1697" s="4"/>
      <c r="Z1697" s="4"/>
      <c r="AA1697" s="4"/>
      <c r="AB1697" s="4"/>
      <c r="AC1697" s="7"/>
      <c r="AD1697" s="4"/>
      <c r="AE1697" s="4"/>
      <c r="AF1697" s="21"/>
    </row>
    <row r="1698" spans="24:32" x14ac:dyDescent="0.25">
      <c r="X1698" s="4"/>
      <c r="Y1698" s="4"/>
      <c r="Z1698" s="4"/>
      <c r="AA1698" s="4"/>
      <c r="AB1698" s="4"/>
      <c r="AC1698" s="7"/>
      <c r="AD1698" s="4"/>
      <c r="AE1698" s="4"/>
      <c r="AF1698" s="21"/>
    </row>
    <row r="1699" spans="24:32" x14ac:dyDescent="0.25">
      <c r="X1699" s="4"/>
      <c r="Y1699" s="4"/>
      <c r="Z1699" s="4"/>
      <c r="AA1699" s="4"/>
      <c r="AB1699" s="4"/>
      <c r="AC1699" s="7"/>
      <c r="AD1699" s="4"/>
      <c r="AE1699" s="4"/>
      <c r="AF1699" s="21"/>
    </row>
    <row r="1700" spans="24:32" x14ac:dyDescent="0.25">
      <c r="X1700" s="4"/>
      <c r="Y1700" s="4"/>
      <c r="Z1700" s="4"/>
      <c r="AA1700" s="4"/>
      <c r="AB1700" s="4"/>
      <c r="AC1700" s="7"/>
      <c r="AD1700" s="4"/>
      <c r="AE1700" s="4"/>
      <c r="AF1700" s="21"/>
    </row>
    <row r="1701" spans="24:32" x14ac:dyDescent="0.25">
      <c r="X1701" s="4"/>
      <c r="Y1701" s="4"/>
      <c r="Z1701" s="4"/>
      <c r="AA1701" s="4"/>
      <c r="AB1701" s="4"/>
      <c r="AC1701" s="7"/>
      <c r="AD1701" s="4"/>
      <c r="AE1701" s="4"/>
      <c r="AF1701" s="21"/>
    </row>
    <row r="1702" spans="24:32" x14ac:dyDescent="0.25">
      <c r="X1702" s="4"/>
      <c r="Y1702" s="4"/>
      <c r="Z1702" s="4"/>
      <c r="AA1702" s="4"/>
      <c r="AB1702" s="4"/>
      <c r="AC1702" s="7"/>
      <c r="AD1702" s="4"/>
      <c r="AE1702" s="4"/>
      <c r="AF1702" s="21"/>
    </row>
    <row r="1703" spans="24:32" x14ac:dyDescent="0.25">
      <c r="X1703" s="4"/>
      <c r="Y1703" s="4"/>
      <c r="Z1703" s="4"/>
      <c r="AA1703" s="4"/>
      <c r="AB1703" s="4"/>
      <c r="AC1703" s="7"/>
      <c r="AD1703" s="4"/>
      <c r="AE1703" s="4"/>
      <c r="AF1703" s="21"/>
    </row>
    <row r="1704" spans="24:32" x14ac:dyDescent="0.25">
      <c r="X1704" s="4"/>
      <c r="Y1704" s="4"/>
      <c r="Z1704" s="4"/>
      <c r="AA1704" s="4"/>
      <c r="AB1704" s="4"/>
      <c r="AC1704" s="7"/>
      <c r="AD1704" s="4"/>
      <c r="AE1704" s="4"/>
      <c r="AF1704" s="21"/>
    </row>
    <row r="1705" spans="24:32" x14ac:dyDescent="0.25">
      <c r="X1705" s="4"/>
      <c r="Y1705" s="4"/>
      <c r="Z1705" s="4"/>
      <c r="AA1705" s="4"/>
      <c r="AB1705" s="4"/>
      <c r="AC1705" s="7"/>
      <c r="AD1705" s="4"/>
      <c r="AE1705" s="4"/>
      <c r="AF1705" s="21"/>
    </row>
    <row r="1706" spans="24:32" x14ac:dyDescent="0.25">
      <c r="X1706" s="4"/>
      <c r="Y1706" s="4"/>
      <c r="Z1706" s="4"/>
      <c r="AA1706" s="4"/>
      <c r="AB1706" s="4"/>
      <c r="AC1706" s="7"/>
      <c r="AD1706" s="4"/>
      <c r="AE1706" s="4"/>
      <c r="AF1706" s="21"/>
    </row>
    <row r="1707" spans="24:32" x14ac:dyDescent="0.25">
      <c r="X1707" s="4"/>
      <c r="Y1707" s="4"/>
      <c r="Z1707" s="4"/>
      <c r="AA1707" s="4"/>
      <c r="AB1707" s="4"/>
      <c r="AC1707" s="7"/>
      <c r="AD1707" s="4"/>
      <c r="AE1707" s="4"/>
      <c r="AF1707" s="21"/>
    </row>
    <row r="1708" spans="24:32" x14ac:dyDescent="0.25">
      <c r="X1708" s="4"/>
      <c r="Y1708" s="4"/>
      <c r="Z1708" s="4"/>
      <c r="AA1708" s="4"/>
      <c r="AB1708" s="4"/>
      <c r="AC1708" s="7"/>
      <c r="AD1708" s="4"/>
      <c r="AE1708" s="4"/>
      <c r="AF1708" s="21"/>
    </row>
    <row r="1709" spans="24:32" x14ac:dyDescent="0.25">
      <c r="X1709" s="4"/>
      <c r="Y1709" s="4"/>
      <c r="Z1709" s="4"/>
      <c r="AA1709" s="4"/>
      <c r="AB1709" s="4"/>
      <c r="AC1709" s="7"/>
      <c r="AD1709" s="4"/>
      <c r="AE1709" s="4"/>
      <c r="AF1709" s="21"/>
    </row>
    <row r="1710" spans="24:32" x14ac:dyDescent="0.25">
      <c r="X1710" s="4"/>
      <c r="Y1710" s="4"/>
      <c r="Z1710" s="4"/>
      <c r="AA1710" s="4"/>
      <c r="AB1710" s="4"/>
      <c r="AC1710" s="7"/>
      <c r="AD1710" s="4"/>
      <c r="AE1710" s="4"/>
      <c r="AF1710" s="21"/>
    </row>
    <row r="1711" spans="24:32" x14ac:dyDescent="0.25">
      <c r="X1711" s="4"/>
      <c r="Y1711" s="4"/>
      <c r="Z1711" s="4"/>
      <c r="AA1711" s="4"/>
      <c r="AB1711" s="4"/>
      <c r="AC1711" s="7"/>
      <c r="AD1711" s="4"/>
      <c r="AE1711" s="4"/>
      <c r="AF1711" s="21"/>
    </row>
    <row r="1712" spans="24:32" x14ac:dyDescent="0.25">
      <c r="X1712" s="4"/>
      <c r="Y1712" s="4"/>
      <c r="Z1712" s="4"/>
      <c r="AA1712" s="4"/>
      <c r="AB1712" s="4"/>
      <c r="AC1712" s="7"/>
      <c r="AD1712" s="4"/>
      <c r="AE1712" s="4"/>
      <c r="AF1712" s="21"/>
    </row>
    <row r="1713" spans="24:32" x14ac:dyDescent="0.25">
      <c r="X1713" s="4"/>
      <c r="Y1713" s="4"/>
      <c r="Z1713" s="4"/>
      <c r="AA1713" s="4"/>
      <c r="AB1713" s="4"/>
      <c r="AC1713" s="7"/>
      <c r="AD1713" s="4"/>
      <c r="AE1713" s="4"/>
      <c r="AF1713" s="21"/>
    </row>
    <row r="1714" spans="24:32" x14ac:dyDescent="0.25">
      <c r="X1714" s="4"/>
      <c r="Y1714" s="4"/>
      <c r="Z1714" s="4"/>
      <c r="AA1714" s="4"/>
      <c r="AB1714" s="4"/>
      <c r="AC1714" s="7"/>
      <c r="AD1714" s="4"/>
      <c r="AE1714" s="4"/>
      <c r="AF1714" s="21"/>
    </row>
    <row r="1715" spans="24:32" x14ac:dyDescent="0.25">
      <c r="X1715" s="4"/>
      <c r="Y1715" s="4"/>
      <c r="Z1715" s="4"/>
      <c r="AA1715" s="4"/>
      <c r="AB1715" s="4"/>
      <c r="AC1715" s="7"/>
      <c r="AD1715" s="4"/>
      <c r="AE1715" s="4"/>
      <c r="AF1715" s="21"/>
    </row>
    <row r="1716" spans="24:32" x14ac:dyDescent="0.25">
      <c r="X1716" s="4"/>
      <c r="Y1716" s="4"/>
      <c r="Z1716" s="4"/>
      <c r="AA1716" s="4"/>
      <c r="AB1716" s="4"/>
      <c r="AC1716" s="7"/>
      <c r="AD1716" s="4"/>
      <c r="AE1716" s="4"/>
      <c r="AF1716" s="21"/>
    </row>
    <row r="1717" spans="24:32" x14ac:dyDescent="0.25">
      <c r="X1717" s="4"/>
      <c r="Y1717" s="4"/>
      <c r="Z1717" s="4"/>
      <c r="AA1717" s="4"/>
      <c r="AB1717" s="4"/>
      <c r="AC1717" s="7"/>
      <c r="AD1717" s="4"/>
      <c r="AE1717" s="4"/>
      <c r="AF1717" s="21"/>
    </row>
    <row r="1718" spans="24:32" x14ac:dyDescent="0.25">
      <c r="X1718" s="4"/>
      <c r="Y1718" s="4"/>
      <c r="Z1718" s="4"/>
      <c r="AA1718" s="4"/>
      <c r="AB1718" s="4"/>
      <c r="AC1718" s="7"/>
      <c r="AD1718" s="4"/>
      <c r="AE1718" s="4"/>
      <c r="AF1718" s="21"/>
    </row>
    <row r="1719" spans="24:32" x14ac:dyDescent="0.25">
      <c r="X1719" s="4"/>
      <c r="Y1719" s="4"/>
      <c r="Z1719" s="4"/>
      <c r="AA1719" s="4"/>
      <c r="AB1719" s="4"/>
      <c r="AC1719" s="7"/>
      <c r="AD1719" s="4"/>
      <c r="AE1719" s="4"/>
      <c r="AF1719" s="21"/>
    </row>
    <row r="1720" spans="24:32" x14ac:dyDescent="0.25">
      <c r="X1720" s="4"/>
      <c r="Y1720" s="4"/>
      <c r="Z1720" s="4"/>
      <c r="AA1720" s="4"/>
      <c r="AB1720" s="4"/>
      <c r="AC1720" s="7"/>
      <c r="AD1720" s="4"/>
      <c r="AE1720" s="4"/>
      <c r="AF1720" s="21"/>
    </row>
    <row r="1721" spans="24:32" x14ac:dyDescent="0.25">
      <c r="X1721" s="4"/>
      <c r="Y1721" s="4"/>
      <c r="Z1721" s="4"/>
      <c r="AA1721" s="4"/>
      <c r="AB1721" s="4"/>
      <c r="AC1721" s="7"/>
      <c r="AD1721" s="4"/>
      <c r="AE1721" s="4"/>
      <c r="AF1721" s="21"/>
    </row>
    <row r="1722" spans="24:32" x14ac:dyDescent="0.25">
      <c r="X1722" s="4"/>
      <c r="Y1722" s="4"/>
      <c r="Z1722" s="4"/>
      <c r="AA1722" s="4"/>
      <c r="AB1722" s="4"/>
      <c r="AC1722" s="7"/>
      <c r="AD1722" s="4"/>
      <c r="AE1722" s="4"/>
      <c r="AF1722" s="21"/>
    </row>
    <row r="1723" spans="24:32" x14ac:dyDescent="0.25">
      <c r="X1723" s="4"/>
      <c r="Y1723" s="4"/>
      <c r="Z1723" s="4"/>
      <c r="AA1723" s="4"/>
      <c r="AB1723" s="4"/>
      <c r="AC1723" s="7"/>
      <c r="AD1723" s="4"/>
      <c r="AE1723" s="4"/>
      <c r="AF1723" s="21"/>
    </row>
    <row r="1724" spans="24:32" x14ac:dyDescent="0.25">
      <c r="X1724" s="4"/>
      <c r="Y1724" s="4"/>
      <c r="Z1724" s="4"/>
      <c r="AA1724" s="4"/>
      <c r="AB1724" s="4"/>
      <c r="AC1724" s="7"/>
      <c r="AD1724" s="4"/>
      <c r="AE1724" s="4"/>
      <c r="AF1724" s="21"/>
    </row>
    <row r="1725" spans="24:32" x14ac:dyDescent="0.25">
      <c r="X1725" s="4"/>
      <c r="Y1725" s="4"/>
      <c r="Z1725" s="4"/>
      <c r="AA1725" s="4"/>
      <c r="AB1725" s="4"/>
      <c r="AC1725" s="7"/>
      <c r="AD1725" s="4"/>
      <c r="AE1725" s="4"/>
      <c r="AF1725" s="21"/>
    </row>
    <row r="1726" spans="24:32" x14ac:dyDescent="0.25">
      <c r="X1726" s="4"/>
      <c r="Y1726" s="4"/>
      <c r="Z1726" s="4"/>
      <c r="AA1726" s="4"/>
      <c r="AB1726" s="4"/>
      <c r="AC1726" s="7"/>
      <c r="AD1726" s="4"/>
      <c r="AE1726" s="4"/>
      <c r="AF1726" s="21"/>
    </row>
    <row r="1727" spans="24:32" x14ac:dyDescent="0.25">
      <c r="X1727" s="4"/>
      <c r="Y1727" s="4"/>
      <c r="Z1727" s="4"/>
      <c r="AA1727" s="4"/>
      <c r="AB1727" s="4"/>
      <c r="AC1727" s="7"/>
      <c r="AD1727" s="4"/>
      <c r="AE1727" s="4"/>
      <c r="AF1727" s="21"/>
    </row>
    <row r="1728" spans="24:32" x14ac:dyDescent="0.25">
      <c r="X1728" s="4"/>
      <c r="Y1728" s="4"/>
      <c r="Z1728" s="4"/>
      <c r="AA1728" s="4"/>
      <c r="AB1728" s="4"/>
      <c r="AC1728" s="7"/>
      <c r="AD1728" s="4"/>
      <c r="AE1728" s="4"/>
      <c r="AF1728" s="21"/>
    </row>
    <row r="1729" spans="24:32" x14ac:dyDescent="0.25">
      <c r="X1729" s="4"/>
      <c r="Y1729" s="4"/>
      <c r="Z1729" s="4"/>
      <c r="AA1729" s="4"/>
      <c r="AB1729" s="4"/>
      <c r="AC1729" s="7"/>
      <c r="AD1729" s="4"/>
      <c r="AE1729" s="4"/>
      <c r="AF1729" s="21"/>
    </row>
    <row r="1730" spans="24:32" x14ac:dyDescent="0.25">
      <c r="X1730" s="4"/>
      <c r="Y1730" s="4"/>
      <c r="Z1730" s="4"/>
      <c r="AA1730" s="4"/>
      <c r="AB1730" s="4"/>
      <c r="AC1730" s="7"/>
      <c r="AD1730" s="4"/>
      <c r="AE1730" s="4"/>
      <c r="AF1730" s="21"/>
    </row>
    <row r="1731" spans="24:32" x14ac:dyDescent="0.25">
      <c r="X1731" s="4"/>
      <c r="Y1731" s="4"/>
      <c r="Z1731" s="4"/>
      <c r="AA1731" s="4"/>
      <c r="AB1731" s="4"/>
      <c r="AC1731" s="7"/>
      <c r="AD1731" s="4"/>
      <c r="AE1731" s="4"/>
      <c r="AF1731" s="21"/>
    </row>
    <row r="1732" spans="24:32" x14ac:dyDescent="0.25">
      <c r="X1732" s="4"/>
      <c r="Y1732" s="4"/>
      <c r="Z1732" s="4"/>
      <c r="AA1732" s="4"/>
      <c r="AB1732" s="4"/>
      <c r="AC1732" s="7"/>
      <c r="AD1732" s="4"/>
      <c r="AE1732" s="4"/>
      <c r="AF1732" s="21"/>
    </row>
    <row r="1733" spans="24:32" x14ac:dyDescent="0.25">
      <c r="X1733" s="4"/>
      <c r="Y1733" s="4"/>
      <c r="Z1733" s="4"/>
      <c r="AA1733" s="4"/>
      <c r="AB1733" s="4"/>
      <c r="AC1733" s="7"/>
      <c r="AD1733" s="4"/>
      <c r="AE1733" s="4"/>
      <c r="AF1733" s="21"/>
    </row>
    <row r="1734" spans="24:32" x14ac:dyDescent="0.25">
      <c r="X1734" s="4"/>
      <c r="Y1734" s="4"/>
      <c r="Z1734" s="4"/>
      <c r="AA1734" s="4"/>
      <c r="AB1734" s="4"/>
      <c r="AC1734" s="7"/>
      <c r="AD1734" s="4"/>
      <c r="AE1734" s="4"/>
      <c r="AF1734" s="21"/>
    </row>
    <row r="1735" spans="24:32" x14ac:dyDescent="0.25">
      <c r="X1735" s="4"/>
      <c r="Y1735" s="4"/>
      <c r="Z1735" s="4"/>
      <c r="AA1735" s="4"/>
      <c r="AB1735" s="4"/>
      <c r="AC1735" s="7"/>
      <c r="AD1735" s="4"/>
      <c r="AE1735" s="4"/>
      <c r="AF1735" s="21"/>
    </row>
    <row r="1736" spans="24:32" x14ac:dyDescent="0.25">
      <c r="X1736" s="4"/>
      <c r="Y1736" s="4"/>
      <c r="Z1736" s="4"/>
      <c r="AA1736" s="4"/>
      <c r="AB1736" s="4"/>
      <c r="AC1736" s="7"/>
      <c r="AD1736" s="4"/>
      <c r="AE1736" s="4"/>
      <c r="AF1736" s="21"/>
    </row>
    <row r="1737" spans="24:32" x14ac:dyDescent="0.25">
      <c r="X1737" s="4"/>
      <c r="Y1737" s="4"/>
      <c r="Z1737" s="4"/>
      <c r="AA1737" s="4"/>
      <c r="AB1737" s="4"/>
      <c r="AC1737" s="7"/>
      <c r="AD1737" s="4"/>
      <c r="AE1737" s="4"/>
      <c r="AF1737" s="21"/>
    </row>
    <row r="1738" spans="24:32" x14ac:dyDescent="0.25">
      <c r="X1738" s="4"/>
      <c r="Y1738" s="4"/>
      <c r="Z1738" s="4"/>
      <c r="AA1738" s="4"/>
      <c r="AB1738" s="4"/>
      <c r="AC1738" s="7"/>
      <c r="AD1738" s="4"/>
      <c r="AE1738" s="4"/>
      <c r="AF1738" s="21"/>
    </row>
    <row r="1739" spans="24:32" x14ac:dyDescent="0.25">
      <c r="X1739" s="4"/>
      <c r="Y1739" s="4"/>
      <c r="Z1739" s="4"/>
      <c r="AA1739" s="4"/>
      <c r="AB1739" s="4"/>
      <c r="AC1739" s="7"/>
      <c r="AD1739" s="4"/>
      <c r="AE1739" s="4"/>
      <c r="AF1739" s="21"/>
    </row>
    <row r="1740" spans="24:32" x14ac:dyDescent="0.25">
      <c r="X1740" s="4"/>
      <c r="Y1740" s="4"/>
      <c r="Z1740" s="4"/>
      <c r="AA1740" s="4"/>
      <c r="AB1740" s="4"/>
      <c r="AC1740" s="7"/>
      <c r="AD1740" s="4"/>
      <c r="AE1740" s="4"/>
      <c r="AF1740" s="21"/>
    </row>
    <row r="1741" spans="24:32" x14ac:dyDescent="0.25">
      <c r="X1741" s="4"/>
      <c r="Y1741" s="4"/>
      <c r="Z1741" s="4"/>
      <c r="AA1741" s="4"/>
      <c r="AB1741" s="4"/>
      <c r="AC1741" s="7"/>
      <c r="AD1741" s="4"/>
      <c r="AE1741" s="4"/>
      <c r="AF1741" s="21"/>
    </row>
    <row r="1742" spans="24:32" x14ac:dyDescent="0.25">
      <c r="X1742" s="4"/>
      <c r="Y1742" s="4"/>
      <c r="Z1742" s="4"/>
      <c r="AA1742" s="4"/>
      <c r="AB1742" s="4"/>
      <c r="AC1742" s="7"/>
      <c r="AD1742" s="4"/>
      <c r="AE1742" s="4"/>
      <c r="AF1742" s="21"/>
    </row>
    <row r="1743" spans="24:32" x14ac:dyDescent="0.25">
      <c r="X1743" s="4"/>
      <c r="Y1743" s="4"/>
      <c r="Z1743" s="4"/>
      <c r="AA1743" s="4"/>
      <c r="AB1743" s="4"/>
      <c r="AC1743" s="7"/>
      <c r="AD1743" s="4"/>
      <c r="AE1743" s="4"/>
      <c r="AF1743" s="21"/>
    </row>
    <row r="1744" spans="24:32" x14ac:dyDescent="0.25">
      <c r="X1744" s="4"/>
      <c r="Y1744" s="4"/>
      <c r="Z1744" s="4"/>
      <c r="AA1744" s="4"/>
      <c r="AB1744" s="4"/>
      <c r="AC1744" s="7"/>
      <c r="AD1744" s="4"/>
      <c r="AE1744" s="4"/>
      <c r="AF1744" s="21"/>
    </row>
    <row r="1745" spans="24:32" x14ac:dyDescent="0.25">
      <c r="X1745" s="4"/>
      <c r="Y1745" s="4"/>
      <c r="Z1745" s="4"/>
      <c r="AA1745" s="4"/>
      <c r="AB1745" s="4"/>
      <c r="AC1745" s="7"/>
      <c r="AD1745" s="4"/>
      <c r="AE1745" s="4"/>
      <c r="AF1745" s="21"/>
    </row>
    <row r="1746" spans="24:32" x14ac:dyDescent="0.25">
      <c r="X1746" s="4"/>
      <c r="Y1746" s="4"/>
      <c r="Z1746" s="4"/>
      <c r="AA1746" s="4"/>
      <c r="AB1746" s="4"/>
      <c r="AC1746" s="7"/>
      <c r="AD1746" s="4"/>
      <c r="AE1746" s="4"/>
      <c r="AF1746" s="21"/>
    </row>
    <row r="1747" spans="24:32" x14ac:dyDescent="0.25">
      <c r="X1747" s="4"/>
      <c r="Y1747" s="4"/>
      <c r="Z1747" s="4"/>
      <c r="AA1747" s="4"/>
      <c r="AB1747" s="4"/>
      <c r="AC1747" s="7"/>
      <c r="AD1747" s="4"/>
      <c r="AE1747" s="4"/>
      <c r="AF1747" s="21"/>
    </row>
    <row r="1748" spans="24:32" x14ac:dyDescent="0.25">
      <c r="X1748" s="4"/>
      <c r="Y1748" s="4"/>
      <c r="Z1748" s="4"/>
      <c r="AA1748" s="4"/>
      <c r="AB1748" s="4"/>
      <c r="AC1748" s="7"/>
      <c r="AD1748" s="4"/>
      <c r="AE1748" s="4"/>
      <c r="AF1748" s="21"/>
    </row>
    <row r="1749" spans="24:32" x14ac:dyDescent="0.25">
      <c r="X1749" s="4"/>
      <c r="Y1749" s="4"/>
      <c r="Z1749" s="4"/>
      <c r="AA1749" s="4"/>
      <c r="AB1749" s="4"/>
      <c r="AC1749" s="7"/>
      <c r="AD1749" s="4"/>
      <c r="AE1749" s="4"/>
      <c r="AF1749" s="21"/>
    </row>
    <row r="1750" spans="24:32" x14ac:dyDescent="0.25">
      <c r="X1750" s="4"/>
      <c r="Y1750" s="4"/>
      <c r="Z1750" s="4"/>
      <c r="AA1750" s="4"/>
      <c r="AB1750" s="4"/>
      <c r="AC1750" s="7"/>
      <c r="AD1750" s="4"/>
      <c r="AE1750" s="4"/>
      <c r="AF1750" s="21"/>
    </row>
    <row r="1751" spans="24:32" x14ac:dyDescent="0.25">
      <c r="X1751" s="4"/>
      <c r="Y1751" s="4"/>
      <c r="Z1751" s="4"/>
      <c r="AA1751" s="4"/>
      <c r="AB1751" s="4"/>
      <c r="AC1751" s="7"/>
      <c r="AD1751" s="4"/>
      <c r="AE1751" s="4"/>
      <c r="AF1751" s="21"/>
    </row>
    <row r="1752" spans="24:32" x14ac:dyDescent="0.25">
      <c r="X1752" s="4"/>
      <c r="Y1752" s="4"/>
      <c r="Z1752" s="4"/>
      <c r="AA1752" s="4"/>
      <c r="AB1752" s="4"/>
      <c r="AC1752" s="7"/>
      <c r="AD1752" s="4"/>
      <c r="AE1752" s="4"/>
      <c r="AF1752" s="21"/>
    </row>
    <row r="1753" spans="24:32" x14ac:dyDescent="0.25">
      <c r="X1753" s="4"/>
      <c r="Y1753" s="4"/>
      <c r="Z1753" s="4"/>
      <c r="AA1753" s="4"/>
      <c r="AB1753" s="4"/>
      <c r="AC1753" s="7"/>
      <c r="AD1753" s="4"/>
      <c r="AE1753" s="4"/>
      <c r="AF1753" s="21"/>
    </row>
    <row r="1754" spans="24:32" x14ac:dyDescent="0.25">
      <c r="X1754" s="4"/>
      <c r="Y1754" s="4"/>
      <c r="Z1754" s="4"/>
      <c r="AA1754" s="4"/>
      <c r="AB1754" s="4"/>
      <c r="AC1754" s="7"/>
      <c r="AD1754" s="4"/>
      <c r="AE1754" s="4"/>
      <c r="AF1754" s="21"/>
    </row>
    <row r="1755" spans="24:32" x14ac:dyDescent="0.25">
      <c r="X1755" s="4"/>
      <c r="Y1755" s="4"/>
      <c r="Z1755" s="4"/>
      <c r="AA1755" s="4"/>
      <c r="AB1755" s="4"/>
      <c r="AC1755" s="7"/>
      <c r="AD1755" s="4"/>
      <c r="AE1755" s="4"/>
      <c r="AF1755" s="21"/>
    </row>
    <row r="1756" spans="24:32" x14ac:dyDescent="0.25">
      <c r="X1756" s="4"/>
      <c r="Y1756" s="4"/>
      <c r="Z1756" s="4"/>
      <c r="AA1756" s="4"/>
      <c r="AB1756" s="4"/>
      <c r="AC1756" s="7"/>
      <c r="AD1756" s="4"/>
      <c r="AE1756" s="4"/>
      <c r="AF1756" s="21"/>
    </row>
    <row r="1757" spans="24:32" x14ac:dyDescent="0.25">
      <c r="X1757" s="4"/>
      <c r="Y1757" s="4"/>
      <c r="Z1757" s="4"/>
      <c r="AA1757" s="4"/>
      <c r="AB1757" s="4"/>
      <c r="AC1757" s="7"/>
      <c r="AD1757" s="4"/>
      <c r="AE1757" s="4"/>
      <c r="AF1757" s="21"/>
    </row>
    <row r="1758" spans="24:32" x14ac:dyDescent="0.25">
      <c r="X1758" s="4"/>
      <c r="Y1758" s="4"/>
      <c r="Z1758" s="4"/>
      <c r="AA1758" s="4"/>
      <c r="AB1758" s="4"/>
      <c r="AC1758" s="7"/>
      <c r="AD1758" s="4"/>
      <c r="AE1758" s="4"/>
      <c r="AF1758" s="21"/>
    </row>
    <row r="1759" spans="24:32" x14ac:dyDescent="0.25">
      <c r="X1759" s="4"/>
      <c r="Y1759" s="4"/>
      <c r="Z1759" s="4"/>
      <c r="AA1759" s="4"/>
      <c r="AB1759" s="4"/>
      <c r="AC1759" s="7"/>
      <c r="AD1759" s="4"/>
      <c r="AE1759" s="4"/>
      <c r="AF1759" s="21"/>
    </row>
    <row r="1760" spans="24:32" x14ac:dyDescent="0.25">
      <c r="X1760" s="4"/>
      <c r="Y1760" s="4"/>
      <c r="Z1760" s="4"/>
      <c r="AA1760" s="4"/>
      <c r="AB1760" s="4"/>
      <c r="AC1760" s="7"/>
      <c r="AD1760" s="4"/>
      <c r="AE1760" s="4"/>
      <c r="AF1760" s="21"/>
    </row>
    <row r="1761" spans="24:32" x14ac:dyDescent="0.25">
      <c r="X1761" s="4"/>
      <c r="Y1761" s="4"/>
      <c r="Z1761" s="4"/>
      <c r="AA1761" s="4"/>
      <c r="AB1761" s="4"/>
      <c r="AC1761" s="7"/>
      <c r="AD1761" s="4"/>
      <c r="AE1761" s="4"/>
      <c r="AF1761" s="21"/>
    </row>
    <row r="1762" spans="24:32" x14ac:dyDescent="0.25">
      <c r="X1762" s="4"/>
      <c r="Y1762" s="4"/>
      <c r="Z1762" s="4"/>
      <c r="AA1762" s="4"/>
      <c r="AB1762" s="4"/>
      <c r="AC1762" s="7"/>
      <c r="AD1762" s="4"/>
      <c r="AE1762" s="4"/>
      <c r="AF1762" s="21"/>
    </row>
    <row r="1763" spans="24:32" x14ac:dyDescent="0.25">
      <c r="X1763" s="4"/>
      <c r="Y1763" s="4"/>
      <c r="Z1763" s="4"/>
      <c r="AA1763" s="4"/>
      <c r="AB1763" s="4"/>
      <c r="AC1763" s="7"/>
      <c r="AD1763" s="4"/>
      <c r="AE1763" s="4"/>
      <c r="AF1763" s="21"/>
    </row>
    <row r="1764" spans="24:32" x14ac:dyDescent="0.25">
      <c r="X1764" s="4"/>
      <c r="Y1764" s="4"/>
      <c r="Z1764" s="4"/>
      <c r="AA1764" s="4"/>
      <c r="AB1764" s="4"/>
      <c r="AC1764" s="7"/>
      <c r="AD1764" s="4"/>
      <c r="AE1764" s="4"/>
      <c r="AF1764" s="21"/>
    </row>
    <row r="1765" spans="24:32" x14ac:dyDescent="0.25">
      <c r="X1765" s="4"/>
      <c r="Y1765" s="4"/>
      <c r="Z1765" s="4"/>
      <c r="AA1765" s="4"/>
      <c r="AB1765" s="4"/>
      <c r="AC1765" s="7"/>
      <c r="AD1765" s="4"/>
      <c r="AE1765" s="4"/>
      <c r="AF1765" s="21"/>
    </row>
    <row r="1766" spans="24:32" x14ac:dyDescent="0.25">
      <c r="X1766" s="4"/>
      <c r="Y1766" s="4"/>
      <c r="Z1766" s="4"/>
      <c r="AA1766" s="4"/>
      <c r="AB1766" s="4"/>
      <c r="AC1766" s="7"/>
      <c r="AD1766" s="4"/>
      <c r="AE1766" s="4"/>
      <c r="AF1766" s="21"/>
    </row>
    <row r="1767" spans="24:32" x14ac:dyDescent="0.25">
      <c r="X1767" s="4"/>
      <c r="Y1767" s="4"/>
      <c r="Z1767" s="4"/>
      <c r="AA1767" s="4"/>
      <c r="AB1767" s="4"/>
      <c r="AC1767" s="7"/>
      <c r="AD1767" s="4"/>
      <c r="AE1767" s="4"/>
      <c r="AF1767" s="21"/>
    </row>
    <row r="1768" spans="24:32" x14ac:dyDescent="0.25">
      <c r="X1768" s="4"/>
      <c r="Y1768" s="4"/>
      <c r="Z1768" s="4"/>
      <c r="AA1768" s="4"/>
      <c r="AB1768" s="4"/>
      <c r="AC1768" s="7"/>
      <c r="AD1768" s="4"/>
      <c r="AE1768" s="4"/>
      <c r="AF1768" s="21"/>
    </row>
    <row r="1769" spans="24:32" x14ac:dyDescent="0.25">
      <c r="X1769" s="4"/>
      <c r="Y1769" s="4"/>
      <c r="Z1769" s="4"/>
      <c r="AA1769" s="4"/>
      <c r="AB1769" s="4"/>
      <c r="AC1769" s="7"/>
      <c r="AD1769" s="4"/>
      <c r="AE1769" s="4"/>
      <c r="AF1769" s="21"/>
    </row>
    <row r="1770" spans="24:32" x14ac:dyDescent="0.25">
      <c r="X1770" s="4"/>
      <c r="Y1770" s="4"/>
      <c r="Z1770" s="4"/>
      <c r="AA1770" s="4"/>
      <c r="AB1770" s="4"/>
      <c r="AC1770" s="7"/>
      <c r="AD1770" s="4"/>
      <c r="AE1770" s="4"/>
      <c r="AF1770" s="21"/>
    </row>
    <row r="1771" spans="24:32" x14ac:dyDescent="0.25">
      <c r="X1771" s="4"/>
      <c r="Y1771" s="4"/>
      <c r="Z1771" s="4"/>
      <c r="AA1771" s="4"/>
      <c r="AB1771" s="4"/>
      <c r="AC1771" s="7"/>
      <c r="AD1771" s="4"/>
      <c r="AE1771" s="4"/>
      <c r="AF1771" s="21"/>
    </row>
    <row r="1772" spans="24:32" x14ac:dyDescent="0.25">
      <c r="X1772" s="4"/>
      <c r="Y1772" s="4"/>
      <c r="Z1772" s="4"/>
      <c r="AA1772" s="4"/>
      <c r="AB1772" s="4"/>
      <c r="AC1772" s="7"/>
      <c r="AD1772" s="4"/>
      <c r="AE1772" s="4"/>
      <c r="AF1772" s="21"/>
    </row>
    <row r="1773" spans="24:32" x14ac:dyDescent="0.25">
      <c r="X1773" s="4"/>
      <c r="Y1773" s="4"/>
      <c r="Z1773" s="4"/>
      <c r="AA1773" s="4"/>
      <c r="AB1773" s="4"/>
      <c r="AC1773" s="7"/>
      <c r="AD1773" s="4"/>
      <c r="AE1773" s="4"/>
      <c r="AF1773" s="21"/>
    </row>
    <row r="1774" spans="24:32" x14ac:dyDescent="0.25">
      <c r="X1774" s="4"/>
      <c r="Y1774" s="4"/>
      <c r="Z1774" s="4"/>
      <c r="AA1774" s="4"/>
      <c r="AB1774" s="4"/>
      <c r="AC1774" s="7"/>
      <c r="AD1774" s="4"/>
      <c r="AE1774" s="4"/>
      <c r="AF1774" s="21"/>
    </row>
    <row r="1775" spans="24:32" x14ac:dyDescent="0.25">
      <c r="X1775" s="4"/>
      <c r="Y1775" s="4"/>
      <c r="Z1775" s="4"/>
      <c r="AA1775" s="4"/>
      <c r="AB1775" s="4"/>
      <c r="AC1775" s="7"/>
      <c r="AD1775" s="4"/>
      <c r="AE1775" s="4"/>
      <c r="AF1775" s="21"/>
    </row>
    <row r="1776" spans="24:32" x14ac:dyDescent="0.25">
      <c r="X1776" s="4"/>
      <c r="Y1776" s="4"/>
      <c r="Z1776" s="4"/>
      <c r="AA1776" s="4"/>
      <c r="AB1776" s="4"/>
      <c r="AC1776" s="7"/>
      <c r="AD1776" s="4"/>
      <c r="AE1776" s="4"/>
      <c r="AF1776" s="21"/>
    </row>
    <row r="1777" spans="24:32" x14ac:dyDescent="0.25">
      <c r="X1777" s="4"/>
      <c r="Y1777" s="4"/>
      <c r="Z1777" s="4"/>
      <c r="AA1777" s="4"/>
      <c r="AB1777" s="4"/>
      <c r="AC1777" s="7"/>
      <c r="AD1777" s="4"/>
      <c r="AE1777" s="4"/>
      <c r="AF1777" s="21"/>
    </row>
    <row r="1778" spans="24:32" x14ac:dyDescent="0.25">
      <c r="X1778" s="4"/>
      <c r="Y1778" s="4"/>
      <c r="Z1778" s="4"/>
      <c r="AA1778" s="4"/>
      <c r="AB1778" s="4"/>
      <c r="AC1778" s="7"/>
      <c r="AD1778" s="4"/>
      <c r="AE1778" s="4"/>
      <c r="AF1778" s="21"/>
    </row>
    <row r="1779" spans="24:32" x14ac:dyDescent="0.25">
      <c r="X1779" s="4"/>
      <c r="Y1779" s="4"/>
      <c r="Z1779" s="4"/>
      <c r="AA1779" s="4"/>
      <c r="AB1779" s="4"/>
      <c r="AC1779" s="7"/>
      <c r="AD1779" s="4"/>
      <c r="AE1779" s="4"/>
      <c r="AF1779" s="21"/>
    </row>
    <row r="1780" spans="24:32" x14ac:dyDescent="0.25">
      <c r="X1780" s="4"/>
      <c r="Y1780" s="4"/>
      <c r="Z1780" s="4"/>
      <c r="AA1780" s="4"/>
      <c r="AB1780" s="4"/>
      <c r="AC1780" s="7"/>
      <c r="AD1780" s="4"/>
      <c r="AE1780" s="4"/>
      <c r="AF1780" s="21"/>
    </row>
    <row r="1781" spans="24:32" x14ac:dyDescent="0.25">
      <c r="X1781" s="4"/>
      <c r="Y1781" s="4"/>
      <c r="Z1781" s="4"/>
      <c r="AA1781" s="4"/>
      <c r="AB1781" s="4"/>
      <c r="AC1781" s="7"/>
      <c r="AD1781" s="4"/>
      <c r="AE1781" s="4"/>
      <c r="AF1781" s="21"/>
    </row>
    <row r="1782" spans="24:32" x14ac:dyDescent="0.25">
      <c r="X1782" s="4"/>
      <c r="Y1782" s="4"/>
      <c r="Z1782" s="4"/>
      <c r="AA1782" s="4"/>
      <c r="AB1782" s="4"/>
      <c r="AC1782" s="7"/>
      <c r="AD1782" s="4"/>
      <c r="AE1782" s="4"/>
      <c r="AF1782" s="21"/>
    </row>
    <row r="1783" spans="24:32" x14ac:dyDescent="0.25">
      <c r="X1783" s="4"/>
      <c r="Y1783" s="4"/>
      <c r="Z1783" s="4"/>
      <c r="AA1783" s="4"/>
      <c r="AB1783" s="4"/>
      <c r="AC1783" s="7"/>
      <c r="AD1783" s="4"/>
      <c r="AE1783" s="4"/>
      <c r="AF1783" s="21"/>
    </row>
    <row r="1784" spans="24:32" x14ac:dyDescent="0.25">
      <c r="X1784" s="4"/>
      <c r="Y1784" s="4"/>
      <c r="Z1784" s="4"/>
      <c r="AA1784" s="4"/>
      <c r="AB1784" s="4"/>
      <c r="AC1784" s="7"/>
      <c r="AD1784" s="4"/>
      <c r="AE1784" s="4"/>
      <c r="AF1784" s="21"/>
    </row>
    <row r="1785" spans="24:32" x14ac:dyDescent="0.25">
      <c r="X1785" s="4"/>
      <c r="Y1785" s="4"/>
      <c r="Z1785" s="4"/>
      <c r="AA1785" s="4"/>
      <c r="AB1785" s="4"/>
      <c r="AC1785" s="7"/>
      <c r="AD1785" s="4"/>
      <c r="AE1785" s="4"/>
      <c r="AF1785" s="21"/>
    </row>
    <row r="1786" spans="24:32" x14ac:dyDescent="0.25">
      <c r="X1786" s="4"/>
      <c r="Y1786" s="4"/>
      <c r="Z1786" s="4"/>
      <c r="AA1786" s="4"/>
      <c r="AB1786" s="4"/>
      <c r="AC1786" s="7"/>
      <c r="AD1786" s="4"/>
      <c r="AE1786" s="4"/>
      <c r="AF1786" s="21"/>
    </row>
    <row r="1787" spans="24:32" x14ac:dyDescent="0.25">
      <c r="X1787" s="4"/>
      <c r="Y1787" s="4"/>
      <c r="Z1787" s="4"/>
      <c r="AA1787" s="4"/>
      <c r="AB1787" s="4"/>
      <c r="AC1787" s="7"/>
      <c r="AD1787" s="4"/>
      <c r="AE1787" s="4"/>
      <c r="AF1787" s="21"/>
    </row>
    <row r="1788" spans="24:32" x14ac:dyDescent="0.25">
      <c r="X1788" s="4"/>
      <c r="Y1788" s="4"/>
      <c r="Z1788" s="4"/>
      <c r="AA1788" s="4"/>
      <c r="AB1788" s="4"/>
      <c r="AC1788" s="7"/>
      <c r="AD1788" s="4"/>
      <c r="AE1788" s="4"/>
      <c r="AF1788" s="21"/>
    </row>
    <row r="1789" spans="24:32" x14ac:dyDescent="0.25">
      <c r="X1789" s="4"/>
      <c r="Y1789" s="4"/>
      <c r="Z1789" s="4"/>
      <c r="AA1789" s="4"/>
      <c r="AB1789" s="4"/>
      <c r="AC1789" s="7"/>
      <c r="AD1789" s="4"/>
      <c r="AE1789" s="4"/>
      <c r="AF1789" s="21"/>
    </row>
    <row r="1790" spans="24:32" x14ac:dyDescent="0.25">
      <c r="X1790" s="4"/>
      <c r="Y1790" s="4"/>
      <c r="Z1790" s="4"/>
      <c r="AA1790" s="4"/>
      <c r="AB1790" s="4"/>
      <c r="AC1790" s="7"/>
      <c r="AD1790" s="4"/>
      <c r="AE1790" s="4"/>
      <c r="AF1790" s="21"/>
    </row>
    <row r="1791" spans="24:32" x14ac:dyDescent="0.25">
      <c r="X1791" s="4"/>
      <c r="Y1791" s="4"/>
      <c r="Z1791" s="4"/>
      <c r="AA1791" s="4"/>
      <c r="AB1791" s="4"/>
      <c r="AC1791" s="7"/>
      <c r="AD1791" s="4"/>
      <c r="AE1791" s="4"/>
      <c r="AF1791" s="21"/>
    </row>
    <row r="1792" spans="24:32" x14ac:dyDescent="0.25">
      <c r="X1792" s="4"/>
      <c r="Y1792" s="4"/>
      <c r="Z1792" s="4"/>
      <c r="AA1792" s="4"/>
      <c r="AB1792" s="4"/>
      <c r="AC1792" s="7"/>
      <c r="AD1792" s="4"/>
      <c r="AE1792" s="4"/>
      <c r="AF1792" s="21"/>
    </row>
    <row r="1793" spans="24:32" x14ac:dyDescent="0.25">
      <c r="X1793" s="4"/>
      <c r="Y1793" s="4"/>
      <c r="Z1793" s="4"/>
      <c r="AA1793" s="4"/>
      <c r="AB1793" s="4"/>
      <c r="AC1793" s="7"/>
      <c r="AD1793" s="4"/>
      <c r="AE1793" s="4"/>
      <c r="AF1793" s="21"/>
    </row>
    <row r="1794" spans="24:32" x14ac:dyDescent="0.25">
      <c r="X1794" s="4"/>
      <c r="Y1794" s="4"/>
      <c r="Z1794" s="4"/>
      <c r="AA1794" s="4"/>
      <c r="AB1794" s="4"/>
      <c r="AC1794" s="7"/>
      <c r="AD1794" s="4"/>
      <c r="AE1794" s="4"/>
      <c r="AF1794" s="21"/>
    </row>
    <row r="1795" spans="24:32" x14ac:dyDescent="0.25">
      <c r="X1795" s="4"/>
      <c r="Y1795" s="4"/>
      <c r="Z1795" s="4"/>
      <c r="AA1795" s="4"/>
      <c r="AB1795" s="4"/>
      <c r="AC1795" s="7"/>
      <c r="AD1795" s="4"/>
      <c r="AE1795" s="4"/>
      <c r="AF1795" s="21"/>
    </row>
    <row r="1796" spans="24:32" x14ac:dyDescent="0.25">
      <c r="X1796" s="4"/>
      <c r="Y1796" s="4"/>
      <c r="Z1796" s="4"/>
      <c r="AA1796" s="4"/>
      <c r="AB1796" s="4"/>
      <c r="AC1796" s="7"/>
      <c r="AD1796" s="4"/>
      <c r="AE1796" s="4"/>
      <c r="AF1796" s="21"/>
    </row>
    <row r="1797" spans="24:32" x14ac:dyDescent="0.25">
      <c r="X1797" s="4"/>
      <c r="Y1797" s="4"/>
      <c r="Z1797" s="4"/>
      <c r="AA1797" s="4"/>
      <c r="AB1797" s="4"/>
      <c r="AC1797" s="7"/>
      <c r="AD1797" s="4"/>
      <c r="AE1797" s="4"/>
      <c r="AF1797" s="21"/>
    </row>
    <row r="1798" spans="24:32" x14ac:dyDescent="0.25">
      <c r="X1798" s="4"/>
      <c r="Y1798" s="4"/>
      <c r="Z1798" s="4"/>
      <c r="AA1798" s="4"/>
      <c r="AB1798" s="4"/>
      <c r="AC1798" s="7"/>
      <c r="AD1798" s="4"/>
      <c r="AE1798" s="4"/>
      <c r="AF1798" s="21"/>
    </row>
    <row r="1799" spans="24:32" x14ac:dyDescent="0.25">
      <c r="X1799" s="4"/>
      <c r="Y1799" s="4"/>
      <c r="Z1799" s="4"/>
      <c r="AA1799" s="4"/>
      <c r="AB1799" s="4"/>
      <c r="AC1799" s="7"/>
      <c r="AD1799" s="4"/>
      <c r="AE1799" s="4"/>
      <c r="AF1799" s="21"/>
    </row>
    <row r="1800" spans="24:32" x14ac:dyDescent="0.25">
      <c r="X1800" s="4"/>
      <c r="Y1800" s="4"/>
      <c r="Z1800" s="4"/>
      <c r="AA1800" s="4"/>
      <c r="AB1800" s="4"/>
      <c r="AC1800" s="7"/>
      <c r="AD1800" s="4"/>
      <c r="AE1800" s="4"/>
      <c r="AF1800" s="21"/>
    </row>
    <row r="1801" spans="24:32" x14ac:dyDescent="0.25">
      <c r="X1801" s="4"/>
      <c r="Y1801" s="4"/>
      <c r="Z1801" s="4"/>
      <c r="AA1801" s="4"/>
      <c r="AB1801" s="4"/>
      <c r="AC1801" s="7"/>
      <c r="AD1801" s="4"/>
      <c r="AE1801" s="4"/>
      <c r="AF1801" s="21"/>
    </row>
    <row r="1802" spans="24:32" x14ac:dyDescent="0.25">
      <c r="X1802" s="4"/>
      <c r="Y1802" s="4"/>
      <c r="Z1802" s="4"/>
      <c r="AA1802" s="4"/>
      <c r="AB1802" s="4"/>
      <c r="AC1802" s="7"/>
      <c r="AD1802" s="4"/>
      <c r="AE1802" s="4"/>
      <c r="AF1802" s="21"/>
    </row>
    <row r="1803" spans="24:32" x14ac:dyDescent="0.25">
      <c r="X1803" s="4"/>
      <c r="Y1803" s="4"/>
      <c r="Z1803" s="4"/>
      <c r="AA1803" s="4"/>
      <c r="AB1803" s="4"/>
      <c r="AC1803" s="7"/>
      <c r="AD1803" s="4"/>
      <c r="AE1803" s="4"/>
      <c r="AF1803" s="21"/>
    </row>
    <row r="1804" spans="24:32" x14ac:dyDescent="0.25">
      <c r="X1804" s="4"/>
      <c r="Y1804" s="4"/>
      <c r="Z1804" s="4"/>
      <c r="AA1804" s="4"/>
      <c r="AB1804" s="4"/>
      <c r="AC1804" s="7"/>
      <c r="AD1804" s="4"/>
      <c r="AE1804" s="4"/>
      <c r="AF1804" s="21"/>
    </row>
    <row r="1805" spans="24:32" x14ac:dyDescent="0.25">
      <c r="X1805" s="4"/>
      <c r="Y1805" s="4"/>
      <c r="Z1805" s="4"/>
      <c r="AA1805" s="4"/>
      <c r="AB1805" s="4"/>
      <c r="AC1805" s="7"/>
      <c r="AD1805" s="4"/>
      <c r="AE1805" s="4"/>
      <c r="AF1805" s="21"/>
    </row>
    <row r="1806" spans="24:32" x14ac:dyDescent="0.25">
      <c r="X1806" s="4"/>
      <c r="Y1806" s="4"/>
      <c r="Z1806" s="4"/>
      <c r="AA1806" s="4"/>
      <c r="AB1806" s="4"/>
      <c r="AC1806" s="7"/>
      <c r="AD1806" s="4"/>
      <c r="AE1806" s="4"/>
      <c r="AF1806" s="21"/>
    </row>
    <row r="1807" spans="24:32" x14ac:dyDescent="0.25">
      <c r="X1807" s="4"/>
      <c r="Y1807" s="4"/>
      <c r="Z1807" s="4"/>
      <c r="AA1807" s="4"/>
      <c r="AB1807" s="4"/>
      <c r="AC1807" s="7"/>
      <c r="AD1807" s="4"/>
      <c r="AE1807" s="4"/>
      <c r="AF1807" s="21"/>
    </row>
    <row r="1808" spans="24:32" x14ac:dyDescent="0.25">
      <c r="X1808" s="4"/>
      <c r="Y1808" s="4"/>
      <c r="Z1808" s="4"/>
      <c r="AA1808" s="4"/>
      <c r="AB1808" s="4"/>
      <c r="AC1808" s="7"/>
      <c r="AD1808" s="4"/>
      <c r="AE1808" s="4"/>
      <c r="AF1808" s="21"/>
    </row>
    <row r="1809" spans="24:32" x14ac:dyDescent="0.25">
      <c r="X1809" s="4"/>
      <c r="Y1809" s="4"/>
      <c r="Z1809" s="4"/>
      <c r="AA1809" s="4"/>
      <c r="AB1809" s="4"/>
      <c r="AC1809" s="7"/>
      <c r="AD1809" s="4"/>
      <c r="AE1809" s="4"/>
      <c r="AF1809" s="21"/>
    </row>
    <row r="1810" spans="24:32" x14ac:dyDescent="0.25">
      <c r="X1810" s="4"/>
      <c r="Y1810" s="4"/>
      <c r="Z1810" s="4"/>
      <c r="AA1810" s="4"/>
      <c r="AB1810" s="4"/>
      <c r="AC1810" s="7"/>
      <c r="AD1810" s="4"/>
      <c r="AE1810" s="4"/>
      <c r="AF1810" s="21"/>
    </row>
    <row r="1811" spans="24:32" x14ac:dyDescent="0.25">
      <c r="X1811" s="4"/>
      <c r="Y1811" s="4"/>
      <c r="Z1811" s="4"/>
      <c r="AA1811" s="4"/>
      <c r="AB1811" s="4"/>
      <c r="AC1811" s="7"/>
      <c r="AD1811" s="4"/>
      <c r="AE1811" s="4"/>
      <c r="AF1811" s="21"/>
    </row>
    <row r="1812" spans="24:32" x14ac:dyDescent="0.25">
      <c r="X1812" s="4"/>
      <c r="Y1812" s="4"/>
      <c r="Z1812" s="4"/>
      <c r="AA1812" s="4"/>
      <c r="AB1812" s="4"/>
      <c r="AC1812" s="7"/>
      <c r="AD1812" s="4"/>
      <c r="AE1812" s="4"/>
      <c r="AF1812" s="21"/>
    </row>
    <row r="1813" spans="24:32" x14ac:dyDescent="0.25">
      <c r="X1813" s="4"/>
      <c r="Y1813" s="4"/>
      <c r="Z1813" s="4"/>
      <c r="AA1813" s="4"/>
      <c r="AB1813" s="4"/>
      <c r="AC1813" s="7"/>
      <c r="AD1813" s="4"/>
      <c r="AE1813" s="4"/>
      <c r="AF1813" s="21"/>
    </row>
    <row r="1814" spans="24:32" x14ac:dyDescent="0.25">
      <c r="X1814" s="4"/>
      <c r="Y1814" s="4"/>
      <c r="Z1814" s="4"/>
      <c r="AA1814" s="4"/>
      <c r="AB1814" s="4"/>
      <c r="AC1814" s="7"/>
      <c r="AD1814" s="4"/>
      <c r="AE1814" s="4"/>
      <c r="AF1814" s="21"/>
    </row>
    <row r="1815" spans="24:32" x14ac:dyDescent="0.25">
      <c r="X1815" s="4"/>
      <c r="Y1815" s="4"/>
      <c r="Z1815" s="4"/>
      <c r="AA1815" s="4"/>
      <c r="AB1815" s="4"/>
      <c r="AC1815" s="7"/>
      <c r="AD1815" s="4"/>
      <c r="AE1815" s="4"/>
      <c r="AF1815" s="21"/>
    </row>
    <row r="1816" spans="24:32" x14ac:dyDescent="0.25">
      <c r="X1816" s="4"/>
      <c r="Y1816" s="4"/>
      <c r="Z1816" s="4"/>
      <c r="AA1816" s="4"/>
      <c r="AB1816" s="4"/>
      <c r="AC1816" s="7"/>
      <c r="AD1816" s="4"/>
      <c r="AE1816" s="4"/>
      <c r="AF1816" s="21"/>
    </row>
    <row r="1817" spans="24:32" x14ac:dyDescent="0.25">
      <c r="X1817" s="4"/>
      <c r="Y1817" s="4"/>
      <c r="Z1817" s="4"/>
      <c r="AA1817" s="4"/>
      <c r="AB1817" s="4"/>
      <c r="AC1817" s="7"/>
      <c r="AD1817" s="4"/>
      <c r="AE1817" s="4"/>
      <c r="AF1817" s="21"/>
    </row>
    <row r="1818" spans="24:32" x14ac:dyDescent="0.25">
      <c r="X1818" s="4"/>
      <c r="Y1818" s="4"/>
      <c r="Z1818" s="4"/>
      <c r="AA1818" s="4"/>
      <c r="AB1818" s="4"/>
      <c r="AC1818" s="7"/>
      <c r="AD1818" s="4"/>
      <c r="AE1818" s="4"/>
      <c r="AF1818" s="21"/>
    </row>
    <row r="1819" spans="24:32" x14ac:dyDescent="0.25">
      <c r="X1819" s="4"/>
      <c r="Y1819" s="4"/>
      <c r="Z1819" s="4"/>
      <c r="AA1819" s="4"/>
      <c r="AB1819" s="4"/>
      <c r="AC1819" s="7"/>
      <c r="AD1819" s="4"/>
      <c r="AE1819" s="4"/>
      <c r="AF1819" s="21"/>
    </row>
    <row r="1820" spans="24:32" x14ac:dyDescent="0.25">
      <c r="X1820" s="4"/>
      <c r="Y1820" s="4"/>
      <c r="Z1820" s="4"/>
      <c r="AA1820" s="4"/>
      <c r="AB1820" s="4"/>
      <c r="AC1820" s="7"/>
      <c r="AD1820" s="4"/>
      <c r="AE1820" s="4"/>
      <c r="AF1820" s="21"/>
    </row>
    <row r="1821" spans="24:32" x14ac:dyDescent="0.25">
      <c r="X1821" s="4"/>
      <c r="Y1821" s="4"/>
      <c r="Z1821" s="4"/>
      <c r="AA1821" s="4"/>
      <c r="AB1821" s="4"/>
      <c r="AC1821" s="7"/>
      <c r="AD1821" s="4"/>
      <c r="AE1821" s="4"/>
      <c r="AF1821" s="21"/>
    </row>
    <row r="1822" spans="24:32" x14ac:dyDescent="0.25">
      <c r="X1822" s="4"/>
      <c r="Y1822" s="4"/>
      <c r="Z1822" s="4"/>
      <c r="AA1822" s="4"/>
      <c r="AB1822" s="4"/>
      <c r="AC1822" s="7"/>
      <c r="AD1822" s="4"/>
      <c r="AE1822" s="4"/>
      <c r="AF1822" s="21"/>
    </row>
    <row r="1823" spans="24:32" x14ac:dyDescent="0.25">
      <c r="X1823" s="4"/>
      <c r="Y1823" s="4"/>
      <c r="Z1823" s="4"/>
      <c r="AA1823" s="4"/>
      <c r="AB1823" s="4"/>
      <c r="AC1823" s="7"/>
      <c r="AD1823" s="4"/>
      <c r="AE1823" s="4"/>
      <c r="AF1823" s="21"/>
    </row>
    <row r="1824" spans="24:32" x14ac:dyDescent="0.25">
      <c r="X1824" s="4"/>
      <c r="Y1824" s="4"/>
      <c r="Z1824" s="4"/>
      <c r="AA1824" s="4"/>
      <c r="AB1824" s="4"/>
      <c r="AC1824" s="7"/>
      <c r="AD1824" s="4"/>
      <c r="AE1824" s="4"/>
      <c r="AF1824" s="21"/>
    </row>
    <row r="1825" spans="24:32" x14ac:dyDescent="0.25">
      <c r="X1825" s="4"/>
      <c r="Y1825" s="4"/>
      <c r="Z1825" s="4"/>
      <c r="AA1825" s="4"/>
      <c r="AB1825" s="4"/>
      <c r="AC1825" s="7"/>
      <c r="AD1825" s="4"/>
      <c r="AE1825" s="4"/>
      <c r="AF1825" s="21"/>
    </row>
    <row r="1826" spans="24:32" x14ac:dyDescent="0.25">
      <c r="X1826" s="4"/>
      <c r="Y1826" s="4"/>
      <c r="Z1826" s="4"/>
      <c r="AA1826" s="4"/>
      <c r="AB1826" s="4"/>
      <c r="AC1826" s="7"/>
      <c r="AD1826" s="4"/>
      <c r="AE1826" s="4"/>
      <c r="AF1826" s="21"/>
    </row>
    <row r="1827" spans="24:32" x14ac:dyDescent="0.25">
      <c r="X1827" s="4"/>
      <c r="Y1827" s="4"/>
      <c r="Z1827" s="4"/>
      <c r="AA1827" s="4"/>
      <c r="AB1827" s="4"/>
      <c r="AC1827" s="7"/>
      <c r="AD1827" s="4"/>
      <c r="AE1827" s="4"/>
      <c r="AF1827" s="21"/>
    </row>
    <row r="1828" spans="24:32" x14ac:dyDescent="0.25">
      <c r="X1828" s="4"/>
      <c r="Y1828" s="4"/>
      <c r="Z1828" s="4"/>
      <c r="AA1828" s="4"/>
      <c r="AB1828" s="4"/>
      <c r="AC1828" s="7"/>
      <c r="AD1828" s="4"/>
      <c r="AE1828" s="4"/>
      <c r="AF1828" s="21"/>
    </row>
    <row r="1829" spans="24:32" x14ac:dyDescent="0.25">
      <c r="X1829" s="4"/>
      <c r="Y1829" s="4"/>
      <c r="Z1829" s="4"/>
      <c r="AA1829" s="4"/>
      <c r="AB1829" s="4"/>
      <c r="AC1829" s="7"/>
      <c r="AD1829" s="4"/>
      <c r="AE1829" s="4"/>
      <c r="AF1829" s="21"/>
    </row>
    <row r="1830" spans="24:32" x14ac:dyDescent="0.25">
      <c r="X1830" s="4"/>
      <c r="Y1830" s="4"/>
      <c r="Z1830" s="4"/>
      <c r="AA1830" s="4"/>
      <c r="AB1830" s="4"/>
      <c r="AC1830" s="7"/>
      <c r="AD1830" s="4"/>
      <c r="AE1830" s="4"/>
      <c r="AF1830" s="21"/>
    </row>
    <row r="1831" spans="24:32" x14ac:dyDescent="0.25">
      <c r="X1831" s="4"/>
      <c r="Y1831" s="4"/>
      <c r="Z1831" s="4"/>
      <c r="AA1831" s="4"/>
      <c r="AB1831" s="4"/>
      <c r="AC1831" s="7"/>
      <c r="AD1831" s="4"/>
      <c r="AE1831" s="4"/>
      <c r="AF1831" s="21"/>
    </row>
    <row r="1832" spans="24:32" x14ac:dyDescent="0.25">
      <c r="X1832" s="4"/>
      <c r="Y1832" s="4"/>
      <c r="Z1832" s="4"/>
      <c r="AA1832" s="4"/>
      <c r="AB1832" s="4"/>
      <c r="AC1832" s="7"/>
      <c r="AD1832" s="4"/>
      <c r="AE1832" s="4"/>
      <c r="AF1832" s="21"/>
    </row>
    <row r="1833" spans="24:32" x14ac:dyDescent="0.25">
      <c r="X1833" s="4"/>
      <c r="Y1833" s="4"/>
      <c r="Z1833" s="4"/>
      <c r="AA1833" s="4"/>
      <c r="AB1833" s="4"/>
      <c r="AC1833" s="7"/>
      <c r="AD1833" s="4"/>
      <c r="AE1833" s="4"/>
      <c r="AF1833" s="21"/>
    </row>
    <row r="1834" spans="24:32" x14ac:dyDescent="0.25">
      <c r="X1834" s="4"/>
      <c r="Y1834" s="4"/>
      <c r="Z1834" s="4"/>
      <c r="AA1834" s="4"/>
      <c r="AB1834" s="4"/>
      <c r="AC1834" s="7"/>
      <c r="AD1834" s="4"/>
      <c r="AE1834" s="4"/>
      <c r="AF1834" s="21"/>
    </row>
    <row r="1835" spans="24:32" x14ac:dyDescent="0.25">
      <c r="X1835" s="4"/>
      <c r="Y1835" s="4"/>
      <c r="Z1835" s="4"/>
      <c r="AA1835" s="4"/>
      <c r="AB1835" s="4"/>
      <c r="AC1835" s="7"/>
      <c r="AD1835" s="4"/>
      <c r="AE1835" s="4"/>
      <c r="AF1835" s="21"/>
    </row>
    <row r="1836" spans="24:32" x14ac:dyDescent="0.25">
      <c r="X1836" s="4"/>
      <c r="Y1836" s="4"/>
      <c r="Z1836" s="4"/>
      <c r="AA1836" s="4"/>
      <c r="AB1836" s="4"/>
      <c r="AC1836" s="7"/>
      <c r="AD1836" s="4"/>
      <c r="AE1836" s="4"/>
      <c r="AF1836" s="21"/>
    </row>
    <row r="1837" spans="24:32" x14ac:dyDescent="0.25">
      <c r="X1837" s="4"/>
      <c r="Y1837" s="4"/>
      <c r="Z1837" s="4"/>
      <c r="AA1837" s="4"/>
      <c r="AB1837" s="4"/>
      <c r="AC1837" s="7"/>
      <c r="AD1837" s="4"/>
      <c r="AE1837" s="4"/>
      <c r="AF1837" s="21"/>
    </row>
    <row r="1838" spans="24:32" x14ac:dyDescent="0.25">
      <c r="X1838" s="4"/>
      <c r="Y1838" s="4"/>
      <c r="Z1838" s="4"/>
      <c r="AA1838" s="4"/>
      <c r="AB1838" s="4"/>
      <c r="AC1838" s="7"/>
      <c r="AD1838" s="4"/>
      <c r="AE1838" s="4"/>
      <c r="AF1838" s="21"/>
    </row>
    <row r="1839" spans="24:32" x14ac:dyDescent="0.25">
      <c r="X1839" s="4"/>
      <c r="Y1839" s="4"/>
      <c r="Z1839" s="4"/>
      <c r="AA1839" s="4"/>
      <c r="AB1839" s="4"/>
      <c r="AC1839" s="7"/>
      <c r="AD1839" s="4"/>
      <c r="AE1839" s="4"/>
      <c r="AF1839" s="21"/>
    </row>
    <row r="1840" spans="24:32" x14ac:dyDescent="0.25">
      <c r="X1840" s="4"/>
      <c r="Y1840" s="4"/>
      <c r="Z1840" s="4"/>
      <c r="AA1840" s="4"/>
      <c r="AB1840" s="4"/>
      <c r="AC1840" s="7"/>
      <c r="AD1840" s="4"/>
      <c r="AE1840" s="4"/>
      <c r="AF1840" s="21"/>
    </row>
    <row r="1841" spans="24:32" x14ac:dyDescent="0.25">
      <c r="X1841" s="4"/>
      <c r="Y1841" s="4"/>
      <c r="Z1841" s="4"/>
      <c r="AA1841" s="4"/>
      <c r="AB1841" s="4"/>
      <c r="AC1841" s="7"/>
      <c r="AD1841" s="4"/>
      <c r="AE1841" s="4"/>
      <c r="AF1841" s="21"/>
    </row>
    <row r="1842" spans="24:32" x14ac:dyDescent="0.25">
      <c r="X1842" s="4"/>
      <c r="Y1842" s="4"/>
      <c r="Z1842" s="4"/>
      <c r="AA1842" s="4"/>
      <c r="AB1842" s="4"/>
      <c r="AC1842" s="7"/>
      <c r="AD1842" s="4"/>
      <c r="AE1842" s="4"/>
      <c r="AF1842" s="21"/>
    </row>
    <row r="1843" spans="24:32" x14ac:dyDescent="0.25">
      <c r="X1843" s="4"/>
      <c r="Y1843" s="4"/>
      <c r="Z1843" s="4"/>
      <c r="AA1843" s="4"/>
      <c r="AB1843" s="4"/>
      <c r="AC1843" s="7"/>
      <c r="AD1843" s="4"/>
      <c r="AE1843" s="4"/>
      <c r="AF1843" s="21"/>
    </row>
    <row r="1844" spans="24:32" x14ac:dyDescent="0.25">
      <c r="X1844" s="4"/>
      <c r="Y1844" s="4"/>
      <c r="Z1844" s="4"/>
      <c r="AA1844" s="4"/>
      <c r="AB1844" s="4"/>
      <c r="AC1844" s="7"/>
      <c r="AD1844" s="4"/>
      <c r="AE1844" s="4"/>
      <c r="AF1844" s="21"/>
    </row>
    <row r="1845" spans="24:32" x14ac:dyDescent="0.25">
      <c r="X1845" s="4"/>
      <c r="Y1845" s="4"/>
      <c r="Z1845" s="4"/>
      <c r="AA1845" s="4"/>
      <c r="AB1845" s="4"/>
      <c r="AC1845" s="7"/>
      <c r="AD1845" s="4"/>
      <c r="AE1845" s="4"/>
      <c r="AF1845" s="21"/>
    </row>
    <row r="1846" spans="24:32" x14ac:dyDescent="0.25">
      <c r="X1846" s="4"/>
      <c r="Y1846" s="4"/>
      <c r="Z1846" s="4"/>
      <c r="AA1846" s="4"/>
      <c r="AB1846" s="4"/>
      <c r="AC1846" s="7"/>
      <c r="AD1846" s="4"/>
      <c r="AE1846" s="4"/>
      <c r="AF1846" s="21"/>
    </row>
    <row r="1847" spans="24:32" x14ac:dyDescent="0.25">
      <c r="X1847" s="4"/>
      <c r="Y1847" s="4"/>
      <c r="Z1847" s="4"/>
      <c r="AA1847" s="4"/>
      <c r="AB1847" s="4"/>
      <c r="AC1847" s="7"/>
      <c r="AD1847" s="4"/>
      <c r="AE1847" s="4"/>
      <c r="AF1847" s="21"/>
    </row>
    <row r="1848" spans="24:32" x14ac:dyDescent="0.25">
      <c r="X1848" s="4"/>
      <c r="Y1848" s="4"/>
      <c r="Z1848" s="4"/>
      <c r="AA1848" s="4"/>
      <c r="AB1848" s="4"/>
      <c r="AC1848" s="7"/>
      <c r="AD1848" s="4"/>
      <c r="AE1848" s="4"/>
      <c r="AF1848" s="21"/>
    </row>
    <row r="1849" spans="24:32" x14ac:dyDescent="0.25">
      <c r="X1849" s="4"/>
      <c r="Y1849" s="4"/>
      <c r="Z1849" s="4"/>
      <c r="AA1849" s="4"/>
      <c r="AB1849" s="4"/>
      <c r="AC1849" s="7"/>
      <c r="AD1849" s="4"/>
      <c r="AE1849" s="4"/>
      <c r="AF1849" s="21"/>
    </row>
    <row r="1850" spans="24:32" x14ac:dyDescent="0.25">
      <c r="X1850" s="4"/>
      <c r="Y1850" s="4"/>
      <c r="Z1850" s="4"/>
      <c r="AA1850" s="4"/>
      <c r="AB1850" s="4"/>
      <c r="AC1850" s="7"/>
      <c r="AD1850" s="4"/>
      <c r="AE1850" s="4"/>
      <c r="AF1850" s="21"/>
    </row>
    <row r="1851" spans="24:32" x14ac:dyDescent="0.25">
      <c r="X1851" s="4"/>
      <c r="Y1851" s="4"/>
      <c r="Z1851" s="4"/>
      <c r="AA1851" s="4"/>
      <c r="AB1851" s="4"/>
      <c r="AC1851" s="7"/>
      <c r="AD1851" s="4"/>
      <c r="AE1851" s="4"/>
      <c r="AF1851" s="21"/>
    </row>
    <row r="1852" spans="24:32" x14ac:dyDescent="0.25">
      <c r="X1852" s="4"/>
      <c r="Y1852" s="4"/>
      <c r="Z1852" s="4"/>
      <c r="AA1852" s="4"/>
      <c r="AB1852" s="4"/>
      <c r="AC1852" s="7"/>
      <c r="AD1852" s="4"/>
      <c r="AE1852" s="4"/>
      <c r="AF1852" s="21"/>
    </row>
    <row r="1853" spans="24:32" x14ac:dyDescent="0.25">
      <c r="X1853" s="4"/>
      <c r="Y1853" s="4"/>
      <c r="Z1853" s="4"/>
      <c r="AA1853" s="4"/>
      <c r="AB1853" s="4"/>
      <c r="AC1853" s="7"/>
      <c r="AD1853" s="4"/>
      <c r="AE1853" s="4"/>
      <c r="AF1853" s="21"/>
    </row>
    <row r="1854" spans="24:32" x14ac:dyDescent="0.25">
      <c r="X1854" s="4"/>
      <c r="Y1854" s="4"/>
      <c r="Z1854" s="4"/>
      <c r="AA1854" s="4"/>
      <c r="AB1854" s="4"/>
      <c r="AC1854" s="7"/>
      <c r="AD1854" s="4"/>
      <c r="AE1854" s="4"/>
      <c r="AF1854" s="21"/>
    </row>
    <row r="1855" spans="24:32" x14ac:dyDescent="0.25">
      <c r="X1855" s="4"/>
      <c r="Y1855" s="4"/>
      <c r="Z1855" s="4"/>
      <c r="AA1855" s="4"/>
      <c r="AB1855" s="4"/>
      <c r="AC1855" s="7"/>
      <c r="AD1855" s="4"/>
      <c r="AE1855" s="4"/>
      <c r="AF1855" s="21"/>
    </row>
    <row r="1856" spans="24:32" x14ac:dyDescent="0.25">
      <c r="X1856" s="4"/>
      <c r="Y1856" s="4"/>
      <c r="Z1856" s="4"/>
      <c r="AA1856" s="4"/>
      <c r="AB1856" s="4"/>
      <c r="AC1856" s="7"/>
      <c r="AD1856" s="4"/>
      <c r="AE1856" s="4"/>
      <c r="AF1856" s="21"/>
    </row>
    <row r="1857" spans="24:32" x14ac:dyDescent="0.25">
      <c r="X1857" s="4"/>
      <c r="Y1857" s="4"/>
      <c r="Z1857" s="4"/>
      <c r="AA1857" s="4"/>
      <c r="AB1857" s="4"/>
      <c r="AC1857" s="7"/>
      <c r="AD1857" s="4"/>
      <c r="AE1857" s="4"/>
      <c r="AF1857" s="21"/>
    </row>
    <row r="1858" spans="24:32" x14ac:dyDescent="0.25">
      <c r="X1858" s="4"/>
      <c r="Y1858" s="4"/>
      <c r="Z1858" s="4"/>
      <c r="AA1858" s="4"/>
      <c r="AB1858" s="4"/>
      <c r="AC1858" s="7"/>
      <c r="AD1858" s="4"/>
      <c r="AE1858" s="4"/>
      <c r="AF1858" s="21"/>
    </row>
    <row r="1859" spans="24:32" x14ac:dyDescent="0.25">
      <c r="X1859" s="4"/>
      <c r="Y1859" s="4"/>
      <c r="Z1859" s="4"/>
      <c r="AA1859" s="4"/>
      <c r="AB1859" s="4"/>
      <c r="AC1859" s="7"/>
      <c r="AD1859" s="4"/>
      <c r="AE1859" s="4"/>
      <c r="AF1859" s="21"/>
    </row>
    <row r="1860" spans="24:32" x14ac:dyDescent="0.25">
      <c r="X1860" s="4"/>
      <c r="Y1860" s="4"/>
      <c r="Z1860" s="4"/>
      <c r="AA1860" s="4"/>
      <c r="AB1860" s="4"/>
      <c r="AC1860" s="7"/>
      <c r="AD1860" s="4"/>
      <c r="AE1860" s="4"/>
      <c r="AF1860" s="21"/>
    </row>
    <row r="1861" spans="24:32" x14ac:dyDescent="0.25">
      <c r="X1861" s="4"/>
      <c r="Y1861" s="4"/>
      <c r="Z1861" s="4"/>
      <c r="AA1861" s="4"/>
      <c r="AB1861" s="4"/>
      <c r="AC1861" s="7"/>
      <c r="AD1861" s="4"/>
      <c r="AE1861" s="4"/>
      <c r="AF1861" s="21"/>
    </row>
    <row r="1862" spans="24:32" x14ac:dyDescent="0.25">
      <c r="X1862" s="4"/>
      <c r="Y1862" s="4"/>
      <c r="Z1862" s="4"/>
      <c r="AA1862" s="4"/>
      <c r="AB1862" s="4"/>
      <c r="AC1862" s="7"/>
      <c r="AD1862" s="4"/>
      <c r="AE1862" s="4"/>
      <c r="AF1862" s="21"/>
    </row>
    <row r="1863" spans="24:32" x14ac:dyDescent="0.25">
      <c r="X1863" s="4"/>
      <c r="Y1863" s="4"/>
      <c r="Z1863" s="4"/>
      <c r="AA1863" s="4"/>
      <c r="AB1863" s="4"/>
      <c r="AC1863" s="7"/>
      <c r="AD1863" s="4"/>
      <c r="AE1863" s="4"/>
      <c r="AF1863" s="21"/>
    </row>
    <row r="1864" spans="24:32" x14ac:dyDescent="0.25">
      <c r="X1864" s="4"/>
      <c r="Y1864" s="4"/>
      <c r="Z1864" s="4"/>
      <c r="AA1864" s="4"/>
      <c r="AB1864" s="4"/>
      <c r="AC1864" s="7"/>
      <c r="AD1864" s="4"/>
      <c r="AE1864" s="4"/>
      <c r="AF1864" s="21"/>
    </row>
    <row r="1865" spans="24:32" x14ac:dyDescent="0.25">
      <c r="X1865" s="4"/>
      <c r="Y1865" s="4"/>
      <c r="Z1865" s="4"/>
      <c r="AA1865" s="4"/>
      <c r="AB1865" s="4"/>
      <c r="AC1865" s="7"/>
      <c r="AD1865" s="4"/>
      <c r="AE1865" s="4"/>
      <c r="AF1865" s="21"/>
    </row>
    <row r="1866" spans="24:32" x14ac:dyDescent="0.25">
      <c r="X1866" s="4"/>
      <c r="Y1866" s="4"/>
      <c r="Z1866" s="4"/>
      <c r="AA1866" s="4"/>
      <c r="AB1866" s="4"/>
      <c r="AC1866" s="7"/>
      <c r="AD1866" s="4"/>
      <c r="AE1866" s="4"/>
      <c r="AF1866" s="21"/>
    </row>
    <row r="1867" spans="24:32" x14ac:dyDescent="0.25">
      <c r="X1867" s="4"/>
      <c r="Y1867" s="4"/>
      <c r="Z1867" s="4"/>
      <c r="AA1867" s="4"/>
      <c r="AB1867" s="4"/>
      <c r="AC1867" s="7"/>
      <c r="AD1867" s="4"/>
      <c r="AE1867" s="4"/>
      <c r="AF1867" s="21"/>
    </row>
    <row r="1868" spans="24:32" x14ac:dyDescent="0.25">
      <c r="X1868" s="4"/>
      <c r="Y1868" s="4"/>
      <c r="Z1868" s="4"/>
      <c r="AA1868" s="4"/>
      <c r="AB1868" s="4"/>
      <c r="AC1868" s="7"/>
      <c r="AD1868" s="4"/>
      <c r="AE1868" s="4"/>
      <c r="AF1868" s="21"/>
    </row>
    <row r="1869" spans="24:32" x14ac:dyDescent="0.25">
      <c r="X1869" s="4"/>
      <c r="Y1869" s="4"/>
      <c r="Z1869" s="4"/>
      <c r="AA1869" s="4"/>
      <c r="AB1869" s="4"/>
      <c r="AC1869" s="7"/>
      <c r="AD1869" s="4"/>
      <c r="AE1869" s="4"/>
      <c r="AF1869" s="21"/>
    </row>
    <row r="1870" spans="24:32" x14ac:dyDescent="0.25">
      <c r="X1870" s="4"/>
      <c r="Y1870" s="4"/>
      <c r="Z1870" s="4"/>
      <c r="AA1870" s="4"/>
      <c r="AB1870" s="4"/>
      <c r="AC1870" s="7"/>
      <c r="AD1870" s="4"/>
      <c r="AE1870" s="4"/>
      <c r="AF1870" s="21"/>
    </row>
    <row r="1871" spans="24:32" x14ac:dyDescent="0.25">
      <c r="X1871" s="4"/>
      <c r="Y1871" s="4"/>
      <c r="Z1871" s="4"/>
      <c r="AA1871" s="4"/>
      <c r="AB1871" s="4"/>
      <c r="AC1871" s="7"/>
      <c r="AD1871" s="4"/>
      <c r="AE1871" s="4"/>
      <c r="AF1871" s="21"/>
    </row>
    <row r="1872" spans="24:32" x14ac:dyDescent="0.25">
      <c r="X1872" s="4"/>
      <c r="Y1872" s="4"/>
      <c r="Z1872" s="4"/>
      <c r="AA1872" s="4"/>
      <c r="AB1872" s="4"/>
      <c r="AC1872" s="7"/>
      <c r="AD1872" s="4"/>
      <c r="AE1872" s="4"/>
      <c r="AF1872" s="21"/>
    </row>
    <row r="1873" spans="24:32" x14ac:dyDescent="0.25">
      <c r="X1873" s="4"/>
      <c r="Y1873" s="4"/>
      <c r="Z1873" s="4"/>
      <c r="AA1873" s="4"/>
      <c r="AB1873" s="4"/>
      <c r="AC1873" s="7"/>
      <c r="AD1873" s="4"/>
      <c r="AE1873" s="4"/>
      <c r="AF1873" s="21"/>
    </row>
    <row r="1874" spans="24:32" x14ac:dyDescent="0.25">
      <c r="X1874" s="4"/>
      <c r="Y1874" s="4"/>
      <c r="Z1874" s="4"/>
      <c r="AA1874" s="4"/>
      <c r="AB1874" s="4"/>
      <c r="AC1874" s="7"/>
      <c r="AD1874" s="4"/>
      <c r="AE1874" s="4"/>
      <c r="AF1874" s="21"/>
    </row>
    <row r="1875" spans="24:32" x14ac:dyDescent="0.25">
      <c r="X1875" s="4"/>
      <c r="Y1875" s="4"/>
      <c r="Z1875" s="4"/>
      <c r="AA1875" s="4"/>
      <c r="AB1875" s="4"/>
      <c r="AC1875" s="7"/>
      <c r="AD1875" s="4"/>
      <c r="AE1875" s="4"/>
      <c r="AF1875" s="21"/>
    </row>
    <row r="1876" spans="24:32" x14ac:dyDescent="0.25">
      <c r="X1876" s="4"/>
      <c r="Y1876" s="4"/>
      <c r="Z1876" s="4"/>
      <c r="AA1876" s="4"/>
      <c r="AB1876" s="4"/>
      <c r="AC1876" s="7"/>
      <c r="AD1876" s="4"/>
      <c r="AE1876" s="4"/>
      <c r="AF1876" s="21"/>
    </row>
    <row r="1877" spans="24:32" x14ac:dyDescent="0.25">
      <c r="X1877" s="4"/>
      <c r="Y1877" s="4"/>
      <c r="Z1877" s="4"/>
      <c r="AA1877" s="4"/>
      <c r="AB1877" s="4"/>
      <c r="AC1877" s="7"/>
      <c r="AD1877" s="4"/>
      <c r="AE1877" s="4"/>
      <c r="AF1877" s="21"/>
    </row>
    <row r="1878" spans="24:32" x14ac:dyDescent="0.25">
      <c r="X1878" s="4"/>
      <c r="Y1878" s="4"/>
      <c r="Z1878" s="4"/>
      <c r="AA1878" s="4"/>
      <c r="AB1878" s="4"/>
      <c r="AC1878" s="7"/>
      <c r="AD1878" s="4"/>
      <c r="AE1878" s="4"/>
      <c r="AF1878" s="21"/>
    </row>
    <row r="1879" spans="24:32" x14ac:dyDescent="0.25">
      <c r="X1879" s="4"/>
      <c r="Y1879" s="4"/>
      <c r="Z1879" s="4"/>
      <c r="AA1879" s="4"/>
      <c r="AB1879" s="4"/>
      <c r="AC1879" s="7"/>
      <c r="AD1879" s="4"/>
      <c r="AE1879" s="4"/>
      <c r="AF1879" s="21"/>
    </row>
    <row r="1880" spans="24:32" x14ac:dyDescent="0.25">
      <c r="X1880" s="4"/>
      <c r="Y1880" s="4"/>
      <c r="Z1880" s="4"/>
      <c r="AA1880" s="4"/>
      <c r="AB1880" s="4"/>
      <c r="AC1880" s="7"/>
      <c r="AD1880" s="4"/>
      <c r="AE1880" s="4"/>
      <c r="AF1880" s="21"/>
    </row>
    <row r="1881" spans="24:32" x14ac:dyDescent="0.25">
      <c r="X1881" s="4"/>
      <c r="Y1881" s="4"/>
      <c r="Z1881" s="4"/>
      <c r="AA1881" s="4"/>
      <c r="AB1881" s="4"/>
      <c r="AC1881" s="7"/>
      <c r="AD1881" s="4"/>
      <c r="AE1881" s="4"/>
      <c r="AF1881" s="21"/>
    </row>
    <row r="1882" spans="24:32" x14ac:dyDescent="0.25">
      <c r="X1882" s="4"/>
      <c r="Y1882" s="4"/>
      <c r="Z1882" s="4"/>
      <c r="AA1882" s="4"/>
      <c r="AB1882" s="4"/>
      <c r="AC1882" s="7"/>
      <c r="AD1882" s="4"/>
      <c r="AE1882" s="4"/>
      <c r="AF1882" s="21"/>
    </row>
    <row r="1883" spans="24:32" x14ac:dyDescent="0.25">
      <c r="X1883" s="4"/>
      <c r="Y1883" s="4"/>
      <c r="Z1883" s="4"/>
      <c r="AA1883" s="4"/>
      <c r="AB1883" s="4"/>
      <c r="AC1883" s="7"/>
      <c r="AD1883" s="4"/>
      <c r="AE1883" s="4"/>
      <c r="AF1883" s="21"/>
    </row>
    <row r="1884" spans="24:32" x14ac:dyDescent="0.25">
      <c r="X1884" s="4"/>
      <c r="Y1884" s="4"/>
      <c r="Z1884" s="4"/>
      <c r="AA1884" s="4"/>
      <c r="AB1884" s="4"/>
      <c r="AC1884" s="7"/>
      <c r="AD1884" s="4"/>
      <c r="AE1884" s="4"/>
      <c r="AF1884" s="21"/>
    </row>
    <row r="1885" spans="24:32" x14ac:dyDescent="0.25">
      <c r="X1885" s="4"/>
      <c r="Y1885" s="4"/>
      <c r="Z1885" s="4"/>
      <c r="AA1885" s="4"/>
      <c r="AB1885" s="4"/>
      <c r="AC1885" s="7"/>
      <c r="AD1885" s="4"/>
      <c r="AE1885" s="4"/>
      <c r="AF1885" s="21"/>
    </row>
    <row r="1886" spans="24:32" x14ac:dyDescent="0.25">
      <c r="X1886" s="4"/>
      <c r="Y1886" s="4"/>
      <c r="Z1886" s="4"/>
      <c r="AA1886" s="4"/>
      <c r="AB1886" s="4"/>
      <c r="AC1886" s="7"/>
      <c r="AD1886" s="4"/>
      <c r="AE1886" s="4"/>
      <c r="AF1886" s="21"/>
    </row>
    <row r="1887" spans="24:32" x14ac:dyDescent="0.25">
      <c r="X1887" s="4"/>
      <c r="Y1887" s="4"/>
      <c r="Z1887" s="4"/>
      <c r="AA1887" s="4"/>
      <c r="AB1887" s="4"/>
      <c r="AC1887" s="7"/>
      <c r="AD1887" s="4"/>
      <c r="AE1887" s="4"/>
      <c r="AF1887" s="21"/>
    </row>
    <row r="1888" spans="24:32" x14ac:dyDescent="0.25">
      <c r="X1888" s="4"/>
      <c r="Y1888" s="4"/>
      <c r="Z1888" s="4"/>
      <c r="AA1888" s="4"/>
      <c r="AB1888" s="4"/>
      <c r="AC1888" s="7"/>
      <c r="AD1888" s="4"/>
      <c r="AE1888" s="4"/>
      <c r="AF1888" s="21"/>
    </row>
    <row r="1889" spans="24:32" x14ac:dyDescent="0.25">
      <c r="X1889" s="4"/>
      <c r="Y1889" s="4"/>
      <c r="Z1889" s="4"/>
      <c r="AA1889" s="4"/>
      <c r="AB1889" s="4"/>
      <c r="AC1889" s="7"/>
      <c r="AD1889" s="4"/>
      <c r="AE1889" s="4"/>
      <c r="AF1889" s="21"/>
    </row>
    <row r="1890" spans="24:32" x14ac:dyDescent="0.25">
      <c r="X1890" s="4"/>
      <c r="Y1890" s="4"/>
      <c r="Z1890" s="4"/>
      <c r="AA1890" s="4"/>
      <c r="AB1890" s="4"/>
      <c r="AC1890" s="7"/>
      <c r="AD1890" s="4"/>
      <c r="AE1890" s="4"/>
      <c r="AF1890" s="21"/>
    </row>
    <row r="1891" spans="24:32" x14ac:dyDescent="0.25">
      <c r="X1891" s="4"/>
      <c r="Y1891" s="4"/>
      <c r="Z1891" s="4"/>
      <c r="AA1891" s="4"/>
      <c r="AB1891" s="4"/>
      <c r="AC1891" s="7"/>
      <c r="AD1891" s="4"/>
      <c r="AE1891" s="4"/>
      <c r="AF1891" s="21"/>
    </row>
    <row r="1892" spans="24:32" x14ac:dyDescent="0.25">
      <c r="X1892" s="4"/>
      <c r="Y1892" s="4"/>
      <c r="Z1892" s="4"/>
      <c r="AA1892" s="4"/>
      <c r="AB1892" s="4"/>
      <c r="AC1892" s="7"/>
      <c r="AD1892" s="4"/>
      <c r="AE1892" s="4"/>
      <c r="AF1892" s="21"/>
    </row>
    <row r="1893" spans="24:32" x14ac:dyDescent="0.25">
      <c r="X1893" s="4"/>
      <c r="Y1893" s="4"/>
      <c r="Z1893" s="4"/>
      <c r="AA1893" s="4"/>
      <c r="AB1893" s="4"/>
      <c r="AC1893" s="7"/>
      <c r="AD1893" s="4"/>
      <c r="AE1893" s="4"/>
      <c r="AF1893" s="21"/>
    </row>
    <row r="1894" spans="24:32" x14ac:dyDescent="0.25">
      <c r="X1894" s="4"/>
      <c r="Y1894" s="4"/>
      <c r="Z1894" s="4"/>
      <c r="AA1894" s="4"/>
      <c r="AB1894" s="4"/>
      <c r="AC1894" s="7"/>
      <c r="AD1894" s="4"/>
      <c r="AE1894" s="4"/>
      <c r="AF1894" s="21"/>
    </row>
    <row r="1895" spans="24:32" x14ac:dyDescent="0.25">
      <c r="X1895" s="4"/>
      <c r="Y1895" s="4"/>
      <c r="Z1895" s="4"/>
      <c r="AA1895" s="4"/>
      <c r="AB1895" s="4"/>
      <c r="AC1895" s="7"/>
      <c r="AD1895" s="4"/>
      <c r="AE1895" s="4"/>
      <c r="AF1895" s="21"/>
    </row>
    <row r="1896" spans="24:32" x14ac:dyDescent="0.25">
      <c r="X1896" s="4"/>
      <c r="Y1896" s="4"/>
      <c r="Z1896" s="4"/>
      <c r="AA1896" s="4"/>
      <c r="AB1896" s="4"/>
      <c r="AC1896" s="7"/>
      <c r="AD1896" s="4"/>
      <c r="AE1896" s="4"/>
      <c r="AF1896" s="21"/>
    </row>
    <row r="1897" spans="24:32" x14ac:dyDescent="0.25">
      <c r="X1897" s="4"/>
      <c r="Y1897" s="4"/>
      <c r="Z1897" s="4"/>
      <c r="AA1897" s="4"/>
      <c r="AB1897" s="4"/>
      <c r="AC1897" s="7"/>
      <c r="AD1897" s="4"/>
      <c r="AE1897" s="4"/>
      <c r="AF1897" s="21"/>
    </row>
    <row r="1898" spans="24:32" x14ac:dyDescent="0.25">
      <c r="X1898" s="4"/>
      <c r="Y1898" s="4"/>
      <c r="Z1898" s="4"/>
      <c r="AA1898" s="4"/>
      <c r="AB1898" s="4"/>
      <c r="AC1898" s="7"/>
      <c r="AD1898" s="4"/>
      <c r="AE1898" s="4"/>
      <c r="AF1898" s="21"/>
    </row>
    <row r="1899" spans="24:32" x14ac:dyDescent="0.25">
      <c r="X1899" s="4"/>
      <c r="Y1899" s="4"/>
      <c r="Z1899" s="4"/>
      <c r="AA1899" s="4"/>
      <c r="AB1899" s="4"/>
      <c r="AC1899" s="7"/>
      <c r="AD1899" s="4"/>
      <c r="AE1899" s="4"/>
      <c r="AF1899" s="21"/>
    </row>
    <row r="1900" spans="24:32" x14ac:dyDescent="0.25">
      <c r="X1900" s="4"/>
      <c r="Y1900" s="4"/>
      <c r="Z1900" s="4"/>
      <c r="AA1900" s="4"/>
      <c r="AB1900" s="4"/>
      <c r="AC1900" s="7"/>
      <c r="AD1900" s="4"/>
      <c r="AE1900" s="4"/>
      <c r="AF1900" s="21"/>
    </row>
    <row r="1901" spans="24:32" x14ac:dyDescent="0.25">
      <c r="X1901" s="4"/>
      <c r="Y1901" s="4"/>
      <c r="Z1901" s="4"/>
      <c r="AA1901" s="4"/>
      <c r="AB1901" s="4"/>
      <c r="AC1901" s="7"/>
      <c r="AD1901" s="4"/>
      <c r="AE1901" s="4"/>
      <c r="AF1901" s="21"/>
    </row>
    <row r="1902" spans="24:32" x14ac:dyDescent="0.25">
      <c r="X1902" s="4"/>
      <c r="Y1902" s="4"/>
      <c r="Z1902" s="4"/>
      <c r="AA1902" s="4"/>
      <c r="AB1902" s="4"/>
      <c r="AC1902" s="7"/>
      <c r="AD1902" s="4"/>
      <c r="AE1902" s="4"/>
      <c r="AF1902" s="21"/>
    </row>
    <row r="1903" spans="24:32" x14ac:dyDescent="0.25">
      <c r="X1903" s="4"/>
      <c r="Y1903" s="4"/>
      <c r="Z1903" s="4"/>
      <c r="AA1903" s="4"/>
      <c r="AB1903" s="4"/>
      <c r="AC1903" s="7"/>
      <c r="AD1903" s="4"/>
      <c r="AE1903" s="4"/>
      <c r="AF1903" s="21"/>
    </row>
    <row r="1904" spans="24:32" x14ac:dyDescent="0.25">
      <c r="X1904" s="4"/>
      <c r="Y1904" s="4"/>
      <c r="Z1904" s="4"/>
      <c r="AA1904" s="4"/>
      <c r="AB1904" s="4"/>
      <c r="AC1904" s="7"/>
      <c r="AD1904" s="4"/>
      <c r="AE1904" s="4"/>
      <c r="AF1904" s="21"/>
    </row>
    <row r="1905" spans="24:32" x14ac:dyDescent="0.25">
      <c r="X1905" s="4"/>
      <c r="Y1905" s="4"/>
      <c r="Z1905" s="4"/>
      <c r="AA1905" s="4"/>
      <c r="AB1905" s="4"/>
      <c r="AC1905" s="7"/>
      <c r="AD1905" s="4"/>
      <c r="AE1905" s="4"/>
      <c r="AF1905" s="21"/>
    </row>
    <row r="1906" spans="24:32" x14ac:dyDescent="0.25">
      <c r="X1906" s="4"/>
      <c r="Y1906" s="4"/>
      <c r="Z1906" s="4"/>
      <c r="AA1906" s="4"/>
      <c r="AB1906" s="4"/>
      <c r="AC1906" s="7"/>
      <c r="AD1906" s="4"/>
      <c r="AE1906" s="4"/>
      <c r="AF1906" s="21"/>
    </row>
    <row r="1907" spans="24:32" x14ac:dyDescent="0.25">
      <c r="X1907" s="4"/>
      <c r="Y1907" s="4"/>
      <c r="Z1907" s="4"/>
      <c r="AA1907" s="4"/>
      <c r="AB1907" s="4"/>
      <c r="AC1907" s="7"/>
      <c r="AD1907" s="4"/>
      <c r="AE1907" s="4"/>
      <c r="AF1907" s="21"/>
    </row>
    <row r="1908" spans="24:32" x14ac:dyDescent="0.25">
      <c r="X1908" s="4"/>
      <c r="Y1908" s="4"/>
      <c r="Z1908" s="4"/>
      <c r="AA1908" s="4"/>
      <c r="AB1908" s="4"/>
      <c r="AC1908" s="7"/>
      <c r="AD1908" s="4"/>
      <c r="AE1908" s="4"/>
      <c r="AF1908" s="21"/>
    </row>
    <row r="1909" spans="24:32" x14ac:dyDescent="0.25">
      <c r="X1909" s="4"/>
      <c r="Y1909" s="4"/>
      <c r="Z1909" s="4"/>
      <c r="AA1909" s="4"/>
      <c r="AB1909" s="4"/>
      <c r="AC1909" s="7"/>
      <c r="AD1909" s="4"/>
      <c r="AE1909" s="4"/>
      <c r="AF1909" s="21"/>
    </row>
    <row r="1910" spans="24:32" x14ac:dyDescent="0.25">
      <c r="X1910" s="4"/>
      <c r="Y1910" s="4"/>
      <c r="Z1910" s="4"/>
      <c r="AA1910" s="4"/>
      <c r="AB1910" s="4"/>
      <c r="AC1910" s="7"/>
      <c r="AD1910" s="4"/>
      <c r="AE1910" s="4"/>
      <c r="AF1910" s="21"/>
    </row>
    <row r="1911" spans="24:32" x14ac:dyDescent="0.25">
      <c r="X1911" s="4"/>
      <c r="Y1911" s="4"/>
      <c r="Z1911" s="4"/>
      <c r="AA1911" s="4"/>
      <c r="AB1911" s="4"/>
      <c r="AC1911" s="7"/>
      <c r="AD1911" s="4"/>
      <c r="AE1911" s="4"/>
      <c r="AF1911" s="21"/>
    </row>
    <row r="1912" spans="24:32" x14ac:dyDescent="0.25">
      <c r="X1912" s="4"/>
      <c r="Y1912" s="4"/>
      <c r="Z1912" s="4"/>
      <c r="AA1912" s="4"/>
      <c r="AB1912" s="4"/>
      <c r="AC1912" s="7"/>
      <c r="AD1912" s="4"/>
      <c r="AE1912" s="4"/>
      <c r="AF1912" s="21"/>
    </row>
    <row r="1913" spans="24:32" x14ac:dyDescent="0.25">
      <c r="X1913" s="4"/>
      <c r="Y1913" s="4"/>
      <c r="Z1913" s="4"/>
      <c r="AA1913" s="4"/>
      <c r="AB1913" s="4"/>
      <c r="AC1913" s="7"/>
      <c r="AD1913" s="4"/>
      <c r="AE1913" s="4"/>
      <c r="AF1913" s="21"/>
    </row>
    <row r="1914" spans="24:32" x14ac:dyDescent="0.25">
      <c r="X1914" s="4"/>
      <c r="Y1914" s="4"/>
      <c r="Z1914" s="4"/>
      <c r="AA1914" s="4"/>
      <c r="AB1914" s="4"/>
      <c r="AC1914" s="7"/>
      <c r="AD1914" s="4"/>
      <c r="AE1914" s="4"/>
      <c r="AF1914" s="21"/>
    </row>
    <row r="1915" spans="24:32" x14ac:dyDescent="0.25">
      <c r="X1915" s="4"/>
      <c r="Y1915" s="4"/>
      <c r="Z1915" s="4"/>
      <c r="AA1915" s="4"/>
      <c r="AB1915" s="4"/>
      <c r="AC1915" s="7"/>
      <c r="AD1915" s="4"/>
      <c r="AE1915" s="4"/>
      <c r="AF1915" s="21"/>
    </row>
    <row r="1916" spans="24:32" x14ac:dyDescent="0.25">
      <c r="X1916" s="4"/>
      <c r="Y1916" s="4"/>
      <c r="Z1916" s="4"/>
      <c r="AA1916" s="4"/>
      <c r="AB1916" s="4"/>
      <c r="AC1916" s="7"/>
      <c r="AD1916" s="4"/>
      <c r="AE1916" s="4"/>
      <c r="AF1916" s="21"/>
    </row>
    <row r="1917" spans="24:32" x14ac:dyDescent="0.25">
      <c r="X1917" s="4"/>
      <c r="Y1917" s="4"/>
      <c r="Z1917" s="4"/>
      <c r="AA1917" s="4"/>
      <c r="AB1917" s="4"/>
      <c r="AC1917" s="7"/>
      <c r="AD1917" s="4"/>
      <c r="AE1917" s="4"/>
      <c r="AF1917" s="21"/>
    </row>
    <row r="1918" spans="24:32" x14ac:dyDescent="0.25">
      <c r="X1918" s="4"/>
      <c r="Y1918" s="4"/>
      <c r="Z1918" s="4"/>
      <c r="AA1918" s="4"/>
      <c r="AB1918" s="4"/>
      <c r="AC1918" s="7"/>
      <c r="AD1918" s="4"/>
      <c r="AE1918" s="4"/>
      <c r="AF1918" s="21"/>
    </row>
    <row r="1919" spans="24:32" x14ac:dyDescent="0.25">
      <c r="X1919" s="4"/>
      <c r="Y1919" s="4"/>
      <c r="Z1919" s="4"/>
      <c r="AA1919" s="4"/>
      <c r="AB1919" s="4"/>
      <c r="AC1919" s="7"/>
      <c r="AD1919" s="4"/>
      <c r="AE1919" s="4"/>
      <c r="AF1919" s="21"/>
    </row>
    <row r="1920" spans="24:32" x14ac:dyDescent="0.25">
      <c r="X1920" s="4"/>
      <c r="Y1920" s="4"/>
      <c r="Z1920" s="4"/>
      <c r="AA1920" s="4"/>
      <c r="AB1920" s="4"/>
      <c r="AC1920" s="7"/>
      <c r="AD1920" s="4"/>
      <c r="AE1920" s="4"/>
      <c r="AF1920" s="21"/>
    </row>
    <row r="1921" spans="24:32" x14ac:dyDescent="0.25">
      <c r="X1921" s="4"/>
      <c r="Y1921" s="4"/>
      <c r="Z1921" s="4"/>
      <c r="AA1921" s="4"/>
      <c r="AB1921" s="4"/>
      <c r="AC1921" s="7"/>
      <c r="AD1921" s="4"/>
      <c r="AE1921" s="4"/>
      <c r="AF1921" s="21"/>
    </row>
    <row r="1922" spans="24:32" x14ac:dyDescent="0.25">
      <c r="X1922" s="4"/>
      <c r="Y1922" s="4"/>
      <c r="Z1922" s="4"/>
      <c r="AA1922" s="4"/>
      <c r="AB1922" s="4"/>
      <c r="AC1922" s="7"/>
      <c r="AD1922" s="4"/>
      <c r="AE1922" s="4"/>
      <c r="AF1922" s="21"/>
    </row>
    <row r="1923" spans="24:32" x14ac:dyDescent="0.25">
      <c r="X1923" s="4"/>
      <c r="Y1923" s="4"/>
      <c r="Z1923" s="4"/>
      <c r="AA1923" s="4"/>
      <c r="AB1923" s="4"/>
      <c r="AC1923" s="7"/>
      <c r="AD1923" s="4"/>
      <c r="AE1923" s="4"/>
      <c r="AF1923" s="21"/>
    </row>
    <row r="1924" spans="24:32" x14ac:dyDescent="0.25">
      <c r="X1924" s="4"/>
      <c r="Y1924" s="4"/>
      <c r="Z1924" s="4"/>
      <c r="AA1924" s="4"/>
      <c r="AB1924" s="4"/>
      <c r="AC1924" s="7"/>
      <c r="AD1924" s="4"/>
      <c r="AE1924" s="4"/>
      <c r="AF1924" s="21"/>
    </row>
    <row r="1925" spans="24:32" x14ac:dyDescent="0.25">
      <c r="X1925" s="4"/>
      <c r="Y1925" s="4"/>
      <c r="Z1925" s="4"/>
      <c r="AA1925" s="4"/>
      <c r="AB1925" s="4"/>
      <c r="AC1925" s="7"/>
      <c r="AD1925" s="4"/>
      <c r="AE1925" s="4"/>
      <c r="AF1925" s="21"/>
    </row>
    <row r="1926" spans="24:32" x14ac:dyDescent="0.25">
      <c r="X1926" s="4"/>
      <c r="Y1926" s="4"/>
      <c r="Z1926" s="4"/>
      <c r="AA1926" s="4"/>
      <c r="AB1926" s="4"/>
      <c r="AC1926" s="7"/>
      <c r="AD1926" s="4"/>
      <c r="AE1926" s="4"/>
      <c r="AF1926" s="21"/>
    </row>
    <row r="1927" spans="24:32" x14ac:dyDescent="0.25">
      <c r="X1927" s="4"/>
      <c r="Y1927" s="4"/>
      <c r="Z1927" s="4"/>
      <c r="AA1927" s="4"/>
      <c r="AB1927" s="4"/>
      <c r="AC1927" s="7"/>
      <c r="AD1927" s="4"/>
      <c r="AE1927" s="4"/>
      <c r="AF1927" s="21"/>
    </row>
    <row r="1928" spans="24:32" x14ac:dyDescent="0.25">
      <c r="X1928" s="4"/>
      <c r="Y1928" s="4"/>
      <c r="Z1928" s="4"/>
      <c r="AA1928" s="4"/>
      <c r="AB1928" s="4"/>
      <c r="AC1928" s="7"/>
      <c r="AD1928" s="4"/>
      <c r="AE1928" s="4"/>
      <c r="AF1928" s="21"/>
    </row>
    <row r="1929" spans="24:32" x14ac:dyDescent="0.25">
      <c r="X1929" s="4"/>
      <c r="Y1929" s="4"/>
      <c r="Z1929" s="4"/>
      <c r="AA1929" s="4"/>
      <c r="AB1929" s="4"/>
      <c r="AC1929" s="7"/>
      <c r="AD1929" s="4"/>
      <c r="AE1929" s="4"/>
      <c r="AF1929" s="21"/>
    </row>
    <row r="1930" spans="24:32" x14ac:dyDescent="0.25">
      <c r="X1930" s="4"/>
      <c r="Y1930" s="4"/>
      <c r="Z1930" s="4"/>
      <c r="AA1930" s="4"/>
      <c r="AB1930" s="4"/>
      <c r="AC1930" s="7"/>
      <c r="AD1930" s="4"/>
      <c r="AE1930" s="4"/>
      <c r="AF1930" s="21"/>
    </row>
    <row r="1931" spans="24:32" x14ac:dyDescent="0.25">
      <c r="X1931" s="4"/>
      <c r="Y1931" s="4"/>
      <c r="Z1931" s="4"/>
      <c r="AA1931" s="4"/>
      <c r="AB1931" s="4"/>
      <c r="AC1931" s="7"/>
      <c r="AD1931" s="4"/>
      <c r="AE1931" s="4"/>
      <c r="AF1931" s="21"/>
    </row>
    <row r="1932" spans="24:32" x14ac:dyDescent="0.25">
      <c r="X1932" s="4"/>
      <c r="Y1932" s="4"/>
      <c r="Z1932" s="4"/>
      <c r="AA1932" s="4"/>
      <c r="AB1932" s="4"/>
      <c r="AC1932" s="7"/>
      <c r="AD1932" s="4"/>
      <c r="AE1932" s="4"/>
      <c r="AF1932" s="21"/>
    </row>
    <row r="1933" spans="24:32" x14ac:dyDescent="0.25">
      <c r="X1933" s="4"/>
      <c r="Y1933" s="4"/>
      <c r="Z1933" s="4"/>
      <c r="AA1933" s="4"/>
      <c r="AB1933" s="4"/>
      <c r="AC1933" s="7"/>
      <c r="AD1933" s="4"/>
      <c r="AE1933" s="4"/>
      <c r="AF1933" s="21"/>
    </row>
    <row r="1934" spans="24:32" x14ac:dyDescent="0.25">
      <c r="X1934" s="4"/>
      <c r="Y1934" s="4"/>
      <c r="Z1934" s="4"/>
      <c r="AA1934" s="4"/>
      <c r="AB1934" s="4"/>
      <c r="AC1934" s="7"/>
      <c r="AD1934" s="4"/>
      <c r="AE1934" s="4"/>
      <c r="AF1934" s="21"/>
    </row>
    <row r="1935" spans="24:32" x14ac:dyDescent="0.25">
      <c r="X1935" s="4"/>
      <c r="Y1935" s="4"/>
      <c r="Z1935" s="4"/>
      <c r="AA1935" s="4"/>
      <c r="AB1935" s="4"/>
      <c r="AC1935" s="7"/>
      <c r="AD1935" s="4"/>
      <c r="AE1935" s="4"/>
      <c r="AF1935" s="21"/>
    </row>
    <row r="1936" spans="24:32" x14ac:dyDescent="0.25">
      <c r="X1936" s="4"/>
      <c r="Y1936" s="4"/>
      <c r="Z1936" s="4"/>
      <c r="AA1936" s="4"/>
      <c r="AB1936" s="4"/>
      <c r="AC1936" s="7"/>
      <c r="AD1936" s="4"/>
      <c r="AE1936" s="4"/>
      <c r="AF1936" s="21"/>
    </row>
    <row r="1937" spans="24:32" x14ac:dyDescent="0.25">
      <c r="X1937" s="4"/>
      <c r="Y1937" s="4"/>
      <c r="Z1937" s="4"/>
      <c r="AA1937" s="4"/>
      <c r="AB1937" s="4"/>
      <c r="AC1937" s="7"/>
      <c r="AD1937" s="4"/>
      <c r="AE1937" s="4"/>
      <c r="AF1937" s="21"/>
    </row>
    <row r="1938" spans="24:32" x14ac:dyDescent="0.25">
      <c r="X1938" s="4"/>
      <c r="Y1938" s="4"/>
      <c r="Z1938" s="4"/>
      <c r="AA1938" s="4"/>
      <c r="AB1938" s="4"/>
      <c r="AC1938" s="7"/>
      <c r="AD1938" s="4"/>
      <c r="AE1938" s="4"/>
      <c r="AF1938" s="21"/>
    </row>
    <row r="1939" spans="24:32" x14ac:dyDescent="0.25">
      <c r="X1939" s="4"/>
      <c r="Y1939" s="4"/>
      <c r="Z1939" s="4"/>
      <c r="AA1939" s="4"/>
      <c r="AB1939" s="4"/>
      <c r="AC1939" s="7"/>
      <c r="AD1939" s="4"/>
      <c r="AE1939" s="4"/>
      <c r="AF1939" s="21"/>
    </row>
    <row r="1940" spans="24:32" x14ac:dyDescent="0.25">
      <c r="X1940" s="4"/>
      <c r="Y1940" s="4"/>
      <c r="Z1940" s="4"/>
      <c r="AA1940" s="4"/>
      <c r="AB1940" s="4"/>
      <c r="AC1940" s="7"/>
      <c r="AD1940" s="4"/>
      <c r="AE1940" s="4"/>
      <c r="AF1940" s="21"/>
    </row>
    <row r="1941" spans="24:32" x14ac:dyDescent="0.25">
      <c r="X1941" s="4"/>
      <c r="Y1941" s="4"/>
      <c r="Z1941" s="4"/>
      <c r="AA1941" s="4"/>
      <c r="AB1941" s="4"/>
      <c r="AC1941" s="7"/>
      <c r="AD1941" s="4"/>
      <c r="AE1941" s="4"/>
      <c r="AF1941" s="21"/>
    </row>
    <row r="1942" spans="24:32" x14ac:dyDescent="0.25">
      <c r="X1942" s="4"/>
      <c r="Y1942" s="4"/>
      <c r="Z1942" s="4"/>
      <c r="AA1942" s="4"/>
      <c r="AB1942" s="4"/>
      <c r="AC1942" s="7"/>
      <c r="AD1942" s="4"/>
      <c r="AE1942" s="4"/>
      <c r="AF1942" s="21"/>
    </row>
    <row r="1943" spans="24:32" x14ac:dyDescent="0.25">
      <c r="X1943" s="4"/>
      <c r="Y1943" s="4"/>
      <c r="Z1943" s="4"/>
      <c r="AA1943" s="4"/>
      <c r="AB1943" s="4"/>
      <c r="AC1943" s="7"/>
      <c r="AD1943" s="4"/>
      <c r="AE1943" s="4"/>
      <c r="AF1943" s="21"/>
    </row>
    <row r="1944" spans="24:32" x14ac:dyDescent="0.25">
      <c r="X1944" s="4"/>
      <c r="Y1944" s="4"/>
      <c r="Z1944" s="4"/>
      <c r="AA1944" s="4"/>
      <c r="AB1944" s="4"/>
      <c r="AC1944" s="7"/>
      <c r="AD1944" s="4"/>
      <c r="AE1944" s="4"/>
      <c r="AF1944" s="21"/>
    </row>
    <row r="1945" spans="24:32" x14ac:dyDescent="0.25">
      <c r="X1945" s="4"/>
      <c r="Y1945" s="4"/>
      <c r="Z1945" s="4"/>
      <c r="AA1945" s="4"/>
      <c r="AB1945" s="4"/>
      <c r="AC1945" s="7"/>
      <c r="AD1945" s="4"/>
      <c r="AE1945" s="4"/>
      <c r="AF1945" s="21"/>
    </row>
    <row r="1946" spans="24:32" x14ac:dyDescent="0.25">
      <c r="X1946" s="4"/>
      <c r="Y1946" s="4"/>
      <c r="Z1946" s="4"/>
      <c r="AA1946" s="4"/>
      <c r="AB1946" s="4"/>
      <c r="AC1946" s="7"/>
      <c r="AD1946" s="4"/>
      <c r="AE1946" s="4"/>
      <c r="AF1946" s="21"/>
    </row>
    <row r="1947" spans="24:32" x14ac:dyDescent="0.25">
      <c r="X1947" s="4"/>
      <c r="Y1947" s="4"/>
      <c r="Z1947" s="4"/>
      <c r="AA1947" s="4"/>
      <c r="AB1947" s="4"/>
      <c r="AC1947" s="7"/>
      <c r="AD1947" s="4"/>
      <c r="AE1947" s="4"/>
      <c r="AF1947" s="21"/>
    </row>
    <row r="1948" spans="24:32" x14ac:dyDescent="0.25">
      <c r="X1948" s="4"/>
      <c r="Y1948" s="4"/>
      <c r="Z1948" s="4"/>
      <c r="AA1948" s="4"/>
      <c r="AB1948" s="4"/>
      <c r="AC1948" s="7"/>
      <c r="AD1948" s="4"/>
      <c r="AE1948" s="4"/>
      <c r="AF1948" s="21"/>
    </row>
    <row r="1949" spans="24:32" x14ac:dyDescent="0.25">
      <c r="X1949" s="4"/>
      <c r="Y1949" s="4"/>
      <c r="Z1949" s="4"/>
      <c r="AA1949" s="4"/>
      <c r="AB1949" s="4"/>
      <c r="AC1949" s="7"/>
      <c r="AD1949" s="4"/>
      <c r="AE1949" s="4"/>
      <c r="AF1949" s="21"/>
    </row>
    <row r="1950" spans="24:32" x14ac:dyDescent="0.25">
      <c r="X1950" s="4"/>
      <c r="Y1950" s="4"/>
      <c r="Z1950" s="4"/>
      <c r="AA1950" s="4"/>
      <c r="AB1950" s="4"/>
      <c r="AC1950" s="7"/>
      <c r="AD1950" s="4"/>
      <c r="AE1950" s="4"/>
      <c r="AF1950" s="21"/>
    </row>
    <row r="1951" spans="24:32" x14ac:dyDescent="0.25">
      <c r="X1951" s="4"/>
      <c r="Y1951" s="4"/>
      <c r="Z1951" s="4"/>
      <c r="AA1951" s="4"/>
      <c r="AB1951" s="4"/>
      <c r="AC1951" s="7"/>
      <c r="AD1951" s="4"/>
      <c r="AE1951" s="4"/>
      <c r="AF1951" s="21"/>
    </row>
    <row r="1952" spans="24:32" x14ac:dyDescent="0.25">
      <c r="X1952" s="4"/>
      <c r="Y1952" s="4"/>
      <c r="Z1952" s="4"/>
      <c r="AA1952" s="4"/>
      <c r="AB1952" s="4"/>
      <c r="AC1952" s="7"/>
      <c r="AD1952" s="4"/>
      <c r="AE1952" s="4"/>
      <c r="AF1952" s="21"/>
    </row>
    <row r="1953" spans="24:32" x14ac:dyDescent="0.25">
      <c r="X1953" s="4"/>
      <c r="Y1953" s="4"/>
      <c r="Z1953" s="4"/>
      <c r="AA1953" s="4"/>
      <c r="AB1953" s="4"/>
      <c r="AC1953" s="7"/>
      <c r="AD1953" s="4"/>
      <c r="AE1953" s="4"/>
      <c r="AF1953" s="21"/>
    </row>
    <row r="1954" spans="24:32" x14ac:dyDescent="0.25">
      <c r="X1954" s="4"/>
      <c r="Y1954" s="4"/>
      <c r="Z1954" s="4"/>
      <c r="AA1954" s="4"/>
      <c r="AB1954" s="4"/>
      <c r="AC1954" s="7"/>
      <c r="AD1954" s="4"/>
      <c r="AE1954" s="4"/>
      <c r="AF1954" s="21"/>
    </row>
    <row r="1955" spans="24:32" x14ac:dyDescent="0.25">
      <c r="X1955" s="4"/>
      <c r="Y1955" s="4"/>
      <c r="Z1955" s="4"/>
      <c r="AA1955" s="4"/>
      <c r="AB1955" s="4"/>
      <c r="AC1955" s="7"/>
      <c r="AD1955" s="4"/>
      <c r="AE1955" s="4"/>
      <c r="AF1955" s="21"/>
    </row>
    <row r="1956" spans="24:32" x14ac:dyDescent="0.25">
      <c r="X1956" s="4"/>
      <c r="Y1956" s="4"/>
      <c r="Z1956" s="4"/>
      <c r="AA1956" s="4"/>
      <c r="AB1956" s="4"/>
      <c r="AC1956" s="7"/>
      <c r="AD1956" s="4"/>
      <c r="AE1956" s="4"/>
      <c r="AF1956" s="21"/>
    </row>
    <row r="1957" spans="24:32" x14ac:dyDescent="0.25">
      <c r="X1957" s="4"/>
      <c r="Y1957" s="4"/>
      <c r="Z1957" s="4"/>
      <c r="AA1957" s="4"/>
      <c r="AB1957" s="4"/>
      <c r="AC1957" s="7"/>
      <c r="AD1957" s="4"/>
      <c r="AE1957" s="4"/>
      <c r="AF1957" s="21"/>
    </row>
    <row r="1958" spans="24:32" x14ac:dyDescent="0.25">
      <c r="X1958" s="4"/>
      <c r="Y1958" s="4"/>
      <c r="Z1958" s="4"/>
      <c r="AA1958" s="4"/>
      <c r="AB1958" s="4"/>
      <c r="AC1958" s="7"/>
      <c r="AD1958" s="4"/>
      <c r="AE1958" s="4"/>
      <c r="AF1958" s="21"/>
    </row>
    <row r="1959" spans="24:32" x14ac:dyDescent="0.25">
      <c r="X1959" s="4"/>
      <c r="Y1959" s="4"/>
      <c r="Z1959" s="4"/>
      <c r="AA1959" s="4"/>
      <c r="AB1959" s="4"/>
      <c r="AC1959" s="7"/>
      <c r="AD1959" s="4"/>
      <c r="AE1959" s="4"/>
      <c r="AF1959" s="21"/>
    </row>
    <row r="1960" spans="24:32" x14ac:dyDescent="0.25">
      <c r="X1960" s="4"/>
      <c r="Y1960" s="4"/>
      <c r="Z1960" s="4"/>
      <c r="AA1960" s="4"/>
      <c r="AB1960" s="4"/>
      <c r="AC1960" s="7"/>
      <c r="AD1960" s="4"/>
      <c r="AE1960" s="4"/>
      <c r="AF1960" s="21"/>
    </row>
    <row r="1961" spans="24:32" x14ac:dyDescent="0.25">
      <c r="X1961" s="4"/>
      <c r="Y1961" s="4"/>
      <c r="Z1961" s="4"/>
      <c r="AA1961" s="4"/>
      <c r="AB1961" s="4"/>
      <c r="AC1961" s="7"/>
      <c r="AD1961" s="4"/>
      <c r="AE1961" s="4"/>
      <c r="AF1961" s="21"/>
    </row>
    <row r="1962" spans="24:32" x14ac:dyDescent="0.25">
      <c r="X1962" s="4"/>
      <c r="Y1962" s="4"/>
      <c r="Z1962" s="4"/>
      <c r="AA1962" s="4"/>
      <c r="AB1962" s="4"/>
      <c r="AC1962" s="7"/>
      <c r="AD1962" s="4"/>
      <c r="AE1962" s="4"/>
      <c r="AF1962" s="21"/>
    </row>
    <row r="1963" spans="24:32" x14ac:dyDescent="0.25">
      <c r="X1963" s="4"/>
      <c r="Y1963" s="4"/>
      <c r="Z1963" s="4"/>
      <c r="AA1963" s="4"/>
      <c r="AB1963" s="4"/>
      <c r="AC1963" s="7"/>
      <c r="AD1963" s="4"/>
      <c r="AE1963" s="4"/>
      <c r="AF1963" s="21"/>
    </row>
    <row r="1964" spans="24:32" x14ac:dyDescent="0.25">
      <c r="X1964" s="4"/>
      <c r="Y1964" s="4"/>
      <c r="Z1964" s="4"/>
      <c r="AA1964" s="4"/>
      <c r="AB1964" s="4"/>
      <c r="AC1964" s="7"/>
      <c r="AD1964" s="4"/>
      <c r="AE1964" s="4"/>
      <c r="AF1964" s="21"/>
    </row>
    <row r="1965" spans="24:32" x14ac:dyDescent="0.25">
      <c r="X1965" s="4"/>
      <c r="Y1965" s="4"/>
      <c r="Z1965" s="4"/>
      <c r="AA1965" s="4"/>
      <c r="AB1965" s="4"/>
      <c r="AC1965" s="7"/>
      <c r="AD1965" s="4"/>
      <c r="AE1965" s="4"/>
      <c r="AF1965" s="21"/>
    </row>
    <row r="1966" spans="24:32" x14ac:dyDescent="0.25">
      <c r="X1966" s="4"/>
      <c r="Y1966" s="4"/>
      <c r="Z1966" s="4"/>
      <c r="AA1966" s="4"/>
      <c r="AB1966" s="4"/>
      <c r="AC1966" s="7"/>
      <c r="AD1966" s="4"/>
      <c r="AE1966" s="4"/>
      <c r="AF1966" s="21"/>
    </row>
    <row r="1967" spans="24:32" x14ac:dyDescent="0.25">
      <c r="X1967" s="4"/>
      <c r="Y1967" s="4"/>
      <c r="Z1967" s="4"/>
      <c r="AA1967" s="4"/>
      <c r="AB1967" s="4"/>
      <c r="AC1967" s="7"/>
      <c r="AD1967" s="4"/>
      <c r="AE1967" s="4"/>
      <c r="AF1967" s="21"/>
    </row>
    <row r="1968" spans="24:32" x14ac:dyDescent="0.25">
      <c r="X1968" s="4"/>
      <c r="Y1968" s="4"/>
      <c r="Z1968" s="4"/>
      <c r="AA1968" s="4"/>
      <c r="AB1968" s="4"/>
      <c r="AC1968" s="7"/>
      <c r="AD1968" s="4"/>
      <c r="AE1968" s="4"/>
      <c r="AF1968" s="21"/>
    </row>
    <row r="1969" spans="24:32" x14ac:dyDescent="0.25">
      <c r="X1969" s="4"/>
      <c r="Y1969" s="4"/>
      <c r="Z1969" s="4"/>
      <c r="AA1969" s="4"/>
      <c r="AB1969" s="4"/>
      <c r="AC1969" s="7"/>
      <c r="AD1969" s="4"/>
      <c r="AE1969" s="4"/>
      <c r="AF1969" s="21"/>
    </row>
    <row r="1970" spans="24:32" x14ac:dyDescent="0.25">
      <c r="X1970" s="4"/>
      <c r="Y1970" s="4"/>
      <c r="Z1970" s="4"/>
      <c r="AA1970" s="4"/>
      <c r="AB1970" s="4"/>
      <c r="AC1970" s="7"/>
      <c r="AD1970" s="4"/>
      <c r="AE1970" s="4"/>
      <c r="AF1970" s="21"/>
    </row>
    <row r="1971" spans="24:32" x14ac:dyDescent="0.25">
      <c r="X1971" s="4"/>
      <c r="Y1971" s="4"/>
      <c r="Z1971" s="4"/>
      <c r="AA1971" s="4"/>
      <c r="AB1971" s="4"/>
      <c r="AC1971" s="7"/>
      <c r="AD1971" s="4"/>
      <c r="AE1971" s="4"/>
      <c r="AF1971" s="21"/>
    </row>
    <row r="1972" spans="24:32" x14ac:dyDescent="0.25">
      <c r="X1972" s="4"/>
      <c r="Y1972" s="4"/>
      <c r="Z1972" s="4"/>
      <c r="AA1972" s="4"/>
      <c r="AB1972" s="4"/>
      <c r="AC1972" s="7"/>
      <c r="AD1972" s="4"/>
      <c r="AE1972" s="4"/>
      <c r="AF1972" s="21"/>
    </row>
    <row r="1973" spans="24:32" x14ac:dyDescent="0.25">
      <c r="X1973" s="4"/>
      <c r="Y1973" s="4"/>
      <c r="Z1973" s="4"/>
      <c r="AA1973" s="4"/>
      <c r="AB1973" s="4"/>
      <c r="AC1973" s="7"/>
      <c r="AD1973" s="4"/>
      <c r="AE1973" s="4"/>
      <c r="AF1973" s="21"/>
    </row>
    <row r="1974" spans="24:32" x14ac:dyDescent="0.25">
      <c r="X1974" s="4"/>
      <c r="Y1974" s="4"/>
      <c r="Z1974" s="4"/>
      <c r="AA1974" s="4"/>
      <c r="AB1974" s="4"/>
      <c r="AC1974" s="7"/>
      <c r="AD1974" s="4"/>
      <c r="AE1974" s="4"/>
      <c r="AF1974" s="21"/>
    </row>
    <row r="1975" spans="24:32" x14ac:dyDescent="0.25">
      <c r="X1975" s="4"/>
      <c r="Y1975" s="4"/>
      <c r="Z1975" s="4"/>
      <c r="AA1975" s="4"/>
      <c r="AB1975" s="4"/>
      <c r="AC1975" s="7"/>
      <c r="AD1975" s="4"/>
      <c r="AE1975" s="4"/>
      <c r="AF1975" s="21"/>
    </row>
    <row r="1976" spans="24:32" x14ac:dyDescent="0.25">
      <c r="X1976" s="4"/>
      <c r="Y1976" s="4"/>
      <c r="Z1976" s="4"/>
      <c r="AA1976" s="4"/>
      <c r="AB1976" s="4"/>
      <c r="AC1976" s="7"/>
      <c r="AD1976" s="4"/>
      <c r="AE1976" s="4"/>
      <c r="AF1976" s="21"/>
    </row>
    <row r="1977" spans="24:32" x14ac:dyDescent="0.25">
      <c r="X1977" s="4"/>
      <c r="Y1977" s="4"/>
      <c r="Z1977" s="4"/>
      <c r="AA1977" s="4"/>
      <c r="AB1977" s="4"/>
      <c r="AC1977" s="7"/>
      <c r="AD1977" s="4"/>
      <c r="AE1977" s="4"/>
      <c r="AF1977" s="21"/>
    </row>
    <row r="1978" spans="24:32" x14ac:dyDescent="0.25">
      <c r="X1978" s="4"/>
      <c r="Y1978" s="4"/>
      <c r="Z1978" s="4"/>
      <c r="AA1978" s="4"/>
      <c r="AB1978" s="4"/>
      <c r="AC1978" s="7"/>
      <c r="AD1978" s="4"/>
      <c r="AE1978" s="4"/>
      <c r="AF1978" s="21"/>
    </row>
    <row r="1979" spans="24:32" x14ac:dyDescent="0.25">
      <c r="X1979" s="4"/>
      <c r="Y1979" s="4"/>
      <c r="Z1979" s="4"/>
      <c r="AA1979" s="4"/>
      <c r="AB1979" s="4"/>
      <c r="AC1979" s="7"/>
      <c r="AD1979" s="4"/>
      <c r="AE1979" s="4"/>
      <c r="AF1979" s="21"/>
    </row>
    <row r="1980" spans="24:32" x14ac:dyDescent="0.25">
      <c r="X1980" s="4"/>
      <c r="Y1980" s="4"/>
      <c r="Z1980" s="4"/>
      <c r="AA1980" s="4"/>
      <c r="AB1980" s="4"/>
      <c r="AC1980" s="7"/>
      <c r="AD1980" s="4"/>
      <c r="AE1980" s="4"/>
      <c r="AF1980" s="21"/>
    </row>
    <row r="1981" spans="24:32" x14ac:dyDescent="0.25">
      <c r="X1981" s="4"/>
      <c r="Y1981" s="4"/>
      <c r="Z1981" s="4"/>
      <c r="AA1981" s="4"/>
      <c r="AB1981" s="4"/>
      <c r="AC1981" s="7"/>
      <c r="AD1981" s="4"/>
      <c r="AE1981" s="4"/>
      <c r="AF1981" s="21"/>
    </row>
    <row r="1982" spans="24:32" x14ac:dyDescent="0.25">
      <c r="X1982" s="4"/>
      <c r="Y1982" s="4"/>
      <c r="Z1982" s="4"/>
      <c r="AA1982" s="4"/>
      <c r="AB1982" s="4"/>
      <c r="AC1982" s="7"/>
      <c r="AD1982" s="4"/>
      <c r="AE1982" s="4"/>
      <c r="AF1982" s="21"/>
    </row>
    <row r="1983" spans="24:32" x14ac:dyDescent="0.25">
      <c r="X1983" s="4"/>
      <c r="Y1983" s="4"/>
      <c r="Z1983" s="4"/>
      <c r="AA1983" s="4"/>
      <c r="AB1983" s="4"/>
      <c r="AC1983" s="7"/>
      <c r="AD1983" s="4"/>
      <c r="AE1983" s="4"/>
      <c r="AF1983" s="21"/>
    </row>
    <row r="1984" spans="24:32" x14ac:dyDescent="0.25">
      <c r="X1984" s="4"/>
      <c r="Y1984" s="4"/>
      <c r="Z1984" s="4"/>
      <c r="AA1984" s="4"/>
      <c r="AB1984" s="4"/>
      <c r="AC1984" s="7"/>
      <c r="AD1984" s="4"/>
      <c r="AE1984" s="4"/>
      <c r="AF1984" s="21"/>
    </row>
    <row r="1985" spans="24:32" x14ac:dyDescent="0.25">
      <c r="X1985" s="4"/>
      <c r="Y1985" s="4"/>
      <c r="Z1985" s="4"/>
      <c r="AA1985" s="4"/>
      <c r="AB1985" s="4"/>
      <c r="AC1985" s="7"/>
      <c r="AD1985" s="4"/>
      <c r="AE1985" s="4"/>
      <c r="AF1985" s="21"/>
    </row>
    <row r="1986" spans="24:32" x14ac:dyDescent="0.25">
      <c r="X1986" s="4"/>
      <c r="Y1986" s="4"/>
      <c r="Z1986" s="4"/>
      <c r="AA1986" s="4"/>
      <c r="AB1986" s="4"/>
      <c r="AC1986" s="7"/>
      <c r="AD1986" s="4"/>
      <c r="AE1986" s="4"/>
      <c r="AF1986" s="21"/>
    </row>
    <row r="1987" spans="24:32" x14ac:dyDescent="0.25">
      <c r="X1987" s="4"/>
      <c r="Y1987" s="4"/>
      <c r="Z1987" s="4"/>
      <c r="AA1987" s="4"/>
      <c r="AB1987" s="4"/>
      <c r="AC1987" s="7"/>
      <c r="AD1987" s="4"/>
      <c r="AE1987" s="4"/>
      <c r="AF1987" s="21"/>
    </row>
    <row r="1988" spans="24:32" x14ac:dyDescent="0.25">
      <c r="X1988" s="4"/>
      <c r="Y1988" s="4"/>
      <c r="Z1988" s="4"/>
      <c r="AA1988" s="4"/>
      <c r="AB1988" s="4"/>
      <c r="AC1988" s="7"/>
      <c r="AD1988" s="4"/>
      <c r="AE1988" s="4"/>
      <c r="AF1988" s="21"/>
    </row>
    <row r="1989" spans="24:32" x14ac:dyDescent="0.25">
      <c r="X1989" s="4"/>
      <c r="Y1989" s="4"/>
      <c r="Z1989" s="4"/>
      <c r="AA1989" s="4"/>
      <c r="AB1989" s="4"/>
      <c r="AC1989" s="7"/>
      <c r="AD1989" s="4"/>
      <c r="AE1989" s="4"/>
      <c r="AF1989" s="21"/>
    </row>
    <row r="1990" spans="24:32" x14ac:dyDescent="0.25">
      <c r="X1990" s="4"/>
      <c r="Y1990" s="4"/>
      <c r="Z1990" s="4"/>
      <c r="AA1990" s="4"/>
      <c r="AB1990" s="4"/>
      <c r="AC1990" s="7"/>
      <c r="AD1990" s="4"/>
      <c r="AE1990" s="4"/>
      <c r="AF1990" s="21"/>
    </row>
    <row r="1991" spans="24:32" x14ac:dyDescent="0.25">
      <c r="X1991" s="4"/>
      <c r="Y1991" s="4"/>
      <c r="Z1991" s="4"/>
      <c r="AA1991" s="4"/>
      <c r="AB1991" s="4"/>
      <c r="AC1991" s="7"/>
      <c r="AD1991" s="4"/>
      <c r="AE1991" s="4"/>
      <c r="AF1991" s="21"/>
    </row>
    <row r="1992" spans="24:32" x14ac:dyDescent="0.25">
      <c r="X1992" s="4"/>
      <c r="Y1992" s="4"/>
      <c r="Z1992" s="4"/>
      <c r="AA1992" s="4"/>
      <c r="AB1992" s="4"/>
      <c r="AC1992" s="7"/>
      <c r="AD1992" s="4"/>
      <c r="AE1992" s="4"/>
      <c r="AF1992" s="21"/>
    </row>
    <row r="1993" spans="24:32" x14ac:dyDescent="0.25">
      <c r="X1993" s="4"/>
      <c r="Y1993" s="4"/>
      <c r="Z1993" s="4"/>
      <c r="AA1993" s="4"/>
      <c r="AB1993" s="4"/>
      <c r="AC1993" s="7"/>
      <c r="AD1993" s="4"/>
      <c r="AE1993" s="4"/>
      <c r="AF1993" s="21"/>
    </row>
    <row r="1994" spans="24:32" x14ac:dyDescent="0.25">
      <c r="X1994" s="4"/>
      <c r="Y1994" s="4"/>
      <c r="Z1994" s="4"/>
      <c r="AA1994" s="4"/>
      <c r="AB1994" s="4"/>
      <c r="AC1994" s="7"/>
      <c r="AD1994" s="4"/>
      <c r="AE1994" s="4"/>
      <c r="AF1994" s="21"/>
    </row>
    <row r="1995" spans="24:32" x14ac:dyDescent="0.25">
      <c r="X1995" s="4"/>
      <c r="Y1995" s="4"/>
      <c r="Z1995" s="4"/>
      <c r="AA1995" s="4"/>
      <c r="AB1995" s="4"/>
      <c r="AC1995" s="7"/>
      <c r="AD1995" s="4"/>
      <c r="AE1995" s="4"/>
      <c r="AF1995" s="21"/>
    </row>
    <row r="1996" spans="24:32" x14ac:dyDescent="0.25">
      <c r="X1996" s="4"/>
      <c r="Y1996" s="4"/>
      <c r="Z1996" s="4"/>
      <c r="AA1996" s="4"/>
      <c r="AB1996" s="4"/>
      <c r="AC1996" s="7"/>
      <c r="AD1996" s="4"/>
      <c r="AE1996" s="4"/>
      <c r="AF1996" s="21"/>
    </row>
    <row r="1997" spans="24:32" x14ac:dyDescent="0.25">
      <c r="X1997" s="4"/>
      <c r="Y1997" s="4"/>
      <c r="Z1997" s="4"/>
      <c r="AA1997" s="4"/>
      <c r="AB1997" s="4"/>
      <c r="AC1997" s="7"/>
      <c r="AD1997" s="4"/>
      <c r="AE1997" s="4"/>
      <c r="AF1997" s="21"/>
    </row>
    <row r="1998" spans="24:32" x14ac:dyDescent="0.25">
      <c r="X1998" s="4"/>
      <c r="Y1998" s="4"/>
      <c r="Z1998" s="4"/>
      <c r="AA1998" s="4"/>
      <c r="AB1998" s="4"/>
      <c r="AC1998" s="7"/>
      <c r="AD1998" s="4"/>
      <c r="AE1998" s="4"/>
      <c r="AF1998" s="21"/>
    </row>
    <row r="1999" spans="24:32" x14ac:dyDescent="0.25">
      <c r="X1999" s="4"/>
      <c r="Y1999" s="4"/>
      <c r="Z1999" s="4"/>
      <c r="AA1999" s="4"/>
      <c r="AB1999" s="4"/>
      <c r="AC1999" s="7"/>
      <c r="AD1999" s="4"/>
      <c r="AE1999" s="4"/>
      <c r="AF1999" s="21"/>
    </row>
    <row r="2000" spans="24:32" x14ac:dyDescent="0.25">
      <c r="X2000" s="4"/>
      <c r="Y2000" s="4"/>
      <c r="Z2000" s="4"/>
      <c r="AA2000" s="4"/>
      <c r="AB2000" s="4"/>
      <c r="AC2000" s="7"/>
      <c r="AD2000" s="4"/>
      <c r="AE2000" s="4"/>
      <c r="AF2000" s="21"/>
    </row>
    <row r="2001" spans="24:32" x14ac:dyDescent="0.25">
      <c r="X2001" s="4"/>
      <c r="Y2001" s="4"/>
      <c r="Z2001" s="4"/>
      <c r="AA2001" s="4"/>
      <c r="AB2001" s="4"/>
      <c r="AC2001" s="7"/>
      <c r="AD2001" s="4"/>
      <c r="AE2001" s="4"/>
      <c r="AF2001" s="21"/>
    </row>
    <row r="2002" spans="24:32" x14ac:dyDescent="0.25">
      <c r="X2002" s="4"/>
      <c r="Y2002" s="4"/>
      <c r="Z2002" s="4"/>
      <c r="AA2002" s="4"/>
      <c r="AB2002" s="4"/>
      <c r="AC2002" s="7"/>
      <c r="AD2002" s="4"/>
      <c r="AE2002" s="4"/>
      <c r="AF2002" s="21"/>
    </row>
    <row r="2003" spans="24:32" x14ac:dyDescent="0.25">
      <c r="X2003" s="4"/>
      <c r="Y2003" s="4"/>
      <c r="Z2003" s="4"/>
      <c r="AA2003" s="4"/>
      <c r="AB2003" s="4"/>
      <c r="AC2003" s="7"/>
      <c r="AD2003" s="4"/>
      <c r="AE2003" s="4"/>
      <c r="AF2003" s="21"/>
    </row>
    <row r="2004" spans="24:32" x14ac:dyDescent="0.25">
      <c r="X2004" s="4"/>
      <c r="Y2004" s="4"/>
      <c r="Z2004" s="4"/>
      <c r="AA2004" s="4"/>
      <c r="AB2004" s="4"/>
      <c r="AC2004" s="7"/>
      <c r="AD2004" s="4"/>
      <c r="AE2004" s="4"/>
      <c r="AF2004" s="21"/>
    </row>
    <row r="2005" spans="24:32" x14ac:dyDescent="0.25">
      <c r="X2005" s="4"/>
      <c r="Y2005" s="4"/>
      <c r="Z2005" s="4"/>
      <c r="AA2005" s="4"/>
      <c r="AB2005" s="4"/>
      <c r="AC2005" s="7"/>
      <c r="AD2005" s="4"/>
      <c r="AE2005" s="4"/>
      <c r="AF2005" s="21"/>
    </row>
    <row r="2006" spans="24:32" x14ac:dyDescent="0.25">
      <c r="X2006" s="4"/>
      <c r="Y2006" s="4"/>
      <c r="Z2006" s="4"/>
      <c r="AA2006" s="4"/>
      <c r="AB2006" s="4"/>
      <c r="AC2006" s="7"/>
      <c r="AD2006" s="4"/>
      <c r="AE2006" s="4"/>
      <c r="AF2006" s="21"/>
    </row>
    <row r="2007" spans="24:32" x14ac:dyDescent="0.25">
      <c r="X2007" s="4"/>
      <c r="Y2007" s="4"/>
      <c r="Z2007" s="4"/>
      <c r="AA2007" s="4"/>
      <c r="AB2007" s="4"/>
      <c r="AC2007" s="7"/>
      <c r="AD2007" s="4"/>
      <c r="AE2007" s="4"/>
      <c r="AF2007" s="21"/>
    </row>
    <row r="2008" spans="24:32" x14ac:dyDescent="0.25">
      <c r="X2008" s="4"/>
      <c r="Y2008" s="4"/>
      <c r="Z2008" s="4"/>
      <c r="AA2008" s="4"/>
      <c r="AB2008" s="4"/>
      <c r="AC2008" s="7"/>
      <c r="AD2008" s="4"/>
      <c r="AE2008" s="4"/>
      <c r="AF2008" s="21"/>
    </row>
    <row r="2009" spans="24:32" x14ac:dyDescent="0.25">
      <c r="X2009" s="4"/>
      <c r="Y2009" s="4"/>
      <c r="Z2009" s="4"/>
      <c r="AA2009" s="4"/>
      <c r="AB2009" s="4"/>
      <c r="AC2009" s="7"/>
      <c r="AD2009" s="4"/>
      <c r="AE2009" s="4"/>
      <c r="AF2009" s="21"/>
    </row>
    <row r="2010" spans="24:32" x14ac:dyDescent="0.25">
      <c r="X2010" s="4"/>
      <c r="Y2010" s="4"/>
      <c r="Z2010" s="4"/>
      <c r="AA2010" s="4"/>
      <c r="AB2010" s="4"/>
      <c r="AC2010" s="7"/>
      <c r="AD2010" s="4"/>
      <c r="AE2010" s="4"/>
      <c r="AF2010" s="21"/>
    </row>
    <row r="2011" spans="24:32" x14ac:dyDescent="0.25">
      <c r="X2011" s="4"/>
      <c r="Y2011" s="4"/>
      <c r="Z2011" s="4"/>
      <c r="AA2011" s="4"/>
      <c r="AB2011" s="4"/>
      <c r="AC2011" s="7"/>
      <c r="AD2011" s="4"/>
      <c r="AE2011" s="4"/>
      <c r="AF2011" s="21"/>
    </row>
    <row r="2012" spans="24:32" x14ac:dyDescent="0.25">
      <c r="X2012" s="4"/>
      <c r="Y2012" s="4"/>
      <c r="Z2012" s="4"/>
      <c r="AA2012" s="4"/>
      <c r="AB2012" s="4"/>
      <c r="AC2012" s="7"/>
      <c r="AD2012" s="4"/>
      <c r="AE2012" s="4"/>
      <c r="AF2012" s="21"/>
    </row>
    <row r="2013" spans="24:32" x14ac:dyDescent="0.25">
      <c r="X2013" s="4"/>
      <c r="Y2013" s="4"/>
      <c r="Z2013" s="4"/>
      <c r="AA2013" s="4"/>
      <c r="AB2013" s="4"/>
      <c r="AC2013" s="7"/>
      <c r="AD2013" s="4"/>
      <c r="AE2013" s="4"/>
      <c r="AF2013" s="21"/>
    </row>
    <row r="2014" spans="24:32" x14ac:dyDescent="0.25">
      <c r="X2014" s="4"/>
      <c r="Y2014" s="4"/>
      <c r="Z2014" s="4"/>
      <c r="AA2014" s="4"/>
      <c r="AB2014" s="4"/>
      <c r="AC2014" s="7"/>
      <c r="AD2014" s="4"/>
      <c r="AE2014" s="4"/>
      <c r="AF2014" s="21"/>
    </row>
    <row r="2015" spans="24:32" x14ac:dyDescent="0.25">
      <c r="X2015" s="4"/>
      <c r="Y2015" s="4"/>
      <c r="Z2015" s="4"/>
      <c r="AA2015" s="4"/>
      <c r="AB2015" s="4"/>
      <c r="AC2015" s="7"/>
      <c r="AD2015" s="4"/>
      <c r="AE2015" s="4"/>
      <c r="AF2015" s="21"/>
    </row>
    <row r="2016" spans="24:32" x14ac:dyDescent="0.25">
      <c r="X2016" s="4"/>
      <c r="Y2016" s="4"/>
      <c r="Z2016" s="4"/>
      <c r="AA2016" s="4"/>
      <c r="AB2016" s="4"/>
      <c r="AC2016" s="7"/>
      <c r="AD2016" s="4"/>
      <c r="AE2016" s="4"/>
      <c r="AF2016" s="21"/>
    </row>
    <row r="2017" spans="24:32" x14ac:dyDescent="0.25">
      <c r="X2017" s="4"/>
      <c r="Y2017" s="4"/>
      <c r="Z2017" s="4"/>
      <c r="AA2017" s="4"/>
      <c r="AB2017" s="4"/>
      <c r="AC2017" s="7"/>
      <c r="AD2017" s="4"/>
      <c r="AE2017" s="4"/>
      <c r="AF2017" s="21"/>
    </row>
    <row r="2018" spans="24:32" x14ac:dyDescent="0.25">
      <c r="X2018" s="4"/>
      <c r="Y2018" s="4"/>
      <c r="Z2018" s="4"/>
      <c r="AA2018" s="4"/>
      <c r="AB2018" s="4"/>
      <c r="AC2018" s="7"/>
      <c r="AD2018" s="4"/>
      <c r="AE2018" s="4"/>
      <c r="AF2018" s="21"/>
    </row>
    <row r="2019" spans="24:32" x14ac:dyDescent="0.25">
      <c r="X2019" s="4"/>
      <c r="Y2019" s="4"/>
      <c r="Z2019" s="4"/>
      <c r="AA2019" s="4"/>
      <c r="AB2019" s="4"/>
      <c r="AC2019" s="7"/>
      <c r="AD2019" s="4"/>
      <c r="AE2019" s="4"/>
      <c r="AF2019" s="21"/>
    </row>
    <row r="2020" spans="24:32" x14ac:dyDescent="0.25">
      <c r="X2020" s="4"/>
      <c r="Y2020" s="4"/>
      <c r="Z2020" s="4"/>
      <c r="AA2020" s="4"/>
      <c r="AB2020" s="4"/>
      <c r="AC2020" s="7"/>
      <c r="AD2020" s="4"/>
      <c r="AE2020" s="4"/>
      <c r="AF2020" s="21"/>
    </row>
    <row r="2021" spans="24:32" x14ac:dyDescent="0.25">
      <c r="X2021" s="4"/>
      <c r="Y2021" s="4"/>
      <c r="Z2021" s="4"/>
      <c r="AA2021" s="4"/>
      <c r="AB2021" s="4"/>
      <c r="AC2021" s="7"/>
      <c r="AD2021" s="4"/>
      <c r="AE2021" s="4"/>
      <c r="AF2021" s="21"/>
    </row>
    <row r="2022" spans="24:32" x14ac:dyDescent="0.25">
      <c r="X2022" s="4"/>
      <c r="Y2022" s="4"/>
      <c r="Z2022" s="4"/>
      <c r="AA2022" s="4"/>
      <c r="AB2022" s="4"/>
      <c r="AC2022" s="7"/>
      <c r="AD2022" s="4"/>
      <c r="AE2022" s="4"/>
      <c r="AF2022" s="21"/>
    </row>
    <row r="2023" spans="24:32" x14ac:dyDescent="0.25">
      <c r="X2023" s="4"/>
      <c r="Y2023" s="4"/>
      <c r="Z2023" s="4"/>
      <c r="AA2023" s="4"/>
      <c r="AB2023" s="4"/>
      <c r="AC2023" s="7"/>
      <c r="AD2023" s="4"/>
      <c r="AE2023" s="4"/>
      <c r="AF2023" s="21"/>
    </row>
    <row r="2024" spans="24:32" x14ac:dyDescent="0.25">
      <c r="X2024" s="4"/>
      <c r="Y2024" s="4"/>
      <c r="Z2024" s="4"/>
      <c r="AA2024" s="4"/>
      <c r="AB2024" s="4"/>
      <c r="AC2024" s="7"/>
      <c r="AD2024" s="4"/>
      <c r="AE2024" s="4"/>
      <c r="AF2024" s="21"/>
    </row>
    <row r="2025" spans="24:32" x14ac:dyDescent="0.25">
      <c r="X2025" s="4"/>
      <c r="Y2025" s="4"/>
      <c r="Z2025" s="4"/>
      <c r="AA2025" s="4"/>
      <c r="AB2025" s="4"/>
      <c r="AC2025" s="7"/>
      <c r="AD2025" s="4"/>
      <c r="AE2025" s="4"/>
      <c r="AF2025" s="21"/>
    </row>
    <row r="2026" spans="24:32" x14ac:dyDescent="0.25">
      <c r="X2026" s="4"/>
      <c r="Y2026" s="4"/>
      <c r="Z2026" s="4"/>
      <c r="AA2026" s="4"/>
      <c r="AB2026" s="4"/>
      <c r="AC2026" s="7"/>
      <c r="AD2026" s="4"/>
      <c r="AE2026" s="4"/>
      <c r="AF2026" s="21"/>
    </row>
    <row r="2027" spans="24:32" x14ac:dyDescent="0.25">
      <c r="X2027" s="4"/>
      <c r="Y2027" s="4"/>
      <c r="Z2027" s="4"/>
      <c r="AA2027" s="4"/>
      <c r="AB2027" s="4"/>
      <c r="AC2027" s="7"/>
      <c r="AD2027" s="4"/>
      <c r="AE2027" s="4"/>
      <c r="AF2027" s="21"/>
    </row>
    <row r="2028" spans="24:32" x14ac:dyDescent="0.25">
      <c r="X2028" s="4"/>
      <c r="Y2028" s="4"/>
      <c r="Z2028" s="4"/>
      <c r="AA2028" s="4"/>
      <c r="AB2028" s="4"/>
      <c r="AC2028" s="7"/>
      <c r="AD2028" s="4"/>
      <c r="AE2028" s="4"/>
      <c r="AF2028" s="21"/>
    </row>
    <row r="2029" spans="24:32" x14ac:dyDescent="0.25">
      <c r="X2029" s="4"/>
      <c r="Y2029" s="4"/>
      <c r="Z2029" s="4"/>
      <c r="AA2029" s="4"/>
      <c r="AB2029" s="4"/>
      <c r="AC2029" s="7"/>
      <c r="AD2029" s="4"/>
      <c r="AE2029" s="4"/>
      <c r="AF2029" s="21"/>
    </row>
    <row r="2030" spans="24:32" x14ac:dyDescent="0.25">
      <c r="X2030" s="4"/>
      <c r="Y2030" s="4"/>
      <c r="Z2030" s="4"/>
      <c r="AA2030" s="4"/>
      <c r="AB2030" s="4"/>
      <c r="AC2030" s="7"/>
      <c r="AD2030" s="4"/>
      <c r="AE2030" s="4"/>
      <c r="AF2030" s="21"/>
    </row>
    <row r="2031" spans="24:32" x14ac:dyDescent="0.25">
      <c r="X2031" s="4"/>
      <c r="Y2031" s="4"/>
      <c r="Z2031" s="4"/>
      <c r="AA2031" s="4"/>
      <c r="AB2031" s="4"/>
      <c r="AC2031" s="7"/>
      <c r="AD2031" s="4"/>
      <c r="AE2031" s="4"/>
      <c r="AF2031" s="21"/>
    </row>
    <row r="2032" spans="24:32" x14ac:dyDescent="0.25">
      <c r="X2032" s="4"/>
      <c r="Y2032" s="4"/>
      <c r="Z2032" s="4"/>
      <c r="AA2032" s="4"/>
      <c r="AB2032" s="4"/>
      <c r="AC2032" s="7"/>
      <c r="AD2032" s="4"/>
      <c r="AE2032" s="4"/>
      <c r="AF2032" s="21"/>
    </row>
    <row r="2033" spans="24:32" x14ac:dyDescent="0.25">
      <c r="X2033" s="4"/>
      <c r="Y2033" s="4"/>
      <c r="Z2033" s="4"/>
      <c r="AA2033" s="4"/>
      <c r="AB2033" s="4"/>
      <c r="AC2033" s="7"/>
      <c r="AD2033" s="4"/>
      <c r="AE2033" s="4"/>
      <c r="AF2033" s="21"/>
    </row>
    <row r="2034" spans="24:32" x14ac:dyDescent="0.25">
      <c r="X2034" s="4"/>
      <c r="Y2034" s="4"/>
      <c r="Z2034" s="4"/>
      <c r="AA2034" s="4"/>
      <c r="AB2034" s="4"/>
      <c r="AC2034" s="7"/>
      <c r="AD2034" s="4"/>
      <c r="AE2034" s="4"/>
      <c r="AF2034" s="21"/>
    </row>
    <row r="2035" spans="24:32" x14ac:dyDescent="0.25">
      <c r="X2035" s="4"/>
      <c r="Y2035" s="4"/>
      <c r="Z2035" s="4"/>
      <c r="AA2035" s="4"/>
      <c r="AB2035" s="4"/>
      <c r="AC2035" s="7"/>
      <c r="AD2035" s="4"/>
      <c r="AE2035" s="4"/>
      <c r="AF2035" s="21"/>
    </row>
    <row r="2036" spans="24:32" x14ac:dyDescent="0.25">
      <c r="X2036" s="4"/>
      <c r="Y2036" s="4"/>
      <c r="Z2036" s="4"/>
      <c r="AA2036" s="4"/>
      <c r="AB2036" s="4"/>
      <c r="AC2036" s="7"/>
      <c r="AD2036" s="4"/>
      <c r="AE2036" s="4"/>
      <c r="AF2036" s="21"/>
    </row>
    <row r="2037" spans="24:32" x14ac:dyDescent="0.25">
      <c r="X2037" s="4"/>
      <c r="Y2037" s="4"/>
      <c r="Z2037" s="4"/>
      <c r="AA2037" s="4"/>
      <c r="AB2037" s="4"/>
      <c r="AC2037" s="7"/>
      <c r="AD2037" s="4"/>
      <c r="AE2037" s="4"/>
      <c r="AF2037" s="21"/>
    </row>
    <row r="2038" spans="24:32" x14ac:dyDescent="0.25">
      <c r="X2038" s="4"/>
      <c r="Y2038" s="4"/>
      <c r="Z2038" s="4"/>
      <c r="AA2038" s="4"/>
      <c r="AB2038" s="4"/>
      <c r="AC2038" s="7"/>
      <c r="AD2038" s="4"/>
      <c r="AE2038" s="4"/>
      <c r="AF2038" s="21"/>
    </row>
    <row r="2039" spans="24:32" x14ac:dyDescent="0.25">
      <c r="X2039" s="4"/>
      <c r="Y2039" s="4"/>
      <c r="Z2039" s="4"/>
      <c r="AA2039" s="4"/>
      <c r="AB2039" s="4"/>
      <c r="AC2039" s="7"/>
      <c r="AD2039" s="4"/>
      <c r="AE2039" s="4"/>
      <c r="AF2039" s="21"/>
    </row>
    <row r="2040" spans="24:32" x14ac:dyDescent="0.25">
      <c r="X2040" s="4"/>
      <c r="Y2040" s="4"/>
      <c r="Z2040" s="4"/>
      <c r="AA2040" s="4"/>
      <c r="AB2040" s="4"/>
      <c r="AC2040" s="7"/>
      <c r="AD2040" s="4"/>
      <c r="AE2040" s="4"/>
      <c r="AF2040" s="21"/>
    </row>
    <row r="2041" spans="24:32" x14ac:dyDescent="0.25">
      <c r="X2041" s="4"/>
      <c r="Y2041" s="4"/>
      <c r="Z2041" s="4"/>
      <c r="AA2041" s="4"/>
      <c r="AB2041" s="4"/>
      <c r="AC2041" s="7"/>
      <c r="AD2041" s="4"/>
      <c r="AE2041" s="4"/>
      <c r="AF2041" s="21"/>
    </row>
    <row r="2042" spans="24:32" x14ac:dyDescent="0.25">
      <c r="X2042" s="4"/>
      <c r="Y2042" s="4"/>
      <c r="Z2042" s="4"/>
      <c r="AA2042" s="4"/>
      <c r="AB2042" s="4"/>
      <c r="AC2042" s="7"/>
      <c r="AD2042" s="4"/>
      <c r="AE2042" s="4"/>
      <c r="AF2042" s="21"/>
    </row>
    <row r="2043" spans="24:32" x14ac:dyDescent="0.25">
      <c r="X2043" s="4"/>
      <c r="Y2043" s="4"/>
      <c r="Z2043" s="4"/>
      <c r="AA2043" s="4"/>
      <c r="AB2043" s="4"/>
      <c r="AC2043" s="7"/>
      <c r="AD2043" s="4"/>
      <c r="AE2043" s="4"/>
      <c r="AF2043" s="21"/>
    </row>
    <row r="2044" spans="24:32" x14ac:dyDescent="0.25">
      <c r="X2044" s="4"/>
      <c r="Y2044" s="4"/>
      <c r="Z2044" s="4"/>
      <c r="AA2044" s="4"/>
      <c r="AB2044" s="4"/>
      <c r="AC2044" s="7"/>
      <c r="AD2044" s="4"/>
      <c r="AE2044" s="4"/>
      <c r="AF2044" s="21"/>
    </row>
    <row r="2045" spans="24:32" x14ac:dyDescent="0.25">
      <c r="X2045" s="4"/>
      <c r="Y2045" s="4"/>
      <c r="Z2045" s="4"/>
      <c r="AA2045" s="4"/>
      <c r="AB2045" s="4"/>
      <c r="AC2045" s="7"/>
      <c r="AD2045" s="4"/>
      <c r="AE2045" s="4"/>
      <c r="AF2045" s="21"/>
    </row>
    <row r="2046" spans="24:32" x14ac:dyDescent="0.25">
      <c r="X2046" s="4"/>
      <c r="Y2046" s="4"/>
      <c r="Z2046" s="4"/>
      <c r="AA2046" s="4"/>
      <c r="AB2046" s="4"/>
      <c r="AC2046" s="7"/>
      <c r="AD2046" s="4"/>
      <c r="AE2046" s="4"/>
      <c r="AF2046" s="21"/>
    </row>
    <row r="2047" spans="24:32" x14ac:dyDescent="0.25">
      <c r="X2047" s="4"/>
      <c r="Y2047" s="4"/>
      <c r="Z2047" s="4"/>
      <c r="AA2047" s="4"/>
      <c r="AB2047" s="4"/>
      <c r="AC2047" s="7"/>
      <c r="AD2047" s="4"/>
      <c r="AE2047" s="4"/>
      <c r="AF2047" s="21"/>
    </row>
    <row r="2048" spans="24:32" x14ac:dyDescent="0.25">
      <c r="X2048" s="4"/>
      <c r="Y2048" s="4"/>
      <c r="Z2048" s="4"/>
      <c r="AA2048" s="4"/>
      <c r="AB2048" s="4"/>
      <c r="AC2048" s="7"/>
      <c r="AD2048" s="4"/>
      <c r="AE2048" s="4"/>
      <c r="AF2048" s="21"/>
    </row>
    <row r="2049" spans="24:32" x14ac:dyDescent="0.25">
      <c r="X2049" s="4"/>
      <c r="Y2049" s="4"/>
      <c r="Z2049" s="4"/>
      <c r="AA2049" s="4"/>
      <c r="AB2049" s="4"/>
      <c r="AC2049" s="7"/>
      <c r="AD2049" s="4"/>
      <c r="AE2049" s="4"/>
      <c r="AF2049" s="21"/>
    </row>
    <row r="2050" spans="24:32" x14ac:dyDescent="0.25">
      <c r="X2050" s="4"/>
      <c r="Y2050" s="4"/>
      <c r="Z2050" s="4"/>
      <c r="AA2050" s="4"/>
      <c r="AB2050" s="4"/>
      <c r="AC2050" s="7"/>
      <c r="AD2050" s="4"/>
      <c r="AE2050" s="4"/>
      <c r="AF2050" s="21"/>
    </row>
    <row r="2051" spans="24:32" x14ac:dyDescent="0.25">
      <c r="X2051" s="4"/>
      <c r="Y2051" s="4"/>
      <c r="Z2051" s="4"/>
      <c r="AA2051" s="4"/>
      <c r="AB2051" s="4"/>
      <c r="AC2051" s="7"/>
      <c r="AD2051" s="4"/>
      <c r="AE2051" s="4"/>
      <c r="AF2051" s="21"/>
    </row>
    <row r="2052" spans="24:32" x14ac:dyDescent="0.25">
      <c r="X2052" s="4"/>
      <c r="Y2052" s="4"/>
      <c r="Z2052" s="4"/>
      <c r="AA2052" s="4"/>
      <c r="AB2052" s="4"/>
      <c r="AC2052" s="7"/>
      <c r="AD2052" s="4"/>
      <c r="AE2052" s="4"/>
      <c r="AF2052" s="21"/>
    </row>
    <row r="2053" spans="24:32" x14ac:dyDescent="0.25">
      <c r="X2053" s="4"/>
      <c r="Y2053" s="4"/>
      <c r="Z2053" s="4"/>
      <c r="AA2053" s="4"/>
      <c r="AB2053" s="4"/>
      <c r="AC2053" s="7"/>
      <c r="AD2053" s="4"/>
      <c r="AE2053" s="4"/>
      <c r="AF2053" s="21"/>
    </row>
    <row r="2054" spans="24:32" x14ac:dyDescent="0.25">
      <c r="X2054" s="4"/>
      <c r="Y2054" s="4"/>
      <c r="Z2054" s="4"/>
      <c r="AA2054" s="4"/>
      <c r="AB2054" s="4"/>
      <c r="AC2054" s="7"/>
      <c r="AD2054" s="4"/>
      <c r="AE2054" s="4"/>
      <c r="AF2054" s="21"/>
    </row>
    <row r="2055" spans="24:32" x14ac:dyDescent="0.25">
      <c r="X2055" s="4"/>
      <c r="Y2055" s="4"/>
      <c r="Z2055" s="4"/>
      <c r="AA2055" s="4"/>
      <c r="AB2055" s="4"/>
      <c r="AC2055" s="7"/>
      <c r="AD2055" s="4"/>
      <c r="AE2055" s="4"/>
      <c r="AF2055" s="21"/>
    </row>
    <row r="2056" spans="24:32" x14ac:dyDescent="0.25">
      <c r="X2056" s="4"/>
      <c r="Y2056" s="4"/>
      <c r="Z2056" s="4"/>
      <c r="AA2056" s="4"/>
      <c r="AB2056" s="4"/>
      <c r="AC2056" s="7"/>
      <c r="AD2056" s="4"/>
      <c r="AE2056" s="4"/>
      <c r="AF2056" s="21"/>
    </row>
    <row r="2057" spans="24:32" x14ac:dyDescent="0.25">
      <c r="X2057" s="4"/>
      <c r="Y2057" s="4"/>
      <c r="Z2057" s="4"/>
      <c r="AA2057" s="4"/>
      <c r="AB2057" s="4"/>
      <c r="AC2057" s="7"/>
      <c r="AD2057" s="4"/>
      <c r="AE2057" s="4"/>
      <c r="AF2057" s="21"/>
    </row>
    <row r="2058" spans="24:32" x14ac:dyDescent="0.25">
      <c r="X2058" s="4"/>
      <c r="Y2058" s="4"/>
      <c r="Z2058" s="4"/>
      <c r="AA2058" s="4"/>
      <c r="AB2058" s="4"/>
      <c r="AC2058" s="7"/>
      <c r="AD2058" s="4"/>
      <c r="AE2058" s="4"/>
      <c r="AF2058" s="21"/>
    </row>
    <row r="2059" spans="24:32" x14ac:dyDescent="0.25">
      <c r="X2059" s="4"/>
      <c r="Y2059" s="4"/>
      <c r="Z2059" s="4"/>
      <c r="AA2059" s="4"/>
      <c r="AB2059" s="4"/>
      <c r="AC2059" s="7"/>
      <c r="AD2059" s="4"/>
      <c r="AE2059" s="4"/>
      <c r="AF2059" s="21"/>
    </row>
    <row r="2060" spans="24:32" x14ac:dyDescent="0.25">
      <c r="X2060" s="4"/>
      <c r="Y2060" s="4"/>
      <c r="Z2060" s="4"/>
      <c r="AA2060" s="4"/>
      <c r="AB2060" s="4"/>
      <c r="AC2060" s="7"/>
      <c r="AD2060" s="4"/>
      <c r="AE2060" s="4"/>
      <c r="AF2060" s="21"/>
    </row>
    <row r="2061" spans="24:32" x14ac:dyDescent="0.25">
      <c r="X2061" s="4"/>
      <c r="Y2061" s="4"/>
      <c r="Z2061" s="4"/>
      <c r="AA2061" s="4"/>
      <c r="AB2061" s="4"/>
      <c r="AC2061" s="7"/>
      <c r="AD2061" s="4"/>
      <c r="AE2061" s="4"/>
      <c r="AF2061" s="21"/>
    </row>
    <row r="2062" spans="24:32" x14ac:dyDescent="0.25">
      <c r="X2062" s="4"/>
      <c r="Y2062" s="4"/>
      <c r="Z2062" s="4"/>
      <c r="AA2062" s="4"/>
      <c r="AB2062" s="4"/>
      <c r="AC2062" s="7"/>
      <c r="AD2062" s="4"/>
      <c r="AE2062" s="4"/>
      <c r="AF2062" s="21"/>
    </row>
    <row r="2063" spans="24:32" x14ac:dyDescent="0.25">
      <c r="X2063" s="4"/>
      <c r="Y2063" s="4"/>
      <c r="Z2063" s="4"/>
      <c r="AA2063" s="4"/>
      <c r="AB2063" s="4"/>
      <c r="AC2063" s="7"/>
      <c r="AD2063" s="4"/>
      <c r="AE2063" s="4"/>
      <c r="AF2063" s="21"/>
    </row>
    <row r="2064" spans="24:32" x14ac:dyDescent="0.25">
      <c r="X2064" s="4"/>
      <c r="Y2064" s="4"/>
      <c r="Z2064" s="4"/>
      <c r="AA2064" s="4"/>
      <c r="AB2064" s="4"/>
      <c r="AC2064" s="7"/>
      <c r="AD2064" s="4"/>
      <c r="AE2064" s="4"/>
      <c r="AF2064" s="21"/>
    </row>
    <row r="2065" spans="24:32" x14ac:dyDescent="0.25">
      <c r="X2065" s="4"/>
      <c r="Y2065" s="4"/>
      <c r="Z2065" s="4"/>
      <c r="AA2065" s="4"/>
      <c r="AB2065" s="4"/>
      <c r="AC2065" s="7"/>
      <c r="AD2065" s="4"/>
      <c r="AE2065" s="4"/>
      <c r="AF2065" s="21"/>
    </row>
    <row r="2066" spans="24:32" x14ac:dyDescent="0.25">
      <c r="X2066" s="4"/>
      <c r="Y2066" s="4"/>
      <c r="Z2066" s="4"/>
      <c r="AA2066" s="4"/>
      <c r="AB2066" s="4"/>
      <c r="AC2066" s="7"/>
      <c r="AD2066" s="4"/>
      <c r="AE2066" s="4"/>
      <c r="AF2066" s="21"/>
    </row>
    <row r="2067" spans="24:32" x14ac:dyDescent="0.25">
      <c r="X2067" s="4"/>
      <c r="Y2067" s="4"/>
      <c r="Z2067" s="4"/>
      <c r="AA2067" s="4"/>
      <c r="AB2067" s="4"/>
      <c r="AC2067" s="7"/>
      <c r="AD2067" s="4"/>
      <c r="AE2067" s="4"/>
      <c r="AF2067" s="21"/>
    </row>
    <row r="2068" spans="24:32" x14ac:dyDescent="0.25">
      <c r="X2068" s="4"/>
      <c r="Y2068" s="4"/>
      <c r="Z2068" s="4"/>
      <c r="AA2068" s="4"/>
      <c r="AB2068" s="4"/>
      <c r="AC2068" s="7"/>
      <c r="AD2068" s="4"/>
      <c r="AE2068" s="4"/>
      <c r="AF2068" s="21"/>
    </row>
    <row r="2069" spans="24:32" x14ac:dyDescent="0.25">
      <c r="X2069" s="4"/>
      <c r="Y2069" s="4"/>
      <c r="Z2069" s="4"/>
      <c r="AA2069" s="4"/>
      <c r="AB2069" s="4"/>
      <c r="AC2069" s="7"/>
      <c r="AD2069" s="4"/>
      <c r="AE2069" s="4"/>
      <c r="AF2069" s="21"/>
    </row>
    <row r="2070" spans="24:32" x14ac:dyDescent="0.25">
      <c r="X2070" s="4"/>
      <c r="Y2070" s="4"/>
      <c r="Z2070" s="4"/>
      <c r="AA2070" s="4"/>
      <c r="AB2070" s="4"/>
      <c r="AC2070" s="7"/>
      <c r="AD2070" s="4"/>
      <c r="AE2070" s="4"/>
      <c r="AF2070" s="21"/>
    </row>
    <row r="2071" spans="24:32" x14ac:dyDescent="0.25">
      <c r="X2071" s="4"/>
      <c r="Y2071" s="4"/>
      <c r="Z2071" s="4"/>
      <c r="AA2071" s="4"/>
      <c r="AB2071" s="4"/>
      <c r="AC2071" s="7"/>
      <c r="AD2071" s="4"/>
      <c r="AE2071" s="4"/>
      <c r="AF2071" s="21"/>
    </row>
    <row r="2072" spans="24:32" x14ac:dyDescent="0.25">
      <c r="X2072" s="4"/>
      <c r="Y2072" s="4"/>
      <c r="Z2072" s="4"/>
      <c r="AA2072" s="4"/>
      <c r="AB2072" s="4"/>
      <c r="AC2072" s="7"/>
      <c r="AD2072" s="4"/>
      <c r="AE2072" s="4"/>
      <c r="AF2072" s="21"/>
    </row>
    <row r="2073" spans="24:32" x14ac:dyDescent="0.25">
      <c r="X2073" s="4"/>
      <c r="Y2073" s="4"/>
      <c r="Z2073" s="4"/>
      <c r="AA2073" s="4"/>
      <c r="AB2073" s="4"/>
      <c r="AC2073" s="7"/>
      <c r="AD2073" s="4"/>
      <c r="AE2073" s="4"/>
      <c r="AF2073" s="21"/>
    </row>
    <row r="2074" spans="24:32" x14ac:dyDescent="0.25">
      <c r="X2074" s="4"/>
      <c r="Y2074" s="4"/>
      <c r="Z2074" s="4"/>
      <c r="AA2074" s="4"/>
      <c r="AB2074" s="4"/>
      <c r="AC2074" s="7"/>
      <c r="AD2074" s="4"/>
      <c r="AE2074" s="4"/>
      <c r="AF2074" s="21"/>
    </row>
    <row r="2075" spans="24:32" x14ac:dyDescent="0.25">
      <c r="X2075" s="4"/>
      <c r="Y2075" s="4"/>
      <c r="Z2075" s="4"/>
      <c r="AA2075" s="4"/>
      <c r="AB2075" s="4"/>
      <c r="AC2075" s="7"/>
      <c r="AD2075" s="4"/>
      <c r="AE2075" s="4"/>
      <c r="AF2075" s="21"/>
    </row>
    <row r="2076" spans="24:32" x14ac:dyDescent="0.25">
      <c r="X2076" s="4"/>
      <c r="Y2076" s="4"/>
      <c r="Z2076" s="4"/>
      <c r="AA2076" s="4"/>
      <c r="AB2076" s="4"/>
      <c r="AC2076" s="7"/>
      <c r="AD2076" s="4"/>
      <c r="AE2076" s="4"/>
      <c r="AF2076" s="21"/>
    </row>
    <row r="2077" spans="24:32" x14ac:dyDescent="0.25">
      <c r="X2077" s="4"/>
      <c r="Y2077" s="4"/>
      <c r="Z2077" s="4"/>
      <c r="AA2077" s="4"/>
      <c r="AB2077" s="4"/>
      <c r="AC2077" s="7"/>
      <c r="AD2077" s="4"/>
      <c r="AE2077" s="4"/>
      <c r="AF2077" s="21"/>
    </row>
    <row r="2078" spans="24:32" x14ac:dyDescent="0.25">
      <c r="X2078" s="4"/>
      <c r="Y2078" s="4"/>
      <c r="Z2078" s="4"/>
      <c r="AA2078" s="4"/>
      <c r="AB2078" s="4"/>
      <c r="AC2078" s="7"/>
      <c r="AD2078" s="4"/>
      <c r="AE2078" s="4"/>
      <c r="AF2078" s="21"/>
    </row>
    <row r="2079" spans="24:32" x14ac:dyDescent="0.25">
      <c r="X2079" s="4"/>
      <c r="Y2079" s="4"/>
      <c r="Z2079" s="4"/>
      <c r="AA2079" s="4"/>
      <c r="AB2079" s="4"/>
      <c r="AC2079" s="7"/>
      <c r="AD2079" s="4"/>
      <c r="AE2079" s="4"/>
      <c r="AF2079" s="21"/>
    </row>
    <row r="2080" spans="24:32" x14ac:dyDescent="0.25">
      <c r="X2080" s="4"/>
      <c r="Y2080" s="4"/>
      <c r="Z2080" s="4"/>
      <c r="AA2080" s="4"/>
      <c r="AB2080" s="4"/>
      <c r="AC2080" s="7"/>
      <c r="AD2080" s="4"/>
      <c r="AE2080" s="4"/>
      <c r="AF2080" s="21"/>
    </row>
    <row r="2081" spans="24:32" x14ac:dyDescent="0.25">
      <c r="X2081" s="4"/>
      <c r="Y2081" s="4"/>
      <c r="Z2081" s="4"/>
      <c r="AA2081" s="4"/>
      <c r="AB2081" s="4"/>
      <c r="AC2081" s="7"/>
      <c r="AD2081" s="4"/>
      <c r="AE2081" s="4"/>
      <c r="AF2081" s="21"/>
    </row>
    <row r="2082" spans="24:32" x14ac:dyDescent="0.25">
      <c r="X2082" s="4"/>
      <c r="Y2082" s="4"/>
      <c r="Z2082" s="4"/>
      <c r="AA2082" s="4"/>
      <c r="AB2082" s="4"/>
      <c r="AC2082" s="7"/>
      <c r="AD2082" s="4"/>
      <c r="AE2082" s="4"/>
      <c r="AF2082" s="21"/>
    </row>
    <row r="2083" spans="24:32" x14ac:dyDescent="0.25">
      <c r="X2083" s="4"/>
      <c r="Y2083" s="4"/>
      <c r="Z2083" s="4"/>
      <c r="AA2083" s="4"/>
      <c r="AB2083" s="4"/>
      <c r="AC2083" s="7"/>
      <c r="AD2083" s="4"/>
      <c r="AE2083" s="4"/>
      <c r="AF2083" s="21"/>
    </row>
    <row r="2084" spans="24:32" x14ac:dyDescent="0.25">
      <c r="X2084" s="4"/>
      <c r="Y2084" s="4"/>
      <c r="Z2084" s="4"/>
      <c r="AA2084" s="4"/>
      <c r="AB2084" s="4"/>
      <c r="AC2084" s="7"/>
      <c r="AD2084" s="4"/>
      <c r="AE2084" s="4"/>
      <c r="AF2084" s="21"/>
    </row>
    <row r="2085" spans="24:32" x14ac:dyDescent="0.25">
      <c r="X2085" s="4"/>
      <c r="Y2085" s="4"/>
      <c r="Z2085" s="4"/>
      <c r="AA2085" s="4"/>
      <c r="AB2085" s="4"/>
      <c r="AC2085" s="7"/>
      <c r="AD2085" s="4"/>
      <c r="AE2085" s="4"/>
      <c r="AF2085" s="21"/>
    </row>
    <row r="2086" spans="24:32" x14ac:dyDescent="0.25">
      <c r="X2086" s="4"/>
      <c r="Y2086" s="4"/>
      <c r="Z2086" s="4"/>
      <c r="AA2086" s="4"/>
      <c r="AB2086" s="4"/>
      <c r="AC2086" s="7"/>
      <c r="AD2086" s="4"/>
      <c r="AE2086" s="4"/>
      <c r="AF2086" s="21"/>
    </row>
    <row r="2087" spans="24:32" x14ac:dyDescent="0.25">
      <c r="X2087" s="4"/>
      <c r="Y2087" s="4"/>
      <c r="Z2087" s="4"/>
      <c r="AA2087" s="4"/>
      <c r="AB2087" s="4"/>
      <c r="AC2087" s="7"/>
      <c r="AD2087" s="4"/>
      <c r="AE2087" s="4"/>
      <c r="AF2087" s="21"/>
    </row>
    <row r="2088" spans="24:32" x14ac:dyDescent="0.25">
      <c r="X2088" s="4"/>
      <c r="Y2088" s="4"/>
      <c r="Z2088" s="4"/>
      <c r="AA2088" s="4"/>
      <c r="AB2088" s="4"/>
      <c r="AC2088" s="7"/>
      <c r="AD2088" s="4"/>
      <c r="AE2088" s="4"/>
      <c r="AF2088" s="21"/>
    </row>
    <row r="2089" spans="24:32" x14ac:dyDescent="0.25">
      <c r="X2089" s="4"/>
      <c r="Y2089" s="4"/>
      <c r="Z2089" s="4"/>
      <c r="AA2089" s="4"/>
      <c r="AB2089" s="4"/>
      <c r="AC2089" s="7"/>
      <c r="AD2089" s="4"/>
      <c r="AE2089" s="4"/>
      <c r="AF2089" s="21"/>
    </row>
    <row r="2090" spans="24:32" x14ac:dyDescent="0.25">
      <c r="X2090" s="4"/>
      <c r="Y2090" s="4"/>
      <c r="Z2090" s="4"/>
      <c r="AA2090" s="4"/>
      <c r="AB2090" s="4"/>
      <c r="AC2090" s="7"/>
      <c r="AD2090" s="4"/>
      <c r="AE2090" s="4"/>
      <c r="AF2090" s="21"/>
    </row>
    <row r="2091" spans="24:32" x14ac:dyDescent="0.25">
      <c r="X2091" s="4"/>
      <c r="Y2091" s="4"/>
      <c r="Z2091" s="4"/>
      <c r="AA2091" s="4"/>
      <c r="AB2091" s="4"/>
      <c r="AC2091" s="7"/>
      <c r="AD2091" s="4"/>
      <c r="AE2091" s="4"/>
      <c r="AF2091" s="21"/>
    </row>
    <row r="2092" spans="24:32" x14ac:dyDescent="0.25">
      <c r="X2092" s="4"/>
      <c r="Y2092" s="4"/>
      <c r="Z2092" s="4"/>
      <c r="AA2092" s="4"/>
      <c r="AB2092" s="4"/>
      <c r="AC2092" s="7"/>
      <c r="AD2092" s="4"/>
      <c r="AE2092" s="4"/>
      <c r="AF2092" s="21"/>
    </row>
    <row r="2093" spans="24:32" x14ac:dyDescent="0.25">
      <c r="X2093" s="4"/>
      <c r="Y2093" s="4"/>
      <c r="Z2093" s="4"/>
      <c r="AA2093" s="4"/>
      <c r="AB2093" s="4"/>
      <c r="AC2093" s="7"/>
      <c r="AD2093" s="4"/>
      <c r="AE2093" s="4"/>
      <c r="AF2093" s="21"/>
    </row>
    <row r="2094" spans="24:32" x14ac:dyDescent="0.25">
      <c r="X2094" s="4"/>
      <c r="Y2094" s="4"/>
      <c r="Z2094" s="4"/>
      <c r="AA2094" s="4"/>
      <c r="AB2094" s="4"/>
      <c r="AC2094" s="7"/>
      <c r="AD2094" s="4"/>
      <c r="AE2094" s="4"/>
      <c r="AF2094" s="21"/>
    </row>
    <row r="2095" spans="24:32" x14ac:dyDescent="0.25">
      <c r="X2095" s="4"/>
      <c r="Y2095" s="4"/>
      <c r="Z2095" s="4"/>
      <c r="AA2095" s="4"/>
      <c r="AB2095" s="4"/>
      <c r="AC2095" s="7"/>
      <c r="AD2095" s="4"/>
      <c r="AE2095" s="4"/>
      <c r="AF2095" s="21"/>
    </row>
    <row r="2096" spans="24:32" x14ac:dyDescent="0.25">
      <c r="X2096" s="4"/>
      <c r="Y2096" s="4"/>
      <c r="Z2096" s="4"/>
      <c r="AA2096" s="4"/>
      <c r="AB2096" s="4"/>
      <c r="AC2096" s="7"/>
      <c r="AD2096" s="4"/>
      <c r="AE2096" s="4"/>
      <c r="AF2096" s="21"/>
    </row>
    <row r="2097" spans="24:32" x14ac:dyDescent="0.25">
      <c r="X2097" s="4"/>
      <c r="Y2097" s="4"/>
      <c r="Z2097" s="4"/>
      <c r="AA2097" s="4"/>
      <c r="AB2097" s="4"/>
      <c r="AC2097" s="7"/>
      <c r="AD2097" s="4"/>
      <c r="AE2097" s="4"/>
      <c r="AF2097" s="21"/>
    </row>
    <row r="2098" spans="24:32" x14ac:dyDescent="0.25">
      <c r="X2098" s="4"/>
      <c r="Y2098" s="4"/>
      <c r="Z2098" s="4"/>
      <c r="AA2098" s="4"/>
      <c r="AB2098" s="4"/>
      <c r="AC2098" s="7"/>
      <c r="AD2098" s="4"/>
      <c r="AE2098" s="4"/>
      <c r="AF2098" s="21"/>
    </row>
    <row r="2099" spans="24:32" x14ac:dyDescent="0.25">
      <c r="X2099" s="4"/>
      <c r="Y2099" s="4"/>
      <c r="Z2099" s="4"/>
      <c r="AA2099" s="4"/>
      <c r="AB2099" s="4"/>
      <c r="AC2099" s="7"/>
      <c r="AD2099" s="4"/>
      <c r="AE2099" s="4"/>
      <c r="AF2099" s="21"/>
    </row>
    <row r="2100" spans="24:32" x14ac:dyDescent="0.25">
      <c r="X2100" s="4"/>
      <c r="Y2100" s="4"/>
      <c r="Z2100" s="4"/>
      <c r="AA2100" s="4"/>
      <c r="AB2100" s="4"/>
      <c r="AC2100" s="7"/>
      <c r="AD2100" s="4"/>
      <c r="AE2100" s="4"/>
      <c r="AF2100" s="21"/>
    </row>
    <row r="2101" spans="24:32" x14ac:dyDescent="0.25">
      <c r="X2101" s="4"/>
      <c r="Y2101" s="4"/>
      <c r="Z2101" s="4"/>
      <c r="AA2101" s="4"/>
      <c r="AB2101" s="4"/>
      <c r="AC2101" s="7"/>
      <c r="AD2101" s="4"/>
      <c r="AE2101" s="4"/>
      <c r="AF2101" s="21"/>
    </row>
    <row r="2102" spans="24:32" x14ac:dyDescent="0.25">
      <c r="X2102" s="4"/>
      <c r="Y2102" s="4"/>
      <c r="Z2102" s="4"/>
      <c r="AA2102" s="4"/>
      <c r="AB2102" s="4"/>
      <c r="AC2102" s="7"/>
      <c r="AD2102" s="4"/>
      <c r="AE2102" s="4"/>
      <c r="AF2102" s="21"/>
    </row>
    <row r="2103" spans="24:32" x14ac:dyDescent="0.25">
      <c r="X2103" s="4"/>
      <c r="Y2103" s="4"/>
      <c r="Z2103" s="4"/>
      <c r="AA2103" s="4"/>
      <c r="AB2103" s="4"/>
      <c r="AC2103" s="7"/>
      <c r="AD2103" s="4"/>
      <c r="AE2103" s="4"/>
      <c r="AF2103" s="21"/>
    </row>
    <row r="2104" spans="24:32" x14ac:dyDescent="0.25">
      <c r="X2104" s="4"/>
      <c r="Y2104" s="4"/>
      <c r="Z2104" s="4"/>
      <c r="AA2104" s="4"/>
      <c r="AB2104" s="4"/>
      <c r="AC2104" s="7"/>
      <c r="AD2104" s="4"/>
      <c r="AE2104" s="4"/>
      <c r="AF2104" s="21"/>
    </row>
    <row r="2105" spans="24:32" x14ac:dyDescent="0.25">
      <c r="X2105" s="4"/>
      <c r="Y2105" s="4"/>
      <c r="Z2105" s="4"/>
      <c r="AA2105" s="4"/>
      <c r="AB2105" s="4"/>
      <c r="AC2105" s="7"/>
      <c r="AD2105" s="4"/>
      <c r="AE2105" s="4"/>
      <c r="AF2105" s="21"/>
    </row>
    <row r="2106" spans="24:32" x14ac:dyDescent="0.25">
      <c r="X2106" s="4"/>
      <c r="Y2106" s="4"/>
      <c r="Z2106" s="4"/>
      <c r="AA2106" s="4"/>
      <c r="AB2106" s="4"/>
      <c r="AC2106" s="7"/>
      <c r="AD2106" s="4"/>
      <c r="AE2106" s="4"/>
      <c r="AF2106" s="21"/>
    </row>
    <row r="2107" spans="24:32" x14ac:dyDescent="0.25">
      <c r="X2107" s="4"/>
      <c r="Y2107" s="4"/>
      <c r="Z2107" s="4"/>
      <c r="AA2107" s="4"/>
      <c r="AB2107" s="4"/>
      <c r="AC2107" s="7"/>
      <c r="AD2107" s="4"/>
      <c r="AE2107" s="4"/>
      <c r="AF2107" s="21"/>
    </row>
    <row r="2108" spans="24:32" x14ac:dyDescent="0.25">
      <c r="X2108" s="4"/>
      <c r="Y2108" s="4"/>
      <c r="Z2108" s="4"/>
      <c r="AA2108" s="4"/>
      <c r="AB2108" s="4"/>
      <c r="AC2108" s="7"/>
      <c r="AD2108" s="4"/>
      <c r="AE2108" s="4"/>
      <c r="AF2108" s="21"/>
    </row>
    <row r="2109" spans="24:32" x14ac:dyDescent="0.25">
      <c r="X2109" s="4"/>
      <c r="Y2109" s="4"/>
      <c r="Z2109" s="4"/>
      <c r="AA2109" s="4"/>
      <c r="AB2109" s="4"/>
      <c r="AC2109" s="7"/>
      <c r="AD2109" s="4"/>
      <c r="AE2109" s="4"/>
      <c r="AF2109" s="21"/>
    </row>
    <row r="2110" spans="24:32" x14ac:dyDescent="0.25">
      <c r="X2110" s="4"/>
      <c r="Y2110" s="4"/>
      <c r="Z2110" s="4"/>
      <c r="AA2110" s="4"/>
      <c r="AB2110" s="4"/>
      <c r="AC2110" s="7"/>
      <c r="AD2110" s="4"/>
      <c r="AE2110" s="4"/>
      <c r="AF2110" s="21"/>
    </row>
    <row r="2111" spans="24:32" x14ac:dyDescent="0.25">
      <c r="X2111" s="4"/>
      <c r="Y2111" s="4"/>
      <c r="Z2111" s="4"/>
      <c r="AA2111" s="4"/>
      <c r="AB2111" s="4"/>
      <c r="AC2111" s="7"/>
      <c r="AD2111" s="4"/>
      <c r="AE2111" s="4"/>
      <c r="AF2111" s="21"/>
    </row>
    <row r="2112" spans="24:32" x14ac:dyDescent="0.25">
      <c r="X2112" s="4"/>
      <c r="Y2112" s="4"/>
      <c r="Z2112" s="4"/>
      <c r="AA2112" s="4"/>
      <c r="AB2112" s="4"/>
      <c r="AC2112" s="7"/>
      <c r="AD2112" s="4"/>
      <c r="AE2112" s="4"/>
      <c r="AF2112" s="21"/>
    </row>
    <row r="2113" spans="24:32" x14ac:dyDescent="0.25">
      <c r="X2113" s="4"/>
      <c r="Y2113" s="4"/>
      <c r="Z2113" s="4"/>
      <c r="AA2113" s="4"/>
      <c r="AB2113" s="4"/>
      <c r="AC2113" s="7"/>
      <c r="AD2113" s="4"/>
      <c r="AE2113" s="4"/>
      <c r="AF2113" s="21"/>
    </row>
    <row r="2114" spans="24:32" x14ac:dyDescent="0.25">
      <c r="X2114" s="4"/>
      <c r="Y2114" s="4"/>
      <c r="Z2114" s="4"/>
      <c r="AA2114" s="4"/>
      <c r="AB2114" s="4"/>
      <c r="AC2114" s="7"/>
      <c r="AD2114" s="4"/>
      <c r="AE2114" s="4"/>
      <c r="AF2114" s="21"/>
    </row>
    <row r="2115" spans="24:32" x14ac:dyDescent="0.25">
      <c r="X2115" s="4"/>
      <c r="Y2115" s="4"/>
      <c r="Z2115" s="4"/>
      <c r="AA2115" s="4"/>
      <c r="AB2115" s="4"/>
      <c r="AC2115" s="7"/>
      <c r="AD2115" s="4"/>
      <c r="AE2115" s="4"/>
      <c r="AF2115" s="21"/>
    </row>
    <row r="2116" spans="24:32" x14ac:dyDescent="0.25">
      <c r="X2116" s="4"/>
      <c r="Y2116" s="4"/>
      <c r="Z2116" s="4"/>
      <c r="AA2116" s="4"/>
      <c r="AB2116" s="4"/>
      <c r="AC2116" s="7"/>
      <c r="AD2116" s="4"/>
      <c r="AE2116" s="4"/>
      <c r="AF2116" s="21"/>
    </row>
    <row r="2117" spans="24:32" x14ac:dyDescent="0.25">
      <c r="X2117" s="4"/>
      <c r="Y2117" s="4"/>
      <c r="Z2117" s="4"/>
      <c r="AA2117" s="4"/>
      <c r="AB2117" s="4"/>
      <c r="AC2117" s="7"/>
      <c r="AD2117" s="4"/>
      <c r="AE2117" s="4"/>
      <c r="AF2117" s="21"/>
    </row>
    <row r="2118" spans="24:32" x14ac:dyDescent="0.25">
      <c r="X2118" s="4"/>
      <c r="Y2118" s="4"/>
      <c r="Z2118" s="4"/>
      <c r="AA2118" s="4"/>
      <c r="AB2118" s="4"/>
      <c r="AC2118" s="7"/>
      <c r="AD2118" s="4"/>
      <c r="AE2118" s="4"/>
      <c r="AF2118" s="21"/>
    </row>
    <row r="2119" spans="24:32" x14ac:dyDescent="0.25">
      <c r="X2119" s="4"/>
      <c r="Y2119" s="4"/>
      <c r="Z2119" s="4"/>
      <c r="AA2119" s="4"/>
      <c r="AB2119" s="4"/>
      <c r="AC2119" s="7"/>
      <c r="AD2119" s="4"/>
      <c r="AE2119" s="4"/>
      <c r="AF2119" s="21"/>
    </row>
    <row r="2120" spans="24:32" x14ac:dyDescent="0.25">
      <c r="X2120" s="4"/>
      <c r="Y2120" s="4"/>
      <c r="Z2120" s="4"/>
      <c r="AA2120" s="4"/>
      <c r="AB2120" s="4"/>
      <c r="AC2120" s="7"/>
      <c r="AD2120" s="4"/>
      <c r="AE2120" s="4"/>
      <c r="AF2120" s="21"/>
    </row>
    <row r="2121" spans="24:32" x14ac:dyDescent="0.25">
      <c r="X2121" s="4"/>
      <c r="Y2121" s="4"/>
      <c r="Z2121" s="4"/>
      <c r="AA2121" s="4"/>
      <c r="AB2121" s="4"/>
      <c r="AC2121" s="7"/>
      <c r="AD2121" s="4"/>
      <c r="AE2121" s="4"/>
      <c r="AF2121" s="21"/>
    </row>
    <row r="2122" spans="24:32" x14ac:dyDescent="0.25">
      <c r="X2122" s="4"/>
      <c r="Y2122" s="4"/>
      <c r="Z2122" s="4"/>
      <c r="AA2122" s="4"/>
      <c r="AB2122" s="4"/>
      <c r="AC2122" s="7"/>
      <c r="AD2122" s="4"/>
      <c r="AE2122" s="4"/>
      <c r="AF2122" s="21"/>
    </row>
    <row r="2123" spans="24:32" x14ac:dyDescent="0.25">
      <c r="X2123" s="4"/>
      <c r="Y2123" s="4"/>
      <c r="Z2123" s="4"/>
      <c r="AA2123" s="4"/>
      <c r="AB2123" s="4"/>
      <c r="AC2123" s="7"/>
      <c r="AD2123" s="4"/>
      <c r="AE2123" s="4"/>
      <c r="AF2123" s="21"/>
    </row>
    <row r="2124" spans="24:32" x14ac:dyDescent="0.25">
      <c r="X2124" s="4"/>
      <c r="Y2124" s="4"/>
      <c r="Z2124" s="4"/>
      <c r="AA2124" s="4"/>
      <c r="AB2124" s="4"/>
      <c r="AC2124" s="7"/>
      <c r="AD2124" s="4"/>
      <c r="AE2124" s="4"/>
      <c r="AF2124" s="21"/>
    </row>
    <row r="2125" spans="24:32" x14ac:dyDescent="0.25">
      <c r="X2125" s="4"/>
      <c r="Y2125" s="4"/>
      <c r="Z2125" s="4"/>
      <c r="AA2125" s="4"/>
      <c r="AB2125" s="4"/>
      <c r="AC2125" s="7"/>
      <c r="AD2125" s="4"/>
      <c r="AE2125" s="4"/>
      <c r="AF2125" s="21"/>
    </row>
    <row r="2126" spans="24:32" x14ac:dyDescent="0.25">
      <c r="X2126" s="4"/>
      <c r="Y2126" s="4"/>
      <c r="Z2126" s="4"/>
      <c r="AA2126" s="4"/>
      <c r="AB2126" s="4"/>
      <c r="AC2126" s="7"/>
      <c r="AD2126" s="4"/>
      <c r="AE2126" s="4"/>
      <c r="AF2126" s="21"/>
    </row>
    <row r="2127" spans="24:32" x14ac:dyDescent="0.25">
      <c r="X2127" s="4"/>
      <c r="Y2127" s="4"/>
      <c r="Z2127" s="4"/>
      <c r="AA2127" s="4"/>
      <c r="AB2127" s="4"/>
      <c r="AC2127" s="7"/>
      <c r="AD2127" s="4"/>
      <c r="AE2127" s="4"/>
      <c r="AF2127" s="21"/>
    </row>
    <row r="2128" spans="24:32" x14ac:dyDescent="0.25">
      <c r="X2128" s="4"/>
      <c r="Y2128" s="4"/>
      <c r="Z2128" s="4"/>
      <c r="AA2128" s="4"/>
      <c r="AB2128" s="4"/>
      <c r="AC2128" s="7"/>
      <c r="AD2128" s="4"/>
      <c r="AE2128" s="4"/>
      <c r="AF2128" s="21"/>
    </row>
    <row r="2129" spans="24:32" x14ac:dyDescent="0.25">
      <c r="X2129" s="4"/>
      <c r="Y2129" s="4"/>
      <c r="Z2129" s="4"/>
      <c r="AA2129" s="4"/>
      <c r="AB2129" s="4"/>
      <c r="AC2129" s="7"/>
      <c r="AD2129" s="4"/>
      <c r="AE2129" s="4"/>
      <c r="AF2129" s="21"/>
    </row>
    <row r="2130" spans="24:32" x14ac:dyDescent="0.25">
      <c r="X2130" s="4"/>
      <c r="Y2130" s="4"/>
      <c r="Z2130" s="4"/>
      <c r="AA2130" s="4"/>
      <c r="AB2130" s="4"/>
      <c r="AC2130" s="7"/>
      <c r="AD2130" s="4"/>
      <c r="AE2130" s="4"/>
      <c r="AF2130" s="21"/>
    </row>
    <row r="2131" spans="24:32" x14ac:dyDescent="0.25">
      <c r="X2131" s="4"/>
      <c r="Y2131" s="4"/>
      <c r="Z2131" s="4"/>
      <c r="AA2131" s="4"/>
      <c r="AB2131" s="4"/>
      <c r="AC2131" s="7"/>
      <c r="AD2131" s="4"/>
      <c r="AE2131" s="4"/>
      <c r="AF2131" s="21"/>
    </row>
    <row r="2132" spans="24:32" x14ac:dyDescent="0.25">
      <c r="X2132" s="4"/>
      <c r="Y2132" s="4"/>
      <c r="Z2132" s="4"/>
      <c r="AA2132" s="4"/>
      <c r="AB2132" s="4"/>
      <c r="AC2132" s="7"/>
      <c r="AD2132" s="4"/>
      <c r="AE2132" s="4"/>
      <c r="AF2132" s="21"/>
    </row>
    <row r="2133" spans="24:32" x14ac:dyDescent="0.25">
      <c r="X2133" s="4"/>
      <c r="Y2133" s="4"/>
      <c r="Z2133" s="4"/>
      <c r="AA2133" s="4"/>
      <c r="AB2133" s="4"/>
      <c r="AC2133" s="7"/>
      <c r="AD2133" s="4"/>
      <c r="AE2133" s="4"/>
      <c r="AF2133" s="21"/>
    </row>
    <row r="2134" spans="24:32" x14ac:dyDescent="0.25">
      <c r="X2134" s="4"/>
      <c r="Y2134" s="4"/>
      <c r="Z2134" s="4"/>
      <c r="AA2134" s="4"/>
      <c r="AB2134" s="4"/>
      <c r="AC2134" s="7"/>
      <c r="AD2134" s="4"/>
      <c r="AE2134" s="4"/>
      <c r="AF2134" s="21"/>
    </row>
    <row r="2135" spans="24:32" x14ac:dyDescent="0.25">
      <c r="X2135" s="4"/>
      <c r="Y2135" s="4"/>
      <c r="Z2135" s="4"/>
      <c r="AA2135" s="4"/>
      <c r="AB2135" s="4"/>
      <c r="AC2135" s="7"/>
      <c r="AD2135" s="4"/>
      <c r="AE2135" s="4"/>
      <c r="AF2135" s="21"/>
    </row>
    <row r="2136" spans="24:32" x14ac:dyDescent="0.25">
      <c r="X2136" s="4"/>
      <c r="Y2136" s="4"/>
      <c r="Z2136" s="4"/>
      <c r="AA2136" s="4"/>
      <c r="AB2136" s="4"/>
      <c r="AC2136" s="7"/>
      <c r="AD2136" s="4"/>
      <c r="AE2136" s="4"/>
      <c r="AF2136" s="21"/>
    </row>
    <row r="2137" spans="24:32" x14ac:dyDescent="0.25">
      <c r="X2137" s="4"/>
      <c r="Y2137" s="4"/>
      <c r="Z2137" s="4"/>
      <c r="AA2137" s="4"/>
      <c r="AB2137" s="4"/>
      <c r="AC2137" s="7"/>
      <c r="AD2137" s="4"/>
      <c r="AE2137" s="4"/>
      <c r="AF2137" s="21"/>
    </row>
    <row r="2138" spans="24:32" x14ac:dyDescent="0.25">
      <c r="X2138" s="4"/>
      <c r="Y2138" s="4"/>
      <c r="Z2138" s="4"/>
      <c r="AA2138" s="4"/>
      <c r="AB2138" s="4"/>
      <c r="AC2138" s="7"/>
      <c r="AD2138" s="4"/>
      <c r="AE2138" s="4"/>
      <c r="AF2138" s="21"/>
    </row>
    <row r="2139" spans="24:32" x14ac:dyDescent="0.25">
      <c r="X2139" s="4"/>
      <c r="Y2139" s="4"/>
      <c r="Z2139" s="4"/>
      <c r="AA2139" s="4"/>
      <c r="AB2139" s="4"/>
      <c r="AC2139" s="7"/>
      <c r="AD2139" s="4"/>
      <c r="AE2139" s="4"/>
      <c r="AF2139" s="21"/>
    </row>
    <row r="2140" spans="24:32" x14ac:dyDescent="0.25">
      <c r="X2140" s="4"/>
      <c r="Y2140" s="4"/>
      <c r="Z2140" s="4"/>
      <c r="AA2140" s="4"/>
      <c r="AB2140" s="4"/>
      <c r="AC2140" s="7"/>
      <c r="AD2140" s="4"/>
      <c r="AE2140" s="4"/>
      <c r="AF2140" s="21"/>
    </row>
    <row r="2141" spans="24:32" x14ac:dyDescent="0.25">
      <c r="X2141" s="4"/>
      <c r="Y2141" s="4"/>
      <c r="Z2141" s="4"/>
      <c r="AA2141" s="4"/>
      <c r="AB2141" s="4"/>
      <c r="AC2141" s="7"/>
      <c r="AD2141" s="4"/>
      <c r="AE2141" s="4"/>
      <c r="AF2141" s="21"/>
    </row>
    <row r="2142" spans="24:32" x14ac:dyDescent="0.25">
      <c r="X2142" s="4"/>
      <c r="Y2142" s="4"/>
      <c r="Z2142" s="4"/>
      <c r="AA2142" s="4"/>
      <c r="AB2142" s="4"/>
      <c r="AC2142" s="7"/>
      <c r="AD2142" s="4"/>
      <c r="AE2142" s="4"/>
      <c r="AF2142" s="21"/>
    </row>
    <row r="2143" spans="24:32" x14ac:dyDescent="0.25">
      <c r="X2143" s="4"/>
      <c r="Y2143" s="4"/>
      <c r="Z2143" s="4"/>
      <c r="AA2143" s="4"/>
      <c r="AB2143" s="4"/>
      <c r="AC2143" s="7"/>
      <c r="AD2143" s="4"/>
      <c r="AE2143" s="4"/>
      <c r="AF2143" s="21"/>
    </row>
    <row r="2144" spans="24:32" x14ac:dyDescent="0.25">
      <c r="X2144" s="4"/>
      <c r="Y2144" s="4"/>
      <c r="Z2144" s="4"/>
      <c r="AA2144" s="4"/>
      <c r="AB2144" s="4"/>
      <c r="AC2144" s="7"/>
      <c r="AD2144" s="4"/>
      <c r="AE2144" s="4"/>
      <c r="AF2144" s="21"/>
    </row>
    <row r="2145" spans="24:32" x14ac:dyDescent="0.25">
      <c r="X2145" s="4"/>
      <c r="Y2145" s="4"/>
      <c r="Z2145" s="4"/>
      <c r="AA2145" s="4"/>
      <c r="AB2145" s="4"/>
      <c r="AC2145" s="7"/>
      <c r="AD2145" s="4"/>
      <c r="AE2145" s="4"/>
      <c r="AF2145" s="21"/>
    </row>
    <row r="2146" spans="24:32" x14ac:dyDescent="0.25">
      <c r="X2146" s="4"/>
      <c r="Y2146" s="4"/>
      <c r="Z2146" s="4"/>
      <c r="AA2146" s="4"/>
      <c r="AB2146" s="4"/>
      <c r="AC2146" s="7"/>
      <c r="AD2146" s="4"/>
      <c r="AE2146" s="4"/>
      <c r="AF2146" s="21"/>
    </row>
    <row r="2147" spans="24:32" x14ac:dyDescent="0.25">
      <c r="X2147" s="4"/>
      <c r="Y2147" s="4"/>
      <c r="Z2147" s="4"/>
      <c r="AA2147" s="4"/>
      <c r="AB2147" s="4"/>
      <c r="AC2147" s="7"/>
      <c r="AD2147" s="4"/>
      <c r="AE2147" s="4"/>
      <c r="AF2147" s="21"/>
    </row>
    <row r="2148" spans="24:32" x14ac:dyDescent="0.25">
      <c r="X2148" s="4"/>
      <c r="Y2148" s="4"/>
      <c r="Z2148" s="4"/>
      <c r="AA2148" s="4"/>
      <c r="AB2148" s="4"/>
      <c r="AC2148" s="7"/>
      <c r="AD2148" s="4"/>
      <c r="AE2148" s="4"/>
      <c r="AF2148" s="21"/>
    </row>
    <row r="2149" spans="24:32" x14ac:dyDescent="0.25">
      <c r="X2149" s="4"/>
      <c r="Y2149" s="4"/>
      <c r="Z2149" s="4"/>
      <c r="AA2149" s="4"/>
      <c r="AB2149" s="4"/>
      <c r="AC2149" s="7"/>
      <c r="AD2149" s="4"/>
      <c r="AE2149" s="4"/>
      <c r="AF2149" s="21"/>
    </row>
    <row r="2150" spans="24:32" x14ac:dyDescent="0.25">
      <c r="X2150" s="4"/>
      <c r="Y2150" s="4"/>
      <c r="Z2150" s="4"/>
      <c r="AA2150" s="4"/>
      <c r="AB2150" s="4"/>
      <c r="AC2150" s="7"/>
      <c r="AD2150" s="4"/>
      <c r="AE2150" s="4"/>
      <c r="AF2150" s="21"/>
    </row>
    <row r="2151" spans="24:32" x14ac:dyDescent="0.25">
      <c r="X2151" s="4"/>
      <c r="Y2151" s="4"/>
      <c r="Z2151" s="4"/>
      <c r="AA2151" s="4"/>
      <c r="AB2151" s="4"/>
      <c r="AC2151" s="7"/>
      <c r="AD2151" s="4"/>
      <c r="AE2151" s="4"/>
      <c r="AF2151" s="21"/>
    </row>
    <row r="2152" spans="24:32" x14ac:dyDescent="0.25">
      <c r="X2152" s="4"/>
      <c r="Y2152" s="4"/>
      <c r="Z2152" s="4"/>
      <c r="AA2152" s="4"/>
      <c r="AB2152" s="4"/>
      <c r="AC2152" s="7"/>
      <c r="AD2152" s="4"/>
      <c r="AE2152" s="4"/>
      <c r="AF2152" s="21"/>
    </row>
    <row r="2153" spans="24:32" x14ac:dyDescent="0.25">
      <c r="X2153" s="4"/>
      <c r="Y2153" s="4"/>
      <c r="Z2153" s="4"/>
      <c r="AA2153" s="4"/>
      <c r="AB2153" s="4"/>
      <c r="AC2153" s="7"/>
      <c r="AD2153" s="4"/>
      <c r="AE2153" s="4"/>
      <c r="AF2153" s="21"/>
    </row>
    <row r="2154" spans="24:32" x14ac:dyDescent="0.25">
      <c r="X2154" s="4"/>
      <c r="Y2154" s="4"/>
      <c r="Z2154" s="4"/>
      <c r="AA2154" s="4"/>
      <c r="AB2154" s="4"/>
      <c r="AC2154" s="7"/>
      <c r="AD2154" s="4"/>
      <c r="AE2154" s="4"/>
      <c r="AF2154" s="21"/>
    </row>
    <row r="2155" spans="24:32" x14ac:dyDescent="0.25">
      <c r="X2155" s="4"/>
      <c r="Y2155" s="4"/>
      <c r="Z2155" s="4"/>
      <c r="AA2155" s="4"/>
      <c r="AB2155" s="4"/>
      <c r="AC2155" s="7"/>
      <c r="AD2155" s="4"/>
      <c r="AE2155" s="4"/>
      <c r="AF2155" s="21"/>
    </row>
    <row r="2156" spans="24:32" x14ac:dyDescent="0.25">
      <c r="X2156" s="4"/>
      <c r="Y2156" s="4"/>
      <c r="Z2156" s="4"/>
      <c r="AA2156" s="4"/>
      <c r="AB2156" s="4"/>
      <c r="AC2156" s="7"/>
      <c r="AD2156" s="4"/>
      <c r="AE2156" s="4"/>
      <c r="AF2156" s="21"/>
    </row>
    <row r="2157" spans="24:32" x14ac:dyDescent="0.25">
      <c r="X2157" s="4"/>
      <c r="Y2157" s="4"/>
      <c r="Z2157" s="4"/>
      <c r="AA2157" s="4"/>
      <c r="AB2157" s="4"/>
      <c r="AC2157" s="7"/>
      <c r="AD2157" s="4"/>
      <c r="AE2157" s="4"/>
      <c r="AF2157" s="21"/>
    </row>
    <row r="2158" spans="24:32" x14ac:dyDescent="0.25">
      <c r="X2158" s="4"/>
      <c r="Y2158" s="4"/>
      <c r="Z2158" s="4"/>
      <c r="AA2158" s="4"/>
      <c r="AB2158" s="4"/>
      <c r="AC2158" s="7"/>
      <c r="AD2158" s="4"/>
      <c r="AE2158" s="4"/>
      <c r="AF2158" s="21"/>
    </row>
    <row r="2159" spans="24:32" x14ac:dyDescent="0.25">
      <c r="X2159" s="4"/>
      <c r="Y2159" s="4"/>
      <c r="Z2159" s="4"/>
      <c r="AA2159" s="4"/>
      <c r="AB2159" s="4"/>
      <c r="AC2159" s="7"/>
      <c r="AD2159" s="4"/>
      <c r="AE2159" s="4"/>
      <c r="AF2159" s="21"/>
    </row>
    <row r="2160" spans="24:32" x14ac:dyDescent="0.25">
      <c r="X2160" s="4"/>
      <c r="Y2160" s="4"/>
      <c r="Z2160" s="4"/>
      <c r="AA2160" s="4"/>
      <c r="AB2160" s="4"/>
      <c r="AC2160" s="7"/>
      <c r="AD2160" s="4"/>
      <c r="AE2160" s="4"/>
      <c r="AF2160" s="21"/>
    </row>
    <row r="2161" spans="24:32" x14ac:dyDescent="0.25">
      <c r="X2161" s="4"/>
      <c r="Y2161" s="4"/>
      <c r="Z2161" s="4"/>
      <c r="AA2161" s="4"/>
      <c r="AB2161" s="4"/>
      <c r="AC2161" s="7"/>
      <c r="AD2161" s="4"/>
      <c r="AE2161" s="4"/>
      <c r="AF2161" s="21"/>
    </row>
    <row r="2162" spans="24:32" x14ac:dyDescent="0.25">
      <c r="X2162" s="4"/>
      <c r="Y2162" s="4"/>
      <c r="Z2162" s="4"/>
      <c r="AA2162" s="4"/>
      <c r="AB2162" s="4"/>
      <c r="AC2162" s="7"/>
      <c r="AD2162" s="4"/>
      <c r="AE2162" s="4"/>
      <c r="AF2162" s="21"/>
    </row>
    <row r="2163" spans="24:32" x14ac:dyDescent="0.25">
      <c r="X2163" s="4"/>
      <c r="Y2163" s="4"/>
      <c r="Z2163" s="4"/>
      <c r="AA2163" s="4"/>
      <c r="AB2163" s="4"/>
      <c r="AC2163" s="7"/>
      <c r="AD2163" s="4"/>
      <c r="AE2163" s="4"/>
      <c r="AF2163" s="21"/>
    </row>
    <row r="2164" spans="24:32" x14ac:dyDescent="0.25">
      <c r="X2164" s="4"/>
      <c r="Y2164" s="4"/>
      <c r="Z2164" s="4"/>
      <c r="AA2164" s="4"/>
      <c r="AB2164" s="4"/>
      <c r="AC2164" s="7"/>
      <c r="AD2164" s="4"/>
      <c r="AE2164" s="4"/>
      <c r="AF2164" s="21"/>
    </row>
    <row r="2165" spans="24:32" x14ac:dyDescent="0.25">
      <c r="X2165" s="4"/>
      <c r="Y2165" s="4"/>
      <c r="Z2165" s="4"/>
      <c r="AA2165" s="4"/>
      <c r="AB2165" s="4"/>
      <c r="AC2165" s="7"/>
      <c r="AD2165" s="4"/>
      <c r="AE2165" s="4"/>
      <c r="AF2165" s="21"/>
    </row>
    <row r="2166" spans="24:32" x14ac:dyDescent="0.25">
      <c r="X2166" s="4"/>
      <c r="Y2166" s="4"/>
      <c r="Z2166" s="4"/>
      <c r="AA2166" s="4"/>
      <c r="AB2166" s="4"/>
      <c r="AC2166" s="7"/>
      <c r="AD2166" s="4"/>
      <c r="AE2166" s="4"/>
      <c r="AF2166" s="21"/>
    </row>
    <row r="2167" spans="24:32" x14ac:dyDescent="0.25">
      <c r="X2167" s="4"/>
      <c r="Y2167" s="4"/>
      <c r="Z2167" s="4"/>
      <c r="AA2167" s="4"/>
      <c r="AB2167" s="4"/>
      <c r="AC2167" s="7"/>
      <c r="AD2167" s="4"/>
      <c r="AE2167" s="4"/>
      <c r="AF2167" s="21"/>
    </row>
    <row r="2168" spans="24:32" x14ac:dyDescent="0.25">
      <c r="X2168" s="4"/>
      <c r="Y2168" s="4"/>
      <c r="Z2168" s="4"/>
      <c r="AA2168" s="4"/>
      <c r="AB2168" s="4"/>
      <c r="AC2168" s="7"/>
      <c r="AD2168" s="4"/>
      <c r="AE2168" s="4"/>
      <c r="AF2168" s="21"/>
    </row>
    <row r="2169" spans="24:32" x14ac:dyDescent="0.25">
      <c r="X2169" s="4"/>
      <c r="Y2169" s="4"/>
      <c r="Z2169" s="4"/>
      <c r="AA2169" s="4"/>
      <c r="AB2169" s="4"/>
      <c r="AC2169" s="7"/>
      <c r="AD2169" s="4"/>
      <c r="AE2169" s="4"/>
      <c r="AF2169" s="21"/>
    </row>
    <row r="2170" spans="24:32" x14ac:dyDescent="0.25">
      <c r="X2170" s="4"/>
      <c r="Y2170" s="4"/>
      <c r="Z2170" s="4"/>
      <c r="AA2170" s="4"/>
      <c r="AB2170" s="4"/>
      <c r="AC2170" s="7"/>
      <c r="AD2170" s="4"/>
      <c r="AE2170" s="4"/>
      <c r="AF2170" s="21"/>
    </row>
    <row r="2171" spans="24:32" x14ac:dyDescent="0.25">
      <c r="X2171" s="4"/>
      <c r="Y2171" s="4"/>
      <c r="Z2171" s="4"/>
      <c r="AA2171" s="4"/>
      <c r="AB2171" s="4"/>
      <c r="AC2171" s="7"/>
      <c r="AD2171" s="4"/>
      <c r="AE2171" s="4"/>
      <c r="AF2171" s="21"/>
    </row>
    <row r="2172" spans="24:32" x14ac:dyDescent="0.25">
      <c r="X2172" s="4"/>
      <c r="Y2172" s="4"/>
      <c r="Z2172" s="4"/>
      <c r="AA2172" s="4"/>
      <c r="AB2172" s="4"/>
      <c r="AC2172" s="7"/>
      <c r="AD2172" s="4"/>
      <c r="AE2172" s="4"/>
      <c r="AF2172" s="21"/>
    </row>
    <row r="2173" spans="24:32" x14ac:dyDescent="0.25">
      <c r="X2173" s="4"/>
      <c r="Y2173" s="4"/>
      <c r="Z2173" s="4"/>
      <c r="AA2173" s="4"/>
      <c r="AB2173" s="4"/>
      <c r="AC2173" s="7"/>
      <c r="AD2173" s="4"/>
      <c r="AE2173" s="4"/>
      <c r="AF2173" s="21"/>
    </row>
    <row r="2174" spans="24:32" x14ac:dyDescent="0.25">
      <c r="X2174" s="4"/>
      <c r="Y2174" s="4"/>
      <c r="Z2174" s="4"/>
      <c r="AA2174" s="4"/>
      <c r="AB2174" s="4"/>
      <c r="AC2174" s="7"/>
      <c r="AD2174" s="4"/>
      <c r="AE2174" s="4"/>
      <c r="AF2174" s="21"/>
    </row>
    <row r="2175" spans="24:32" x14ac:dyDescent="0.25">
      <c r="X2175" s="4"/>
      <c r="Y2175" s="4"/>
      <c r="Z2175" s="4"/>
      <c r="AA2175" s="4"/>
      <c r="AB2175" s="4"/>
      <c r="AC2175" s="7"/>
      <c r="AD2175" s="4"/>
      <c r="AE2175" s="4"/>
      <c r="AF2175" s="21"/>
    </row>
    <row r="2176" spans="24:32" x14ac:dyDescent="0.25">
      <c r="X2176" s="4"/>
      <c r="Y2176" s="4"/>
      <c r="Z2176" s="4"/>
      <c r="AA2176" s="4"/>
      <c r="AB2176" s="4"/>
      <c r="AC2176" s="7"/>
      <c r="AD2176" s="4"/>
      <c r="AE2176" s="4"/>
      <c r="AF2176" s="21"/>
    </row>
    <row r="2177" spans="24:32" x14ac:dyDescent="0.25">
      <c r="X2177" s="4"/>
      <c r="Y2177" s="4"/>
      <c r="Z2177" s="4"/>
      <c r="AA2177" s="4"/>
      <c r="AB2177" s="4"/>
      <c r="AC2177" s="7"/>
      <c r="AD2177" s="4"/>
      <c r="AE2177" s="4"/>
      <c r="AF2177" s="21"/>
    </row>
    <row r="2178" spans="24:32" x14ac:dyDescent="0.25">
      <c r="X2178" s="4"/>
      <c r="Y2178" s="4"/>
      <c r="Z2178" s="4"/>
      <c r="AA2178" s="4"/>
      <c r="AB2178" s="4"/>
      <c r="AC2178" s="7"/>
      <c r="AD2178" s="4"/>
      <c r="AE2178" s="4"/>
      <c r="AF2178" s="21"/>
    </row>
    <row r="2179" spans="24:32" x14ac:dyDescent="0.25">
      <c r="X2179" s="4"/>
      <c r="Y2179" s="4"/>
      <c r="Z2179" s="4"/>
      <c r="AA2179" s="4"/>
      <c r="AB2179" s="4"/>
      <c r="AC2179" s="7"/>
      <c r="AD2179" s="4"/>
      <c r="AE2179" s="4"/>
      <c r="AF2179" s="21"/>
    </row>
    <row r="2180" spans="24:32" x14ac:dyDescent="0.25">
      <c r="X2180" s="4"/>
      <c r="Y2180" s="4"/>
      <c r="Z2180" s="4"/>
      <c r="AA2180" s="4"/>
      <c r="AB2180" s="4"/>
      <c r="AC2180" s="7"/>
      <c r="AD2180" s="4"/>
      <c r="AE2180" s="4"/>
      <c r="AF2180" s="21"/>
    </row>
    <row r="2181" spans="24:32" x14ac:dyDescent="0.25">
      <c r="X2181" s="4"/>
      <c r="Y2181" s="4"/>
      <c r="Z2181" s="4"/>
      <c r="AA2181" s="4"/>
      <c r="AB2181" s="4"/>
      <c r="AC2181" s="7"/>
      <c r="AD2181" s="4"/>
      <c r="AE2181" s="4"/>
      <c r="AF2181" s="21"/>
    </row>
    <row r="2182" spans="24:32" x14ac:dyDescent="0.25">
      <c r="X2182" s="4"/>
      <c r="Y2182" s="4"/>
      <c r="Z2182" s="4"/>
      <c r="AA2182" s="4"/>
      <c r="AB2182" s="4"/>
      <c r="AC2182" s="7"/>
      <c r="AD2182" s="4"/>
      <c r="AE2182" s="4"/>
      <c r="AF2182" s="21"/>
    </row>
    <row r="2183" spans="24:32" x14ac:dyDescent="0.25">
      <c r="X2183" s="4"/>
      <c r="Y2183" s="4"/>
      <c r="Z2183" s="4"/>
      <c r="AA2183" s="4"/>
      <c r="AB2183" s="4"/>
      <c r="AC2183" s="7"/>
      <c r="AD2183" s="4"/>
      <c r="AE2183" s="4"/>
      <c r="AF2183" s="21"/>
    </row>
    <row r="2184" spans="24:32" x14ac:dyDescent="0.25">
      <c r="X2184" s="4"/>
      <c r="Y2184" s="4"/>
      <c r="Z2184" s="4"/>
      <c r="AA2184" s="4"/>
      <c r="AB2184" s="4"/>
      <c r="AC2184" s="7"/>
      <c r="AD2184" s="4"/>
      <c r="AE2184" s="4"/>
      <c r="AF2184" s="21"/>
    </row>
    <row r="2185" spans="24:32" x14ac:dyDescent="0.25">
      <c r="X2185" s="4"/>
      <c r="Y2185" s="4"/>
      <c r="Z2185" s="4"/>
      <c r="AA2185" s="4"/>
      <c r="AB2185" s="4"/>
      <c r="AC2185" s="7"/>
      <c r="AD2185" s="4"/>
      <c r="AE2185" s="4"/>
      <c r="AF2185" s="21"/>
    </row>
    <row r="2186" spans="24:32" x14ac:dyDescent="0.25">
      <c r="X2186" s="4"/>
      <c r="Y2186" s="4"/>
      <c r="Z2186" s="4"/>
      <c r="AA2186" s="4"/>
      <c r="AB2186" s="4"/>
      <c r="AC2186" s="7"/>
      <c r="AD2186" s="4"/>
      <c r="AE2186" s="4"/>
      <c r="AF2186" s="21"/>
    </row>
    <row r="2187" spans="24:32" x14ac:dyDescent="0.25">
      <c r="X2187" s="4"/>
      <c r="Y2187" s="4"/>
      <c r="Z2187" s="4"/>
      <c r="AA2187" s="4"/>
      <c r="AB2187" s="4"/>
      <c r="AC2187" s="7"/>
      <c r="AD2187" s="4"/>
      <c r="AE2187" s="4"/>
      <c r="AF2187" s="21"/>
    </row>
    <row r="2188" spans="24:32" x14ac:dyDescent="0.25">
      <c r="X2188" s="4"/>
      <c r="Y2188" s="4"/>
      <c r="Z2188" s="4"/>
      <c r="AA2188" s="4"/>
      <c r="AB2188" s="4"/>
      <c r="AC2188" s="7"/>
      <c r="AD2188" s="4"/>
      <c r="AE2188" s="4"/>
      <c r="AF2188" s="21"/>
    </row>
    <row r="2189" spans="24:32" x14ac:dyDescent="0.25">
      <c r="X2189" s="4"/>
      <c r="Y2189" s="4"/>
      <c r="Z2189" s="4"/>
      <c r="AA2189" s="4"/>
      <c r="AB2189" s="4"/>
      <c r="AC2189" s="7"/>
      <c r="AD2189" s="4"/>
      <c r="AE2189" s="4"/>
      <c r="AF2189" s="21"/>
    </row>
    <row r="2190" spans="24:32" x14ac:dyDescent="0.25">
      <c r="X2190" s="4"/>
      <c r="Y2190" s="4"/>
      <c r="Z2190" s="4"/>
      <c r="AA2190" s="4"/>
      <c r="AB2190" s="4"/>
      <c r="AC2190" s="7"/>
      <c r="AD2190" s="4"/>
      <c r="AE2190" s="4"/>
      <c r="AF2190" s="21"/>
    </row>
    <row r="2191" spans="24:32" x14ac:dyDescent="0.25">
      <c r="X2191" s="4"/>
      <c r="Y2191" s="4"/>
      <c r="Z2191" s="4"/>
      <c r="AA2191" s="4"/>
      <c r="AB2191" s="4"/>
      <c r="AC2191" s="7"/>
      <c r="AD2191" s="4"/>
      <c r="AE2191" s="4"/>
      <c r="AF2191" s="21"/>
    </row>
    <row r="2192" spans="24:32" x14ac:dyDescent="0.25">
      <c r="X2192" s="4"/>
      <c r="Y2192" s="4"/>
      <c r="Z2192" s="4"/>
      <c r="AA2192" s="4"/>
      <c r="AB2192" s="4"/>
      <c r="AC2192" s="7"/>
      <c r="AD2192" s="4"/>
      <c r="AE2192" s="4"/>
      <c r="AF2192" s="21"/>
    </row>
    <row r="2193" spans="24:32" x14ac:dyDescent="0.25">
      <c r="X2193" s="4"/>
      <c r="Y2193" s="4"/>
      <c r="Z2193" s="4"/>
      <c r="AA2193" s="4"/>
      <c r="AB2193" s="4"/>
      <c r="AC2193" s="7"/>
      <c r="AD2193" s="4"/>
      <c r="AE2193" s="4"/>
      <c r="AF2193" s="21"/>
    </row>
    <row r="2194" spans="24:32" x14ac:dyDescent="0.25">
      <c r="X2194" s="4"/>
      <c r="Y2194" s="4"/>
      <c r="Z2194" s="4"/>
      <c r="AA2194" s="4"/>
      <c r="AB2194" s="4"/>
      <c r="AC2194" s="7"/>
      <c r="AD2194" s="4"/>
      <c r="AE2194" s="4"/>
      <c r="AF2194" s="21"/>
    </row>
    <row r="2195" spans="24:32" x14ac:dyDescent="0.25">
      <c r="X2195" s="4"/>
      <c r="Y2195" s="4"/>
      <c r="Z2195" s="4"/>
      <c r="AA2195" s="4"/>
      <c r="AB2195" s="4"/>
      <c r="AC2195" s="7"/>
      <c r="AD2195" s="4"/>
      <c r="AE2195" s="4"/>
      <c r="AF2195" s="21"/>
    </row>
    <row r="2196" spans="24:32" x14ac:dyDescent="0.25">
      <c r="X2196" s="4"/>
      <c r="Y2196" s="4"/>
      <c r="Z2196" s="4"/>
      <c r="AA2196" s="4"/>
      <c r="AB2196" s="4"/>
      <c r="AC2196" s="7"/>
      <c r="AD2196" s="4"/>
      <c r="AE2196" s="4"/>
      <c r="AF2196" s="21"/>
    </row>
    <row r="2197" spans="24:32" x14ac:dyDescent="0.25">
      <c r="X2197" s="4"/>
      <c r="Y2197" s="4"/>
      <c r="Z2197" s="4"/>
      <c r="AA2197" s="4"/>
      <c r="AB2197" s="4"/>
      <c r="AC2197" s="7"/>
      <c r="AD2197" s="4"/>
      <c r="AE2197" s="4"/>
      <c r="AF2197" s="21"/>
    </row>
    <row r="2198" spans="24:32" x14ac:dyDescent="0.25">
      <c r="X2198" s="4"/>
      <c r="Y2198" s="4"/>
      <c r="Z2198" s="4"/>
      <c r="AA2198" s="4"/>
      <c r="AB2198" s="4"/>
      <c r="AC2198" s="7"/>
      <c r="AD2198" s="4"/>
      <c r="AE2198" s="4"/>
      <c r="AF2198" s="21"/>
    </row>
    <row r="2199" spans="24:32" x14ac:dyDescent="0.25">
      <c r="X2199" s="4"/>
      <c r="Y2199" s="4"/>
      <c r="Z2199" s="4"/>
      <c r="AA2199" s="4"/>
      <c r="AB2199" s="4"/>
      <c r="AC2199" s="7"/>
      <c r="AD2199" s="4"/>
      <c r="AE2199" s="4"/>
      <c r="AF2199" s="21"/>
    </row>
    <row r="2200" spans="24:32" x14ac:dyDescent="0.25">
      <c r="X2200" s="4"/>
      <c r="Y2200" s="4"/>
      <c r="Z2200" s="4"/>
      <c r="AA2200" s="4"/>
      <c r="AB2200" s="4"/>
      <c r="AC2200" s="7"/>
      <c r="AD2200" s="4"/>
      <c r="AE2200" s="4"/>
      <c r="AF2200" s="21"/>
    </row>
    <row r="2201" spans="24:32" x14ac:dyDescent="0.25">
      <c r="X2201" s="4"/>
      <c r="Y2201" s="4"/>
      <c r="Z2201" s="4"/>
      <c r="AA2201" s="4"/>
      <c r="AB2201" s="4"/>
      <c r="AC2201" s="7"/>
      <c r="AD2201" s="4"/>
      <c r="AE2201" s="4"/>
      <c r="AF2201" s="21"/>
    </row>
    <row r="2202" spans="24:32" x14ac:dyDescent="0.25">
      <c r="X2202" s="4"/>
      <c r="Y2202" s="4"/>
      <c r="Z2202" s="4"/>
      <c r="AA2202" s="4"/>
      <c r="AB2202" s="4"/>
      <c r="AC2202" s="7"/>
      <c r="AD2202" s="4"/>
      <c r="AE2202" s="4"/>
      <c r="AF2202" s="21"/>
    </row>
    <row r="2203" spans="24:32" x14ac:dyDescent="0.25">
      <c r="X2203" s="4"/>
      <c r="Y2203" s="4"/>
      <c r="Z2203" s="4"/>
      <c r="AA2203" s="4"/>
      <c r="AB2203" s="4"/>
      <c r="AC2203" s="7"/>
      <c r="AD2203" s="4"/>
      <c r="AE2203" s="4"/>
      <c r="AF2203" s="21"/>
    </row>
    <row r="2204" spans="24:32" x14ac:dyDescent="0.25">
      <c r="X2204" s="4"/>
      <c r="Y2204" s="4"/>
      <c r="Z2204" s="4"/>
      <c r="AA2204" s="4"/>
      <c r="AB2204" s="4"/>
      <c r="AC2204" s="7"/>
      <c r="AD2204" s="4"/>
      <c r="AE2204" s="4"/>
      <c r="AF2204" s="21"/>
    </row>
    <row r="2205" spans="24:32" x14ac:dyDescent="0.25">
      <c r="X2205" s="4"/>
      <c r="Y2205" s="4"/>
      <c r="Z2205" s="4"/>
      <c r="AA2205" s="4"/>
      <c r="AB2205" s="4"/>
      <c r="AC2205" s="7"/>
      <c r="AD2205" s="4"/>
      <c r="AE2205" s="4"/>
      <c r="AF2205" s="21"/>
    </row>
    <row r="2206" spans="24:32" x14ac:dyDescent="0.25">
      <c r="X2206" s="4"/>
      <c r="Y2206" s="4"/>
      <c r="Z2206" s="4"/>
      <c r="AA2206" s="4"/>
      <c r="AB2206" s="4"/>
      <c r="AC2206" s="7"/>
      <c r="AD2206" s="4"/>
      <c r="AE2206" s="4"/>
      <c r="AF2206" s="21"/>
    </row>
    <row r="2207" spans="24:32" x14ac:dyDescent="0.25">
      <c r="X2207" s="4"/>
      <c r="Y2207" s="4"/>
      <c r="Z2207" s="4"/>
      <c r="AA2207" s="4"/>
      <c r="AB2207" s="4"/>
      <c r="AC2207" s="7"/>
      <c r="AD2207" s="4"/>
      <c r="AE2207" s="4"/>
      <c r="AF2207" s="21"/>
    </row>
    <row r="2208" spans="24:32" x14ac:dyDescent="0.25">
      <c r="X2208" s="4"/>
      <c r="Y2208" s="4"/>
      <c r="Z2208" s="4"/>
      <c r="AA2208" s="4"/>
      <c r="AB2208" s="4"/>
      <c r="AC2208" s="7"/>
      <c r="AD2208" s="4"/>
      <c r="AE2208" s="4"/>
      <c r="AF2208" s="21"/>
    </row>
    <row r="2209" spans="24:32" x14ac:dyDescent="0.25">
      <c r="X2209" s="4"/>
      <c r="Y2209" s="4"/>
      <c r="Z2209" s="4"/>
      <c r="AA2209" s="4"/>
      <c r="AB2209" s="4"/>
      <c r="AC2209" s="7"/>
      <c r="AD2209" s="4"/>
      <c r="AE2209" s="4"/>
      <c r="AF2209" s="21"/>
    </row>
    <row r="2210" spans="24:32" x14ac:dyDescent="0.25">
      <c r="X2210" s="4"/>
      <c r="Y2210" s="4"/>
      <c r="Z2210" s="4"/>
      <c r="AA2210" s="4"/>
      <c r="AB2210" s="4"/>
      <c r="AC2210" s="7"/>
      <c r="AD2210" s="4"/>
      <c r="AE2210" s="4"/>
      <c r="AF2210" s="21"/>
    </row>
    <row r="2211" spans="24:32" x14ac:dyDescent="0.25">
      <c r="X2211" s="4"/>
      <c r="Y2211" s="4"/>
      <c r="Z2211" s="4"/>
      <c r="AA2211" s="4"/>
      <c r="AB2211" s="4"/>
      <c r="AC2211" s="7"/>
      <c r="AD2211" s="4"/>
      <c r="AE2211" s="4"/>
      <c r="AF2211" s="21"/>
    </row>
    <row r="2212" spans="24:32" x14ac:dyDescent="0.25">
      <c r="X2212" s="4"/>
      <c r="Y2212" s="4"/>
      <c r="Z2212" s="4"/>
      <c r="AA2212" s="4"/>
      <c r="AB2212" s="4"/>
      <c r="AC2212" s="7"/>
      <c r="AD2212" s="4"/>
      <c r="AE2212" s="4"/>
      <c r="AF2212" s="21"/>
    </row>
    <row r="2213" spans="24:32" x14ac:dyDescent="0.25">
      <c r="X2213" s="4"/>
      <c r="Y2213" s="4"/>
      <c r="Z2213" s="4"/>
      <c r="AA2213" s="4"/>
      <c r="AB2213" s="4"/>
      <c r="AC2213" s="7"/>
      <c r="AD2213" s="4"/>
      <c r="AE2213" s="4"/>
      <c r="AF2213" s="21"/>
    </row>
    <row r="2214" spans="24:32" x14ac:dyDescent="0.25">
      <c r="X2214" s="4"/>
      <c r="Y2214" s="4"/>
      <c r="Z2214" s="4"/>
      <c r="AA2214" s="4"/>
      <c r="AB2214" s="4"/>
      <c r="AC2214" s="7"/>
      <c r="AD2214" s="4"/>
      <c r="AE2214" s="4"/>
      <c r="AF2214" s="21"/>
    </row>
    <row r="2215" spans="24:32" x14ac:dyDescent="0.25">
      <c r="X2215" s="4"/>
      <c r="Y2215" s="4"/>
      <c r="Z2215" s="4"/>
      <c r="AA2215" s="4"/>
      <c r="AB2215" s="4"/>
      <c r="AC2215" s="7"/>
      <c r="AD2215" s="4"/>
      <c r="AE2215" s="4"/>
      <c r="AF2215" s="21"/>
    </row>
    <row r="2216" spans="24:32" x14ac:dyDescent="0.25">
      <c r="X2216" s="4"/>
      <c r="Y2216" s="4"/>
      <c r="Z2216" s="4"/>
      <c r="AA2216" s="4"/>
      <c r="AB2216" s="4"/>
      <c r="AC2216" s="7"/>
      <c r="AD2216" s="4"/>
      <c r="AE2216" s="4"/>
      <c r="AF2216" s="21"/>
    </row>
    <row r="2217" spans="24:32" x14ac:dyDescent="0.25">
      <c r="X2217" s="4"/>
      <c r="Y2217" s="4"/>
      <c r="Z2217" s="4"/>
      <c r="AA2217" s="4"/>
      <c r="AB2217" s="4"/>
      <c r="AC2217" s="7"/>
      <c r="AD2217" s="4"/>
      <c r="AE2217" s="4"/>
      <c r="AF2217" s="21"/>
    </row>
    <row r="2218" spans="24:32" x14ac:dyDescent="0.25">
      <c r="X2218" s="4"/>
      <c r="Y2218" s="4"/>
      <c r="Z2218" s="4"/>
      <c r="AA2218" s="4"/>
      <c r="AB2218" s="4"/>
      <c r="AC2218" s="7"/>
      <c r="AD2218" s="4"/>
      <c r="AE2218" s="4"/>
      <c r="AF2218" s="21"/>
    </row>
    <row r="2219" spans="24:32" x14ac:dyDescent="0.25">
      <c r="X2219" s="4"/>
      <c r="Y2219" s="4"/>
      <c r="Z2219" s="4"/>
      <c r="AA2219" s="4"/>
      <c r="AB2219" s="4"/>
      <c r="AC2219" s="7"/>
      <c r="AD2219" s="4"/>
      <c r="AE2219" s="4"/>
      <c r="AF2219" s="21"/>
    </row>
    <row r="2220" spans="24:32" x14ac:dyDescent="0.25">
      <c r="X2220" s="4"/>
      <c r="Y2220" s="4"/>
      <c r="Z2220" s="4"/>
      <c r="AA2220" s="4"/>
      <c r="AB2220" s="4"/>
      <c r="AC2220" s="7"/>
      <c r="AD2220" s="4"/>
      <c r="AE2220" s="4"/>
      <c r="AF2220" s="21"/>
    </row>
    <row r="2221" spans="24:32" x14ac:dyDescent="0.25">
      <c r="X2221" s="4"/>
      <c r="Y2221" s="4"/>
      <c r="Z2221" s="4"/>
      <c r="AA2221" s="4"/>
      <c r="AB2221" s="4"/>
      <c r="AC2221" s="7"/>
      <c r="AD2221" s="4"/>
      <c r="AE2221" s="4"/>
      <c r="AF2221" s="21"/>
    </row>
    <row r="2222" spans="24:32" x14ac:dyDescent="0.25">
      <c r="X2222" s="4"/>
      <c r="Y2222" s="4"/>
      <c r="Z2222" s="4"/>
      <c r="AA2222" s="4"/>
      <c r="AB2222" s="4"/>
      <c r="AC2222" s="7"/>
      <c r="AD2222" s="4"/>
      <c r="AE2222" s="4"/>
      <c r="AF2222" s="21"/>
    </row>
    <row r="2223" spans="24:32" x14ac:dyDescent="0.25">
      <c r="X2223" s="4"/>
      <c r="Y2223" s="4"/>
      <c r="Z2223" s="4"/>
      <c r="AA2223" s="4"/>
      <c r="AB2223" s="4"/>
      <c r="AC2223" s="7"/>
      <c r="AD2223" s="4"/>
      <c r="AE2223" s="4"/>
      <c r="AF2223" s="21"/>
    </row>
    <row r="2224" spans="24:32" x14ac:dyDescent="0.25">
      <c r="X2224" s="4"/>
      <c r="Y2224" s="4"/>
      <c r="Z2224" s="4"/>
      <c r="AA2224" s="4"/>
      <c r="AB2224" s="4"/>
      <c r="AC2224" s="7"/>
      <c r="AD2224" s="4"/>
      <c r="AE2224" s="4"/>
      <c r="AF2224" s="21"/>
    </row>
    <row r="2225" spans="24:32" x14ac:dyDescent="0.25">
      <c r="X2225" s="4"/>
      <c r="Y2225" s="4"/>
      <c r="Z2225" s="4"/>
      <c r="AA2225" s="4"/>
      <c r="AB2225" s="4"/>
      <c r="AC2225" s="7"/>
      <c r="AD2225" s="4"/>
      <c r="AE2225" s="4"/>
      <c r="AF2225" s="21"/>
    </row>
    <row r="2226" spans="24:32" x14ac:dyDescent="0.25">
      <c r="X2226" s="4"/>
      <c r="Y2226" s="4"/>
      <c r="Z2226" s="4"/>
      <c r="AA2226" s="4"/>
      <c r="AB2226" s="4"/>
      <c r="AC2226" s="7"/>
      <c r="AD2226" s="4"/>
      <c r="AE2226" s="4"/>
      <c r="AF2226" s="21"/>
    </row>
    <row r="2227" spans="24:32" x14ac:dyDescent="0.25">
      <c r="X2227" s="4"/>
      <c r="Y2227" s="4"/>
      <c r="Z2227" s="4"/>
      <c r="AA2227" s="4"/>
      <c r="AB2227" s="4"/>
      <c r="AC2227" s="7"/>
      <c r="AD2227" s="4"/>
      <c r="AE2227" s="4"/>
      <c r="AF2227" s="21"/>
    </row>
    <row r="2228" spans="24:32" x14ac:dyDescent="0.25">
      <c r="X2228" s="4"/>
      <c r="Y2228" s="4"/>
      <c r="Z2228" s="4"/>
      <c r="AA2228" s="4"/>
      <c r="AB2228" s="4"/>
      <c r="AC2228" s="7"/>
      <c r="AD2228" s="4"/>
      <c r="AE2228" s="4"/>
      <c r="AF2228" s="21"/>
    </row>
    <row r="2229" spans="24:32" x14ac:dyDescent="0.25">
      <c r="X2229" s="4"/>
      <c r="Y2229" s="4"/>
      <c r="Z2229" s="4"/>
      <c r="AA2229" s="4"/>
      <c r="AB2229" s="4"/>
      <c r="AC2229" s="7"/>
      <c r="AD2229" s="4"/>
      <c r="AE2229" s="4"/>
      <c r="AF2229" s="21"/>
    </row>
    <row r="2230" spans="24:32" x14ac:dyDescent="0.25">
      <c r="X2230" s="4"/>
      <c r="Y2230" s="4"/>
      <c r="Z2230" s="4"/>
      <c r="AA2230" s="4"/>
      <c r="AB2230" s="4"/>
      <c r="AC2230" s="7"/>
      <c r="AD2230" s="4"/>
      <c r="AE2230" s="4"/>
      <c r="AF2230" s="21"/>
    </row>
    <row r="2231" spans="24:32" x14ac:dyDescent="0.25">
      <c r="X2231" s="4"/>
      <c r="Y2231" s="4"/>
      <c r="Z2231" s="4"/>
      <c r="AA2231" s="4"/>
      <c r="AB2231" s="4"/>
      <c r="AC2231" s="7"/>
      <c r="AD2231" s="4"/>
      <c r="AE2231" s="4"/>
      <c r="AF2231" s="21"/>
    </row>
    <row r="2232" spans="24:32" x14ac:dyDescent="0.25">
      <c r="X2232" s="4"/>
      <c r="Y2232" s="4"/>
      <c r="Z2232" s="4"/>
      <c r="AA2232" s="4"/>
      <c r="AB2232" s="4"/>
      <c r="AC2232" s="7"/>
      <c r="AD2232" s="4"/>
      <c r="AE2232" s="4"/>
      <c r="AF2232" s="21"/>
    </row>
    <row r="2233" spans="24:32" x14ac:dyDescent="0.25">
      <c r="X2233" s="4"/>
      <c r="Y2233" s="4"/>
      <c r="Z2233" s="4"/>
      <c r="AA2233" s="4"/>
      <c r="AB2233" s="4"/>
      <c r="AC2233" s="7"/>
      <c r="AD2233" s="4"/>
      <c r="AE2233" s="4"/>
      <c r="AF2233" s="21"/>
    </row>
    <row r="2234" spans="24:32" x14ac:dyDescent="0.25">
      <c r="X2234" s="4"/>
      <c r="Y2234" s="4"/>
      <c r="Z2234" s="4"/>
      <c r="AA2234" s="4"/>
      <c r="AB2234" s="4"/>
      <c r="AC2234" s="7"/>
      <c r="AD2234" s="4"/>
      <c r="AE2234" s="4"/>
      <c r="AF2234" s="21"/>
    </row>
    <row r="2235" spans="24:32" x14ac:dyDescent="0.25">
      <c r="X2235" s="4"/>
      <c r="Y2235" s="4"/>
      <c r="Z2235" s="4"/>
      <c r="AA2235" s="4"/>
      <c r="AB2235" s="4"/>
      <c r="AC2235" s="7"/>
      <c r="AD2235" s="4"/>
      <c r="AE2235" s="4"/>
      <c r="AF2235" s="21"/>
    </row>
    <row r="2236" spans="24:32" x14ac:dyDescent="0.25">
      <c r="X2236" s="4"/>
      <c r="Y2236" s="4"/>
      <c r="Z2236" s="4"/>
      <c r="AA2236" s="4"/>
      <c r="AB2236" s="4"/>
      <c r="AC2236" s="7"/>
      <c r="AD2236" s="4"/>
      <c r="AE2236" s="4"/>
      <c r="AF2236" s="21"/>
    </row>
    <row r="2237" spans="24:32" x14ac:dyDescent="0.25">
      <c r="X2237" s="4"/>
      <c r="Y2237" s="4"/>
      <c r="Z2237" s="4"/>
      <c r="AA2237" s="4"/>
      <c r="AB2237" s="4"/>
      <c r="AC2237" s="7"/>
      <c r="AD2237" s="4"/>
      <c r="AE2237" s="4"/>
      <c r="AF2237" s="21"/>
    </row>
    <row r="2238" spans="24:32" x14ac:dyDescent="0.25">
      <c r="X2238" s="4"/>
      <c r="Y2238" s="4"/>
      <c r="Z2238" s="4"/>
      <c r="AA2238" s="4"/>
      <c r="AB2238" s="4"/>
      <c r="AC2238" s="7"/>
      <c r="AD2238" s="4"/>
      <c r="AE2238" s="4"/>
      <c r="AF2238" s="21"/>
    </row>
    <row r="2239" spans="24:32" x14ac:dyDescent="0.25">
      <c r="X2239" s="4"/>
      <c r="Y2239" s="4"/>
      <c r="Z2239" s="4"/>
      <c r="AA2239" s="4"/>
      <c r="AB2239" s="4"/>
      <c r="AC2239" s="7"/>
      <c r="AD2239" s="4"/>
      <c r="AE2239" s="4"/>
      <c r="AF2239" s="21"/>
    </row>
    <row r="2240" spans="24:32" x14ac:dyDescent="0.25">
      <c r="X2240" s="4"/>
      <c r="Y2240" s="4"/>
      <c r="Z2240" s="4"/>
      <c r="AA2240" s="4"/>
      <c r="AB2240" s="4"/>
      <c r="AC2240" s="7"/>
      <c r="AD2240" s="4"/>
      <c r="AE2240" s="4"/>
      <c r="AF2240" s="21"/>
    </row>
    <row r="2241" spans="24:32" x14ac:dyDescent="0.25">
      <c r="X2241" s="4"/>
      <c r="Y2241" s="4"/>
      <c r="Z2241" s="4"/>
      <c r="AA2241" s="4"/>
      <c r="AB2241" s="4"/>
      <c r="AC2241" s="7"/>
      <c r="AD2241" s="4"/>
      <c r="AE2241" s="4"/>
      <c r="AF2241" s="21"/>
    </row>
    <row r="2242" spans="24:32" x14ac:dyDescent="0.25">
      <c r="X2242" s="4"/>
      <c r="Y2242" s="4"/>
      <c r="Z2242" s="4"/>
      <c r="AA2242" s="4"/>
      <c r="AB2242" s="4"/>
      <c r="AC2242" s="7"/>
      <c r="AD2242" s="4"/>
      <c r="AE2242" s="4"/>
      <c r="AF2242" s="21"/>
    </row>
    <row r="2243" spans="24:32" x14ac:dyDescent="0.25">
      <c r="X2243" s="4"/>
      <c r="Y2243" s="4"/>
      <c r="Z2243" s="4"/>
      <c r="AA2243" s="4"/>
      <c r="AB2243" s="4"/>
      <c r="AC2243" s="7"/>
      <c r="AD2243" s="4"/>
      <c r="AE2243" s="4"/>
      <c r="AF2243" s="21"/>
    </row>
    <row r="2244" spans="24:32" x14ac:dyDescent="0.25">
      <c r="X2244" s="4"/>
      <c r="Y2244" s="4"/>
      <c r="Z2244" s="4"/>
      <c r="AA2244" s="4"/>
      <c r="AB2244" s="4"/>
      <c r="AC2244" s="7"/>
      <c r="AD2244" s="4"/>
      <c r="AE2244" s="4"/>
      <c r="AF2244" s="21"/>
    </row>
    <row r="2245" spans="24:32" x14ac:dyDescent="0.25">
      <c r="X2245" s="4"/>
      <c r="Y2245" s="4"/>
      <c r="Z2245" s="4"/>
      <c r="AA2245" s="4"/>
      <c r="AB2245" s="4"/>
      <c r="AC2245" s="7"/>
      <c r="AD2245" s="4"/>
      <c r="AE2245" s="4"/>
      <c r="AF2245" s="21"/>
    </row>
    <row r="2246" spans="24:32" x14ac:dyDescent="0.25">
      <c r="X2246" s="4"/>
      <c r="Y2246" s="4"/>
      <c r="Z2246" s="4"/>
      <c r="AA2246" s="4"/>
      <c r="AB2246" s="4"/>
      <c r="AC2246" s="7"/>
      <c r="AD2246" s="4"/>
      <c r="AE2246" s="4"/>
      <c r="AF2246" s="21"/>
    </row>
    <row r="2247" spans="24:32" x14ac:dyDescent="0.25">
      <c r="X2247" s="4"/>
      <c r="Y2247" s="4"/>
      <c r="Z2247" s="4"/>
      <c r="AA2247" s="4"/>
      <c r="AB2247" s="4"/>
      <c r="AC2247" s="7"/>
      <c r="AD2247" s="4"/>
      <c r="AE2247" s="4"/>
      <c r="AF2247" s="21"/>
    </row>
    <row r="2248" spans="24:32" x14ac:dyDescent="0.25">
      <c r="X2248" s="4"/>
      <c r="Y2248" s="4"/>
      <c r="Z2248" s="4"/>
      <c r="AA2248" s="4"/>
      <c r="AB2248" s="4"/>
      <c r="AC2248" s="7"/>
      <c r="AD2248" s="4"/>
      <c r="AE2248" s="4"/>
      <c r="AF2248" s="21"/>
    </row>
    <row r="2249" spans="24:32" x14ac:dyDescent="0.25">
      <c r="X2249" s="4"/>
      <c r="Y2249" s="4"/>
      <c r="Z2249" s="4"/>
      <c r="AA2249" s="4"/>
      <c r="AB2249" s="4"/>
      <c r="AC2249" s="7"/>
      <c r="AD2249" s="4"/>
      <c r="AE2249" s="4"/>
      <c r="AF2249" s="21"/>
    </row>
    <row r="2250" spans="24:32" x14ac:dyDescent="0.25">
      <c r="X2250" s="4"/>
      <c r="Y2250" s="4"/>
      <c r="Z2250" s="4"/>
      <c r="AA2250" s="4"/>
      <c r="AB2250" s="4"/>
      <c r="AC2250" s="7"/>
      <c r="AD2250" s="4"/>
      <c r="AE2250" s="4"/>
      <c r="AF2250" s="21"/>
    </row>
    <row r="2251" spans="24:32" x14ac:dyDescent="0.25">
      <c r="X2251" s="4"/>
      <c r="Y2251" s="4"/>
      <c r="Z2251" s="4"/>
      <c r="AA2251" s="4"/>
      <c r="AB2251" s="4"/>
      <c r="AC2251" s="7"/>
      <c r="AD2251" s="4"/>
      <c r="AE2251" s="4"/>
      <c r="AF2251" s="21"/>
    </row>
    <row r="2252" spans="24:32" x14ac:dyDescent="0.25">
      <c r="X2252" s="4"/>
      <c r="Y2252" s="4"/>
      <c r="Z2252" s="4"/>
      <c r="AA2252" s="4"/>
      <c r="AB2252" s="4"/>
      <c r="AC2252" s="7"/>
      <c r="AD2252" s="4"/>
      <c r="AE2252" s="4"/>
      <c r="AF2252" s="21"/>
    </row>
    <row r="2253" spans="24:32" x14ac:dyDescent="0.25">
      <c r="X2253" s="4"/>
      <c r="Y2253" s="4"/>
      <c r="Z2253" s="4"/>
      <c r="AA2253" s="4"/>
      <c r="AB2253" s="4"/>
      <c r="AC2253" s="7"/>
      <c r="AD2253" s="4"/>
      <c r="AE2253" s="4"/>
      <c r="AF2253" s="21"/>
    </row>
    <row r="2254" spans="24:32" x14ac:dyDescent="0.25">
      <c r="X2254" s="4"/>
      <c r="Y2254" s="4"/>
      <c r="Z2254" s="4"/>
      <c r="AA2254" s="4"/>
      <c r="AB2254" s="4"/>
      <c r="AC2254" s="7"/>
      <c r="AD2254" s="4"/>
      <c r="AE2254" s="4"/>
      <c r="AF2254" s="21"/>
    </row>
    <row r="2255" spans="24:32" x14ac:dyDescent="0.25">
      <c r="X2255" s="4"/>
      <c r="Y2255" s="4"/>
      <c r="Z2255" s="4"/>
      <c r="AA2255" s="4"/>
      <c r="AB2255" s="4"/>
      <c r="AC2255" s="7"/>
      <c r="AD2255" s="4"/>
      <c r="AE2255" s="4"/>
      <c r="AF2255" s="21"/>
    </row>
    <row r="2256" spans="24:32" x14ac:dyDescent="0.25">
      <c r="X2256" s="4"/>
      <c r="Y2256" s="4"/>
      <c r="Z2256" s="4"/>
      <c r="AA2256" s="4"/>
      <c r="AB2256" s="4"/>
      <c r="AC2256" s="7"/>
      <c r="AD2256" s="4"/>
      <c r="AE2256" s="4"/>
      <c r="AF2256" s="21"/>
    </row>
    <row r="2257" spans="24:32" x14ac:dyDescent="0.25">
      <c r="X2257" s="4"/>
      <c r="Y2257" s="4"/>
      <c r="Z2257" s="4"/>
      <c r="AA2257" s="4"/>
      <c r="AB2257" s="4"/>
      <c r="AC2257" s="7"/>
      <c r="AD2257" s="4"/>
      <c r="AE2257" s="4"/>
      <c r="AF2257" s="21"/>
    </row>
    <row r="2258" spans="24:32" x14ac:dyDescent="0.25">
      <c r="X2258" s="4"/>
      <c r="Y2258" s="4"/>
      <c r="Z2258" s="4"/>
      <c r="AA2258" s="4"/>
      <c r="AB2258" s="4"/>
      <c r="AC2258" s="7"/>
      <c r="AD2258" s="4"/>
      <c r="AE2258" s="4"/>
      <c r="AF2258" s="21"/>
    </row>
    <row r="2259" spans="24:32" x14ac:dyDescent="0.25">
      <c r="X2259" s="4"/>
      <c r="Y2259" s="4"/>
      <c r="Z2259" s="4"/>
      <c r="AA2259" s="4"/>
      <c r="AB2259" s="4"/>
      <c r="AC2259" s="7"/>
      <c r="AD2259" s="4"/>
      <c r="AE2259" s="4"/>
      <c r="AF2259" s="21"/>
    </row>
    <row r="2260" spans="24:32" x14ac:dyDescent="0.25">
      <c r="X2260" s="4"/>
      <c r="Y2260" s="4"/>
      <c r="Z2260" s="4"/>
      <c r="AA2260" s="4"/>
      <c r="AB2260" s="4"/>
      <c r="AC2260" s="7"/>
      <c r="AD2260" s="4"/>
      <c r="AE2260" s="4"/>
      <c r="AF2260" s="21"/>
    </row>
    <row r="2261" spans="24:32" x14ac:dyDescent="0.25">
      <c r="X2261" s="4"/>
      <c r="Y2261" s="4"/>
      <c r="Z2261" s="4"/>
      <c r="AA2261" s="4"/>
      <c r="AB2261" s="4"/>
      <c r="AC2261" s="7"/>
      <c r="AD2261" s="4"/>
      <c r="AE2261" s="4"/>
      <c r="AF2261" s="21"/>
    </row>
    <row r="2262" spans="24:32" x14ac:dyDescent="0.25">
      <c r="X2262" s="4"/>
      <c r="Y2262" s="4"/>
      <c r="Z2262" s="4"/>
      <c r="AA2262" s="4"/>
      <c r="AB2262" s="4"/>
      <c r="AC2262" s="7"/>
      <c r="AD2262" s="4"/>
      <c r="AE2262" s="4"/>
      <c r="AF2262" s="21"/>
    </row>
    <row r="2263" spans="24:32" x14ac:dyDescent="0.25">
      <c r="X2263" s="4"/>
      <c r="Y2263" s="4"/>
      <c r="Z2263" s="4"/>
      <c r="AA2263" s="4"/>
      <c r="AB2263" s="4"/>
      <c r="AC2263" s="7"/>
      <c r="AD2263" s="4"/>
      <c r="AE2263" s="4"/>
      <c r="AF2263" s="21"/>
    </row>
    <row r="2264" spans="24:32" x14ac:dyDescent="0.25">
      <c r="X2264" s="4"/>
      <c r="Y2264" s="4"/>
      <c r="Z2264" s="4"/>
      <c r="AA2264" s="4"/>
      <c r="AB2264" s="4"/>
      <c r="AC2264" s="7"/>
      <c r="AD2264" s="4"/>
      <c r="AE2264" s="4"/>
      <c r="AF2264" s="21"/>
    </row>
    <row r="2265" spans="24:32" x14ac:dyDescent="0.25">
      <c r="X2265" s="4"/>
      <c r="Y2265" s="4"/>
      <c r="Z2265" s="4"/>
      <c r="AA2265" s="4"/>
      <c r="AB2265" s="4"/>
      <c r="AC2265" s="7"/>
      <c r="AD2265" s="4"/>
      <c r="AE2265" s="4"/>
      <c r="AF2265" s="21"/>
    </row>
    <row r="2266" spans="24:32" x14ac:dyDescent="0.25">
      <c r="X2266" s="4"/>
      <c r="Y2266" s="4"/>
      <c r="Z2266" s="4"/>
      <c r="AA2266" s="4"/>
      <c r="AB2266" s="4"/>
      <c r="AC2266" s="7"/>
      <c r="AD2266" s="4"/>
      <c r="AE2266" s="4"/>
      <c r="AF2266" s="21"/>
    </row>
    <row r="2267" spans="24:32" x14ac:dyDescent="0.25">
      <c r="X2267" s="4"/>
      <c r="Y2267" s="4"/>
      <c r="Z2267" s="4"/>
      <c r="AA2267" s="4"/>
      <c r="AB2267" s="4"/>
      <c r="AC2267" s="7"/>
      <c r="AD2267" s="4"/>
      <c r="AE2267" s="4"/>
      <c r="AF2267" s="21"/>
    </row>
    <row r="2268" spans="24:32" x14ac:dyDescent="0.25">
      <c r="X2268" s="4"/>
      <c r="Y2268" s="4"/>
      <c r="Z2268" s="4"/>
      <c r="AA2268" s="4"/>
      <c r="AB2268" s="4"/>
      <c r="AC2268" s="7"/>
      <c r="AD2268" s="4"/>
      <c r="AE2268" s="4"/>
      <c r="AF2268" s="21"/>
    </row>
    <row r="2269" spans="24:32" x14ac:dyDescent="0.25">
      <c r="X2269" s="4"/>
      <c r="Y2269" s="4"/>
      <c r="Z2269" s="4"/>
      <c r="AA2269" s="4"/>
      <c r="AB2269" s="4"/>
      <c r="AC2269" s="7"/>
      <c r="AD2269" s="4"/>
      <c r="AE2269" s="4"/>
      <c r="AF2269" s="21"/>
    </row>
    <row r="2270" spans="24:32" x14ac:dyDescent="0.25">
      <c r="X2270" s="4"/>
      <c r="Y2270" s="4"/>
      <c r="Z2270" s="4"/>
      <c r="AA2270" s="4"/>
      <c r="AB2270" s="4"/>
      <c r="AC2270" s="7"/>
      <c r="AD2270" s="4"/>
      <c r="AE2270" s="4"/>
      <c r="AF2270" s="21"/>
    </row>
    <row r="2271" spans="24:32" x14ac:dyDescent="0.25">
      <c r="X2271" s="4"/>
      <c r="Y2271" s="4"/>
      <c r="Z2271" s="4"/>
      <c r="AA2271" s="4"/>
      <c r="AB2271" s="4"/>
      <c r="AC2271" s="7"/>
      <c r="AD2271" s="4"/>
      <c r="AE2271" s="4"/>
      <c r="AF2271" s="21"/>
    </row>
    <row r="2272" spans="24:32" x14ac:dyDescent="0.25">
      <c r="X2272" s="4"/>
      <c r="Y2272" s="4"/>
      <c r="Z2272" s="4"/>
      <c r="AA2272" s="4"/>
      <c r="AB2272" s="4"/>
      <c r="AC2272" s="7"/>
      <c r="AD2272" s="4"/>
      <c r="AE2272" s="4"/>
      <c r="AF2272" s="21"/>
    </row>
    <row r="2273" spans="24:32" x14ac:dyDescent="0.25">
      <c r="X2273" s="4"/>
      <c r="Y2273" s="4"/>
      <c r="Z2273" s="4"/>
      <c r="AA2273" s="4"/>
      <c r="AB2273" s="4"/>
      <c r="AC2273" s="7"/>
      <c r="AD2273" s="4"/>
      <c r="AE2273" s="4"/>
      <c r="AF2273" s="21"/>
    </row>
    <row r="2274" spans="24:32" x14ac:dyDescent="0.25">
      <c r="X2274" s="4"/>
      <c r="Y2274" s="4"/>
      <c r="Z2274" s="4"/>
      <c r="AA2274" s="4"/>
      <c r="AB2274" s="4"/>
      <c r="AC2274" s="7"/>
      <c r="AD2274" s="4"/>
      <c r="AE2274" s="4"/>
      <c r="AF2274" s="21"/>
    </row>
    <row r="2275" spans="24:32" x14ac:dyDescent="0.25">
      <c r="X2275" s="4"/>
      <c r="Y2275" s="4"/>
      <c r="Z2275" s="4"/>
      <c r="AA2275" s="4"/>
      <c r="AB2275" s="4"/>
      <c r="AC2275" s="7"/>
      <c r="AD2275" s="4"/>
      <c r="AE2275" s="4"/>
      <c r="AF2275" s="21"/>
    </row>
    <row r="2276" spans="24:32" x14ac:dyDescent="0.25">
      <c r="X2276" s="4"/>
      <c r="Y2276" s="4"/>
      <c r="Z2276" s="4"/>
      <c r="AA2276" s="4"/>
      <c r="AB2276" s="4"/>
      <c r="AC2276" s="7"/>
      <c r="AD2276" s="4"/>
      <c r="AE2276" s="4"/>
      <c r="AF2276" s="21"/>
    </row>
    <row r="2277" spans="24:32" x14ac:dyDescent="0.25">
      <c r="X2277" s="4"/>
      <c r="Y2277" s="4"/>
      <c r="Z2277" s="4"/>
      <c r="AA2277" s="4"/>
      <c r="AB2277" s="4"/>
      <c r="AC2277" s="7"/>
      <c r="AD2277" s="4"/>
      <c r="AE2277" s="4"/>
      <c r="AF2277" s="21"/>
    </row>
    <row r="2278" spans="24:32" x14ac:dyDescent="0.25">
      <c r="X2278" s="4"/>
      <c r="Y2278" s="4"/>
      <c r="Z2278" s="4"/>
      <c r="AA2278" s="4"/>
      <c r="AB2278" s="4"/>
      <c r="AC2278" s="7"/>
      <c r="AD2278" s="4"/>
      <c r="AE2278" s="4"/>
      <c r="AF2278" s="21"/>
    </row>
    <row r="2279" spans="24:32" x14ac:dyDescent="0.25">
      <c r="X2279" s="4"/>
      <c r="Y2279" s="4"/>
      <c r="Z2279" s="4"/>
      <c r="AA2279" s="4"/>
      <c r="AB2279" s="4"/>
      <c r="AC2279" s="7"/>
      <c r="AD2279" s="4"/>
      <c r="AE2279" s="4"/>
      <c r="AF2279" s="21"/>
    </row>
    <row r="2280" spans="24:32" x14ac:dyDescent="0.25">
      <c r="X2280" s="4"/>
      <c r="Y2280" s="4"/>
      <c r="Z2280" s="4"/>
      <c r="AA2280" s="4"/>
      <c r="AB2280" s="4"/>
      <c r="AC2280" s="7"/>
      <c r="AD2280" s="4"/>
      <c r="AE2280" s="4"/>
      <c r="AF2280" s="21"/>
    </row>
    <row r="2281" spans="24:32" x14ac:dyDescent="0.25">
      <c r="X2281" s="4"/>
      <c r="Y2281" s="4"/>
      <c r="Z2281" s="4"/>
      <c r="AA2281" s="4"/>
      <c r="AB2281" s="4"/>
      <c r="AC2281" s="7"/>
      <c r="AD2281" s="4"/>
      <c r="AE2281" s="4"/>
      <c r="AF2281" s="21"/>
    </row>
    <row r="2282" spans="24:32" x14ac:dyDescent="0.25">
      <c r="X2282" s="4"/>
      <c r="Y2282" s="4"/>
      <c r="Z2282" s="4"/>
      <c r="AA2282" s="4"/>
      <c r="AB2282" s="4"/>
      <c r="AC2282" s="7"/>
      <c r="AD2282" s="4"/>
      <c r="AE2282" s="4"/>
      <c r="AF2282" s="21"/>
    </row>
    <row r="2283" spans="24:32" x14ac:dyDescent="0.25">
      <c r="X2283" s="4"/>
      <c r="Y2283" s="4"/>
      <c r="Z2283" s="4"/>
      <c r="AA2283" s="4"/>
      <c r="AB2283" s="4"/>
      <c r="AC2283" s="7"/>
      <c r="AD2283" s="4"/>
      <c r="AE2283" s="4"/>
      <c r="AF2283" s="21"/>
    </row>
    <row r="2284" spans="24:32" x14ac:dyDescent="0.25">
      <c r="X2284" s="4"/>
      <c r="Y2284" s="4"/>
      <c r="Z2284" s="4"/>
      <c r="AA2284" s="4"/>
      <c r="AB2284" s="4"/>
      <c r="AC2284" s="7"/>
      <c r="AD2284" s="4"/>
      <c r="AE2284" s="4"/>
      <c r="AF2284" s="21"/>
    </row>
    <row r="2285" spans="24:32" x14ac:dyDescent="0.25">
      <c r="X2285" s="4"/>
      <c r="Y2285" s="4"/>
      <c r="Z2285" s="4"/>
      <c r="AA2285" s="4"/>
      <c r="AB2285" s="4"/>
      <c r="AC2285" s="7"/>
      <c r="AD2285" s="4"/>
      <c r="AE2285" s="4"/>
      <c r="AF2285" s="21"/>
    </row>
    <row r="2286" spans="24:32" x14ac:dyDescent="0.25">
      <c r="X2286" s="4"/>
      <c r="Y2286" s="4"/>
      <c r="Z2286" s="4"/>
      <c r="AA2286" s="4"/>
      <c r="AB2286" s="4"/>
      <c r="AC2286" s="7"/>
      <c r="AD2286" s="4"/>
      <c r="AE2286" s="4"/>
      <c r="AF2286" s="21"/>
    </row>
    <row r="2287" spans="24:32" x14ac:dyDescent="0.25">
      <c r="X2287" s="4"/>
      <c r="Y2287" s="4"/>
      <c r="Z2287" s="4"/>
      <c r="AA2287" s="4"/>
      <c r="AB2287" s="4"/>
      <c r="AC2287" s="7"/>
      <c r="AD2287" s="4"/>
      <c r="AE2287" s="4"/>
      <c r="AF2287" s="21"/>
    </row>
    <row r="2288" spans="24:32" x14ac:dyDescent="0.25">
      <c r="X2288" s="4"/>
      <c r="Y2288" s="4"/>
      <c r="Z2288" s="4"/>
      <c r="AA2288" s="4"/>
      <c r="AB2288" s="4"/>
      <c r="AC2288" s="7"/>
      <c r="AD2288" s="4"/>
      <c r="AE2288" s="4"/>
      <c r="AF2288" s="21"/>
    </row>
    <row r="2289" spans="24:32" x14ac:dyDescent="0.25">
      <c r="X2289" s="4"/>
      <c r="Y2289" s="4"/>
      <c r="Z2289" s="4"/>
      <c r="AA2289" s="4"/>
      <c r="AB2289" s="4"/>
      <c r="AC2289" s="7"/>
      <c r="AD2289" s="4"/>
      <c r="AE2289" s="4"/>
      <c r="AF2289" s="21"/>
    </row>
    <row r="2290" spans="24:32" x14ac:dyDescent="0.25">
      <c r="X2290" s="4"/>
      <c r="Y2290" s="4"/>
      <c r="Z2290" s="4"/>
      <c r="AA2290" s="4"/>
      <c r="AB2290" s="4"/>
      <c r="AC2290" s="7"/>
      <c r="AD2290" s="4"/>
      <c r="AE2290" s="4"/>
      <c r="AF2290" s="21"/>
    </row>
    <row r="2291" spans="24:32" x14ac:dyDescent="0.25">
      <c r="X2291" s="4"/>
      <c r="Y2291" s="4"/>
      <c r="Z2291" s="4"/>
      <c r="AA2291" s="4"/>
      <c r="AB2291" s="4"/>
      <c r="AC2291" s="7"/>
      <c r="AD2291" s="4"/>
      <c r="AE2291" s="4"/>
      <c r="AF2291" s="21"/>
    </row>
    <row r="2292" spans="24:32" x14ac:dyDescent="0.25">
      <c r="X2292" s="4"/>
      <c r="Y2292" s="4"/>
      <c r="Z2292" s="4"/>
      <c r="AA2292" s="4"/>
      <c r="AB2292" s="4"/>
      <c r="AC2292" s="7"/>
      <c r="AD2292" s="4"/>
      <c r="AE2292" s="4"/>
      <c r="AF2292" s="21"/>
    </row>
    <row r="2293" spans="24:32" x14ac:dyDescent="0.25">
      <c r="X2293" s="4"/>
      <c r="Y2293" s="4"/>
      <c r="Z2293" s="4"/>
      <c r="AA2293" s="4"/>
      <c r="AB2293" s="4"/>
      <c r="AC2293" s="7"/>
      <c r="AD2293" s="4"/>
      <c r="AE2293" s="4"/>
      <c r="AF2293" s="21"/>
    </row>
    <row r="2294" spans="24:32" x14ac:dyDescent="0.25">
      <c r="X2294" s="4"/>
      <c r="Y2294" s="4"/>
      <c r="Z2294" s="4"/>
      <c r="AA2294" s="4"/>
      <c r="AB2294" s="4"/>
      <c r="AC2294" s="7"/>
      <c r="AD2294" s="4"/>
      <c r="AE2294" s="4"/>
      <c r="AF2294" s="21"/>
    </row>
    <row r="2295" spans="24:32" x14ac:dyDescent="0.25">
      <c r="X2295" s="4"/>
      <c r="Y2295" s="4"/>
      <c r="Z2295" s="4"/>
      <c r="AA2295" s="4"/>
      <c r="AB2295" s="4"/>
      <c r="AC2295" s="7"/>
      <c r="AD2295" s="4"/>
      <c r="AE2295" s="4"/>
      <c r="AF2295" s="21"/>
    </row>
    <row r="2296" spans="24:32" x14ac:dyDescent="0.25">
      <c r="X2296" s="4"/>
      <c r="Y2296" s="4"/>
      <c r="Z2296" s="4"/>
      <c r="AA2296" s="4"/>
      <c r="AB2296" s="4"/>
      <c r="AC2296" s="7"/>
      <c r="AD2296" s="4"/>
      <c r="AE2296" s="4"/>
      <c r="AF2296" s="21"/>
    </row>
    <row r="2297" spans="24:32" x14ac:dyDescent="0.25">
      <c r="X2297" s="4"/>
      <c r="Y2297" s="4"/>
      <c r="Z2297" s="4"/>
      <c r="AA2297" s="4"/>
      <c r="AB2297" s="4"/>
      <c r="AC2297" s="7"/>
      <c r="AD2297" s="4"/>
      <c r="AE2297" s="4"/>
      <c r="AF2297" s="21"/>
    </row>
    <row r="2298" spans="24:32" x14ac:dyDescent="0.25">
      <c r="X2298" s="4"/>
      <c r="Y2298" s="4"/>
      <c r="Z2298" s="4"/>
      <c r="AA2298" s="4"/>
      <c r="AB2298" s="4"/>
      <c r="AC2298" s="7"/>
      <c r="AD2298" s="4"/>
      <c r="AE2298" s="4"/>
      <c r="AF2298" s="21"/>
    </row>
    <row r="2299" spans="24:32" x14ac:dyDescent="0.25">
      <c r="X2299" s="4"/>
      <c r="Y2299" s="4"/>
      <c r="Z2299" s="4"/>
      <c r="AA2299" s="4"/>
      <c r="AB2299" s="4"/>
      <c r="AC2299" s="7"/>
      <c r="AD2299" s="4"/>
      <c r="AE2299" s="4"/>
      <c r="AF2299" s="21"/>
    </row>
    <row r="2300" spans="24:32" x14ac:dyDescent="0.25">
      <c r="X2300" s="4"/>
      <c r="Y2300" s="4"/>
      <c r="Z2300" s="4"/>
      <c r="AA2300" s="4"/>
      <c r="AB2300" s="4"/>
      <c r="AC2300" s="7"/>
      <c r="AD2300" s="4"/>
      <c r="AE2300" s="4"/>
      <c r="AF2300" s="21"/>
    </row>
    <row r="2301" spans="24:32" x14ac:dyDescent="0.25">
      <c r="X2301" s="4"/>
      <c r="Y2301" s="4"/>
      <c r="Z2301" s="4"/>
      <c r="AA2301" s="4"/>
      <c r="AB2301" s="4"/>
      <c r="AC2301" s="7"/>
      <c r="AD2301" s="4"/>
      <c r="AE2301" s="4"/>
      <c r="AF2301" s="21"/>
    </row>
    <row r="2302" spans="24:32" x14ac:dyDescent="0.25">
      <c r="X2302" s="4"/>
      <c r="Y2302" s="4"/>
      <c r="Z2302" s="4"/>
      <c r="AA2302" s="4"/>
      <c r="AB2302" s="4"/>
      <c r="AC2302" s="7"/>
      <c r="AD2302" s="4"/>
      <c r="AE2302" s="4"/>
      <c r="AF2302" s="21"/>
    </row>
    <row r="2303" spans="24:32" x14ac:dyDescent="0.25">
      <c r="X2303" s="4"/>
      <c r="Y2303" s="4"/>
      <c r="Z2303" s="4"/>
      <c r="AA2303" s="4"/>
      <c r="AB2303" s="4"/>
      <c r="AC2303" s="7"/>
      <c r="AD2303" s="4"/>
      <c r="AE2303" s="4"/>
      <c r="AF2303" s="21"/>
    </row>
    <row r="2304" spans="24:32" x14ac:dyDescent="0.25">
      <c r="X2304" s="4"/>
      <c r="Y2304" s="4"/>
      <c r="Z2304" s="4"/>
      <c r="AA2304" s="4"/>
      <c r="AB2304" s="4"/>
      <c r="AC2304" s="7"/>
      <c r="AD2304" s="4"/>
      <c r="AE2304" s="4"/>
      <c r="AF2304" s="21"/>
    </row>
    <row r="2305" spans="24:32" x14ac:dyDescent="0.25">
      <c r="X2305" s="4"/>
      <c r="Y2305" s="4"/>
      <c r="Z2305" s="4"/>
      <c r="AA2305" s="4"/>
      <c r="AB2305" s="4"/>
      <c r="AC2305" s="7"/>
      <c r="AD2305" s="4"/>
      <c r="AE2305" s="4"/>
      <c r="AF2305" s="21"/>
    </row>
    <row r="2306" spans="24:32" x14ac:dyDescent="0.25">
      <c r="X2306" s="4"/>
      <c r="Y2306" s="4"/>
      <c r="Z2306" s="4"/>
      <c r="AA2306" s="4"/>
      <c r="AB2306" s="4"/>
      <c r="AC2306" s="7"/>
      <c r="AD2306" s="4"/>
      <c r="AE2306" s="4"/>
      <c r="AF2306" s="21"/>
    </row>
    <row r="2307" spans="24:32" x14ac:dyDescent="0.25">
      <c r="X2307" s="4"/>
      <c r="Y2307" s="4"/>
      <c r="Z2307" s="4"/>
      <c r="AA2307" s="4"/>
      <c r="AB2307" s="4"/>
      <c r="AC2307" s="7"/>
      <c r="AD2307" s="4"/>
      <c r="AE2307" s="4"/>
      <c r="AF2307" s="21"/>
    </row>
    <row r="2308" spans="24:32" x14ac:dyDescent="0.25">
      <c r="X2308" s="4"/>
      <c r="Y2308" s="4"/>
      <c r="Z2308" s="4"/>
      <c r="AA2308" s="4"/>
      <c r="AB2308" s="4"/>
      <c r="AC2308" s="7"/>
      <c r="AD2308" s="4"/>
      <c r="AE2308" s="4"/>
      <c r="AF2308" s="21"/>
    </row>
    <row r="2309" spans="24:32" x14ac:dyDescent="0.25">
      <c r="X2309" s="4"/>
      <c r="Y2309" s="4"/>
      <c r="Z2309" s="4"/>
      <c r="AA2309" s="4"/>
      <c r="AB2309" s="4"/>
      <c r="AC2309" s="7"/>
      <c r="AD2309" s="4"/>
      <c r="AE2309" s="4"/>
      <c r="AF2309" s="21"/>
    </row>
    <row r="2310" spans="24:32" x14ac:dyDescent="0.25">
      <c r="X2310" s="4"/>
      <c r="Y2310" s="4"/>
      <c r="Z2310" s="4"/>
      <c r="AA2310" s="4"/>
      <c r="AB2310" s="4"/>
      <c r="AC2310" s="7"/>
      <c r="AD2310" s="4"/>
      <c r="AE2310" s="4"/>
      <c r="AF2310" s="21"/>
    </row>
    <row r="2311" spans="24:32" x14ac:dyDescent="0.25">
      <c r="X2311" s="4"/>
      <c r="Y2311" s="4"/>
      <c r="Z2311" s="4"/>
      <c r="AA2311" s="4"/>
      <c r="AB2311" s="4"/>
      <c r="AC2311" s="7"/>
      <c r="AD2311" s="4"/>
      <c r="AE2311" s="4"/>
      <c r="AF2311" s="21"/>
    </row>
    <row r="2312" spans="24:32" x14ac:dyDescent="0.25">
      <c r="X2312" s="4"/>
      <c r="Y2312" s="4"/>
      <c r="Z2312" s="4"/>
      <c r="AA2312" s="4"/>
      <c r="AB2312" s="4"/>
      <c r="AC2312" s="7"/>
      <c r="AD2312" s="4"/>
      <c r="AE2312" s="4"/>
      <c r="AF2312" s="21"/>
    </row>
    <row r="2313" spans="24:32" x14ac:dyDescent="0.25">
      <c r="X2313" s="4"/>
      <c r="Y2313" s="4"/>
      <c r="Z2313" s="4"/>
      <c r="AA2313" s="4"/>
      <c r="AB2313" s="4"/>
      <c r="AC2313" s="7"/>
      <c r="AD2313" s="4"/>
      <c r="AE2313" s="4"/>
      <c r="AF2313" s="21"/>
    </row>
    <row r="2314" spans="24:32" x14ac:dyDescent="0.25">
      <c r="X2314" s="4"/>
      <c r="Y2314" s="4"/>
      <c r="Z2314" s="4"/>
      <c r="AA2314" s="4"/>
      <c r="AB2314" s="4"/>
      <c r="AC2314" s="7"/>
      <c r="AD2314" s="4"/>
      <c r="AE2314" s="4"/>
      <c r="AF2314" s="21"/>
    </row>
    <row r="2315" spans="24:32" x14ac:dyDescent="0.25">
      <c r="X2315" s="4"/>
      <c r="Y2315" s="4"/>
      <c r="Z2315" s="4"/>
      <c r="AA2315" s="4"/>
      <c r="AB2315" s="4"/>
      <c r="AC2315" s="7"/>
      <c r="AD2315" s="4"/>
      <c r="AE2315" s="4"/>
      <c r="AF2315" s="21"/>
    </row>
    <row r="2316" spans="24:32" x14ac:dyDescent="0.25">
      <c r="X2316" s="4"/>
      <c r="Y2316" s="4"/>
      <c r="Z2316" s="4"/>
      <c r="AA2316" s="4"/>
      <c r="AB2316" s="4"/>
      <c r="AC2316" s="7"/>
      <c r="AD2316" s="4"/>
      <c r="AE2316" s="4"/>
      <c r="AF2316" s="21"/>
    </row>
    <row r="2317" spans="24:32" x14ac:dyDescent="0.25">
      <c r="X2317" s="4"/>
      <c r="Y2317" s="4"/>
      <c r="Z2317" s="4"/>
      <c r="AA2317" s="4"/>
      <c r="AB2317" s="4"/>
      <c r="AC2317" s="7"/>
      <c r="AD2317" s="4"/>
      <c r="AE2317" s="4"/>
      <c r="AF2317" s="21"/>
    </row>
    <row r="2318" spans="24:32" x14ac:dyDescent="0.25">
      <c r="X2318" s="4"/>
      <c r="Y2318" s="4"/>
      <c r="Z2318" s="4"/>
      <c r="AA2318" s="4"/>
      <c r="AB2318" s="4"/>
      <c r="AC2318" s="7"/>
      <c r="AD2318" s="4"/>
      <c r="AE2318" s="4"/>
      <c r="AF2318" s="21"/>
    </row>
    <row r="2319" spans="24:32" x14ac:dyDescent="0.25">
      <c r="X2319" s="4"/>
      <c r="Y2319" s="4"/>
      <c r="Z2319" s="4"/>
      <c r="AA2319" s="4"/>
      <c r="AB2319" s="4"/>
      <c r="AC2319" s="7"/>
      <c r="AD2319" s="4"/>
      <c r="AE2319" s="4"/>
      <c r="AF2319" s="21"/>
    </row>
    <row r="2320" spans="24:32" x14ac:dyDescent="0.25">
      <c r="X2320" s="4"/>
      <c r="Y2320" s="4"/>
      <c r="Z2320" s="4"/>
      <c r="AA2320" s="4"/>
      <c r="AB2320" s="4"/>
      <c r="AC2320" s="7"/>
      <c r="AD2320" s="4"/>
      <c r="AE2320" s="4"/>
      <c r="AF2320" s="21"/>
    </row>
    <row r="2321" spans="24:32" x14ac:dyDescent="0.25">
      <c r="X2321" s="4"/>
      <c r="Y2321" s="4"/>
      <c r="Z2321" s="4"/>
      <c r="AA2321" s="4"/>
      <c r="AB2321" s="4"/>
      <c r="AC2321" s="7"/>
      <c r="AD2321" s="4"/>
      <c r="AE2321" s="4"/>
      <c r="AF2321" s="21"/>
    </row>
    <row r="2322" spans="24:32" x14ac:dyDescent="0.25">
      <c r="X2322" s="4"/>
      <c r="Y2322" s="4"/>
      <c r="Z2322" s="4"/>
      <c r="AA2322" s="4"/>
      <c r="AB2322" s="4"/>
      <c r="AC2322" s="7"/>
      <c r="AD2322" s="4"/>
      <c r="AE2322" s="4"/>
      <c r="AF2322" s="21"/>
    </row>
    <row r="2323" spans="24:32" x14ac:dyDescent="0.25">
      <c r="X2323" s="4"/>
      <c r="Y2323" s="4"/>
      <c r="Z2323" s="4"/>
      <c r="AA2323" s="4"/>
      <c r="AB2323" s="4"/>
      <c r="AC2323" s="7"/>
      <c r="AD2323" s="4"/>
      <c r="AE2323" s="4"/>
      <c r="AF2323" s="21"/>
    </row>
    <row r="2324" spans="24:32" x14ac:dyDescent="0.25">
      <c r="X2324" s="4"/>
      <c r="Y2324" s="4"/>
      <c r="Z2324" s="4"/>
      <c r="AA2324" s="4"/>
      <c r="AB2324" s="4"/>
      <c r="AC2324" s="7"/>
      <c r="AD2324" s="4"/>
      <c r="AE2324" s="4"/>
      <c r="AF2324" s="21"/>
    </row>
    <row r="2325" spans="24:32" x14ac:dyDescent="0.25">
      <c r="X2325" s="4"/>
      <c r="Y2325" s="4"/>
      <c r="Z2325" s="4"/>
      <c r="AA2325" s="4"/>
      <c r="AB2325" s="4"/>
      <c r="AC2325" s="7"/>
      <c r="AD2325" s="4"/>
      <c r="AE2325" s="4"/>
      <c r="AF2325" s="21"/>
    </row>
    <row r="2326" spans="24:32" x14ac:dyDescent="0.25">
      <c r="X2326" s="4"/>
      <c r="Y2326" s="4"/>
      <c r="Z2326" s="4"/>
      <c r="AA2326" s="4"/>
      <c r="AB2326" s="4"/>
      <c r="AC2326" s="7"/>
      <c r="AD2326" s="4"/>
      <c r="AE2326" s="4"/>
      <c r="AF2326" s="21"/>
    </row>
    <row r="2327" spans="24:32" x14ac:dyDescent="0.25">
      <c r="X2327" s="4"/>
      <c r="Y2327" s="4"/>
      <c r="Z2327" s="4"/>
      <c r="AA2327" s="4"/>
      <c r="AB2327" s="4"/>
      <c r="AC2327" s="7"/>
      <c r="AD2327" s="4"/>
      <c r="AE2327" s="4"/>
      <c r="AF2327" s="21"/>
    </row>
    <row r="2328" spans="24:32" x14ac:dyDescent="0.25">
      <c r="X2328" s="4"/>
      <c r="Y2328" s="4"/>
      <c r="Z2328" s="4"/>
      <c r="AA2328" s="4"/>
      <c r="AB2328" s="4"/>
      <c r="AC2328" s="7"/>
      <c r="AD2328" s="4"/>
      <c r="AE2328" s="4"/>
      <c r="AF2328" s="21"/>
    </row>
    <row r="2329" spans="24:32" x14ac:dyDescent="0.25">
      <c r="X2329" s="4"/>
      <c r="Y2329" s="4"/>
      <c r="Z2329" s="4"/>
      <c r="AA2329" s="4"/>
      <c r="AB2329" s="4"/>
      <c r="AC2329" s="7"/>
      <c r="AD2329" s="4"/>
      <c r="AE2329" s="4"/>
      <c r="AF2329" s="21"/>
    </row>
    <row r="2330" spans="24:32" x14ac:dyDescent="0.25">
      <c r="X2330" s="4"/>
      <c r="Y2330" s="4"/>
      <c r="Z2330" s="4"/>
      <c r="AA2330" s="4"/>
      <c r="AB2330" s="4"/>
      <c r="AC2330" s="7"/>
      <c r="AD2330" s="4"/>
      <c r="AE2330" s="4"/>
      <c r="AF2330" s="21"/>
    </row>
    <row r="2331" spans="24:32" x14ac:dyDescent="0.25">
      <c r="X2331" s="4"/>
      <c r="Y2331" s="4"/>
      <c r="Z2331" s="4"/>
      <c r="AA2331" s="4"/>
      <c r="AB2331" s="4"/>
      <c r="AC2331" s="7"/>
      <c r="AD2331" s="4"/>
      <c r="AE2331" s="4"/>
      <c r="AF2331" s="21"/>
    </row>
    <row r="2332" spans="24:32" x14ac:dyDescent="0.25">
      <c r="X2332" s="4"/>
      <c r="Y2332" s="4"/>
      <c r="Z2332" s="4"/>
      <c r="AA2332" s="4"/>
      <c r="AB2332" s="4"/>
      <c r="AC2332" s="7"/>
      <c r="AD2332" s="4"/>
      <c r="AE2332" s="4"/>
      <c r="AF2332" s="21"/>
    </row>
    <row r="2333" spans="24:32" x14ac:dyDescent="0.25">
      <c r="X2333" s="4"/>
      <c r="Y2333" s="4"/>
      <c r="Z2333" s="4"/>
      <c r="AA2333" s="4"/>
      <c r="AB2333" s="4"/>
      <c r="AC2333" s="7"/>
      <c r="AD2333" s="4"/>
      <c r="AE2333" s="4"/>
      <c r="AF2333" s="21"/>
    </row>
    <row r="2334" spans="24:32" x14ac:dyDescent="0.25">
      <c r="X2334" s="4"/>
      <c r="Y2334" s="4"/>
      <c r="Z2334" s="4"/>
      <c r="AA2334" s="4"/>
      <c r="AB2334" s="4"/>
      <c r="AC2334" s="7"/>
      <c r="AD2334" s="4"/>
      <c r="AE2334" s="4"/>
      <c r="AF2334" s="21"/>
    </row>
    <row r="2335" spans="24:32" x14ac:dyDescent="0.25">
      <c r="X2335" s="4"/>
      <c r="Y2335" s="4"/>
      <c r="Z2335" s="4"/>
      <c r="AA2335" s="4"/>
      <c r="AB2335" s="4"/>
      <c r="AC2335" s="7"/>
      <c r="AD2335" s="4"/>
      <c r="AE2335" s="4"/>
      <c r="AF2335" s="21"/>
    </row>
    <row r="2336" spans="24:32" x14ac:dyDescent="0.25">
      <c r="X2336" s="4"/>
      <c r="Y2336" s="4"/>
      <c r="Z2336" s="4"/>
      <c r="AA2336" s="4"/>
      <c r="AB2336" s="4"/>
      <c r="AC2336" s="7"/>
      <c r="AD2336" s="4"/>
      <c r="AE2336" s="4"/>
      <c r="AF2336" s="21"/>
    </row>
    <row r="2337" spans="24:32" x14ac:dyDescent="0.25">
      <c r="X2337" s="4"/>
      <c r="Y2337" s="4"/>
      <c r="Z2337" s="4"/>
      <c r="AA2337" s="4"/>
      <c r="AB2337" s="4"/>
      <c r="AC2337" s="7"/>
      <c r="AD2337" s="4"/>
      <c r="AE2337" s="4"/>
      <c r="AF2337" s="21"/>
    </row>
    <row r="2338" spans="24:32" x14ac:dyDescent="0.25">
      <c r="X2338" s="4"/>
      <c r="Y2338" s="4"/>
      <c r="Z2338" s="4"/>
      <c r="AA2338" s="4"/>
      <c r="AB2338" s="4"/>
      <c r="AC2338" s="7"/>
      <c r="AD2338" s="4"/>
      <c r="AE2338" s="4"/>
      <c r="AF2338" s="21"/>
    </row>
    <row r="2339" spans="24:32" x14ac:dyDescent="0.25">
      <c r="X2339" s="4"/>
      <c r="Y2339" s="4"/>
      <c r="Z2339" s="4"/>
      <c r="AA2339" s="4"/>
      <c r="AB2339" s="4"/>
      <c r="AC2339" s="7"/>
      <c r="AD2339" s="4"/>
      <c r="AE2339" s="4"/>
      <c r="AF2339" s="21"/>
    </row>
    <row r="2340" spans="24:32" x14ac:dyDescent="0.25">
      <c r="X2340" s="4"/>
      <c r="Y2340" s="4"/>
      <c r="Z2340" s="4"/>
      <c r="AA2340" s="4"/>
      <c r="AB2340" s="4"/>
      <c r="AC2340" s="7"/>
      <c r="AD2340" s="4"/>
      <c r="AE2340" s="4"/>
      <c r="AF2340" s="21"/>
    </row>
    <row r="2341" spans="24:32" x14ac:dyDescent="0.25">
      <c r="X2341" s="4"/>
      <c r="Y2341" s="4"/>
      <c r="Z2341" s="4"/>
      <c r="AA2341" s="4"/>
      <c r="AB2341" s="4"/>
      <c r="AC2341" s="7"/>
      <c r="AD2341" s="4"/>
      <c r="AE2341" s="4"/>
      <c r="AF2341" s="21"/>
    </row>
    <row r="2342" spans="24:32" x14ac:dyDescent="0.25">
      <c r="X2342" s="4"/>
      <c r="Y2342" s="4"/>
      <c r="Z2342" s="4"/>
      <c r="AA2342" s="4"/>
      <c r="AB2342" s="4"/>
      <c r="AC2342" s="7"/>
      <c r="AD2342" s="4"/>
      <c r="AE2342" s="4"/>
      <c r="AF2342" s="21"/>
    </row>
    <row r="2343" spans="24:32" x14ac:dyDescent="0.25">
      <c r="X2343" s="4"/>
      <c r="Y2343" s="4"/>
      <c r="Z2343" s="4"/>
      <c r="AA2343" s="4"/>
      <c r="AB2343" s="4"/>
      <c r="AC2343" s="7"/>
      <c r="AD2343" s="4"/>
      <c r="AE2343" s="4"/>
      <c r="AF2343" s="21"/>
    </row>
    <row r="2344" spans="24:32" x14ac:dyDescent="0.25">
      <c r="X2344" s="4"/>
      <c r="Y2344" s="4"/>
      <c r="Z2344" s="4"/>
      <c r="AA2344" s="4"/>
      <c r="AB2344" s="4"/>
      <c r="AC2344" s="7"/>
      <c r="AD2344" s="4"/>
      <c r="AE2344" s="4"/>
      <c r="AF2344" s="21"/>
    </row>
    <row r="2345" spans="24:32" x14ac:dyDescent="0.25">
      <c r="X2345" s="4"/>
      <c r="Y2345" s="4"/>
      <c r="Z2345" s="4"/>
      <c r="AA2345" s="4"/>
      <c r="AB2345" s="4"/>
      <c r="AC2345" s="7"/>
      <c r="AD2345" s="4"/>
      <c r="AE2345" s="4"/>
      <c r="AF2345" s="21"/>
    </row>
    <row r="2346" spans="24:32" x14ac:dyDescent="0.25">
      <c r="X2346" s="4"/>
      <c r="Y2346" s="4"/>
      <c r="Z2346" s="4"/>
      <c r="AA2346" s="4"/>
      <c r="AB2346" s="4"/>
      <c r="AC2346" s="7"/>
      <c r="AD2346" s="4"/>
      <c r="AE2346" s="4"/>
      <c r="AF2346" s="21"/>
    </row>
    <row r="2347" spans="24:32" x14ac:dyDescent="0.25">
      <c r="X2347" s="4"/>
      <c r="Y2347" s="4"/>
      <c r="Z2347" s="4"/>
      <c r="AA2347" s="4"/>
      <c r="AB2347" s="4"/>
      <c r="AC2347" s="7"/>
      <c r="AD2347" s="4"/>
      <c r="AE2347" s="4"/>
      <c r="AF2347" s="21"/>
    </row>
    <row r="2348" spans="24:32" x14ac:dyDescent="0.25">
      <c r="X2348" s="4"/>
      <c r="Y2348" s="4"/>
      <c r="Z2348" s="4"/>
      <c r="AA2348" s="4"/>
      <c r="AB2348" s="4"/>
      <c r="AC2348" s="7"/>
      <c r="AD2348" s="4"/>
      <c r="AE2348" s="4"/>
      <c r="AF2348" s="21"/>
    </row>
    <row r="2349" spans="24:32" x14ac:dyDescent="0.25">
      <c r="X2349" s="4"/>
      <c r="Y2349" s="4"/>
      <c r="Z2349" s="4"/>
      <c r="AA2349" s="4"/>
      <c r="AB2349" s="4"/>
      <c r="AC2349" s="7"/>
      <c r="AD2349" s="4"/>
      <c r="AE2349" s="4"/>
      <c r="AF2349" s="21"/>
    </row>
    <row r="2350" spans="24:32" x14ac:dyDescent="0.25">
      <c r="X2350" s="4"/>
      <c r="Y2350" s="4"/>
      <c r="Z2350" s="4"/>
      <c r="AA2350" s="4"/>
      <c r="AB2350" s="4"/>
      <c r="AC2350" s="7"/>
      <c r="AD2350" s="4"/>
      <c r="AE2350" s="4"/>
      <c r="AF2350" s="21"/>
    </row>
    <row r="2351" spans="24:32" x14ac:dyDescent="0.25">
      <c r="X2351" s="4"/>
      <c r="Y2351" s="4"/>
      <c r="Z2351" s="4"/>
      <c r="AA2351" s="4"/>
      <c r="AB2351" s="4"/>
      <c r="AC2351" s="7"/>
      <c r="AD2351" s="4"/>
      <c r="AE2351" s="4"/>
      <c r="AF2351" s="21"/>
    </row>
    <row r="2352" spans="24:32" x14ac:dyDescent="0.25">
      <c r="X2352" s="4"/>
      <c r="Y2352" s="4"/>
      <c r="Z2352" s="4"/>
      <c r="AA2352" s="4"/>
      <c r="AB2352" s="4"/>
      <c r="AC2352" s="7"/>
      <c r="AD2352" s="4"/>
      <c r="AE2352" s="4"/>
      <c r="AF2352" s="21"/>
    </row>
    <row r="2353" spans="24:32" x14ac:dyDescent="0.25">
      <c r="X2353" s="4"/>
      <c r="Y2353" s="4"/>
      <c r="Z2353" s="4"/>
      <c r="AA2353" s="4"/>
      <c r="AB2353" s="4"/>
      <c r="AC2353" s="7"/>
      <c r="AD2353" s="4"/>
      <c r="AE2353" s="4"/>
      <c r="AF2353" s="21"/>
    </row>
    <row r="2354" spans="24:32" x14ac:dyDescent="0.25">
      <c r="X2354" s="4"/>
      <c r="Y2354" s="4"/>
      <c r="Z2354" s="4"/>
      <c r="AA2354" s="4"/>
      <c r="AB2354" s="4"/>
      <c r="AC2354" s="7"/>
      <c r="AD2354" s="4"/>
      <c r="AE2354" s="4"/>
      <c r="AF2354" s="21"/>
    </row>
    <row r="2355" spans="24:32" x14ac:dyDescent="0.25">
      <c r="X2355" s="4"/>
      <c r="Y2355" s="4"/>
      <c r="Z2355" s="4"/>
      <c r="AA2355" s="4"/>
      <c r="AB2355" s="4"/>
      <c r="AC2355" s="7"/>
      <c r="AD2355" s="4"/>
      <c r="AE2355" s="4"/>
      <c r="AF2355" s="21"/>
    </row>
    <row r="2356" spans="24:32" x14ac:dyDescent="0.25">
      <c r="X2356" s="4"/>
      <c r="Y2356" s="4"/>
      <c r="Z2356" s="4"/>
      <c r="AA2356" s="4"/>
      <c r="AB2356" s="4"/>
      <c r="AC2356" s="7"/>
      <c r="AD2356" s="4"/>
      <c r="AE2356" s="4"/>
      <c r="AF2356" s="21"/>
    </row>
    <row r="2357" spans="24:32" x14ac:dyDescent="0.25">
      <c r="X2357" s="4"/>
      <c r="Y2357" s="4"/>
      <c r="Z2357" s="4"/>
      <c r="AA2357" s="4"/>
      <c r="AB2357" s="4"/>
      <c r="AC2357" s="7"/>
      <c r="AD2357" s="4"/>
      <c r="AE2357" s="4"/>
      <c r="AF2357" s="21"/>
    </row>
    <row r="2358" spans="24:32" x14ac:dyDescent="0.25">
      <c r="X2358" s="4"/>
      <c r="Y2358" s="4"/>
      <c r="Z2358" s="4"/>
      <c r="AA2358" s="4"/>
      <c r="AB2358" s="4"/>
      <c r="AC2358" s="7"/>
      <c r="AD2358" s="4"/>
      <c r="AE2358" s="4"/>
      <c r="AF2358" s="21"/>
    </row>
    <row r="2359" spans="24:32" x14ac:dyDescent="0.25">
      <c r="X2359" s="4"/>
      <c r="Y2359" s="4"/>
      <c r="Z2359" s="4"/>
      <c r="AA2359" s="4"/>
      <c r="AB2359" s="4"/>
      <c r="AC2359" s="7"/>
      <c r="AD2359" s="4"/>
      <c r="AE2359" s="4"/>
      <c r="AF2359" s="21"/>
    </row>
    <row r="2360" spans="24:32" x14ac:dyDescent="0.25">
      <c r="X2360" s="4"/>
      <c r="Y2360" s="4"/>
      <c r="Z2360" s="4"/>
      <c r="AA2360" s="4"/>
      <c r="AB2360" s="4"/>
      <c r="AC2360" s="7"/>
      <c r="AD2360" s="4"/>
      <c r="AE2360" s="4"/>
      <c r="AF2360" s="21"/>
    </row>
    <row r="2361" spans="24:32" x14ac:dyDescent="0.25">
      <c r="X2361" s="4"/>
      <c r="Y2361" s="4"/>
      <c r="Z2361" s="4"/>
      <c r="AA2361" s="4"/>
      <c r="AB2361" s="4"/>
      <c r="AC2361" s="7"/>
      <c r="AD2361" s="4"/>
      <c r="AE2361" s="4"/>
      <c r="AF2361" s="21"/>
    </row>
    <row r="2362" spans="24:32" x14ac:dyDescent="0.25">
      <c r="X2362" s="4"/>
      <c r="Y2362" s="4"/>
      <c r="Z2362" s="4"/>
      <c r="AA2362" s="4"/>
      <c r="AB2362" s="4"/>
      <c r="AC2362" s="7"/>
      <c r="AD2362" s="4"/>
      <c r="AE2362" s="4"/>
      <c r="AF2362" s="21"/>
    </row>
    <row r="2363" spans="24:32" x14ac:dyDescent="0.25">
      <c r="X2363" s="4"/>
      <c r="Y2363" s="4"/>
      <c r="Z2363" s="4"/>
      <c r="AA2363" s="4"/>
      <c r="AB2363" s="4"/>
      <c r="AC2363" s="7"/>
      <c r="AD2363" s="4"/>
      <c r="AE2363" s="4"/>
      <c r="AF2363" s="21"/>
    </row>
    <row r="2364" spans="24:32" x14ac:dyDescent="0.25">
      <c r="X2364" s="4"/>
      <c r="Y2364" s="4"/>
      <c r="Z2364" s="4"/>
      <c r="AA2364" s="4"/>
      <c r="AB2364" s="4"/>
      <c r="AC2364" s="7"/>
      <c r="AD2364" s="4"/>
      <c r="AE2364" s="4"/>
      <c r="AF2364" s="21"/>
    </row>
    <row r="2365" spans="24:32" x14ac:dyDescent="0.25">
      <c r="X2365" s="4"/>
      <c r="Y2365" s="4"/>
      <c r="Z2365" s="4"/>
      <c r="AA2365" s="4"/>
      <c r="AB2365" s="4"/>
      <c r="AC2365" s="7"/>
      <c r="AD2365" s="4"/>
      <c r="AE2365" s="4"/>
      <c r="AF2365" s="21"/>
    </row>
    <row r="2366" spans="24:32" x14ac:dyDescent="0.25">
      <c r="X2366" s="4"/>
      <c r="Y2366" s="4"/>
      <c r="Z2366" s="4"/>
      <c r="AA2366" s="4"/>
      <c r="AB2366" s="4"/>
      <c r="AC2366" s="7"/>
      <c r="AD2366" s="4"/>
      <c r="AE2366" s="4"/>
      <c r="AF2366" s="21"/>
    </row>
    <row r="2367" spans="24:32" x14ac:dyDescent="0.25">
      <c r="X2367" s="4"/>
      <c r="Y2367" s="4"/>
      <c r="Z2367" s="4"/>
      <c r="AA2367" s="4"/>
      <c r="AB2367" s="4"/>
      <c r="AC2367" s="7"/>
      <c r="AD2367" s="4"/>
      <c r="AE2367" s="4"/>
      <c r="AF2367" s="21"/>
    </row>
    <row r="2368" spans="24:32" x14ac:dyDescent="0.25">
      <c r="X2368" s="4"/>
      <c r="Y2368" s="4"/>
      <c r="Z2368" s="4"/>
      <c r="AA2368" s="4"/>
      <c r="AB2368" s="4"/>
      <c r="AC2368" s="7"/>
      <c r="AD2368" s="4"/>
      <c r="AE2368" s="4"/>
      <c r="AF2368" s="21"/>
    </row>
    <row r="2369" spans="24:32" x14ac:dyDescent="0.25">
      <c r="X2369" s="4"/>
      <c r="Y2369" s="4"/>
      <c r="Z2369" s="4"/>
      <c r="AA2369" s="4"/>
      <c r="AB2369" s="4"/>
      <c r="AC2369" s="7"/>
      <c r="AD2369" s="4"/>
      <c r="AE2369" s="4"/>
      <c r="AF2369" s="21"/>
    </row>
    <row r="2370" spans="24:32" x14ac:dyDescent="0.25">
      <c r="X2370" s="4"/>
      <c r="Y2370" s="4"/>
      <c r="Z2370" s="4"/>
      <c r="AA2370" s="4"/>
      <c r="AB2370" s="4"/>
      <c r="AC2370" s="7"/>
      <c r="AD2370" s="4"/>
      <c r="AE2370" s="4"/>
      <c r="AF2370" s="21"/>
    </row>
    <row r="2371" spans="24:32" x14ac:dyDescent="0.25">
      <c r="X2371" s="4"/>
      <c r="Y2371" s="4"/>
      <c r="Z2371" s="4"/>
      <c r="AA2371" s="4"/>
      <c r="AB2371" s="4"/>
      <c r="AC2371" s="7"/>
      <c r="AD2371" s="4"/>
      <c r="AE2371" s="4"/>
      <c r="AF2371" s="21"/>
    </row>
    <row r="2372" spans="24:32" x14ac:dyDescent="0.25">
      <c r="X2372" s="4"/>
      <c r="Y2372" s="4"/>
      <c r="Z2372" s="4"/>
      <c r="AA2372" s="4"/>
      <c r="AB2372" s="4"/>
      <c r="AC2372" s="7"/>
      <c r="AD2372" s="4"/>
      <c r="AE2372" s="4"/>
      <c r="AF2372" s="21"/>
    </row>
    <row r="2373" spans="24:32" x14ac:dyDescent="0.25">
      <c r="X2373" s="4"/>
      <c r="Y2373" s="4"/>
      <c r="Z2373" s="4"/>
      <c r="AA2373" s="4"/>
      <c r="AB2373" s="4"/>
      <c r="AC2373" s="7"/>
      <c r="AD2373" s="4"/>
      <c r="AE2373" s="4"/>
      <c r="AF2373" s="21"/>
    </row>
    <row r="2374" spans="24:32" x14ac:dyDescent="0.25">
      <c r="X2374" s="4"/>
      <c r="Y2374" s="4"/>
      <c r="Z2374" s="4"/>
      <c r="AA2374" s="4"/>
      <c r="AB2374" s="4"/>
      <c r="AC2374" s="7"/>
      <c r="AD2374" s="4"/>
      <c r="AE2374" s="4"/>
      <c r="AF2374" s="21"/>
    </row>
    <row r="2375" spans="24:32" x14ac:dyDescent="0.25">
      <c r="X2375" s="4"/>
      <c r="Y2375" s="4"/>
      <c r="Z2375" s="4"/>
      <c r="AA2375" s="4"/>
      <c r="AB2375" s="4"/>
      <c r="AC2375" s="7"/>
      <c r="AD2375" s="4"/>
      <c r="AE2375" s="4"/>
      <c r="AF2375" s="21"/>
    </row>
    <row r="2376" spans="24:32" x14ac:dyDescent="0.25">
      <c r="X2376" s="4"/>
      <c r="Y2376" s="4"/>
      <c r="Z2376" s="4"/>
      <c r="AA2376" s="4"/>
      <c r="AB2376" s="4"/>
      <c r="AC2376" s="7"/>
      <c r="AD2376" s="4"/>
      <c r="AE2376" s="4"/>
      <c r="AF2376" s="21"/>
    </row>
    <row r="2377" spans="24:32" x14ac:dyDescent="0.25">
      <c r="X2377" s="4"/>
      <c r="Y2377" s="4"/>
      <c r="Z2377" s="4"/>
      <c r="AA2377" s="4"/>
      <c r="AB2377" s="4"/>
      <c r="AC2377" s="7"/>
      <c r="AD2377" s="4"/>
      <c r="AE2377" s="4"/>
      <c r="AF2377" s="21"/>
    </row>
    <row r="2378" spans="24:32" x14ac:dyDescent="0.25">
      <c r="X2378" s="4"/>
      <c r="Y2378" s="4"/>
      <c r="Z2378" s="4"/>
      <c r="AA2378" s="4"/>
      <c r="AB2378" s="4"/>
      <c r="AC2378" s="7"/>
      <c r="AD2378" s="4"/>
      <c r="AE2378" s="4"/>
      <c r="AF2378" s="21"/>
    </row>
    <row r="2379" spans="24:32" x14ac:dyDescent="0.25">
      <c r="X2379" s="4"/>
      <c r="Y2379" s="4"/>
      <c r="Z2379" s="4"/>
      <c r="AA2379" s="4"/>
      <c r="AB2379" s="4"/>
      <c r="AC2379" s="7"/>
      <c r="AD2379" s="4"/>
      <c r="AE2379" s="4"/>
      <c r="AF2379" s="21"/>
    </row>
    <row r="2380" spans="24:32" x14ac:dyDescent="0.25">
      <c r="X2380" s="4"/>
      <c r="Y2380" s="4"/>
      <c r="Z2380" s="4"/>
      <c r="AA2380" s="4"/>
      <c r="AB2380" s="4"/>
      <c r="AC2380" s="7"/>
      <c r="AD2380" s="4"/>
      <c r="AE2380" s="4"/>
      <c r="AF2380" s="21"/>
    </row>
    <row r="2381" spans="24:32" x14ac:dyDescent="0.25">
      <c r="X2381" s="4"/>
      <c r="Y2381" s="4"/>
      <c r="Z2381" s="4"/>
      <c r="AA2381" s="4"/>
      <c r="AB2381" s="4"/>
      <c r="AC2381" s="7"/>
      <c r="AD2381" s="4"/>
      <c r="AE2381" s="4"/>
      <c r="AF2381" s="21"/>
    </row>
    <row r="2382" spans="24:32" x14ac:dyDescent="0.25">
      <c r="X2382" s="4"/>
      <c r="Y2382" s="4"/>
      <c r="Z2382" s="4"/>
      <c r="AA2382" s="4"/>
      <c r="AB2382" s="4"/>
      <c r="AC2382" s="7"/>
      <c r="AD2382" s="4"/>
      <c r="AE2382" s="4"/>
      <c r="AF2382" s="21"/>
    </row>
    <row r="2383" spans="24:32" x14ac:dyDescent="0.25">
      <c r="X2383" s="4"/>
      <c r="Y2383" s="4"/>
      <c r="Z2383" s="4"/>
      <c r="AA2383" s="4"/>
      <c r="AB2383" s="4"/>
      <c r="AC2383" s="7"/>
      <c r="AD2383" s="4"/>
      <c r="AE2383" s="4"/>
      <c r="AF2383" s="21"/>
    </row>
    <row r="2384" spans="24:32" x14ac:dyDescent="0.25">
      <c r="X2384" s="4"/>
      <c r="Y2384" s="4"/>
      <c r="Z2384" s="4"/>
      <c r="AA2384" s="4"/>
      <c r="AB2384" s="4"/>
      <c r="AC2384" s="7"/>
      <c r="AD2384" s="4"/>
      <c r="AE2384" s="4"/>
      <c r="AF2384" s="21"/>
    </row>
    <row r="2385" spans="24:32" x14ac:dyDescent="0.25">
      <c r="X2385" s="4"/>
      <c r="Y2385" s="4"/>
      <c r="Z2385" s="4"/>
      <c r="AA2385" s="4"/>
      <c r="AB2385" s="4"/>
      <c r="AC2385" s="7"/>
      <c r="AD2385" s="4"/>
      <c r="AE2385" s="4"/>
      <c r="AF2385" s="21"/>
    </row>
    <row r="2386" spans="24:32" x14ac:dyDescent="0.25">
      <c r="X2386" s="4"/>
      <c r="Y2386" s="4"/>
      <c r="Z2386" s="4"/>
      <c r="AA2386" s="4"/>
      <c r="AB2386" s="4"/>
      <c r="AC2386" s="7"/>
      <c r="AD2386" s="4"/>
      <c r="AE2386" s="4"/>
      <c r="AF2386" s="21"/>
    </row>
    <row r="2387" spans="24:32" x14ac:dyDescent="0.25">
      <c r="X2387" s="4"/>
      <c r="Y2387" s="4"/>
      <c r="Z2387" s="4"/>
      <c r="AA2387" s="4"/>
      <c r="AB2387" s="4"/>
      <c r="AC2387" s="7"/>
      <c r="AD2387" s="4"/>
      <c r="AE2387" s="4"/>
      <c r="AF2387" s="21"/>
    </row>
    <row r="2388" spans="24:32" x14ac:dyDescent="0.25">
      <c r="X2388" s="4"/>
      <c r="Y2388" s="4"/>
      <c r="Z2388" s="4"/>
      <c r="AA2388" s="4"/>
      <c r="AB2388" s="4"/>
      <c r="AC2388" s="7"/>
      <c r="AD2388" s="4"/>
      <c r="AE2388" s="4"/>
      <c r="AF2388" s="21"/>
    </row>
    <row r="2389" spans="24:32" x14ac:dyDescent="0.25">
      <c r="X2389" s="4"/>
      <c r="Y2389" s="4"/>
      <c r="Z2389" s="4"/>
      <c r="AA2389" s="4"/>
      <c r="AB2389" s="4"/>
      <c r="AC2389" s="7"/>
      <c r="AD2389" s="4"/>
      <c r="AE2389" s="4"/>
      <c r="AF2389" s="21"/>
    </row>
    <row r="2390" spans="24:32" x14ac:dyDescent="0.25">
      <c r="X2390" s="4"/>
      <c r="Y2390" s="4"/>
      <c r="Z2390" s="4"/>
      <c r="AA2390" s="4"/>
      <c r="AB2390" s="4"/>
      <c r="AC2390" s="7"/>
      <c r="AD2390" s="4"/>
      <c r="AE2390" s="4"/>
      <c r="AF2390" s="21"/>
    </row>
    <row r="2391" spans="24:32" x14ac:dyDescent="0.25">
      <c r="X2391" s="4"/>
      <c r="Y2391" s="4"/>
      <c r="Z2391" s="4"/>
      <c r="AA2391" s="4"/>
      <c r="AB2391" s="4"/>
      <c r="AC2391" s="7"/>
      <c r="AD2391" s="4"/>
      <c r="AE2391" s="4"/>
      <c r="AF2391" s="21"/>
    </row>
    <row r="2392" spans="24:32" x14ac:dyDescent="0.25">
      <c r="X2392" s="4"/>
      <c r="Y2392" s="4"/>
      <c r="Z2392" s="4"/>
      <c r="AA2392" s="4"/>
      <c r="AB2392" s="4"/>
      <c r="AC2392" s="7"/>
      <c r="AD2392" s="4"/>
      <c r="AE2392" s="4"/>
      <c r="AF2392" s="21"/>
    </row>
    <row r="2393" spans="24:32" x14ac:dyDescent="0.25">
      <c r="X2393" s="4"/>
      <c r="Y2393" s="4"/>
      <c r="Z2393" s="4"/>
      <c r="AA2393" s="4"/>
      <c r="AB2393" s="4"/>
      <c r="AC2393" s="7"/>
      <c r="AD2393" s="4"/>
      <c r="AE2393" s="4"/>
      <c r="AF2393" s="21"/>
    </row>
    <row r="2394" spans="24:32" x14ac:dyDescent="0.25">
      <c r="X2394" s="4"/>
      <c r="Y2394" s="4"/>
      <c r="Z2394" s="4"/>
      <c r="AA2394" s="4"/>
      <c r="AB2394" s="4"/>
      <c r="AC2394" s="7"/>
      <c r="AD2394" s="4"/>
      <c r="AE2394" s="4"/>
      <c r="AF2394" s="21"/>
    </row>
    <row r="2395" spans="24:32" x14ac:dyDescent="0.25">
      <c r="X2395" s="4"/>
      <c r="Y2395" s="4"/>
      <c r="Z2395" s="4"/>
      <c r="AA2395" s="4"/>
      <c r="AB2395" s="4"/>
      <c r="AC2395" s="7"/>
      <c r="AD2395" s="4"/>
      <c r="AE2395" s="4"/>
      <c r="AF2395" s="21"/>
    </row>
    <row r="2396" spans="24:32" x14ac:dyDescent="0.25">
      <c r="X2396" s="4"/>
      <c r="Y2396" s="4"/>
      <c r="Z2396" s="4"/>
      <c r="AA2396" s="4"/>
      <c r="AB2396" s="4"/>
      <c r="AC2396" s="7"/>
      <c r="AD2396" s="4"/>
      <c r="AE2396" s="4"/>
      <c r="AF2396" s="21"/>
    </row>
    <row r="2397" spans="24:32" x14ac:dyDescent="0.25">
      <c r="X2397" s="4"/>
      <c r="Y2397" s="4"/>
      <c r="Z2397" s="4"/>
      <c r="AA2397" s="4"/>
      <c r="AB2397" s="4"/>
      <c r="AC2397" s="7"/>
      <c r="AD2397" s="4"/>
      <c r="AE2397" s="4"/>
      <c r="AF2397" s="21"/>
    </row>
    <row r="2398" spans="24:32" x14ac:dyDescent="0.25">
      <c r="X2398" s="4"/>
      <c r="Y2398" s="4"/>
      <c r="Z2398" s="4"/>
      <c r="AA2398" s="4"/>
      <c r="AB2398" s="4"/>
      <c r="AC2398" s="7"/>
      <c r="AD2398" s="4"/>
      <c r="AE2398" s="4"/>
      <c r="AF2398" s="21"/>
    </row>
    <row r="2399" spans="24:32" x14ac:dyDescent="0.25">
      <c r="X2399" s="4"/>
      <c r="Y2399" s="4"/>
      <c r="Z2399" s="4"/>
      <c r="AA2399" s="4"/>
      <c r="AB2399" s="4"/>
      <c r="AC2399" s="7"/>
      <c r="AD2399" s="4"/>
      <c r="AE2399" s="4"/>
      <c r="AF2399" s="21"/>
    </row>
    <row r="2400" spans="24:32" x14ac:dyDescent="0.25">
      <c r="X2400" s="4"/>
      <c r="Y2400" s="4"/>
      <c r="Z2400" s="4"/>
      <c r="AA2400" s="4"/>
      <c r="AB2400" s="4"/>
      <c r="AC2400" s="7"/>
      <c r="AD2400" s="4"/>
      <c r="AE2400" s="4"/>
      <c r="AF2400" s="21"/>
    </row>
    <row r="2401" spans="24:32" x14ac:dyDescent="0.25">
      <c r="X2401" s="4"/>
      <c r="Y2401" s="4"/>
      <c r="Z2401" s="4"/>
      <c r="AA2401" s="4"/>
      <c r="AB2401" s="4"/>
      <c r="AC2401" s="7"/>
      <c r="AD2401" s="4"/>
      <c r="AE2401" s="4"/>
      <c r="AF2401" s="21"/>
    </row>
    <row r="2402" spans="24:32" x14ac:dyDescent="0.25">
      <c r="X2402" s="4"/>
      <c r="Y2402" s="4"/>
      <c r="Z2402" s="4"/>
      <c r="AA2402" s="4"/>
      <c r="AB2402" s="4"/>
      <c r="AC2402" s="7"/>
      <c r="AD2402" s="4"/>
      <c r="AE2402" s="4"/>
      <c r="AF2402" s="21"/>
    </row>
    <row r="2403" spans="24:32" x14ac:dyDescent="0.25">
      <c r="X2403" s="4"/>
      <c r="Y2403" s="4"/>
      <c r="Z2403" s="4"/>
      <c r="AA2403" s="4"/>
      <c r="AB2403" s="4"/>
      <c r="AC2403" s="7"/>
      <c r="AD2403" s="4"/>
      <c r="AE2403" s="4"/>
      <c r="AF2403" s="21"/>
    </row>
    <row r="2404" spans="24:32" x14ac:dyDescent="0.25">
      <c r="X2404" s="4"/>
      <c r="Y2404" s="4"/>
      <c r="Z2404" s="4"/>
      <c r="AA2404" s="4"/>
      <c r="AB2404" s="4"/>
      <c r="AC2404" s="7"/>
      <c r="AD2404" s="4"/>
      <c r="AE2404" s="4"/>
      <c r="AF2404" s="21"/>
    </row>
    <row r="2405" spans="24:32" x14ac:dyDescent="0.25">
      <c r="X2405" s="4"/>
      <c r="Y2405" s="4"/>
      <c r="Z2405" s="4"/>
      <c r="AA2405" s="4"/>
      <c r="AB2405" s="4"/>
      <c r="AC2405" s="7"/>
      <c r="AD2405" s="4"/>
      <c r="AE2405" s="4"/>
      <c r="AF2405" s="21"/>
    </row>
    <row r="2406" spans="24:32" x14ac:dyDescent="0.25">
      <c r="X2406" s="4"/>
      <c r="Y2406" s="4"/>
      <c r="Z2406" s="4"/>
      <c r="AA2406" s="4"/>
      <c r="AB2406" s="4"/>
      <c r="AC2406" s="7"/>
      <c r="AD2406" s="4"/>
      <c r="AE2406" s="4"/>
      <c r="AF2406" s="21"/>
    </row>
    <row r="2407" spans="24:32" x14ac:dyDescent="0.25">
      <c r="X2407" s="4"/>
      <c r="Y2407" s="4"/>
      <c r="Z2407" s="4"/>
      <c r="AA2407" s="4"/>
      <c r="AB2407" s="4"/>
      <c r="AC2407" s="7"/>
      <c r="AD2407" s="4"/>
      <c r="AE2407" s="4"/>
      <c r="AF2407" s="21"/>
    </row>
    <row r="2408" spans="24:32" x14ac:dyDescent="0.25">
      <c r="X2408" s="4"/>
      <c r="Y2408" s="4"/>
      <c r="Z2408" s="4"/>
      <c r="AA2408" s="4"/>
      <c r="AB2408" s="4"/>
      <c r="AC2408" s="7"/>
      <c r="AD2408" s="4"/>
      <c r="AE2408" s="4"/>
      <c r="AF2408" s="21"/>
    </row>
    <row r="2409" spans="24:32" x14ac:dyDescent="0.25">
      <c r="X2409" s="4"/>
      <c r="Y2409" s="4"/>
      <c r="Z2409" s="4"/>
      <c r="AA2409" s="4"/>
      <c r="AB2409" s="4"/>
      <c r="AC2409" s="7"/>
      <c r="AD2409" s="4"/>
      <c r="AE2409" s="4"/>
      <c r="AF2409" s="21"/>
    </row>
    <row r="2410" spans="24:32" x14ac:dyDescent="0.25">
      <c r="X2410" s="4"/>
      <c r="Y2410" s="4"/>
      <c r="Z2410" s="4"/>
      <c r="AA2410" s="4"/>
      <c r="AB2410" s="4"/>
      <c r="AC2410" s="7"/>
      <c r="AD2410" s="4"/>
      <c r="AE2410" s="4"/>
      <c r="AF2410" s="21"/>
    </row>
    <row r="2411" spans="24:32" x14ac:dyDescent="0.25">
      <c r="X2411" s="4"/>
      <c r="Y2411" s="4"/>
      <c r="Z2411" s="4"/>
      <c r="AA2411" s="4"/>
      <c r="AB2411" s="4"/>
      <c r="AC2411" s="7"/>
      <c r="AD2411" s="4"/>
      <c r="AE2411" s="4"/>
      <c r="AF2411" s="21"/>
    </row>
    <row r="2412" spans="24:32" x14ac:dyDescent="0.25">
      <c r="X2412" s="4"/>
      <c r="Y2412" s="4"/>
      <c r="Z2412" s="4"/>
      <c r="AA2412" s="4"/>
      <c r="AB2412" s="4"/>
      <c r="AC2412" s="7"/>
      <c r="AD2412" s="4"/>
      <c r="AE2412" s="4"/>
      <c r="AF2412" s="21"/>
    </row>
    <row r="2413" spans="24:32" x14ac:dyDescent="0.25">
      <c r="X2413" s="4"/>
      <c r="Y2413" s="4"/>
      <c r="Z2413" s="4"/>
      <c r="AA2413" s="4"/>
      <c r="AB2413" s="4"/>
      <c r="AC2413" s="7"/>
      <c r="AD2413" s="4"/>
      <c r="AE2413" s="4"/>
      <c r="AF2413" s="21"/>
    </row>
    <row r="2414" spans="24:32" x14ac:dyDescent="0.25">
      <c r="X2414" s="4"/>
      <c r="Y2414" s="4"/>
      <c r="Z2414" s="4"/>
      <c r="AA2414" s="4"/>
      <c r="AB2414" s="4"/>
      <c r="AC2414" s="7"/>
      <c r="AD2414" s="4"/>
      <c r="AE2414" s="4"/>
      <c r="AF2414" s="21"/>
    </row>
    <row r="2415" spans="24:32" x14ac:dyDescent="0.25">
      <c r="X2415" s="4"/>
      <c r="Y2415" s="4"/>
      <c r="Z2415" s="4"/>
      <c r="AA2415" s="4"/>
      <c r="AB2415" s="4"/>
      <c r="AC2415" s="7"/>
      <c r="AD2415" s="4"/>
      <c r="AE2415" s="4"/>
      <c r="AF2415" s="21"/>
    </row>
    <row r="2416" spans="24:32" x14ac:dyDescent="0.25">
      <c r="X2416" s="4"/>
      <c r="Y2416" s="4"/>
      <c r="Z2416" s="4"/>
      <c r="AA2416" s="4"/>
      <c r="AB2416" s="4"/>
      <c r="AC2416" s="7"/>
      <c r="AD2416" s="4"/>
      <c r="AE2416" s="4"/>
      <c r="AF2416" s="21"/>
    </row>
    <row r="2417" spans="24:32" x14ac:dyDescent="0.25">
      <c r="X2417" s="4"/>
      <c r="Y2417" s="4"/>
      <c r="Z2417" s="4"/>
      <c r="AA2417" s="4"/>
      <c r="AB2417" s="4"/>
      <c r="AC2417" s="7"/>
      <c r="AD2417" s="4"/>
      <c r="AE2417" s="4"/>
      <c r="AF2417" s="21"/>
    </row>
    <row r="2418" spans="24:32" x14ac:dyDescent="0.25">
      <c r="X2418" s="4"/>
      <c r="Y2418" s="4"/>
      <c r="Z2418" s="4"/>
      <c r="AA2418" s="4"/>
      <c r="AB2418" s="4"/>
      <c r="AC2418" s="7"/>
      <c r="AD2418" s="4"/>
      <c r="AE2418" s="4"/>
      <c r="AF2418" s="21"/>
    </row>
    <row r="2419" spans="24:32" x14ac:dyDescent="0.25">
      <c r="X2419" s="4"/>
      <c r="Y2419" s="4"/>
      <c r="Z2419" s="4"/>
      <c r="AA2419" s="4"/>
      <c r="AB2419" s="4"/>
      <c r="AC2419" s="7"/>
      <c r="AD2419" s="4"/>
      <c r="AE2419" s="4"/>
      <c r="AF2419" s="21"/>
    </row>
    <row r="2420" spans="24:32" x14ac:dyDescent="0.25">
      <c r="X2420" s="4"/>
      <c r="Y2420" s="4"/>
      <c r="Z2420" s="4"/>
      <c r="AA2420" s="4"/>
      <c r="AB2420" s="4"/>
      <c r="AC2420" s="7"/>
      <c r="AD2420" s="4"/>
      <c r="AE2420" s="4"/>
      <c r="AF2420" s="21"/>
    </row>
    <row r="2421" spans="24:32" x14ac:dyDescent="0.25">
      <c r="X2421" s="4"/>
      <c r="Y2421" s="4"/>
      <c r="Z2421" s="4"/>
      <c r="AA2421" s="4"/>
      <c r="AB2421" s="4"/>
      <c r="AC2421" s="7"/>
      <c r="AD2421" s="4"/>
      <c r="AE2421" s="4"/>
      <c r="AF2421" s="21"/>
    </row>
    <row r="2422" spans="24:32" x14ac:dyDescent="0.25">
      <c r="X2422" s="4"/>
      <c r="Y2422" s="4"/>
      <c r="Z2422" s="4"/>
      <c r="AA2422" s="4"/>
      <c r="AB2422" s="4"/>
      <c r="AC2422" s="7"/>
      <c r="AD2422" s="4"/>
      <c r="AE2422" s="4"/>
      <c r="AF2422" s="21"/>
    </row>
    <row r="2423" spans="24:32" x14ac:dyDescent="0.25">
      <c r="X2423" s="4"/>
      <c r="Y2423" s="4"/>
      <c r="Z2423" s="4"/>
      <c r="AA2423" s="4"/>
      <c r="AB2423" s="4"/>
      <c r="AC2423" s="7"/>
      <c r="AD2423" s="4"/>
      <c r="AE2423" s="4"/>
      <c r="AF2423" s="21"/>
    </row>
    <row r="2424" spans="24:32" x14ac:dyDescent="0.25">
      <c r="X2424" s="4"/>
      <c r="Y2424" s="4"/>
      <c r="Z2424" s="4"/>
      <c r="AA2424" s="4"/>
      <c r="AB2424" s="4"/>
      <c r="AC2424" s="7"/>
      <c r="AD2424" s="4"/>
      <c r="AE2424" s="4"/>
      <c r="AF2424" s="21"/>
    </row>
    <row r="2425" spans="24:32" x14ac:dyDescent="0.25">
      <c r="X2425" s="4"/>
      <c r="Y2425" s="4"/>
      <c r="Z2425" s="4"/>
      <c r="AA2425" s="4"/>
      <c r="AB2425" s="4"/>
      <c r="AC2425" s="7"/>
      <c r="AD2425" s="4"/>
      <c r="AE2425" s="4"/>
      <c r="AF2425" s="21"/>
    </row>
    <row r="2426" spans="24:32" x14ac:dyDescent="0.25">
      <c r="X2426" s="4"/>
      <c r="Y2426" s="4"/>
      <c r="Z2426" s="4"/>
      <c r="AA2426" s="4"/>
      <c r="AB2426" s="4"/>
      <c r="AC2426" s="7"/>
      <c r="AD2426" s="4"/>
      <c r="AE2426" s="4"/>
      <c r="AF2426" s="21"/>
    </row>
    <row r="2427" spans="24:32" x14ac:dyDescent="0.25">
      <c r="X2427" s="4"/>
      <c r="Y2427" s="4"/>
      <c r="Z2427" s="4"/>
      <c r="AA2427" s="4"/>
      <c r="AB2427" s="4"/>
      <c r="AC2427" s="7"/>
      <c r="AD2427" s="4"/>
      <c r="AE2427" s="4"/>
      <c r="AF2427" s="21"/>
    </row>
    <row r="2428" spans="24:32" x14ac:dyDescent="0.25">
      <c r="X2428" s="4"/>
      <c r="Y2428" s="4"/>
      <c r="Z2428" s="4"/>
      <c r="AA2428" s="4"/>
      <c r="AB2428" s="4"/>
      <c r="AC2428" s="7"/>
      <c r="AD2428" s="4"/>
      <c r="AE2428" s="4"/>
      <c r="AF2428" s="21"/>
    </row>
    <row r="2429" spans="24:32" x14ac:dyDescent="0.25">
      <c r="X2429" s="4"/>
      <c r="Y2429" s="4"/>
      <c r="Z2429" s="4"/>
      <c r="AA2429" s="4"/>
      <c r="AB2429" s="4"/>
      <c r="AC2429" s="7"/>
      <c r="AD2429" s="4"/>
      <c r="AE2429" s="4"/>
      <c r="AF2429" s="21"/>
    </row>
    <row r="2430" spans="24:32" x14ac:dyDescent="0.25">
      <c r="X2430" s="4"/>
      <c r="Y2430" s="4"/>
      <c r="Z2430" s="4"/>
      <c r="AA2430" s="4"/>
      <c r="AB2430" s="4"/>
      <c r="AC2430" s="7"/>
      <c r="AD2430" s="4"/>
      <c r="AE2430" s="4"/>
      <c r="AF2430" s="21"/>
    </row>
    <row r="2431" spans="24:32" x14ac:dyDescent="0.25">
      <c r="X2431" s="4"/>
      <c r="Y2431" s="4"/>
      <c r="Z2431" s="4"/>
      <c r="AA2431" s="4"/>
      <c r="AB2431" s="4"/>
      <c r="AC2431" s="7"/>
      <c r="AD2431" s="4"/>
      <c r="AE2431" s="4"/>
      <c r="AF2431" s="21"/>
    </row>
    <row r="2432" spans="24:32" x14ac:dyDescent="0.25">
      <c r="X2432" s="4"/>
      <c r="Y2432" s="4"/>
      <c r="Z2432" s="4"/>
      <c r="AA2432" s="4"/>
      <c r="AB2432" s="4"/>
      <c r="AC2432" s="7"/>
      <c r="AD2432" s="4"/>
      <c r="AE2432" s="4"/>
      <c r="AF2432" s="21"/>
    </row>
    <row r="2433" spans="24:32" x14ac:dyDescent="0.25">
      <c r="X2433" s="4"/>
      <c r="Y2433" s="4"/>
      <c r="Z2433" s="4"/>
      <c r="AA2433" s="4"/>
      <c r="AB2433" s="4"/>
      <c r="AC2433" s="7"/>
      <c r="AD2433" s="4"/>
      <c r="AE2433" s="4"/>
      <c r="AF2433" s="21"/>
    </row>
    <row r="2434" spans="24:32" x14ac:dyDescent="0.25">
      <c r="X2434" s="4"/>
      <c r="Y2434" s="4"/>
      <c r="Z2434" s="4"/>
      <c r="AA2434" s="4"/>
      <c r="AB2434" s="4"/>
      <c r="AC2434" s="7"/>
      <c r="AD2434" s="4"/>
      <c r="AE2434" s="4"/>
      <c r="AF2434" s="21"/>
    </row>
    <row r="2435" spans="24:32" x14ac:dyDescent="0.25">
      <c r="X2435" s="4"/>
      <c r="Y2435" s="4"/>
      <c r="Z2435" s="4"/>
      <c r="AA2435" s="4"/>
      <c r="AB2435" s="4"/>
      <c r="AC2435" s="7"/>
      <c r="AD2435" s="4"/>
      <c r="AE2435" s="4"/>
      <c r="AF2435" s="21"/>
    </row>
    <row r="2436" spans="24:32" x14ac:dyDescent="0.25">
      <c r="X2436" s="4"/>
      <c r="Y2436" s="4"/>
      <c r="Z2436" s="4"/>
      <c r="AA2436" s="4"/>
      <c r="AB2436" s="4"/>
      <c r="AC2436" s="7"/>
      <c r="AD2436" s="4"/>
      <c r="AE2436" s="4"/>
      <c r="AF2436" s="21"/>
    </row>
    <row r="2437" spans="24:32" x14ac:dyDescent="0.25">
      <c r="X2437" s="4"/>
      <c r="Y2437" s="4"/>
      <c r="Z2437" s="4"/>
      <c r="AA2437" s="4"/>
      <c r="AB2437" s="4"/>
      <c r="AC2437" s="7"/>
      <c r="AD2437" s="4"/>
      <c r="AE2437" s="4"/>
      <c r="AF2437" s="21"/>
    </row>
    <row r="2438" spans="24:32" x14ac:dyDescent="0.25">
      <c r="X2438" s="4"/>
      <c r="Y2438" s="4"/>
      <c r="Z2438" s="4"/>
      <c r="AA2438" s="4"/>
      <c r="AB2438" s="4"/>
      <c r="AC2438" s="7"/>
      <c r="AD2438" s="4"/>
      <c r="AE2438" s="4"/>
      <c r="AF2438" s="21"/>
    </row>
    <row r="2439" spans="24:32" x14ac:dyDescent="0.25">
      <c r="X2439" s="4"/>
      <c r="Y2439" s="4"/>
      <c r="Z2439" s="4"/>
      <c r="AA2439" s="4"/>
      <c r="AB2439" s="4"/>
      <c r="AC2439" s="7"/>
      <c r="AD2439" s="4"/>
      <c r="AE2439" s="4"/>
      <c r="AF2439" s="21"/>
    </row>
    <row r="2440" spans="24:32" x14ac:dyDescent="0.25">
      <c r="X2440" s="4"/>
      <c r="Y2440" s="4"/>
      <c r="Z2440" s="4"/>
      <c r="AA2440" s="4"/>
      <c r="AB2440" s="4"/>
      <c r="AC2440" s="7"/>
      <c r="AD2440" s="4"/>
      <c r="AE2440" s="4"/>
      <c r="AF2440" s="21"/>
    </row>
    <row r="2441" spans="24:32" x14ac:dyDescent="0.25">
      <c r="X2441" s="4"/>
      <c r="Y2441" s="4"/>
      <c r="Z2441" s="4"/>
      <c r="AA2441" s="4"/>
      <c r="AB2441" s="4"/>
      <c r="AC2441" s="7"/>
      <c r="AD2441" s="4"/>
      <c r="AE2441" s="4"/>
      <c r="AF2441" s="21"/>
    </row>
    <row r="2442" spans="24:32" x14ac:dyDescent="0.25">
      <c r="X2442" s="4"/>
      <c r="Y2442" s="4"/>
      <c r="Z2442" s="4"/>
      <c r="AA2442" s="4"/>
      <c r="AB2442" s="4"/>
      <c r="AC2442" s="7"/>
      <c r="AD2442" s="4"/>
      <c r="AE2442" s="4"/>
      <c r="AF2442" s="21"/>
    </row>
    <row r="2443" spans="24:32" x14ac:dyDescent="0.25">
      <c r="X2443" s="4"/>
      <c r="Y2443" s="4"/>
      <c r="Z2443" s="4"/>
      <c r="AA2443" s="4"/>
      <c r="AB2443" s="4"/>
      <c r="AC2443" s="7"/>
      <c r="AD2443" s="4"/>
      <c r="AE2443" s="4"/>
      <c r="AF2443" s="21"/>
    </row>
    <row r="2444" spans="24:32" x14ac:dyDescent="0.25">
      <c r="X2444" s="4"/>
      <c r="Y2444" s="4"/>
      <c r="Z2444" s="4"/>
      <c r="AA2444" s="4"/>
      <c r="AB2444" s="4"/>
      <c r="AC2444" s="7"/>
      <c r="AD2444" s="4"/>
      <c r="AE2444" s="4"/>
      <c r="AF2444" s="21"/>
    </row>
    <row r="2445" spans="24:32" x14ac:dyDescent="0.25">
      <c r="X2445" s="4"/>
      <c r="Y2445" s="4"/>
      <c r="Z2445" s="4"/>
      <c r="AA2445" s="4"/>
      <c r="AB2445" s="4"/>
      <c r="AC2445" s="7"/>
      <c r="AD2445" s="4"/>
      <c r="AE2445" s="4"/>
      <c r="AF2445" s="21"/>
    </row>
    <row r="2446" spans="24:32" x14ac:dyDescent="0.25">
      <c r="X2446" s="4"/>
      <c r="Y2446" s="4"/>
      <c r="Z2446" s="4"/>
      <c r="AA2446" s="4"/>
      <c r="AB2446" s="4"/>
      <c r="AC2446" s="7"/>
      <c r="AD2446" s="4"/>
      <c r="AE2446" s="4"/>
      <c r="AF2446" s="21"/>
    </row>
    <row r="2447" spans="24:32" x14ac:dyDescent="0.25">
      <c r="X2447" s="4"/>
      <c r="Y2447" s="4"/>
      <c r="Z2447" s="4"/>
      <c r="AA2447" s="4"/>
      <c r="AB2447" s="4"/>
      <c r="AC2447" s="7"/>
      <c r="AD2447" s="4"/>
      <c r="AE2447" s="4"/>
      <c r="AF2447" s="21"/>
    </row>
    <row r="2448" spans="24:32" x14ac:dyDescent="0.25">
      <c r="X2448" s="4"/>
      <c r="Y2448" s="4"/>
      <c r="Z2448" s="4"/>
      <c r="AA2448" s="4"/>
      <c r="AB2448" s="4"/>
      <c r="AC2448" s="7"/>
      <c r="AD2448" s="4"/>
      <c r="AE2448" s="4"/>
      <c r="AF2448" s="21"/>
    </row>
    <row r="2449" spans="24:32" x14ac:dyDescent="0.25">
      <c r="X2449" s="4"/>
      <c r="Y2449" s="4"/>
      <c r="Z2449" s="4"/>
      <c r="AA2449" s="4"/>
      <c r="AB2449" s="4"/>
      <c r="AC2449" s="7"/>
      <c r="AD2449" s="4"/>
      <c r="AE2449" s="4"/>
      <c r="AF2449" s="21"/>
    </row>
    <row r="2450" spans="24:32" x14ac:dyDescent="0.25">
      <c r="X2450" s="4"/>
      <c r="Y2450" s="4"/>
      <c r="Z2450" s="4"/>
      <c r="AA2450" s="4"/>
      <c r="AB2450" s="4"/>
      <c r="AC2450" s="7"/>
      <c r="AD2450" s="4"/>
      <c r="AE2450" s="4"/>
      <c r="AF2450" s="21"/>
    </row>
    <row r="2451" spans="24:32" x14ac:dyDescent="0.25">
      <c r="X2451" s="4"/>
      <c r="Y2451" s="4"/>
      <c r="Z2451" s="4"/>
      <c r="AA2451" s="4"/>
      <c r="AB2451" s="4"/>
      <c r="AC2451" s="7"/>
      <c r="AD2451" s="4"/>
      <c r="AE2451" s="4"/>
      <c r="AF2451" s="21"/>
    </row>
    <row r="2452" spans="24:32" x14ac:dyDescent="0.25">
      <c r="X2452" s="4"/>
      <c r="Y2452" s="4"/>
      <c r="Z2452" s="4"/>
      <c r="AA2452" s="4"/>
      <c r="AB2452" s="4"/>
      <c r="AC2452" s="7"/>
      <c r="AD2452" s="4"/>
      <c r="AE2452" s="4"/>
      <c r="AF2452" s="21"/>
    </row>
    <row r="2453" spans="24:32" x14ac:dyDescent="0.25">
      <c r="X2453" s="4"/>
      <c r="Y2453" s="4"/>
      <c r="Z2453" s="4"/>
      <c r="AA2453" s="4"/>
      <c r="AB2453" s="4"/>
      <c r="AC2453" s="7"/>
      <c r="AD2453" s="4"/>
      <c r="AE2453" s="4"/>
      <c r="AF2453" s="21"/>
    </row>
    <row r="2454" spans="24:32" x14ac:dyDescent="0.25">
      <c r="X2454" s="4"/>
      <c r="Y2454" s="4"/>
      <c r="Z2454" s="4"/>
      <c r="AA2454" s="4"/>
      <c r="AB2454" s="4"/>
      <c r="AC2454" s="7"/>
      <c r="AD2454" s="4"/>
      <c r="AE2454" s="4"/>
      <c r="AF2454" s="21"/>
    </row>
    <row r="2455" spans="24:32" x14ac:dyDescent="0.25">
      <c r="X2455" s="4"/>
      <c r="Y2455" s="4"/>
      <c r="Z2455" s="4"/>
      <c r="AA2455" s="4"/>
      <c r="AB2455" s="4"/>
      <c r="AC2455" s="7"/>
      <c r="AD2455" s="4"/>
      <c r="AE2455" s="4"/>
      <c r="AF2455" s="21"/>
    </row>
    <row r="2456" spans="24:32" x14ac:dyDescent="0.25">
      <c r="X2456" s="4"/>
      <c r="Y2456" s="4"/>
      <c r="Z2456" s="4"/>
      <c r="AA2456" s="4"/>
      <c r="AB2456" s="4"/>
      <c r="AC2456" s="7"/>
      <c r="AD2456" s="4"/>
      <c r="AE2456" s="4"/>
      <c r="AF2456" s="21"/>
    </row>
    <row r="2457" spans="24:32" x14ac:dyDescent="0.25">
      <c r="X2457" s="4"/>
      <c r="Y2457" s="4"/>
      <c r="Z2457" s="4"/>
      <c r="AA2457" s="4"/>
      <c r="AB2457" s="4"/>
      <c r="AC2457" s="7"/>
      <c r="AD2457" s="4"/>
      <c r="AE2457" s="4"/>
      <c r="AF2457" s="21"/>
    </row>
    <row r="2458" spans="24:32" x14ac:dyDescent="0.25">
      <c r="X2458" s="4"/>
      <c r="Y2458" s="4"/>
      <c r="Z2458" s="4"/>
      <c r="AA2458" s="4"/>
      <c r="AB2458" s="4"/>
      <c r="AC2458" s="7"/>
      <c r="AD2458" s="4"/>
      <c r="AE2458" s="4"/>
      <c r="AF2458" s="21"/>
    </row>
    <row r="2459" spans="24:32" x14ac:dyDescent="0.25">
      <c r="X2459" s="4"/>
      <c r="Y2459" s="4"/>
      <c r="Z2459" s="4"/>
      <c r="AA2459" s="4"/>
      <c r="AB2459" s="4"/>
      <c r="AC2459" s="7"/>
      <c r="AD2459" s="4"/>
      <c r="AE2459" s="4"/>
      <c r="AF2459" s="21"/>
    </row>
    <row r="2460" spans="24:32" x14ac:dyDescent="0.25">
      <c r="X2460" s="4"/>
      <c r="Y2460" s="4"/>
      <c r="Z2460" s="4"/>
      <c r="AA2460" s="4"/>
      <c r="AB2460" s="4"/>
      <c r="AC2460" s="7"/>
      <c r="AD2460" s="4"/>
      <c r="AE2460" s="4"/>
      <c r="AF2460" s="21"/>
    </row>
    <row r="2461" spans="24:32" x14ac:dyDescent="0.25">
      <c r="X2461" s="4"/>
      <c r="Y2461" s="4"/>
      <c r="Z2461" s="4"/>
      <c r="AA2461" s="4"/>
      <c r="AB2461" s="4"/>
      <c r="AC2461" s="7"/>
      <c r="AD2461" s="4"/>
      <c r="AE2461" s="4"/>
      <c r="AF2461" s="21"/>
    </row>
    <row r="2462" spans="24:32" x14ac:dyDescent="0.25">
      <c r="X2462" s="4"/>
      <c r="Y2462" s="4"/>
      <c r="Z2462" s="4"/>
      <c r="AA2462" s="4"/>
      <c r="AB2462" s="4"/>
      <c r="AC2462" s="7"/>
      <c r="AD2462" s="4"/>
      <c r="AE2462" s="4"/>
      <c r="AF2462" s="21"/>
    </row>
    <row r="2463" spans="24:32" x14ac:dyDescent="0.25">
      <c r="X2463" s="4"/>
      <c r="Y2463" s="4"/>
      <c r="Z2463" s="4"/>
      <c r="AA2463" s="4"/>
      <c r="AB2463" s="4"/>
      <c r="AC2463" s="7"/>
      <c r="AD2463" s="4"/>
      <c r="AE2463" s="4"/>
      <c r="AF2463" s="21"/>
    </row>
    <row r="2464" spans="24:32" x14ac:dyDescent="0.25">
      <c r="X2464" s="4"/>
      <c r="Y2464" s="4"/>
      <c r="Z2464" s="4"/>
      <c r="AA2464" s="4"/>
      <c r="AB2464" s="4"/>
      <c r="AC2464" s="7"/>
      <c r="AD2464" s="4"/>
      <c r="AE2464" s="4"/>
      <c r="AF2464" s="21"/>
    </row>
    <row r="2465" spans="24:32" x14ac:dyDescent="0.25">
      <c r="X2465" s="4"/>
      <c r="Y2465" s="4"/>
      <c r="Z2465" s="4"/>
      <c r="AA2465" s="4"/>
      <c r="AB2465" s="4"/>
      <c r="AC2465" s="7"/>
      <c r="AD2465" s="4"/>
      <c r="AE2465" s="4"/>
      <c r="AF2465" s="21"/>
    </row>
    <row r="2466" spans="24:32" x14ac:dyDescent="0.25">
      <c r="X2466" s="4"/>
      <c r="Y2466" s="4"/>
      <c r="Z2466" s="4"/>
      <c r="AA2466" s="4"/>
      <c r="AB2466" s="4"/>
      <c r="AC2466" s="7"/>
      <c r="AD2466" s="4"/>
      <c r="AE2466" s="4"/>
      <c r="AF2466" s="21"/>
    </row>
    <row r="2467" spans="24:32" x14ac:dyDescent="0.25">
      <c r="X2467" s="4"/>
      <c r="Y2467" s="4"/>
      <c r="Z2467" s="4"/>
      <c r="AA2467" s="4"/>
      <c r="AB2467" s="4"/>
      <c r="AC2467" s="7"/>
      <c r="AD2467" s="4"/>
      <c r="AE2467" s="4"/>
      <c r="AF2467" s="21"/>
    </row>
    <row r="2468" spans="24:32" x14ac:dyDescent="0.25">
      <c r="X2468" s="4"/>
      <c r="Y2468" s="4"/>
      <c r="Z2468" s="4"/>
      <c r="AA2468" s="4"/>
      <c r="AB2468" s="4"/>
      <c r="AC2468" s="7"/>
      <c r="AD2468" s="4"/>
      <c r="AE2468" s="4"/>
      <c r="AF2468" s="21"/>
    </row>
    <row r="2469" spans="24:32" x14ac:dyDescent="0.25">
      <c r="X2469" s="4"/>
      <c r="Y2469" s="4"/>
      <c r="Z2469" s="4"/>
      <c r="AA2469" s="4"/>
      <c r="AB2469" s="4"/>
      <c r="AC2469" s="7"/>
      <c r="AD2469" s="4"/>
      <c r="AE2469" s="4"/>
      <c r="AF2469" s="21"/>
    </row>
    <row r="2470" spans="24:32" x14ac:dyDescent="0.25">
      <c r="X2470" s="4"/>
      <c r="Y2470" s="4"/>
      <c r="Z2470" s="4"/>
      <c r="AA2470" s="4"/>
      <c r="AB2470" s="4"/>
      <c r="AC2470" s="7"/>
      <c r="AD2470" s="4"/>
      <c r="AE2470" s="4"/>
      <c r="AF2470" s="21"/>
    </row>
    <row r="2471" spans="24:32" x14ac:dyDescent="0.25">
      <c r="X2471" s="4"/>
      <c r="Y2471" s="4"/>
      <c r="Z2471" s="4"/>
      <c r="AA2471" s="4"/>
      <c r="AB2471" s="4"/>
      <c r="AC2471" s="7"/>
      <c r="AD2471" s="4"/>
      <c r="AE2471" s="4"/>
      <c r="AF2471" s="21"/>
    </row>
    <row r="2472" spans="24:32" x14ac:dyDescent="0.25">
      <c r="X2472" s="4"/>
      <c r="Y2472" s="4"/>
      <c r="Z2472" s="4"/>
      <c r="AA2472" s="4"/>
      <c r="AB2472" s="4"/>
      <c r="AC2472" s="7"/>
      <c r="AD2472" s="4"/>
      <c r="AE2472" s="4"/>
      <c r="AF2472" s="21"/>
    </row>
    <row r="2473" spans="24:32" x14ac:dyDescent="0.25">
      <c r="X2473" s="4"/>
      <c r="Y2473" s="4"/>
      <c r="Z2473" s="4"/>
      <c r="AA2473" s="4"/>
      <c r="AB2473" s="4"/>
      <c r="AC2473" s="7"/>
      <c r="AD2473" s="4"/>
      <c r="AE2473" s="4"/>
      <c r="AF2473" s="21"/>
    </row>
    <row r="2474" spans="24:32" x14ac:dyDescent="0.25">
      <c r="X2474" s="4"/>
      <c r="Y2474" s="4"/>
      <c r="Z2474" s="4"/>
      <c r="AA2474" s="4"/>
      <c r="AB2474" s="4"/>
      <c r="AC2474" s="7"/>
      <c r="AD2474" s="4"/>
      <c r="AE2474" s="4"/>
      <c r="AF2474" s="21"/>
    </row>
    <row r="2475" spans="24:32" x14ac:dyDescent="0.25">
      <c r="X2475" s="4"/>
      <c r="Y2475" s="4"/>
      <c r="Z2475" s="4"/>
      <c r="AA2475" s="4"/>
      <c r="AB2475" s="4"/>
      <c r="AC2475" s="7"/>
      <c r="AD2475" s="4"/>
      <c r="AE2475" s="4"/>
      <c r="AF2475" s="21"/>
    </row>
    <row r="2476" spans="24:32" x14ac:dyDescent="0.25">
      <c r="X2476" s="4"/>
      <c r="Y2476" s="4"/>
      <c r="Z2476" s="4"/>
      <c r="AA2476" s="4"/>
      <c r="AB2476" s="4"/>
      <c r="AC2476" s="7"/>
      <c r="AD2476" s="4"/>
      <c r="AE2476" s="4"/>
      <c r="AF2476" s="21"/>
    </row>
    <row r="2477" spans="24:32" x14ac:dyDescent="0.25">
      <c r="X2477" s="4"/>
      <c r="Y2477" s="4"/>
      <c r="Z2477" s="4"/>
      <c r="AA2477" s="4"/>
      <c r="AB2477" s="4"/>
      <c r="AC2477" s="7"/>
      <c r="AD2477" s="4"/>
      <c r="AE2477" s="4"/>
      <c r="AF2477" s="21"/>
    </row>
    <row r="2478" spans="24:32" x14ac:dyDescent="0.25">
      <c r="X2478" s="4"/>
      <c r="Y2478" s="4"/>
      <c r="Z2478" s="4"/>
      <c r="AA2478" s="4"/>
      <c r="AB2478" s="4"/>
      <c r="AC2478" s="7"/>
      <c r="AD2478" s="4"/>
      <c r="AE2478" s="4"/>
      <c r="AF2478" s="21"/>
    </row>
    <row r="2479" spans="24:32" x14ac:dyDescent="0.25">
      <c r="X2479" s="4"/>
      <c r="Y2479" s="4"/>
      <c r="Z2479" s="4"/>
      <c r="AA2479" s="4"/>
      <c r="AB2479" s="4"/>
      <c r="AC2479" s="7"/>
      <c r="AD2479" s="4"/>
      <c r="AE2479" s="4"/>
      <c r="AF2479" s="21"/>
    </row>
    <row r="2480" spans="24:32" x14ac:dyDescent="0.25">
      <c r="X2480" s="4"/>
      <c r="Y2480" s="4"/>
      <c r="Z2480" s="4"/>
      <c r="AA2480" s="4"/>
      <c r="AB2480" s="4"/>
      <c r="AC2480" s="7"/>
      <c r="AD2480" s="4"/>
      <c r="AE2480" s="4"/>
      <c r="AF2480" s="21"/>
    </row>
    <row r="2481" spans="24:32" x14ac:dyDescent="0.25">
      <c r="X2481" s="4"/>
      <c r="Y2481" s="4"/>
      <c r="Z2481" s="4"/>
      <c r="AA2481" s="4"/>
      <c r="AB2481" s="4"/>
      <c r="AC2481" s="7"/>
      <c r="AD2481" s="4"/>
      <c r="AE2481" s="4"/>
      <c r="AF2481" s="21"/>
    </row>
    <row r="2482" spans="24:32" x14ac:dyDescent="0.25">
      <c r="X2482" s="4"/>
      <c r="Y2482" s="4"/>
      <c r="Z2482" s="4"/>
      <c r="AA2482" s="4"/>
      <c r="AB2482" s="4"/>
      <c r="AC2482" s="7"/>
      <c r="AD2482" s="4"/>
      <c r="AE2482" s="4"/>
      <c r="AF2482" s="21"/>
    </row>
    <row r="2483" spans="24:32" x14ac:dyDescent="0.25">
      <c r="X2483" s="4"/>
      <c r="Y2483" s="4"/>
      <c r="Z2483" s="4"/>
      <c r="AA2483" s="4"/>
      <c r="AB2483" s="4"/>
      <c r="AC2483" s="7"/>
      <c r="AD2483" s="4"/>
      <c r="AE2483" s="4"/>
      <c r="AF2483" s="21"/>
    </row>
    <row r="2484" spans="24:32" x14ac:dyDescent="0.25">
      <c r="X2484" s="4"/>
      <c r="Y2484" s="4"/>
      <c r="Z2484" s="4"/>
      <c r="AA2484" s="4"/>
      <c r="AB2484" s="4"/>
      <c r="AC2484" s="7"/>
      <c r="AD2484" s="4"/>
      <c r="AE2484" s="4"/>
      <c r="AF2484" s="21"/>
    </row>
    <row r="2485" spans="24:32" x14ac:dyDescent="0.25">
      <c r="X2485" s="4"/>
      <c r="Y2485" s="4"/>
      <c r="Z2485" s="4"/>
      <c r="AA2485" s="4"/>
      <c r="AB2485" s="4"/>
      <c r="AC2485" s="7"/>
      <c r="AD2485" s="4"/>
      <c r="AE2485" s="4"/>
      <c r="AF2485" s="21"/>
    </row>
    <row r="2486" spans="24:32" x14ac:dyDescent="0.25">
      <c r="X2486" s="4"/>
      <c r="Y2486" s="4"/>
      <c r="Z2486" s="4"/>
      <c r="AA2486" s="4"/>
      <c r="AB2486" s="4"/>
      <c r="AC2486" s="7"/>
      <c r="AD2486" s="4"/>
      <c r="AE2486" s="4"/>
      <c r="AF2486" s="21"/>
    </row>
    <row r="2487" spans="24:32" x14ac:dyDescent="0.25">
      <c r="X2487" s="4"/>
      <c r="Y2487" s="4"/>
      <c r="Z2487" s="4"/>
      <c r="AA2487" s="4"/>
      <c r="AB2487" s="4"/>
      <c r="AC2487" s="7"/>
      <c r="AD2487" s="4"/>
      <c r="AE2487" s="4"/>
      <c r="AF2487" s="21"/>
    </row>
    <row r="2488" spans="24:32" x14ac:dyDescent="0.25">
      <c r="X2488" s="4"/>
      <c r="Y2488" s="4"/>
      <c r="Z2488" s="4"/>
      <c r="AA2488" s="4"/>
      <c r="AB2488" s="4"/>
      <c r="AC2488" s="7"/>
      <c r="AD2488" s="4"/>
      <c r="AE2488" s="4"/>
      <c r="AF2488" s="21"/>
    </row>
    <row r="2489" spans="24:32" x14ac:dyDescent="0.25">
      <c r="X2489" s="4"/>
      <c r="Y2489" s="4"/>
      <c r="Z2489" s="4"/>
      <c r="AA2489" s="4"/>
      <c r="AB2489" s="4"/>
      <c r="AC2489" s="7"/>
      <c r="AD2489" s="4"/>
      <c r="AE2489" s="4"/>
      <c r="AF2489" s="21"/>
    </row>
    <row r="2490" spans="24:32" x14ac:dyDescent="0.25">
      <c r="X2490" s="4"/>
      <c r="Y2490" s="4"/>
      <c r="Z2490" s="4"/>
      <c r="AA2490" s="4"/>
      <c r="AB2490" s="4"/>
      <c r="AC2490" s="7"/>
      <c r="AD2490" s="4"/>
      <c r="AE2490" s="4"/>
      <c r="AF2490" s="21"/>
    </row>
    <row r="2491" spans="24:32" x14ac:dyDescent="0.25">
      <c r="X2491" s="4"/>
      <c r="Y2491" s="4"/>
      <c r="Z2491" s="4"/>
      <c r="AA2491" s="4"/>
      <c r="AB2491" s="4"/>
      <c r="AC2491" s="7"/>
      <c r="AD2491" s="4"/>
      <c r="AE2491" s="4"/>
      <c r="AF2491" s="21"/>
    </row>
    <row r="2492" spans="24:32" x14ac:dyDescent="0.25">
      <c r="X2492" s="4"/>
      <c r="Y2492" s="4"/>
      <c r="Z2492" s="4"/>
      <c r="AA2492" s="4"/>
      <c r="AB2492" s="4"/>
      <c r="AC2492" s="7"/>
      <c r="AD2492" s="4"/>
      <c r="AE2492" s="4"/>
      <c r="AF2492" s="21"/>
    </row>
    <row r="2493" spans="24:32" x14ac:dyDescent="0.25">
      <c r="X2493" s="4"/>
      <c r="Y2493" s="4"/>
      <c r="Z2493" s="4"/>
      <c r="AA2493" s="4"/>
      <c r="AB2493" s="4"/>
      <c r="AC2493" s="7"/>
      <c r="AD2493" s="4"/>
      <c r="AE2493" s="4"/>
      <c r="AF2493" s="21"/>
    </row>
    <row r="2494" spans="24:32" x14ac:dyDescent="0.25">
      <c r="X2494" s="4"/>
      <c r="Y2494" s="4"/>
      <c r="Z2494" s="4"/>
      <c r="AA2494" s="4"/>
      <c r="AB2494" s="4"/>
      <c r="AC2494" s="7"/>
      <c r="AD2494" s="4"/>
      <c r="AE2494" s="4"/>
      <c r="AF2494" s="21"/>
    </row>
    <row r="2495" spans="24:32" x14ac:dyDescent="0.25">
      <c r="X2495" s="4"/>
      <c r="Y2495" s="4"/>
      <c r="Z2495" s="4"/>
      <c r="AA2495" s="4"/>
      <c r="AB2495" s="4"/>
      <c r="AC2495" s="7"/>
      <c r="AD2495" s="4"/>
      <c r="AE2495" s="4"/>
      <c r="AF2495" s="21"/>
    </row>
    <row r="2496" spans="24:32" x14ac:dyDescent="0.25">
      <c r="X2496" s="4"/>
      <c r="Y2496" s="4"/>
      <c r="Z2496" s="4"/>
      <c r="AA2496" s="4"/>
      <c r="AB2496" s="4"/>
      <c r="AC2496" s="7"/>
      <c r="AD2496" s="4"/>
      <c r="AE2496" s="4"/>
      <c r="AF2496" s="21"/>
    </row>
    <row r="2497" spans="24:32" x14ac:dyDescent="0.25">
      <c r="X2497" s="4"/>
      <c r="Y2497" s="4"/>
      <c r="Z2497" s="4"/>
      <c r="AA2497" s="4"/>
      <c r="AB2497" s="4"/>
      <c r="AC2497" s="7"/>
      <c r="AD2497" s="4"/>
      <c r="AE2497" s="4"/>
      <c r="AF2497" s="21"/>
    </row>
    <row r="2498" spans="24:32" x14ac:dyDescent="0.25">
      <c r="X2498" s="4"/>
      <c r="Y2498" s="4"/>
      <c r="Z2498" s="4"/>
      <c r="AA2498" s="4"/>
      <c r="AB2498" s="4"/>
      <c r="AC2498" s="7"/>
      <c r="AD2498" s="4"/>
      <c r="AE2498" s="4"/>
      <c r="AF2498" s="21"/>
    </row>
    <row r="2499" spans="24:32" x14ac:dyDescent="0.25">
      <c r="X2499" s="4"/>
      <c r="Y2499" s="4"/>
      <c r="Z2499" s="4"/>
      <c r="AA2499" s="4"/>
      <c r="AB2499" s="4"/>
      <c r="AC2499" s="7"/>
      <c r="AD2499" s="4"/>
      <c r="AE2499" s="4"/>
      <c r="AF2499" s="21"/>
    </row>
    <row r="2500" spans="24:32" x14ac:dyDescent="0.25">
      <c r="X2500" s="4"/>
      <c r="Y2500" s="4"/>
      <c r="Z2500" s="4"/>
      <c r="AA2500" s="4"/>
      <c r="AB2500" s="4"/>
      <c r="AC2500" s="7"/>
      <c r="AD2500" s="4"/>
      <c r="AE2500" s="4"/>
      <c r="AF2500" s="21"/>
    </row>
    <row r="2501" spans="24:32" x14ac:dyDescent="0.25">
      <c r="X2501" s="4"/>
      <c r="Y2501" s="4"/>
      <c r="Z2501" s="4"/>
      <c r="AA2501" s="4"/>
      <c r="AB2501" s="4"/>
      <c r="AC2501" s="7"/>
      <c r="AD2501" s="4"/>
      <c r="AE2501" s="4"/>
      <c r="AF2501" s="21"/>
    </row>
    <row r="2502" spans="24:32" x14ac:dyDescent="0.25">
      <c r="X2502" s="4"/>
      <c r="Y2502" s="4"/>
      <c r="Z2502" s="4"/>
      <c r="AA2502" s="4"/>
      <c r="AB2502" s="4"/>
      <c r="AC2502" s="7"/>
      <c r="AD2502" s="4"/>
      <c r="AE2502" s="4"/>
      <c r="AF2502" s="21"/>
    </row>
    <row r="2503" spans="24:32" x14ac:dyDescent="0.25">
      <c r="X2503" s="4"/>
      <c r="Y2503" s="4"/>
      <c r="Z2503" s="4"/>
      <c r="AA2503" s="4"/>
      <c r="AB2503" s="4"/>
      <c r="AC2503" s="7"/>
      <c r="AD2503" s="4"/>
      <c r="AE2503" s="4"/>
      <c r="AF2503" s="21"/>
    </row>
    <row r="2504" spans="24:32" x14ac:dyDescent="0.25">
      <c r="X2504" s="4"/>
      <c r="Y2504" s="4"/>
      <c r="Z2504" s="4"/>
      <c r="AA2504" s="4"/>
      <c r="AB2504" s="4"/>
      <c r="AC2504" s="7"/>
      <c r="AD2504" s="4"/>
      <c r="AE2504" s="4"/>
      <c r="AF2504" s="21"/>
    </row>
    <row r="2505" spans="24:32" x14ac:dyDescent="0.25">
      <c r="X2505" s="4"/>
      <c r="Y2505" s="4"/>
      <c r="Z2505" s="4"/>
      <c r="AA2505" s="4"/>
      <c r="AB2505" s="4"/>
      <c r="AC2505" s="7"/>
      <c r="AD2505" s="4"/>
      <c r="AE2505" s="4"/>
      <c r="AF2505" s="21"/>
    </row>
    <row r="2506" spans="24:32" x14ac:dyDescent="0.25">
      <c r="X2506" s="4"/>
      <c r="Y2506" s="4"/>
      <c r="Z2506" s="4"/>
      <c r="AA2506" s="4"/>
      <c r="AB2506" s="4"/>
      <c r="AC2506" s="7"/>
      <c r="AD2506" s="4"/>
      <c r="AE2506" s="4"/>
      <c r="AF2506" s="21"/>
    </row>
    <row r="2507" spans="24:32" x14ac:dyDescent="0.25">
      <c r="X2507" s="4"/>
      <c r="Y2507" s="4"/>
      <c r="Z2507" s="4"/>
      <c r="AA2507" s="4"/>
      <c r="AB2507" s="4"/>
      <c r="AC2507" s="7"/>
      <c r="AD2507" s="4"/>
      <c r="AE2507" s="4"/>
      <c r="AF2507" s="21"/>
    </row>
    <row r="2508" spans="24:32" x14ac:dyDescent="0.25">
      <c r="X2508" s="4"/>
      <c r="Y2508" s="4"/>
      <c r="Z2508" s="4"/>
      <c r="AA2508" s="4"/>
      <c r="AB2508" s="4"/>
      <c r="AC2508" s="7"/>
      <c r="AD2508" s="4"/>
      <c r="AE2508" s="4"/>
      <c r="AF2508" s="21"/>
    </row>
    <row r="2509" spans="24:32" x14ac:dyDescent="0.25">
      <c r="X2509" s="4"/>
      <c r="Y2509" s="4"/>
      <c r="Z2509" s="4"/>
      <c r="AA2509" s="4"/>
      <c r="AB2509" s="4"/>
      <c r="AC2509" s="7"/>
      <c r="AD2509" s="4"/>
      <c r="AE2509" s="4"/>
      <c r="AF2509" s="21"/>
    </row>
    <row r="2510" spans="24:32" x14ac:dyDescent="0.25">
      <c r="X2510" s="4"/>
      <c r="Y2510" s="4"/>
      <c r="Z2510" s="4"/>
      <c r="AA2510" s="4"/>
      <c r="AB2510" s="4"/>
      <c r="AC2510" s="7"/>
      <c r="AD2510" s="4"/>
      <c r="AE2510" s="4"/>
      <c r="AF2510" s="21"/>
    </row>
    <row r="2511" spans="24:32" x14ac:dyDescent="0.25">
      <c r="X2511" s="4"/>
      <c r="Y2511" s="4"/>
      <c r="Z2511" s="4"/>
      <c r="AA2511" s="4"/>
      <c r="AB2511" s="4"/>
      <c r="AC2511" s="7"/>
      <c r="AD2511" s="4"/>
      <c r="AE2511" s="4"/>
      <c r="AF2511" s="21"/>
    </row>
    <row r="2512" spans="24:32" x14ac:dyDescent="0.25">
      <c r="X2512" s="4"/>
      <c r="Y2512" s="4"/>
      <c r="Z2512" s="4"/>
      <c r="AA2512" s="4"/>
      <c r="AB2512" s="4"/>
      <c r="AC2512" s="7"/>
      <c r="AD2512" s="4"/>
      <c r="AE2512" s="4"/>
      <c r="AF2512" s="21"/>
    </row>
    <row r="2513" spans="24:32" x14ac:dyDescent="0.25">
      <c r="X2513" s="4"/>
      <c r="Y2513" s="4"/>
      <c r="Z2513" s="4"/>
      <c r="AA2513" s="4"/>
      <c r="AB2513" s="4"/>
      <c r="AC2513" s="7"/>
      <c r="AD2513" s="4"/>
      <c r="AE2513" s="4"/>
      <c r="AF2513" s="21"/>
    </row>
    <row r="2514" spans="24:32" x14ac:dyDescent="0.25">
      <c r="X2514" s="4"/>
      <c r="Y2514" s="4"/>
      <c r="Z2514" s="4"/>
      <c r="AA2514" s="4"/>
      <c r="AB2514" s="4"/>
      <c r="AC2514" s="7"/>
      <c r="AD2514" s="4"/>
      <c r="AE2514" s="4"/>
      <c r="AF2514" s="21"/>
    </row>
    <row r="2515" spans="24:32" x14ac:dyDescent="0.25">
      <c r="X2515" s="4"/>
      <c r="Y2515" s="4"/>
      <c r="Z2515" s="4"/>
      <c r="AA2515" s="4"/>
      <c r="AB2515" s="4"/>
      <c r="AC2515" s="7"/>
      <c r="AD2515" s="4"/>
      <c r="AE2515" s="4"/>
      <c r="AF2515" s="21"/>
    </row>
    <row r="2516" spans="24:32" x14ac:dyDescent="0.25">
      <c r="X2516" s="4"/>
      <c r="Y2516" s="4"/>
      <c r="Z2516" s="4"/>
      <c r="AA2516" s="4"/>
      <c r="AB2516" s="4"/>
      <c r="AC2516" s="7"/>
      <c r="AD2516" s="4"/>
      <c r="AE2516" s="4"/>
      <c r="AF2516" s="21"/>
    </row>
    <row r="2517" spans="24:32" x14ac:dyDescent="0.25">
      <c r="X2517" s="4"/>
      <c r="Y2517" s="4"/>
      <c r="Z2517" s="4"/>
      <c r="AA2517" s="4"/>
      <c r="AB2517" s="4"/>
      <c r="AC2517" s="7"/>
      <c r="AD2517" s="4"/>
      <c r="AE2517" s="4"/>
      <c r="AF2517" s="21"/>
    </row>
    <row r="2518" spans="24:32" x14ac:dyDescent="0.25">
      <c r="X2518" s="4"/>
      <c r="Y2518" s="4"/>
      <c r="Z2518" s="4"/>
      <c r="AA2518" s="4"/>
      <c r="AB2518" s="4"/>
      <c r="AC2518" s="7"/>
      <c r="AD2518" s="4"/>
      <c r="AE2518" s="4"/>
      <c r="AF2518" s="21"/>
    </row>
    <row r="2519" spans="24:32" x14ac:dyDescent="0.25">
      <c r="X2519" s="4"/>
      <c r="Y2519" s="4"/>
      <c r="Z2519" s="4"/>
      <c r="AA2519" s="4"/>
      <c r="AB2519" s="4"/>
      <c r="AC2519" s="7"/>
      <c r="AD2519" s="4"/>
      <c r="AE2519" s="4"/>
      <c r="AF2519" s="21"/>
    </row>
    <row r="2520" spans="24:32" x14ac:dyDescent="0.25">
      <c r="X2520" s="4"/>
      <c r="Y2520" s="4"/>
      <c r="Z2520" s="4"/>
      <c r="AA2520" s="4"/>
      <c r="AB2520" s="4"/>
      <c r="AC2520" s="7"/>
      <c r="AD2520" s="4"/>
      <c r="AE2520" s="4"/>
      <c r="AF2520" s="21"/>
    </row>
    <row r="2521" spans="24:32" x14ac:dyDescent="0.25">
      <c r="X2521" s="4"/>
      <c r="Y2521" s="4"/>
      <c r="Z2521" s="4"/>
      <c r="AA2521" s="4"/>
      <c r="AB2521" s="4"/>
      <c r="AC2521" s="7"/>
      <c r="AD2521" s="4"/>
      <c r="AE2521" s="4"/>
      <c r="AF2521" s="21"/>
    </row>
    <row r="2522" spans="24:32" x14ac:dyDescent="0.25">
      <c r="X2522" s="4"/>
      <c r="Y2522" s="4"/>
      <c r="Z2522" s="4"/>
      <c r="AA2522" s="4"/>
      <c r="AB2522" s="4"/>
      <c r="AC2522" s="7"/>
      <c r="AD2522" s="4"/>
      <c r="AE2522" s="4"/>
      <c r="AF2522" s="21"/>
    </row>
    <row r="2523" spans="24:32" x14ac:dyDescent="0.25">
      <c r="X2523" s="4"/>
      <c r="Y2523" s="4"/>
      <c r="Z2523" s="4"/>
      <c r="AA2523" s="4"/>
      <c r="AB2523" s="4"/>
      <c r="AC2523" s="7"/>
      <c r="AD2523" s="4"/>
      <c r="AE2523" s="4"/>
      <c r="AF2523" s="21"/>
    </row>
    <row r="2524" spans="24:32" x14ac:dyDescent="0.25">
      <c r="X2524" s="4"/>
      <c r="Y2524" s="4"/>
      <c r="Z2524" s="4"/>
      <c r="AA2524" s="4"/>
      <c r="AB2524" s="4"/>
      <c r="AC2524" s="7"/>
      <c r="AD2524" s="4"/>
      <c r="AE2524" s="4"/>
      <c r="AF2524" s="21"/>
    </row>
    <row r="2525" spans="24:32" x14ac:dyDescent="0.25">
      <c r="X2525" s="4"/>
      <c r="Y2525" s="4"/>
      <c r="Z2525" s="4"/>
      <c r="AA2525" s="4"/>
      <c r="AB2525" s="4"/>
      <c r="AC2525" s="7"/>
      <c r="AD2525" s="4"/>
      <c r="AE2525" s="4"/>
      <c r="AF2525" s="21"/>
    </row>
    <row r="2526" spans="24:32" x14ac:dyDescent="0.25">
      <c r="X2526" s="4"/>
      <c r="Y2526" s="4"/>
      <c r="Z2526" s="4"/>
      <c r="AA2526" s="4"/>
      <c r="AB2526" s="4"/>
      <c r="AC2526" s="7"/>
      <c r="AD2526" s="4"/>
      <c r="AE2526" s="4"/>
      <c r="AF2526" s="21"/>
    </row>
    <row r="2527" spans="24:32" x14ac:dyDescent="0.25">
      <c r="X2527" s="4"/>
      <c r="Y2527" s="4"/>
      <c r="Z2527" s="4"/>
      <c r="AA2527" s="4"/>
      <c r="AB2527" s="4"/>
      <c r="AC2527" s="7"/>
      <c r="AD2527" s="4"/>
      <c r="AE2527" s="4"/>
      <c r="AF2527" s="21"/>
    </row>
    <row r="2528" spans="24:32" x14ac:dyDescent="0.25">
      <c r="X2528" s="4"/>
      <c r="Y2528" s="4"/>
      <c r="Z2528" s="4"/>
      <c r="AA2528" s="4"/>
      <c r="AB2528" s="4"/>
      <c r="AC2528" s="7"/>
      <c r="AD2528" s="4"/>
      <c r="AE2528" s="4"/>
      <c r="AF2528" s="21"/>
    </row>
    <row r="2529" spans="24:32" x14ac:dyDescent="0.25">
      <c r="X2529" s="4"/>
      <c r="Y2529" s="4"/>
      <c r="Z2529" s="4"/>
      <c r="AA2529" s="4"/>
      <c r="AB2529" s="4"/>
      <c r="AC2529" s="7"/>
      <c r="AD2529" s="4"/>
      <c r="AE2529" s="4"/>
      <c r="AF2529" s="21"/>
    </row>
    <row r="2530" spans="24:32" x14ac:dyDescent="0.25">
      <c r="X2530" s="4"/>
      <c r="Y2530" s="4"/>
      <c r="Z2530" s="4"/>
      <c r="AA2530" s="4"/>
      <c r="AB2530" s="4"/>
      <c r="AC2530" s="7"/>
      <c r="AD2530" s="4"/>
      <c r="AE2530" s="4"/>
      <c r="AF2530" s="21"/>
    </row>
    <row r="2531" spans="24:32" x14ac:dyDescent="0.25">
      <c r="X2531" s="4"/>
      <c r="Y2531" s="4"/>
      <c r="Z2531" s="4"/>
      <c r="AA2531" s="4"/>
      <c r="AB2531" s="4"/>
      <c r="AC2531" s="7"/>
      <c r="AD2531" s="4"/>
      <c r="AE2531" s="4"/>
      <c r="AF2531" s="21"/>
    </row>
    <row r="2532" spans="24:32" x14ac:dyDescent="0.25">
      <c r="X2532" s="4"/>
      <c r="Y2532" s="4"/>
      <c r="Z2532" s="4"/>
      <c r="AA2532" s="4"/>
      <c r="AB2532" s="4"/>
      <c r="AC2532" s="7"/>
      <c r="AD2532" s="4"/>
      <c r="AE2532" s="4"/>
      <c r="AF2532" s="21"/>
    </row>
    <row r="2533" spans="24:32" x14ac:dyDescent="0.25">
      <c r="X2533" s="4"/>
      <c r="Y2533" s="4"/>
      <c r="Z2533" s="4"/>
      <c r="AA2533" s="4"/>
      <c r="AB2533" s="4"/>
      <c r="AC2533" s="7"/>
      <c r="AD2533" s="4"/>
      <c r="AE2533" s="4"/>
      <c r="AF2533" s="21"/>
    </row>
    <row r="2534" spans="24:32" x14ac:dyDescent="0.25">
      <c r="X2534" s="4"/>
      <c r="Y2534" s="4"/>
      <c r="Z2534" s="4"/>
      <c r="AA2534" s="4"/>
      <c r="AB2534" s="4"/>
      <c r="AC2534" s="7"/>
      <c r="AD2534" s="4"/>
      <c r="AE2534" s="4"/>
      <c r="AF2534" s="21"/>
    </row>
    <row r="2535" spans="24:32" x14ac:dyDescent="0.25">
      <c r="X2535" s="4"/>
      <c r="Y2535" s="4"/>
      <c r="Z2535" s="4"/>
      <c r="AA2535" s="4"/>
      <c r="AB2535" s="4"/>
      <c r="AC2535" s="7"/>
      <c r="AD2535" s="4"/>
      <c r="AE2535" s="4"/>
      <c r="AF2535" s="21"/>
    </row>
    <row r="2536" spans="24:32" x14ac:dyDescent="0.25">
      <c r="X2536" s="4"/>
      <c r="Y2536" s="4"/>
      <c r="Z2536" s="4"/>
      <c r="AA2536" s="4"/>
      <c r="AB2536" s="4"/>
      <c r="AC2536" s="7"/>
      <c r="AD2536" s="4"/>
      <c r="AE2536" s="4"/>
      <c r="AF2536" s="21"/>
    </row>
    <row r="2537" spans="24:32" x14ac:dyDescent="0.25">
      <c r="X2537" s="4"/>
      <c r="Y2537" s="4"/>
      <c r="Z2537" s="4"/>
      <c r="AA2537" s="4"/>
      <c r="AB2537" s="4"/>
      <c r="AC2537" s="7"/>
      <c r="AD2537" s="4"/>
      <c r="AE2537" s="4"/>
      <c r="AF2537" s="21"/>
    </row>
    <row r="2538" spans="24:32" x14ac:dyDescent="0.25">
      <c r="X2538" s="4"/>
      <c r="Y2538" s="4"/>
      <c r="Z2538" s="4"/>
      <c r="AA2538" s="4"/>
      <c r="AB2538" s="4"/>
      <c r="AC2538" s="7"/>
      <c r="AD2538" s="4"/>
      <c r="AE2538" s="4"/>
      <c r="AF2538" s="21"/>
    </row>
    <row r="2539" spans="24:32" x14ac:dyDescent="0.25">
      <c r="X2539" s="4"/>
      <c r="Y2539" s="4"/>
      <c r="Z2539" s="4"/>
      <c r="AA2539" s="4"/>
      <c r="AB2539" s="4"/>
      <c r="AC2539" s="7"/>
      <c r="AD2539" s="4"/>
      <c r="AE2539" s="4"/>
      <c r="AF2539" s="21"/>
    </row>
    <row r="2540" spans="24:32" x14ac:dyDescent="0.25">
      <c r="X2540" s="4"/>
      <c r="Y2540" s="4"/>
      <c r="Z2540" s="4"/>
      <c r="AA2540" s="4"/>
      <c r="AB2540" s="4"/>
      <c r="AC2540" s="7"/>
      <c r="AD2540" s="4"/>
      <c r="AE2540" s="4"/>
      <c r="AF2540" s="21"/>
    </row>
    <row r="2541" spans="24:32" x14ac:dyDescent="0.25">
      <c r="X2541" s="4"/>
      <c r="Y2541" s="4"/>
      <c r="Z2541" s="4"/>
      <c r="AA2541" s="4"/>
      <c r="AB2541" s="4"/>
      <c r="AC2541" s="7"/>
      <c r="AD2541" s="4"/>
      <c r="AE2541" s="4"/>
      <c r="AF2541" s="21"/>
    </row>
    <row r="2542" spans="24:32" x14ac:dyDescent="0.25">
      <c r="X2542" s="4"/>
      <c r="Y2542" s="4"/>
      <c r="Z2542" s="4"/>
      <c r="AA2542" s="4"/>
      <c r="AB2542" s="4"/>
      <c r="AC2542" s="7"/>
      <c r="AD2542" s="4"/>
      <c r="AE2542" s="4"/>
      <c r="AF2542" s="21"/>
    </row>
    <row r="2543" spans="24:32" x14ac:dyDescent="0.25">
      <c r="X2543" s="4"/>
      <c r="Y2543" s="4"/>
      <c r="Z2543" s="4"/>
      <c r="AA2543" s="4"/>
      <c r="AB2543" s="4"/>
      <c r="AC2543" s="7"/>
      <c r="AD2543" s="4"/>
      <c r="AE2543" s="4"/>
      <c r="AF2543" s="21"/>
    </row>
    <row r="2544" spans="24:32" x14ac:dyDescent="0.25">
      <c r="X2544" s="4"/>
      <c r="Y2544" s="4"/>
      <c r="Z2544" s="4"/>
      <c r="AA2544" s="4"/>
      <c r="AB2544" s="4"/>
      <c r="AC2544" s="7"/>
      <c r="AD2544" s="4"/>
      <c r="AE2544" s="4"/>
      <c r="AF2544" s="21"/>
    </row>
    <row r="2545" spans="24:32" x14ac:dyDescent="0.25">
      <c r="X2545" s="4"/>
      <c r="Y2545" s="4"/>
      <c r="Z2545" s="4"/>
      <c r="AA2545" s="4"/>
      <c r="AB2545" s="4"/>
      <c r="AC2545" s="7"/>
      <c r="AD2545" s="4"/>
      <c r="AE2545" s="4"/>
      <c r="AF2545" s="21"/>
    </row>
    <row r="2546" spans="24:32" x14ac:dyDescent="0.25">
      <c r="X2546" s="4"/>
      <c r="Y2546" s="4"/>
      <c r="Z2546" s="4"/>
      <c r="AA2546" s="4"/>
      <c r="AB2546" s="4"/>
      <c r="AC2546" s="7"/>
      <c r="AD2546" s="4"/>
      <c r="AE2546" s="4"/>
      <c r="AF2546" s="21"/>
    </row>
    <row r="2547" spans="24:32" x14ac:dyDescent="0.25">
      <c r="X2547" s="4"/>
      <c r="Y2547" s="4"/>
      <c r="Z2547" s="4"/>
      <c r="AA2547" s="4"/>
      <c r="AB2547" s="4"/>
      <c r="AC2547" s="7"/>
      <c r="AD2547" s="4"/>
      <c r="AE2547" s="4"/>
      <c r="AF2547" s="21"/>
    </row>
    <row r="2548" spans="24:32" x14ac:dyDescent="0.25">
      <c r="X2548" s="4"/>
      <c r="Y2548" s="4"/>
      <c r="Z2548" s="4"/>
      <c r="AA2548" s="4"/>
      <c r="AB2548" s="4"/>
      <c r="AC2548" s="7"/>
      <c r="AD2548" s="4"/>
      <c r="AE2548" s="4"/>
      <c r="AF2548" s="21"/>
    </row>
    <row r="2549" spans="24:32" x14ac:dyDescent="0.25">
      <c r="X2549" s="4"/>
      <c r="Y2549" s="4"/>
      <c r="Z2549" s="4"/>
      <c r="AA2549" s="4"/>
      <c r="AB2549" s="4"/>
      <c r="AC2549" s="7"/>
      <c r="AD2549" s="4"/>
      <c r="AE2549" s="4"/>
      <c r="AF2549" s="21"/>
    </row>
    <row r="2550" spans="24:32" x14ac:dyDescent="0.25">
      <c r="X2550" s="4"/>
      <c r="Y2550" s="4"/>
      <c r="Z2550" s="4"/>
      <c r="AA2550" s="4"/>
      <c r="AB2550" s="4"/>
      <c r="AC2550" s="7"/>
      <c r="AD2550" s="4"/>
      <c r="AE2550" s="4"/>
      <c r="AF2550" s="21"/>
    </row>
    <row r="2551" spans="24:32" x14ac:dyDescent="0.25">
      <c r="X2551" s="4"/>
      <c r="Y2551" s="4"/>
      <c r="Z2551" s="4"/>
      <c r="AA2551" s="4"/>
      <c r="AB2551" s="4"/>
      <c r="AC2551" s="7"/>
      <c r="AD2551" s="4"/>
      <c r="AE2551" s="4"/>
      <c r="AF2551" s="21"/>
    </row>
    <row r="2552" spans="24:32" x14ac:dyDescent="0.25">
      <c r="X2552" s="4"/>
      <c r="Y2552" s="4"/>
      <c r="Z2552" s="4"/>
      <c r="AA2552" s="4"/>
      <c r="AB2552" s="4"/>
      <c r="AC2552" s="7"/>
      <c r="AD2552" s="4"/>
      <c r="AE2552" s="4"/>
      <c r="AF2552" s="21"/>
    </row>
    <row r="2553" spans="24:32" x14ac:dyDescent="0.25">
      <c r="X2553" s="4"/>
      <c r="Y2553" s="4"/>
      <c r="Z2553" s="4"/>
      <c r="AA2553" s="4"/>
      <c r="AB2553" s="4"/>
      <c r="AC2553" s="7"/>
      <c r="AD2553" s="4"/>
      <c r="AE2553" s="4"/>
      <c r="AF2553" s="21"/>
    </row>
    <row r="2554" spans="24:32" x14ac:dyDescent="0.25">
      <c r="X2554" s="4"/>
      <c r="Y2554" s="4"/>
      <c r="Z2554" s="4"/>
      <c r="AA2554" s="4"/>
      <c r="AB2554" s="4"/>
      <c r="AC2554" s="7"/>
      <c r="AD2554" s="4"/>
      <c r="AE2554" s="4"/>
      <c r="AF2554" s="21"/>
    </row>
    <row r="2555" spans="24:32" x14ac:dyDescent="0.25">
      <c r="X2555" s="4"/>
      <c r="Y2555" s="4"/>
      <c r="Z2555" s="4"/>
      <c r="AA2555" s="4"/>
      <c r="AB2555" s="4"/>
      <c r="AC2555" s="7"/>
      <c r="AD2555" s="4"/>
      <c r="AE2555" s="4"/>
      <c r="AF2555" s="21"/>
    </row>
    <row r="2556" spans="24:32" x14ac:dyDescent="0.25">
      <c r="X2556" s="4"/>
      <c r="Y2556" s="4"/>
      <c r="Z2556" s="4"/>
      <c r="AA2556" s="4"/>
      <c r="AB2556" s="4"/>
      <c r="AC2556" s="7"/>
      <c r="AD2556" s="4"/>
      <c r="AE2556" s="4"/>
      <c r="AF2556" s="21"/>
    </row>
    <row r="2557" spans="24:32" x14ac:dyDescent="0.25">
      <c r="X2557" s="4"/>
      <c r="Y2557" s="4"/>
      <c r="Z2557" s="4"/>
      <c r="AA2557" s="4"/>
      <c r="AB2557" s="4"/>
      <c r="AC2557" s="7"/>
      <c r="AD2557" s="4"/>
      <c r="AE2557" s="4"/>
      <c r="AF2557" s="21"/>
    </row>
    <row r="2558" spans="24:32" x14ac:dyDescent="0.25">
      <c r="X2558" s="4"/>
      <c r="Y2558" s="4"/>
      <c r="Z2558" s="4"/>
      <c r="AA2558" s="4"/>
      <c r="AB2558" s="4"/>
      <c r="AC2558" s="7"/>
      <c r="AD2558" s="4"/>
      <c r="AE2558" s="4"/>
      <c r="AF2558" s="21"/>
    </row>
    <row r="2559" spans="24:32" x14ac:dyDescent="0.25">
      <c r="X2559" s="4"/>
      <c r="Y2559" s="4"/>
      <c r="Z2559" s="4"/>
      <c r="AA2559" s="4"/>
      <c r="AB2559" s="4"/>
      <c r="AC2559" s="7"/>
      <c r="AD2559" s="4"/>
      <c r="AE2559" s="4"/>
      <c r="AF2559" s="21"/>
    </row>
    <row r="2560" spans="24:32" x14ac:dyDescent="0.25">
      <c r="X2560" s="4"/>
      <c r="Y2560" s="4"/>
      <c r="Z2560" s="4"/>
      <c r="AA2560" s="4"/>
      <c r="AB2560" s="4"/>
      <c r="AC2560" s="7"/>
      <c r="AD2560" s="4"/>
      <c r="AE2560" s="4"/>
      <c r="AF2560" s="21"/>
    </row>
    <row r="2561" spans="24:32" x14ac:dyDescent="0.25">
      <c r="X2561" s="4"/>
      <c r="Y2561" s="4"/>
      <c r="Z2561" s="4"/>
      <c r="AA2561" s="4"/>
      <c r="AB2561" s="4"/>
      <c r="AC2561" s="7"/>
      <c r="AD2561" s="4"/>
      <c r="AE2561" s="4"/>
      <c r="AF2561" s="21"/>
    </row>
    <row r="2562" spans="24:32" x14ac:dyDescent="0.25">
      <c r="X2562" s="4"/>
      <c r="Y2562" s="4"/>
      <c r="Z2562" s="4"/>
      <c r="AA2562" s="4"/>
      <c r="AB2562" s="4"/>
      <c r="AC2562" s="7"/>
      <c r="AD2562" s="4"/>
      <c r="AE2562" s="4"/>
      <c r="AF2562" s="21"/>
    </row>
    <row r="2563" spans="24:32" x14ac:dyDescent="0.25">
      <c r="X2563" s="4"/>
      <c r="Y2563" s="4"/>
      <c r="Z2563" s="4"/>
      <c r="AA2563" s="4"/>
      <c r="AB2563" s="4"/>
      <c r="AC2563" s="7"/>
      <c r="AD2563" s="4"/>
      <c r="AE2563" s="4"/>
      <c r="AF2563" s="21"/>
    </row>
    <row r="2564" spans="24:32" x14ac:dyDescent="0.25">
      <c r="X2564" s="4"/>
      <c r="Y2564" s="4"/>
      <c r="Z2564" s="4"/>
      <c r="AA2564" s="4"/>
      <c r="AB2564" s="4"/>
      <c r="AC2564" s="7"/>
      <c r="AD2564" s="4"/>
      <c r="AE2564" s="4"/>
      <c r="AF2564" s="21"/>
    </row>
    <row r="2565" spans="24:32" x14ac:dyDescent="0.25">
      <c r="X2565" s="4"/>
      <c r="Y2565" s="4"/>
      <c r="Z2565" s="4"/>
      <c r="AA2565" s="4"/>
      <c r="AB2565" s="4"/>
      <c r="AC2565" s="7"/>
      <c r="AD2565" s="4"/>
      <c r="AE2565" s="4"/>
      <c r="AF2565" s="21"/>
    </row>
    <row r="2566" spans="24:32" x14ac:dyDescent="0.25">
      <c r="X2566" s="4"/>
      <c r="Y2566" s="4"/>
      <c r="Z2566" s="4"/>
      <c r="AA2566" s="4"/>
      <c r="AB2566" s="4"/>
      <c r="AC2566" s="7"/>
      <c r="AD2566" s="4"/>
      <c r="AE2566" s="4"/>
      <c r="AF2566" s="21"/>
    </row>
    <row r="2567" spans="24:32" x14ac:dyDescent="0.25">
      <c r="X2567" s="4"/>
      <c r="Y2567" s="4"/>
      <c r="Z2567" s="4"/>
      <c r="AA2567" s="4"/>
      <c r="AB2567" s="4"/>
      <c r="AC2567" s="7"/>
      <c r="AD2567" s="4"/>
      <c r="AE2567" s="4"/>
      <c r="AF2567" s="21"/>
    </row>
    <row r="2568" spans="24:32" x14ac:dyDescent="0.25">
      <c r="X2568" s="4"/>
      <c r="Y2568" s="4"/>
      <c r="Z2568" s="4"/>
      <c r="AA2568" s="4"/>
      <c r="AB2568" s="4"/>
      <c r="AC2568" s="7"/>
      <c r="AD2568" s="4"/>
      <c r="AE2568" s="4"/>
      <c r="AF2568" s="21"/>
    </row>
    <row r="2569" spans="24:32" x14ac:dyDescent="0.25">
      <c r="X2569" s="4"/>
      <c r="Y2569" s="4"/>
      <c r="Z2569" s="4"/>
      <c r="AA2569" s="4"/>
      <c r="AB2569" s="4"/>
      <c r="AC2569" s="7"/>
      <c r="AD2569" s="4"/>
      <c r="AE2569" s="4"/>
      <c r="AF2569" s="21"/>
    </row>
    <row r="2570" spans="24:32" x14ac:dyDescent="0.25">
      <c r="X2570" s="4"/>
      <c r="Y2570" s="4"/>
      <c r="Z2570" s="4"/>
      <c r="AA2570" s="4"/>
      <c r="AB2570" s="4"/>
      <c r="AC2570" s="7"/>
      <c r="AD2570" s="4"/>
      <c r="AE2570" s="4"/>
      <c r="AF2570" s="21"/>
    </row>
    <row r="2571" spans="24:32" x14ac:dyDescent="0.25">
      <c r="X2571" s="4"/>
      <c r="Y2571" s="4"/>
      <c r="Z2571" s="4"/>
      <c r="AA2571" s="4"/>
      <c r="AB2571" s="4"/>
      <c r="AC2571" s="7"/>
      <c r="AD2571" s="4"/>
      <c r="AE2571" s="4"/>
      <c r="AF2571" s="21"/>
    </row>
    <row r="2572" spans="24:32" x14ac:dyDescent="0.25">
      <c r="X2572" s="4"/>
      <c r="Y2572" s="4"/>
      <c r="Z2572" s="4"/>
      <c r="AA2572" s="4"/>
      <c r="AB2572" s="4"/>
      <c r="AC2572" s="7"/>
      <c r="AD2572" s="4"/>
      <c r="AE2572" s="4"/>
      <c r="AF2572" s="21"/>
    </row>
    <row r="2573" spans="24:32" x14ac:dyDescent="0.25">
      <c r="X2573" s="4"/>
      <c r="Y2573" s="4"/>
      <c r="Z2573" s="4"/>
      <c r="AA2573" s="4"/>
      <c r="AB2573" s="4"/>
      <c r="AC2573" s="7"/>
      <c r="AD2573" s="4"/>
      <c r="AE2573" s="4"/>
      <c r="AF2573" s="21"/>
    </row>
    <row r="2574" spans="24:32" x14ac:dyDescent="0.25">
      <c r="X2574" s="4"/>
      <c r="Y2574" s="4"/>
      <c r="Z2574" s="4"/>
      <c r="AA2574" s="4"/>
      <c r="AB2574" s="4"/>
      <c r="AC2574" s="7"/>
      <c r="AD2574" s="4"/>
      <c r="AE2574" s="4"/>
      <c r="AF2574" s="21"/>
    </row>
    <row r="2575" spans="24:32" x14ac:dyDescent="0.25">
      <c r="X2575" s="4"/>
      <c r="Y2575" s="4"/>
      <c r="Z2575" s="4"/>
      <c r="AA2575" s="4"/>
      <c r="AB2575" s="4"/>
      <c r="AC2575" s="7"/>
      <c r="AD2575" s="4"/>
      <c r="AE2575" s="4"/>
      <c r="AF2575" s="21"/>
    </row>
    <row r="2576" spans="24:32" x14ac:dyDescent="0.25">
      <c r="X2576" s="4"/>
      <c r="Y2576" s="4"/>
      <c r="Z2576" s="4"/>
      <c r="AA2576" s="4"/>
      <c r="AB2576" s="4"/>
      <c r="AC2576" s="7"/>
      <c r="AD2576" s="4"/>
      <c r="AE2576" s="4"/>
      <c r="AF2576" s="21"/>
    </row>
    <row r="2577" spans="24:32" x14ac:dyDescent="0.25">
      <c r="X2577" s="4"/>
      <c r="Y2577" s="4"/>
      <c r="Z2577" s="4"/>
      <c r="AA2577" s="4"/>
      <c r="AB2577" s="4"/>
      <c r="AC2577" s="7"/>
      <c r="AD2577" s="4"/>
      <c r="AE2577" s="4"/>
      <c r="AF2577" s="21"/>
    </row>
    <row r="2578" spans="24:32" x14ac:dyDescent="0.25">
      <c r="X2578" s="4"/>
      <c r="Y2578" s="4"/>
      <c r="Z2578" s="4"/>
      <c r="AA2578" s="4"/>
      <c r="AB2578" s="4"/>
      <c r="AC2578" s="7"/>
      <c r="AD2578" s="4"/>
      <c r="AE2578" s="4"/>
      <c r="AF2578" s="21"/>
    </row>
    <row r="2579" spans="24:32" x14ac:dyDescent="0.25">
      <c r="X2579" s="4"/>
      <c r="Y2579" s="4"/>
      <c r="Z2579" s="4"/>
      <c r="AA2579" s="4"/>
      <c r="AB2579" s="4"/>
      <c r="AC2579" s="7"/>
      <c r="AD2579" s="4"/>
      <c r="AE2579" s="4"/>
      <c r="AF2579" s="21"/>
    </row>
    <row r="2580" spans="24:32" x14ac:dyDescent="0.25">
      <c r="X2580" s="4"/>
      <c r="Y2580" s="4"/>
      <c r="Z2580" s="4"/>
      <c r="AA2580" s="4"/>
      <c r="AB2580" s="4"/>
      <c r="AC2580" s="7"/>
      <c r="AD2580" s="4"/>
      <c r="AE2580" s="4"/>
      <c r="AF2580" s="21"/>
    </row>
    <row r="2581" spans="24:32" x14ac:dyDescent="0.25">
      <c r="X2581" s="4"/>
      <c r="Y2581" s="4"/>
      <c r="Z2581" s="4"/>
      <c r="AA2581" s="4"/>
      <c r="AB2581" s="4"/>
      <c r="AC2581" s="7"/>
      <c r="AD2581" s="4"/>
      <c r="AE2581" s="4"/>
      <c r="AF2581" s="21"/>
    </row>
    <row r="2582" spans="24:32" x14ac:dyDescent="0.25">
      <c r="X2582" s="4"/>
      <c r="Y2582" s="4"/>
      <c r="Z2582" s="4"/>
      <c r="AA2582" s="4"/>
      <c r="AB2582" s="4"/>
      <c r="AC2582" s="7"/>
      <c r="AD2582" s="4"/>
      <c r="AE2582" s="4"/>
      <c r="AF2582" s="21"/>
    </row>
    <row r="2583" spans="24:32" x14ac:dyDescent="0.25">
      <c r="X2583" s="4"/>
      <c r="Y2583" s="4"/>
      <c r="Z2583" s="4"/>
      <c r="AA2583" s="4"/>
      <c r="AB2583" s="4"/>
      <c r="AC2583" s="7"/>
      <c r="AD2583" s="4"/>
      <c r="AE2583" s="4"/>
      <c r="AF2583" s="21"/>
    </row>
    <row r="2584" spans="24:32" x14ac:dyDescent="0.25">
      <c r="X2584" s="4"/>
      <c r="Y2584" s="4"/>
      <c r="Z2584" s="4"/>
      <c r="AA2584" s="4"/>
      <c r="AB2584" s="4"/>
      <c r="AC2584" s="7"/>
      <c r="AD2584" s="4"/>
      <c r="AE2584" s="4"/>
      <c r="AF2584" s="21"/>
    </row>
    <row r="2585" spans="24:32" x14ac:dyDescent="0.25">
      <c r="X2585" s="4"/>
      <c r="Y2585" s="4"/>
      <c r="Z2585" s="4"/>
      <c r="AA2585" s="4"/>
      <c r="AB2585" s="4"/>
      <c r="AC2585" s="7"/>
      <c r="AD2585" s="4"/>
      <c r="AE2585" s="4"/>
      <c r="AF2585" s="21"/>
    </row>
    <row r="2586" spans="24:32" x14ac:dyDescent="0.25">
      <c r="X2586" s="4"/>
      <c r="Y2586" s="4"/>
      <c r="Z2586" s="4"/>
      <c r="AA2586" s="4"/>
      <c r="AB2586" s="4"/>
      <c r="AC2586" s="7"/>
      <c r="AD2586" s="4"/>
      <c r="AE2586" s="4"/>
      <c r="AF2586" s="21"/>
    </row>
    <row r="2587" spans="24:32" x14ac:dyDescent="0.25">
      <c r="X2587" s="4"/>
      <c r="Y2587" s="4"/>
      <c r="Z2587" s="4"/>
      <c r="AA2587" s="4"/>
      <c r="AB2587" s="4"/>
      <c r="AC2587" s="7"/>
      <c r="AD2587" s="4"/>
      <c r="AE2587" s="4"/>
      <c r="AF2587" s="21"/>
    </row>
    <row r="2588" spans="24:32" x14ac:dyDescent="0.25">
      <c r="X2588" s="4"/>
      <c r="Y2588" s="4"/>
      <c r="Z2588" s="4"/>
      <c r="AA2588" s="4"/>
      <c r="AB2588" s="4"/>
      <c r="AC2588" s="7"/>
      <c r="AD2588" s="4"/>
      <c r="AE2588" s="4"/>
      <c r="AF2588" s="21"/>
    </row>
    <row r="2589" spans="24:32" x14ac:dyDescent="0.25">
      <c r="X2589" s="4"/>
      <c r="Y2589" s="4"/>
      <c r="Z2589" s="4"/>
      <c r="AA2589" s="4"/>
      <c r="AB2589" s="4"/>
      <c r="AC2589" s="7"/>
      <c r="AD2589" s="4"/>
      <c r="AE2589" s="4"/>
      <c r="AF2589" s="21"/>
    </row>
    <row r="2590" spans="24:32" x14ac:dyDescent="0.25">
      <c r="X2590" s="4"/>
      <c r="Y2590" s="4"/>
      <c r="Z2590" s="4"/>
      <c r="AA2590" s="4"/>
      <c r="AB2590" s="4"/>
      <c r="AC2590" s="7"/>
      <c r="AD2590" s="4"/>
      <c r="AE2590" s="4"/>
      <c r="AF2590" s="21"/>
    </row>
    <row r="2591" spans="24:32" x14ac:dyDescent="0.25">
      <c r="X2591" s="4"/>
      <c r="Y2591" s="4"/>
      <c r="Z2591" s="4"/>
      <c r="AA2591" s="4"/>
      <c r="AB2591" s="4"/>
      <c r="AC2591" s="7"/>
      <c r="AD2591" s="4"/>
      <c r="AE2591" s="4"/>
      <c r="AF2591" s="21"/>
    </row>
    <row r="2592" spans="24:32" x14ac:dyDescent="0.25">
      <c r="X2592" s="4"/>
      <c r="Y2592" s="4"/>
      <c r="Z2592" s="4"/>
      <c r="AA2592" s="4"/>
      <c r="AB2592" s="4"/>
      <c r="AC2592" s="7"/>
      <c r="AD2592" s="4"/>
      <c r="AE2592" s="4"/>
      <c r="AF2592" s="21"/>
    </row>
    <row r="2593" spans="24:32" x14ac:dyDescent="0.25">
      <c r="X2593" s="4"/>
      <c r="Y2593" s="4"/>
      <c r="Z2593" s="4"/>
      <c r="AA2593" s="4"/>
      <c r="AB2593" s="4"/>
      <c r="AC2593" s="7"/>
      <c r="AD2593" s="4"/>
      <c r="AE2593" s="4"/>
      <c r="AF2593" s="21"/>
    </row>
    <row r="2594" spans="24:32" x14ac:dyDescent="0.25">
      <c r="X2594" s="4"/>
      <c r="Y2594" s="4"/>
      <c r="Z2594" s="4"/>
      <c r="AA2594" s="4"/>
      <c r="AB2594" s="4"/>
      <c r="AC2594" s="7"/>
      <c r="AD2594" s="4"/>
      <c r="AE2594" s="4"/>
      <c r="AF2594" s="21"/>
    </row>
    <row r="2595" spans="24:32" x14ac:dyDescent="0.25">
      <c r="X2595" s="4"/>
      <c r="Y2595" s="4"/>
      <c r="Z2595" s="4"/>
      <c r="AA2595" s="4"/>
      <c r="AB2595" s="4"/>
      <c r="AC2595" s="7"/>
      <c r="AD2595" s="4"/>
      <c r="AE2595" s="4"/>
      <c r="AF2595" s="21"/>
    </row>
    <row r="2596" spans="24:32" x14ac:dyDescent="0.25">
      <c r="X2596" s="4"/>
      <c r="Y2596" s="4"/>
      <c r="Z2596" s="4"/>
      <c r="AA2596" s="4"/>
      <c r="AB2596" s="4"/>
      <c r="AC2596" s="7"/>
      <c r="AD2596" s="4"/>
      <c r="AE2596" s="4"/>
      <c r="AF2596" s="21"/>
    </row>
    <row r="2597" spans="24:32" x14ac:dyDescent="0.25">
      <c r="X2597" s="4"/>
      <c r="Y2597" s="4"/>
      <c r="Z2597" s="4"/>
      <c r="AA2597" s="4"/>
      <c r="AB2597" s="4"/>
      <c r="AC2597" s="7"/>
      <c r="AD2597" s="4"/>
      <c r="AE2597" s="4"/>
      <c r="AF2597" s="21"/>
    </row>
    <row r="2598" spans="24:32" x14ac:dyDescent="0.25">
      <c r="X2598" s="4"/>
      <c r="Y2598" s="4"/>
      <c r="Z2598" s="4"/>
      <c r="AA2598" s="4"/>
      <c r="AB2598" s="4"/>
      <c r="AC2598" s="7"/>
      <c r="AD2598" s="4"/>
      <c r="AE2598" s="4"/>
      <c r="AF2598" s="21"/>
    </row>
    <row r="2599" spans="24:32" x14ac:dyDescent="0.25">
      <c r="X2599" s="4"/>
      <c r="Y2599" s="4"/>
      <c r="Z2599" s="4"/>
      <c r="AA2599" s="4"/>
      <c r="AB2599" s="4"/>
      <c r="AC2599" s="7"/>
      <c r="AD2599" s="4"/>
      <c r="AE2599" s="4"/>
      <c r="AF2599" s="21"/>
    </row>
    <row r="2600" spans="24:32" x14ac:dyDescent="0.25">
      <c r="X2600" s="4"/>
      <c r="Y2600" s="4"/>
      <c r="Z2600" s="4"/>
      <c r="AA2600" s="4"/>
      <c r="AB2600" s="4"/>
      <c r="AC2600" s="7"/>
      <c r="AD2600" s="4"/>
      <c r="AE2600" s="4"/>
      <c r="AF2600" s="21"/>
    </row>
    <row r="2601" spans="24:32" x14ac:dyDescent="0.25">
      <c r="X2601" s="4"/>
      <c r="Y2601" s="4"/>
      <c r="Z2601" s="4"/>
      <c r="AA2601" s="4"/>
      <c r="AB2601" s="4"/>
      <c r="AC2601" s="7"/>
      <c r="AD2601" s="4"/>
      <c r="AE2601" s="4"/>
      <c r="AF2601" s="21"/>
    </row>
    <row r="2602" spans="24:32" x14ac:dyDescent="0.25">
      <c r="X2602" s="4"/>
      <c r="Y2602" s="4"/>
      <c r="Z2602" s="4"/>
      <c r="AA2602" s="4"/>
      <c r="AB2602" s="4"/>
      <c r="AC2602" s="7"/>
      <c r="AD2602" s="4"/>
      <c r="AE2602" s="4"/>
      <c r="AF2602" s="21"/>
    </row>
    <row r="2603" spans="24:32" x14ac:dyDescent="0.25">
      <c r="X2603" s="4"/>
      <c r="Y2603" s="4"/>
      <c r="Z2603" s="4"/>
      <c r="AA2603" s="4"/>
      <c r="AB2603" s="4"/>
      <c r="AC2603" s="7"/>
      <c r="AD2603" s="4"/>
      <c r="AE2603" s="4"/>
      <c r="AF2603" s="21"/>
    </row>
    <row r="2604" spans="24:32" x14ac:dyDescent="0.25">
      <c r="X2604" s="4"/>
      <c r="Y2604" s="4"/>
      <c r="Z2604" s="4"/>
      <c r="AA2604" s="4"/>
      <c r="AB2604" s="4"/>
      <c r="AC2604" s="7"/>
      <c r="AD2604" s="4"/>
      <c r="AE2604" s="4"/>
      <c r="AF2604" s="21"/>
    </row>
    <row r="2605" spans="24:32" x14ac:dyDescent="0.25">
      <c r="X2605" s="4"/>
      <c r="Y2605" s="4"/>
      <c r="Z2605" s="4"/>
      <c r="AA2605" s="4"/>
      <c r="AB2605" s="4"/>
      <c r="AC2605" s="7"/>
      <c r="AD2605" s="4"/>
      <c r="AE2605" s="4"/>
      <c r="AF2605" s="21"/>
    </row>
    <row r="2606" spans="24:32" x14ac:dyDescent="0.25">
      <c r="X2606" s="4"/>
      <c r="Y2606" s="4"/>
      <c r="Z2606" s="4"/>
      <c r="AA2606" s="4"/>
      <c r="AB2606" s="4"/>
      <c r="AC2606" s="7"/>
      <c r="AD2606" s="4"/>
      <c r="AE2606" s="4"/>
      <c r="AF2606" s="21"/>
    </row>
    <row r="2607" spans="24:32" x14ac:dyDescent="0.25">
      <c r="X2607" s="4"/>
      <c r="Y2607" s="4"/>
      <c r="Z2607" s="4"/>
      <c r="AA2607" s="4"/>
      <c r="AB2607" s="4"/>
      <c r="AC2607" s="7"/>
      <c r="AD2607" s="4"/>
      <c r="AE2607" s="4"/>
      <c r="AF2607" s="21"/>
    </row>
    <row r="2608" spans="24:32" x14ac:dyDescent="0.25">
      <c r="X2608" s="4"/>
      <c r="Y2608" s="4"/>
      <c r="Z2608" s="4"/>
      <c r="AA2608" s="4"/>
      <c r="AB2608" s="4"/>
      <c r="AC2608" s="7"/>
      <c r="AD2608" s="4"/>
      <c r="AE2608" s="4"/>
      <c r="AF2608" s="21"/>
    </row>
    <row r="2609" spans="24:32" x14ac:dyDescent="0.25">
      <c r="X2609" s="4"/>
      <c r="Y2609" s="4"/>
      <c r="Z2609" s="4"/>
      <c r="AA2609" s="4"/>
      <c r="AB2609" s="4"/>
      <c r="AC2609" s="7"/>
      <c r="AD2609" s="4"/>
      <c r="AE2609" s="4"/>
      <c r="AF2609" s="21"/>
    </row>
    <row r="2610" spans="24:32" x14ac:dyDescent="0.25">
      <c r="X2610" s="4"/>
      <c r="Y2610" s="4"/>
      <c r="Z2610" s="4"/>
      <c r="AA2610" s="4"/>
      <c r="AB2610" s="4"/>
      <c r="AC2610" s="7"/>
      <c r="AD2610" s="4"/>
      <c r="AE2610" s="4"/>
      <c r="AF2610" s="21"/>
    </row>
    <row r="2611" spans="24:32" x14ac:dyDescent="0.25">
      <c r="X2611" s="4"/>
      <c r="Y2611" s="4"/>
      <c r="Z2611" s="4"/>
      <c r="AA2611" s="4"/>
      <c r="AB2611" s="4"/>
      <c r="AC2611" s="7"/>
      <c r="AD2611" s="4"/>
      <c r="AE2611" s="4"/>
      <c r="AF2611" s="21"/>
    </row>
    <row r="2612" spans="24:32" x14ac:dyDescent="0.25">
      <c r="X2612" s="4"/>
      <c r="Y2612" s="4"/>
      <c r="Z2612" s="4"/>
      <c r="AA2612" s="4"/>
      <c r="AB2612" s="4"/>
      <c r="AC2612" s="7"/>
      <c r="AD2612" s="4"/>
      <c r="AE2612" s="4"/>
      <c r="AF2612" s="21"/>
    </row>
    <row r="2613" spans="24:32" x14ac:dyDescent="0.25">
      <c r="X2613" s="4"/>
      <c r="Y2613" s="4"/>
      <c r="Z2613" s="4"/>
      <c r="AA2613" s="4"/>
      <c r="AB2613" s="4"/>
      <c r="AC2613" s="7"/>
      <c r="AD2613" s="4"/>
      <c r="AE2613" s="4"/>
      <c r="AF2613" s="21"/>
    </row>
    <row r="2614" spans="24:32" x14ac:dyDescent="0.25">
      <c r="X2614" s="4"/>
      <c r="Y2614" s="4"/>
      <c r="Z2614" s="4"/>
      <c r="AA2614" s="4"/>
      <c r="AB2614" s="4"/>
      <c r="AC2614" s="7"/>
      <c r="AD2614" s="4"/>
      <c r="AE2614" s="4"/>
      <c r="AF2614" s="21"/>
    </row>
    <row r="2615" spans="24:32" x14ac:dyDescent="0.25">
      <c r="X2615" s="4"/>
      <c r="Y2615" s="4"/>
      <c r="Z2615" s="4"/>
      <c r="AA2615" s="4"/>
      <c r="AB2615" s="4"/>
      <c r="AC2615" s="7"/>
      <c r="AD2615" s="4"/>
      <c r="AE2615" s="4"/>
      <c r="AF2615" s="21"/>
    </row>
    <row r="2616" spans="24:32" x14ac:dyDescent="0.25">
      <c r="X2616" s="4"/>
      <c r="Y2616" s="4"/>
      <c r="Z2616" s="4"/>
      <c r="AA2616" s="4"/>
      <c r="AB2616" s="4"/>
      <c r="AC2616" s="7"/>
      <c r="AD2616" s="4"/>
      <c r="AE2616" s="4"/>
      <c r="AF2616" s="21"/>
    </row>
    <row r="2617" spans="24:32" x14ac:dyDescent="0.25">
      <c r="X2617" s="4"/>
      <c r="Y2617" s="4"/>
      <c r="Z2617" s="4"/>
      <c r="AA2617" s="4"/>
      <c r="AB2617" s="4"/>
      <c r="AC2617" s="7"/>
      <c r="AD2617" s="4"/>
      <c r="AE2617" s="4"/>
      <c r="AF2617" s="21"/>
    </row>
    <row r="2618" spans="24:32" x14ac:dyDescent="0.25">
      <c r="X2618" s="4"/>
      <c r="Y2618" s="4"/>
      <c r="Z2618" s="4"/>
      <c r="AA2618" s="4"/>
      <c r="AB2618" s="4"/>
      <c r="AC2618" s="7"/>
      <c r="AD2618" s="4"/>
      <c r="AE2618" s="4"/>
      <c r="AF2618" s="21"/>
    </row>
    <row r="2619" spans="24:32" x14ac:dyDescent="0.25">
      <c r="X2619" s="4"/>
      <c r="Y2619" s="4"/>
      <c r="Z2619" s="4"/>
      <c r="AA2619" s="4"/>
      <c r="AB2619" s="4"/>
      <c r="AC2619" s="7"/>
      <c r="AD2619" s="4"/>
      <c r="AE2619" s="4"/>
      <c r="AF2619" s="21"/>
    </row>
    <row r="2620" spans="24:32" x14ac:dyDescent="0.25">
      <c r="X2620" s="4"/>
      <c r="Y2620" s="4"/>
      <c r="Z2620" s="4"/>
      <c r="AA2620" s="4"/>
      <c r="AB2620" s="4"/>
      <c r="AC2620" s="7"/>
      <c r="AD2620" s="4"/>
      <c r="AE2620" s="4"/>
      <c r="AF2620" s="21"/>
    </row>
    <row r="2621" spans="24:32" x14ac:dyDescent="0.25">
      <c r="X2621" s="4"/>
      <c r="Y2621" s="4"/>
      <c r="Z2621" s="4"/>
      <c r="AA2621" s="4"/>
      <c r="AB2621" s="4"/>
      <c r="AC2621" s="7"/>
      <c r="AD2621" s="4"/>
      <c r="AE2621" s="4"/>
      <c r="AF2621" s="21"/>
    </row>
    <row r="2622" spans="24:32" x14ac:dyDescent="0.25">
      <c r="X2622" s="4"/>
      <c r="Y2622" s="4"/>
      <c r="Z2622" s="4"/>
      <c r="AA2622" s="4"/>
      <c r="AB2622" s="4"/>
      <c r="AC2622" s="7"/>
      <c r="AD2622" s="4"/>
      <c r="AE2622" s="4"/>
      <c r="AF2622" s="21"/>
    </row>
    <row r="2623" spans="24:32" x14ac:dyDescent="0.25">
      <c r="X2623" s="4"/>
      <c r="Y2623" s="4"/>
      <c r="Z2623" s="4"/>
      <c r="AA2623" s="4"/>
      <c r="AB2623" s="4"/>
      <c r="AC2623" s="7"/>
      <c r="AD2623" s="4"/>
      <c r="AE2623" s="4"/>
      <c r="AF2623" s="21"/>
    </row>
    <row r="2624" spans="24:32" x14ac:dyDescent="0.25">
      <c r="X2624" s="4"/>
      <c r="Y2624" s="4"/>
      <c r="Z2624" s="4"/>
      <c r="AA2624" s="4"/>
      <c r="AB2624" s="4"/>
      <c r="AC2624" s="7"/>
      <c r="AD2624" s="4"/>
      <c r="AE2624" s="4"/>
      <c r="AF2624" s="21"/>
    </row>
    <row r="2625" spans="24:32" x14ac:dyDescent="0.25">
      <c r="X2625" s="4"/>
      <c r="Y2625" s="4"/>
      <c r="Z2625" s="4"/>
      <c r="AA2625" s="4"/>
      <c r="AB2625" s="4"/>
      <c r="AC2625" s="7"/>
      <c r="AD2625" s="4"/>
      <c r="AE2625" s="4"/>
      <c r="AF2625" s="21"/>
    </row>
    <row r="2626" spans="24:32" x14ac:dyDescent="0.25">
      <c r="X2626" s="4"/>
      <c r="Y2626" s="4"/>
      <c r="Z2626" s="4"/>
      <c r="AA2626" s="4"/>
      <c r="AB2626" s="4"/>
      <c r="AC2626" s="7"/>
      <c r="AD2626" s="4"/>
      <c r="AE2626" s="4"/>
      <c r="AF2626" s="21"/>
    </row>
    <row r="2627" spans="24:32" x14ac:dyDescent="0.25">
      <c r="X2627" s="4"/>
      <c r="Y2627" s="4"/>
      <c r="Z2627" s="4"/>
      <c r="AA2627" s="4"/>
      <c r="AB2627" s="4"/>
      <c r="AC2627" s="7"/>
      <c r="AD2627" s="4"/>
      <c r="AE2627" s="4"/>
      <c r="AF2627" s="21"/>
    </row>
    <row r="2628" spans="24:32" x14ac:dyDescent="0.25">
      <c r="X2628" s="4"/>
      <c r="Y2628" s="4"/>
      <c r="Z2628" s="4"/>
      <c r="AA2628" s="4"/>
      <c r="AB2628" s="4"/>
      <c r="AC2628" s="7"/>
      <c r="AD2628" s="4"/>
      <c r="AE2628" s="4"/>
      <c r="AF2628" s="21"/>
    </row>
    <row r="2629" spans="24:32" x14ac:dyDescent="0.25">
      <c r="X2629" s="4"/>
      <c r="Y2629" s="4"/>
      <c r="Z2629" s="4"/>
      <c r="AA2629" s="4"/>
      <c r="AB2629" s="4"/>
      <c r="AC2629" s="7"/>
      <c r="AD2629" s="4"/>
      <c r="AE2629" s="4"/>
      <c r="AF2629" s="21"/>
    </row>
    <row r="2630" spans="24:32" x14ac:dyDescent="0.25">
      <c r="X2630" s="4"/>
      <c r="Y2630" s="4"/>
      <c r="Z2630" s="4"/>
      <c r="AA2630" s="4"/>
      <c r="AB2630" s="4"/>
      <c r="AC2630" s="7"/>
      <c r="AD2630" s="4"/>
      <c r="AE2630" s="4"/>
      <c r="AF2630" s="21"/>
    </row>
    <row r="2631" spans="24:32" x14ac:dyDescent="0.25">
      <c r="X2631" s="4"/>
      <c r="Y2631" s="4"/>
      <c r="Z2631" s="4"/>
      <c r="AA2631" s="4"/>
      <c r="AB2631" s="4"/>
      <c r="AC2631" s="7"/>
      <c r="AD2631" s="4"/>
      <c r="AE2631" s="4"/>
      <c r="AF2631" s="21"/>
    </row>
    <row r="2632" spans="24:32" x14ac:dyDescent="0.25">
      <c r="X2632" s="4"/>
      <c r="Y2632" s="4"/>
      <c r="Z2632" s="4"/>
      <c r="AA2632" s="4"/>
      <c r="AB2632" s="4"/>
      <c r="AC2632" s="7"/>
      <c r="AD2632" s="4"/>
      <c r="AE2632" s="4"/>
      <c r="AF2632" s="21"/>
    </row>
    <row r="2633" spans="24:32" x14ac:dyDescent="0.25">
      <c r="X2633" s="4"/>
      <c r="Y2633" s="4"/>
      <c r="Z2633" s="4"/>
      <c r="AA2633" s="4"/>
      <c r="AB2633" s="4"/>
      <c r="AC2633" s="7"/>
      <c r="AD2633" s="4"/>
      <c r="AE2633" s="4"/>
      <c r="AF2633" s="21"/>
    </row>
    <row r="2634" spans="24:32" x14ac:dyDescent="0.25">
      <c r="X2634" s="4"/>
      <c r="Y2634" s="4"/>
      <c r="Z2634" s="4"/>
      <c r="AA2634" s="4"/>
      <c r="AB2634" s="4"/>
      <c r="AC2634" s="7"/>
      <c r="AD2634" s="4"/>
      <c r="AE2634" s="4"/>
      <c r="AF2634" s="21"/>
    </row>
    <row r="2635" spans="24:32" x14ac:dyDescent="0.25">
      <c r="X2635" s="4"/>
      <c r="Y2635" s="4"/>
      <c r="Z2635" s="4"/>
      <c r="AA2635" s="4"/>
      <c r="AB2635" s="4"/>
      <c r="AC2635" s="7"/>
      <c r="AD2635" s="4"/>
      <c r="AE2635" s="4"/>
      <c r="AF2635" s="21"/>
    </row>
    <row r="2636" spans="24:32" x14ac:dyDescent="0.25">
      <c r="X2636" s="4"/>
      <c r="Y2636" s="4"/>
      <c r="Z2636" s="4"/>
      <c r="AA2636" s="4"/>
      <c r="AB2636" s="4"/>
      <c r="AC2636" s="7"/>
      <c r="AD2636" s="4"/>
      <c r="AE2636" s="4"/>
      <c r="AF2636" s="21"/>
    </row>
    <row r="2637" spans="24:32" x14ac:dyDescent="0.25">
      <c r="X2637" s="4"/>
      <c r="Y2637" s="4"/>
      <c r="Z2637" s="4"/>
      <c r="AA2637" s="4"/>
      <c r="AB2637" s="4"/>
      <c r="AC2637" s="7"/>
      <c r="AD2637" s="4"/>
      <c r="AE2637" s="4"/>
      <c r="AF2637" s="21"/>
    </row>
    <row r="2638" spans="24:32" x14ac:dyDescent="0.25">
      <c r="X2638" s="4"/>
      <c r="Y2638" s="4"/>
      <c r="Z2638" s="4"/>
      <c r="AA2638" s="4"/>
      <c r="AB2638" s="4"/>
      <c r="AC2638" s="7"/>
      <c r="AD2638" s="4"/>
      <c r="AE2638" s="4"/>
      <c r="AF2638" s="21"/>
    </row>
    <row r="2639" spans="24:32" x14ac:dyDescent="0.25">
      <c r="X2639" s="4"/>
      <c r="Y2639" s="4"/>
      <c r="Z2639" s="4"/>
      <c r="AA2639" s="4"/>
      <c r="AB2639" s="4"/>
      <c r="AC2639" s="7"/>
      <c r="AD2639" s="4"/>
      <c r="AE2639" s="4"/>
      <c r="AF2639" s="21"/>
    </row>
    <row r="2640" spans="24:32" x14ac:dyDescent="0.25">
      <c r="X2640" s="4"/>
      <c r="Y2640" s="4"/>
      <c r="Z2640" s="4"/>
      <c r="AA2640" s="4"/>
      <c r="AB2640" s="4"/>
      <c r="AC2640" s="7"/>
      <c r="AD2640" s="4"/>
      <c r="AE2640" s="4"/>
      <c r="AF2640" s="21"/>
    </row>
    <row r="2641" spans="24:32" x14ac:dyDescent="0.25">
      <c r="X2641" s="4"/>
      <c r="Y2641" s="4"/>
      <c r="Z2641" s="4"/>
      <c r="AA2641" s="4"/>
      <c r="AB2641" s="4"/>
      <c r="AC2641" s="7"/>
      <c r="AD2641" s="4"/>
      <c r="AE2641" s="4"/>
      <c r="AF2641" s="21"/>
    </row>
    <row r="2642" spans="24:32" x14ac:dyDescent="0.25">
      <c r="X2642" s="4"/>
      <c r="Y2642" s="4"/>
      <c r="Z2642" s="4"/>
      <c r="AA2642" s="4"/>
      <c r="AB2642" s="4"/>
      <c r="AC2642" s="7"/>
      <c r="AD2642" s="4"/>
      <c r="AE2642" s="4"/>
      <c r="AF2642" s="21"/>
    </row>
    <row r="2643" spans="24:32" x14ac:dyDescent="0.25">
      <c r="X2643" s="4"/>
      <c r="Y2643" s="4"/>
      <c r="Z2643" s="4"/>
      <c r="AA2643" s="4"/>
      <c r="AB2643" s="4"/>
      <c r="AC2643" s="7"/>
      <c r="AD2643" s="4"/>
      <c r="AE2643" s="4"/>
      <c r="AF2643" s="21"/>
    </row>
    <row r="2644" spans="24:32" x14ac:dyDescent="0.25">
      <c r="X2644" s="4"/>
      <c r="Y2644" s="4"/>
      <c r="Z2644" s="4"/>
      <c r="AA2644" s="4"/>
      <c r="AB2644" s="4"/>
      <c r="AC2644" s="7"/>
      <c r="AD2644" s="4"/>
      <c r="AE2644" s="4"/>
      <c r="AF2644" s="21"/>
    </row>
    <row r="2645" spans="24:32" x14ac:dyDescent="0.25">
      <c r="X2645" s="4"/>
      <c r="Y2645" s="4"/>
      <c r="Z2645" s="4"/>
      <c r="AA2645" s="4"/>
      <c r="AB2645" s="4"/>
      <c r="AC2645" s="7"/>
      <c r="AD2645" s="4"/>
      <c r="AE2645" s="4"/>
      <c r="AF2645" s="21"/>
    </row>
    <row r="2646" spans="24:32" x14ac:dyDescent="0.25">
      <c r="X2646" s="4"/>
      <c r="Y2646" s="4"/>
      <c r="Z2646" s="4"/>
      <c r="AA2646" s="4"/>
      <c r="AB2646" s="4"/>
      <c r="AC2646" s="7"/>
      <c r="AD2646" s="4"/>
      <c r="AE2646" s="4"/>
      <c r="AF2646" s="21"/>
    </row>
    <row r="2647" spans="24:32" x14ac:dyDescent="0.25">
      <c r="X2647" s="4"/>
      <c r="Y2647" s="4"/>
      <c r="Z2647" s="4"/>
      <c r="AA2647" s="4"/>
      <c r="AB2647" s="4"/>
      <c r="AC2647" s="7"/>
      <c r="AD2647" s="4"/>
      <c r="AE2647" s="4"/>
      <c r="AF2647" s="21"/>
    </row>
    <row r="2648" spans="24:32" x14ac:dyDescent="0.25">
      <c r="X2648" s="4"/>
      <c r="Y2648" s="4"/>
      <c r="Z2648" s="4"/>
      <c r="AA2648" s="4"/>
      <c r="AB2648" s="4"/>
      <c r="AC2648" s="7"/>
      <c r="AD2648" s="4"/>
      <c r="AE2648" s="4"/>
      <c r="AF2648" s="21"/>
    </row>
    <row r="2649" spans="24:32" x14ac:dyDescent="0.25">
      <c r="X2649" s="4"/>
      <c r="Y2649" s="4"/>
      <c r="Z2649" s="4"/>
      <c r="AA2649" s="4"/>
      <c r="AB2649" s="4"/>
      <c r="AC2649" s="7"/>
      <c r="AD2649" s="4"/>
      <c r="AE2649" s="4"/>
      <c r="AF2649" s="21"/>
    </row>
    <row r="2650" spans="24:32" x14ac:dyDescent="0.25">
      <c r="X2650" s="4"/>
      <c r="Y2650" s="4"/>
      <c r="Z2650" s="4"/>
      <c r="AA2650" s="4"/>
      <c r="AB2650" s="4"/>
      <c r="AC2650" s="7"/>
      <c r="AD2650" s="4"/>
      <c r="AE2650" s="4"/>
      <c r="AF2650" s="21"/>
    </row>
    <row r="2651" spans="24:32" x14ac:dyDescent="0.25">
      <c r="X2651" s="4"/>
      <c r="Y2651" s="4"/>
      <c r="Z2651" s="4"/>
      <c r="AA2651" s="4"/>
      <c r="AB2651" s="4"/>
      <c r="AC2651" s="7"/>
      <c r="AD2651" s="4"/>
      <c r="AE2651" s="4"/>
      <c r="AF2651" s="21"/>
    </row>
    <row r="2652" spans="24:32" x14ac:dyDescent="0.25">
      <c r="X2652" s="4"/>
      <c r="Y2652" s="4"/>
      <c r="Z2652" s="4"/>
      <c r="AA2652" s="4"/>
      <c r="AB2652" s="4"/>
      <c r="AC2652" s="7"/>
      <c r="AD2652" s="4"/>
      <c r="AE2652" s="4"/>
      <c r="AF2652" s="21"/>
    </row>
    <row r="2653" spans="24:32" x14ac:dyDescent="0.25">
      <c r="X2653" s="4"/>
      <c r="Y2653" s="4"/>
      <c r="Z2653" s="4"/>
      <c r="AA2653" s="4"/>
      <c r="AB2653" s="4"/>
      <c r="AC2653" s="7"/>
      <c r="AD2653" s="4"/>
      <c r="AE2653" s="4"/>
      <c r="AF2653" s="21"/>
    </row>
    <row r="2654" spans="24:32" x14ac:dyDescent="0.25">
      <c r="X2654" s="4"/>
      <c r="Y2654" s="4"/>
      <c r="Z2654" s="4"/>
      <c r="AA2654" s="4"/>
      <c r="AB2654" s="4"/>
      <c r="AC2654" s="7"/>
      <c r="AD2654" s="4"/>
      <c r="AE2654" s="4"/>
      <c r="AF2654" s="21"/>
    </row>
    <row r="2655" spans="24:32" x14ac:dyDescent="0.25">
      <c r="X2655" s="4"/>
      <c r="Y2655" s="4"/>
      <c r="Z2655" s="4"/>
      <c r="AA2655" s="4"/>
      <c r="AB2655" s="4"/>
      <c r="AC2655" s="7"/>
      <c r="AD2655" s="4"/>
      <c r="AE2655" s="4"/>
      <c r="AF2655" s="21"/>
    </row>
    <row r="2656" spans="24:32" x14ac:dyDescent="0.25">
      <c r="X2656" s="4"/>
      <c r="Y2656" s="4"/>
      <c r="Z2656" s="4"/>
      <c r="AA2656" s="4"/>
      <c r="AB2656" s="4"/>
      <c r="AC2656" s="7"/>
      <c r="AD2656" s="4"/>
      <c r="AE2656" s="4"/>
      <c r="AF2656" s="21"/>
    </row>
    <row r="2657" spans="24:32" x14ac:dyDescent="0.25">
      <c r="X2657" s="4"/>
      <c r="Y2657" s="4"/>
      <c r="Z2657" s="4"/>
      <c r="AA2657" s="4"/>
      <c r="AB2657" s="4"/>
      <c r="AC2657" s="7"/>
      <c r="AD2657" s="4"/>
      <c r="AE2657" s="4"/>
      <c r="AF2657" s="21"/>
    </row>
    <row r="2658" spans="24:32" x14ac:dyDescent="0.25">
      <c r="X2658" s="4"/>
      <c r="Y2658" s="4"/>
      <c r="Z2658" s="4"/>
      <c r="AA2658" s="4"/>
      <c r="AB2658" s="4"/>
      <c r="AC2658" s="7"/>
      <c r="AD2658" s="4"/>
      <c r="AE2658" s="4"/>
      <c r="AF2658" s="21"/>
    </row>
    <row r="2659" spans="24:32" x14ac:dyDescent="0.25">
      <c r="X2659" s="4"/>
      <c r="Y2659" s="4"/>
      <c r="Z2659" s="4"/>
      <c r="AA2659" s="4"/>
      <c r="AB2659" s="4"/>
      <c r="AC2659" s="7"/>
      <c r="AD2659" s="4"/>
      <c r="AE2659" s="4"/>
      <c r="AF2659" s="21"/>
    </row>
    <row r="2660" spans="24:32" x14ac:dyDescent="0.25">
      <c r="X2660" s="4"/>
      <c r="Y2660" s="4"/>
      <c r="Z2660" s="4"/>
      <c r="AA2660" s="4"/>
      <c r="AB2660" s="4"/>
      <c r="AC2660" s="7"/>
      <c r="AD2660" s="4"/>
      <c r="AE2660" s="4"/>
      <c r="AF2660" s="21"/>
    </row>
    <row r="2661" spans="24:32" x14ac:dyDescent="0.25">
      <c r="X2661" s="4"/>
      <c r="Y2661" s="4"/>
      <c r="Z2661" s="4"/>
      <c r="AA2661" s="4"/>
      <c r="AB2661" s="4"/>
      <c r="AC2661" s="7"/>
      <c r="AD2661" s="4"/>
      <c r="AE2661" s="4"/>
      <c r="AF2661" s="21"/>
    </row>
    <row r="2662" spans="24:32" x14ac:dyDescent="0.25">
      <c r="X2662" s="4"/>
      <c r="Y2662" s="4"/>
      <c r="Z2662" s="4"/>
      <c r="AA2662" s="4"/>
      <c r="AB2662" s="4"/>
      <c r="AC2662" s="7"/>
      <c r="AD2662" s="4"/>
      <c r="AE2662" s="4"/>
      <c r="AF2662" s="21"/>
    </row>
    <row r="2663" spans="24:32" x14ac:dyDescent="0.25">
      <c r="X2663" s="4"/>
      <c r="Y2663" s="4"/>
      <c r="Z2663" s="4"/>
      <c r="AA2663" s="4"/>
      <c r="AB2663" s="4"/>
      <c r="AC2663" s="7"/>
      <c r="AD2663" s="4"/>
      <c r="AE2663" s="4"/>
      <c r="AF2663" s="21"/>
    </row>
    <row r="2664" spans="24:32" x14ac:dyDescent="0.25">
      <c r="X2664" s="4"/>
      <c r="Y2664" s="4"/>
      <c r="Z2664" s="4"/>
      <c r="AA2664" s="4"/>
      <c r="AB2664" s="4"/>
      <c r="AC2664" s="7"/>
      <c r="AD2664" s="4"/>
      <c r="AE2664" s="4"/>
      <c r="AF2664" s="21"/>
    </row>
    <row r="2665" spans="24:32" x14ac:dyDescent="0.25">
      <c r="X2665" s="4"/>
      <c r="Y2665" s="4"/>
      <c r="Z2665" s="4"/>
      <c r="AA2665" s="4"/>
      <c r="AB2665" s="4"/>
      <c r="AC2665" s="7"/>
      <c r="AD2665" s="4"/>
      <c r="AE2665" s="4"/>
      <c r="AF2665" s="21"/>
    </row>
    <row r="2666" spans="24:32" x14ac:dyDescent="0.25">
      <c r="X2666" s="4"/>
      <c r="Y2666" s="4"/>
      <c r="Z2666" s="4"/>
      <c r="AA2666" s="4"/>
      <c r="AB2666" s="4"/>
      <c r="AC2666" s="7"/>
      <c r="AD2666" s="4"/>
      <c r="AE2666" s="4"/>
      <c r="AF2666" s="21"/>
    </row>
    <row r="2667" spans="24:32" x14ac:dyDescent="0.25">
      <c r="X2667" s="4"/>
      <c r="Y2667" s="4"/>
      <c r="Z2667" s="4"/>
      <c r="AA2667" s="4"/>
      <c r="AB2667" s="4"/>
      <c r="AC2667" s="7"/>
      <c r="AD2667" s="4"/>
      <c r="AE2667" s="4"/>
      <c r="AF2667" s="21"/>
    </row>
    <row r="2668" spans="24:32" x14ac:dyDescent="0.25">
      <c r="X2668" s="4"/>
      <c r="Y2668" s="4"/>
      <c r="Z2668" s="4"/>
      <c r="AA2668" s="4"/>
      <c r="AB2668" s="4"/>
      <c r="AC2668" s="7"/>
      <c r="AD2668" s="4"/>
      <c r="AE2668" s="4"/>
      <c r="AF2668" s="21"/>
    </row>
    <row r="2669" spans="24:32" x14ac:dyDescent="0.25">
      <c r="X2669" s="4"/>
      <c r="Y2669" s="4"/>
      <c r="Z2669" s="4"/>
      <c r="AA2669" s="4"/>
      <c r="AB2669" s="4"/>
      <c r="AC2669" s="7"/>
      <c r="AD2669" s="4"/>
      <c r="AE2669" s="4"/>
      <c r="AF2669" s="21"/>
    </row>
    <row r="2670" spans="24:32" x14ac:dyDescent="0.25">
      <c r="X2670" s="4"/>
      <c r="Y2670" s="4"/>
      <c r="Z2670" s="4"/>
      <c r="AA2670" s="4"/>
      <c r="AB2670" s="4"/>
      <c r="AC2670" s="7"/>
      <c r="AD2670" s="4"/>
      <c r="AE2670" s="4"/>
      <c r="AF2670" s="21"/>
    </row>
    <row r="2671" spans="24:32" x14ac:dyDescent="0.25">
      <c r="X2671" s="4"/>
      <c r="Y2671" s="4"/>
      <c r="Z2671" s="4"/>
      <c r="AA2671" s="4"/>
      <c r="AB2671" s="4"/>
      <c r="AC2671" s="7"/>
      <c r="AD2671" s="4"/>
      <c r="AE2671" s="4"/>
      <c r="AF2671" s="21"/>
    </row>
    <row r="2672" spans="24:32" x14ac:dyDescent="0.25">
      <c r="X2672" s="4"/>
      <c r="Y2672" s="4"/>
      <c r="Z2672" s="4"/>
      <c r="AA2672" s="4"/>
      <c r="AB2672" s="4"/>
      <c r="AC2672" s="7"/>
      <c r="AD2672" s="4"/>
      <c r="AE2672" s="4"/>
      <c r="AF2672" s="21"/>
    </row>
    <row r="2673" spans="24:32" x14ac:dyDescent="0.25">
      <c r="X2673" s="4"/>
      <c r="Y2673" s="4"/>
      <c r="Z2673" s="4"/>
      <c r="AA2673" s="4"/>
      <c r="AB2673" s="4"/>
      <c r="AC2673" s="7"/>
      <c r="AD2673" s="4"/>
      <c r="AE2673" s="4"/>
      <c r="AF2673" s="21"/>
    </row>
    <row r="2674" spans="24:32" x14ac:dyDescent="0.25">
      <c r="X2674" s="4"/>
      <c r="Y2674" s="4"/>
      <c r="Z2674" s="4"/>
      <c r="AA2674" s="4"/>
      <c r="AB2674" s="4"/>
      <c r="AC2674" s="7"/>
      <c r="AD2674" s="4"/>
      <c r="AE2674" s="4"/>
      <c r="AF2674" s="21"/>
    </row>
    <row r="2675" spans="24:32" x14ac:dyDescent="0.25">
      <c r="X2675" s="4"/>
      <c r="Y2675" s="4"/>
      <c r="Z2675" s="4"/>
      <c r="AA2675" s="4"/>
      <c r="AB2675" s="4"/>
      <c r="AC2675" s="7"/>
      <c r="AD2675" s="4"/>
      <c r="AE2675" s="4"/>
      <c r="AF2675" s="21"/>
    </row>
    <row r="2676" spans="24:32" x14ac:dyDescent="0.25">
      <c r="X2676" s="4"/>
      <c r="Y2676" s="4"/>
      <c r="Z2676" s="4"/>
      <c r="AA2676" s="4"/>
      <c r="AB2676" s="4"/>
      <c r="AC2676" s="7"/>
      <c r="AD2676" s="4"/>
      <c r="AE2676" s="4"/>
      <c r="AF2676" s="21"/>
    </row>
    <row r="2677" spans="24:32" x14ac:dyDescent="0.25">
      <c r="X2677" s="4"/>
      <c r="Y2677" s="4"/>
      <c r="Z2677" s="4"/>
      <c r="AA2677" s="4"/>
      <c r="AB2677" s="4"/>
      <c r="AC2677" s="7"/>
      <c r="AD2677" s="4"/>
      <c r="AE2677" s="4"/>
      <c r="AF2677" s="21"/>
    </row>
    <row r="2678" spans="24:32" x14ac:dyDescent="0.25">
      <c r="X2678" s="4"/>
      <c r="Y2678" s="4"/>
      <c r="Z2678" s="4"/>
      <c r="AA2678" s="4"/>
      <c r="AB2678" s="4"/>
      <c r="AC2678" s="7"/>
      <c r="AD2678" s="4"/>
      <c r="AE2678" s="4"/>
      <c r="AF2678" s="21"/>
    </row>
    <row r="2679" spans="24:32" x14ac:dyDescent="0.25">
      <c r="X2679" s="4"/>
      <c r="Y2679" s="4"/>
      <c r="Z2679" s="4"/>
      <c r="AA2679" s="4"/>
      <c r="AB2679" s="4"/>
      <c r="AC2679" s="7"/>
      <c r="AD2679" s="4"/>
      <c r="AE2679" s="4"/>
      <c r="AF2679" s="21"/>
    </row>
    <row r="2680" spans="24:32" x14ac:dyDescent="0.25">
      <c r="X2680" s="4"/>
      <c r="Y2680" s="4"/>
      <c r="Z2680" s="4"/>
      <c r="AA2680" s="4"/>
      <c r="AB2680" s="4"/>
      <c r="AC2680" s="7"/>
      <c r="AD2680" s="4"/>
      <c r="AE2680" s="4"/>
      <c r="AF2680" s="21"/>
    </row>
    <row r="2681" spans="24:32" x14ac:dyDescent="0.25">
      <c r="X2681" s="4"/>
      <c r="Y2681" s="4"/>
      <c r="Z2681" s="4"/>
      <c r="AA2681" s="4"/>
      <c r="AB2681" s="4"/>
      <c r="AC2681" s="7"/>
      <c r="AD2681" s="4"/>
      <c r="AE2681" s="4"/>
      <c r="AF2681" s="21"/>
    </row>
    <row r="2682" spans="24:32" x14ac:dyDescent="0.25">
      <c r="X2682" s="4"/>
      <c r="Y2682" s="4"/>
      <c r="Z2682" s="4"/>
      <c r="AA2682" s="4"/>
      <c r="AB2682" s="4"/>
      <c r="AC2682" s="7"/>
      <c r="AD2682" s="4"/>
      <c r="AE2682" s="4"/>
      <c r="AF2682" s="21"/>
    </row>
    <row r="2683" spans="24:32" x14ac:dyDescent="0.25">
      <c r="X2683" s="4"/>
      <c r="Y2683" s="4"/>
      <c r="Z2683" s="4"/>
      <c r="AA2683" s="4"/>
      <c r="AB2683" s="4"/>
      <c r="AC2683" s="7"/>
      <c r="AD2683" s="4"/>
      <c r="AE2683" s="4"/>
      <c r="AF2683" s="21"/>
    </row>
    <row r="2684" spans="24:32" x14ac:dyDescent="0.25">
      <c r="X2684" s="4"/>
      <c r="Y2684" s="4"/>
      <c r="Z2684" s="4"/>
      <c r="AA2684" s="4"/>
      <c r="AB2684" s="4"/>
      <c r="AC2684" s="7"/>
      <c r="AD2684" s="4"/>
      <c r="AE2684" s="4"/>
      <c r="AF2684" s="21"/>
    </row>
    <row r="2685" spans="24:32" x14ac:dyDescent="0.25">
      <c r="X2685" s="4"/>
      <c r="Y2685" s="4"/>
      <c r="Z2685" s="4"/>
      <c r="AA2685" s="4"/>
      <c r="AB2685" s="4"/>
      <c r="AC2685" s="7"/>
      <c r="AD2685" s="4"/>
      <c r="AE2685" s="4"/>
      <c r="AF2685" s="21"/>
    </row>
    <row r="2686" spans="24:32" x14ac:dyDescent="0.25">
      <c r="X2686" s="4"/>
      <c r="Y2686" s="4"/>
      <c r="Z2686" s="4"/>
      <c r="AA2686" s="4"/>
      <c r="AB2686" s="4"/>
      <c r="AC2686" s="7"/>
      <c r="AD2686" s="4"/>
      <c r="AE2686" s="4"/>
      <c r="AF2686" s="21"/>
    </row>
    <row r="2687" spans="24:32" x14ac:dyDescent="0.25">
      <c r="X2687" s="4"/>
      <c r="Y2687" s="4"/>
      <c r="Z2687" s="4"/>
      <c r="AA2687" s="4"/>
      <c r="AB2687" s="4"/>
      <c r="AC2687" s="7"/>
      <c r="AD2687" s="4"/>
      <c r="AE2687" s="4"/>
      <c r="AF2687" s="21"/>
    </row>
    <row r="2688" spans="24:32" x14ac:dyDescent="0.25">
      <c r="X2688" s="4"/>
      <c r="Y2688" s="4"/>
      <c r="Z2688" s="4"/>
      <c r="AA2688" s="4"/>
      <c r="AB2688" s="4"/>
      <c r="AC2688" s="7"/>
      <c r="AD2688" s="4"/>
      <c r="AE2688" s="4"/>
      <c r="AF2688" s="21"/>
    </row>
    <row r="2689" spans="24:32" x14ac:dyDescent="0.25">
      <c r="X2689" s="4"/>
      <c r="Y2689" s="4"/>
      <c r="Z2689" s="4"/>
      <c r="AA2689" s="4"/>
      <c r="AB2689" s="4"/>
      <c r="AC2689" s="7"/>
      <c r="AD2689" s="4"/>
      <c r="AE2689" s="4"/>
      <c r="AF2689" s="21"/>
    </row>
    <row r="2690" spans="24:32" x14ac:dyDescent="0.25">
      <c r="X2690" s="4"/>
      <c r="Y2690" s="4"/>
      <c r="Z2690" s="4"/>
      <c r="AA2690" s="4"/>
      <c r="AB2690" s="4"/>
      <c r="AC2690" s="7"/>
      <c r="AD2690" s="4"/>
      <c r="AE2690" s="4"/>
      <c r="AF2690" s="21"/>
    </row>
    <row r="2691" spans="24:32" x14ac:dyDescent="0.25">
      <c r="X2691" s="4"/>
      <c r="Y2691" s="4"/>
      <c r="Z2691" s="4"/>
      <c r="AA2691" s="4"/>
      <c r="AB2691" s="4"/>
      <c r="AC2691" s="7"/>
      <c r="AD2691" s="4"/>
      <c r="AE2691" s="4"/>
      <c r="AF2691" s="21"/>
    </row>
    <row r="2692" spans="24:32" x14ac:dyDescent="0.25">
      <c r="X2692" s="4"/>
      <c r="Y2692" s="4"/>
      <c r="Z2692" s="4"/>
      <c r="AA2692" s="4"/>
      <c r="AB2692" s="4"/>
      <c r="AC2692" s="7"/>
      <c r="AD2692" s="4"/>
      <c r="AE2692" s="4"/>
      <c r="AF2692" s="21"/>
    </row>
    <row r="2693" spans="24:32" x14ac:dyDescent="0.25">
      <c r="X2693" s="4"/>
      <c r="Y2693" s="4"/>
      <c r="Z2693" s="4"/>
      <c r="AA2693" s="4"/>
      <c r="AB2693" s="4"/>
      <c r="AC2693" s="7"/>
      <c r="AD2693" s="4"/>
      <c r="AE2693" s="4"/>
      <c r="AF2693" s="21"/>
    </row>
    <row r="2694" spans="24:32" x14ac:dyDescent="0.25">
      <c r="X2694" s="4"/>
      <c r="Y2694" s="4"/>
      <c r="Z2694" s="4"/>
      <c r="AA2694" s="4"/>
      <c r="AB2694" s="4"/>
      <c r="AC2694" s="7"/>
      <c r="AD2694" s="4"/>
      <c r="AE2694" s="4"/>
      <c r="AF2694" s="21"/>
    </row>
    <row r="2695" spans="24:32" x14ac:dyDescent="0.25">
      <c r="X2695" s="4"/>
      <c r="Y2695" s="4"/>
      <c r="Z2695" s="4"/>
      <c r="AA2695" s="4"/>
      <c r="AB2695" s="4"/>
      <c r="AC2695" s="7"/>
      <c r="AD2695" s="4"/>
      <c r="AE2695" s="4"/>
      <c r="AF2695" s="21"/>
    </row>
    <row r="2696" spans="24:32" x14ac:dyDescent="0.25">
      <c r="X2696" s="4"/>
      <c r="Y2696" s="4"/>
      <c r="Z2696" s="4"/>
      <c r="AA2696" s="4"/>
      <c r="AB2696" s="4"/>
      <c r="AC2696" s="7"/>
      <c r="AD2696" s="4"/>
      <c r="AE2696" s="4"/>
      <c r="AF2696" s="21"/>
    </row>
    <row r="2697" spans="24:32" x14ac:dyDescent="0.25">
      <c r="X2697" s="4"/>
      <c r="Y2697" s="4"/>
      <c r="Z2697" s="4"/>
      <c r="AA2697" s="4"/>
      <c r="AB2697" s="4"/>
      <c r="AC2697" s="7"/>
      <c r="AD2697" s="4"/>
      <c r="AE2697" s="4"/>
      <c r="AF2697" s="21"/>
    </row>
    <row r="2698" spans="24:32" x14ac:dyDescent="0.25">
      <c r="X2698" s="4"/>
      <c r="Y2698" s="4"/>
      <c r="Z2698" s="4"/>
      <c r="AA2698" s="4"/>
      <c r="AB2698" s="4"/>
      <c r="AC2698" s="7"/>
      <c r="AD2698" s="4"/>
      <c r="AE2698" s="4"/>
      <c r="AF2698" s="21"/>
    </row>
    <row r="2699" spans="24:32" x14ac:dyDescent="0.25">
      <c r="X2699" s="4"/>
      <c r="Y2699" s="4"/>
      <c r="Z2699" s="4"/>
      <c r="AA2699" s="4"/>
      <c r="AB2699" s="4"/>
      <c r="AC2699" s="7"/>
      <c r="AD2699" s="4"/>
      <c r="AE2699" s="4"/>
      <c r="AF2699" s="21"/>
    </row>
    <row r="2700" spans="24:32" x14ac:dyDescent="0.25">
      <c r="X2700" s="4"/>
      <c r="Y2700" s="4"/>
      <c r="Z2700" s="4"/>
      <c r="AA2700" s="4"/>
      <c r="AB2700" s="4"/>
      <c r="AC2700" s="7"/>
      <c r="AD2700" s="4"/>
      <c r="AE2700" s="4"/>
      <c r="AF2700" s="21"/>
    </row>
    <row r="2701" spans="24:32" x14ac:dyDescent="0.25">
      <c r="X2701" s="4"/>
      <c r="Y2701" s="4"/>
      <c r="Z2701" s="4"/>
      <c r="AA2701" s="4"/>
      <c r="AB2701" s="4"/>
      <c r="AC2701" s="7"/>
      <c r="AD2701" s="4"/>
      <c r="AE2701" s="4"/>
      <c r="AF2701" s="21"/>
    </row>
    <row r="2702" spans="24:32" x14ac:dyDescent="0.25">
      <c r="X2702" s="4"/>
      <c r="Y2702" s="4"/>
      <c r="Z2702" s="4"/>
      <c r="AA2702" s="4"/>
      <c r="AB2702" s="4"/>
      <c r="AC2702" s="7"/>
      <c r="AD2702" s="4"/>
      <c r="AE2702" s="4"/>
      <c r="AF2702" s="21"/>
    </row>
    <row r="2703" spans="24:32" x14ac:dyDescent="0.25">
      <c r="X2703" s="4"/>
      <c r="Y2703" s="4"/>
      <c r="Z2703" s="4"/>
      <c r="AA2703" s="4"/>
      <c r="AB2703" s="4"/>
      <c r="AC2703" s="7"/>
      <c r="AD2703" s="4"/>
      <c r="AE2703" s="4"/>
      <c r="AF2703" s="21"/>
    </row>
    <row r="2704" spans="24:32" x14ac:dyDescent="0.25">
      <c r="X2704" s="4"/>
      <c r="Y2704" s="4"/>
      <c r="Z2704" s="4"/>
      <c r="AA2704" s="4"/>
      <c r="AB2704" s="4"/>
      <c r="AC2704" s="7"/>
      <c r="AD2704" s="4"/>
      <c r="AE2704" s="4"/>
      <c r="AF2704" s="21"/>
    </row>
    <row r="2705" spans="24:32" x14ac:dyDescent="0.25">
      <c r="X2705" s="4"/>
      <c r="Y2705" s="4"/>
      <c r="Z2705" s="4"/>
      <c r="AA2705" s="4"/>
      <c r="AB2705" s="4"/>
      <c r="AC2705" s="7"/>
      <c r="AD2705" s="4"/>
      <c r="AE2705" s="4"/>
      <c r="AF2705" s="21"/>
    </row>
    <row r="2706" spans="24:32" x14ac:dyDescent="0.25">
      <c r="X2706" s="4"/>
      <c r="Y2706" s="4"/>
      <c r="Z2706" s="4"/>
      <c r="AA2706" s="4"/>
      <c r="AB2706" s="4"/>
      <c r="AC2706" s="7"/>
      <c r="AD2706" s="4"/>
      <c r="AE2706" s="4"/>
      <c r="AF2706" s="21"/>
    </row>
    <row r="2707" spans="24:32" x14ac:dyDescent="0.25">
      <c r="X2707" s="4"/>
      <c r="Y2707" s="4"/>
      <c r="Z2707" s="4"/>
      <c r="AA2707" s="4"/>
      <c r="AB2707" s="4"/>
      <c r="AC2707" s="7"/>
      <c r="AD2707" s="4"/>
      <c r="AE2707" s="4"/>
      <c r="AF2707" s="21"/>
    </row>
    <row r="2708" spans="24:32" x14ac:dyDescent="0.25">
      <c r="X2708" s="4"/>
      <c r="Y2708" s="4"/>
      <c r="Z2708" s="4"/>
      <c r="AA2708" s="4"/>
      <c r="AB2708" s="4"/>
      <c r="AC2708" s="7"/>
      <c r="AD2708" s="4"/>
      <c r="AE2708" s="4"/>
      <c r="AF2708" s="21"/>
    </row>
    <row r="2709" spans="24:32" x14ac:dyDescent="0.25">
      <c r="X2709" s="4"/>
      <c r="Y2709" s="4"/>
      <c r="Z2709" s="4"/>
      <c r="AA2709" s="4"/>
      <c r="AB2709" s="4"/>
      <c r="AC2709" s="7"/>
      <c r="AD2709" s="4"/>
      <c r="AE2709" s="4"/>
      <c r="AF2709" s="21"/>
    </row>
    <row r="2710" spans="24:32" x14ac:dyDescent="0.25">
      <c r="X2710" s="4"/>
      <c r="Y2710" s="4"/>
      <c r="Z2710" s="4"/>
      <c r="AA2710" s="4"/>
      <c r="AB2710" s="4"/>
      <c r="AC2710" s="7"/>
      <c r="AD2710" s="4"/>
      <c r="AE2710" s="4"/>
      <c r="AF2710" s="21"/>
    </row>
    <row r="2711" spans="24:32" x14ac:dyDescent="0.25">
      <c r="X2711" s="4"/>
      <c r="Y2711" s="4"/>
      <c r="Z2711" s="4"/>
      <c r="AA2711" s="4"/>
      <c r="AB2711" s="4"/>
      <c r="AC2711" s="7"/>
      <c r="AD2711" s="4"/>
      <c r="AE2711" s="4"/>
      <c r="AF2711" s="21"/>
    </row>
    <row r="2712" spans="24:32" x14ac:dyDescent="0.25">
      <c r="X2712" s="4"/>
      <c r="Y2712" s="4"/>
      <c r="Z2712" s="4"/>
      <c r="AA2712" s="4"/>
      <c r="AB2712" s="4"/>
      <c r="AC2712" s="7"/>
      <c r="AD2712" s="4"/>
      <c r="AE2712" s="4"/>
      <c r="AF2712" s="21"/>
    </row>
    <row r="2713" spans="24:32" x14ac:dyDescent="0.25">
      <c r="X2713" s="4"/>
      <c r="Y2713" s="4"/>
      <c r="Z2713" s="4"/>
      <c r="AA2713" s="4"/>
      <c r="AB2713" s="4"/>
      <c r="AC2713" s="7"/>
      <c r="AD2713" s="4"/>
      <c r="AE2713" s="4"/>
      <c r="AF2713" s="21"/>
    </row>
    <row r="2714" spans="24:32" x14ac:dyDescent="0.25">
      <c r="X2714" s="4"/>
      <c r="Y2714" s="4"/>
      <c r="Z2714" s="4"/>
      <c r="AA2714" s="4"/>
      <c r="AB2714" s="4"/>
      <c r="AC2714" s="7"/>
      <c r="AD2714" s="4"/>
      <c r="AE2714" s="4"/>
      <c r="AF2714" s="21"/>
    </row>
    <row r="2715" spans="24:32" x14ac:dyDescent="0.25">
      <c r="X2715" s="4"/>
      <c r="Y2715" s="4"/>
      <c r="Z2715" s="4"/>
      <c r="AA2715" s="4"/>
      <c r="AB2715" s="4"/>
      <c r="AC2715" s="7"/>
      <c r="AD2715" s="4"/>
      <c r="AE2715" s="4"/>
      <c r="AF2715" s="21"/>
    </row>
    <row r="2716" spans="24:32" x14ac:dyDescent="0.25">
      <c r="X2716" s="4"/>
      <c r="Y2716" s="4"/>
      <c r="Z2716" s="4"/>
      <c r="AA2716" s="4"/>
      <c r="AB2716" s="4"/>
      <c r="AC2716" s="7"/>
      <c r="AD2716" s="4"/>
      <c r="AE2716" s="4"/>
      <c r="AF2716" s="21"/>
    </row>
    <row r="2717" spans="24:32" x14ac:dyDescent="0.25">
      <c r="X2717" s="4"/>
      <c r="Y2717" s="4"/>
      <c r="Z2717" s="4"/>
      <c r="AA2717" s="4"/>
      <c r="AB2717" s="4"/>
      <c r="AC2717" s="7"/>
      <c r="AD2717" s="4"/>
      <c r="AE2717" s="4"/>
      <c r="AF2717" s="21"/>
    </row>
    <row r="2718" spans="24:32" x14ac:dyDescent="0.25">
      <c r="X2718" s="4"/>
      <c r="Y2718" s="4"/>
      <c r="Z2718" s="4"/>
      <c r="AA2718" s="4"/>
      <c r="AB2718" s="4"/>
      <c r="AC2718" s="7"/>
      <c r="AD2718" s="4"/>
      <c r="AE2718" s="4"/>
      <c r="AF2718" s="21"/>
    </row>
    <row r="2719" spans="24:32" x14ac:dyDescent="0.25">
      <c r="X2719" s="4"/>
      <c r="Y2719" s="4"/>
      <c r="Z2719" s="4"/>
      <c r="AA2719" s="4"/>
      <c r="AB2719" s="4"/>
      <c r="AC2719" s="7"/>
      <c r="AD2719" s="4"/>
      <c r="AE2719" s="4"/>
      <c r="AF2719" s="21"/>
    </row>
    <row r="2720" spans="24:32" x14ac:dyDescent="0.25">
      <c r="X2720" s="4"/>
      <c r="Y2720" s="4"/>
      <c r="Z2720" s="4"/>
      <c r="AA2720" s="4"/>
      <c r="AB2720" s="4"/>
      <c r="AC2720" s="7"/>
      <c r="AD2720" s="4"/>
      <c r="AE2720" s="4"/>
      <c r="AF2720" s="21"/>
    </row>
    <row r="2721" spans="24:32" x14ac:dyDescent="0.25">
      <c r="X2721" s="4"/>
      <c r="Y2721" s="4"/>
      <c r="Z2721" s="4"/>
      <c r="AA2721" s="4"/>
      <c r="AB2721" s="4"/>
      <c r="AC2721" s="7"/>
      <c r="AD2721" s="4"/>
      <c r="AE2721" s="4"/>
      <c r="AF2721" s="21"/>
    </row>
    <row r="2722" spans="24:32" x14ac:dyDescent="0.25">
      <c r="X2722" s="4"/>
      <c r="Y2722" s="4"/>
      <c r="Z2722" s="4"/>
      <c r="AA2722" s="4"/>
      <c r="AB2722" s="4"/>
      <c r="AC2722" s="7"/>
      <c r="AD2722" s="4"/>
      <c r="AE2722" s="4"/>
      <c r="AF2722" s="21"/>
    </row>
    <row r="2723" spans="24:32" x14ac:dyDescent="0.25">
      <c r="X2723" s="4"/>
      <c r="Y2723" s="4"/>
      <c r="Z2723" s="4"/>
      <c r="AA2723" s="4"/>
      <c r="AB2723" s="4"/>
      <c r="AC2723" s="7"/>
      <c r="AD2723" s="4"/>
      <c r="AE2723" s="4"/>
      <c r="AF2723" s="21"/>
    </row>
    <row r="2724" spans="24:32" x14ac:dyDescent="0.25">
      <c r="X2724" s="4"/>
      <c r="Y2724" s="4"/>
      <c r="Z2724" s="4"/>
      <c r="AA2724" s="4"/>
      <c r="AB2724" s="4"/>
      <c r="AC2724" s="7"/>
      <c r="AD2724" s="4"/>
      <c r="AE2724" s="4"/>
      <c r="AF2724" s="21"/>
    </row>
    <row r="2725" spans="24:32" x14ac:dyDescent="0.25">
      <c r="X2725" s="4"/>
      <c r="Y2725" s="4"/>
      <c r="Z2725" s="4"/>
      <c r="AA2725" s="4"/>
      <c r="AB2725" s="4"/>
      <c r="AC2725" s="7"/>
      <c r="AD2725" s="4"/>
      <c r="AE2725" s="4"/>
      <c r="AF2725" s="21"/>
    </row>
    <row r="2726" spans="24:32" x14ac:dyDescent="0.25">
      <c r="X2726" s="4"/>
      <c r="Y2726" s="4"/>
      <c r="Z2726" s="4"/>
      <c r="AA2726" s="4"/>
      <c r="AB2726" s="4"/>
      <c r="AC2726" s="7"/>
      <c r="AD2726" s="4"/>
      <c r="AE2726" s="4"/>
      <c r="AF2726" s="21"/>
    </row>
    <row r="2727" spans="24:32" x14ac:dyDescent="0.25">
      <c r="X2727" s="4"/>
      <c r="Y2727" s="4"/>
      <c r="Z2727" s="4"/>
      <c r="AA2727" s="4"/>
      <c r="AB2727" s="4"/>
      <c r="AC2727" s="7"/>
      <c r="AD2727" s="4"/>
      <c r="AE2727" s="4"/>
      <c r="AF2727" s="21"/>
    </row>
    <row r="2728" spans="24:32" x14ac:dyDescent="0.25">
      <c r="X2728" s="4"/>
      <c r="Y2728" s="4"/>
      <c r="Z2728" s="4"/>
      <c r="AA2728" s="4"/>
      <c r="AB2728" s="4"/>
      <c r="AC2728" s="7"/>
      <c r="AD2728" s="4"/>
      <c r="AE2728" s="4"/>
      <c r="AF2728" s="21"/>
    </row>
    <row r="2729" spans="24:32" x14ac:dyDescent="0.25">
      <c r="X2729" s="4"/>
      <c r="Y2729" s="4"/>
      <c r="Z2729" s="4"/>
      <c r="AA2729" s="4"/>
      <c r="AB2729" s="4"/>
      <c r="AC2729" s="7"/>
      <c r="AD2729" s="4"/>
      <c r="AE2729" s="4"/>
      <c r="AF2729" s="21"/>
    </row>
    <row r="2730" spans="24:32" x14ac:dyDescent="0.25">
      <c r="X2730" s="4"/>
      <c r="Y2730" s="4"/>
      <c r="Z2730" s="4"/>
      <c r="AA2730" s="4"/>
      <c r="AB2730" s="4"/>
      <c r="AC2730" s="7"/>
      <c r="AD2730" s="4"/>
      <c r="AE2730" s="4"/>
      <c r="AF2730" s="21"/>
    </row>
    <row r="2731" spans="24:32" x14ac:dyDescent="0.25">
      <c r="X2731" s="4"/>
      <c r="Y2731" s="4"/>
      <c r="Z2731" s="4"/>
      <c r="AA2731" s="4"/>
      <c r="AB2731" s="4"/>
      <c r="AC2731" s="7"/>
      <c r="AD2731" s="4"/>
      <c r="AE2731" s="4"/>
      <c r="AF2731" s="21"/>
    </row>
    <row r="2732" spans="24:32" x14ac:dyDescent="0.25">
      <c r="X2732" s="4"/>
      <c r="Y2732" s="4"/>
      <c r="Z2732" s="4"/>
      <c r="AA2732" s="4"/>
      <c r="AB2732" s="4"/>
      <c r="AC2732" s="7"/>
      <c r="AD2732" s="4"/>
      <c r="AE2732" s="4"/>
      <c r="AF2732" s="21"/>
    </row>
    <row r="2733" spans="24:32" x14ac:dyDescent="0.25">
      <c r="X2733" s="4"/>
      <c r="Y2733" s="4"/>
      <c r="Z2733" s="4"/>
      <c r="AA2733" s="4"/>
      <c r="AB2733" s="4"/>
      <c r="AC2733" s="7"/>
      <c r="AD2733" s="4"/>
      <c r="AE2733" s="4"/>
      <c r="AF2733" s="21"/>
    </row>
    <row r="2734" spans="24:32" x14ac:dyDescent="0.25">
      <c r="X2734" s="4"/>
      <c r="Y2734" s="4"/>
      <c r="Z2734" s="4"/>
      <c r="AA2734" s="4"/>
      <c r="AB2734" s="4"/>
      <c r="AC2734" s="7"/>
      <c r="AD2734" s="4"/>
      <c r="AE2734" s="4"/>
      <c r="AF2734" s="21"/>
    </row>
    <row r="2735" spans="24:32" x14ac:dyDescent="0.25">
      <c r="X2735" s="4"/>
      <c r="Y2735" s="4"/>
      <c r="Z2735" s="4"/>
      <c r="AA2735" s="4"/>
      <c r="AB2735" s="4"/>
      <c r="AC2735" s="7"/>
      <c r="AD2735" s="4"/>
      <c r="AE2735" s="4"/>
      <c r="AF2735" s="21"/>
    </row>
    <row r="2736" spans="24:32" x14ac:dyDescent="0.25">
      <c r="X2736" s="4"/>
      <c r="Y2736" s="4"/>
      <c r="Z2736" s="4"/>
      <c r="AA2736" s="4"/>
      <c r="AB2736" s="4"/>
      <c r="AC2736" s="7"/>
      <c r="AD2736" s="4"/>
      <c r="AE2736" s="4"/>
      <c r="AF2736" s="21"/>
    </row>
    <row r="2737" spans="24:32" x14ac:dyDescent="0.25">
      <c r="X2737" s="4"/>
      <c r="Y2737" s="4"/>
      <c r="Z2737" s="4"/>
      <c r="AA2737" s="4"/>
      <c r="AB2737" s="4"/>
      <c r="AC2737" s="7"/>
      <c r="AD2737" s="4"/>
      <c r="AE2737" s="4"/>
      <c r="AF2737" s="21"/>
    </row>
    <row r="2738" spans="24:32" x14ac:dyDescent="0.25">
      <c r="X2738" s="4"/>
      <c r="Y2738" s="4"/>
      <c r="Z2738" s="4"/>
      <c r="AA2738" s="4"/>
      <c r="AB2738" s="4"/>
      <c r="AC2738" s="7"/>
      <c r="AD2738" s="4"/>
      <c r="AE2738" s="4"/>
      <c r="AF2738" s="21"/>
    </row>
    <row r="2739" spans="24:32" x14ac:dyDescent="0.25">
      <c r="X2739" s="4"/>
      <c r="Y2739" s="4"/>
      <c r="Z2739" s="4"/>
      <c r="AA2739" s="4"/>
      <c r="AB2739" s="4"/>
      <c r="AC2739" s="7"/>
      <c r="AD2739" s="4"/>
      <c r="AE2739" s="4"/>
      <c r="AF2739" s="21"/>
    </row>
    <row r="2740" spans="24:32" x14ac:dyDescent="0.25">
      <c r="X2740" s="4"/>
      <c r="Y2740" s="4"/>
      <c r="Z2740" s="4"/>
      <c r="AA2740" s="4"/>
      <c r="AB2740" s="4"/>
      <c r="AC2740" s="7"/>
      <c r="AD2740" s="4"/>
      <c r="AE2740" s="4"/>
      <c r="AF2740" s="21"/>
    </row>
    <row r="2741" spans="24:32" x14ac:dyDescent="0.25">
      <c r="X2741" s="4"/>
      <c r="Y2741" s="4"/>
      <c r="Z2741" s="4"/>
      <c r="AA2741" s="4"/>
      <c r="AB2741" s="4"/>
      <c r="AC2741" s="7"/>
      <c r="AD2741" s="4"/>
      <c r="AE2741" s="4"/>
      <c r="AF2741" s="21"/>
    </row>
    <row r="2742" spans="24:32" x14ac:dyDescent="0.25">
      <c r="X2742" s="4"/>
      <c r="Y2742" s="4"/>
      <c r="Z2742" s="4"/>
      <c r="AA2742" s="4"/>
      <c r="AB2742" s="4"/>
      <c r="AC2742" s="7"/>
      <c r="AD2742" s="4"/>
      <c r="AE2742" s="4"/>
      <c r="AF2742" s="21"/>
    </row>
    <row r="2743" spans="24:32" x14ac:dyDescent="0.25">
      <c r="X2743" s="4"/>
      <c r="Y2743" s="4"/>
      <c r="Z2743" s="4"/>
      <c r="AA2743" s="4"/>
      <c r="AB2743" s="4"/>
      <c r="AC2743" s="7"/>
      <c r="AD2743" s="4"/>
      <c r="AE2743" s="4"/>
      <c r="AF2743" s="21"/>
    </row>
    <row r="2744" spans="24:32" x14ac:dyDescent="0.25">
      <c r="X2744" s="4"/>
      <c r="Y2744" s="4"/>
      <c r="Z2744" s="4"/>
      <c r="AA2744" s="4"/>
      <c r="AB2744" s="4"/>
      <c r="AC2744" s="7"/>
      <c r="AD2744" s="4"/>
      <c r="AE2744" s="4"/>
      <c r="AF2744" s="21"/>
    </row>
    <row r="2745" spans="24:32" x14ac:dyDescent="0.25">
      <c r="X2745" s="4"/>
      <c r="Y2745" s="4"/>
      <c r="Z2745" s="4"/>
      <c r="AA2745" s="4"/>
      <c r="AB2745" s="4"/>
      <c r="AC2745" s="7"/>
      <c r="AD2745" s="4"/>
      <c r="AE2745" s="4"/>
      <c r="AF2745" s="21"/>
    </row>
    <row r="2746" spans="24:32" x14ac:dyDescent="0.25">
      <c r="X2746" s="4"/>
      <c r="Y2746" s="4"/>
      <c r="Z2746" s="4"/>
      <c r="AA2746" s="4"/>
      <c r="AB2746" s="4"/>
      <c r="AC2746" s="7"/>
      <c r="AD2746" s="4"/>
      <c r="AE2746" s="4"/>
      <c r="AF2746" s="21"/>
    </row>
    <row r="2747" spans="24:32" x14ac:dyDescent="0.25">
      <c r="X2747" s="4"/>
      <c r="Y2747" s="4"/>
      <c r="Z2747" s="4"/>
      <c r="AA2747" s="4"/>
      <c r="AB2747" s="4"/>
      <c r="AC2747" s="7"/>
      <c r="AD2747" s="4"/>
      <c r="AE2747" s="4"/>
      <c r="AF2747" s="21"/>
    </row>
    <row r="2748" spans="24:32" x14ac:dyDescent="0.25">
      <c r="X2748" s="4"/>
      <c r="Y2748" s="4"/>
      <c r="Z2748" s="4"/>
      <c r="AA2748" s="4"/>
      <c r="AB2748" s="4"/>
      <c r="AC2748" s="7"/>
      <c r="AD2748" s="4"/>
      <c r="AE2748" s="4"/>
      <c r="AF2748" s="21"/>
    </row>
    <row r="2749" spans="24:32" x14ac:dyDescent="0.25">
      <c r="X2749" s="4"/>
      <c r="Y2749" s="4"/>
      <c r="Z2749" s="4"/>
      <c r="AA2749" s="4"/>
      <c r="AB2749" s="4"/>
      <c r="AC2749" s="7"/>
      <c r="AD2749" s="4"/>
      <c r="AE2749" s="4"/>
      <c r="AF2749" s="21"/>
    </row>
    <row r="2750" spans="24:32" x14ac:dyDescent="0.25">
      <c r="X2750" s="4"/>
      <c r="Y2750" s="4"/>
      <c r="Z2750" s="4"/>
      <c r="AA2750" s="4"/>
      <c r="AB2750" s="4"/>
      <c r="AC2750" s="7"/>
      <c r="AD2750" s="4"/>
      <c r="AE2750" s="4"/>
      <c r="AF2750" s="21"/>
    </row>
    <row r="2751" spans="24:32" x14ac:dyDescent="0.25">
      <c r="X2751" s="4"/>
      <c r="Y2751" s="4"/>
      <c r="Z2751" s="4"/>
      <c r="AA2751" s="4"/>
      <c r="AB2751" s="4"/>
      <c r="AC2751" s="7"/>
      <c r="AD2751" s="4"/>
      <c r="AE2751" s="4"/>
      <c r="AF2751" s="21"/>
    </row>
    <row r="2752" spans="24:32" x14ac:dyDescent="0.25">
      <c r="X2752" s="4"/>
      <c r="Y2752" s="4"/>
      <c r="Z2752" s="4"/>
      <c r="AA2752" s="4"/>
      <c r="AB2752" s="4"/>
      <c r="AC2752" s="7"/>
      <c r="AD2752" s="4"/>
      <c r="AE2752" s="4"/>
      <c r="AF2752" s="21"/>
    </row>
    <row r="2753" spans="24:32" x14ac:dyDescent="0.25">
      <c r="X2753" s="4"/>
      <c r="Y2753" s="4"/>
      <c r="Z2753" s="4"/>
      <c r="AA2753" s="4"/>
      <c r="AB2753" s="4"/>
      <c r="AC2753" s="7"/>
      <c r="AD2753" s="4"/>
      <c r="AE2753" s="4"/>
      <c r="AF2753" s="21"/>
    </row>
    <row r="2754" spans="24:32" x14ac:dyDescent="0.25">
      <c r="X2754" s="4"/>
      <c r="Y2754" s="4"/>
      <c r="Z2754" s="4"/>
      <c r="AA2754" s="4"/>
      <c r="AB2754" s="4"/>
      <c r="AC2754" s="7"/>
      <c r="AD2754" s="4"/>
      <c r="AE2754" s="4"/>
      <c r="AF2754" s="21"/>
    </row>
    <row r="2755" spans="24:32" x14ac:dyDescent="0.25">
      <c r="X2755" s="4"/>
      <c r="Y2755" s="4"/>
      <c r="Z2755" s="4"/>
      <c r="AA2755" s="4"/>
      <c r="AB2755" s="4"/>
      <c r="AC2755" s="7"/>
      <c r="AD2755" s="4"/>
      <c r="AE2755" s="4"/>
      <c r="AF2755" s="21"/>
    </row>
    <row r="2756" spans="24:32" x14ac:dyDescent="0.25">
      <c r="X2756" s="4"/>
      <c r="Y2756" s="4"/>
      <c r="Z2756" s="4"/>
      <c r="AA2756" s="4"/>
      <c r="AB2756" s="4"/>
      <c r="AC2756" s="7"/>
      <c r="AD2756" s="4"/>
      <c r="AE2756" s="4"/>
      <c r="AF2756" s="21"/>
    </row>
    <row r="2757" spans="24:32" x14ac:dyDescent="0.25">
      <c r="X2757" s="4"/>
      <c r="Y2757" s="4"/>
      <c r="Z2757" s="4"/>
      <c r="AA2757" s="4"/>
      <c r="AB2757" s="4"/>
      <c r="AC2757" s="7"/>
      <c r="AD2757" s="4"/>
      <c r="AE2757" s="4"/>
      <c r="AF2757" s="21"/>
    </row>
    <row r="2758" spans="24:32" x14ac:dyDescent="0.25">
      <c r="X2758" s="4"/>
      <c r="Y2758" s="4"/>
      <c r="Z2758" s="4"/>
      <c r="AA2758" s="4"/>
      <c r="AB2758" s="4"/>
      <c r="AC2758" s="7"/>
      <c r="AD2758" s="4"/>
      <c r="AE2758" s="4"/>
      <c r="AF2758" s="21"/>
    </row>
    <row r="2759" spans="24:32" x14ac:dyDescent="0.25">
      <c r="X2759" s="4"/>
      <c r="Y2759" s="4"/>
      <c r="Z2759" s="4"/>
      <c r="AA2759" s="4"/>
      <c r="AB2759" s="4"/>
      <c r="AC2759" s="7"/>
      <c r="AD2759" s="4"/>
      <c r="AE2759" s="4"/>
      <c r="AF2759" s="21"/>
    </row>
    <row r="2760" spans="24:32" x14ac:dyDescent="0.25">
      <c r="X2760" s="4"/>
      <c r="Y2760" s="4"/>
      <c r="Z2760" s="4"/>
      <c r="AA2760" s="4"/>
      <c r="AB2760" s="4"/>
      <c r="AC2760" s="7"/>
      <c r="AD2760" s="4"/>
      <c r="AE2760" s="4"/>
      <c r="AF2760" s="21"/>
    </row>
    <row r="2761" spans="24:32" x14ac:dyDescent="0.25">
      <c r="X2761" s="4"/>
      <c r="Y2761" s="4"/>
      <c r="Z2761" s="4"/>
      <c r="AA2761" s="4"/>
      <c r="AB2761" s="4"/>
      <c r="AC2761" s="7"/>
      <c r="AD2761" s="4"/>
      <c r="AE2761" s="4"/>
      <c r="AF2761" s="21"/>
    </row>
    <row r="2762" spans="24:32" x14ac:dyDescent="0.25">
      <c r="X2762" s="4"/>
      <c r="Y2762" s="4"/>
      <c r="Z2762" s="4"/>
      <c r="AA2762" s="4"/>
      <c r="AB2762" s="4"/>
      <c r="AC2762" s="7"/>
      <c r="AD2762" s="4"/>
      <c r="AE2762" s="4"/>
      <c r="AF2762" s="21"/>
    </row>
    <row r="2763" spans="24:32" x14ac:dyDescent="0.25">
      <c r="X2763" s="4"/>
      <c r="Y2763" s="4"/>
      <c r="Z2763" s="4"/>
      <c r="AA2763" s="4"/>
      <c r="AB2763" s="4"/>
      <c r="AC2763" s="7"/>
      <c r="AD2763" s="4"/>
      <c r="AE2763" s="4"/>
      <c r="AF2763" s="21"/>
    </row>
    <row r="2764" spans="24:32" x14ac:dyDescent="0.25">
      <c r="X2764" s="4"/>
      <c r="Y2764" s="4"/>
      <c r="Z2764" s="4"/>
      <c r="AA2764" s="4"/>
      <c r="AB2764" s="4"/>
      <c r="AC2764" s="7"/>
      <c r="AD2764" s="4"/>
      <c r="AE2764" s="4"/>
      <c r="AF2764" s="21"/>
    </row>
    <row r="2765" spans="24:32" x14ac:dyDescent="0.25">
      <c r="X2765" s="4"/>
      <c r="Y2765" s="4"/>
      <c r="Z2765" s="4"/>
      <c r="AA2765" s="4"/>
      <c r="AB2765" s="4"/>
      <c r="AC2765" s="7"/>
      <c r="AD2765" s="4"/>
      <c r="AE2765" s="4"/>
      <c r="AF2765" s="21"/>
    </row>
    <row r="2766" spans="24:32" x14ac:dyDescent="0.25">
      <c r="X2766" s="4"/>
      <c r="Y2766" s="4"/>
      <c r="Z2766" s="4"/>
      <c r="AA2766" s="4"/>
      <c r="AB2766" s="4"/>
      <c r="AC2766" s="7"/>
      <c r="AD2766" s="4"/>
      <c r="AE2766" s="4"/>
      <c r="AF2766" s="21"/>
    </row>
    <row r="2767" spans="24:32" x14ac:dyDescent="0.25">
      <c r="X2767" s="4"/>
      <c r="Y2767" s="4"/>
      <c r="Z2767" s="4"/>
      <c r="AA2767" s="4"/>
      <c r="AB2767" s="4"/>
      <c r="AC2767" s="7"/>
      <c r="AD2767" s="4"/>
      <c r="AE2767" s="4"/>
      <c r="AF2767" s="21"/>
    </row>
    <row r="2768" spans="24:32" x14ac:dyDescent="0.25">
      <c r="X2768" s="4"/>
      <c r="Y2768" s="4"/>
      <c r="Z2768" s="4"/>
      <c r="AA2768" s="4"/>
      <c r="AB2768" s="4"/>
      <c r="AC2768" s="7"/>
      <c r="AD2768" s="4"/>
      <c r="AE2768" s="4"/>
      <c r="AF2768" s="21"/>
    </row>
    <row r="2769" spans="24:32" x14ac:dyDescent="0.25">
      <c r="X2769" s="4"/>
      <c r="Y2769" s="4"/>
      <c r="Z2769" s="4"/>
      <c r="AA2769" s="4"/>
      <c r="AB2769" s="4"/>
      <c r="AC2769" s="7"/>
      <c r="AD2769" s="4"/>
      <c r="AE2769" s="4"/>
      <c r="AF2769" s="21"/>
    </row>
    <row r="2770" spans="24:32" x14ac:dyDescent="0.25">
      <c r="X2770" s="4"/>
      <c r="Y2770" s="4"/>
      <c r="Z2770" s="4"/>
      <c r="AA2770" s="4"/>
      <c r="AB2770" s="4"/>
      <c r="AC2770" s="7"/>
      <c r="AD2770" s="4"/>
      <c r="AE2770" s="4"/>
      <c r="AF2770" s="21"/>
    </row>
    <row r="2771" spans="24:32" x14ac:dyDescent="0.25">
      <c r="X2771" s="4"/>
      <c r="Y2771" s="4"/>
      <c r="Z2771" s="4"/>
      <c r="AA2771" s="4"/>
      <c r="AB2771" s="4"/>
      <c r="AC2771" s="7"/>
      <c r="AD2771" s="4"/>
      <c r="AE2771" s="4"/>
      <c r="AF2771" s="21"/>
    </row>
    <row r="2772" spans="24:32" x14ac:dyDescent="0.25">
      <c r="X2772" s="4"/>
      <c r="Y2772" s="4"/>
      <c r="Z2772" s="4"/>
      <c r="AA2772" s="4"/>
      <c r="AB2772" s="4"/>
      <c r="AC2772" s="7"/>
      <c r="AD2772" s="4"/>
      <c r="AE2772" s="4"/>
      <c r="AF2772" s="21"/>
    </row>
    <row r="2773" spans="24:32" x14ac:dyDescent="0.25">
      <c r="X2773" s="4"/>
      <c r="Y2773" s="4"/>
      <c r="Z2773" s="4"/>
      <c r="AA2773" s="4"/>
      <c r="AB2773" s="4"/>
      <c r="AC2773" s="7"/>
      <c r="AD2773" s="4"/>
      <c r="AE2773" s="4"/>
      <c r="AF2773" s="21"/>
    </row>
    <row r="2774" spans="24:32" x14ac:dyDescent="0.25">
      <c r="X2774" s="4"/>
      <c r="Y2774" s="4"/>
      <c r="Z2774" s="4"/>
      <c r="AA2774" s="4"/>
      <c r="AB2774" s="4"/>
      <c r="AC2774" s="7"/>
      <c r="AD2774" s="4"/>
      <c r="AE2774" s="4"/>
      <c r="AF2774" s="21"/>
    </row>
    <row r="2775" spans="24:32" x14ac:dyDescent="0.25">
      <c r="X2775" s="4"/>
      <c r="Y2775" s="4"/>
      <c r="Z2775" s="4"/>
      <c r="AA2775" s="4"/>
      <c r="AB2775" s="4"/>
      <c r="AC2775" s="7"/>
      <c r="AD2775" s="4"/>
      <c r="AE2775" s="4"/>
      <c r="AF2775" s="21"/>
    </row>
    <row r="2776" spans="24:32" x14ac:dyDescent="0.25">
      <c r="X2776" s="4"/>
      <c r="Y2776" s="4"/>
      <c r="Z2776" s="4"/>
      <c r="AA2776" s="4"/>
      <c r="AB2776" s="4"/>
      <c r="AC2776" s="7"/>
      <c r="AD2776" s="4"/>
      <c r="AE2776" s="4"/>
      <c r="AF2776" s="21"/>
    </row>
    <row r="2777" spans="24:32" x14ac:dyDescent="0.25">
      <c r="X2777" s="4"/>
      <c r="Y2777" s="4"/>
      <c r="Z2777" s="4"/>
      <c r="AA2777" s="4"/>
      <c r="AB2777" s="4"/>
      <c r="AC2777" s="7"/>
      <c r="AD2777" s="4"/>
      <c r="AE2777" s="4"/>
      <c r="AF2777" s="21"/>
    </row>
    <row r="2778" spans="24:32" x14ac:dyDescent="0.25">
      <c r="X2778" s="4"/>
      <c r="Y2778" s="4"/>
      <c r="Z2778" s="4"/>
      <c r="AA2778" s="4"/>
      <c r="AB2778" s="4"/>
      <c r="AC2778" s="7"/>
      <c r="AD2778" s="4"/>
      <c r="AE2778" s="4"/>
      <c r="AF2778" s="21"/>
    </row>
    <row r="2779" spans="24:32" x14ac:dyDescent="0.25">
      <c r="X2779" s="4"/>
      <c r="Y2779" s="4"/>
      <c r="Z2779" s="4"/>
      <c r="AA2779" s="4"/>
      <c r="AB2779" s="4"/>
      <c r="AC2779" s="7"/>
      <c r="AD2779" s="4"/>
      <c r="AE2779" s="4"/>
      <c r="AF2779" s="21"/>
    </row>
    <row r="2780" spans="24:32" x14ac:dyDescent="0.25">
      <c r="X2780" s="4"/>
      <c r="Y2780" s="4"/>
      <c r="Z2780" s="4"/>
      <c r="AA2780" s="4"/>
      <c r="AB2780" s="4"/>
      <c r="AC2780" s="7"/>
      <c r="AD2780" s="4"/>
      <c r="AE2780" s="4"/>
      <c r="AF2780" s="21"/>
    </row>
    <row r="2781" spans="24:32" x14ac:dyDescent="0.25">
      <c r="X2781" s="4"/>
      <c r="Y2781" s="4"/>
      <c r="Z2781" s="4"/>
      <c r="AA2781" s="4"/>
      <c r="AB2781" s="4"/>
      <c r="AC2781" s="7"/>
      <c r="AD2781" s="4"/>
      <c r="AE2781" s="4"/>
      <c r="AF2781" s="21"/>
    </row>
    <row r="2782" spans="24:32" x14ac:dyDescent="0.25">
      <c r="X2782" s="4"/>
      <c r="Y2782" s="4"/>
      <c r="Z2782" s="4"/>
      <c r="AA2782" s="4"/>
      <c r="AB2782" s="4"/>
      <c r="AC2782" s="7"/>
      <c r="AD2782" s="4"/>
      <c r="AE2782" s="4"/>
      <c r="AF2782" s="21"/>
    </row>
    <row r="2783" spans="24:32" x14ac:dyDescent="0.25">
      <c r="X2783" s="4"/>
      <c r="Y2783" s="4"/>
      <c r="Z2783" s="4"/>
      <c r="AA2783" s="4"/>
      <c r="AB2783" s="4"/>
      <c r="AC2783" s="7"/>
      <c r="AD2783" s="4"/>
      <c r="AE2783" s="4"/>
      <c r="AF2783" s="21"/>
    </row>
    <row r="2784" spans="24:32" x14ac:dyDescent="0.25">
      <c r="X2784" s="4"/>
      <c r="Y2784" s="4"/>
      <c r="Z2784" s="4"/>
      <c r="AA2784" s="4"/>
      <c r="AB2784" s="4"/>
      <c r="AC2784" s="7"/>
      <c r="AD2784" s="4"/>
      <c r="AE2784" s="4"/>
      <c r="AF2784" s="21"/>
    </row>
    <row r="2785" spans="24:32" x14ac:dyDescent="0.25">
      <c r="X2785" s="4"/>
      <c r="Y2785" s="4"/>
      <c r="Z2785" s="4"/>
      <c r="AA2785" s="4"/>
      <c r="AB2785" s="4"/>
      <c r="AC2785" s="7"/>
      <c r="AD2785" s="4"/>
      <c r="AE2785" s="4"/>
      <c r="AF2785" s="21"/>
    </row>
    <row r="2786" spans="24:32" x14ac:dyDescent="0.25">
      <c r="X2786" s="4"/>
      <c r="Y2786" s="4"/>
      <c r="Z2786" s="4"/>
      <c r="AA2786" s="4"/>
      <c r="AB2786" s="4"/>
      <c r="AC2786" s="7"/>
      <c r="AD2786" s="4"/>
      <c r="AE2786" s="4"/>
      <c r="AF2786" s="21"/>
    </row>
    <row r="2787" spans="24:32" x14ac:dyDescent="0.25">
      <c r="X2787" s="4"/>
      <c r="Y2787" s="4"/>
      <c r="Z2787" s="4"/>
      <c r="AA2787" s="4"/>
      <c r="AB2787" s="4"/>
      <c r="AC2787" s="7"/>
      <c r="AD2787" s="4"/>
      <c r="AE2787" s="4"/>
      <c r="AF2787" s="21"/>
    </row>
    <row r="2788" spans="24:32" x14ac:dyDescent="0.25">
      <c r="X2788" s="4"/>
      <c r="Y2788" s="4"/>
      <c r="Z2788" s="4"/>
      <c r="AA2788" s="4"/>
      <c r="AB2788" s="4"/>
      <c r="AC2788" s="7"/>
      <c r="AD2788" s="4"/>
      <c r="AE2788" s="4"/>
      <c r="AF2788" s="21"/>
    </row>
    <row r="2789" spans="24:32" x14ac:dyDescent="0.25">
      <c r="X2789" s="4"/>
      <c r="Y2789" s="4"/>
      <c r="Z2789" s="4"/>
      <c r="AA2789" s="4"/>
      <c r="AB2789" s="4"/>
      <c r="AC2789" s="7"/>
      <c r="AD2789" s="4"/>
      <c r="AE2789" s="4"/>
      <c r="AF2789" s="21"/>
    </row>
    <row r="2790" spans="24:32" x14ac:dyDescent="0.25">
      <c r="X2790" s="4"/>
      <c r="Y2790" s="4"/>
      <c r="Z2790" s="4"/>
      <c r="AA2790" s="4"/>
      <c r="AB2790" s="4"/>
      <c r="AC2790" s="7"/>
      <c r="AD2790" s="4"/>
      <c r="AE2790" s="4"/>
      <c r="AF2790" s="21"/>
    </row>
    <row r="2791" spans="24:32" x14ac:dyDescent="0.25">
      <c r="X2791" s="4"/>
      <c r="Y2791" s="4"/>
      <c r="Z2791" s="4"/>
      <c r="AA2791" s="4"/>
      <c r="AB2791" s="4"/>
      <c r="AC2791" s="7"/>
      <c r="AD2791" s="4"/>
      <c r="AE2791" s="4"/>
      <c r="AF2791" s="21"/>
    </row>
    <row r="2792" spans="24:32" x14ac:dyDescent="0.25">
      <c r="X2792" s="4"/>
      <c r="Y2792" s="4"/>
      <c r="Z2792" s="4"/>
      <c r="AA2792" s="4"/>
      <c r="AB2792" s="4"/>
      <c r="AC2792" s="7"/>
      <c r="AD2792" s="4"/>
      <c r="AE2792" s="4"/>
      <c r="AF2792" s="21"/>
    </row>
    <row r="2793" spans="24:32" x14ac:dyDescent="0.25">
      <c r="X2793" s="4"/>
      <c r="Y2793" s="4"/>
      <c r="Z2793" s="4"/>
      <c r="AA2793" s="4"/>
      <c r="AB2793" s="4"/>
      <c r="AC2793" s="7"/>
      <c r="AD2793" s="4"/>
      <c r="AE2793" s="4"/>
      <c r="AF2793" s="21"/>
    </row>
    <row r="2794" spans="24:32" x14ac:dyDescent="0.25">
      <c r="X2794" s="4"/>
      <c r="Y2794" s="4"/>
      <c r="Z2794" s="4"/>
      <c r="AA2794" s="4"/>
      <c r="AB2794" s="4"/>
      <c r="AC2794" s="7"/>
      <c r="AD2794" s="4"/>
      <c r="AE2794" s="4"/>
      <c r="AF2794" s="21"/>
    </row>
    <row r="2795" spans="24:32" x14ac:dyDescent="0.25">
      <c r="X2795" s="4"/>
      <c r="Y2795" s="4"/>
      <c r="Z2795" s="4"/>
      <c r="AA2795" s="4"/>
      <c r="AB2795" s="4"/>
      <c r="AC2795" s="7"/>
      <c r="AD2795" s="4"/>
      <c r="AE2795" s="4"/>
      <c r="AF2795" s="21"/>
    </row>
    <row r="2796" spans="24:32" x14ac:dyDescent="0.25">
      <c r="X2796" s="4"/>
      <c r="Y2796" s="4"/>
      <c r="Z2796" s="4"/>
      <c r="AA2796" s="4"/>
      <c r="AB2796" s="4"/>
      <c r="AC2796" s="7"/>
      <c r="AD2796" s="4"/>
      <c r="AE2796" s="4"/>
      <c r="AF2796" s="21"/>
    </row>
    <row r="2797" spans="24:32" x14ac:dyDescent="0.25">
      <c r="X2797" s="4"/>
      <c r="Y2797" s="4"/>
      <c r="Z2797" s="4"/>
      <c r="AA2797" s="4"/>
      <c r="AB2797" s="4"/>
      <c r="AC2797" s="7"/>
      <c r="AD2797" s="4"/>
      <c r="AE2797" s="4"/>
      <c r="AF2797" s="21"/>
    </row>
    <row r="2798" spans="24:32" x14ac:dyDescent="0.25">
      <c r="X2798" s="4"/>
      <c r="Y2798" s="4"/>
      <c r="Z2798" s="4"/>
      <c r="AA2798" s="4"/>
      <c r="AB2798" s="4"/>
      <c r="AC2798" s="7"/>
      <c r="AD2798" s="4"/>
      <c r="AE2798" s="4"/>
      <c r="AF2798" s="21"/>
    </row>
    <row r="2799" spans="24:32" x14ac:dyDescent="0.25">
      <c r="X2799" s="4"/>
      <c r="Y2799" s="4"/>
      <c r="Z2799" s="4"/>
      <c r="AA2799" s="4"/>
      <c r="AB2799" s="4"/>
      <c r="AC2799" s="7"/>
      <c r="AD2799" s="4"/>
      <c r="AE2799" s="4"/>
      <c r="AF2799" s="21"/>
    </row>
    <row r="2800" spans="24:32" x14ac:dyDescent="0.25">
      <c r="X2800" s="4"/>
      <c r="Y2800" s="4"/>
      <c r="Z2800" s="4"/>
      <c r="AA2800" s="4"/>
      <c r="AB2800" s="4"/>
      <c r="AC2800" s="7"/>
      <c r="AD2800" s="4"/>
      <c r="AE2800" s="4"/>
      <c r="AF2800" s="21"/>
    </row>
    <row r="2801" spans="24:32" x14ac:dyDescent="0.25">
      <c r="X2801" s="4"/>
      <c r="Y2801" s="4"/>
      <c r="Z2801" s="4"/>
      <c r="AA2801" s="4"/>
      <c r="AB2801" s="4"/>
      <c r="AC2801" s="7"/>
      <c r="AD2801" s="4"/>
      <c r="AE2801" s="4"/>
      <c r="AF2801" s="21"/>
    </row>
    <row r="2802" spans="24:32" x14ac:dyDescent="0.25">
      <c r="X2802" s="4"/>
      <c r="Y2802" s="4"/>
      <c r="Z2802" s="4"/>
      <c r="AA2802" s="4"/>
      <c r="AB2802" s="4"/>
      <c r="AC2802" s="7"/>
      <c r="AD2802" s="4"/>
      <c r="AE2802" s="4"/>
      <c r="AF2802" s="21"/>
    </row>
    <row r="2803" spans="24:32" x14ac:dyDescent="0.25">
      <c r="X2803" s="4"/>
      <c r="Y2803" s="4"/>
      <c r="Z2803" s="4"/>
      <c r="AA2803" s="4"/>
      <c r="AB2803" s="4"/>
      <c r="AC2803" s="7"/>
      <c r="AD2803" s="4"/>
      <c r="AE2803" s="4"/>
      <c r="AF2803" s="21"/>
    </row>
    <row r="2804" spans="24:32" x14ac:dyDescent="0.25">
      <c r="X2804" s="4"/>
      <c r="Y2804" s="4"/>
      <c r="Z2804" s="4"/>
      <c r="AA2804" s="4"/>
      <c r="AB2804" s="4"/>
      <c r="AC2804" s="7"/>
      <c r="AD2804" s="4"/>
      <c r="AE2804" s="4"/>
      <c r="AF2804" s="21"/>
    </row>
    <row r="2805" spans="24:32" x14ac:dyDescent="0.25">
      <c r="X2805" s="4"/>
      <c r="Y2805" s="4"/>
      <c r="Z2805" s="4"/>
      <c r="AA2805" s="4"/>
      <c r="AB2805" s="4"/>
      <c r="AC2805" s="7"/>
      <c r="AD2805" s="4"/>
      <c r="AE2805" s="4"/>
      <c r="AF2805" s="21"/>
    </row>
    <row r="2806" spans="24:32" x14ac:dyDescent="0.25">
      <c r="X2806" s="4"/>
      <c r="Y2806" s="4"/>
      <c r="Z2806" s="4"/>
      <c r="AA2806" s="4"/>
      <c r="AB2806" s="4"/>
      <c r="AC2806" s="7"/>
      <c r="AD2806" s="4"/>
      <c r="AE2806" s="4"/>
      <c r="AF2806" s="21"/>
    </row>
    <row r="2807" spans="24:32" x14ac:dyDescent="0.25">
      <c r="X2807" s="4"/>
      <c r="Y2807" s="4"/>
      <c r="Z2807" s="4"/>
      <c r="AA2807" s="4"/>
      <c r="AB2807" s="4"/>
      <c r="AC2807" s="7"/>
      <c r="AD2807" s="4"/>
      <c r="AE2807" s="4"/>
      <c r="AF2807" s="21"/>
    </row>
    <row r="2808" spans="24:32" x14ac:dyDescent="0.25">
      <c r="X2808" s="4"/>
      <c r="Y2808" s="4"/>
      <c r="Z2808" s="4"/>
      <c r="AA2808" s="4"/>
      <c r="AB2808" s="4"/>
      <c r="AC2808" s="7"/>
      <c r="AD2808" s="4"/>
      <c r="AE2808" s="4"/>
      <c r="AF2808" s="21"/>
    </row>
    <row r="2809" spans="24:32" x14ac:dyDescent="0.25">
      <c r="X2809" s="4"/>
      <c r="Y2809" s="4"/>
      <c r="Z2809" s="4"/>
      <c r="AA2809" s="4"/>
      <c r="AB2809" s="4"/>
      <c r="AC2809" s="7"/>
      <c r="AD2809" s="4"/>
      <c r="AE2809" s="4"/>
      <c r="AF2809" s="21"/>
    </row>
    <row r="2810" spans="24:32" x14ac:dyDescent="0.25">
      <c r="X2810" s="4"/>
      <c r="Y2810" s="4"/>
      <c r="Z2810" s="4"/>
      <c r="AA2810" s="4"/>
      <c r="AB2810" s="4"/>
      <c r="AC2810" s="7"/>
      <c r="AD2810" s="4"/>
      <c r="AE2810" s="4"/>
      <c r="AF2810" s="21"/>
    </row>
    <row r="2811" spans="24:32" x14ac:dyDescent="0.25">
      <c r="X2811" s="4"/>
      <c r="Y2811" s="4"/>
      <c r="Z2811" s="4"/>
      <c r="AA2811" s="4"/>
      <c r="AB2811" s="4"/>
      <c r="AC2811" s="7"/>
      <c r="AD2811" s="4"/>
      <c r="AE2811" s="4"/>
      <c r="AF2811" s="21"/>
    </row>
    <row r="2812" spans="24:32" x14ac:dyDescent="0.25">
      <c r="X2812" s="4"/>
      <c r="Y2812" s="4"/>
      <c r="Z2812" s="4"/>
      <c r="AA2812" s="4"/>
      <c r="AB2812" s="4"/>
      <c r="AC2812" s="7"/>
      <c r="AD2812" s="4"/>
      <c r="AE2812" s="4"/>
      <c r="AF2812" s="21"/>
    </row>
    <row r="2813" spans="24:32" x14ac:dyDescent="0.25">
      <c r="X2813" s="4"/>
      <c r="Y2813" s="4"/>
      <c r="Z2813" s="4"/>
      <c r="AA2813" s="4"/>
      <c r="AB2813" s="4"/>
      <c r="AC2813" s="7"/>
      <c r="AD2813" s="4"/>
      <c r="AE2813" s="4"/>
      <c r="AF2813" s="21"/>
    </row>
    <row r="2814" spans="24:32" x14ac:dyDescent="0.25">
      <c r="X2814" s="4"/>
      <c r="Y2814" s="4"/>
      <c r="Z2814" s="4"/>
      <c r="AA2814" s="4"/>
      <c r="AB2814" s="4"/>
      <c r="AC2814" s="7"/>
      <c r="AD2814" s="4"/>
      <c r="AE2814" s="4"/>
      <c r="AF2814" s="21"/>
    </row>
    <row r="2815" spans="24:32" x14ac:dyDescent="0.25">
      <c r="X2815" s="4"/>
      <c r="Y2815" s="4"/>
      <c r="Z2815" s="4"/>
      <c r="AA2815" s="4"/>
      <c r="AB2815" s="4"/>
      <c r="AC2815" s="7"/>
      <c r="AD2815" s="4"/>
      <c r="AE2815" s="4"/>
      <c r="AF2815" s="21"/>
    </row>
    <row r="2816" spans="24:32" x14ac:dyDescent="0.25">
      <c r="X2816" s="4"/>
      <c r="Y2816" s="4"/>
      <c r="Z2816" s="4"/>
      <c r="AA2816" s="4"/>
      <c r="AB2816" s="4"/>
      <c r="AC2816" s="7"/>
      <c r="AD2816" s="4"/>
      <c r="AE2816" s="4"/>
      <c r="AF2816" s="21"/>
    </row>
    <row r="2817" spans="24:32" x14ac:dyDescent="0.25">
      <c r="X2817" s="4"/>
      <c r="Y2817" s="4"/>
      <c r="Z2817" s="4"/>
      <c r="AA2817" s="4"/>
      <c r="AB2817" s="4"/>
      <c r="AC2817" s="7"/>
      <c r="AD2817" s="4"/>
      <c r="AE2817" s="4"/>
      <c r="AF2817" s="21"/>
    </row>
    <row r="2818" spans="24:32" x14ac:dyDescent="0.25">
      <c r="X2818" s="4"/>
      <c r="Y2818" s="4"/>
      <c r="Z2818" s="4"/>
      <c r="AA2818" s="4"/>
      <c r="AB2818" s="4"/>
      <c r="AC2818" s="7"/>
      <c r="AD2818" s="4"/>
      <c r="AE2818" s="4"/>
      <c r="AF2818" s="21"/>
    </row>
    <row r="2819" spans="24:32" x14ac:dyDescent="0.25">
      <c r="X2819" s="4"/>
      <c r="Y2819" s="4"/>
      <c r="Z2819" s="4"/>
      <c r="AA2819" s="4"/>
      <c r="AB2819" s="4"/>
      <c r="AC2819" s="7"/>
      <c r="AD2819" s="4"/>
      <c r="AE2819" s="4"/>
      <c r="AF2819" s="21"/>
    </row>
    <row r="2820" spans="24:32" x14ac:dyDescent="0.25">
      <c r="X2820" s="4"/>
      <c r="Y2820" s="4"/>
      <c r="Z2820" s="4"/>
      <c r="AA2820" s="4"/>
      <c r="AB2820" s="4"/>
      <c r="AC2820" s="7"/>
      <c r="AD2820" s="4"/>
      <c r="AE2820" s="4"/>
      <c r="AF2820" s="21"/>
    </row>
    <row r="2821" spans="24:32" x14ac:dyDescent="0.25">
      <c r="X2821" s="4"/>
      <c r="Y2821" s="4"/>
      <c r="Z2821" s="4"/>
      <c r="AA2821" s="4"/>
      <c r="AB2821" s="4"/>
      <c r="AC2821" s="7"/>
      <c r="AD2821" s="4"/>
      <c r="AE2821" s="4"/>
      <c r="AF2821" s="21"/>
    </row>
    <row r="2822" spans="24:32" x14ac:dyDescent="0.25">
      <c r="X2822" s="4"/>
      <c r="Y2822" s="4"/>
      <c r="Z2822" s="4"/>
      <c r="AA2822" s="4"/>
      <c r="AB2822" s="4"/>
      <c r="AC2822" s="7"/>
      <c r="AD2822" s="4"/>
      <c r="AE2822" s="4"/>
      <c r="AF2822" s="21"/>
    </row>
    <row r="2823" spans="24:32" x14ac:dyDescent="0.25">
      <c r="X2823" s="4"/>
      <c r="Y2823" s="4"/>
      <c r="Z2823" s="4"/>
      <c r="AA2823" s="4"/>
      <c r="AB2823" s="4"/>
      <c r="AC2823" s="7"/>
      <c r="AD2823" s="4"/>
      <c r="AE2823" s="4"/>
      <c r="AF2823" s="21"/>
    </row>
    <row r="2824" spans="24:32" x14ac:dyDescent="0.25">
      <c r="X2824" s="4"/>
      <c r="Y2824" s="4"/>
      <c r="Z2824" s="4"/>
      <c r="AA2824" s="4"/>
      <c r="AB2824" s="4"/>
      <c r="AC2824" s="7"/>
      <c r="AD2824" s="4"/>
      <c r="AE2824" s="4"/>
      <c r="AF2824" s="21"/>
    </row>
    <row r="2825" spans="24:32" x14ac:dyDescent="0.25">
      <c r="X2825" s="4"/>
      <c r="Y2825" s="4"/>
      <c r="Z2825" s="4"/>
      <c r="AA2825" s="4"/>
      <c r="AB2825" s="4"/>
      <c r="AC2825" s="7"/>
      <c r="AD2825" s="4"/>
      <c r="AE2825" s="4"/>
      <c r="AF2825" s="21"/>
    </row>
    <row r="2826" spans="24:32" x14ac:dyDescent="0.25">
      <c r="X2826" s="4"/>
      <c r="Y2826" s="4"/>
      <c r="Z2826" s="4"/>
      <c r="AA2826" s="4"/>
      <c r="AB2826" s="4"/>
      <c r="AC2826" s="7"/>
      <c r="AD2826" s="4"/>
      <c r="AE2826" s="4"/>
      <c r="AF2826" s="21"/>
    </row>
    <row r="2827" spans="24:32" x14ac:dyDescent="0.25">
      <c r="X2827" s="4"/>
      <c r="Y2827" s="4"/>
      <c r="Z2827" s="4"/>
      <c r="AA2827" s="4"/>
      <c r="AB2827" s="4"/>
      <c r="AC2827" s="7"/>
      <c r="AD2827" s="4"/>
      <c r="AE2827" s="4"/>
      <c r="AF2827" s="21"/>
    </row>
    <row r="2828" spans="24:32" x14ac:dyDescent="0.25">
      <c r="X2828" s="4"/>
      <c r="Y2828" s="4"/>
      <c r="Z2828" s="4"/>
      <c r="AA2828" s="4"/>
      <c r="AB2828" s="4"/>
      <c r="AC2828" s="7"/>
      <c r="AD2828" s="4"/>
      <c r="AE2828" s="4"/>
      <c r="AF2828" s="21"/>
    </row>
    <row r="2829" spans="24:32" x14ac:dyDescent="0.25">
      <c r="X2829" s="4"/>
      <c r="Y2829" s="4"/>
      <c r="Z2829" s="4"/>
      <c r="AA2829" s="4"/>
      <c r="AB2829" s="4"/>
      <c r="AC2829" s="7"/>
      <c r="AD2829" s="4"/>
      <c r="AE2829" s="4"/>
      <c r="AF2829" s="21"/>
    </row>
    <row r="2830" spans="24:32" x14ac:dyDescent="0.25">
      <c r="X2830" s="4"/>
      <c r="Y2830" s="4"/>
      <c r="Z2830" s="4"/>
      <c r="AA2830" s="4"/>
      <c r="AB2830" s="4"/>
      <c r="AC2830" s="7"/>
      <c r="AD2830" s="4"/>
      <c r="AE2830" s="4"/>
      <c r="AF2830" s="21"/>
    </row>
    <row r="2831" spans="24:32" x14ac:dyDescent="0.25">
      <c r="X2831" s="4"/>
      <c r="Y2831" s="4"/>
      <c r="Z2831" s="4"/>
      <c r="AA2831" s="4"/>
      <c r="AB2831" s="4"/>
      <c r="AC2831" s="7"/>
      <c r="AD2831" s="4"/>
      <c r="AE2831" s="4"/>
      <c r="AF2831" s="21"/>
    </row>
    <row r="2832" spans="24:32" x14ac:dyDescent="0.25">
      <c r="X2832" s="4"/>
      <c r="Y2832" s="4"/>
      <c r="Z2832" s="4"/>
      <c r="AA2832" s="4"/>
      <c r="AB2832" s="4"/>
      <c r="AC2832" s="7"/>
      <c r="AD2832" s="4"/>
      <c r="AE2832" s="4"/>
      <c r="AF2832" s="21"/>
    </row>
    <row r="2833" spans="24:32" x14ac:dyDescent="0.25">
      <c r="X2833" s="4"/>
      <c r="Y2833" s="4"/>
      <c r="Z2833" s="4"/>
      <c r="AA2833" s="4"/>
      <c r="AB2833" s="4"/>
      <c r="AC2833" s="7"/>
      <c r="AD2833" s="4"/>
      <c r="AE2833" s="4"/>
      <c r="AF2833" s="21"/>
    </row>
    <row r="2834" spans="24:32" x14ac:dyDescent="0.25">
      <c r="X2834" s="4"/>
      <c r="Y2834" s="4"/>
      <c r="Z2834" s="4"/>
      <c r="AA2834" s="4"/>
      <c r="AB2834" s="4"/>
      <c r="AC2834" s="7"/>
      <c r="AD2834" s="4"/>
      <c r="AE2834" s="4"/>
      <c r="AF2834" s="21"/>
    </row>
    <row r="2835" spans="24:32" x14ac:dyDescent="0.25">
      <c r="X2835" s="4"/>
      <c r="Y2835" s="4"/>
      <c r="Z2835" s="4"/>
      <c r="AA2835" s="4"/>
      <c r="AB2835" s="4"/>
      <c r="AC2835" s="7"/>
      <c r="AD2835" s="4"/>
      <c r="AE2835" s="4"/>
      <c r="AF2835" s="21"/>
    </row>
    <row r="2836" spans="24:32" x14ac:dyDescent="0.25">
      <c r="X2836" s="4"/>
      <c r="Y2836" s="4"/>
      <c r="Z2836" s="4"/>
      <c r="AA2836" s="4"/>
      <c r="AB2836" s="4"/>
      <c r="AC2836" s="7"/>
      <c r="AD2836" s="4"/>
      <c r="AE2836" s="4"/>
      <c r="AF2836" s="21"/>
    </row>
    <row r="2837" spans="24:32" x14ac:dyDescent="0.25">
      <c r="X2837" s="4"/>
      <c r="Y2837" s="4"/>
      <c r="Z2837" s="4"/>
      <c r="AA2837" s="4"/>
      <c r="AB2837" s="4"/>
      <c r="AC2837" s="7"/>
      <c r="AD2837" s="4"/>
      <c r="AE2837" s="4"/>
      <c r="AF2837" s="21"/>
    </row>
    <row r="2838" spans="24:32" x14ac:dyDescent="0.25">
      <c r="X2838" s="4"/>
      <c r="Y2838" s="4"/>
      <c r="Z2838" s="4"/>
      <c r="AA2838" s="4"/>
      <c r="AB2838" s="4"/>
      <c r="AC2838" s="7"/>
      <c r="AD2838" s="4"/>
      <c r="AE2838" s="4"/>
      <c r="AF2838" s="21"/>
    </row>
    <row r="2839" spans="24:32" x14ac:dyDescent="0.25">
      <c r="X2839" s="4"/>
      <c r="Y2839" s="4"/>
      <c r="Z2839" s="4"/>
      <c r="AA2839" s="4"/>
      <c r="AB2839" s="4"/>
      <c r="AC2839" s="7"/>
      <c r="AD2839" s="4"/>
      <c r="AE2839" s="4"/>
      <c r="AF2839" s="21"/>
    </row>
    <row r="2840" spans="24:32" x14ac:dyDescent="0.25">
      <c r="X2840" s="4"/>
      <c r="Y2840" s="4"/>
      <c r="Z2840" s="4"/>
      <c r="AA2840" s="4"/>
      <c r="AB2840" s="4"/>
      <c r="AC2840" s="7"/>
      <c r="AD2840" s="4"/>
      <c r="AE2840" s="4"/>
      <c r="AF2840" s="21"/>
    </row>
    <row r="2841" spans="24:32" x14ac:dyDescent="0.25">
      <c r="X2841" s="4"/>
      <c r="Y2841" s="4"/>
      <c r="Z2841" s="4"/>
      <c r="AA2841" s="4"/>
      <c r="AB2841" s="4"/>
      <c r="AC2841" s="7"/>
      <c r="AD2841" s="4"/>
      <c r="AE2841" s="4"/>
      <c r="AF2841" s="21"/>
    </row>
    <row r="2842" spans="24:32" x14ac:dyDescent="0.25">
      <c r="X2842" s="4"/>
      <c r="Y2842" s="4"/>
      <c r="Z2842" s="4"/>
      <c r="AA2842" s="4"/>
      <c r="AB2842" s="4"/>
      <c r="AC2842" s="7"/>
      <c r="AD2842" s="4"/>
      <c r="AE2842" s="4"/>
      <c r="AF2842" s="21"/>
    </row>
    <row r="2843" spans="24:32" x14ac:dyDescent="0.25">
      <c r="X2843" s="4"/>
      <c r="Y2843" s="4"/>
      <c r="Z2843" s="4"/>
      <c r="AA2843" s="4"/>
      <c r="AB2843" s="4"/>
      <c r="AC2843" s="7"/>
      <c r="AD2843" s="4"/>
      <c r="AE2843" s="4"/>
      <c r="AF2843" s="21"/>
    </row>
    <row r="2844" spans="24:32" x14ac:dyDescent="0.25">
      <c r="X2844" s="4"/>
      <c r="Y2844" s="4"/>
      <c r="Z2844" s="4"/>
      <c r="AA2844" s="4"/>
      <c r="AB2844" s="4"/>
      <c r="AC2844" s="7"/>
      <c r="AD2844" s="4"/>
      <c r="AE2844" s="4"/>
      <c r="AF2844" s="21"/>
    </row>
    <row r="2845" spans="24:32" x14ac:dyDescent="0.25">
      <c r="X2845" s="4"/>
      <c r="Y2845" s="4"/>
      <c r="Z2845" s="4"/>
      <c r="AA2845" s="4"/>
      <c r="AB2845" s="4"/>
      <c r="AC2845" s="7"/>
      <c r="AD2845" s="4"/>
      <c r="AE2845" s="4"/>
      <c r="AF2845" s="21"/>
    </row>
    <row r="2846" spans="24:32" x14ac:dyDescent="0.25">
      <c r="X2846" s="4"/>
      <c r="Y2846" s="4"/>
      <c r="Z2846" s="4"/>
      <c r="AA2846" s="4"/>
      <c r="AB2846" s="4"/>
      <c r="AC2846" s="7"/>
      <c r="AD2846" s="4"/>
      <c r="AE2846" s="4"/>
      <c r="AF2846" s="21"/>
    </row>
    <row r="2847" spans="24:32" x14ac:dyDescent="0.25">
      <c r="X2847" s="4"/>
      <c r="Y2847" s="4"/>
      <c r="Z2847" s="4"/>
      <c r="AA2847" s="4"/>
      <c r="AB2847" s="4"/>
      <c r="AC2847" s="7"/>
      <c r="AD2847" s="4"/>
      <c r="AE2847" s="4"/>
      <c r="AF2847" s="21"/>
    </row>
    <row r="2848" spans="24:32" x14ac:dyDescent="0.25">
      <c r="X2848" s="4"/>
      <c r="Y2848" s="4"/>
      <c r="Z2848" s="4"/>
      <c r="AA2848" s="4"/>
      <c r="AB2848" s="4"/>
      <c r="AC2848" s="7"/>
      <c r="AD2848" s="4"/>
      <c r="AE2848" s="4"/>
      <c r="AF2848" s="21"/>
    </row>
    <row r="2849" spans="24:32" x14ac:dyDescent="0.25">
      <c r="X2849" s="4"/>
      <c r="Y2849" s="4"/>
      <c r="Z2849" s="4"/>
      <c r="AA2849" s="4"/>
      <c r="AB2849" s="4"/>
      <c r="AC2849" s="7"/>
      <c r="AD2849" s="4"/>
      <c r="AE2849" s="4"/>
      <c r="AF2849" s="21"/>
    </row>
    <row r="2850" spans="24:32" x14ac:dyDescent="0.25">
      <c r="X2850" s="4"/>
      <c r="Y2850" s="4"/>
      <c r="Z2850" s="4"/>
      <c r="AA2850" s="4"/>
      <c r="AB2850" s="4"/>
      <c r="AC2850" s="7"/>
      <c r="AD2850" s="4"/>
      <c r="AE2850" s="4"/>
      <c r="AF2850" s="21"/>
    </row>
    <row r="2851" spans="24:32" x14ac:dyDescent="0.25">
      <c r="X2851" s="4"/>
      <c r="Y2851" s="4"/>
      <c r="Z2851" s="4"/>
      <c r="AA2851" s="4"/>
      <c r="AB2851" s="4"/>
      <c r="AC2851" s="7"/>
      <c r="AD2851" s="4"/>
      <c r="AE2851" s="4"/>
      <c r="AF2851" s="21"/>
    </row>
    <row r="2852" spans="24:32" x14ac:dyDescent="0.25">
      <c r="X2852" s="4"/>
      <c r="Y2852" s="4"/>
      <c r="Z2852" s="4"/>
      <c r="AA2852" s="4"/>
      <c r="AB2852" s="4"/>
      <c r="AC2852" s="7"/>
      <c r="AD2852" s="4"/>
      <c r="AE2852" s="4"/>
      <c r="AF2852" s="21"/>
    </row>
    <row r="2853" spans="24:32" x14ac:dyDescent="0.25">
      <c r="X2853" s="4"/>
      <c r="Y2853" s="4"/>
      <c r="Z2853" s="4"/>
      <c r="AA2853" s="4"/>
      <c r="AB2853" s="4"/>
      <c r="AC2853" s="7"/>
      <c r="AD2853" s="4"/>
      <c r="AE2853" s="4"/>
      <c r="AF2853" s="21"/>
    </row>
    <row r="2854" spans="24:32" x14ac:dyDescent="0.25">
      <c r="X2854" s="4"/>
      <c r="Y2854" s="4"/>
      <c r="Z2854" s="4"/>
      <c r="AA2854" s="4"/>
      <c r="AB2854" s="4"/>
      <c r="AC2854" s="7"/>
      <c r="AD2854" s="4"/>
      <c r="AE2854" s="4"/>
      <c r="AF2854" s="21"/>
    </row>
    <row r="2855" spans="24:32" x14ac:dyDescent="0.25">
      <c r="X2855" s="4"/>
      <c r="Y2855" s="4"/>
      <c r="Z2855" s="4"/>
      <c r="AA2855" s="4"/>
      <c r="AB2855" s="4"/>
      <c r="AC2855" s="7"/>
      <c r="AD2855" s="4"/>
      <c r="AE2855" s="4"/>
      <c r="AF2855" s="21"/>
    </row>
    <row r="2856" spans="24:32" x14ac:dyDescent="0.25">
      <c r="X2856" s="4"/>
      <c r="Y2856" s="4"/>
      <c r="Z2856" s="4"/>
      <c r="AA2856" s="4"/>
      <c r="AB2856" s="4"/>
      <c r="AC2856" s="7"/>
      <c r="AD2856" s="4"/>
      <c r="AE2856" s="4"/>
      <c r="AF2856" s="21"/>
    </row>
    <row r="2857" spans="24:32" x14ac:dyDescent="0.25">
      <c r="X2857" s="4"/>
      <c r="Y2857" s="4"/>
      <c r="Z2857" s="4"/>
      <c r="AA2857" s="4"/>
      <c r="AB2857" s="4"/>
      <c r="AC2857" s="7"/>
      <c r="AD2857" s="4"/>
      <c r="AE2857" s="4"/>
      <c r="AF2857" s="21"/>
    </row>
    <row r="2858" spans="24:32" x14ac:dyDescent="0.25">
      <c r="X2858" s="4"/>
      <c r="Y2858" s="4"/>
      <c r="Z2858" s="4"/>
      <c r="AA2858" s="4"/>
      <c r="AB2858" s="4"/>
      <c r="AC2858" s="7"/>
      <c r="AD2858" s="4"/>
      <c r="AE2858" s="4"/>
      <c r="AF2858" s="21"/>
    </row>
    <row r="2859" spans="24:32" x14ac:dyDescent="0.25">
      <c r="X2859" s="4"/>
      <c r="Y2859" s="4"/>
      <c r="Z2859" s="4"/>
      <c r="AA2859" s="4"/>
      <c r="AB2859" s="4"/>
      <c r="AC2859" s="7"/>
      <c r="AD2859" s="4"/>
      <c r="AE2859" s="4"/>
      <c r="AF2859" s="21"/>
    </row>
    <row r="2860" spans="24:32" x14ac:dyDescent="0.25">
      <c r="X2860" s="4"/>
      <c r="Y2860" s="4"/>
      <c r="Z2860" s="4"/>
      <c r="AA2860" s="4"/>
      <c r="AB2860" s="4"/>
      <c r="AC2860" s="7"/>
      <c r="AD2860" s="4"/>
      <c r="AE2860" s="4"/>
      <c r="AF2860" s="21"/>
    </row>
    <row r="2861" spans="24:32" x14ac:dyDescent="0.25">
      <c r="X2861" s="4"/>
      <c r="Y2861" s="4"/>
      <c r="Z2861" s="4"/>
      <c r="AA2861" s="4"/>
      <c r="AB2861" s="4"/>
      <c r="AC2861" s="7"/>
      <c r="AD2861" s="4"/>
      <c r="AE2861" s="4"/>
      <c r="AF2861" s="21"/>
    </row>
    <row r="2862" spans="24:32" x14ac:dyDescent="0.25">
      <c r="X2862" s="4"/>
      <c r="Y2862" s="4"/>
      <c r="Z2862" s="4"/>
      <c r="AA2862" s="4"/>
      <c r="AB2862" s="4"/>
      <c r="AC2862" s="7"/>
      <c r="AD2862" s="4"/>
      <c r="AE2862" s="4"/>
      <c r="AF2862" s="21"/>
    </row>
    <row r="2863" spans="24:32" x14ac:dyDescent="0.25">
      <c r="X2863" s="4"/>
      <c r="Y2863" s="4"/>
      <c r="Z2863" s="4"/>
      <c r="AA2863" s="4"/>
      <c r="AB2863" s="4"/>
      <c r="AC2863" s="7"/>
      <c r="AD2863" s="4"/>
      <c r="AE2863" s="4"/>
      <c r="AF2863" s="21"/>
    </row>
    <row r="2864" spans="24:32" x14ac:dyDescent="0.25">
      <c r="X2864" s="4"/>
      <c r="Y2864" s="4"/>
      <c r="Z2864" s="4"/>
      <c r="AA2864" s="4"/>
      <c r="AB2864" s="4"/>
      <c r="AC2864" s="7"/>
      <c r="AD2864" s="4"/>
      <c r="AE2864" s="4"/>
      <c r="AF2864" s="21"/>
    </row>
    <row r="2865" spans="24:32" x14ac:dyDescent="0.25">
      <c r="X2865" s="4"/>
      <c r="Y2865" s="4"/>
      <c r="Z2865" s="4"/>
      <c r="AA2865" s="4"/>
      <c r="AB2865" s="4"/>
      <c r="AC2865" s="7"/>
      <c r="AD2865" s="4"/>
      <c r="AE2865" s="4"/>
      <c r="AF2865" s="21"/>
    </row>
    <row r="2866" spans="24:32" x14ac:dyDescent="0.25">
      <c r="X2866" s="4"/>
      <c r="Y2866" s="4"/>
      <c r="Z2866" s="4"/>
      <c r="AA2866" s="4"/>
      <c r="AB2866" s="4"/>
      <c r="AC2866" s="7"/>
      <c r="AD2866" s="4"/>
      <c r="AE2866" s="4"/>
      <c r="AF2866" s="21"/>
    </row>
    <row r="2867" spans="24:32" x14ac:dyDescent="0.25">
      <c r="X2867" s="4"/>
      <c r="Y2867" s="4"/>
      <c r="Z2867" s="4"/>
      <c r="AA2867" s="4"/>
      <c r="AB2867" s="4"/>
      <c r="AC2867" s="7"/>
      <c r="AD2867" s="4"/>
      <c r="AE2867" s="4"/>
      <c r="AF2867" s="21"/>
    </row>
    <row r="2868" spans="24:32" x14ac:dyDescent="0.25">
      <c r="X2868" s="4"/>
      <c r="Y2868" s="4"/>
      <c r="Z2868" s="4"/>
      <c r="AA2868" s="4"/>
      <c r="AB2868" s="4"/>
      <c r="AC2868" s="7"/>
      <c r="AD2868" s="4"/>
      <c r="AE2868" s="4"/>
      <c r="AF2868" s="21"/>
    </row>
    <row r="2869" spans="24:32" x14ac:dyDescent="0.25">
      <c r="X2869" s="4"/>
      <c r="Y2869" s="4"/>
      <c r="Z2869" s="4"/>
      <c r="AA2869" s="4"/>
      <c r="AB2869" s="4"/>
      <c r="AC2869" s="7"/>
      <c r="AD2869" s="4"/>
      <c r="AE2869" s="4"/>
      <c r="AF2869" s="21"/>
    </row>
    <row r="2870" spans="24:32" x14ac:dyDescent="0.25">
      <c r="X2870" s="4"/>
      <c r="Y2870" s="4"/>
      <c r="Z2870" s="4"/>
      <c r="AA2870" s="4"/>
      <c r="AB2870" s="4"/>
      <c r="AC2870" s="7"/>
      <c r="AD2870" s="4"/>
      <c r="AE2870" s="4"/>
      <c r="AF2870" s="21"/>
    </row>
    <row r="2871" spans="24:32" x14ac:dyDescent="0.25">
      <c r="X2871" s="4"/>
      <c r="Y2871" s="4"/>
      <c r="Z2871" s="4"/>
      <c r="AA2871" s="4"/>
      <c r="AB2871" s="4"/>
      <c r="AC2871" s="7"/>
      <c r="AD2871" s="4"/>
      <c r="AE2871" s="4"/>
      <c r="AF2871" s="21"/>
    </row>
    <row r="2872" spans="24:32" x14ac:dyDescent="0.25">
      <c r="X2872" s="4"/>
      <c r="Y2872" s="4"/>
      <c r="Z2872" s="4"/>
      <c r="AA2872" s="4"/>
      <c r="AB2872" s="4"/>
      <c r="AC2872" s="7"/>
      <c r="AD2872" s="4"/>
      <c r="AE2872" s="4"/>
      <c r="AF2872" s="21"/>
    </row>
    <row r="2873" spans="24:32" x14ac:dyDescent="0.25">
      <c r="X2873" s="4"/>
      <c r="Y2873" s="4"/>
      <c r="Z2873" s="4"/>
      <c r="AA2873" s="4"/>
      <c r="AB2873" s="4"/>
      <c r="AC2873" s="7"/>
      <c r="AD2873" s="4"/>
      <c r="AE2873" s="4"/>
      <c r="AF2873" s="21"/>
    </row>
    <row r="2874" spans="24:32" x14ac:dyDescent="0.25">
      <c r="X2874" s="4"/>
      <c r="Y2874" s="4"/>
      <c r="Z2874" s="4"/>
      <c r="AA2874" s="4"/>
      <c r="AB2874" s="4"/>
      <c r="AC2874" s="7"/>
      <c r="AD2874" s="4"/>
      <c r="AE2874" s="4"/>
      <c r="AF2874" s="21"/>
    </row>
    <row r="2875" spans="24:32" x14ac:dyDescent="0.25">
      <c r="X2875" s="4"/>
      <c r="Y2875" s="4"/>
      <c r="Z2875" s="4"/>
      <c r="AA2875" s="4"/>
      <c r="AB2875" s="4"/>
      <c r="AC2875" s="7"/>
      <c r="AD2875" s="4"/>
      <c r="AE2875" s="4"/>
      <c r="AF2875" s="21"/>
    </row>
    <row r="2876" spans="24:32" x14ac:dyDescent="0.25">
      <c r="X2876" s="4"/>
      <c r="Y2876" s="4"/>
      <c r="Z2876" s="4"/>
      <c r="AA2876" s="4"/>
      <c r="AB2876" s="4"/>
      <c r="AC2876" s="7"/>
      <c r="AD2876" s="4"/>
      <c r="AE2876" s="4"/>
      <c r="AF2876" s="21"/>
    </row>
    <row r="2877" spans="24:32" x14ac:dyDescent="0.25">
      <c r="X2877" s="4"/>
      <c r="Y2877" s="4"/>
      <c r="Z2877" s="4"/>
      <c r="AA2877" s="4"/>
      <c r="AB2877" s="4"/>
      <c r="AC2877" s="7"/>
      <c r="AD2877" s="4"/>
      <c r="AE2877" s="4"/>
      <c r="AF2877" s="21"/>
    </row>
    <row r="2878" spans="24:32" x14ac:dyDescent="0.25">
      <c r="X2878" s="4"/>
      <c r="Y2878" s="4"/>
      <c r="Z2878" s="4"/>
      <c r="AA2878" s="4"/>
      <c r="AB2878" s="4"/>
      <c r="AC2878" s="7"/>
      <c r="AD2878" s="4"/>
      <c r="AE2878" s="4"/>
      <c r="AF2878" s="21"/>
    </row>
    <row r="2879" spans="24:32" x14ac:dyDescent="0.25">
      <c r="X2879" s="4"/>
      <c r="Y2879" s="4"/>
      <c r="Z2879" s="4"/>
      <c r="AA2879" s="4"/>
      <c r="AB2879" s="4"/>
      <c r="AC2879" s="7"/>
      <c r="AD2879" s="4"/>
      <c r="AE2879" s="4"/>
      <c r="AF2879" s="21"/>
    </row>
    <row r="2880" spans="24:32" x14ac:dyDescent="0.25">
      <c r="X2880" s="4"/>
      <c r="Y2880" s="4"/>
      <c r="Z2880" s="4"/>
      <c r="AA2880" s="4"/>
      <c r="AB2880" s="4"/>
      <c r="AC2880" s="7"/>
      <c r="AD2880" s="4"/>
      <c r="AE2880" s="4"/>
      <c r="AF2880" s="21"/>
    </row>
    <row r="2881" spans="24:32" x14ac:dyDescent="0.25">
      <c r="X2881" s="4"/>
      <c r="Y2881" s="4"/>
      <c r="Z2881" s="4"/>
      <c r="AA2881" s="4"/>
      <c r="AB2881" s="4"/>
      <c r="AC2881" s="7"/>
      <c r="AD2881" s="4"/>
      <c r="AE2881" s="4"/>
      <c r="AF2881" s="21"/>
    </row>
    <row r="2882" spans="24:32" x14ac:dyDescent="0.25">
      <c r="X2882" s="4"/>
      <c r="Y2882" s="4"/>
      <c r="Z2882" s="4"/>
      <c r="AA2882" s="4"/>
      <c r="AB2882" s="4"/>
      <c r="AC2882" s="7"/>
      <c r="AD2882" s="4"/>
      <c r="AE2882" s="4"/>
      <c r="AF2882" s="21"/>
    </row>
    <row r="2883" spans="24:32" x14ac:dyDescent="0.25">
      <c r="X2883" s="4"/>
      <c r="Y2883" s="4"/>
      <c r="Z2883" s="4"/>
      <c r="AA2883" s="4"/>
      <c r="AB2883" s="4"/>
      <c r="AC2883" s="7"/>
      <c r="AD2883" s="4"/>
      <c r="AE2883" s="4"/>
      <c r="AF2883" s="21"/>
    </row>
    <row r="2884" spans="24:32" x14ac:dyDescent="0.25">
      <c r="X2884" s="4"/>
      <c r="Y2884" s="4"/>
      <c r="Z2884" s="4"/>
      <c r="AA2884" s="4"/>
      <c r="AB2884" s="4"/>
      <c r="AC2884" s="7"/>
      <c r="AD2884" s="4"/>
      <c r="AE2884" s="4"/>
      <c r="AF2884" s="21"/>
    </row>
    <row r="2885" spans="24:32" x14ac:dyDescent="0.25">
      <c r="X2885" s="4"/>
      <c r="Y2885" s="4"/>
      <c r="Z2885" s="4"/>
      <c r="AA2885" s="4"/>
      <c r="AB2885" s="4"/>
      <c r="AC2885" s="7"/>
      <c r="AD2885" s="4"/>
      <c r="AE2885" s="4"/>
      <c r="AF2885" s="21"/>
    </row>
    <row r="2886" spans="24:32" x14ac:dyDescent="0.25">
      <c r="X2886" s="4"/>
      <c r="Y2886" s="4"/>
      <c r="Z2886" s="4"/>
      <c r="AA2886" s="4"/>
      <c r="AB2886" s="4"/>
      <c r="AC2886" s="7"/>
      <c r="AD2886" s="4"/>
      <c r="AE2886" s="4"/>
      <c r="AF2886" s="21"/>
    </row>
    <row r="2887" spans="24:32" x14ac:dyDescent="0.25">
      <c r="X2887" s="4"/>
      <c r="Y2887" s="4"/>
      <c r="Z2887" s="4"/>
      <c r="AA2887" s="4"/>
      <c r="AB2887" s="4"/>
      <c r="AC2887" s="7"/>
      <c r="AD2887" s="4"/>
      <c r="AE2887" s="4"/>
      <c r="AF2887" s="21"/>
    </row>
    <row r="2888" spans="24:32" x14ac:dyDescent="0.25">
      <c r="X2888" s="4"/>
      <c r="Y2888" s="4"/>
      <c r="Z2888" s="4"/>
      <c r="AA2888" s="4"/>
      <c r="AB2888" s="4"/>
      <c r="AC2888" s="7"/>
      <c r="AD2888" s="4"/>
      <c r="AE2888" s="4"/>
      <c r="AF2888" s="21"/>
    </row>
    <row r="2889" spans="24:32" x14ac:dyDescent="0.25">
      <c r="X2889" s="4"/>
      <c r="Y2889" s="4"/>
      <c r="Z2889" s="4"/>
      <c r="AA2889" s="4"/>
      <c r="AB2889" s="4"/>
      <c r="AC2889" s="7"/>
      <c r="AD2889" s="4"/>
      <c r="AE2889" s="4"/>
      <c r="AF2889" s="21"/>
    </row>
    <row r="2890" spans="24:32" x14ac:dyDescent="0.25">
      <c r="X2890" s="4"/>
      <c r="Y2890" s="4"/>
      <c r="Z2890" s="4"/>
      <c r="AA2890" s="4"/>
      <c r="AB2890" s="4"/>
      <c r="AC2890" s="7"/>
      <c r="AD2890" s="4"/>
      <c r="AE2890" s="4"/>
      <c r="AF2890" s="21"/>
    </row>
    <row r="2891" spans="24:32" x14ac:dyDescent="0.25">
      <c r="X2891" s="4"/>
      <c r="Y2891" s="4"/>
      <c r="Z2891" s="4"/>
      <c r="AA2891" s="4"/>
      <c r="AB2891" s="4"/>
      <c r="AC2891" s="7"/>
      <c r="AD2891" s="4"/>
      <c r="AE2891" s="4"/>
      <c r="AF2891" s="21"/>
    </row>
    <row r="2892" spans="24:32" x14ac:dyDescent="0.25">
      <c r="X2892" s="4"/>
      <c r="Y2892" s="4"/>
      <c r="Z2892" s="4"/>
      <c r="AA2892" s="4"/>
      <c r="AB2892" s="4"/>
      <c r="AC2892" s="7"/>
      <c r="AD2892" s="4"/>
      <c r="AE2892" s="4"/>
      <c r="AF2892" s="21"/>
    </row>
    <row r="2893" spans="24:32" x14ac:dyDescent="0.25">
      <c r="X2893" s="4"/>
      <c r="Y2893" s="4"/>
      <c r="Z2893" s="4"/>
      <c r="AA2893" s="4"/>
      <c r="AB2893" s="4"/>
      <c r="AC2893" s="7"/>
      <c r="AD2893" s="4"/>
      <c r="AE2893" s="4"/>
      <c r="AF2893" s="21"/>
    </row>
    <row r="2894" spans="24:32" x14ac:dyDescent="0.25">
      <c r="X2894" s="4"/>
      <c r="Y2894" s="4"/>
      <c r="Z2894" s="4"/>
      <c r="AA2894" s="4"/>
      <c r="AB2894" s="4"/>
      <c r="AC2894" s="7"/>
      <c r="AD2894" s="4"/>
      <c r="AE2894" s="4"/>
      <c r="AF2894" s="21"/>
    </row>
    <row r="2895" spans="24:32" x14ac:dyDescent="0.25">
      <c r="X2895" s="4"/>
      <c r="Y2895" s="4"/>
      <c r="Z2895" s="4"/>
      <c r="AA2895" s="4"/>
      <c r="AB2895" s="4"/>
      <c r="AC2895" s="7"/>
      <c r="AD2895" s="4"/>
      <c r="AE2895" s="4"/>
      <c r="AF2895" s="21"/>
    </row>
    <row r="2896" spans="24:32" x14ac:dyDescent="0.25">
      <c r="X2896" s="4"/>
      <c r="Y2896" s="4"/>
      <c r="Z2896" s="4"/>
      <c r="AA2896" s="4"/>
      <c r="AB2896" s="4"/>
      <c r="AC2896" s="7"/>
      <c r="AD2896" s="4"/>
      <c r="AE2896" s="4"/>
      <c r="AF2896" s="21"/>
    </row>
    <row r="2897" spans="24:32" x14ac:dyDescent="0.25">
      <c r="X2897" s="4"/>
      <c r="Y2897" s="4"/>
      <c r="Z2897" s="4"/>
      <c r="AA2897" s="4"/>
      <c r="AB2897" s="4"/>
      <c r="AC2897" s="7"/>
      <c r="AD2897" s="4"/>
      <c r="AE2897" s="4"/>
      <c r="AF2897" s="21"/>
    </row>
    <row r="2898" spans="24:32" x14ac:dyDescent="0.25">
      <c r="X2898" s="4"/>
      <c r="Y2898" s="4"/>
      <c r="Z2898" s="4"/>
      <c r="AA2898" s="4"/>
      <c r="AB2898" s="4"/>
      <c r="AC2898" s="7"/>
      <c r="AD2898" s="4"/>
      <c r="AE2898" s="4"/>
      <c r="AF2898" s="21"/>
    </row>
    <row r="2899" spans="24:32" x14ac:dyDescent="0.25">
      <c r="X2899" s="4"/>
      <c r="Y2899" s="4"/>
      <c r="Z2899" s="4"/>
      <c r="AA2899" s="4"/>
      <c r="AB2899" s="4"/>
      <c r="AC2899" s="7"/>
      <c r="AD2899" s="4"/>
      <c r="AE2899" s="4"/>
      <c r="AF2899" s="21"/>
    </row>
    <row r="2900" spans="24:32" x14ac:dyDescent="0.25">
      <c r="X2900" s="4"/>
      <c r="Y2900" s="4"/>
      <c r="Z2900" s="4"/>
      <c r="AA2900" s="4"/>
      <c r="AB2900" s="4"/>
      <c r="AC2900" s="7"/>
      <c r="AD2900" s="4"/>
      <c r="AE2900" s="4"/>
      <c r="AF2900" s="21"/>
    </row>
    <row r="2901" spans="24:32" x14ac:dyDescent="0.25">
      <c r="X2901" s="4"/>
      <c r="Y2901" s="4"/>
      <c r="Z2901" s="4"/>
      <c r="AA2901" s="4"/>
      <c r="AB2901" s="4"/>
      <c r="AC2901" s="7"/>
      <c r="AD2901" s="4"/>
      <c r="AE2901" s="4"/>
      <c r="AF2901" s="21"/>
    </row>
    <row r="2902" spans="24:32" x14ac:dyDescent="0.25">
      <c r="X2902" s="4"/>
      <c r="Y2902" s="4"/>
      <c r="Z2902" s="4"/>
      <c r="AA2902" s="4"/>
      <c r="AB2902" s="4"/>
      <c r="AC2902" s="7"/>
      <c r="AD2902" s="4"/>
      <c r="AE2902" s="4"/>
      <c r="AF2902" s="21"/>
    </row>
    <row r="2903" spans="24:32" x14ac:dyDescent="0.25">
      <c r="X2903" s="4"/>
      <c r="Y2903" s="4"/>
      <c r="Z2903" s="4"/>
      <c r="AA2903" s="4"/>
      <c r="AB2903" s="4"/>
      <c r="AC2903" s="7"/>
      <c r="AD2903" s="4"/>
      <c r="AE2903" s="4"/>
      <c r="AF2903" s="21"/>
    </row>
    <row r="2904" spans="24:32" x14ac:dyDescent="0.25">
      <c r="X2904" s="4"/>
      <c r="Y2904" s="4"/>
      <c r="Z2904" s="4"/>
      <c r="AA2904" s="4"/>
      <c r="AB2904" s="4"/>
      <c r="AC2904" s="7"/>
      <c r="AD2904" s="4"/>
      <c r="AE2904" s="4"/>
      <c r="AF2904" s="21"/>
    </row>
    <row r="2905" spans="24:32" x14ac:dyDescent="0.25">
      <c r="X2905" s="4"/>
      <c r="Y2905" s="4"/>
      <c r="Z2905" s="4"/>
      <c r="AA2905" s="4"/>
      <c r="AB2905" s="4"/>
      <c r="AC2905" s="7"/>
      <c r="AD2905" s="4"/>
      <c r="AE2905" s="4"/>
      <c r="AF2905" s="21"/>
    </row>
    <row r="2906" spans="24:32" x14ac:dyDescent="0.25">
      <c r="X2906" s="4"/>
      <c r="Y2906" s="4"/>
      <c r="Z2906" s="4"/>
      <c r="AA2906" s="4"/>
      <c r="AB2906" s="4"/>
      <c r="AC2906" s="7"/>
      <c r="AD2906" s="4"/>
      <c r="AE2906" s="4"/>
      <c r="AF2906" s="21"/>
    </row>
    <row r="2907" spans="24:32" x14ac:dyDescent="0.25">
      <c r="X2907" s="4"/>
      <c r="Y2907" s="4"/>
      <c r="Z2907" s="4"/>
      <c r="AA2907" s="4"/>
      <c r="AB2907" s="4"/>
      <c r="AC2907" s="7"/>
      <c r="AD2907" s="4"/>
      <c r="AE2907" s="4"/>
      <c r="AF2907" s="21"/>
    </row>
    <row r="2908" spans="24:32" x14ac:dyDescent="0.25">
      <c r="X2908" s="4"/>
      <c r="Y2908" s="4"/>
      <c r="Z2908" s="4"/>
      <c r="AA2908" s="4"/>
      <c r="AB2908" s="4"/>
      <c r="AC2908" s="7"/>
      <c r="AD2908" s="4"/>
      <c r="AE2908" s="4"/>
      <c r="AF2908" s="21"/>
    </row>
    <row r="2909" spans="24:32" x14ac:dyDescent="0.25">
      <c r="X2909" s="4"/>
      <c r="Y2909" s="4"/>
      <c r="Z2909" s="4"/>
      <c r="AA2909" s="4"/>
      <c r="AB2909" s="4"/>
      <c r="AC2909" s="7"/>
      <c r="AD2909" s="4"/>
      <c r="AE2909" s="4"/>
      <c r="AF2909" s="21"/>
    </row>
    <row r="2910" spans="24:32" x14ac:dyDescent="0.25">
      <c r="X2910" s="4"/>
      <c r="Y2910" s="4"/>
      <c r="Z2910" s="4"/>
      <c r="AA2910" s="4"/>
      <c r="AB2910" s="4"/>
      <c r="AC2910" s="7"/>
      <c r="AD2910" s="4"/>
      <c r="AE2910" s="4"/>
      <c r="AF2910" s="21"/>
    </row>
    <row r="2911" spans="24:32" x14ac:dyDescent="0.25">
      <c r="X2911" s="4"/>
      <c r="Y2911" s="4"/>
      <c r="Z2911" s="4"/>
      <c r="AA2911" s="4"/>
      <c r="AB2911" s="4"/>
      <c r="AC2911" s="7"/>
      <c r="AD2911" s="4"/>
      <c r="AE2911" s="4"/>
      <c r="AF2911" s="21"/>
    </row>
    <row r="2912" spans="24:32" x14ac:dyDescent="0.25">
      <c r="X2912" s="4"/>
      <c r="Y2912" s="4"/>
      <c r="Z2912" s="4"/>
      <c r="AA2912" s="4"/>
      <c r="AB2912" s="4"/>
      <c r="AC2912" s="7"/>
      <c r="AD2912" s="4"/>
      <c r="AE2912" s="4"/>
      <c r="AF2912" s="21"/>
    </row>
    <row r="2913" spans="24:32" x14ac:dyDescent="0.25">
      <c r="X2913" s="4"/>
      <c r="Y2913" s="4"/>
      <c r="Z2913" s="4"/>
      <c r="AA2913" s="4"/>
      <c r="AB2913" s="4"/>
      <c r="AC2913" s="7"/>
      <c r="AD2913" s="4"/>
      <c r="AE2913" s="4"/>
      <c r="AF2913" s="21"/>
    </row>
    <row r="2914" spans="24:32" x14ac:dyDescent="0.25">
      <c r="X2914" s="4"/>
      <c r="Y2914" s="4"/>
      <c r="Z2914" s="4"/>
      <c r="AA2914" s="4"/>
      <c r="AB2914" s="4"/>
      <c r="AC2914" s="7"/>
      <c r="AD2914" s="4"/>
      <c r="AE2914" s="4"/>
      <c r="AF2914" s="21"/>
    </row>
    <row r="2915" spans="24:32" x14ac:dyDescent="0.25">
      <c r="X2915" s="4"/>
      <c r="Y2915" s="4"/>
      <c r="Z2915" s="4"/>
      <c r="AA2915" s="4"/>
      <c r="AB2915" s="4"/>
      <c r="AC2915" s="7"/>
      <c r="AD2915" s="4"/>
      <c r="AE2915" s="4"/>
      <c r="AF2915" s="21"/>
    </row>
    <row r="2916" spans="24:32" x14ac:dyDescent="0.25">
      <c r="X2916" s="4"/>
      <c r="Y2916" s="4"/>
      <c r="Z2916" s="4"/>
      <c r="AA2916" s="4"/>
      <c r="AB2916" s="4"/>
      <c r="AC2916" s="7"/>
      <c r="AD2916" s="4"/>
      <c r="AE2916" s="4"/>
      <c r="AF2916" s="21"/>
    </row>
    <row r="2917" spans="24:32" x14ac:dyDescent="0.25">
      <c r="X2917" s="4"/>
      <c r="Y2917" s="4"/>
      <c r="Z2917" s="4"/>
      <c r="AA2917" s="4"/>
      <c r="AB2917" s="4"/>
      <c r="AC2917" s="7"/>
      <c r="AD2917" s="4"/>
      <c r="AE2917" s="4"/>
      <c r="AF2917" s="21"/>
    </row>
    <row r="2918" spans="24:32" x14ac:dyDescent="0.25">
      <c r="X2918" s="4"/>
      <c r="Y2918" s="4"/>
      <c r="Z2918" s="4"/>
      <c r="AA2918" s="4"/>
      <c r="AB2918" s="4"/>
      <c r="AC2918" s="7"/>
      <c r="AD2918" s="4"/>
      <c r="AE2918" s="4"/>
      <c r="AF2918" s="21"/>
    </row>
    <row r="2919" spans="24:32" x14ac:dyDescent="0.25">
      <c r="X2919" s="4"/>
      <c r="Y2919" s="4"/>
      <c r="Z2919" s="4"/>
      <c r="AA2919" s="4"/>
      <c r="AB2919" s="4"/>
      <c r="AC2919" s="7"/>
      <c r="AD2919" s="4"/>
      <c r="AE2919" s="4"/>
      <c r="AF2919" s="21"/>
    </row>
    <row r="2920" spans="24:32" x14ac:dyDescent="0.25">
      <c r="X2920" s="4"/>
      <c r="Y2920" s="4"/>
      <c r="Z2920" s="4"/>
      <c r="AA2920" s="4"/>
      <c r="AB2920" s="4"/>
      <c r="AC2920" s="7"/>
      <c r="AD2920" s="4"/>
      <c r="AE2920" s="4"/>
      <c r="AF2920" s="21"/>
    </row>
    <row r="2921" spans="24:32" x14ac:dyDescent="0.25">
      <c r="X2921" s="4"/>
      <c r="Y2921" s="4"/>
      <c r="Z2921" s="4"/>
      <c r="AA2921" s="4"/>
      <c r="AB2921" s="4"/>
      <c r="AC2921" s="7"/>
      <c r="AD2921" s="4"/>
      <c r="AE2921" s="4"/>
      <c r="AF2921" s="21"/>
    </row>
    <row r="2922" spans="24:32" x14ac:dyDescent="0.25">
      <c r="X2922" s="4"/>
      <c r="Y2922" s="4"/>
      <c r="Z2922" s="4"/>
      <c r="AA2922" s="4"/>
      <c r="AB2922" s="4"/>
      <c r="AC2922" s="7"/>
      <c r="AD2922" s="4"/>
      <c r="AE2922" s="4"/>
      <c r="AF2922" s="21"/>
    </row>
    <row r="2923" spans="24:32" x14ac:dyDescent="0.25">
      <c r="X2923" s="4"/>
      <c r="Y2923" s="4"/>
      <c r="Z2923" s="4"/>
      <c r="AA2923" s="4"/>
      <c r="AB2923" s="4"/>
      <c r="AC2923" s="7"/>
      <c r="AD2923" s="4"/>
      <c r="AE2923" s="4"/>
      <c r="AF2923" s="21"/>
    </row>
    <row r="2924" spans="24:32" x14ac:dyDescent="0.25">
      <c r="X2924" s="4"/>
      <c r="Y2924" s="4"/>
      <c r="Z2924" s="4"/>
      <c r="AA2924" s="4"/>
      <c r="AB2924" s="4"/>
      <c r="AC2924" s="7"/>
      <c r="AD2924" s="4"/>
      <c r="AE2924" s="4"/>
      <c r="AF2924" s="21"/>
    </row>
    <row r="2925" spans="24:32" x14ac:dyDescent="0.25">
      <c r="X2925" s="4"/>
      <c r="Y2925" s="4"/>
      <c r="Z2925" s="4"/>
      <c r="AA2925" s="4"/>
      <c r="AB2925" s="4"/>
      <c r="AC2925" s="7"/>
      <c r="AD2925" s="4"/>
      <c r="AE2925" s="4"/>
      <c r="AF2925" s="21"/>
    </row>
    <row r="2926" spans="24:32" x14ac:dyDescent="0.25">
      <c r="X2926" s="4"/>
      <c r="Y2926" s="4"/>
      <c r="Z2926" s="4"/>
      <c r="AA2926" s="4"/>
      <c r="AB2926" s="4"/>
      <c r="AC2926" s="7"/>
      <c r="AD2926" s="4"/>
      <c r="AE2926" s="4"/>
      <c r="AF2926" s="21"/>
    </row>
    <row r="2927" spans="24:32" x14ac:dyDescent="0.25">
      <c r="X2927" s="4"/>
      <c r="Y2927" s="4"/>
      <c r="Z2927" s="4"/>
      <c r="AA2927" s="4"/>
      <c r="AB2927" s="4"/>
      <c r="AC2927" s="7"/>
      <c r="AD2927" s="4"/>
      <c r="AE2927" s="4"/>
      <c r="AF2927" s="21"/>
    </row>
    <row r="2928" spans="24:32" x14ac:dyDescent="0.25">
      <c r="X2928" s="4"/>
      <c r="Y2928" s="4"/>
      <c r="Z2928" s="4"/>
      <c r="AA2928" s="4"/>
      <c r="AB2928" s="4"/>
      <c r="AC2928" s="7"/>
      <c r="AD2928" s="4"/>
      <c r="AE2928" s="4"/>
      <c r="AF2928" s="21"/>
    </row>
    <row r="2929" spans="24:32" x14ac:dyDescent="0.25">
      <c r="X2929" s="4"/>
      <c r="Y2929" s="4"/>
      <c r="Z2929" s="4"/>
      <c r="AA2929" s="4"/>
      <c r="AB2929" s="4"/>
      <c r="AC2929" s="7"/>
      <c r="AD2929" s="4"/>
      <c r="AE2929" s="4"/>
      <c r="AF2929" s="21"/>
    </row>
    <row r="2930" spans="24:32" x14ac:dyDescent="0.25">
      <c r="X2930" s="4"/>
      <c r="Y2930" s="4"/>
      <c r="Z2930" s="4"/>
      <c r="AA2930" s="4"/>
      <c r="AB2930" s="4"/>
      <c r="AC2930" s="7"/>
      <c r="AD2930" s="4"/>
      <c r="AE2930" s="4"/>
      <c r="AF2930" s="21"/>
    </row>
    <row r="2931" spans="24:32" x14ac:dyDescent="0.25">
      <c r="X2931" s="4"/>
      <c r="Y2931" s="4"/>
      <c r="Z2931" s="4"/>
      <c r="AA2931" s="4"/>
      <c r="AB2931" s="4"/>
      <c r="AC2931" s="7"/>
      <c r="AD2931" s="4"/>
      <c r="AE2931" s="4"/>
      <c r="AF2931" s="21"/>
    </row>
    <row r="2932" spans="24:32" x14ac:dyDescent="0.25">
      <c r="X2932" s="4"/>
      <c r="Y2932" s="4"/>
      <c r="Z2932" s="4"/>
      <c r="AA2932" s="4"/>
      <c r="AB2932" s="4"/>
      <c r="AC2932" s="7"/>
      <c r="AD2932" s="4"/>
      <c r="AE2932" s="4"/>
      <c r="AF2932" s="21"/>
    </row>
    <row r="2933" spans="24:32" x14ac:dyDescent="0.25">
      <c r="X2933" s="4"/>
      <c r="Y2933" s="4"/>
      <c r="Z2933" s="4"/>
      <c r="AA2933" s="4"/>
      <c r="AB2933" s="4"/>
      <c r="AC2933" s="7"/>
      <c r="AD2933" s="4"/>
      <c r="AE2933" s="4"/>
      <c r="AF2933" s="21"/>
    </row>
    <row r="2934" spans="24:32" x14ac:dyDescent="0.25">
      <c r="X2934" s="4"/>
      <c r="Y2934" s="4"/>
      <c r="Z2934" s="4"/>
      <c r="AA2934" s="4"/>
      <c r="AB2934" s="4"/>
      <c r="AC2934" s="7"/>
      <c r="AD2934" s="4"/>
      <c r="AE2934" s="4"/>
      <c r="AF2934" s="21"/>
    </row>
    <row r="2935" spans="24:32" x14ac:dyDescent="0.25">
      <c r="X2935" s="4"/>
      <c r="Y2935" s="4"/>
      <c r="Z2935" s="4"/>
      <c r="AA2935" s="4"/>
      <c r="AB2935" s="4"/>
      <c r="AC2935" s="7"/>
      <c r="AD2935" s="4"/>
      <c r="AE2935" s="4"/>
      <c r="AF2935" s="21"/>
    </row>
    <row r="2936" spans="24:32" x14ac:dyDescent="0.25">
      <c r="X2936" s="4"/>
      <c r="Y2936" s="4"/>
      <c r="Z2936" s="4"/>
      <c r="AA2936" s="4"/>
      <c r="AB2936" s="4"/>
      <c r="AC2936" s="7"/>
      <c r="AD2936" s="4"/>
      <c r="AE2936" s="4"/>
      <c r="AF2936" s="21"/>
    </row>
    <row r="2937" spans="24:32" x14ac:dyDescent="0.25">
      <c r="X2937" s="4"/>
      <c r="Y2937" s="4"/>
      <c r="Z2937" s="4"/>
      <c r="AA2937" s="4"/>
      <c r="AB2937" s="4"/>
      <c r="AC2937" s="7"/>
      <c r="AD2937" s="4"/>
      <c r="AE2937" s="4"/>
      <c r="AF2937" s="21"/>
    </row>
    <row r="2938" spans="24:32" x14ac:dyDescent="0.25">
      <c r="X2938" s="4"/>
      <c r="Y2938" s="4"/>
      <c r="Z2938" s="4"/>
      <c r="AA2938" s="4"/>
      <c r="AB2938" s="4"/>
      <c r="AC2938" s="7"/>
      <c r="AD2938" s="4"/>
      <c r="AE2938" s="4"/>
      <c r="AF2938" s="21"/>
    </row>
    <row r="2939" spans="24:32" x14ac:dyDescent="0.25">
      <c r="X2939" s="4"/>
      <c r="Y2939" s="4"/>
      <c r="Z2939" s="4"/>
      <c r="AA2939" s="4"/>
      <c r="AB2939" s="4"/>
      <c r="AC2939" s="7"/>
      <c r="AD2939" s="4"/>
      <c r="AE2939" s="4"/>
      <c r="AF2939" s="21"/>
    </row>
    <row r="2940" spans="24:32" x14ac:dyDescent="0.25">
      <c r="X2940" s="4"/>
      <c r="Y2940" s="4"/>
      <c r="Z2940" s="4"/>
      <c r="AA2940" s="4"/>
      <c r="AB2940" s="4"/>
      <c r="AC2940" s="7"/>
      <c r="AD2940" s="4"/>
      <c r="AE2940" s="4"/>
      <c r="AF2940" s="21"/>
    </row>
    <row r="2941" spans="24:32" x14ac:dyDescent="0.25">
      <c r="X2941" s="4"/>
      <c r="Y2941" s="4"/>
      <c r="Z2941" s="4"/>
      <c r="AA2941" s="4"/>
      <c r="AB2941" s="4"/>
      <c r="AC2941" s="7"/>
      <c r="AD2941" s="4"/>
      <c r="AE2941" s="4"/>
      <c r="AF2941" s="21"/>
    </row>
    <row r="2942" spans="24:32" x14ac:dyDescent="0.25">
      <c r="X2942" s="4"/>
      <c r="Y2942" s="4"/>
      <c r="Z2942" s="4"/>
      <c r="AA2942" s="4"/>
      <c r="AB2942" s="4"/>
      <c r="AC2942" s="7"/>
      <c r="AD2942" s="4"/>
      <c r="AE2942" s="4"/>
      <c r="AF2942" s="21"/>
    </row>
    <row r="2943" spans="24:32" x14ac:dyDescent="0.25">
      <c r="X2943" s="4"/>
      <c r="Y2943" s="4"/>
      <c r="Z2943" s="4"/>
      <c r="AA2943" s="4"/>
      <c r="AB2943" s="4"/>
      <c r="AC2943" s="7"/>
      <c r="AD2943" s="4"/>
      <c r="AE2943" s="4"/>
      <c r="AF2943" s="21"/>
    </row>
    <row r="2944" spans="24:32" x14ac:dyDescent="0.25">
      <c r="X2944" s="4"/>
      <c r="Y2944" s="4"/>
      <c r="Z2944" s="4"/>
      <c r="AA2944" s="4"/>
      <c r="AB2944" s="4"/>
      <c r="AC2944" s="7"/>
      <c r="AD2944" s="4"/>
      <c r="AE2944" s="4"/>
      <c r="AF2944" s="21"/>
    </row>
    <row r="2945" spans="24:32" x14ac:dyDescent="0.25">
      <c r="X2945" s="4"/>
      <c r="Y2945" s="4"/>
      <c r="Z2945" s="4"/>
      <c r="AA2945" s="4"/>
      <c r="AB2945" s="4"/>
      <c r="AC2945" s="7"/>
      <c r="AD2945" s="4"/>
      <c r="AE2945" s="4"/>
      <c r="AF2945" s="21"/>
    </row>
    <row r="2946" spans="24:32" x14ac:dyDescent="0.25">
      <c r="X2946" s="4"/>
      <c r="Y2946" s="4"/>
      <c r="Z2946" s="4"/>
      <c r="AA2946" s="4"/>
      <c r="AB2946" s="4"/>
      <c r="AC2946" s="7"/>
      <c r="AD2946" s="4"/>
      <c r="AE2946" s="4"/>
      <c r="AF2946" s="21"/>
    </row>
    <row r="2947" spans="24:32" x14ac:dyDescent="0.25">
      <c r="X2947" s="4"/>
      <c r="Y2947" s="4"/>
      <c r="Z2947" s="4"/>
      <c r="AA2947" s="4"/>
      <c r="AB2947" s="4"/>
      <c r="AC2947" s="7"/>
      <c r="AD2947" s="4"/>
      <c r="AE2947" s="4"/>
      <c r="AF2947" s="21"/>
    </row>
    <row r="2948" spans="24:32" x14ac:dyDescent="0.25">
      <c r="X2948" s="4"/>
      <c r="Y2948" s="4"/>
      <c r="Z2948" s="4"/>
      <c r="AA2948" s="4"/>
      <c r="AB2948" s="4"/>
      <c r="AC2948" s="7"/>
      <c r="AD2948" s="4"/>
      <c r="AE2948" s="4"/>
      <c r="AF2948" s="21"/>
    </row>
    <row r="2949" spans="24:32" x14ac:dyDescent="0.25">
      <c r="X2949" s="4"/>
      <c r="Y2949" s="4"/>
      <c r="Z2949" s="4"/>
      <c r="AA2949" s="4"/>
      <c r="AB2949" s="4"/>
      <c r="AC2949" s="7"/>
      <c r="AD2949" s="4"/>
      <c r="AE2949" s="4"/>
      <c r="AF2949" s="21"/>
    </row>
    <row r="2950" spans="24:32" x14ac:dyDescent="0.25">
      <c r="X2950" s="4"/>
      <c r="Y2950" s="4"/>
      <c r="Z2950" s="4"/>
      <c r="AA2950" s="4"/>
      <c r="AB2950" s="4"/>
      <c r="AC2950" s="7"/>
      <c r="AD2950" s="4"/>
      <c r="AE2950" s="4"/>
      <c r="AF2950" s="21"/>
    </row>
    <row r="2951" spans="24:32" x14ac:dyDescent="0.25">
      <c r="X2951" s="4"/>
      <c r="Y2951" s="4"/>
      <c r="Z2951" s="4"/>
      <c r="AA2951" s="4"/>
      <c r="AB2951" s="4"/>
      <c r="AC2951" s="7"/>
      <c r="AD2951" s="4"/>
      <c r="AE2951" s="4"/>
      <c r="AF2951" s="21"/>
    </row>
    <row r="2952" spans="24:32" x14ac:dyDescent="0.25">
      <c r="X2952" s="4"/>
      <c r="Y2952" s="4"/>
      <c r="Z2952" s="4"/>
      <c r="AA2952" s="4"/>
      <c r="AB2952" s="4"/>
      <c r="AC2952" s="7"/>
      <c r="AD2952" s="4"/>
      <c r="AE2952" s="4"/>
      <c r="AF2952" s="21"/>
    </row>
    <row r="2953" spans="24:32" x14ac:dyDescent="0.25">
      <c r="X2953" s="4"/>
      <c r="Y2953" s="4"/>
      <c r="Z2953" s="4"/>
      <c r="AA2953" s="4"/>
      <c r="AB2953" s="4"/>
      <c r="AC2953" s="7"/>
      <c r="AD2953" s="4"/>
      <c r="AE2953" s="4"/>
      <c r="AF2953" s="21"/>
    </row>
    <row r="2954" spans="24:32" x14ac:dyDescent="0.25">
      <c r="X2954" s="4"/>
      <c r="Y2954" s="4"/>
      <c r="Z2954" s="4"/>
      <c r="AA2954" s="4"/>
      <c r="AB2954" s="4"/>
      <c r="AC2954" s="7"/>
      <c r="AD2954" s="4"/>
      <c r="AE2954" s="4"/>
      <c r="AF2954" s="21"/>
    </row>
    <row r="2955" spans="24:32" x14ac:dyDescent="0.25">
      <c r="X2955" s="4"/>
      <c r="Y2955" s="4"/>
      <c r="Z2955" s="4"/>
      <c r="AA2955" s="4"/>
      <c r="AB2955" s="4"/>
      <c r="AC2955" s="7"/>
      <c r="AD2955" s="4"/>
      <c r="AE2955" s="4"/>
      <c r="AF2955" s="21"/>
    </row>
    <row r="2956" spans="24:32" x14ac:dyDescent="0.25">
      <c r="X2956" s="4"/>
      <c r="Y2956" s="4"/>
      <c r="Z2956" s="4"/>
      <c r="AA2956" s="4"/>
      <c r="AB2956" s="4"/>
      <c r="AC2956" s="7"/>
      <c r="AD2956" s="4"/>
      <c r="AE2956" s="4"/>
      <c r="AF2956" s="21"/>
    </row>
    <row r="2957" spans="24:32" x14ac:dyDescent="0.25">
      <c r="X2957" s="4"/>
      <c r="Y2957" s="4"/>
      <c r="Z2957" s="4"/>
      <c r="AA2957" s="4"/>
      <c r="AB2957" s="4"/>
      <c r="AC2957" s="7"/>
      <c r="AD2957" s="4"/>
      <c r="AE2957" s="4"/>
      <c r="AF2957" s="21"/>
    </row>
    <row r="2958" spans="24:32" x14ac:dyDescent="0.25">
      <c r="X2958" s="4"/>
      <c r="Y2958" s="4"/>
      <c r="Z2958" s="4"/>
      <c r="AA2958" s="4"/>
      <c r="AB2958" s="4"/>
      <c r="AC2958" s="7"/>
      <c r="AD2958" s="4"/>
      <c r="AE2958" s="4"/>
      <c r="AF2958" s="21"/>
    </row>
    <row r="2959" spans="24:32" x14ac:dyDescent="0.25">
      <c r="X2959" s="4"/>
      <c r="Y2959" s="4"/>
      <c r="Z2959" s="4"/>
      <c r="AA2959" s="4"/>
      <c r="AB2959" s="4"/>
      <c r="AC2959" s="7"/>
      <c r="AD2959" s="4"/>
      <c r="AE2959" s="4"/>
      <c r="AF2959" s="21"/>
    </row>
    <row r="2960" spans="24:32" x14ac:dyDescent="0.25">
      <c r="X2960" s="4"/>
      <c r="Y2960" s="4"/>
      <c r="Z2960" s="4"/>
      <c r="AA2960" s="4"/>
      <c r="AB2960" s="4"/>
      <c r="AC2960" s="7"/>
      <c r="AD2960" s="4"/>
      <c r="AE2960" s="4"/>
      <c r="AF2960" s="21"/>
    </row>
    <row r="2961" spans="24:32" x14ac:dyDescent="0.25">
      <c r="X2961" s="4"/>
      <c r="Y2961" s="4"/>
      <c r="Z2961" s="4"/>
      <c r="AA2961" s="4"/>
      <c r="AB2961" s="4"/>
      <c r="AC2961" s="7"/>
      <c r="AD2961" s="4"/>
      <c r="AE2961" s="4"/>
      <c r="AF2961" s="21"/>
    </row>
    <row r="2962" spans="24:32" x14ac:dyDescent="0.25">
      <c r="X2962" s="4"/>
      <c r="Y2962" s="4"/>
      <c r="Z2962" s="4"/>
      <c r="AA2962" s="4"/>
      <c r="AB2962" s="4"/>
      <c r="AC2962" s="7"/>
      <c r="AD2962" s="4"/>
      <c r="AE2962" s="4"/>
      <c r="AF2962" s="21"/>
    </row>
    <row r="2963" spans="24:32" x14ac:dyDescent="0.25">
      <c r="X2963" s="4"/>
      <c r="Y2963" s="4"/>
      <c r="Z2963" s="4"/>
      <c r="AA2963" s="4"/>
      <c r="AB2963" s="4"/>
      <c r="AC2963" s="7"/>
      <c r="AD2963" s="4"/>
      <c r="AE2963" s="4"/>
      <c r="AF2963" s="21"/>
    </row>
    <row r="2964" spans="24:32" x14ac:dyDescent="0.25">
      <c r="X2964" s="4"/>
      <c r="Y2964" s="4"/>
      <c r="Z2964" s="4"/>
      <c r="AA2964" s="4"/>
      <c r="AB2964" s="4"/>
      <c r="AC2964" s="7"/>
      <c r="AD2964" s="4"/>
      <c r="AE2964" s="4"/>
      <c r="AF2964" s="21"/>
    </row>
    <row r="2965" spans="24:32" x14ac:dyDescent="0.25">
      <c r="X2965" s="4"/>
      <c r="Y2965" s="4"/>
      <c r="Z2965" s="4"/>
      <c r="AA2965" s="4"/>
      <c r="AB2965" s="4"/>
      <c r="AC2965" s="7"/>
      <c r="AD2965" s="4"/>
      <c r="AE2965" s="4"/>
      <c r="AF2965" s="21"/>
    </row>
    <row r="2966" spans="24:32" x14ac:dyDescent="0.25">
      <c r="X2966" s="4"/>
      <c r="Y2966" s="4"/>
      <c r="Z2966" s="4"/>
      <c r="AA2966" s="4"/>
      <c r="AB2966" s="4"/>
      <c r="AC2966" s="7"/>
      <c r="AD2966" s="4"/>
      <c r="AE2966" s="4"/>
      <c r="AF2966" s="21"/>
    </row>
    <row r="2967" spans="24:32" x14ac:dyDescent="0.25">
      <c r="X2967" s="4"/>
      <c r="Y2967" s="4"/>
      <c r="Z2967" s="4"/>
      <c r="AA2967" s="4"/>
      <c r="AB2967" s="4"/>
      <c r="AC2967" s="7"/>
      <c r="AD2967" s="4"/>
      <c r="AE2967" s="4"/>
      <c r="AF2967" s="21"/>
    </row>
    <row r="2968" spans="24:32" x14ac:dyDescent="0.25">
      <c r="X2968" s="4"/>
      <c r="Y2968" s="4"/>
      <c r="Z2968" s="4"/>
      <c r="AA2968" s="4"/>
      <c r="AB2968" s="4"/>
      <c r="AC2968" s="7"/>
      <c r="AD2968" s="4"/>
      <c r="AE2968" s="4"/>
      <c r="AF2968" s="21"/>
    </row>
    <row r="2969" spans="24:32" x14ac:dyDescent="0.25">
      <c r="X2969" s="4"/>
      <c r="Y2969" s="4"/>
      <c r="Z2969" s="4"/>
      <c r="AA2969" s="4"/>
      <c r="AB2969" s="4"/>
      <c r="AC2969" s="7"/>
      <c r="AD2969" s="4"/>
      <c r="AE2969" s="4"/>
      <c r="AF2969" s="21"/>
    </row>
    <row r="2970" spans="24:32" x14ac:dyDescent="0.25">
      <c r="X2970" s="4"/>
      <c r="Y2970" s="4"/>
      <c r="Z2970" s="4"/>
      <c r="AA2970" s="4"/>
      <c r="AB2970" s="4"/>
      <c r="AC2970" s="7"/>
      <c r="AD2970" s="4"/>
      <c r="AE2970" s="4"/>
      <c r="AF2970" s="21"/>
    </row>
    <row r="2971" spans="24:32" x14ac:dyDescent="0.25">
      <c r="X2971" s="4"/>
      <c r="Y2971" s="4"/>
      <c r="Z2971" s="4"/>
      <c r="AA2971" s="4"/>
      <c r="AB2971" s="4"/>
      <c r="AC2971" s="7"/>
      <c r="AD2971" s="4"/>
      <c r="AE2971" s="4"/>
      <c r="AF2971" s="21"/>
    </row>
    <row r="2972" spans="24:32" x14ac:dyDescent="0.25">
      <c r="X2972" s="4"/>
      <c r="Y2972" s="4"/>
      <c r="Z2972" s="4"/>
      <c r="AA2972" s="4"/>
      <c r="AB2972" s="4"/>
      <c r="AC2972" s="7"/>
      <c r="AD2972" s="4"/>
      <c r="AE2972" s="4"/>
      <c r="AF2972" s="21"/>
    </row>
    <row r="2973" spans="24:32" x14ac:dyDescent="0.25">
      <c r="X2973" s="4"/>
      <c r="Y2973" s="4"/>
      <c r="Z2973" s="4"/>
      <c r="AA2973" s="4"/>
      <c r="AB2973" s="4"/>
      <c r="AC2973" s="7"/>
      <c r="AD2973" s="4"/>
      <c r="AE2973" s="4"/>
      <c r="AF2973" s="21"/>
    </row>
    <row r="2974" spans="24:32" x14ac:dyDescent="0.25">
      <c r="X2974" s="4"/>
      <c r="Y2974" s="4"/>
      <c r="Z2974" s="4"/>
      <c r="AA2974" s="4"/>
      <c r="AB2974" s="4"/>
      <c r="AC2974" s="7"/>
      <c r="AD2974" s="4"/>
      <c r="AE2974" s="4"/>
      <c r="AF2974" s="21"/>
    </row>
    <row r="2975" spans="24:32" x14ac:dyDescent="0.25">
      <c r="X2975" s="4"/>
      <c r="Y2975" s="4"/>
      <c r="Z2975" s="4"/>
      <c r="AA2975" s="4"/>
      <c r="AB2975" s="4"/>
      <c r="AC2975" s="7"/>
      <c r="AD2975" s="4"/>
      <c r="AE2975" s="4"/>
      <c r="AF2975" s="21"/>
    </row>
    <row r="2976" spans="24:32" x14ac:dyDescent="0.25">
      <c r="X2976" s="4"/>
      <c r="Y2976" s="4"/>
      <c r="Z2976" s="4"/>
      <c r="AA2976" s="4"/>
      <c r="AB2976" s="4"/>
      <c r="AC2976" s="7"/>
      <c r="AD2976" s="4"/>
      <c r="AE2976" s="4"/>
      <c r="AF2976" s="21"/>
    </row>
    <row r="2977" spans="24:32" x14ac:dyDescent="0.25">
      <c r="X2977" s="4"/>
      <c r="Y2977" s="4"/>
      <c r="Z2977" s="4"/>
      <c r="AA2977" s="4"/>
      <c r="AB2977" s="4"/>
      <c r="AC2977" s="7"/>
      <c r="AD2977" s="4"/>
      <c r="AE2977" s="4"/>
      <c r="AF2977" s="21"/>
    </row>
    <row r="2978" spans="24:32" x14ac:dyDescent="0.25">
      <c r="X2978" s="4"/>
      <c r="Y2978" s="4"/>
      <c r="Z2978" s="4"/>
      <c r="AA2978" s="4"/>
      <c r="AB2978" s="4"/>
      <c r="AC2978" s="7"/>
      <c r="AD2978" s="4"/>
      <c r="AE2978" s="4"/>
      <c r="AF2978" s="21"/>
    </row>
    <row r="2979" spans="24:32" x14ac:dyDescent="0.25">
      <c r="X2979" s="4"/>
      <c r="Y2979" s="4"/>
      <c r="Z2979" s="4"/>
      <c r="AA2979" s="4"/>
      <c r="AB2979" s="4"/>
      <c r="AC2979" s="7"/>
      <c r="AD2979" s="4"/>
      <c r="AE2979" s="4"/>
      <c r="AF2979" s="21"/>
    </row>
    <row r="2980" spans="24:32" x14ac:dyDescent="0.25">
      <c r="X2980" s="4"/>
      <c r="Y2980" s="4"/>
      <c r="Z2980" s="4"/>
      <c r="AA2980" s="4"/>
      <c r="AB2980" s="4"/>
      <c r="AC2980" s="7"/>
      <c r="AD2980" s="4"/>
      <c r="AE2980" s="4"/>
      <c r="AF2980" s="21"/>
    </row>
    <row r="2981" spans="24:32" x14ac:dyDescent="0.25">
      <c r="X2981" s="4"/>
      <c r="Y2981" s="4"/>
      <c r="Z2981" s="4"/>
      <c r="AA2981" s="4"/>
      <c r="AB2981" s="4"/>
      <c r="AC2981" s="7"/>
      <c r="AD2981" s="4"/>
      <c r="AE2981" s="4"/>
      <c r="AF2981" s="21"/>
    </row>
    <row r="2982" spans="24:32" x14ac:dyDescent="0.25">
      <c r="X2982" s="4"/>
      <c r="Y2982" s="4"/>
      <c r="Z2982" s="4"/>
      <c r="AA2982" s="4"/>
      <c r="AB2982" s="4"/>
      <c r="AC2982" s="7"/>
      <c r="AD2982" s="4"/>
      <c r="AE2982" s="4"/>
      <c r="AF2982" s="21"/>
    </row>
    <row r="2983" spans="24:32" x14ac:dyDescent="0.25">
      <c r="X2983" s="4"/>
      <c r="Y2983" s="4"/>
      <c r="Z2983" s="4"/>
      <c r="AA2983" s="4"/>
      <c r="AB2983" s="4"/>
      <c r="AC2983" s="7"/>
      <c r="AD2983" s="4"/>
      <c r="AE2983" s="4"/>
      <c r="AF2983" s="21"/>
    </row>
    <row r="2984" spans="24:32" x14ac:dyDescent="0.25">
      <c r="X2984" s="4"/>
      <c r="Y2984" s="4"/>
      <c r="Z2984" s="4"/>
      <c r="AA2984" s="4"/>
      <c r="AB2984" s="4"/>
      <c r="AC2984" s="7"/>
      <c r="AD2984" s="4"/>
      <c r="AE2984" s="4"/>
      <c r="AF2984" s="21"/>
    </row>
    <row r="2985" spans="24:32" x14ac:dyDescent="0.25">
      <c r="X2985" s="4"/>
      <c r="Y2985" s="4"/>
      <c r="Z2985" s="4"/>
      <c r="AA2985" s="4"/>
      <c r="AB2985" s="4"/>
      <c r="AC2985" s="7"/>
      <c r="AD2985" s="4"/>
      <c r="AE2985" s="4"/>
      <c r="AF2985" s="21"/>
    </row>
    <row r="2986" spans="24:32" x14ac:dyDescent="0.25">
      <c r="X2986" s="4"/>
      <c r="Y2986" s="4"/>
      <c r="Z2986" s="4"/>
      <c r="AA2986" s="4"/>
      <c r="AB2986" s="4"/>
      <c r="AC2986" s="7"/>
      <c r="AD2986" s="4"/>
      <c r="AE2986" s="4"/>
      <c r="AF2986" s="21"/>
    </row>
    <row r="2987" spans="24:32" x14ac:dyDescent="0.25">
      <c r="X2987" s="4"/>
      <c r="Y2987" s="4"/>
      <c r="Z2987" s="4"/>
      <c r="AA2987" s="4"/>
      <c r="AB2987" s="4"/>
      <c r="AC2987" s="7"/>
      <c r="AD2987" s="4"/>
      <c r="AE2987" s="4"/>
      <c r="AF2987" s="21"/>
    </row>
    <row r="2988" spans="24:32" x14ac:dyDescent="0.25">
      <c r="X2988" s="4"/>
      <c r="Y2988" s="4"/>
      <c r="Z2988" s="4"/>
      <c r="AA2988" s="4"/>
      <c r="AB2988" s="4"/>
      <c r="AC2988" s="7"/>
      <c r="AD2988" s="4"/>
      <c r="AE2988" s="4"/>
      <c r="AF2988" s="21"/>
    </row>
    <row r="2989" spans="24:32" x14ac:dyDescent="0.25">
      <c r="X2989" s="4"/>
      <c r="Y2989" s="4"/>
      <c r="Z2989" s="4"/>
      <c r="AA2989" s="4"/>
      <c r="AB2989" s="4"/>
      <c r="AC2989" s="7"/>
      <c r="AD2989" s="4"/>
      <c r="AE2989" s="4"/>
      <c r="AF2989" s="21"/>
    </row>
    <row r="2990" spans="24:32" x14ac:dyDescent="0.25">
      <c r="X2990" s="4"/>
      <c r="Y2990" s="4"/>
      <c r="Z2990" s="4"/>
      <c r="AA2990" s="4"/>
      <c r="AB2990" s="4"/>
      <c r="AC2990" s="7"/>
      <c r="AD2990" s="4"/>
      <c r="AE2990" s="4"/>
      <c r="AF2990" s="21"/>
    </row>
    <row r="2991" spans="24:32" x14ac:dyDescent="0.25">
      <c r="X2991" s="4"/>
      <c r="Y2991" s="4"/>
      <c r="Z2991" s="4"/>
      <c r="AA2991" s="4"/>
      <c r="AB2991" s="4"/>
      <c r="AC2991" s="7"/>
      <c r="AD2991" s="4"/>
      <c r="AE2991" s="4"/>
      <c r="AF2991" s="21"/>
    </row>
    <row r="2992" spans="24:32" x14ac:dyDescent="0.25">
      <c r="X2992" s="4"/>
      <c r="Y2992" s="4"/>
      <c r="Z2992" s="4"/>
      <c r="AA2992" s="4"/>
      <c r="AB2992" s="4"/>
      <c r="AC2992" s="7"/>
      <c r="AD2992" s="4"/>
      <c r="AE2992" s="4"/>
      <c r="AF2992" s="21"/>
    </row>
    <row r="2993" spans="24:32" x14ac:dyDescent="0.25">
      <c r="X2993" s="4"/>
      <c r="Y2993" s="4"/>
      <c r="Z2993" s="4"/>
      <c r="AA2993" s="4"/>
      <c r="AB2993" s="4"/>
      <c r="AC2993" s="7"/>
      <c r="AD2993" s="4"/>
      <c r="AE2993" s="4"/>
      <c r="AF2993" s="21"/>
    </row>
    <row r="2994" spans="24:32" x14ac:dyDescent="0.25">
      <c r="X2994" s="4"/>
      <c r="Y2994" s="4"/>
      <c r="Z2994" s="4"/>
      <c r="AA2994" s="4"/>
      <c r="AB2994" s="4"/>
      <c r="AC2994" s="7"/>
      <c r="AD2994" s="4"/>
      <c r="AE2994" s="4"/>
      <c r="AF2994" s="21"/>
    </row>
    <row r="2995" spans="24:32" x14ac:dyDescent="0.25">
      <c r="X2995" s="4"/>
      <c r="Y2995" s="4"/>
      <c r="Z2995" s="4"/>
      <c r="AA2995" s="4"/>
      <c r="AB2995" s="4"/>
      <c r="AC2995" s="7"/>
      <c r="AD2995" s="4"/>
      <c r="AE2995" s="4"/>
      <c r="AF2995" s="21"/>
    </row>
    <row r="2996" spans="24:32" x14ac:dyDescent="0.25">
      <c r="X2996" s="4"/>
      <c r="Y2996" s="4"/>
      <c r="Z2996" s="4"/>
      <c r="AA2996" s="4"/>
      <c r="AB2996" s="4"/>
      <c r="AC2996" s="7"/>
      <c r="AD2996" s="4"/>
      <c r="AE2996" s="4"/>
      <c r="AF2996" s="21"/>
    </row>
    <row r="2997" spans="24:32" x14ac:dyDescent="0.25">
      <c r="X2997" s="4"/>
      <c r="Y2997" s="4"/>
      <c r="Z2997" s="4"/>
      <c r="AA2997" s="4"/>
      <c r="AB2997" s="4"/>
      <c r="AC2997" s="7"/>
      <c r="AD2997" s="4"/>
      <c r="AE2997" s="4"/>
      <c r="AF2997" s="21"/>
    </row>
    <row r="2998" spans="24:32" x14ac:dyDescent="0.25">
      <c r="X2998" s="4"/>
      <c r="Y2998" s="4"/>
      <c r="Z2998" s="4"/>
      <c r="AA2998" s="4"/>
      <c r="AB2998" s="4"/>
      <c r="AC2998" s="7"/>
      <c r="AD2998" s="4"/>
      <c r="AE2998" s="4"/>
      <c r="AF2998" s="21"/>
    </row>
    <row r="2999" spans="24:32" x14ac:dyDescent="0.25">
      <c r="X2999" s="4"/>
      <c r="Y2999" s="4"/>
      <c r="Z2999" s="4"/>
      <c r="AA2999" s="4"/>
      <c r="AB2999" s="4"/>
      <c r="AC2999" s="7"/>
      <c r="AD2999" s="4"/>
      <c r="AE2999" s="4"/>
      <c r="AF2999" s="21"/>
    </row>
    <row r="3000" spans="24:32" x14ac:dyDescent="0.25">
      <c r="X3000" s="4"/>
      <c r="Y3000" s="4"/>
      <c r="Z3000" s="4"/>
      <c r="AA3000" s="4"/>
      <c r="AB3000" s="4"/>
      <c r="AC3000" s="7"/>
      <c r="AD3000" s="4"/>
      <c r="AE3000" s="4"/>
      <c r="AF3000" s="21"/>
    </row>
    <row r="3001" spans="24:32" x14ac:dyDescent="0.25">
      <c r="X3001" s="4"/>
      <c r="Y3001" s="4"/>
      <c r="Z3001" s="4"/>
      <c r="AA3001" s="4"/>
      <c r="AB3001" s="4"/>
      <c r="AC3001" s="7"/>
      <c r="AD3001" s="4"/>
      <c r="AE3001" s="4"/>
      <c r="AF3001" s="21"/>
    </row>
    <row r="3002" spans="24:32" x14ac:dyDescent="0.25">
      <c r="X3002" s="4"/>
      <c r="Y3002" s="4"/>
      <c r="Z3002" s="4"/>
      <c r="AA3002" s="4"/>
      <c r="AB3002" s="4"/>
      <c r="AC3002" s="7"/>
      <c r="AD3002" s="4"/>
      <c r="AE3002" s="4"/>
      <c r="AF3002" s="21"/>
    </row>
    <row r="3003" spans="24:32" x14ac:dyDescent="0.25">
      <c r="X3003" s="4"/>
      <c r="Y3003" s="4"/>
      <c r="Z3003" s="4"/>
      <c r="AA3003" s="4"/>
      <c r="AB3003" s="4"/>
      <c r="AC3003" s="7"/>
      <c r="AD3003" s="4"/>
      <c r="AE3003" s="4"/>
      <c r="AF3003" s="21"/>
    </row>
    <row r="3004" spans="24:32" x14ac:dyDescent="0.25">
      <c r="X3004" s="4"/>
      <c r="Y3004" s="4"/>
      <c r="Z3004" s="4"/>
      <c r="AA3004" s="4"/>
      <c r="AB3004" s="4"/>
      <c r="AC3004" s="7"/>
      <c r="AD3004" s="4"/>
      <c r="AE3004" s="4"/>
      <c r="AF3004" s="21"/>
    </row>
    <row r="3005" spans="24:32" x14ac:dyDescent="0.25">
      <c r="X3005" s="4"/>
      <c r="Y3005" s="4"/>
      <c r="Z3005" s="4"/>
      <c r="AA3005" s="4"/>
      <c r="AB3005" s="4"/>
      <c r="AC3005" s="7"/>
      <c r="AD3005" s="4"/>
      <c r="AE3005" s="4"/>
      <c r="AF3005" s="21"/>
    </row>
    <row r="3006" spans="24:32" x14ac:dyDescent="0.25">
      <c r="X3006" s="4"/>
      <c r="Y3006" s="4"/>
      <c r="Z3006" s="4"/>
      <c r="AA3006" s="4"/>
      <c r="AB3006" s="4"/>
      <c r="AC3006" s="7"/>
      <c r="AD3006" s="4"/>
      <c r="AE3006" s="4"/>
      <c r="AF3006" s="21"/>
    </row>
    <row r="3007" spans="24:32" x14ac:dyDescent="0.25">
      <c r="X3007" s="4"/>
      <c r="Y3007" s="4"/>
      <c r="Z3007" s="4"/>
      <c r="AA3007" s="4"/>
      <c r="AB3007" s="4"/>
      <c r="AC3007" s="7"/>
      <c r="AD3007" s="4"/>
      <c r="AE3007" s="4"/>
      <c r="AF3007" s="21"/>
    </row>
    <row r="3008" spans="24:32" x14ac:dyDescent="0.25">
      <c r="X3008" s="4"/>
      <c r="Y3008" s="4"/>
      <c r="Z3008" s="4"/>
      <c r="AA3008" s="4"/>
      <c r="AB3008" s="4"/>
      <c r="AC3008" s="7"/>
      <c r="AD3008" s="4"/>
      <c r="AE3008" s="4"/>
      <c r="AF3008" s="21"/>
    </row>
    <row r="3009" spans="24:32" x14ac:dyDescent="0.25">
      <c r="X3009" s="4"/>
      <c r="Y3009" s="4"/>
      <c r="Z3009" s="4"/>
      <c r="AA3009" s="4"/>
      <c r="AB3009" s="4"/>
      <c r="AC3009" s="7"/>
      <c r="AD3009" s="4"/>
      <c r="AE3009" s="4"/>
      <c r="AF3009" s="21"/>
    </row>
    <row r="3010" spans="24:32" x14ac:dyDescent="0.25">
      <c r="X3010" s="4"/>
      <c r="Y3010" s="4"/>
      <c r="Z3010" s="4"/>
      <c r="AA3010" s="4"/>
      <c r="AB3010" s="4"/>
      <c r="AC3010" s="7"/>
      <c r="AD3010" s="4"/>
      <c r="AE3010" s="4"/>
      <c r="AF3010" s="21"/>
    </row>
    <row r="3011" spans="24:32" x14ac:dyDescent="0.25">
      <c r="X3011" s="4"/>
      <c r="Y3011" s="4"/>
      <c r="Z3011" s="4"/>
      <c r="AA3011" s="4"/>
      <c r="AB3011" s="4"/>
      <c r="AC3011" s="7"/>
      <c r="AD3011" s="4"/>
      <c r="AE3011" s="4"/>
      <c r="AF3011" s="21"/>
    </row>
    <row r="3012" spans="24:32" x14ac:dyDescent="0.25">
      <c r="X3012" s="4"/>
      <c r="Y3012" s="4"/>
      <c r="Z3012" s="4"/>
      <c r="AA3012" s="4"/>
      <c r="AB3012" s="4"/>
      <c r="AC3012" s="7"/>
      <c r="AD3012" s="4"/>
      <c r="AE3012" s="4"/>
      <c r="AF3012" s="21"/>
    </row>
    <row r="3013" spans="24:32" x14ac:dyDescent="0.25">
      <c r="X3013" s="4"/>
      <c r="Y3013" s="4"/>
      <c r="Z3013" s="4"/>
      <c r="AA3013" s="4"/>
      <c r="AB3013" s="4"/>
      <c r="AC3013" s="7"/>
      <c r="AD3013" s="4"/>
      <c r="AE3013" s="4"/>
      <c r="AF3013" s="21"/>
    </row>
    <row r="3014" spans="24:32" x14ac:dyDescent="0.25">
      <c r="X3014" s="4"/>
      <c r="Y3014" s="4"/>
      <c r="Z3014" s="4"/>
      <c r="AA3014" s="4"/>
      <c r="AB3014" s="4"/>
      <c r="AC3014" s="7"/>
      <c r="AD3014" s="4"/>
      <c r="AE3014" s="4"/>
      <c r="AF3014" s="21"/>
    </row>
    <row r="3015" spans="24:32" x14ac:dyDescent="0.25">
      <c r="X3015" s="4"/>
      <c r="Y3015" s="4"/>
      <c r="Z3015" s="4"/>
      <c r="AA3015" s="4"/>
      <c r="AB3015" s="4"/>
      <c r="AC3015" s="7"/>
      <c r="AD3015" s="4"/>
      <c r="AE3015" s="4"/>
      <c r="AF3015" s="21"/>
    </row>
    <row r="3016" spans="24:32" x14ac:dyDescent="0.25">
      <c r="X3016" s="4"/>
      <c r="Y3016" s="4"/>
      <c r="Z3016" s="4"/>
      <c r="AA3016" s="4"/>
      <c r="AB3016" s="4"/>
      <c r="AC3016" s="7"/>
      <c r="AD3016" s="4"/>
      <c r="AE3016" s="4"/>
      <c r="AF3016" s="21"/>
    </row>
    <row r="3017" spans="24:32" x14ac:dyDescent="0.25">
      <c r="X3017" s="4"/>
      <c r="Y3017" s="4"/>
      <c r="Z3017" s="4"/>
      <c r="AA3017" s="4"/>
      <c r="AB3017" s="4"/>
      <c r="AC3017" s="7"/>
      <c r="AD3017" s="4"/>
      <c r="AE3017" s="4"/>
      <c r="AF3017" s="21"/>
    </row>
    <row r="3018" spans="24:32" x14ac:dyDescent="0.25">
      <c r="X3018" s="4"/>
      <c r="Y3018" s="4"/>
      <c r="Z3018" s="4"/>
      <c r="AA3018" s="4"/>
      <c r="AB3018" s="4"/>
      <c r="AC3018" s="7"/>
      <c r="AD3018" s="4"/>
      <c r="AE3018" s="4"/>
      <c r="AF3018" s="21"/>
    </row>
    <row r="3019" spans="24:32" x14ac:dyDescent="0.25">
      <c r="X3019" s="4"/>
      <c r="Y3019" s="4"/>
      <c r="Z3019" s="4"/>
      <c r="AA3019" s="4"/>
      <c r="AB3019" s="4"/>
      <c r="AC3019" s="7"/>
      <c r="AD3019" s="4"/>
      <c r="AE3019" s="4"/>
      <c r="AF3019" s="21"/>
    </row>
    <row r="3020" spans="24:32" x14ac:dyDescent="0.25">
      <c r="X3020" s="4"/>
      <c r="Y3020" s="4"/>
      <c r="Z3020" s="4"/>
      <c r="AA3020" s="4"/>
      <c r="AB3020" s="4"/>
      <c r="AC3020" s="7"/>
      <c r="AD3020" s="4"/>
      <c r="AE3020" s="4"/>
      <c r="AF3020" s="21"/>
    </row>
    <row r="3021" spans="24:32" x14ac:dyDescent="0.25">
      <c r="X3021" s="4"/>
      <c r="Y3021" s="4"/>
      <c r="Z3021" s="4"/>
      <c r="AA3021" s="4"/>
      <c r="AB3021" s="4"/>
      <c r="AC3021" s="7"/>
      <c r="AD3021" s="4"/>
      <c r="AE3021" s="4"/>
      <c r="AF3021" s="21"/>
    </row>
    <row r="3022" spans="24:32" x14ac:dyDescent="0.25">
      <c r="X3022" s="4"/>
      <c r="Y3022" s="4"/>
      <c r="Z3022" s="4"/>
      <c r="AA3022" s="4"/>
      <c r="AB3022" s="4"/>
      <c r="AC3022" s="7"/>
      <c r="AD3022" s="4"/>
      <c r="AE3022" s="4"/>
      <c r="AF3022" s="21"/>
    </row>
    <row r="3023" spans="24:32" x14ac:dyDescent="0.25">
      <c r="X3023" s="4"/>
      <c r="Y3023" s="4"/>
      <c r="Z3023" s="4"/>
      <c r="AA3023" s="4"/>
      <c r="AB3023" s="4"/>
      <c r="AC3023" s="7"/>
      <c r="AD3023" s="4"/>
      <c r="AE3023" s="4"/>
      <c r="AF3023" s="21"/>
    </row>
    <row r="3024" spans="24:32" x14ac:dyDescent="0.25">
      <c r="X3024" s="4"/>
      <c r="Y3024" s="4"/>
      <c r="Z3024" s="4"/>
      <c r="AA3024" s="4"/>
      <c r="AB3024" s="4"/>
      <c r="AC3024" s="7"/>
      <c r="AD3024" s="4"/>
      <c r="AE3024" s="4"/>
      <c r="AF3024" s="21"/>
    </row>
    <row r="3025" spans="24:32" x14ac:dyDescent="0.25">
      <c r="X3025" s="4"/>
      <c r="Y3025" s="4"/>
      <c r="Z3025" s="4"/>
      <c r="AA3025" s="4"/>
      <c r="AB3025" s="4"/>
      <c r="AC3025" s="7"/>
      <c r="AD3025" s="4"/>
      <c r="AE3025" s="4"/>
      <c r="AF3025" s="21"/>
    </row>
    <row r="3026" spans="24:32" x14ac:dyDescent="0.25">
      <c r="X3026" s="4"/>
      <c r="Y3026" s="4"/>
      <c r="Z3026" s="4"/>
      <c r="AA3026" s="4"/>
      <c r="AB3026" s="4"/>
      <c r="AC3026" s="7"/>
      <c r="AD3026" s="4"/>
      <c r="AE3026" s="4"/>
      <c r="AF3026" s="21"/>
    </row>
    <row r="3027" spans="24:32" x14ac:dyDescent="0.25">
      <c r="X3027" s="4"/>
      <c r="Y3027" s="4"/>
      <c r="Z3027" s="4"/>
      <c r="AA3027" s="4"/>
      <c r="AB3027" s="4"/>
      <c r="AC3027" s="7"/>
      <c r="AD3027" s="4"/>
      <c r="AE3027" s="4"/>
      <c r="AF3027" s="21"/>
    </row>
    <row r="3028" spans="24:32" x14ac:dyDescent="0.25">
      <c r="X3028" s="4"/>
      <c r="Y3028" s="4"/>
      <c r="Z3028" s="4"/>
      <c r="AA3028" s="4"/>
      <c r="AB3028" s="4"/>
      <c r="AC3028" s="7"/>
      <c r="AD3028" s="4"/>
      <c r="AE3028" s="4"/>
      <c r="AF3028" s="21"/>
    </row>
    <row r="3029" spans="24:32" x14ac:dyDescent="0.25">
      <c r="X3029" s="4"/>
      <c r="Y3029" s="4"/>
      <c r="Z3029" s="4"/>
      <c r="AA3029" s="4"/>
      <c r="AB3029" s="4"/>
      <c r="AC3029" s="7"/>
      <c r="AD3029" s="4"/>
      <c r="AE3029" s="4"/>
      <c r="AF3029" s="21"/>
    </row>
    <row r="3030" spans="24:32" x14ac:dyDescent="0.25">
      <c r="X3030" s="4"/>
      <c r="Y3030" s="4"/>
      <c r="Z3030" s="4"/>
      <c r="AA3030" s="4"/>
      <c r="AB3030" s="4"/>
      <c r="AC3030" s="7"/>
      <c r="AD3030" s="4"/>
      <c r="AE3030" s="4"/>
      <c r="AF3030" s="21"/>
    </row>
    <row r="3031" spans="24:32" x14ac:dyDescent="0.25">
      <c r="X3031" s="4"/>
      <c r="Y3031" s="4"/>
      <c r="Z3031" s="4"/>
      <c r="AA3031" s="4"/>
      <c r="AB3031" s="4"/>
      <c r="AC3031" s="7"/>
      <c r="AD3031" s="4"/>
      <c r="AE3031" s="4"/>
      <c r="AF3031" s="21"/>
    </row>
    <row r="3032" spans="24:32" x14ac:dyDescent="0.25">
      <c r="X3032" s="4"/>
      <c r="Y3032" s="4"/>
      <c r="Z3032" s="4"/>
      <c r="AA3032" s="4"/>
      <c r="AB3032" s="4"/>
      <c r="AC3032" s="7"/>
      <c r="AD3032" s="4"/>
      <c r="AE3032" s="4"/>
      <c r="AF3032" s="21"/>
    </row>
    <row r="3033" spans="24:32" x14ac:dyDescent="0.25">
      <c r="X3033" s="4"/>
      <c r="Y3033" s="4"/>
      <c r="Z3033" s="4"/>
      <c r="AA3033" s="4"/>
      <c r="AB3033" s="4"/>
      <c r="AC3033" s="7"/>
      <c r="AD3033" s="4"/>
      <c r="AE3033" s="4"/>
      <c r="AF3033" s="21"/>
    </row>
    <row r="3034" spans="24:32" x14ac:dyDescent="0.25">
      <c r="X3034" s="4"/>
      <c r="Y3034" s="4"/>
      <c r="Z3034" s="4"/>
      <c r="AA3034" s="4"/>
      <c r="AB3034" s="4"/>
      <c r="AC3034" s="7"/>
      <c r="AD3034" s="4"/>
      <c r="AE3034" s="4"/>
      <c r="AF3034" s="21"/>
    </row>
    <row r="3035" spans="24:32" x14ac:dyDescent="0.25">
      <c r="X3035" s="4"/>
      <c r="Y3035" s="4"/>
      <c r="Z3035" s="4"/>
      <c r="AA3035" s="4"/>
      <c r="AB3035" s="4"/>
      <c r="AC3035" s="7"/>
      <c r="AD3035" s="4"/>
      <c r="AE3035" s="4"/>
      <c r="AF3035" s="21"/>
    </row>
    <row r="3036" spans="24:32" x14ac:dyDescent="0.25">
      <c r="X3036" s="4"/>
      <c r="Y3036" s="4"/>
      <c r="Z3036" s="4"/>
      <c r="AA3036" s="4"/>
      <c r="AB3036" s="4"/>
      <c r="AC3036" s="7"/>
      <c r="AD3036" s="4"/>
      <c r="AE3036" s="4"/>
      <c r="AF3036" s="21"/>
    </row>
    <row r="3037" spans="24:32" x14ac:dyDescent="0.25">
      <c r="X3037" s="4"/>
      <c r="Y3037" s="4"/>
      <c r="Z3037" s="4"/>
      <c r="AA3037" s="4"/>
      <c r="AB3037" s="4"/>
      <c r="AC3037" s="7"/>
      <c r="AD3037" s="4"/>
      <c r="AE3037" s="4"/>
      <c r="AF3037" s="21"/>
    </row>
    <row r="3038" spans="24:32" x14ac:dyDescent="0.25">
      <c r="X3038" s="4"/>
      <c r="Y3038" s="4"/>
      <c r="Z3038" s="4"/>
      <c r="AA3038" s="4"/>
      <c r="AB3038" s="4"/>
      <c r="AC3038" s="7"/>
      <c r="AD3038" s="4"/>
      <c r="AE3038" s="4"/>
      <c r="AF3038" s="21"/>
    </row>
    <row r="3039" spans="24:32" x14ac:dyDescent="0.25">
      <c r="X3039" s="4"/>
      <c r="Y3039" s="4"/>
      <c r="Z3039" s="4"/>
      <c r="AA3039" s="4"/>
      <c r="AB3039" s="4"/>
      <c r="AC3039" s="7"/>
      <c r="AD3039" s="4"/>
      <c r="AE3039" s="4"/>
      <c r="AF3039" s="21"/>
    </row>
    <row r="3040" spans="24:32" x14ac:dyDescent="0.25">
      <c r="X3040" s="4"/>
      <c r="Y3040" s="4"/>
      <c r="Z3040" s="4"/>
      <c r="AA3040" s="4"/>
      <c r="AB3040" s="4"/>
      <c r="AC3040" s="7"/>
      <c r="AD3040" s="4"/>
      <c r="AE3040" s="4"/>
      <c r="AF3040" s="21"/>
    </row>
    <row r="3041" spans="24:32" x14ac:dyDescent="0.25">
      <c r="X3041" s="4"/>
      <c r="Y3041" s="4"/>
      <c r="Z3041" s="4"/>
      <c r="AA3041" s="4"/>
      <c r="AB3041" s="4"/>
      <c r="AC3041" s="7"/>
      <c r="AD3041" s="4"/>
      <c r="AE3041" s="4"/>
      <c r="AF3041" s="21"/>
    </row>
    <row r="3042" spans="24:32" x14ac:dyDescent="0.25">
      <c r="X3042" s="4"/>
      <c r="Y3042" s="4"/>
      <c r="Z3042" s="4"/>
      <c r="AA3042" s="4"/>
      <c r="AB3042" s="4"/>
      <c r="AC3042" s="7"/>
      <c r="AD3042" s="4"/>
      <c r="AE3042" s="4"/>
      <c r="AF3042" s="21"/>
    </row>
    <row r="3043" spans="24:32" x14ac:dyDescent="0.25">
      <c r="X3043" s="4"/>
      <c r="Y3043" s="4"/>
      <c r="Z3043" s="4"/>
      <c r="AA3043" s="4"/>
      <c r="AB3043" s="4"/>
      <c r="AC3043" s="7"/>
      <c r="AD3043" s="4"/>
      <c r="AE3043" s="4"/>
      <c r="AF3043" s="21"/>
    </row>
    <row r="3044" spans="24:32" x14ac:dyDescent="0.25">
      <c r="X3044" s="4"/>
      <c r="Y3044" s="4"/>
      <c r="Z3044" s="4"/>
      <c r="AA3044" s="4"/>
      <c r="AB3044" s="4"/>
      <c r="AC3044" s="7"/>
      <c r="AD3044" s="4"/>
      <c r="AE3044" s="4"/>
      <c r="AF3044" s="21"/>
    </row>
    <row r="3045" spans="24:32" x14ac:dyDescent="0.25">
      <c r="X3045" s="4"/>
      <c r="Y3045" s="4"/>
      <c r="Z3045" s="4"/>
      <c r="AA3045" s="4"/>
      <c r="AB3045" s="4"/>
      <c r="AC3045" s="7"/>
      <c r="AD3045" s="4"/>
      <c r="AE3045" s="4"/>
      <c r="AF3045" s="21"/>
    </row>
    <row r="3046" spans="24:32" x14ac:dyDescent="0.25">
      <c r="X3046" s="4"/>
      <c r="Y3046" s="4"/>
      <c r="Z3046" s="4"/>
      <c r="AA3046" s="4"/>
      <c r="AB3046" s="4"/>
      <c r="AC3046" s="7"/>
      <c r="AD3046" s="4"/>
      <c r="AE3046" s="4"/>
      <c r="AF3046" s="21"/>
    </row>
    <row r="3047" spans="24:32" x14ac:dyDescent="0.25">
      <c r="X3047" s="4"/>
      <c r="Y3047" s="4"/>
      <c r="Z3047" s="4"/>
      <c r="AA3047" s="4"/>
      <c r="AB3047" s="4"/>
      <c r="AC3047" s="7"/>
      <c r="AD3047" s="4"/>
      <c r="AE3047" s="4"/>
      <c r="AF3047" s="21"/>
    </row>
    <row r="3048" spans="24:32" x14ac:dyDescent="0.25">
      <c r="X3048" s="4"/>
      <c r="Y3048" s="4"/>
      <c r="Z3048" s="4"/>
      <c r="AA3048" s="4"/>
      <c r="AB3048" s="4"/>
      <c r="AC3048" s="7"/>
      <c r="AD3048" s="4"/>
      <c r="AE3048" s="4"/>
      <c r="AF3048" s="21"/>
    </row>
    <row r="3049" spans="24:32" x14ac:dyDescent="0.25">
      <c r="X3049" s="4"/>
      <c r="Y3049" s="4"/>
      <c r="Z3049" s="4"/>
      <c r="AA3049" s="4"/>
      <c r="AB3049" s="4"/>
      <c r="AC3049" s="7"/>
      <c r="AD3049" s="4"/>
      <c r="AE3049" s="4"/>
      <c r="AF3049" s="21"/>
    </row>
    <row r="3050" spans="24:32" x14ac:dyDescent="0.25">
      <c r="X3050" s="4"/>
      <c r="Y3050" s="4"/>
      <c r="Z3050" s="4"/>
      <c r="AA3050" s="4"/>
      <c r="AB3050" s="4"/>
      <c r="AC3050" s="7"/>
      <c r="AD3050" s="4"/>
      <c r="AE3050" s="4"/>
      <c r="AF3050" s="21"/>
    </row>
    <row r="3051" spans="24:32" x14ac:dyDescent="0.25">
      <c r="X3051" s="4"/>
      <c r="Y3051" s="4"/>
      <c r="Z3051" s="4"/>
      <c r="AA3051" s="4"/>
      <c r="AB3051" s="4"/>
      <c r="AC3051" s="7"/>
      <c r="AD3051" s="4"/>
      <c r="AE3051" s="4"/>
      <c r="AF3051" s="21"/>
    </row>
    <row r="3052" spans="24:32" x14ac:dyDescent="0.25">
      <c r="X3052" s="4"/>
      <c r="Y3052" s="4"/>
      <c r="Z3052" s="4"/>
      <c r="AA3052" s="4"/>
      <c r="AB3052" s="4"/>
      <c r="AC3052" s="7"/>
      <c r="AD3052" s="4"/>
      <c r="AE3052" s="4"/>
      <c r="AF3052" s="21"/>
    </row>
    <row r="3053" spans="24:32" x14ac:dyDescent="0.25">
      <c r="X3053" s="4"/>
      <c r="Y3053" s="4"/>
      <c r="Z3053" s="4"/>
      <c r="AA3053" s="4"/>
      <c r="AB3053" s="4"/>
      <c r="AC3053" s="7"/>
      <c r="AD3053" s="4"/>
      <c r="AE3053" s="4"/>
      <c r="AF3053" s="21"/>
    </row>
    <row r="3054" spans="24:32" x14ac:dyDescent="0.25">
      <c r="X3054" s="4"/>
      <c r="Y3054" s="4"/>
      <c r="Z3054" s="4"/>
      <c r="AA3054" s="4"/>
      <c r="AB3054" s="4"/>
      <c r="AC3054" s="7"/>
      <c r="AD3054" s="4"/>
      <c r="AE3054" s="4"/>
      <c r="AF3054" s="21"/>
    </row>
    <row r="3055" spans="24:32" x14ac:dyDescent="0.25">
      <c r="X3055" s="4"/>
      <c r="Y3055" s="4"/>
      <c r="Z3055" s="4"/>
      <c r="AA3055" s="4"/>
      <c r="AB3055" s="4"/>
      <c r="AC3055" s="7"/>
      <c r="AD3055" s="4"/>
      <c r="AE3055" s="4"/>
      <c r="AF3055" s="21"/>
    </row>
    <row r="3056" spans="24:32" x14ac:dyDescent="0.25">
      <c r="X3056" s="4"/>
      <c r="Y3056" s="4"/>
      <c r="Z3056" s="4"/>
      <c r="AA3056" s="4"/>
      <c r="AB3056" s="4"/>
      <c r="AC3056" s="7"/>
      <c r="AD3056" s="4"/>
      <c r="AE3056" s="4"/>
      <c r="AF3056" s="21"/>
    </row>
    <row r="3057" spans="24:32" x14ac:dyDescent="0.25">
      <c r="X3057" s="4"/>
      <c r="Y3057" s="4"/>
      <c r="Z3057" s="4"/>
      <c r="AA3057" s="4"/>
      <c r="AB3057" s="4"/>
      <c r="AC3057" s="7"/>
      <c r="AD3057" s="4"/>
      <c r="AE3057" s="4"/>
      <c r="AF3057" s="21"/>
    </row>
    <row r="3058" spans="24:32" x14ac:dyDescent="0.25">
      <c r="X3058" s="4"/>
      <c r="Y3058" s="4"/>
      <c r="Z3058" s="4"/>
      <c r="AA3058" s="4"/>
      <c r="AB3058" s="4"/>
      <c r="AC3058" s="7"/>
      <c r="AD3058" s="4"/>
      <c r="AE3058" s="4"/>
      <c r="AF3058" s="21"/>
    </row>
    <row r="3059" spans="24:32" x14ac:dyDescent="0.25">
      <c r="X3059" s="4"/>
      <c r="Y3059" s="4"/>
      <c r="Z3059" s="4"/>
      <c r="AA3059" s="4"/>
      <c r="AB3059" s="4"/>
      <c r="AC3059" s="7"/>
      <c r="AD3059" s="4"/>
      <c r="AE3059" s="4"/>
      <c r="AF3059" s="21"/>
    </row>
    <row r="3060" spans="24:32" x14ac:dyDescent="0.25">
      <c r="X3060" s="4"/>
      <c r="Y3060" s="4"/>
      <c r="Z3060" s="4"/>
      <c r="AA3060" s="4"/>
      <c r="AB3060" s="4"/>
      <c r="AC3060" s="7"/>
      <c r="AD3060" s="4"/>
      <c r="AE3060" s="4"/>
      <c r="AF3060" s="21"/>
    </row>
    <row r="3061" spans="24:32" x14ac:dyDescent="0.25">
      <c r="X3061" s="4"/>
      <c r="Y3061" s="4"/>
      <c r="Z3061" s="4"/>
      <c r="AA3061" s="4"/>
      <c r="AB3061" s="4"/>
      <c r="AC3061" s="7"/>
      <c r="AD3061" s="4"/>
      <c r="AE3061" s="4"/>
      <c r="AF3061" s="21"/>
    </row>
    <row r="3062" spans="24:32" x14ac:dyDescent="0.25">
      <c r="X3062" s="4"/>
      <c r="Y3062" s="4"/>
      <c r="Z3062" s="4"/>
      <c r="AA3062" s="4"/>
      <c r="AB3062" s="4"/>
      <c r="AC3062" s="7"/>
      <c r="AD3062" s="4"/>
      <c r="AE3062" s="4"/>
      <c r="AF3062" s="21"/>
    </row>
    <row r="3063" spans="24:32" x14ac:dyDescent="0.25">
      <c r="X3063" s="4"/>
      <c r="Y3063" s="4"/>
      <c r="Z3063" s="4"/>
      <c r="AA3063" s="4"/>
      <c r="AB3063" s="4"/>
      <c r="AC3063" s="7"/>
      <c r="AD3063" s="4"/>
      <c r="AE3063" s="4"/>
      <c r="AF3063" s="21"/>
    </row>
    <row r="3064" spans="24:32" x14ac:dyDescent="0.25">
      <c r="X3064" s="4"/>
      <c r="Y3064" s="4"/>
      <c r="Z3064" s="4"/>
      <c r="AA3064" s="4"/>
      <c r="AB3064" s="4"/>
      <c r="AC3064" s="7"/>
      <c r="AD3064" s="4"/>
      <c r="AE3064" s="4"/>
      <c r="AF3064" s="21"/>
    </row>
    <row r="3065" spans="24:32" x14ac:dyDescent="0.25">
      <c r="X3065" s="4"/>
      <c r="Y3065" s="4"/>
      <c r="Z3065" s="4"/>
      <c r="AA3065" s="4"/>
      <c r="AB3065" s="4"/>
      <c r="AC3065" s="7"/>
      <c r="AD3065" s="4"/>
      <c r="AE3065" s="4"/>
      <c r="AF3065" s="21"/>
    </row>
    <row r="3066" spans="24:32" x14ac:dyDescent="0.25">
      <c r="X3066" s="4"/>
      <c r="Y3066" s="4"/>
      <c r="Z3066" s="4"/>
      <c r="AA3066" s="4"/>
      <c r="AB3066" s="4"/>
      <c r="AC3066" s="7"/>
      <c r="AD3066" s="4"/>
      <c r="AE3066" s="4"/>
      <c r="AF3066" s="21"/>
    </row>
    <row r="3067" spans="24:32" x14ac:dyDescent="0.25">
      <c r="X3067" s="4"/>
      <c r="Y3067" s="4"/>
      <c r="Z3067" s="4"/>
      <c r="AA3067" s="4"/>
      <c r="AB3067" s="4"/>
      <c r="AC3067" s="7"/>
      <c r="AD3067" s="4"/>
      <c r="AE3067" s="4"/>
      <c r="AF3067" s="21"/>
    </row>
    <row r="3068" spans="24:32" x14ac:dyDescent="0.25">
      <c r="X3068" s="4"/>
      <c r="Y3068" s="4"/>
      <c r="Z3068" s="4"/>
      <c r="AA3068" s="4"/>
      <c r="AB3068" s="4"/>
      <c r="AC3068" s="7"/>
      <c r="AD3068" s="4"/>
      <c r="AE3068" s="4"/>
      <c r="AF3068" s="21"/>
    </row>
    <row r="3069" spans="24:32" x14ac:dyDescent="0.25">
      <c r="X3069" s="4"/>
      <c r="Y3069" s="4"/>
      <c r="Z3069" s="4"/>
      <c r="AA3069" s="4"/>
      <c r="AB3069" s="4"/>
      <c r="AC3069" s="7"/>
      <c r="AD3069" s="4"/>
      <c r="AE3069" s="4"/>
      <c r="AF3069" s="21"/>
    </row>
    <row r="3070" spans="24:32" x14ac:dyDescent="0.25">
      <c r="X3070" s="4"/>
      <c r="Y3070" s="4"/>
      <c r="Z3070" s="4"/>
      <c r="AA3070" s="4"/>
      <c r="AB3070" s="4"/>
      <c r="AC3070" s="7"/>
      <c r="AD3070" s="4"/>
      <c r="AE3070" s="4"/>
      <c r="AF3070" s="21"/>
    </row>
    <row r="3071" spans="24:32" x14ac:dyDescent="0.25">
      <c r="X3071" s="4"/>
      <c r="Y3071" s="4"/>
      <c r="Z3071" s="4"/>
      <c r="AA3071" s="4"/>
      <c r="AB3071" s="4"/>
      <c r="AC3071" s="7"/>
      <c r="AD3071" s="4"/>
      <c r="AE3071" s="4"/>
      <c r="AF3071" s="21"/>
    </row>
    <row r="3072" spans="24:32" x14ac:dyDescent="0.25">
      <c r="X3072" s="4"/>
      <c r="Y3072" s="4"/>
      <c r="Z3072" s="4"/>
      <c r="AA3072" s="4"/>
      <c r="AB3072" s="4"/>
      <c r="AC3072" s="7"/>
      <c r="AD3072" s="4"/>
      <c r="AE3072" s="4"/>
      <c r="AF3072" s="21"/>
    </row>
    <row r="3073" spans="24:32" x14ac:dyDescent="0.25">
      <c r="X3073" s="4"/>
      <c r="Y3073" s="4"/>
      <c r="Z3073" s="4"/>
      <c r="AA3073" s="4"/>
      <c r="AB3073" s="4"/>
      <c r="AC3073" s="7"/>
      <c r="AD3073" s="4"/>
      <c r="AE3073" s="4"/>
      <c r="AF3073" s="21"/>
    </row>
    <row r="3074" spans="24:32" x14ac:dyDescent="0.25">
      <c r="X3074" s="4"/>
      <c r="Y3074" s="4"/>
      <c r="Z3074" s="4"/>
      <c r="AA3074" s="4"/>
      <c r="AB3074" s="4"/>
      <c r="AC3074" s="7"/>
      <c r="AD3074" s="4"/>
      <c r="AE3074" s="4"/>
      <c r="AF3074" s="21"/>
    </row>
    <row r="3075" spans="24:32" x14ac:dyDescent="0.25">
      <c r="X3075" s="4"/>
      <c r="Y3075" s="4"/>
      <c r="Z3075" s="4"/>
      <c r="AA3075" s="4"/>
      <c r="AB3075" s="4"/>
      <c r="AC3075" s="7"/>
      <c r="AD3075" s="4"/>
      <c r="AE3075" s="4"/>
      <c r="AF3075" s="21"/>
    </row>
    <row r="3076" spans="24:32" x14ac:dyDescent="0.25">
      <c r="X3076" s="4"/>
      <c r="Y3076" s="4"/>
      <c r="Z3076" s="4"/>
      <c r="AA3076" s="4"/>
      <c r="AB3076" s="4"/>
      <c r="AC3076" s="7"/>
      <c r="AD3076" s="4"/>
      <c r="AE3076" s="4"/>
      <c r="AF3076" s="21"/>
    </row>
    <row r="3077" spans="24:32" x14ac:dyDescent="0.25">
      <c r="X3077" s="4"/>
      <c r="Y3077" s="4"/>
      <c r="Z3077" s="4"/>
      <c r="AA3077" s="4"/>
      <c r="AB3077" s="4"/>
      <c r="AC3077" s="7"/>
      <c r="AD3077" s="4"/>
      <c r="AE3077" s="4"/>
      <c r="AF3077" s="21"/>
    </row>
    <row r="3078" spans="24:32" x14ac:dyDescent="0.25">
      <c r="X3078" s="4"/>
      <c r="Y3078" s="4"/>
      <c r="Z3078" s="4"/>
      <c r="AA3078" s="4"/>
      <c r="AB3078" s="4"/>
      <c r="AC3078" s="7"/>
      <c r="AD3078" s="4"/>
      <c r="AE3078" s="4"/>
      <c r="AF3078" s="21"/>
    </row>
    <row r="3079" spans="24:32" x14ac:dyDescent="0.25">
      <c r="X3079" s="4"/>
      <c r="Y3079" s="4"/>
      <c r="Z3079" s="4"/>
      <c r="AA3079" s="4"/>
      <c r="AB3079" s="4"/>
      <c r="AC3079" s="7"/>
      <c r="AD3079" s="4"/>
      <c r="AE3079" s="4"/>
      <c r="AF3079" s="21"/>
    </row>
    <row r="3080" spans="24:32" x14ac:dyDescent="0.25">
      <c r="X3080" s="4"/>
      <c r="Y3080" s="4"/>
      <c r="Z3080" s="4"/>
      <c r="AA3080" s="4"/>
      <c r="AB3080" s="4"/>
      <c r="AC3080" s="7"/>
      <c r="AD3080" s="4"/>
      <c r="AE3080" s="4"/>
      <c r="AF3080" s="21"/>
    </row>
    <row r="3081" spans="24:32" x14ac:dyDescent="0.25">
      <c r="X3081" s="4"/>
      <c r="Y3081" s="4"/>
      <c r="Z3081" s="4"/>
      <c r="AA3081" s="4"/>
      <c r="AB3081" s="4"/>
      <c r="AC3081" s="7"/>
      <c r="AD3081" s="4"/>
      <c r="AE3081" s="4"/>
      <c r="AF3081" s="21"/>
    </row>
    <row r="3082" spans="24:32" x14ac:dyDescent="0.25">
      <c r="X3082" s="4"/>
      <c r="Y3082" s="4"/>
      <c r="Z3082" s="4"/>
      <c r="AA3082" s="4"/>
      <c r="AB3082" s="4"/>
      <c r="AC3082" s="7"/>
      <c r="AD3082" s="4"/>
      <c r="AE3082" s="4"/>
      <c r="AF3082" s="21"/>
    </row>
    <row r="3083" spans="24:32" x14ac:dyDescent="0.25">
      <c r="X3083" s="4"/>
      <c r="Y3083" s="4"/>
      <c r="Z3083" s="4"/>
      <c r="AA3083" s="4"/>
      <c r="AB3083" s="4"/>
      <c r="AC3083" s="7"/>
      <c r="AD3083" s="4"/>
      <c r="AE3083" s="4"/>
      <c r="AF3083" s="21"/>
    </row>
    <row r="3084" spans="24:32" x14ac:dyDescent="0.25">
      <c r="X3084" s="4"/>
      <c r="Y3084" s="4"/>
      <c r="Z3084" s="4"/>
      <c r="AA3084" s="4"/>
      <c r="AB3084" s="4"/>
      <c r="AC3084" s="7"/>
      <c r="AD3084" s="4"/>
      <c r="AE3084" s="4"/>
      <c r="AF3084" s="21"/>
    </row>
    <row r="3085" spans="24:32" x14ac:dyDescent="0.25">
      <c r="X3085" s="4"/>
      <c r="Y3085" s="4"/>
      <c r="Z3085" s="4"/>
      <c r="AA3085" s="4"/>
      <c r="AB3085" s="4"/>
      <c r="AC3085" s="7"/>
      <c r="AD3085" s="4"/>
      <c r="AE3085" s="4"/>
      <c r="AF3085" s="21"/>
    </row>
    <row r="3086" spans="24:32" x14ac:dyDescent="0.25">
      <c r="X3086" s="4"/>
      <c r="Y3086" s="4"/>
      <c r="Z3086" s="4"/>
      <c r="AA3086" s="4"/>
      <c r="AB3086" s="4"/>
      <c r="AC3086" s="7"/>
      <c r="AD3086" s="4"/>
      <c r="AE3086" s="4"/>
      <c r="AF3086" s="21"/>
    </row>
    <row r="3087" spans="24:32" x14ac:dyDescent="0.25">
      <c r="X3087" s="4"/>
      <c r="Y3087" s="4"/>
      <c r="Z3087" s="4"/>
      <c r="AA3087" s="4"/>
      <c r="AB3087" s="4"/>
      <c r="AC3087" s="7"/>
      <c r="AD3087" s="4"/>
      <c r="AE3087" s="4"/>
      <c r="AF3087" s="21"/>
    </row>
    <row r="3088" spans="24:32" x14ac:dyDescent="0.25">
      <c r="X3088" s="4"/>
      <c r="Y3088" s="4"/>
      <c r="Z3088" s="4"/>
      <c r="AA3088" s="4"/>
      <c r="AB3088" s="4"/>
      <c r="AC3088" s="7"/>
      <c r="AD3088" s="4"/>
      <c r="AE3088" s="4"/>
      <c r="AF3088" s="21"/>
    </row>
    <row r="3089" spans="24:32" x14ac:dyDescent="0.25">
      <c r="X3089" s="4"/>
      <c r="Y3089" s="4"/>
      <c r="Z3089" s="4"/>
      <c r="AA3089" s="4"/>
      <c r="AB3089" s="4"/>
      <c r="AC3089" s="7"/>
      <c r="AD3089" s="4"/>
      <c r="AE3089" s="4"/>
      <c r="AF3089" s="21"/>
    </row>
    <row r="3090" spans="24:32" x14ac:dyDescent="0.25">
      <c r="X3090" s="4"/>
      <c r="Y3090" s="4"/>
      <c r="Z3090" s="4"/>
      <c r="AA3090" s="4"/>
      <c r="AB3090" s="4"/>
      <c r="AC3090" s="7"/>
      <c r="AD3090" s="4"/>
      <c r="AE3090" s="4"/>
      <c r="AF3090" s="21"/>
    </row>
    <row r="3091" spans="24:32" x14ac:dyDescent="0.25">
      <c r="X3091" s="4"/>
      <c r="Y3091" s="4"/>
      <c r="Z3091" s="4"/>
      <c r="AA3091" s="4"/>
      <c r="AB3091" s="4"/>
      <c r="AC3091" s="7"/>
      <c r="AD3091" s="4"/>
      <c r="AE3091" s="4"/>
      <c r="AF3091" s="21"/>
    </row>
    <row r="3092" spans="24:32" x14ac:dyDescent="0.25">
      <c r="X3092" s="4"/>
      <c r="Y3092" s="4"/>
      <c r="Z3092" s="4"/>
      <c r="AA3092" s="4"/>
      <c r="AB3092" s="4"/>
      <c r="AC3092" s="7"/>
      <c r="AD3092" s="4"/>
      <c r="AE3092" s="4"/>
      <c r="AF3092" s="21"/>
    </row>
    <row r="3093" spans="24:32" x14ac:dyDescent="0.25">
      <c r="X3093" s="4"/>
      <c r="Y3093" s="4"/>
      <c r="Z3093" s="4"/>
      <c r="AA3093" s="4"/>
      <c r="AB3093" s="4"/>
      <c r="AC3093" s="7"/>
      <c r="AD3093" s="4"/>
      <c r="AE3093" s="4"/>
      <c r="AF3093" s="21"/>
    </row>
    <row r="3094" spans="24:32" x14ac:dyDescent="0.25">
      <c r="X3094" s="4"/>
      <c r="Y3094" s="4"/>
      <c r="Z3094" s="4"/>
      <c r="AA3094" s="4"/>
      <c r="AB3094" s="4"/>
      <c r="AC3094" s="7"/>
      <c r="AD3094" s="4"/>
      <c r="AE3094" s="4"/>
      <c r="AF3094" s="21"/>
    </row>
    <row r="3095" spans="24:32" x14ac:dyDescent="0.25">
      <c r="X3095" s="4"/>
      <c r="Y3095" s="4"/>
      <c r="Z3095" s="4"/>
      <c r="AA3095" s="4"/>
      <c r="AB3095" s="4"/>
      <c r="AC3095" s="7"/>
      <c r="AD3095" s="4"/>
      <c r="AE3095" s="4"/>
      <c r="AF3095" s="21"/>
    </row>
    <row r="3096" spans="24:32" x14ac:dyDescent="0.25">
      <c r="X3096" s="4"/>
      <c r="Y3096" s="4"/>
      <c r="Z3096" s="4"/>
      <c r="AA3096" s="4"/>
      <c r="AB3096" s="4"/>
      <c r="AC3096" s="7"/>
      <c r="AD3096" s="4"/>
      <c r="AE3096" s="4"/>
      <c r="AF3096" s="21"/>
    </row>
    <row r="3097" spans="24:32" x14ac:dyDescent="0.25">
      <c r="X3097" s="4"/>
      <c r="Y3097" s="4"/>
      <c r="Z3097" s="4"/>
      <c r="AA3097" s="4"/>
      <c r="AB3097" s="4"/>
      <c r="AC3097" s="7"/>
      <c r="AD3097" s="4"/>
      <c r="AE3097" s="4"/>
      <c r="AF3097" s="21"/>
    </row>
    <row r="3098" spans="24:32" x14ac:dyDescent="0.25">
      <c r="X3098" s="4"/>
      <c r="Y3098" s="4"/>
      <c r="Z3098" s="4"/>
      <c r="AA3098" s="4"/>
      <c r="AB3098" s="4"/>
      <c r="AC3098" s="7"/>
      <c r="AD3098" s="4"/>
      <c r="AE3098" s="4"/>
      <c r="AF3098" s="21"/>
    </row>
    <row r="3099" spans="24:32" x14ac:dyDescent="0.25">
      <c r="X3099" s="4"/>
      <c r="Y3099" s="4"/>
      <c r="Z3099" s="4"/>
      <c r="AA3099" s="4"/>
      <c r="AB3099" s="4"/>
      <c r="AC3099" s="7"/>
      <c r="AD3099" s="4"/>
      <c r="AE3099" s="4"/>
      <c r="AF3099" s="21"/>
    </row>
    <row r="3100" spans="24:32" x14ac:dyDescent="0.25">
      <c r="X3100" s="4"/>
      <c r="Y3100" s="4"/>
      <c r="Z3100" s="4"/>
      <c r="AA3100" s="4"/>
      <c r="AB3100" s="4"/>
      <c r="AC3100" s="7"/>
      <c r="AD3100" s="4"/>
      <c r="AE3100" s="4"/>
      <c r="AF3100" s="21"/>
    </row>
    <row r="3101" spans="24:32" x14ac:dyDescent="0.25">
      <c r="X3101" s="4"/>
      <c r="Y3101" s="4"/>
      <c r="Z3101" s="4"/>
      <c r="AA3101" s="4"/>
      <c r="AB3101" s="4"/>
      <c r="AC3101" s="7"/>
      <c r="AD3101" s="4"/>
      <c r="AE3101" s="4"/>
      <c r="AF3101" s="21"/>
    </row>
    <row r="3102" spans="24:32" x14ac:dyDescent="0.25">
      <c r="X3102" s="4"/>
      <c r="Y3102" s="4"/>
      <c r="Z3102" s="4"/>
      <c r="AA3102" s="4"/>
      <c r="AB3102" s="4"/>
      <c r="AC3102" s="7"/>
      <c r="AD3102" s="4"/>
      <c r="AE3102" s="4"/>
      <c r="AF3102" s="21"/>
    </row>
    <row r="3103" spans="24:32" x14ac:dyDescent="0.25">
      <c r="X3103" s="4"/>
      <c r="Y3103" s="4"/>
      <c r="Z3103" s="4"/>
      <c r="AA3103" s="4"/>
      <c r="AB3103" s="4"/>
      <c r="AC3103" s="7"/>
      <c r="AD3103" s="4"/>
      <c r="AE3103" s="4"/>
      <c r="AF3103" s="21"/>
    </row>
    <row r="3104" spans="24:32" x14ac:dyDescent="0.25">
      <c r="X3104" s="4"/>
      <c r="Y3104" s="4"/>
      <c r="Z3104" s="4"/>
      <c r="AA3104" s="4"/>
      <c r="AB3104" s="4"/>
      <c r="AC3104" s="7"/>
      <c r="AD3104" s="4"/>
      <c r="AE3104" s="4"/>
      <c r="AF3104" s="21"/>
    </row>
    <row r="3105" spans="24:32" x14ac:dyDescent="0.25">
      <c r="X3105" s="4"/>
      <c r="Y3105" s="4"/>
      <c r="Z3105" s="4"/>
      <c r="AA3105" s="4"/>
      <c r="AB3105" s="4"/>
      <c r="AC3105" s="7"/>
      <c r="AD3105" s="4"/>
      <c r="AE3105" s="4"/>
      <c r="AF3105" s="21"/>
    </row>
    <row r="3106" spans="24:32" x14ac:dyDescent="0.25">
      <c r="X3106" s="4"/>
      <c r="Y3106" s="4"/>
      <c r="Z3106" s="4"/>
      <c r="AA3106" s="4"/>
      <c r="AB3106" s="4"/>
      <c r="AC3106" s="7"/>
      <c r="AD3106" s="4"/>
      <c r="AE3106" s="4"/>
      <c r="AF3106" s="21"/>
    </row>
    <row r="3107" spans="24:32" x14ac:dyDescent="0.25">
      <c r="X3107" s="4"/>
      <c r="Y3107" s="4"/>
      <c r="Z3107" s="4"/>
      <c r="AA3107" s="4"/>
      <c r="AB3107" s="4"/>
      <c r="AC3107" s="7"/>
      <c r="AD3107" s="4"/>
      <c r="AE3107" s="4"/>
      <c r="AF3107" s="21"/>
    </row>
    <row r="3108" spans="24:32" x14ac:dyDescent="0.25">
      <c r="X3108" s="4"/>
      <c r="Y3108" s="4"/>
      <c r="Z3108" s="4"/>
      <c r="AA3108" s="4"/>
      <c r="AB3108" s="4"/>
      <c r="AC3108" s="7"/>
      <c r="AD3108" s="4"/>
      <c r="AE3108" s="4"/>
      <c r="AF3108" s="21"/>
    </row>
    <row r="3109" spans="24:32" x14ac:dyDescent="0.25">
      <c r="X3109" s="4"/>
      <c r="Y3109" s="4"/>
      <c r="Z3109" s="4"/>
      <c r="AA3109" s="4"/>
      <c r="AB3109" s="4"/>
      <c r="AC3109" s="7"/>
      <c r="AD3109" s="4"/>
      <c r="AE3109" s="4"/>
      <c r="AF3109" s="21"/>
    </row>
    <row r="3110" spans="24:32" x14ac:dyDescent="0.25">
      <c r="X3110" s="4"/>
      <c r="Y3110" s="4"/>
      <c r="Z3110" s="4"/>
      <c r="AA3110" s="4"/>
      <c r="AB3110" s="4"/>
      <c r="AC3110" s="7"/>
      <c r="AD3110" s="4"/>
      <c r="AE3110" s="4"/>
      <c r="AF3110" s="21"/>
    </row>
    <row r="3111" spans="24:32" x14ac:dyDescent="0.25">
      <c r="X3111" s="4"/>
      <c r="Y3111" s="4"/>
      <c r="Z3111" s="4"/>
      <c r="AA3111" s="4"/>
      <c r="AB3111" s="4"/>
      <c r="AC3111" s="7"/>
      <c r="AD3111" s="4"/>
      <c r="AE3111" s="4"/>
      <c r="AF3111" s="21"/>
    </row>
    <row r="3112" spans="24:32" x14ac:dyDescent="0.25">
      <c r="X3112" s="4"/>
      <c r="Y3112" s="4"/>
      <c r="Z3112" s="4"/>
      <c r="AA3112" s="4"/>
      <c r="AB3112" s="4"/>
      <c r="AC3112" s="7"/>
      <c r="AD3112" s="4"/>
      <c r="AE3112" s="4"/>
      <c r="AF3112" s="21"/>
    </row>
    <row r="3113" spans="24:32" x14ac:dyDescent="0.25">
      <c r="X3113" s="4"/>
      <c r="Y3113" s="4"/>
      <c r="Z3113" s="4"/>
      <c r="AA3113" s="4"/>
      <c r="AB3113" s="4"/>
      <c r="AC3113" s="7"/>
      <c r="AD3113" s="4"/>
      <c r="AE3113" s="4"/>
      <c r="AF3113" s="21"/>
    </row>
    <row r="3114" spans="24:32" x14ac:dyDescent="0.25">
      <c r="X3114" s="4"/>
      <c r="Y3114" s="4"/>
      <c r="Z3114" s="4"/>
      <c r="AA3114" s="4"/>
      <c r="AB3114" s="4"/>
      <c r="AC3114" s="7"/>
      <c r="AD3114" s="4"/>
      <c r="AE3114" s="4"/>
      <c r="AF3114" s="21"/>
    </row>
    <row r="3115" spans="24:32" x14ac:dyDescent="0.25">
      <c r="X3115" s="4"/>
      <c r="Y3115" s="4"/>
      <c r="Z3115" s="4"/>
      <c r="AA3115" s="4"/>
      <c r="AB3115" s="4"/>
      <c r="AC3115" s="7"/>
      <c r="AD3115" s="4"/>
      <c r="AE3115" s="4"/>
      <c r="AF3115" s="21"/>
    </row>
    <row r="3116" spans="24:32" x14ac:dyDescent="0.25">
      <c r="X3116" s="4"/>
      <c r="Y3116" s="4"/>
      <c r="Z3116" s="4"/>
      <c r="AA3116" s="4"/>
      <c r="AB3116" s="4"/>
      <c r="AC3116" s="7"/>
      <c r="AD3116" s="4"/>
      <c r="AE3116" s="4"/>
      <c r="AF3116" s="21"/>
    </row>
    <row r="3117" spans="24:32" x14ac:dyDescent="0.25">
      <c r="X3117" s="4"/>
      <c r="Y3117" s="4"/>
      <c r="Z3117" s="4"/>
      <c r="AA3117" s="4"/>
      <c r="AB3117" s="4"/>
      <c r="AC3117" s="7"/>
      <c r="AD3117" s="4"/>
      <c r="AE3117" s="4"/>
      <c r="AF3117" s="21"/>
    </row>
    <row r="3118" spans="24:32" x14ac:dyDescent="0.25">
      <c r="X3118" s="4"/>
      <c r="Y3118" s="4"/>
      <c r="Z3118" s="4"/>
      <c r="AA3118" s="4"/>
      <c r="AB3118" s="4"/>
      <c r="AC3118" s="7"/>
      <c r="AD3118" s="4"/>
      <c r="AE3118" s="4"/>
      <c r="AF3118" s="21"/>
    </row>
    <row r="3119" spans="24:32" x14ac:dyDescent="0.25">
      <c r="X3119" s="4"/>
      <c r="Y3119" s="4"/>
      <c r="Z3119" s="4"/>
      <c r="AA3119" s="4"/>
      <c r="AB3119" s="4"/>
      <c r="AC3119" s="7"/>
      <c r="AD3119" s="4"/>
      <c r="AE3119" s="4"/>
      <c r="AF3119" s="21"/>
    </row>
    <row r="3120" spans="24:32" x14ac:dyDescent="0.25">
      <c r="X3120" s="4"/>
      <c r="Y3120" s="4"/>
      <c r="Z3120" s="4"/>
      <c r="AA3120" s="4"/>
      <c r="AB3120" s="4"/>
      <c r="AC3120" s="7"/>
      <c r="AD3120" s="4"/>
      <c r="AE3120" s="4"/>
      <c r="AF3120" s="21"/>
    </row>
    <row r="3121" spans="24:32" x14ac:dyDescent="0.25">
      <c r="X3121" s="4"/>
      <c r="Y3121" s="4"/>
      <c r="Z3121" s="4"/>
      <c r="AA3121" s="4"/>
      <c r="AB3121" s="4"/>
      <c r="AC3121" s="7"/>
      <c r="AD3121" s="4"/>
      <c r="AE3121" s="4"/>
      <c r="AF3121" s="21"/>
    </row>
    <row r="3122" spans="24:32" x14ac:dyDescent="0.25">
      <c r="X3122" s="4"/>
      <c r="Y3122" s="4"/>
      <c r="Z3122" s="4"/>
      <c r="AA3122" s="4"/>
      <c r="AB3122" s="4"/>
      <c r="AC3122" s="7"/>
      <c r="AD3122" s="4"/>
      <c r="AE3122" s="4"/>
      <c r="AF3122" s="21"/>
    </row>
    <row r="3123" spans="24:32" x14ac:dyDescent="0.25">
      <c r="X3123" s="4"/>
      <c r="Y3123" s="4"/>
      <c r="Z3123" s="4"/>
      <c r="AA3123" s="4"/>
      <c r="AB3123" s="4"/>
      <c r="AC3123" s="7"/>
      <c r="AD3123" s="4"/>
      <c r="AE3123" s="4"/>
      <c r="AF3123" s="21"/>
    </row>
    <row r="3124" spans="24:32" x14ac:dyDescent="0.25">
      <c r="X3124" s="4"/>
      <c r="Y3124" s="4"/>
      <c r="Z3124" s="4"/>
      <c r="AA3124" s="4"/>
      <c r="AB3124" s="4"/>
      <c r="AC3124" s="7"/>
      <c r="AD3124" s="4"/>
      <c r="AE3124" s="4"/>
      <c r="AF3124" s="21"/>
    </row>
    <row r="3125" spans="24:32" x14ac:dyDescent="0.25">
      <c r="X3125" s="4"/>
      <c r="Y3125" s="4"/>
      <c r="Z3125" s="4"/>
      <c r="AA3125" s="4"/>
      <c r="AB3125" s="4"/>
      <c r="AC3125" s="7"/>
      <c r="AD3125" s="4"/>
      <c r="AE3125" s="4"/>
      <c r="AF3125" s="21"/>
    </row>
    <row r="3126" spans="24:32" x14ac:dyDescent="0.25">
      <c r="X3126" s="4"/>
      <c r="Y3126" s="4"/>
      <c r="Z3126" s="4"/>
      <c r="AA3126" s="4"/>
      <c r="AB3126" s="4"/>
      <c r="AC3126" s="7"/>
      <c r="AD3126" s="4"/>
      <c r="AE3126" s="4"/>
      <c r="AF3126" s="21"/>
    </row>
    <row r="3127" spans="24:32" x14ac:dyDescent="0.25">
      <c r="X3127" s="4"/>
      <c r="Y3127" s="4"/>
      <c r="Z3127" s="4"/>
      <c r="AA3127" s="4"/>
      <c r="AB3127" s="4"/>
      <c r="AC3127" s="7"/>
      <c r="AD3127" s="4"/>
      <c r="AE3127" s="4"/>
      <c r="AF3127" s="21"/>
    </row>
    <row r="3128" spans="24:32" x14ac:dyDescent="0.25">
      <c r="X3128" s="4"/>
      <c r="Y3128" s="4"/>
      <c r="Z3128" s="4"/>
      <c r="AA3128" s="4"/>
      <c r="AB3128" s="4"/>
      <c r="AC3128" s="7"/>
      <c r="AD3128" s="4"/>
      <c r="AE3128" s="4"/>
      <c r="AF3128" s="21"/>
    </row>
    <row r="3129" spans="24:32" x14ac:dyDescent="0.25">
      <c r="X3129" s="4"/>
      <c r="Y3129" s="4"/>
      <c r="Z3129" s="4"/>
      <c r="AA3129" s="4"/>
      <c r="AB3129" s="4"/>
      <c r="AC3129" s="7"/>
      <c r="AD3129" s="4"/>
      <c r="AE3129" s="4"/>
      <c r="AF3129" s="21"/>
    </row>
    <row r="3130" spans="24:32" x14ac:dyDescent="0.25">
      <c r="X3130" s="4"/>
      <c r="Y3130" s="4"/>
      <c r="Z3130" s="4"/>
      <c r="AA3130" s="4"/>
      <c r="AB3130" s="4"/>
      <c r="AC3130" s="7"/>
      <c r="AD3130" s="4"/>
      <c r="AE3130" s="4"/>
      <c r="AF3130" s="21"/>
    </row>
    <row r="3131" spans="24:32" x14ac:dyDescent="0.25">
      <c r="X3131" s="4"/>
      <c r="Y3131" s="4"/>
      <c r="Z3131" s="4"/>
      <c r="AA3131" s="4"/>
      <c r="AB3131" s="4"/>
      <c r="AC3131" s="7"/>
      <c r="AD3131" s="4"/>
      <c r="AE3131" s="4"/>
      <c r="AF3131" s="21"/>
    </row>
    <row r="3132" spans="24:32" x14ac:dyDescent="0.25">
      <c r="X3132" s="4"/>
      <c r="Y3132" s="4"/>
      <c r="Z3132" s="4"/>
      <c r="AA3132" s="4"/>
      <c r="AB3132" s="4"/>
      <c r="AC3132" s="7"/>
      <c r="AD3132" s="4"/>
      <c r="AE3132" s="4"/>
      <c r="AF3132" s="21"/>
    </row>
    <row r="3133" spans="24:32" x14ac:dyDescent="0.25">
      <c r="X3133" s="4"/>
      <c r="Y3133" s="4"/>
      <c r="Z3133" s="4"/>
      <c r="AA3133" s="4"/>
      <c r="AB3133" s="4"/>
      <c r="AC3133" s="7"/>
      <c r="AD3133" s="4"/>
      <c r="AE3133" s="4"/>
      <c r="AF3133" s="21"/>
    </row>
    <row r="3134" spans="24:32" x14ac:dyDescent="0.25">
      <c r="X3134" s="4"/>
      <c r="Y3134" s="4"/>
      <c r="Z3134" s="4"/>
      <c r="AA3134" s="4"/>
      <c r="AB3134" s="4"/>
      <c r="AC3134" s="7"/>
      <c r="AD3134" s="4"/>
      <c r="AE3134" s="4"/>
      <c r="AF3134" s="21"/>
    </row>
    <row r="3135" spans="24:32" x14ac:dyDescent="0.25">
      <c r="X3135" s="4"/>
      <c r="Y3135" s="4"/>
      <c r="Z3135" s="4"/>
      <c r="AA3135" s="4"/>
      <c r="AB3135" s="4"/>
      <c r="AC3135" s="7"/>
      <c r="AD3135" s="4"/>
      <c r="AE3135" s="4"/>
      <c r="AF3135" s="21"/>
    </row>
    <row r="3136" spans="24:32" x14ac:dyDescent="0.25">
      <c r="X3136" s="4"/>
      <c r="Y3136" s="4"/>
      <c r="Z3136" s="4"/>
      <c r="AA3136" s="4"/>
      <c r="AB3136" s="4"/>
      <c r="AC3136" s="7"/>
      <c r="AD3136" s="4"/>
      <c r="AE3136" s="4"/>
      <c r="AF3136" s="21"/>
    </row>
    <row r="3137" spans="24:32" x14ac:dyDescent="0.25">
      <c r="X3137" s="4"/>
      <c r="Y3137" s="4"/>
      <c r="Z3137" s="4"/>
      <c r="AA3137" s="4"/>
      <c r="AB3137" s="4"/>
      <c r="AC3137" s="7"/>
      <c r="AD3137" s="4"/>
      <c r="AE3137" s="4"/>
      <c r="AF3137" s="21"/>
    </row>
    <row r="3138" spans="24:32" x14ac:dyDescent="0.25">
      <c r="X3138" s="4"/>
      <c r="Y3138" s="4"/>
      <c r="Z3138" s="4"/>
      <c r="AA3138" s="4"/>
      <c r="AB3138" s="4"/>
      <c r="AC3138" s="7"/>
      <c r="AD3138" s="4"/>
      <c r="AE3138" s="4"/>
      <c r="AF3138" s="21"/>
    </row>
    <row r="3139" spans="24:32" x14ac:dyDescent="0.25">
      <c r="X3139" s="4"/>
      <c r="Y3139" s="4"/>
      <c r="Z3139" s="4"/>
      <c r="AA3139" s="4"/>
      <c r="AB3139" s="4"/>
      <c r="AC3139" s="7"/>
      <c r="AD3139" s="4"/>
      <c r="AE3139" s="4"/>
      <c r="AF3139" s="21"/>
    </row>
    <row r="3140" spans="24:32" x14ac:dyDescent="0.25">
      <c r="X3140" s="4"/>
      <c r="Y3140" s="4"/>
      <c r="Z3140" s="4"/>
      <c r="AA3140" s="4"/>
      <c r="AB3140" s="4"/>
      <c r="AC3140" s="7"/>
      <c r="AD3140" s="4"/>
      <c r="AE3140" s="4"/>
      <c r="AF3140" s="21"/>
    </row>
    <row r="3141" spans="24:32" x14ac:dyDescent="0.25">
      <c r="X3141" s="4"/>
      <c r="Y3141" s="4"/>
      <c r="Z3141" s="4"/>
      <c r="AA3141" s="4"/>
      <c r="AB3141" s="4"/>
      <c r="AC3141" s="7"/>
      <c r="AD3141" s="4"/>
      <c r="AE3141" s="4"/>
      <c r="AF3141" s="21"/>
    </row>
    <row r="3142" spans="24:32" x14ac:dyDescent="0.25">
      <c r="X3142" s="4"/>
      <c r="Y3142" s="4"/>
      <c r="Z3142" s="4"/>
      <c r="AA3142" s="4"/>
      <c r="AB3142" s="4"/>
      <c r="AC3142" s="7"/>
      <c r="AD3142" s="4"/>
      <c r="AE3142" s="4"/>
      <c r="AF3142" s="21"/>
    </row>
    <row r="3143" spans="24:32" x14ac:dyDescent="0.25">
      <c r="X3143" s="4"/>
      <c r="Y3143" s="4"/>
      <c r="Z3143" s="4"/>
      <c r="AA3143" s="4"/>
      <c r="AB3143" s="4"/>
      <c r="AC3143" s="7"/>
      <c r="AD3143" s="4"/>
      <c r="AE3143" s="4"/>
      <c r="AF3143" s="21"/>
    </row>
    <row r="3144" spans="24:32" x14ac:dyDescent="0.25">
      <c r="X3144" s="4"/>
      <c r="Y3144" s="4"/>
      <c r="Z3144" s="4"/>
      <c r="AA3144" s="4"/>
      <c r="AB3144" s="4"/>
      <c r="AC3144" s="7"/>
      <c r="AD3144" s="4"/>
      <c r="AE3144" s="4"/>
      <c r="AF3144" s="21"/>
    </row>
    <row r="3145" spans="24:32" x14ac:dyDescent="0.25">
      <c r="X3145" s="4"/>
      <c r="Y3145" s="4"/>
      <c r="Z3145" s="4"/>
      <c r="AA3145" s="4"/>
      <c r="AB3145" s="4"/>
      <c r="AC3145" s="7"/>
      <c r="AD3145" s="4"/>
      <c r="AE3145" s="4"/>
      <c r="AF3145" s="21"/>
    </row>
    <row r="3146" spans="24:32" x14ac:dyDescent="0.25">
      <c r="X3146" s="4"/>
      <c r="Y3146" s="4"/>
      <c r="Z3146" s="4"/>
      <c r="AA3146" s="4"/>
      <c r="AB3146" s="4"/>
      <c r="AC3146" s="7"/>
      <c r="AD3146" s="4"/>
      <c r="AE3146" s="4"/>
      <c r="AF3146" s="21"/>
    </row>
    <row r="3147" spans="24:32" x14ac:dyDescent="0.25">
      <c r="X3147" s="4"/>
      <c r="Y3147" s="4"/>
      <c r="Z3147" s="4"/>
      <c r="AA3147" s="4"/>
      <c r="AB3147" s="4"/>
      <c r="AC3147" s="7"/>
      <c r="AD3147" s="4"/>
      <c r="AE3147" s="4"/>
      <c r="AF3147" s="21"/>
    </row>
    <row r="3148" spans="24:32" x14ac:dyDescent="0.25">
      <c r="X3148" s="4"/>
      <c r="Y3148" s="4"/>
      <c r="Z3148" s="4"/>
      <c r="AA3148" s="4"/>
      <c r="AB3148" s="4"/>
      <c r="AC3148" s="7"/>
      <c r="AD3148" s="4"/>
      <c r="AE3148" s="4"/>
      <c r="AF3148" s="21"/>
    </row>
    <row r="3149" spans="24:32" x14ac:dyDescent="0.25">
      <c r="X3149" s="4"/>
      <c r="Y3149" s="4"/>
      <c r="Z3149" s="4"/>
      <c r="AA3149" s="4"/>
      <c r="AB3149" s="4"/>
      <c r="AC3149" s="7"/>
      <c r="AD3149" s="4"/>
      <c r="AE3149" s="4"/>
      <c r="AF3149" s="21"/>
    </row>
    <row r="3150" spans="24:32" x14ac:dyDescent="0.25">
      <c r="X3150" s="4"/>
      <c r="Y3150" s="4"/>
      <c r="Z3150" s="4"/>
      <c r="AA3150" s="4"/>
      <c r="AB3150" s="4"/>
      <c r="AC3150" s="7"/>
      <c r="AD3150" s="4"/>
      <c r="AE3150" s="4"/>
      <c r="AF3150" s="21"/>
    </row>
    <row r="3151" spans="24:32" x14ac:dyDescent="0.25">
      <c r="X3151" s="4"/>
      <c r="Y3151" s="4"/>
      <c r="Z3151" s="4"/>
      <c r="AA3151" s="4"/>
      <c r="AB3151" s="4"/>
      <c r="AC3151" s="7"/>
      <c r="AD3151" s="4"/>
      <c r="AE3151" s="4"/>
      <c r="AF3151" s="21"/>
    </row>
    <row r="3152" spans="24:32" x14ac:dyDescent="0.25">
      <c r="X3152" s="4"/>
      <c r="Y3152" s="4"/>
      <c r="Z3152" s="4"/>
      <c r="AA3152" s="4"/>
      <c r="AB3152" s="4"/>
      <c r="AC3152" s="7"/>
      <c r="AD3152" s="4"/>
      <c r="AE3152" s="4"/>
      <c r="AF3152" s="21"/>
    </row>
    <row r="3153" spans="24:32" x14ac:dyDescent="0.25">
      <c r="X3153" s="4"/>
      <c r="Y3153" s="4"/>
      <c r="Z3153" s="4"/>
      <c r="AA3153" s="4"/>
      <c r="AB3153" s="4"/>
      <c r="AC3153" s="7"/>
      <c r="AD3153" s="4"/>
      <c r="AE3153" s="4"/>
      <c r="AF3153" s="21"/>
    </row>
    <row r="3154" spans="24:32" x14ac:dyDescent="0.25">
      <c r="X3154" s="4"/>
      <c r="Y3154" s="4"/>
      <c r="Z3154" s="4"/>
      <c r="AA3154" s="4"/>
      <c r="AB3154" s="4"/>
      <c r="AC3154" s="7"/>
      <c r="AD3154" s="4"/>
      <c r="AE3154" s="4"/>
      <c r="AF3154" s="21"/>
    </row>
    <row r="3155" spans="24:32" x14ac:dyDescent="0.25">
      <c r="X3155" s="4"/>
      <c r="Y3155" s="4"/>
      <c r="Z3155" s="4"/>
      <c r="AA3155" s="4"/>
      <c r="AB3155" s="4"/>
      <c r="AC3155" s="7"/>
      <c r="AD3155" s="4"/>
      <c r="AE3155" s="4"/>
      <c r="AF3155" s="21"/>
    </row>
    <row r="3156" spans="24:32" x14ac:dyDescent="0.25">
      <c r="X3156" s="4"/>
      <c r="Y3156" s="4"/>
      <c r="Z3156" s="4"/>
      <c r="AA3156" s="4"/>
      <c r="AB3156" s="4"/>
      <c r="AC3156" s="7"/>
      <c r="AD3156" s="4"/>
      <c r="AE3156" s="4"/>
      <c r="AF3156" s="21"/>
    </row>
    <row r="3157" spans="24:32" x14ac:dyDescent="0.25">
      <c r="X3157" s="4"/>
      <c r="Y3157" s="4"/>
      <c r="Z3157" s="4"/>
      <c r="AA3157" s="4"/>
      <c r="AB3157" s="4"/>
      <c r="AC3157" s="7"/>
      <c r="AD3157" s="4"/>
      <c r="AE3157" s="4"/>
      <c r="AF3157" s="21"/>
    </row>
    <row r="3158" spans="24:32" x14ac:dyDescent="0.25">
      <c r="X3158" s="4"/>
      <c r="Y3158" s="4"/>
      <c r="Z3158" s="4"/>
      <c r="AA3158" s="4"/>
      <c r="AB3158" s="4"/>
      <c r="AC3158" s="7"/>
      <c r="AD3158" s="4"/>
      <c r="AE3158" s="4"/>
      <c r="AF3158" s="21"/>
    </row>
    <row r="3159" spans="24:32" x14ac:dyDescent="0.25">
      <c r="X3159" s="4"/>
      <c r="Y3159" s="4"/>
      <c r="Z3159" s="4"/>
      <c r="AA3159" s="4"/>
      <c r="AB3159" s="4"/>
      <c r="AC3159" s="7"/>
      <c r="AD3159" s="4"/>
      <c r="AE3159" s="4"/>
      <c r="AF3159" s="21"/>
    </row>
    <row r="3160" spans="24:32" x14ac:dyDescent="0.25">
      <c r="X3160" s="4"/>
      <c r="Y3160" s="4"/>
      <c r="Z3160" s="4"/>
      <c r="AA3160" s="4"/>
      <c r="AB3160" s="4"/>
      <c r="AC3160" s="7"/>
      <c r="AD3160" s="4"/>
      <c r="AE3160" s="4"/>
      <c r="AF3160" s="21"/>
    </row>
    <row r="3161" spans="24:32" x14ac:dyDescent="0.25">
      <c r="X3161" s="4"/>
      <c r="Y3161" s="4"/>
      <c r="Z3161" s="4"/>
      <c r="AA3161" s="4"/>
      <c r="AB3161" s="4"/>
      <c r="AC3161" s="7"/>
      <c r="AD3161" s="4"/>
      <c r="AE3161" s="4"/>
      <c r="AF3161" s="21"/>
    </row>
    <row r="3162" spans="24:32" x14ac:dyDescent="0.25">
      <c r="X3162" s="4"/>
      <c r="Y3162" s="4"/>
      <c r="Z3162" s="4"/>
      <c r="AA3162" s="4"/>
      <c r="AB3162" s="4"/>
      <c r="AC3162" s="7"/>
      <c r="AD3162" s="4"/>
      <c r="AE3162" s="4"/>
      <c r="AF3162" s="21"/>
    </row>
    <row r="3163" spans="24:32" x14ac:dyDescent="0.25">
      <c r="X3163" s="4"/>
      <c r="Y3163" s="4"/>
      <c r="Z3163" s="4"/>
      <c r="AA3163" s="4"/>
      <c r="AB3163" s="4"/>
      <c r="AC3163" s="7"/>
      <c r="AD3163" s="4"/>
      <c r="AE3163" s="4"/>
      <c r="AF3163" s="21"/>
    </row>
    <row r="3164" spans="24:32" x14ac:dyDescent="0.25">
      <c r="X3164" s="4"/>
      <c r="Y3164" s="4"/>
      <c r="Z3164" s="4"/>
      <c r="AA3164" s="4"/>
      <c r="AB3164" s="4"/>
      <c r="AC3164" s="7"/>
      <c r="AD3164" s="4"/>
      <c r="AE3164" s="4"/>
      <c r="AF3164" s="21"/>
    </row>
    <row r="3165" spans="24:32" x14ac:dyDescent="0.25">
      <c r="X3165" s="4"/>
      <c r="Y3165" s="4"/>
      <c r="Z3165" s="4"/>
      <c r="AA3165" s="4"/>
      <c r="AB3165" s="4"/>
      <c r="AC3165" s="7"/>
      <c r="AD3165" s="4"/>
      <c r="AE3165" s="4"/>
      <c r="AF3165" s="21"/>
    </row>
    <row r="3166" spans="24:32" x14ac:dyDescent="0.25">
      <c r="X3166" s="4"/>
      <c r="Y3166" s="4"/>
      <c r="Z3166" s="4"/>
      <c r="AA3166" s="4"/>
      <c r="AB3166" s="4"/>
      <c r="AC3166" s="7"/>
      <c r="AD3166" s="4"/>
      <c r="AE3166" s="4"/>
      <c r="AF3166" s="21"/>
    </row>
    <row r="3167" spans="24:32" x14ac:dyDescent="0.25">
      <c r="X3167" s="4"/>
      <c r="Y3167" s="4"/>
      <c r="Z3167" s="4"/>
      <c r="AA3167" s="4"/>
      <c r="AB3167" s="4"/>
      <c r="AC3167" s="7"/>
      <c r="AD3167" s="4"/>
      <c r="AE3167" s="4"/>
      <c r="AF3167" s="21"/>
    </row>
    <row r="3168" spans="24:32" x14ac:dyDescent="0.25">
      <c r="X3168" s="4"/>
      <c r="Y3168" s="4"/>
      <c r="Z3168" s="4"/>
      <c r="AA3168" s="4"/>
      <c r="AB3168" s="4"/>
      <c r="AC3168" s="7"/>
      <c r="AD3168" s="4"/>
      <c r="AE3168" s="4"/>
      <c r="AF3168" s="21"/>
    </row>
    <row r="3169" spans="24:32" x14ac:dyDescent="0.25">
      <c r="X3169" s="4"/>
      <c r="Y3169" s="4"/>
      <c r="Z3169" s="4"/>
      <c r="AA3169" s="4"/>
      <c r="AB3169" s="4"/>
      <c r="AC3169" s="7"/>
      <c r="AD3169" s="4"/>
      <c r="AE3169" s="4"/>
      <c r="AF3169" s="21"/>
    </row>
    <row r="3170" spans="24:32" x14ac:dyDescent="0.25">
      <c r="X3170" s="4"/>
      <c r="Y3170" s="4"/>
      <c r="Z3170" s="4"/>
      <c r="AA3170" s="4"/>
      <c r="AB3170" s="4"/>
      <c r="AC3170" s="7"/>
      <c r="AD3170" s="4"/>
      <c r="AE3170" s="4"/>
      <c r="AF3170" s="21"/>
    </row>
    <row r="3171" spans="24:32" x14ac:dyDescent="0.25">
      <c r="X3171" s="4"/>
      <c r="Y3171" s="4"/>
      <c r="Z3171" s="4"/>
      <c r="AA3171" s="4"/>
      <c r="AB3171" s="4"/>
      <c r="AC3171" s="7"/>
      <c r="AD3171" s="4"/>
      <c r="AE3171" s="4"/>
      <c r="AF3171" s="21"/>
    </row>
    <row r="3172" spans="24:32" x14ac:dyDescent="0.25">
      <c r="X3172" s="4"/>
      <c r="Y3172" s="4"/>
      <c r="Z3172" s="4"/>
      <c r="AA3172" s="4"/>
      <c r="AB3172" s="4"/>
      <c r="AC3172" s="7"/>
      <c r="AD3172" s="4"/>
      <c r="AE3172" s="4"/>
      <c r="AF3172" s="21"/>
    </row>
    <row r="3173" spans="24:32" x14ac:dyDescent="0.25">
      <c r="X3173" s="4"/>
      <c r="Y3173" s="4"/>
      <c r="Z3173" s="4"/>
      <c r="AA3173" s="4"/>
      <c r="AB3173" s="4"/>
      <c r="AC3173" s="7"/>
      <c r="AD3173" s="4"/>
      <c r="AE3173" s="4"/>
      <c r="AF3173" s="21"/>
    </row>
    <row r="3174" spans="24:32" x14ac:dyDescent="0.25">
      <c r="X3174" s="4"/>
      <c r="Y3174" s="4"/>
      <c r="Z3174" s="4"/>
      <c r="AA3174" s="4"/>
      <c r="AB3174" s="4"/>
      <c r="AC3174" s="7"/>
      <c r="AD3174" s="4"/>
      <c r="AE3174" s="4"/>
      <c r="AF3174" s="21"/>
    </row>
    <row r="3175" spans="24:32" x14ac:dyDescent="0.25">
      <c r="X3175" s="4"/>
      <c r="Y3175" s="4"/>
      <c r="Z3175" s="4"/>
      <c r="AA3175" s="4"/>
      <c r="AB3175" s="4"/>
      <c r="AC3175" s="7"/>
      <c r="AD3175" s="4"/>
      <c r="AE3175" s="4"/>
      <c r="AF3175" s="21"/>
    </row>
    <row r="3176" spans="24:32" x14ac:dyDescent="0.25">
      <c r="X3176" s="4"/>
      <c r="Y3176" s="4"/>
      <c r="Z3176" s="4"/>
      <c r="AA3176" s="4"/>
      <c r="AB3176" s="4"/>
      <c r="AC3176" s="7"/>
      <c r="AD3176" s="4"/>
      <c r="AE3176" s="4"/>
      <c r="AF3176" s="21"/>
    </row>
    <row r="3177" spans="24:32" x14ac:dyDescent="0.25">
      <c r="X3177" s="4"/>
      <c r="Y3177" s="4"/>
      <c r="Z3177" s="4"/>
      <c r="AA3177" s="4"/>
      <c r="AB3177" s="4"/>
      <c r="AC3177" s="7"/>
      <c r="AD3177" s="4"/>
      <c r="AE3177" s="4"/>
      <c r="AF3177" s="21"/>
    </row>
    <row r="3178" spans="24:32" x14ac:dyDescent="0.25">
      <c r="X3178" s="4"/>
      <c r="Y3178" s="4"/>
      <c r="Z3178" s="4"/>
      <c r="AA3178" s="4"/>
      <c r="AB3178" s="4"/>
      <c r="AC3178" s="7"/>
      <c r="AD3178" s="4"/>
      <c r="AE3178" s="4"/>
      <c r="AF3178" s="21"/>
    </row>
    <row r="3179" spans="24:32" x14ac:dyDescent="0.25">
      <c r="X3179" s="4"/>
      <c r="Y3179" s="4"/>
      <c r="Z3179" s="4"/>
      <c r="AA3179" s="4"/>
      <c r="AB3179" s="4"/>
      <c r="AC3179" s="7"/>
      <c r="AD3179" s="4"/>
      <c r="AE3179" s="4"/>
      <c r="AF3179" s="21"/>
    </row>
    <row r="3180" spans="24:32" x14ac:dyDescent="0.25">
      <c r="X3180" s="4"/>
      <c r="Y3180" s="4"/>
      <c r="Z3180" s="4"/>
      <c r="AA3180" s="4"/>
      <c r="AB3180" s="4"/>
      <c r="AC3180" s="7"/>
      <c r="AD3180" s="4"/>
      <c r="AE3180" s="4"/>
      <c r="AF3180" s="21"/>
    </row>
    <row r="3181" spans="24:32" x14ac:dyDescent="0.25">
      <c r="X3181" s="4"/>
      <c r="Y3181" s="4"/>
      <c r="Z3181" s="4"/>
      <c r="AA3181" s="4"/>
      <c r="AB3181" s="4"/>
      <c r="AC3181" s="7"/>
      <c r="AD3181" s="4"/>
      <c r="AE3181" s="4"/>
      <c r="AF3181" s="21"/>
    </row>
    <row r="3182" spans="24:32" x14ac:dyDescent="0.25">
      <c r="X3182" s="4"/>
      <c r="Y3182" s="4"/>
      <c r="Z3182" s="4"/>
      <c r="AA3182" s="4"/>
      <c r="AB3182" s="4"/>
      <c r="AC3182" s="7"/>
      <c r="AD3182" s="4"/>
      <c r="AE3182" s="4"/>
      <c r="AF3182" s="21"/>
    </row>
    <row r="3183" spans="24:32" x14ac:dyDescent="0.25">
      <c r="X3183" s="4"/>
      <c r="Y3183" s="4"/>
      <c r="Z3183" s="4"/>
      <c r="AA3183" s="4"/>
      <c r="AB3183" s="4"/>
      <c r="AC3183" s="7"/>
      <c r="AD3183" s="4"/>
      <c r="AE3183" s="4"/>
      <c r="AF3183" s="21"/>
    </row>
    <row r="3184" spans="24:32" x14ac:dyDescent="0.25">
      <c r="X3184" s="4"/>
      <c r="Y3184" s="4"/>
      <c r="Z3184" s="4"/>
      <c r="AA3184" s="4"/>
      <c r="AB3184" s="4"/>
      <c r="AC3184" s="7"/>
      <c r="AD3184" s="4"/>
      <c r="AE3184" s="4"/>
      <c r="AF3184" s="21"/>
    </row>
    <row r="3185" spans="24:32" x14ac:dyDescent="0.25">
      <c r="X3185" s="4"/>
      <c r="Y3185" s="4"/>
      <c r="Z3185" s="4"/>
      <c r="AA3185" s="4"/>
      <c r="AB3185" s="4"/>
      <c r="AC3185" s="7"/>
      <c r="AD3185" s="4"/>
      <c r="AE3185" s="4"/>
      <c r="AF3185" s="21"/>
    </row>
    <row r="3186" spans="24:32" x14ac:dyDescent="0.25">
      <c r="X3186" s="4"/>
      <c r="Y3186" s="4"/>
      <c r="Z3186" s="4"/>
      <c r="AA3186" s="4"/>
      <c r="AB3186" s="4"/>
      <c r="AC3186" s="7"/>
      <c r="AD3186" s="4"/>
      <c r="AE3186" s="4"/>
      <c r="AF3186" s="21"/>
    </row>
    <row r="3187" spans="24:32" x14ac:dyDescent="0.25">
      <c r="X3187" s="4"/>
      <c r="Y3187" s="4"/>
      <c r="Z3187" s="4"/>
      <c r="AA3187" s="4"/>
      <c r="AB3187" s="4"/>
      <c r="AC3187" s="7"/>
      <c r="AD3187" s="4"/>
      <c r="AE3187" s="4"/>
      <c r="AF3187" s="21"/>
    </row>
    <row r="3188" spans="24:32" x14ac:dyDescent="0.25">
      <c r="X3188" s="4"/>
      <c r="Y3188" s="4"/>
      <c r="Z3188" s="4"/>
      <c r="AA3188" s="4"/>
      <c r="AB3188" s="4"/>
      <c r="AC3188" s="7"/>
      <c r="AD3188" s="4"/>
      <c r="AE3188" s="4"/>
      <c r="AF3188" s="21"/>
    </row>
    <row r="3189" spans="24:32" x14ac:dyDescent="0.25">
      <c r="X3189" s="4"/>
      <c r="Y3189" s="4"/>
      <c r="Z3189" s="4"/>
      <c r="AA3189" s="4"/>
      <c r="AB3189" s="4"/>
      <c r="AC3189" s="7"/>
      <c r="AD3189" s="4"/>
      <c r="AE3189" s="4"/>
      <c r="AF3189" s="21"/>
    </row>
    <row r="3190" spans="24:32" x14ac:dyDescent="0.25">
      <c r="X3190" s="4"/>
      <c r="Y3190" s="4"/>
      <c r="Z3190" s="4"/>
      <c r="AA3190" s="4"/>
      <c r="AB3190" s="4"/>
      <c r="AC3190" s="7"/>
      <c r="AD3190" s="4"/>
      <c r="AE3190" s="4"/>
      <c r="AF3190" s="21"/>
    </row>
    <row r="3191" spans="24:32" x14ac:dyDescent="0.25">
      <c r="X3191" s="4"/>
      <c r="Y3191" s="4"/>
      <c r="Z3191" s="4"/>
      <c r="AA3191" s="4"/>
      <c r="AB3191" s="4"/>
      <c r="AC3191" s="7"/>
      <c r="AD3191" s="4"/>
      <c r="AE3191" s="4"/>
      <c r="AF3191" s="21"/>
    </row>
    <row r="3192" spans="24:32" x14ac:dyDescent="0.25">
      <c r="X3192" s="4"/>
      <c r="Y3192" s="4"/>
      <c r="Z3192" s="4"/>
      <c r="AA3192" s="4"/>
      <c r="AB3192" s="4"/>
      <c r="AC3192" s="7"/>
      <c r="AD3192" s="4"/>
      <c r="AE3192" s="4"/>
      <c r="AF3192" s="21"/>
    </row>
    <row r="3193" spans="24:32" x14ac:dyDescent="0.25">
      <c r="X3193" s="4"/>
      <c r="Y3193" s="4"/>
      <c r="Z3193" s="4"/>
      <c r="AA3193" s="4"/>
      <c r="AB3193" s="4"/>
      <c r="AC3193" s="7"/>
      <c r="AD3193" s="4"/>
      <c r="AE3193" s="4"/>
      <c r="AF3193" s="21"/>
    </row>
    <row r="3194" spans="24:32" x14ac:dyDescent="0.25">
      <c r="X3194" s="4"/>
      <c r="Y3194" s="4"/>
      <c r="Z3194" s="4"/>
      <c r="AA3194" s="4"/>
      <c r="AB3194" s="4"/>
      <c r="AC3194" s="7"/>
      <c r="AD3194" s="4"/>
      <c r="AE3194" s="4"/>
      <c r="AF3194" s="21"/>
    </row>
    <row r="3195" spans="24:32" x14ac:dyDescent="0.25">
      <c r="X3195" s="4"/>
      <c r="Y3195" s="4"/>
      <c r="Z3195" s="4"/>
      <c r="AA3195" s="4"/>
      <c r="AB3195" s="4"/>
      <c r="AC3195" s="7"/>
      <c r="AD3195" s="4"/>
      <c r="AE3195" s="4"/>
      <c r="AF3195" s="21"/>
    </row>
    <row r="3196" spans="24:32" x14ac:dyDescent="0.25">
      <c r="X3196" s="4"/>
      <c r="Y3196" s="4"/>
      <c r="Z3196" s="4"/>
      <c r="AA3196" s="4"/>
      <c r="AB3196" s="4"/>
      <c r="AC3196" s="7"/>
      <c r="AD3196" s="4"/>
      <c r="AE3196" s="4"/>
      <c r="AF3196" s="21"/>
    </row>
    <row r="3197" spans="24:32" x14ac:dyDescent="0.25">
      <c r="X3197" s="4"/>
      <c r="Y3197" s="4"/>
      <c r="Z3197" s="4"/>
      <c r="AA3197" s="4"/>
      <c r="AB3197" s="4"/>
      <c r="AC3197" s="7"/>
      <c r="AD3197" s="4"/>
      <c r="AE3197" s="4"/>
      <c r="AF3197" s="21"/>
    </row>
    <row r="3198" spans="24:32" x14ac:dyDescent="0.25">
      <c r="X3198" s="4"/>
      <c r="Y3198" s="4"/>
      <c r="Z3198" s="4"/>
      <c r="AA3198" s="4"/>
      <c r="AB3198" s="4"/>
      <c r="AC3198" s="7"/>
      <c r="AD3198" s="4"/>
      <c r="AE3198" s="4"/>
      <c r="AF3198" s="21"/>
    </row>
    <row r="3199" spans="24:32" x14ac:dyDescent="0.25">
      <c r="X3199" s="4"/>
      <c r="Y3199" s="4"/>
      <c r="Z3199" s="4"/>
      <c r="AA3199" s="4"/>
      <c r="AB3199" s="4"/>
      <c r="AC3199" s="7"/>
      <c r="AD3199" s="4"/>
      <c r="AE3199" s="4"/>
      <c r="AF3199" s="21"/>
    </row>
    <row r="3200" spans="24:32" x14ac:dyDescent="0.25">
      <c r="X3200" s="4"/>
      <c r="Y3200" s="4"/>
      <c r="Z3200" s="4"/>
      <c r="AA3200" s="4"/>
      <c r="AB3200" s="4"/>
      <c r="AC3200" s="7"/>
      <c r="AD3200" s="4"/>
      <c r="AE3200" s="4"/>
      <c r="AF3200" s="21"/>
    </row>
    <row r="3201" spans="24:32" x14ac:dyDescent="0.25">
      <c r="X3201" s="4"/>
      <c r="Y3201" s="4"/>
      <c r="Z3201" s="4"/>
      <c r="AA3201" s="4"/>
      <c r="AB3201" s="4"/>
      <c r="AC3201" s="7"/>
      <c r="AD3201" s="4"/>
      <c r="AE3201" s="4"/>
      <c r="AF3201" s="21"/>
    </row>
    <row r="3202" spans="24:32" x14ac:dyDescent="0.25">
      <c r="X3202" s="4"/>
      <c r="Y3202" s="4"/>
      <c r="Z3202" s="4"/>
      <c r="AA3202" s="4"/>
      <c r="AB3202" s="4"/>
      <c r="AC3202" s="7"/>
      <c r="AD3202" s="4"/>
      <c r="AE3202" s="4"/>
      <c r="AF3202" s="21"/>
    </row>
    <row r="3203" spans="24:32" x14ac:dyDescent="0.25">
      <c r="X3203" s="4"/>
      <c r="Y3203" s="4"/>
      <c r="Z3203" s="4"/>
      <c r="AA3203" s="4"/>
      <c r="AB3203" s="4"/>
      <c r="AC3203" s="7"/>
      <c r="AD3203" s="4"/>
      <c r="AE3203" s="4"/>
      <c r="AF3203" s="21"/>
    </row>
    <row r="3204" spans="24:32" x14ac:dyDescent="0.25">
      <c r="X3204" s="4"/>
      <c r="Y3204" s="4"/>
      <c r="Z3204" s="4"/>
      <c r="AA3204" s="4"/>
      <c r="AB3204" s="4"/>
      <c r="AC3204" s="7"/>
      <c r="AD3204" s="4"/>
      <c r="AE3204" s="4"/>
      <c r="AF3204" s="21"/>
    </row>
    <row r="3205" spans="24:32" x14ac:dyDescent="0.25">
      <c r="X3205" s="4"/>
      <c r="Y3205" s="4"/>
      <c r="Z3205" s="4"/>
      <c r="AA3205" s="4"/>
      <c r="AB3205" s="4"/>
      <c r="AC3205" s="7"/>
      <c r="AD3205" s="4"/>
      <c r="AE3205" s="4"/>
      <c r="AF3205" s="21"/>
    </row>
    <row r="3206" spans="24:32" x14ac:dyDescent="0.25">
      <c r="X3206" s="4"/>
      <c r="Y3206" s="4"/>
      <c r="Z3206" s="4"/>
      <c r="AA3206" s="4"/>
      <c r="AB3206" s="4"/>
      <c r="AC3206" s="7"/>
      <c r="AD3206" s="4"/>
      <c r="AE3206" s="4"/>
      <c r="AF3206" s="21"/>
    </row>
    <row r="3207" spans="24:32" x14ac:dyDescent="0.25">
      <c r="X3207" s="4"/>
      <c r="Y3207" s="4"/>
      <c r="Z3207" s="4"/>
      <c r="AA3207" s="4"/>
      <c r="AB3207" s="4"/>
      <c r="AC3207" s="7"/>
      <c r="AD3207" s="4"/>
      <c r="AE3207" s="4"/>
      <c r="AF3207" s="21"/>
    </row>
    <row r="3208" spans="24:32" x14ac:dyDescent="0.25">
      <c r="X3208" s="4"/>
      <c r="Y3208" s="4"/>
      <c r="Z3208" s="4"/>
      <c r="AA3208" s="4"/>
      <c r="AB3208" s="4"/>
      <c r="AC3208" s="7"/>
      <c r="AD3208" s="4"/>
      <c r="AE3208" s="4"/>
      <c r="AF3208" s="21"/>
    </row>
    <row r="3209" spans="24:32" x14ac:dyDescent="0.25">
      <c r="X3209" s="4"/>
      <c r="Y3209" s="4"/>
      <c r="Z3209" s="4"/>
      <c r="AA3209" s="4"/>
      <c r="AB3209" s="4"/>
      <c r="AC3209" s="7"/>
      <c r="AD3209" s="4"/>
      <c r="AE3209" s="4"/>
      <c r="AF3209" s="21"/>
    </row>
    <row r="3210" spans="24:32" x14ac:dyDescent="0.25">
      <c r="X3210" s="4"/>
      <c r="Y3210" s="4"/>
      <c r="Z3210" s="4"/>
      <c r="AA3210" s="4"/>
      <c r="AB3210" s="4"/>
      <c r="AC3210" s="7"/>
      <c r="AD3210" s="4"/>
      <c r="AE3210" s="4"/>
      <c r="AF3210" s="21"/>
    </row>
    <row r="3211" spans="24:32" x14ac:dyDescent="0.25">
      <c r="X3211" s="4"/>
      <c r="Y3211" s="4"/>
      <c r="Z3211" s="4"/>
      <c r="AA3211" s="4"/>
      <c r="AB3211" s="4"/>
      <c r="AC3211" s="7"/>
      <c r="AD3211" s="4"/>
      <c r="AE3211" s="4"/>
      <c r="AF3211" s="21"/>
    </row>
    <row r="3212" spans="24:32" x14ac:dyDescent="0.25">
      <c r="X3212" s="4"/>
      <c r="Y3212" s="4"/>
      <c r="Z3212" s="4"/>
      <c r="AA3212" s="4"/>
      <c r="AB3212" s="4"/>
      <c r="AC3212" s="7"/>
      <c r="AD3212" s="4"/>
      <c r="AE3212" s="4"/>
      <c r="AF3212" s="21"/>
    </row>
    <row r="3213" spans="24:32" x14ac:dyDescent="0.25">
      <c r="X3213" s="4"/>
      <c r="Y3213" s="4"/>
      <c r="Z3213" s="4"/>
      <c r="AA3213" s="4"/>
      <c r="AB3213" s="4"/>
      <c r="AC3213" s="7"/>
      <c r="AD3213" s="4"/>
      <c r="AE3213" s="4"/>
      <c r="AF3213" s="21"/>
    </row>
    <row r="3214" spans="24:32" x14ac:dyDescent="0.25">
      <c r="X3214" s="4"/>
      <c r="Y3214" s="4"/>
      <c r="Z3214" s="4"/>
      <c r="AA3214" s="4"/>
      <c r="AB3214" s="4"/>
      <c r="AC3214" s="7"/>
      <c r="AD3214" s="4"/>
      <c r="AE3214" s="4"/>
      <c r="AF3214" s="21"/>
    </row>
    <row r="3215" spans="24:32" x14ac:dyDescent="0.25">
      <c r="X3215" s="4"/>
      <c r="Y3215" s="4"/>
      <c r="Z3215" s="4"/>
      <c r="AA3215" s="4"/>
      <c r="AB3215" s="4"/>
      <c r="AC3215" s="7"/>
      <c r="AD3215" s="4"/>
      <c r="AE3215" s="4"/>
      <c r="AF3215" s="21"/>
    </row>
    <row r="3216" spans="24:32" x14ac:dyDescent="0.25">
      <c r="X3216" s="4"/>
      <c r="Y3216" s="4"/>
      <c r="Z3216" s="4"/>
      <c r="AA3216" s="4"/>
      <c r="AB3216" s="4"/>
      <c r="AC3216" s="7"/>
      <c r="AD3216" s="4"/>
      <c r="AE3216" s="4"/>
      <c r="AF3216" s="21"/>
    </row>
    <row r="3217" spans="24:32" x14ac:dyDescent="0.25">
      <c r="X3217" s="4"/>
      <c r="Y3217" s="4"/>
      <c r="Z3217" s="4"/>
      <c r="AA3217" s="4"/>
      <c r="AB3217" s="4"/>
      <c r="AC3217" s="7"/>
      <c r="AD3217" s="4"/>
      <c r="AE3217" s="4"/>
      <c r="AF3217" s="21"/>
    </row>
    <row r="3218" spans="24:32" x14ac:dyDescent="0.25">
      <c r="X3218" s="4"/>
      <c r="Y3218" s="4"/>
      <c r="Z3218" s="4"/>
      <c r="AA3218" s="4"/>
      <c r="AB3218" s="4"/>
      <c r="AC3218" s="7"/>
      <c r="AD3218" s="4"/>
      <c r="AE3218" s="4"/>
      <c r="AF3218" s="21"/>
    </row>
    <row r="3219" spans="24:32" x14ac:dyDescent="0.25">
      <c r="X3219" s="4"/>
      <c r="Y3219" s="4"/>
      <c r="Z3219" s="4"/>
      <c r="AA3219" s="4"/>
      <c r="AB3219" s="4"/>
      <c r="AC3219" s="7"/>
      <c r="AD3219" s="4"/>
      <c r="AE3219" s="4"/>
      <c r="AF3219" s="21"/>
    </row>
    <row r="3220" spans="24:32" x14ac:dyDescent="0.25">
      <c r="X3220" s="4"/>
      <c r="Y3220" s="4"/>
      <c r="Z3220" s="4"/>
      <c r="AA3220" s="4"/>
      <c r="AB3220" s="4"/>
      <c r="AC3220" s="7"/>
      <c r="AD3220" s="4"/>
      <c r="AE3220" s="4"/>
      <c r="AF3220" s="21"/>
    </row>
    <row r="3221" spans="24:32" x14ac:dyDescent="0.25">
      <c r="X3221" s="4"/>
      <c r="Y3221" s="4"/>
      <c r="Z3221" s="4"/>
      <c r="AA3221" s="4"/>
      <c r="AB3221" s="4"/>
      <c r="AC3221" s="7"/>
      <c r="AD3221" s="4"/>
      <c r="AE3221" s="4"/>
      <c r="AF3221" s="21"/>
    </row>
    <row r="3222" spans="24:32" x14ac:dyDescent="0.25">
      <c r="X3222" s="4"/>
      <c r="Y3222" s="4"/>
      <c r="Z3222" s="4"/>
      <c r="AA3222" s="4"/>
      <c r="AB3222" s="4"/>
      <c r="AC3222" s="7"/>
      <c r="AD3222" s="4"/>
      <c r="AE3222" s="4"/>
      <c r="AF3222" s="21"/>
    </row>
    <row r="3223" spans="24:32" x14ac:dyDescent="0.25">
      <c r="X3223" s="4"/>
      <c r="Y3223" s="4"/>
      <c r="Z3223" s="4"/>
      <c r="AA3223" s="4"/>
      <c r="AB3223" s="4"/>
      <c r="AC3223" s="7"/>
      <c r="AD3223" s="4"/>
      <c r="AE3223" s="4"/>
      <c r="AF3223" s="21"/>
    </row>
    <row r="3224" spans="24:32" x14ac:dyDescent="0.25">
      <c r="X3224" s="4"/>
      <c r="Y3224" s="4"/>
      <c r="Z3224" s="4"/>
      <c r="AA3224" s="4"/>
      <c r="AB3224" s="4"/>
      <c r="AC3224" s="7"/>
      <c r="AD3224" s="4"/>
      <c r="AE3224" s="4"/>
      <c r="AF3224" s="21"/>
    </row>
    <row r="3225" spans="24:32" x14ac:dyDescent="0.25">
      <c r="X3225" s="4"/>
      <c r="Y3225" s="4"/>
      <c r="Z3225" s="4"/>
      <c r="AA3225" s="4"/>
      <c r="AB3225" s="4"/>
      <c r="AC3225" s="7"/>
      <c r="AD3225" s="4"/>
      <c r="AE3225" s="4"/>
      <c r="AF3225" s="21"/>
    </row>
    <row r="3226" spans="24:32" x14ac:dyDescent="0.25">
      <c r="X3226" s="4"/>
      <c r="Y3226" s="4"/>
      <c r="Z3226" s="4"/>
      <c r="AA3226" s="4"/>
      <c r="AB3226" s="4"/>
      <c r="AC3226" s="7"/>
      <c r="AD3226" s="4"/>
      <c r="AE3226" s="4"/>
      <c r="AF3226" s="21"/>
    </row>
    <row r="3227" spans="24:32" x14ac:dyDescent="0.25">
      <c r="X3227" s="4"/>
      <c r="Y3227" s="4"/>
      <c r="Z3227" s="4"/>
      <c r="AA3227" s="4"/>
      <c r="AB3227" s="4"/>
      <c r="AC3227" s="7"/>
      <c r="AD3227" s="4"/>
      <c r="AE3227" s="4"/>
      <c r="AF3227" s="21"/>
    </row>
    <row r="3228" spans="24:32" x14ac:dyDescent="0.25">
      <c r="X3228" s="4"/>
      <c r="Y3228" s="4"/>
      <c r="Z3228" s="4"/>
      <c r="AA3228" s="4"/>
      <c r="AB3228" s="4"/>
      <c r="AC3228" s="7"/>
      <c r="AD3228" s="4"/>
      <c r="AE3228" s="4"/>
      <c r="AF3228" s="21"/>
    </row>
    <row r="3229" spans="24:32" x14ac:dyDescent="0.25">
      <c r="X3229" s="4"/>
      <c r="Y3229" s="4"/>
      <c r="Z3229" s="4"/>
      <c r="AA3229" s="4"/>
      <c r="AB3229" s="4"/>
      <c r="AC3229" s="7"/>
      <c r="AD3229" s="4"/>
      <c r="AE3229" s="4"/>
      <c r="AF3229" s="21"/>
    </row>
    <row r="3230" spans="24:32" x14ac:dyDescent="0.25">
      <c r="X3230" s="4"/>
      <c r="Y3230" s="4"/>
      <c r="Z3230" s="4"/>
      <c r="AA3230" s="4"/>
      <c r="AB3230" s="4"/>
      <c r="AC3230" s="7"/>
      <c r="AD3230" s="4"/>
      <c r="AE3230" s="4"/>
      <c r="AF3230" s="21"/>
    </row>
    <row r="3231" spans="24:32" x14ac:dyDescent="0.25">
      <c r="X3231" s="4"/>
      <c r="Y3231" s="4"/>
      <c r="Z3231" s="4"/>
      <c r="AA3231" s="4"/>
      <c r="AB3231" s="4"/>
      <c r="AC3231" s="7"/>
      <c r="AD3231" s="4"/>
      <c r="AE3231" s="4"/>
      <c r="AF3231" s="21"/>
    </row>
    <row r="3232" spans="24:32" x14ac:dyDescent="0.25">
      <c r="X3232" s="4"/>
      <c r="Y3232" s="4"/>
      <c r="Z3232" s="4"/>
      <c r="AA3232" s="4"/>
      <c r="AB3232" s="4"/>
      <c r="AC3232" s="7"/>
      <c r="AD3232" s="4"/>
      <c r="AE3232" s="4"/>
      <c r="AF3232" s="21"/>
    </row>
    <row r="3233" spans="24:32" x14ac:dyDescent="0.25">
      <c r="X3233" s="4"/>
      <c r="Y3233" s="4"/>
      <c r="Z3233" s="4"/>
      <c r="AA3233" s="4"/>
      <c r="AB3233" s="4"/>
      <c r="AC3233" s="7"/>
      <c r="AD3233" s="4"/>
      <c r="AE3233" s="4"/>
      <c r="AF3233" s="21"/>
    </row>
    <row r="3234" spans="24:32" x14ac:dyDescent="0.25">
      <c r="X3234" s="4"/>
      <c r="Y3234" s="4"/>
      <c r="Z3234" s="4"/>
      <c r="AA3234" s="4"/>
      <c r="AB3234" s="4"/>
      <c r="AC3234" s="7"/>
      <c r="AD3234" s="4"/>
      <c r="AE3234" s="4"/>
      <c r="AF3234" s="21"/>
    </row>
    <row r="3235" spans="24:32" x14ac:dyDescent="0.25">
      <c r="X3235" s="4"/>
      <c r="Y3235" s="4"/>
      <c r="Z3235" s="4"/>
      <c r="AA3235" s="4"/>
      <c r="AB3235" s="4"/>
      <c r="AC3235" s="7"/>
      <c r="AD3235" s="4"/>
      <c r="AE3235" s="4"/>
      <c r="AF3235" s="21"/>
    </row>
    <row r="3236" spans="24:32" x14ac:dyDescent="0.25">
      <c r="X3236" s="4"/>
      <c r="Y3236" s="4"/>
      <c r="Z3236" s="4"/>
      <c r="AA3236" s="4"/>
      <c r="AB3236" s="4"/>
      <c r="AC3236" s="7"/>
      <c r="AD3236" s="4"/>
      <c r="AE3236" s="4"/>
      <c r="AF3236" s="21"/>
    </row>
    <row r="3237" spans="24:32" x14ac:dyDescent="0.25">
      <c r="X3237" s="4"/>
      <c r="Y3237" s="4"/>
      <c r="Z3237" s="4"/>
      <c r="AA3237" s="4"/>
      <c r="AB3237" s="4"/>
      <c r="AC3237" s="7"/>
      <c r="AD3237" s="4"/>
      <c r="AE3237" s="4"/>
      <c r="AF3237" s="21"/>
    </row>
    <row r="3238" spans="24:32" x14ac:dyDescent="0.25">
      <c r="X3238" s="4"/>
      <c r="Y3238" s="4"/>
      <c r="Z3238" s="4"/>
      <c r="AA3238" s="4"/>
      <c r="AB3238" s="4"/>
      <c r="AC3238" s="7"/>
      <c r="AD3238" s="4"/>
      <c r="AE3238" s="4"/>
      <c r="AF3238" s="21"/>
    </row>
    <row r="3239" spans="24:32" x14ac:dyDescent="0.25">
      <c r="X3239" s="4"/>
      <c r="Y3239" s="4"/>
      <c r="Z3239" s="4"/>
      <c r="AA3239" s="4"/>
      <c r="AB3239" s="4"/>
      <c r="AC3239" s="7"/>
      <c r="AD3239" s="4"/>
      <c r="AE3239" s="4"/>
      <c r="AF3239" s="21"/>
    </row>
    <row r="3240" spans="24:32" x14ac:dyDescent="0.25">
      <c r="X3240" s="4"/>
      <c r="Y3240" s="4"/>
      <c r="Z3240" s="4"/>
      <c r="AA3240" s="4"/>
      <c r="AB3240" s="4"/>
      <c r="AC3240" s="7"/>
      <c r="AD3240" s="4"/>
      <c r="AE3240" s="4"/>
      <c r="AF3240" s="21"/>
    </row>
    <row r="3241" spans="24:32" x14ac:dyDescent="0.25">
      <c r="X3241" s="4"/>
      <c r="Y3241" s="4"/>
      <c r="Z3241" s="4"/>
      <c r="AA3241" s="4"/>
      <c r="AB3241" s="4"/>
      <c r="AC3241" s="7"/>
      <c r="AD3241" s="4"/>
      <c r="AE3241" s="4"/>
      <c r="AF3241" s="21"/>
    </row>
    <row r="3242" spans="24:32" x14ac:dyDescent="0.25">
      <c r="X3242" s="4"/>
      <c r="Y3242" s="4"/>
      <c r="Z3242" s="4"/>
      <c r="AA3242" s="4"/>
      <c r="AB3242" s="4"/>
      <c r="AC3242" s="7"/>
      <c r="AD3242" s="4"/>
      <c r="AE3242" s="4"/>
      <c r="AF3242" s="21"/>
    </row>
    <row r="3243" spans="24:32" x14ac:dyDescent="0.25">
      <c r="X3243" s="4"/>
      <c r="Y3243" s="4"/>
      <c r="Z3243" s="4"/>
      <c r="AA3243" s="4"/>
      <c r="AB3243" s="4"/>
      <c r="AC3243" s="7"/>
      <c r="AD3243" s="4"/>
      <c r="AE3243" s="4"/>
      <c r="AF3243" s="21"/>
    </row>
    <row r="3244" spans="24:32" x14ac:dyDescent="0.25">
      <c r="X3244" s="4"/>
      <c r="Y3244" s="4"/>
      <c r="Z3244" s="4"/>
      <c r="AA3244" s="4"/>
      <c r="AB3244" s="4"/>
      <c r="AC3244" s="7"/>
      <c r="AD3244" s="4"/>
      <c r="AE3244" s="4"/>
      <c r="AF3244" s="21"/>
    </row>
    <row r="3245" spans="24:32" x14ac:dyDescent="0.25">
      <c r="X3245" s="4"/>
      <c r="Y3245" s="4"/>
      <c r="Z3245" s="4"/>
      <c r="AA3245" s="4"/>
      <c r="AB3245" s="4"/>
      <c r="AC3245" s="7"/>
      <c r="AD3245" s="4"/>
      <c r="AE3245" s="4"/>
      <c r="AF3245" s="21"/>
    </row>
    <row r="3246" spans="24:32" x14ac:dyDescent="0.25">
      <c r="X3246" s="4"/>
      <c r="Y3246" s="4"/>
      <c r="Z3246" s="4"/>
      <c r="AA3246" s="4"/>
      <c r="AB3246" s="4"/>
      <c r="AC3246" s="7"/>
      <c r="AD3246" s="4"/>
      <c r="AE3246" s="4"/>
      <c r="AF3246" s="21"/>
    </row>
    <row r="3247" spans="24:32" x14ac:dyDescent="0.25">
      <c r="X3247" s="4"/>
      <c r="Y3247" s="4"/>
      <c r="Z3247" s="4"/>
      <c r="AA3247" s="4"/>
      <c r="AB3247" s="4"/>
      <c r="AC3247" s="7"/>
      <c r="AD3247" s="4"/>
      <c r="AE3247" s="4"/>
      <c r="AF3247" s="21"/>
    </row>
    <row r="3248" spans="24:32" x14ac:dyDescent="0.25">
      <c r="X3248" s="4"/>
      <c r="Y3248" s="4"/>
      <c r="Z3248" s="4"/>
      <c r="AA3248" s="4"/>
      <c r="AB3248" s="4"/>
      <c r="AC3248" s="7"/>
      <c r="AD3248" s="4"/>
      <c r="AE3248" s="4"/>
      <c r="AF3248" s="21"/>
    </row>
    <row r="3249" spans="24:32" x14ac:dyDescent="0.25">
      <c r="X3249" s="4"/>
      <c r="Y3249" s="4"/>
      <c r="Z3249" s="4"/>
      <c r="AA3249" s="4"/>
      <c r="AB3249" s="4"/>
      <c r="AC3249" s="7"/>
      <c r="AD3249" s="4"/>
      <c r="AE3249" s="4"/>
      <c r="AF3249" s="21"/>
    </row>
    <row r="3250" spans="24:32" x14ac:dyDescent="0.25">
      <c r="X3250" s="4"/>
      <c r="Y3250" s="4"/>
      <c r="Z3250" s="4"/>
      <c r="AA3250" s="4"/>
      <c r="AB3250" s="4"/>
      <c r="AC3250" s="7"/>
      <c r="AD3250" s="4"/>
      <c r="AE3250" s="4"/>
      <c r="AF3250" s="21"/>
    </row>
    <row r="3251" spans="24:32" x14ac:dyDescent="0.25">
      <c r="X3251" s="4"/>
      <c r="Y3251" s="4"/>
      <c r="Z3251" s="4"/>
      <c r="AA3251" s="4"/>
      <c r="AB3251" s="4"/>
      <c r="AC3251" s="7"/>
      <c r="AD3251" s="4"/>
      <c r="AE3251" s="4"/>
      <c r="AF3251" s="21"/>
    </row>
    <row r="3252" spans="24:32" x14ac:dyDescent="0.25">
      <c r="X3252" s="4"/>
      <c r="Y3252" s="4"/>
      <c r="Z3252" s="4"/>
      <c r="AA3252" s="4"/>
      <c r="AB3252" s="4"/>
      <c r="AC3252" s="7"/>
      <c r="AD3252" s="4"/>
      <c r="AE3252" s="4"/>
      <c r="AF3252" s="21"/>
    </row>
    <row r="3253" spans="24:32" x14ac:dyDescent="0.25">
      <c r="X3253" s="4"/>
      <c r="Y3253" s="4"/>
      <c r="Z3253" s="4"/>
      <c r="AA3253" s="4"/>
      <c r="AB3253" s="4"/>
      <c r="AC3253" s="7"/>
      <c r="AD3253" s="4"/>
      <c r="AE3253" s="4"/>
      <c r="AF3253" s="21"/>
    </row>
    <row r="3254" spans="24:32" x14ac:dyDescent="0.25">
      <c r="X3254" s="4"/>
      <c r="Y3254" s="4"/>
      <c r="Z3254" s="4"/>
      <c r="AA3254" s="4"/>
      <c r="AB3254" s="4"/>
      <c r="AC3254" s="7"/>
      <c r="AD3254" s="4"/>
      <c r="AE3254" s="4"/>
      <c r="AF3254" s="21"/>
    </row>
    <row r="3255" spans="24:32" x14ac:dyDescent="0.25">
      <c r="X3255" s="4"/>
      <c r="Y3255" s="4"/>
      <c r="Z3255" s="4"/>
      <c r="AA3255" s="4"/>
      <c r="AB3255" s="4"/>
      <c r="AC3255" s="7"/>
      <c r="AD3255" s="4"/>
      <c r="AE3255" s="4"/>
      <c r="AF3255" s="21"/>
    </row>
    <row r="3256" spans="24:32" x14ac:dyDescent="0.25">
      <c r="X3256" s="4"/>
      <c r="Y3256" s="4"/>
      <c r="Z3256" s="4"/>
      <c r="AA3256" s="4"/>
      <c r="AB3256" s="4"/>
      <c r="AC3256" s="7"/>
      <c r="AD3256" s="4"/>
      <c r="AE3256" s="4"/>
      <c r="AF3256" s="21"/>
    </row>
    <row r="3257" spans="24:32" x14ac:dyDescent="0.25">
      <c r="X3257" s="4"/>
      <c r="Y3257" s="4"/>
      <c r="Z3257" s="4"/>
      <c r="AA3257" s="4"/>
      <c r="AB3257" s="4"/>
      <c r="AC3257" s="7"/>
      <c r="AD3257" s="4"/>
      <c r="AE3257" s="4"/>
      <c r="AF3257" s="21"/>
    </row>
    <row r="3258" spans="24:32" x14ac:dyDescent="0.25">
      <c r="X3258" s="4"/>
      <c r="Y3258" s="4"/>
      <c r="Z3258" s="4"/>
      <c r="AA3258" s="4"/>
      <c r="AB3258" s="4"/>
      <c r="AC3258" s="7"/>
      <c r="AD3258" s="4"/>
      <c r="AE3258" s="4"/>
      <c r="AF3258" s="21"/>
    </row>
    <row r="3259" spans="24:32" x14ac:dyDescent="0.25">
      <c r="X3259" s="4"/>
      <c r="Y3259" s="4"/>
      <c r="Z3259" s="4"/>
      <c r="AA3259" s="4"/>
      <c r="AB3259" s="4"/>
      <c r="AC3259" s="7"/>
      <c r="AD3259" s="4"/>
      <c r="AE3259" s="4"/>
      <c r="AF3259" s="21"/>
    </row>
    <row r="3260" spans="24:32" x14ac:dyDescent="0.25">
      <c r="X3260" s="4"/>
      <c r="Y3260" s="4"/>
      <c r="Z3260" s="4"/>
      <c r="AA3260" s="4"/>
      <c r="AB3260" s="4"/>
      <c r="AC3260" s="7"/>
      <c r="AD3260" s="4"/>
      <c r="AE3260" s="4"/>
      <c r="AF3260" s="21"/>
    </row>
    <row r="3261" spans="24:32" x14ac:dyDescent="0.25">
      <c r="X3261" s="4"/>
      <c r="Y3261" s="4"/>
      <c r="Z3261" s="4"/>
      <c r="AA3261" s="4"/>
      <c r="AB3261" s="4"/>
      <c r="AC3261" s="7"/>
      <c r="AD3261" s="4"/>
      <c r="AE3261" s="4"/>
      <c r="AF3261" s="21"/>
    </row>
    <row r="3262" spans="24:32" x14ac:dyDescent="0.25">
      <c r="X3262" s="4"/>
      <c r="Y3262" s="4"/>
      <c r="Z3262" s="4"/>
      <c r="AA3262" s="4"/>
      <c r="AB3262" s="4"/>
      <c r="AC3262" s="7"/>
      <c r="AD3262" s="4"/>
      <c r="AE3262" s="4"/>
      <c r="AF3262" s="21"/>
    </row>
    <row r="3263" spans="24:32" x14ac:dyDescent="0.25">
      <c r="X3263" s="4"/>
      <c r="Y3263" s="4"/>
      <c r="Z3263" s="4"/>
      <c r="AA3263" s="4"/>
      <c r="AB3263" s="4"/>
      <c r="AC3263" s="7"/>
      <c r="AD3263" s="4"/>
      <c r="AE3263" s="4"/>
      <c r="AF3263" s="21"/>
    </row>
    <row r="3264" spans="24:32" x14ac:dyDescent="0.25">
      <c r="X3264" s="4"/>
      <c r="Y3264" s="4"/>
      <c r="Z3264" s="4"/>
      <c r="AA3264" s="4"/>
      <c r="AB3264" s="4"/>
      <c r="AC3264" s="7"/>
      <c r="AD3264" s="4"/>
      <c r="AE3264" s="4"/>
      <c r="AF3264" s="21"/>
    </row>
    <row r="3265" spans="24:32" x14ac:dyDescent="0.25">
      <c r="X3265" s="4"/>
      <c r="Y3265" s="4"/>
      <c r="Z3265" s="4"/>
      <c r="AA3265" s="4"/>
      <c r="AB3265" s="4"/>
      <c r="AC3265" s="7"/>
      <c r="AD3265" s="4"/>
      <c r="AE3265" s="4"/>
      <c r="AF3265" s="21"/>
    </row>
    <row r="3266" spans="24:32" x14ac:dyDescent="0.25">
      <c r="X3266" s="4"/>
      <c r="Y3266" s="4"/>
      <c r="Z3266" s="4"/>
      <c r="AA3266" s="4"/>
      <c r="AB3266" s="4"/>
      <c r="AC3266" s="7"/>
      <c r="AD3266" s="4"/>
      <c r="AE3266" s="4"/>
      <c r="AF3266" s="21"/>
    </row>
    <row r="3267" spans="24:32" x14ac:dyDescent="0.25">
      <c r="X3267" s="4"/>
      <c r="Y3267" s="4"/>
      <c r="Z3267" s="4"/>
      <c r="AA3267" s="4"/>
      <c r="AB3267" s="4"/>
      <c r="AC3267" s="7"/>
      <c r="AD3267" s="4"/>
      <c r="AE3267" s="4"/>
      <c r="AF3267" s="21"/>
    </row>
    <row r="3268" spans="24:32" x14ac:dyDescent="0.25">
      <c r="X3268" s="4"/>
      <c r="Y3268" s="4"/>
      <c r="Z3268" s="4"/>
      <c r="AA3268" s="4"/>
      <c r="AB3268" s="4"/>
      <c r="AC3268" s="7"/>
      <c r="AD3268" s="4"/>
      <c r="AE3268" s="4"/>
      <c r="AF3268" s="21"/>
    </row>
    <row r="3269" spans="24:32" x14ac:dyDescent="0.25">
      <c r="X3269" s="4"/>
      <c r="Y3269" s="4"/>
      <c r="Z3269" s="4"/>
      <c r="AA3269" s="4"/>
      <c r="AB3269" s="4"/>
      <c r="AC3269" s="7"/>
      <c r="AD3269" s="4"/>
      <c r="AE3269" s="4"/>
      <c r="AF3269" s="21"/>
    </row>
    <row r="3270" spans="24:32" x14ac:dyDescent="0.25">
      <c r="X3270" s="4"/>
      <c r="Y3270" s="4"/>
      <c r="Z3270" s="4"/>
      <c r="AA3270" s="4"/>
      <c r="AB3270" s="4"/>
      <c r="AC3270" s="7"/>
      <c r="AD3270" s="4"/>
      <c r="AE3270" s="4"/>
      <c r="AF3270" s="21"/>
    </row>
    <row r="3271" spans="24:32" x14ac:dyDescent="0.25">
      <c r="X3271" s="4"/>
      <c r="Y3271" s="4"/>
      <c r="Z3271" s="4"/>
      <c r="AA3271" s="4"/>
      <c r="AB3271" s="4"/>
      <c r="AC3271" s="7"/>
      <c r="AD3271" s="4"/>
      <c r="AE3271" s="4"/>
      <c r="AF3271" s="21"/>
    </row>
    <row r="3272" spans="24:32" x14ac:dyDescent="0.25">
      <c r="X3272" s="4"/>
      <c r="Y3272" s="4"/>
      <c r="Z3272" s="4"/>
      <c r="AA3272" s="4"/>
      <c r="AB3272" s="4"/>
      <c r="AC3272" s="7"/>
      <c r="AD3272" s="4"/>
      <c r="AE3272" s="4"/>
      <c r="AF3272" s="21"/>
    </row>
    <row r="3273" spans="24:32" x14ac:dyDescent="0.25">
      <c r="X3273" s="4"/>
      <c r="Y3273" s="4"/>
      <c r="Z3273" s="4"/>
      <c r="AA3273" s="4"/>
      <c r="AB3273" s="4"/>
      <c r="AC3273" s="7"/>
      <c r="AD3273" s="4"/>
      <c r="AE3273" s="4"/>
      <c r="AF3273" s="21"/>
    </row>
    <row r="3274" spans="24:32" x14ac:dyDescent="0.25">
      <c r="X3274" s="4"/>
      <c r="Y3274" s="4"/>
      <c r="Z3274" s="4"/>
      <c r="AA3274" s="4"/>
      <c r="AB3274" s="4"/>
      <c r="AC3274" s="7"/>
      <c r="AD3274" s="4"/>
      <c r="AE3274" s="4"/>
      <c r="AF3274" s="21"/>
    </row>
    <row r="3275" spans="24:32" x14ac:dyDescent="0.25">
      <c r="X3275" s="4"/>
      <c r="Y3275" s="4"/>
      <c r="Z3275" s="4"/>
      <c r="AA3275" s="4"/>
      <c r="AB3275" s="4"/>
      <c r="AC3275" s="7"/>
      <c r="AD3275" s="4"/>
      <c r="AE3275" s="4"/>
      <c r="AF3275" s="21"/>
    </row>
    <row r="3276" spans="24:32" x14ac:dyDescent="0.25">
      <c r="X3276" s="4"/>
      <c r="Y3276" s="4"/>
      <c r="Z3276" s="4"/>
      <c r="AA3276" s="4"/>
      <c r="AB3276" s="4"/>
      <c r="AC3276" s="7"/>
      <c r="AD3276" s="4"/>
      <c r="AE3276" s="4"/>
      <c r="AF3276" s="21"/>
    </row>
    <row r="3277" spans="24:32" x14ac:dyDescent="0.25">
      <c r="X3277" s="4"/>
      <c r="Y3277" s="4"/>
      <c r="Z3277" s="4"/>
      <c r="AA3277" s="4"/>
      <c r="AB3277" s="4"/>
      <c r="AC3277" s="7"/>
      <c r="AD3277" s="4"/>
      <c r="AE3277" s="4"/>
      <c r="AF3277" s="21"/>
    </row>
    <row r="3278" spans="24:32" x14ac:dyDescent="0.25">
      <c r="X3278" s="4"/>
      <c r="Y3278" s="4"/>
      <c r="Z3278" s="4"/>
      <c r="AA3278" s="4"/>
      <c r="AB3278" s="4"/>
      <c r="AC3278" s="7"/>
      <c r="AD3278" s="4"/>
      <c r="AE3278" s="4"/>
      <c r="AF3278" s="21"/>
    </row>
    <row r="3279" spans="24:32" x14ac:dyDescent="0.25">
      <c r="X3279" s="4"/>
      <c r="Y3279" s="4"/>
      <c r="Z3279" s="4"/>
      <c r="AA3279" s="4"/>
      <c r="AB3279" s="4"/>
      <c r="AC3279" s="7"/>
      <c r="AD3279" s="4"/>
      <c r="AE3279" s="4"/>
      <c r="AF3279" s="21"/>
    </row>
    <row r="3280" spans="24:32" x14ac:dyDescent="0.25">
      <c r="X3280" s="4"/>
      <c r="Y3280" s="4"/>
      <c r="Z3280" s="4"/>
      <c r="AA3280" s="4"/>
      <c r="AB3280" s="4"/>
      <c r="AC3280" s="7"/>
      <c r="AD3280" s="4"/>
      <c r="AE3280" s="4"/>
      <c r="AF3280" s="21"/>
    </row>
    <row r="3281" spans="24:32" x14ac:dyDescent="0.25">
      <c r="X3281" s="4"/>
      <c r="Y3281" s="4"/>
      <c r="Z3281" s="4"/>
      <c r="AA3281" s="4"/>
      <c r="AB3281" s="4"/>
      <c r="AC3281" s="7"/>
      <c r="AD3281" s="4"/>
      <c r="AE3281" s="4"/>
      <c r="AF3281" s="21"/>
    </row>
    <row r="3282" spans="24:32" x14ac:dyDescent="0.25">
      <c r="X3282" s="4"/>
      <c r="Y3282" s="4"/>
      <c r="Z3282" s="4"/>
      <c r="AA3282" s="4"/>
      <c r="AB3282" s="4"/>
      <c r="AC3282" s="7"/>
      <c r="AD3282" s="4"/>
      <c r="AE3282" s="4"/>
      <c r="AF3282" s="21"/>
    </row>
    <row r="3283" spans="24:32" x14ac:dyDescent="0.25">
      <c r="X3283" s="4"/>
      <c r="Y3283" s="4"/>
      <c r="Z3283" s="4"/>
      <c r="AA3283" s="4"/>
      <c r="AB3283" s="4"/>
      <c r="AC3283" s="7"/>
      <c r="AD3283" s="4"/>
      <c r="AE3283" s="4"/>
      <c r="AF3283" s="21"/>
    </row>
    <row r="3284" spans="24:32" x14ac:dyDescent="0.25">
      <c r="X3284" s="4"/>
      <c r="Y3284" s="4"/>
      <c r="Z3284" s="4"/>
      <c r="AA3284" s="4"/>
      <c r="AB3284" s="4"/>
      <c r="AC3284" s="7"/>
      <c r="AD3284" s="4"/>
      <c r="AE3284" s="4"/>
      <c r="AF3284" s="21"/>
    </row>
    <row r="3285" spans="24:32" x14ac:dyDescent="0.25">
      <c r="X3285" s="4"/>
      <c r="Y3285" s="4"/>
      <c r="Z3285" s="4"/>
      <c r="AA3285" s="4"/>
      <c r="AB3285" s="4"/>
      <c r="AC3285" s="7"/>
      <c r="AD3285" s="4"/>
      <c r="AE3285" s="4"/>
      <c r="AF3285" s="21"/>
    </row>
    <row r="3286" spans="24:32" x14ac:dyDescent="0.25">
      <c r="X3286" s="4"/>
      <c r="Y3286" s="4"/>
      <c r="Z3286" s="4"/>
      <c r="AA3286" s="4"/>
      <c r="AB3286" s="4"/>
      <c r="AC3286" s="7"/>
      <c r="AD3286" s="4"/>
      <c r="AE3286" s="4"/>
      <c r="AF3286" s="21"/>
    </row>
    <row r="3287" spans="24:32" x14ac:dyDescent="0.25">
      <c r="X3287" s="4"/>
      <c r="Y3287" s="4"/>
      <c r="Z3287" s="4"/>
      <c r="AA3287" s="4"/>
      <c r="AB3287" s="4"/>
      <c r="AC3287" s="7"/>
      <c r="AD3287" s="4"/>
      <c r="AE3287" s="4"/>
      <c r="AF3287" s="21"/>
    </row>
    <row r="3288" spans="24:32" x14ac:dyDescent="0.25">
      <c r="X3288" s="4"/>
      <c r="Y3288" s="4"/>
      <c r="Z3288" s="4"/>
      <c r="AA3288" s="4"/>
      <c r="AB3288" s="4"/>
      <c r="AC3288" s="7"/>
      <c r="AD3288" s="4"/>
      <c r="AE3288" s="4"/>
      <c r="AF3288" s="21"/>
    </row>
    <row r="3289" spans="24:32" x14ac:dyDescent="0.25">
      <c r="X3289" s="4"/>
      <c r="Y3289" s="4"/>
      <c r="Z3289" s="4"/>
      <c r="AA3289" s="4"/>
      <c r="AB3289" s="4"/>
      <c r="AC3289" s="7"/>
      <c r="AD3289" s="4"/>
      <c r="AE3289" s="4"/>
      <c r="AF3289" s="21"/>
    </row>
    <row r="3290" spans="24:32" x14ac:dyDescent="0.25">
      <c r="X3290" s="4"/>
      <c r="Y3290" s="4"/>
      <c r="Z3290" s="4"/>
      <c r="AA3290" s="4"/>
      <c r="AB3290" s="4"/>
      <c r="AC3290" s="7"/>
      <c r="AD3290" s="4"/>
      <c r="AE3290" s="4"/>
      <c r="AF3290" s="21"/>
    </row>
    <row r="3291" spans="24:32" x14ac:dyDescent="0.25">
      <c r="X3291" s="4"/>
      <c r="Y3291" s="4"/>
      <c r="Z3291" s="4"/>
      <c r="AA3291" s="4"/>
      <c r="AB3291" s="4"/>
      <c r="AC3291" s="7"/>
      <c r="AD3291" s="4"/>
      <c r="AE3291" s="4"/>
      <c r="AF3291" s="21"/>
    </row>
    <row r="3292" spans="24:32" x14ac:dyDescent="0.25">
      <c r="X3292" s="4"/>
      <c r="Y3292" s="4"/>
      <c r="Z3292" s="4"/>
      <c r="AA3292" s="4"/>
      <c r="AB3292" s="4"/>
      <c r="AC3292" s="7"/>
      <c r="AD3292" s="4"/>
      <c r="AE3292" s="4"/>
      <c r="AF3292" s="21"/>
    </row>
    <row r="3293" spans="24:32" x14ac:dyDescent="0.25">
      <c r="X3293" s="4"/>
      <c r="Y3293" s="4"/>
      <c r="Z3293" s="4"/>
      <c r="AA3293" s="4"/>
      <c r="AB3293" s="4"/>
      <c r="AC3293" s="7"/>
      <c r="AD3293" s="4"/>
      <c r="AE3293" s="4"/>
      <c r="AF3293" s="21"/>
    </row>
    <row r="3294" spans="24:32" x14ac:dyDescent="0.25">
      <c r="X3294" s="4"/>
      <c r="Y3294" s="4"/>
      <c r="Z3294" s="4"/>
      <c r="AA3294" s="4"/>
      <c r="AB3294" s="4"/>
      <c r="AC3294" s="7"/>
      <c r="AD3294" s="4"/>
      <c r="AE3294" s="4"/>
      <c r="AF3294" s="21"/>
    </row>
    <row r="3295" spans="24:32" x14ac:dyDescent="0.25">
      <c r="X3295" s="4"/>
      <c r="Y3295" s="4"/>
      <c r="Z3295" s="4"/>
      <c r="AA3295" s="4"/>
      <c r="AB3295" s="4"/>
      <c r="AC3295" s="7"/>
      <c r="AD3295" s="4"/>
      <c r="AE3295" s="4"/>
      <c r="AF3295" s="21"/>
    </row>
    <row r="3296" spans="24:32" x14ac:dyDescent="0.25">
      <c r="X3296" s="4"/>
      <c r="Y3296" s="4"/>
      <c r="Z3296" s="4"/>
      <c r="AA3296" s="4"/>
      <c r="AB3296" s="4"/>
      <c r="AC3296" s="7"/>
      <c r="AD3296" s="4"/>
      <c r="AE3296" s="4"/>
      <c r="AF3296" s="21"/>
    </row>
    <row r="3297" spans="24:32" x14ac:dyDescent="0.25">
      <c r="X3297" s="4"/>
      <c r="Y3297" s="4"/>
      <c r="Z3297" s="4"/>
      <c r="AA3297" s="4"/>
      <c r="AB3297" s="4"/>
      <c r="AC3297" s="7"/>
      <c r="AD3297" s="4"/>
      <c r="AE3297" s="4"/>
      <c r="AF3297" s="21"/>
    </row>
    <row r="3298" spans="24:32" x14ac:dyDescent="0.25">
      <c r="X3298" s="4"/>
      <c r="Y3298" s="4"/>
      <c r="Z3298" s="4"/>
      <c r="AA3298" s="4"/>
      <c r="AB3298" s="4"/>
      <c r="AC3298" s="7"/>
      <c r="AD3298" s="4"/>
      <c r="AE3298" s="4"/>
      <c r="AF3298" s="21"/>
    </row>
    <row r="3299" spans="24:32" x14ac:dyDescent="0.25">
      <c r="X3299" s="4"/>
      <c r="Y3299" s="4"/>
      <c r="Z3299" s="4"/>
      <c r="AA3299" s="4"/>
      <c r="AB3299" s="4"/>
      <c r="AC3299" s="7"/>
      <c r="AD3299" s="4"/>
      <c r="AE3299" s="4"/>
      <c r="AF3299" s="21"/>
    </row>
    <row r="3300" spans="24:32" x14ac:dyDescent="0.25">
      <c r="X3300" s="4"/>
      <c r="Y3300" s="4"/>
      <c r="Z3300" s="4"/>
      <c r="AA3300" s="4"/>
      <c r="AB3300" s="4"/>
      <c r="AC3300" s="7"/>
      <c r="AD3300" s="4"/>
      <c r="AE3300" s="4"/>
      <c r="AF3300" s="21"/>
    </row>
    <row r="3301" spans="24:32" x14ac:dyDescent="0.25">
      <c r="X3301" s="4"/>
      <c r="Y3301" s="4"/>
      <c r="Z3301" s="4"/>
      <c r="AA3301" s="4"/>
      <c r="AB3301" s="4"/>
      <c r="AC3301" s="7"/>
      <c r="AD3301" s="4"/>
      <c r="AE3301" s="4"/>
      <c r="AF3301" s="21"/>
    </row>
    <row r="3302" spans="24:32" x14ac:dyDescent="0.25">
      <c r="X3302" s="4"/>
      <c r="Y3302" s="4"/>
      <c r="Z3302" s="4"/>
      <c r="AA3302" s="4"/>
      <c r="AB3302" s="4"/>
      <c r="AC3302" s="7"/>
      <c r="AD3302" s="4"/>
      <c r="AE3302" s="4"/>
      <c r="AF3302" s="21"/>
    </row>
    <row r="3303" spans="24:32" x14ac:dyDescent="0.25">
      <c r="X3303" s="4"/>
      <c r="Y3303" s="4"/>
      <c r="Z3303" s="4"/>
      <c r="AA3303" s="4"/>
      <c r="AB3303" s="4"/>
      <c r="AC3303" s="7"/>
      <c r="AD3303" s="4"/>
      <c r="AE3303" s="4"/>
      <c r="AF3303" s="21"/>
    </row>
    <row r="3304" spans="24:32" x14ac:dyDescent="0.25">
      <c r="X3304" s="4"/>
      <c r="Y3304" s="4"/>
      <c r="Z3304" s="4"/>
      <c r="AA3304" s="4"/>
      <c r="AB3304" s="4"/>
      <c r="AC3304" s="7"/>
      <c r="AD3304" s="4"/>
      <c r="AE3304" s="4"/>
      <c r="AF3304" s="21"/>
    </row>
    <row r="3305" spans="24:32" x14ac:dyDescent="0.25">
      <c r="X3305" s="4"/>
      <c r="Y3305" s="4"/>
      <c r="Z3305" s="4"/>
      <c r="AA3305" s="4"/>
      <c r="AB3305" s="4"/>
      <c r="AC3305" s="7"/>
      <c r="AD3305" s="4"/>
      <c r="AE3305" s="4"/>
      <c r="AF3305" s="21"/>
    </row>
    <row r="3306" spans="24:32" x14ac:dyDescent="0.25">
      <c r="X3306" s="4"/>
      <c r="Y3306" s="4"/>
      <c r="Z3306" s="4"/>
      <c r="AA3306" s="4"/>
      <c r="AB3306" s="4"/>
      <c r="AC3306" s="7"/>
      <c r="AD3306" s="4"/>
      <c r="AE3306" s="4"/>
      <c r="AF3306" s="21"/>
    </row>
    <row r="3307" spans="24:32" x14ac:dyDescent="0.25">
      <c r="X3307" s="4"/>
      <c r="Y3307" s="4"/>
      <c r="Z3307" s="4"/>
      <c r="AA3307" s="4"/>
      <c r="AB3307" s="4"/>
      <c r="AC3307" s="7"/>
      <c r="AD3307" s="4"/>
      <c r="AE3307" s="4"/>
      <c r="AF3307" s="21"/>
    </row>
    <row r="3308" spans="24:32" x14ac:dyDescent="0.25">
      <c r="X3308" s="4"/>
      <c r="Y3308" s="4"/>
      <c r="Z3308" s="4"/>
      <c r="AA3308" s="4"/>
      <c r="AB3308" s="4"/>
      <c r="AC3308" s="7"/>
      <c r="AD3308" s="4"/>
      <c r="AE3308" s="4"/>
      <c r="AF3308" s="21"/>
    </row>
    <row r="3309" spans="24:32" x14ac:dyDescent="0.25">
      <c r="X3309" s="4"/>
      <c r="Y3309" s="4"/>
      <c r="Z3309" s="4"/>
      <c r="AA3309" s="4"/>
      <c r="AB3309" s="4"/>
      <c r="AC3309" s="7"/>
      <c r="AD3309" s="4"/>
      <c r="AE3309" s="4"/>
      <c r="AF3309" s="21"/>
    </row>
    <row r="3310" spans="24:32" x14ac:dyDescent="0.25">
      <c r="X3310" s="4"/>
      <c r="Y3310" s="4"/>
      <c r="Z3310" s="4"/>
      <c r="AA3310" s="4"/>
      <c r="AB3310" s="4"/>
      <c r="AC3310" s="7"/>
      <c r="AD3310" s="4"/>
      <c r="AE3310" s="4"/>
      <c r="AF3310" s="21"/>
    </row>
    <row r="3311" spans="24:32" x14ac:dyDescent="0.25">
      <c r="X3311" s="4"/>
      <c r="Y3311" s="4"/>
      <c r="Z3311" s="4"/>
      <c r="AA3311" s="4"/>
      <c r="AB3311" s="4"/>
      <c r="AC3311" s="7"/>
      <c r="AD3311" s="4"/>
      <c r="AE3311" s="4"/>
      <c r="AF3311" s="21"/>
    </row>
    <row r="3312" spans="24:32" x14ac:dyDescent="0.25">
      <c r="X3312" s="4"/>
      <c r="Y3312" s="4"/>
      <c r="Z3312" s="4"/>
      <c r="AA3312" s="4"/>
      <c r="AB3312" s="4"/>
      <c r="AC3312" s="7"/>
      <c r="AD3312" s="4"/>
      <c r="AE3312" s="4"/>
      <c r="AF3312" s="21"/>
    </row>
    <row r="3313" spans="24:32" x14ac:dyDescent="0.25">
      <c r="X3313" s="4"/>
      <c r="Y3313" s="4"/>
      <c r="Z3313" s="4"/>
      <c r="AA3313" s="4"/>
      <c r="AB3313" s="4"/>
      <c r="AC3313" s="7"/>
      <c r="AD3313" s="4"/>
      <c r="AE3313" s="4"/>
      <c r="AF3313" s="21"/>
    </row>
    <row r="3314" spans="24:32" x14ac:dyDescent="0.25">
      <c r="X3314" s="4"/>
      <c r="Y3314" s="4"/>
      <c r="Z3314" s="4"/>
      <c r="AA3314" s="4"/>
      <c r="AB3314" s="4"/>
      <c r="AC3314" s="7"/>
      <c r="AD3314" s="4"/>
      <c r="AE3314" s="4"/>
      <c r="AF3314" s="21"/>
    </row>
    <row r="3315" spans="24:32" x14ac:dyDescent="0.25">
      <c r="X3315" s="4"/>
      <c r="Y3315" s="4"/>
      <c r="Z3315" s="4"/>
      <c r="AA3315" s="4"/>
      <c r="AB3315" s="4"/>
      <c r="AC3315" s="7"/>
      <c r="AD3315" s="4"/>
      <c r="AE3315" s="4"/>
      <c r="AF3315" s="21"/>
    </row>
    <row r="3316" spans="24:32" x14ac:dyDescent="0.25">
      <c r="X3316" s="4"/>
      <c r="Y3316" s="4"/>
      <c r="Z3316" s="4"/>
      <c r="AA3316" s="4"/>
      <c r="AB3316" s="4"/>
      <c r="AC3316" s="7"/>
      <c r="AD3316" s="4"/>
      <c r="AE3316" s="4"/>
      <c r="AF3316" s="21"/>
    </row>
    <row r="3317" spans="24:32" x14ac:dyDescent="0.25">
      <c r="X3317" s="4"/>
      <c r="Y3317" s="4"/>
      <c r="Z3317" s="4"/>
      <c r="AA3317" s="4"/>
      <c r="AB3317" s="4"/>
      <c r="AC3317" s="7"/>
      <c r="AD3317" s="4"/>
      <c r="AE3317" s="4"/>
      <c r="AF3317" s="21"/>
    </row>
    <row r="3318" spans="24:32" x14ac:dyDescent="0.25">
      <c r="X3318" s="4"/>
      <c r="Y3318" s="4"/>
      <c r="Z3318" s="4"/>
      <c r="AA3318" s="4"/>
      <c r="AB3318" s="4"/>
      <c r="AC3318" s="7"/>
      <c r="AD3318" s="4"/>
      <c r="AE3318" s="4"/>
      <c r="AF3318" s="21"/>
    </row>
    <row r="3319" spans="24:32" x14ac:dyDescent="0.25">
      <c r="X3319" s="4"/>
      <c r="Y3319" s="4"/>
      <c r="Z3319" s="4"/>
      <c r="AA3319" s="4"/>
      <c r="AB3319" s="4"/>
      <c r="AC3319" s="7"/>
      <c r="AD3319" s="4"/>
      <c r="AE3319" s="4"/>
      <c r="AF3319" s="21"/>
    </row>
    <row r="3320" spans="24:32" x14ac:dyDescent="0.25">
      <c r="X3320" s="4"/>
      <c r="Y3320" s="4"/>
      <c r="Z3320" s="4"/>
      <c r="AA3320" s="4"/>
      <c r="AB3320" s="4"/>
      <c r="AC3320" s="7"/>
      <c r="AD3320" s="4"/>
      <c r="AE3320" s="4"/>
      <c r="AF3320" s="21"/>
    </row>
    <row r="3321" spans="24:32" x14ac:dyDescent="0.25">
      <c r="X3321" s="4"/>
      <c r="Y3321" s="4"/>
      <c r="Z3321" s="4"/>
      <c r="AA3321" s="4"/>
      <c r="AB3321" s="4"/>
      <c r="AC3321" s="7"/>
      <c r="AD3321" s="4"/>
      <c r="AE3321" s="4"/>
      <c r="AF3321" s="21"/>
    </row>
    <row r="3322" spans="24:32" x14ac:dyDescent="0.25">
      <c r="X3322" s="4"/>
      <c r="Y3322" s="4"/>
      <c r="Z3322" s="4"/>
      <c r="AA3322" s="4"/>
      <c r="AB3322" s="4"/>
      <c r="AC3322" s="7"/>
      <c r="AD3322" s="4"/>
      <c r="AE3322" s="4"/>
      <c r="AF3322" s="21"/>
    </row>
    <row r="3323" spans="24:32" x14ac:dyDescent="0.25">
      <c r="X3323" s="4"/>
      <c r="Y3323" s="4"/>
      <c r="Z3323" s="4"/>
      <c r="AA3323" s="4"/>
      <c r="AB3323" s="4"/>
      <c r="AC3323" s="7"/>
      <c r="AD3323" s="4"/>
      <c r="AE3323" s="4"/>
      <c r="AF3323" s="21"/>
    </row>
    <row r="3324" spans="24:32" x14ac:dyDescent="0.25">
      <c r="X3324" s="4"/>
      <c r="Y3324" s="4"/>
      <c r="Z3324" s="4"/>
      <c r="AA3324" s="4"/>
      <c r="AB3324" s="4"/>
      <c r="AC3324" s="7"/>
      <c r="AD3324" s="4"/>
      <c r="AE3324" s="4"/>
      <c r="AF3324" s="21"/>
    </row>
    <row r="3325" spans="24:32" x14ac:dyDescent="0.25">
      <c r="X3325" s="4"/>
      <c r="Y3325" s="4"/>
      <c r="Z3325" s="4"/>
      <c r="AA3325" s="4"/>
      <c r="AB3325" s="4"/>
      <c r="AC3325" s="7"/>
      <c r="AD3325" s="4"/>
      <c r="AE3325" s="4"/>
      <c r="AF3325" s="21"/>
    </row>
    <row r="3326" spans="24:32" x14ac:dyDescent="0.25">
      <c r="X3326" s="4"/>
      <c r="Y3326" s="4"/>
      <c r="Z3326" s="4"/>
      <c r="AA3326" s="4"/>
      <c r="AB3326" s="4"/>
      <c r="AC3326" s="7"/>
      <c r="AD3326" s="4"/>
      <c r="AE3326" s="4"/>
      <c r="AF3326" s="21"/>
    </row>
    <row r="3327" spans="24:32" x14ac:dyDescent="0.25">
      <c r="X3327" s="4"/>
      <c r="Y3327" s="4"/>
      <c r="Z3327" s="4"/>
      <c r="AA3327" s="4"/>
      <c r="AB3327" s="4"/>
      <c r="AC3327" s="7"/>
      <c r="AD3327" s="4"/>
      <c r="AE3327" s="4"/>
      <c r="AF3327" s="21"/>
    </row>
    <row r="3328" spans="24:32" x14ac:dyDescent="0.25">
      <c r="X3328" s="4"/>
      <c r="Y3328" s="4"/>
      <c r="Z3328" s="4"/>
      <c r="AA3328" s="4"/>
      <c r="AB3328" s="4"/>
      <c r="AC3328" s="7"/>
      <c r="AD3328" s="4"/>
      <c r="AE3328" s="4"/>
      <c r="AF3328" s="21"/>
    </row>
    <row r="3329" spans="24:32" x14ac:dyDescent="0.25">
      <c r="X3329" s="4"/>
      <c r="Y3329" s="4"/>
      <c r="Z3329" s="4"/>
      <c r="AA3329" s="4"/>
      <c r="AB3329" s="4"/>
      <c r="AC3329" s="7"/>
      <c r="AD3329" s="4"/>
      <c r="AE3329" s="4"/>
      <c r="AF3329" s="21"/>
    </row>
    <row r="3330" spans="24:32" x14ac:dyDescent="0.25">
      <c r="X3330" s="4"/>
      <c r="Y3330" s="4"/>
      <c r="Z3330" s="4"/>
      <c r="AA3330" s="4"/>
      <c r="AB3330" s="4"/>
      <c r="AC3330" s="7"/>
      <c r="AD3330" s="4"/>
      <c r="AE3330" s="4"/>
      <c r="AF3330" s="21"/>
    </row>
    <row r="3331" spans="24:32" x14ac:dyDescent="0.25">
      <c r="X3331" s="4"/>
      <c r="Y3331" s="4"/>
      <c r="Z3331" s="4"/>
      <c r="AA3331" s="4"/>
      <c r="AB3331" s="4"/>
      <c r="AC3331" s="7"/>
      <c r="AD3331" s="4"/>
      <c r="AE3331" s="4"/>
      <c r="AF3331" s="21"/>
    </row>
    <row r="3332" spans="24:32" x14ac:dyDescent="0.25">
      <c r="X3332" s="4"/>
      <c r="Y3332" s="4"/>
      <c r="Z3332" s="4"/>
      <c r="AA3332" s="4"/>
      <c r="AB3332" s="4"/>
      <c r="AC3332" s="7"/>
      <c r="AD3332" s="4"/>
      <c r="AE3332" s="4"/>
      <c r="AF3332" s="21"/>
    </row>
    <row r="3333" spans="24:32" x14ac:dyDescent="0.25">
      <c r="X3333" s="4"/>
      <c r="Y3333" s="4"/>
      <c r="Z3333" s="4"/>
      <c r="AA3333" s="4"/>
      <c r="AB3333" s="4"/>
      <c r="AC3333" s="7"/>
      <c r="AD3333" s="4"/>
      <c r="AE3333" s="4"/>
      <c r="AF3333" s="21"/>
    </row>
    <row r="3334" spans="24:32" x14ac:dyDescent="0.25">
      <c r="X3334" s="4"/>
      <c r="Y3334" s="4"/>
      <c r="Z3334" s="4"/>
      <c r="AA3334" s="4"/>
      <c r="AB3334" s="4"/>
      <c r="AC3334" s="7"/>
      <c r="AD3334" s="4"/>
      <c r="AE3334" s="4"/>
      <c r="AF3334" s="21"/>
    </row>
    <row r="3335" spans="24:32" x14ac:dyDescent="0.25">
      <c r="X3335" s="4"/>
      <c r="Y3335" s="4"/>
      <c r="Z3335" s="4"/>
      <c r="AA3335" s="4"/>
      <c r="AB3335" s="4"/>
      <c r="AC3335" s="7"/>
      <c r="AD3335" s="4"/>
      <c r="AE3335" s="4"/>
      <c r="AF3335" s="21"/>
    </row>
    <row r="3336" spans="24:32" x14ac:dyDescent="0.25">
      <c r="X3336" s="4"/>
      <c r="Y3336" s="4"/>
      <c r="Z3336" s="4"/>
      <c r="AA3336" s="4"/>
      <c r="AB3336" s="4"/>
      <c r="AC3336" s="7"/>
      <c r="AD3336" s="4"/>
      <c r="AE3336" s="4"/>
      <c r="AF3336" s="21"/>
    </row>
    <row r="3337" spans="24:32" x14ac:dyDescent="0.25">
      <c r="X3337" s="4"/>
      <c r="Y3337" s="4"/>
      <c r="Z3337" s="4"/>
      <c r="AA3337" s="4"/>
      <c r="AB3337" s="4"/>
      <c r="AC3337" s="7"/>
      <c r="AD3337" s="4"/>
      <c r="AE3337" s="4"/>
      <c r="AF3337" s="21"/>
    </row>
    <row r="3338" spans="24:32" x14ac:dyDescent="0.25">
      <c r="X3338" s="4"/>
      <c r="Y3338" s="4"/>
      <c r="Z3338" s="4"/>
      <c r="AA3338" s="4"/>
      <c r="AB3338" s="4"/>
      <c r="AC3338" s="7"/>
      <c r="AD3338" s="4"/>
      <c r="AE3338" s="4"/>
      <c r="AF3338" s="21"/>
    </row>
    <row r="3339" spans="24:32" x14ac:dyDescent="0.25">
      <c r="X3339" s="4"/>
      <c r="Y3339" s="4"/>
      <c r="Z3339" s="4"/>
      <c r="AA3339" s="4"/>
      <c r="AB3339" s="4"/>
      <c r="AC3339" s="7"/>
      <c r="AD3339" s="4"/>
      <c r="AE3339" s="4"/>
      <c r="AF3339" s="21"/>
    </row>
    <row r="3340" spans="24:32" x14ac:dyDescent="0.25">
      <c r="X3340" s="4"/>
      <c r="Y3340" s="4"/>
      <c r="Z3340" s="4"/>
      <c r="AA3340" s="4"/>
      <c r="AB3340" s="4"/>
      <c r="AC3340" s="7"/>
      <c r="AD3340" s="4"/>
      <c r="AE3340" s="4"/>
      <c r="AF3340" s="21"/>
    </row>
    <row r="3341" spans="24:32" x14ac:dyDescent="0.25">
      <c r="X3341" s="4"/>
      <c r="Y3341" s="4"/>
      <c r="Z3341" s="4"/>
      <c r="AA3341" s="4"/>
      <c r="AB3341" s="4"/>
      <c r="AC3341" s="7"/>
      <c r="AD3341" s="4"/>
      <c r="AE3341" s="4"/>
      <c r="AF3341" s="21"/>
    </row>
    <row r="3342" spans="24:32" x14ac:dyDescent="0.25">
      <c r="X3342" s="4"/>
      <c r="Y3342" s="4"/>
      <c r="Z3342" s="4"/>
      <c r="AA3342" s="4"/>
      <c r="AB3342" s="4"/>
      <c r="AC3342" s="7"/>
      <c r="AD3342" s="4"/>
      <c r="AE3342" s="4"/>
      <c r="AF3342" s="21"/>
    </row>
    <row r="3343" spans="24:32" x14ac:dyDescent="0.25">
      <c r="X3343" s="4"/>
      <c r="Y3343" s="4"/>
      <c r="Z3343" s="4"/>
      <c r="AA3343" s="4"/>
      <c r="AB3343" s="4"/>
      <c r="AC3343" s="7"/>
      <c r="AD3343" s="4"/>
      <c r="AE3343" s="4"/>
      <c r="AF3343" s="21"/>
    </row>
    <row r="3344" spans="24:32" x14ac:dyDescent="0.25">
      <c r="X3344" s="4"/>
      <c r="Y3344" s="4"/>
      <c r="Z3344" s="4"/>
      <c r="AA3344" s="4"/>
      <c r="AB3344" s="4"/>
      <c r="AC3344" s="7"/>
      <c r="AD3344" s="4"/>
      <c r="AE3344" s="4"/>
      <c r="AF3344" s="21"/>
    </row>
    <row r="3345" spans="24:32" x14ac:dyDescent="0.25">
      <c r="X3345" s="4"/>
      <c r="Y3345" s="4"/>
      <c r="Z3345" s="4"/>
      <c r="AA3345" s="4"/>
      <c r="AB3345" s="4"/>
      <c r="AC3345" s="7"/>
      <c r="AD3345" s="4"/>
      <c r="AE3345" s="4"/>
      <c r="AF3345" s="21"/>
    </row>
    <row r="3346" spans="24:32" x14ac:dyDescent="0.25">
      <c r="X3346" s="4"/>
      <c r="Y3346" s="4"/>
      <c r="Z3346" s="4"/>
      <c r="AA3346" s="4"/>
      <c r="AB3346" s="4"/>
      <c r="AC3346" s="7"/>
      <c r="AD3346" s="4"/>
      <c r="AE3346" s="4"/>
      <c r="AF3346" s="21"/>
    </row>
    <row r="3347" spans="24:32" x14ac:dyDescent="0.25">
      <c r="X3347" s="4"/>
      <c r="Y3347" s="4"/>
      <c r="Z3347" s="4"/>
      <c r="AA3347" s="4"/>
      <c r="AB3347" s="4"/>
      <c r="AC3347" s="7"/>
      <c r="AD3347" s="4"/>
      <c r="AE3347" s="4"/>
      <c r="AF3347" s="21"/>
    </row>
    <row r="3348" spans="24:32" x14ac:dyDescent="0.25">
      <c r="X3348" s="4"/>
      <c r="Y3348" s="4"/>
      <c r="Z3348" s="4"/>
      <c r="AA3348" s="4"/>
      <c r="AB3348" s="4"/>
      <c r="AC3348" s="7"/>
      <c r="AD3348" s="4"/>
      <c r="AE3348" s="4"/>
      <c r="AF3348" s="21"/>
    </row>
    <row r="3349" spans="24:32" x14ac:dyDescent="0.25">
      <c r="X3349" s="4"/>
      <c r="Y3349" s="4"/>
      <c r="Z3349" s="4"/>
      <c r="AA3349" s="4"/>
      <c r="AB3349" s="4"/>
      <c r="AC3349" s="7"/>
      <c r="AD3349" s="4"/>
      <c r="AE3349" s="4"/>
      <c r="AF3349" s="21"/>
    </row>
    <row r="3350" spans="24:32" x14ac:dyDescent="0.25">
      <c r="X3350" s="4"/>
      <c r="Y3350" s="4"/>
      <c r="Z3350" s="4"/>
      <c r="AA3350" s="4"/>
      <c r="AB3350" s="4"/>
      <c r="AC3350" s="7"/>
      <c r="AD3350" s="4"/>
      <c r="AE3350" s="4"/>
      <c r="AF3350" s="21"/>
    </row>
    <row r="3351" spans="24:32" x14ac:dyDescent="0.25">
      <c r="X3351" s="4"/>
      <c r="Y3351" s="4"/>
      <c r="Z3351" s="4"/>
      <c r="AA3351" s="4"/>
      <c r="AB3351" s="4"/>
      <c r="AC3351" s="7"/>
      <c r="AD3351" s="4"/>
      <c r="AE3351" s="4"/>
      <c r="AF3351" s="21"/>
    </row>
    <row r="3352" spans="24:32" x14ac:dyDescent="0.25">
      <c r="X3352" s="4"/>
      <c r="Y3352" s="4"/>
      <c r="Z3352" s="4"/>
      <c r="AA3352" s="4"/>
      <c r="AB3352" s="4"/>
      <c r="AC3352" s="7"/>
      <c r="AD3352" s="4"/>
      <c r="AE3352" s="4"/>
      <c r="AF3352" s="21"/>
    </row>
    <row r="3353" spans="24:32" x14ac:dyDescent="0.25">
      <c r="X3353" s="4"/>
      <c r="Y3353" s="4"/>
      <c r="Z3353" s="4"/>
      <c r="AA3353" s="4"/>
      <c r="AB3353" s="4"/>
      <c r="AC3353" s="7"/>
      <c r="AD3353" s="4"/>
      <c r="AE3353" s="4"/>
      <c r="AF3353" s="21"/>
    </row>
    <row r="3354" spans="24:32" x14ac:dyDescent="0.25">
      <c r="X3354" s="4"/>
      <c r="Y3354" s="4"/>
      <c r="Z3354" s="4"/>
      <c r="AA3354" s="4"/>
      <c r="AB3354" s="4"/>
      <c r="AC3354" s="7"/>
      <c r="AD3354" s="4"/>
      <c r="AE3354" s="4"/>
      <c r="AF3354" s="21"/>
    </row>
    <row r="3355" spans="24:32" x14ac:dyDescent="0.25">
      <c r="X3355" s="4"/>
      <c r="Y3355" s="4"/>
      <c r="Z3355" s="4"/>
      <c r="AA3355" s="4"/>
      <c r="AB3355" s="4"/>
      <c r="AC3355" s="7"/>
      <c r="AD3355" s="4"/>
      <c r="AE3355" s="4"/>
      <c r="AF3355" s="21"/>
    </row>
    <row r="3356" spans="24:32" x14ac:dyDescent="0.25">
      <c r="X3356" s="4"/>
      <c r="Y3356" s="4"/>
      <c r="Z3356" s="4"/>
      <c r="AA3356" s="4"/>
      <c r="AB3356" s="4"/>
      <c r="AC3356" s="7"/>
      <c r="AD3356" s="4"/>
      <c r="AE3356" s="4"/>
      <c r="AF3356" s="21"/>
    </row>
    <row r="3357" spans="24:32" x14ac:dyDescent="0.25">
      <c r="X3357" s="4"/>
      <c r="Y3357" s="4"/>
      <c r="Z3357" s="4"/>
      <c r="AA3357" s="4"/>
      <c r="AB3357" s="4"/>
      <c r="AC3357" s="7"/>
      <c r="AD3357" s="4"/>
      <c r="AE3357" s="4"/>
      <c r="AF3357" s="21"/>
    </row>
    <row r="3358" spans="24:32" x14ac:dyDescent="0.25">
      <c r="X3358" s="4"/>
      <c r="Y3358" s="4"/>
      <c r="Z3358" s="4"/>
      <c r="AA3358" s="4"/>
      <c r="AB3358" s="4"/>
      <c r="AC3358" s="7"/>
      <c r="AD3358" s="4"/>
      <c r="AE3358" s="4"/>
      <c r="AF3358" s="21"/>
    </row>
    <row r="3359" spans="24:32" x14ac:dyDescent="0.25">
      <c r="X3359" s="4"/>
      <c r="Y3359" s="4"/>
      <c r="Z3359" s="4"/>
      <c r="AA3359" s="4"/>
      <c r="AB3359" s="4"/>
      <c r="AC3359" s="7"/>
      <c r="AD3359" s="4"/>
      <c r="AE3359" s="4"/>
      <c r="AF3359" s="21"/>
    </row>
    <row r="3360" spans="24:32" x14ac:dyDescent="0.25">
      <c r="X3360" s="4"/>
      <c r="Y3360" s="4"/>
      <c r="Z3360" s="4"/>
      <c r="AA3360" s="4"/>
      <c r="AB3360" s="4"/>
      <c r="AC3360" s="7"/>
      <c r="AD3360" s="4"/>
      <c r="AE3360" s="4"/>
      <c r="AF3360" s="21"/>
    </row>
    <row r="3361" spans="24:32" x14ac:dyDescent="0.25">
      <c r="X3361" s="4"/>
      <c r="Y3361" s="4"/>
      <c r="Z3361" s="4"/>
      <c r="AA3361" s="4"/>
      <c r="AB3361" s="4"/>
      <c r="AC3361" s="7"/>
      <c r="AD3361" s="4"/>
      <c r="AE3361" s="4"/>
      <c r="AF3361" s="21"/>
    </row>
    <row r="3362" spans="24:32" x14ac:dyDescent="0.25">
      <c r="X3362" s="4"/>
      <c r="Y3362" s="4"/>
      <c r="Z3362" s="4"/>
      <c r="AA3362" s="4"/>
      <c r="AB3362" s="4"/>
      <c r="AC3362" s="7"/>
      <c r="AD3362" s="4"/>
      <c r="AE3362" s="4"/>
      <c r="AF3362" s="21"/>
    </row>
    <row r="3363" spans="24:32" x14ac:dyDescent="0.25">
      <c r="X3363" s="4"/>
      <c r="Y3363" s="4"/>
      <c r="Z3363" s="4"/>
      <c r="AA3363" s="4"/>
      <c r="AB3363" s="4"/>
      <c r="AC3363" s="7"/>
      <c r="AD3363" s="4"/>
      <c r="AE3363" s="4"/>
      <c r="AF3363" s="21"/>
    </row>
    <row r="3364" spans="24:32" x14ac:dyDescent="0.25">
      <c r="X3364" s="4"/>
      <c r="Y3364" s="4"/>
      <c r="Z3364" s="4"/>
      <c r="AA3364" s="4"/>
      <c r="AB3364" s="4"/>
      <c r="AC3364" s="7"/>
      <c r="AD3364" s="4"/>
      <c r="AE3364" s="4"/>
      <c r="AF3364" s="21"/>
    </row>
    <row r="3365" spans="24:32" x14ac:dyDescent="0.25">
      <c r="X3365" s="4"/>
      <c r="Y3365" s="4"/>
      <c r="Z3365" s="4"/>
      <c r="AA3365" s="4"/>
      <c r="AB3365" s="4"/>
      <c r="AC3365" s="7"/>
      <c r="AD3365" s="4"/>
      <c r="AE3365" s="4"/>
      <c r="AF3365" s="21"/>
    </row>
    <row r="3366" spans="24:32" x14ac:dyDescent="0.25">
      <c r="X3366" s="4"/>
      <c r="Y3366" s="4"/>
      <c r="Z3366" s="4"/>
      <c r="AA3366" s="4"/>
      <c r="AB3366" s="4"/>
      <c r="AC3366" s="7"/>
      <c r="AD3366" s="4"/>
      <c r="AE3366" s="4"/>
      <c r="AF3366" s="21"/>
    </row>
    <row r="3367" spans="24:32" x14ac:dyDescent="0.25">
      <c r="X3367" s="4"/>
      <c r="Y3367" s="4"/>
      <c r="Z3367" s="4"/>
      <c r="AA3367" s="4"/>
      <c r="AB3367" s="4"/>
      <c r="AC3367" s="7"/>
      <c r="AD3367" s="4"/>
      <c r="AE3367" s="4"/>
      <c r="AF3367" s="21"/>
    </row>
    <row r="3368" spans="24:32" x14ac:dyDescent="0.25">
      <c r="X3368" s="4"/>
      <c r="Y3368" s="4"/>
      <c r="Z3368" s="4"/>
      <c r="AA3368" s="4"/>
      <c r="AB3368" s="4"/>
      <c r="AC3368" s="7"/>
      <c r="AD3368" s="4"/>
      <c r="AE3368" s="4"/>
      <c r="AF3368" s="21"/>
    </row>
    <row r="3369" spans="24:32" x14ac:dyDescent="0.25">
      <c r="X3369" s="4"/>
      <c r="Y3369" s="4"/>
      <c r="Z3369" s="4"/>
      <c r="AA3369" s="4"/>
      <c r="AB3369" s="4"/>
      <c r="AC3369" s="7"/>
      <c r="AD3369" s="4"/>
      <c r="AE3369" s="4"/>
      <c r="AF3369" s="21"/>
    </row>
    <row r="3370" spans="24:32" x14ac:dyDescent="0.25">
      <c r="X3370" s="4"/>
      <c r="Y3370" s="4"/>
      <c r="Z3370" s="4"/>
      <c r="AA3370" s="4"/>
      <c r="AB3370" s="4"/>
      <c r="AC3370" s="7"/>
      <c r="AD3370" s="4"/>
      <c r="AE3370" s="4"/>
      <c r="AF3370" s="21"/>
    </row>
    <row r="3371" spans="24:32" x14ac:dyDescent="0.25">
      <c r="X3371" s="4"/>
      <c r="Y3371" s="4"/>
      <c r="Z3371" s="4"/>
      <c r="AA3371" s="4"/>
      <c r="AB3371" s="4"/>
      <c r="AC3371" s="7"/>
      <c r="AD3371" s="4"/>
      <c r="AE3371" s="4"/>
      <c r="AF3371" s="21"/>
    </row>
    <row r="3372" spans="24:32" x14ac:dyDescent="0.25">
      <c r="X3372" s="4"/>
      <c r="Y3372" s="4"/>
      <c r="Z3372" s="4"/>
      <c r="AA3372" s="4"/>
      <c r="AB3372" s="4"/>
      <c r="AC3372" s="7"/>
      <c r="AD3372" s="4"/>
      <c r="AE3372" s="4"/>
      <c r="AF3372" s="21"/>
    </row>
    <row r="3373" spans="24:32" x14ac:dyDescent="0.25">
      <c r="X3373" s="4"/>
      <c r="Y3373" s="4"/>
      <c r="Z3373" s="4"/>
      <c r="AA3373" s="4"/>
      <c r="AB3373" s="4"/>
      <c r="AC3373" s="7"/>
      <c r="AD3373" s="4"/>
      <c r="AE3373" s="4"/>
      <c r="AF3373" s="21"/>
    </row>
    <row r="3374" spans="24:32" x14ac:dyDescent="0.25">
      <c r="X3374" s="4"/>
      <c r="Y3374" s="4"/>
      <c r="Z3374" s="4"/>
      <c r="AA3374" s="4"/>
      <c r="AB3374" s="4"/>
      <c r="AC3374" s="7"/>
      <c r="AD3374" s="4"/>
      <c r="AE3374" s="4"/>
      <c r="AF3374" s="21"/>
    </row>
    <row r="3375" spans="24:32" x14ac:dyDescent="0.25">
      <c r="X3375" s="4"/>
      <c r="Y3375" s="4"/>
      <c r="Z3375" s="4"/>
      <c r="AA3375" s="4"/>
      <c r="AB3375" s="4"/>
      <c r="AC3375" s="7"/>
      <c r="AD3375" s="4"/>
      <c r="AE3375" s="4"/>
      <c r="AF3375" s="21"/>
    </row>
    <row r="3376" spans="24:32" x14ac:dyDescent="0.25">
      <c r="X3376" s="4"/>
      <c r="Y3376" s="4"/>
      <c r="Z3376" s="4"/>
      <c r="AA3376" s="4"/>
      <c r="AB3376" s="4"/>
      <c r="AC3376" s="7"/>
      <c r="AD3376" s="4"/>
      <c r="AE3376" s="4"/>
      <c r="AF3376" s="21"/>
    </row>
    <row r="3377" spans="24:32" x14ac:dyDescent="0.25">
      <c r="X3377" s="4"/>
      <c r="Y3377" s="4"/>
      <c r="Z3377" s="4"/>
      <c r="AA3377" s="4"/>
      <c r="AB3377" s="4"/>
      <c r="AC3377" s="7"/>
      <c r="AD3377" s="4"/>
      <c r="AE3377" s="4"/>
      <c r="AF3377" s="21"/>
    </row>
    <row r="3378" spans="24:32" x14ac:dyDescent="0.25">
      <c r="X3378" s="4"/>
      <c r="Y3378" s="4"/>
      <c r="Z3378" s="4"/>
      <c r="AA3378" s="4"/>
      <c r="AB3378" s="4"/>
      <c r="AC3378" s="7"/>
      <c r="AD3378" s="4"/>
      <c r="AE3378" s="4"/>
      <c r="AF3378" s="21"/>
    </row>
    <row r="3379" spans="24:32" x14ac:dyDescent="0.25">
      <c r="X3379" s="4"/>
      <c r="Y3379" s="4"/>
      <c r="Z3379" s="4"/>
      <c r="AA3379" s="4"/>
      <c r="AB3379" s="4"/>
      <c r="AC3379" s="7"/>
      <c r="AD3379" s="4"/>
      <c r="AE3379" s="4"/>
      <c r="AF3379" s="21"/>
    </row>
    <row r="3380" spans="24:32" x14ac:dyDescent="0.25">
      <c r="X3380" s="4"/>
      <c r="Y3380" s="4"/>
      <c r="Z3380" s="4"/>
      <c r="AA3380" s="4"/>
      <c r="AB3380" s="4"/>
      <c r="AC3380" s="7"/>
      <c r="AD3380" s="4"/>
      <c r="AE3380" s="4"/>
      <c r="AF3380" s="21"/>
    </row>
    <row r="3381" spans="24:32" x14ac:dyDescent="0.25">
      <c r="X3381" s="4"/>
      <c r="Y3381" s="4"/>
      <c r="Z3381" s="4"/>
      <c r="AA3381" s="4"/>
      <c r="AB3381" s="4"/>
      <c r="AC3381" s="7"/>
      <c r="AD3381" s="4"/>
      <c r="AE3381" s="4"/>
      <c r="AF3381" s="21"/>
    </row>
    <row r="3382" spans="24:32" x14ac:dyDescent="0.25">
      <c r="X3382" s="4"/>
      <c r="Y3382" s="4"/>
      <c r="Z3382" s="4"/>
      <c r="AA3382" s="4"/>
      <c r="AB3382" s="4"/>
      <c r="AC3382" s="7"/>
      <c r="AD3382" s="4"/>
      <c r="AE3382" s="4"/>
      <c r="AF3382" s="21"/>
    </row>
    <row r="3383" spans="24:32" x14ac:dyDescent="0.25">
      <c r="X3383" s="4"/>
      <c r="Y3383" s="4"/>
      <c r="Z3383" s="4"/>
      <c r="AA3383" s="4"/>
      <c r="AB3383" s="4"/>
      <c r="AC3383" s="7"/>
      <c r="AD3383" s="4"/>
      <c r="AE3383" s="4"/>
      <c r="AF3383" s="21"/>
    </row>
    <row r="3384" spans="24:32" x14ac:dyDescent="0.25">
      <c r="X3384" s="4"/>
      <c r="Y3384" s="4"/>
      <c r="Z3384" s="4"/>
      <c r="AA3384" s="4"/>
      <c r="AB3384" s="4"/>
      <c r="AC3384" s="7"/>
      <c r="AD3384" s="4"/>
      <c r="AE3384" s="4"/>
      <c r="AF3384" s="21"/>
    </row>
    <row r="3385" spans="24:32" x14ac:dyDescent="0.25">
      <c r="X3385" s="4"/>
      <c r="Y3385" s="4"/>
      <c r="Z3385" s="4"/>
      <c r="AA3385" s="4"/>
      <c r="AB3385" s="4"/>
      <c r="AC3385" s="7"/>
      <c r="AD3385" s="4"/>
      <c r="AE3385" s="4"/>
      <c r="AF3385" s="21"/>
    </row>
    <row r="3386" spans="24:32" x14ac:dyDescent="0.25">
      <c r="X3386" s="4"/>
      <c r="Y3386" s="4"/>
      <c r="Z3386" s="4"/>
      <c r="AA3386" s="4"/>
      <c r="AB3386" s="4"/>
      <c r="AC3386" s="7"/>
      <c r="AD3386" s="4"/>
      <c r="AE3386" s="4"/>
      <c r="AF3386" s="21"/>
    </row>
    <row r="3387" spans="24:32" x14ac:dyDescent="0.25">
      <c r="X3387" s="4"/>
      <c r="Y3387" s="4"/>
      <c r="Z3387" s="4"/>
      <c r="AA3387" s="4"/>
      <c r="AB3387" s="4"/>
      <c r="AC3387" s="7"/>
      <c r="AD3387" s="4"/>
      <c r="AE3387" s="4"/>
      <c r="AF3387" s="21"/>
    </row>
    <row r="3388" spans="24:32" x14ac:dyDescent="0.25">
      <c r="X3388" s="4"/>
      <c r="Y3388" s="4"/>
      <c r="Z3388" s="4"/>
      <c r="AA3388" s="4"/>
      <c r="AB3388" s="4"/>
      <c r="AC3388" s="7"/>
      <c r="AD3388" s="4"/>
      <c r="AE3388" s="4"/>
      <c r="AF3388" s="21"/>
    </row>
    <row r="3389" spans="24:32" x14ac:dyDescent="0.25">
      <c r="X3389" s="4"/>
      <c r="Y3389" s="4"/>
      <c r="Z3389" s="4"/>
      <c r="AA3389" s="4"/>
      <c r="AB3389" s="4"/>
      <c r="AC3389" s="7"/>
      <c r="AD3389" s="4"/>
      <c r="AE3389" s="4"/>
      <c r="AF3389" s="21"/>
    </row>
    <row r="3390" spans="24:32" x14ac:dyDescent="0.25">
      <c r="X3390" s="4"/>
      <c r="Y3390" s="4"/>
      <c r="Z3390" s="4"/>
      <c r="AA3390" s="4"/>
      <c r="AB3390" s="4"/>
      <c r="AC3390" s="7"/>
      <c r="AD3390" s="4"/>
      <c r="AE3390" s="4"/>
      <c r="AF3390" s="21"/>
    </row>
    <row r="3391" spans="24:32" x14ac:dyDescent="0.25">
      <c r="X3391" s="4"/>
      <c r="Y3391" s="4"/>
      <c r="Z3391" s="4"/>
      <c r="AA3391" s="4"/>
      <c r="AB3391" s="4"/>
      <c r="AC3391" s="7"/>
      <c r="AD3391" s="4"/>
      <c r="AE3391" s="4"/>
      <c r="AF3391" s="21"/>
    </row>
    <row r="3392" spans="24:32" x14ac:dyDescent="0.25">
      <c r="X3392" s="4"/>
      <c r="Y3392" s="4"/>
      <c r="Z3392" s="4"/>
      <c r="AA3392" s="4"/>
      <c r="AB3392" s="4"/>
      <c r="AC3392" s="7"/>
      <c r="AD3392" s="4"/>
      <c r="AE3392" s="4"/>
      <c r="AF3392" s="21"/>
    </row>
    <row r="3393" spans="24:32" x14ac:dyDescent="0.25">
      <c r="X3393" s="4"/>
      <c r="Y3393" s="4"/>
      <c r="Z3393" s="4"/>
      <c r="AA3393" s="4"/>
      <c r="AB3393" s="4"/>
      <c r="AC3393" s="7"/>
      <c r="AD3393" s="4"/>
      <c r="AE3393" s="4"/>
      <c r="AF3393" s="21"/>
    </row>
    <row r="3394" spans="24:32" x14ac:dyDescent="0.25">
      <c r="X3394" s="4"/>
      <c r="Y3394" s="4"/>
      <c r="Z3394" s="4"/>
      <c r="AA3394" s="4"/>
      <c r="AB3394" s="4"/>
      <c r="AC3394" s="7"/>
      <c r="AD3394" s="4"/>
      <c r="AE3394" s="4"/>
      <c r="AF3394" s="21"/>
    </row>
    <row r="3395" spans="24:32" x14ac:dyDescent="0.25">
      <c r="X3395" s="4"/>
      <c r="Y3395" s="4"/>
      <c r="Z3395" s="4"/>
      <c r="AA3395" s="4"/>
      <c r="AB3395" s="4"/>
      <c r="AC3395" s="7"/>
      <c r="AD3395" s="4"/>
      <c r="AE3395" s="4"/>
      <c r="AF3395" s="21"/>
    </row>
    <row r="3396" spans="24:32" x14ac:dyDescent="0.25">
      <c r="X3396" s="4"/>
      <c r="Y3396" s="4"/>
      <c r="Z3396" s="4"/>
      <c r="AA3396" s="4"/>
      <c r="AB3396" s="4"/>
      <c r="AC3396" s="7"/>
      <c r="AD3396" s="4"/>
      <c r="AE3396" s="4"/>
      <c r="AF3396" s="21"/>
    </row>
    <row r="3397" spans="24:32" x14ac:dyDescent="0.25">
      <c r="X3397" s="4"/>
      <c r="Y3397" s="4"/>
      <c r="Z3397" s="4"/>
      <c r="AA3397" s="4"/>
      <c r="AB3397" s="4"/>
      <c r="AC3397" s="7"/>
      <c r="AD3397" s="4"/>
      <c r="AE3397" s="4"/>
      <c r="AF3397" s="21"/>
    </row>
    <row r="3398" spans="24:32" x14ac:dyDescent="0.25">
      <c r="X3398" s="4"/>
      <c r="Y3398" s="4"/>
      <c r="Z3398" s="4"/>
      <c r="AA3398" s="4"/>
      <c r="AB3398" s="4"/>
      <c r="AC3398" s="7"/>
      <c r="AD3398" s="4"/>
      <c r="AE3398" s="4"/>
      <c r="AF3398" s="21"/>
    </row>
    <row r="3399" spans="24:32" x14ac:dyDescent="0.25">
      <c r="X3399" s="4"/>
      <c r="Y3399" s="4"/>
      <c r="Z3399" s="4"/>
      <c r="AA3399" s="4"/>
      <c r="AB3399" s="4"/>
      <c r="AC3399" s="7"/>
      <c r="AD3399" s="4"/>
      <c r="AE3399" s="4"/>
      <c r="AF3399" s="21"/>
    </row>
    <row r="3400" spans="24:32" x14ac:dyDescent="0.25">
      <c r="X3400" s="4"/>
      <c r="Y3400" s="4"/>
      <c r="Z3400" s="4"/>
      <c r="AA3400" s="4"/>
      <c r="AB3400" s="4"/>
      <c r="AC3400" s="7"/>
      <c r="AD3400" s="4"/>
      <c r="AE3400" s="4"/>
      <c r="AF3400" s="21"/>
    </row>
    <row r="3401" spans="24:32" x14ac:dyDescent="0.25">
      <c r="X3401" s="4"/>
      <c r="Y3401" s="4"/>
      <c r="Z3401" s="4"/>
      <c r="AA3401" s="4"/>
      <c r="AB3401" s="4"/>
      <c r="AC3401" s="7"/>
      <c r="AD3401" s="4"/>
      <c r="AE3401" s="4"/>
      <c r="AF3401" s="21"/>
    </row>
    <row r="3402" spans="24:32" x14ac:dyDescent="0.25">
      <c r="X3402" s="4"/>
      <c r="Y3402" s="4"/>
      <c r="Z3402" s="4"/>
      <c r="AA3402" s="4"/>
      <c r="AB3402" s="4"/>
      <c r="AC3402" s="7"/>
      <c r="AD3402" s="4"/>
      <c r="AE3402" s="4"/>
      <c r="AF3402" s="21"/>
    </row>
    <row r="3403" spans="24:32" x14ac:dyDescent="0.25">
      <c r="X3403" s="4"/>
      <c r="Y3403" s="4"/>
      <c r="Z3403" s="4"/>
      <c r="AA3403" s="4"/>
      <c r="AB3403" s="4"/>
      <c r="AC3403" s="7"/>
      <c r="AD3403" s="4"/>
      <c r="AE3403" s="4"/>
      <c r="AF3403" s="21"/>
    </row>
    <row r="3404" spans="24:32" x14ac:dyDescent="0.25">
      <c r="X3404" s="4"/>
      <c r="Y3404" s="4"/>
      <c r="Z3404" s="4"/>
      <c r="AA3404" s="4"/>
      <c r="AB3404" s="4"/>
      <c r="AC3404" s="7"/>
      <c r="AD3404" s="4"/>
      <c r="AE3404" s="4"/>
      <c r="AF3404" s="21"/>
    </row>
    <row r="3405" spans="24:32" x14ac:dyDescent="0.25">
      <c r="X3405" s="4"/>
      <c r="Y3405" s="4"/>
      <c r="Z3405" s="4"/>
      <c r="AA3405" s="4"/>
      <c r="AB3405" s="4"/>
      <c r="AC3405" s="7"/>
      <c r="AD3405" s="4"/>
      <c r="AE3405" s="4"/>
      <c r="AF3405" s="21"/>
    </row>
    <row r="3406" spans="24:32" x14ac:dyDescent="0.25">
      <c r="X3406" s="4"/>
      <c r="Y3406" s="4"/>
      <c r="Z3406" s="4"/>
      <c r="AA3406" s="4"/>
      <c r="AB3406" s="4"/>
      <c r="AC3406" s="7"/>
      <c r="AD3406" s="4"/>
      <c r="AE3406" s="4"/>
      <c r="AF3406" s="21"/>
    </row>
    <row r="3407" spans="24:32" x14ac:dyDescent="0.25">
      <c r="X3407" s="4"/>
      <c r="Y3407" s="4"/>
      <c r="Z3407" s="4"/>
      <c r="AA3407" s="4"/>
      <c r="AB3407" s="4"/>
      <c r="AC3407" s="7"/>
      <c r="AD3407" s="4"/>
      <c r="AE3407" s="4"/>
      <c r="AF3407" s="21"/>
    </row>
    <row r="3408" spans="24:32" x14ac:dyDescent="0.25">
      <c r="X3408" s="4"/>
      <c r="Y3408" s="4"/>
      <c r="Z3408" s="4"/>
      <c r="AA3408" s="4"/>
      <c r="AB3408" s="4"/>
      <c r="AC3408" s="7"/>
      <c r="AD3408" s="4"/>
      <c r="AE3408" s="4"/>
      <c r="AF3408" s="21"/>
    </row>
    <row r="3409" spans="24:32" x14ac:dyDescent="0.25">
      <c r="X3409" s="4"/>
      <c r="Y3409" s="4"/>
      <c r="Z3409" s="4"/>
      <c r="AA3409" s="4"/>
      <c r="AB3409" s="4"/>
      <c r="AC3409" s="7"/>
      <c r="AD3409" s="4"/>
      <c r="AE3409" s="4"/>
      <c r="AF3409" s="21"/>
    </row>
    <row r="3410" spans="24:32" x14ac:dyDescent="0.25">
      <c r="X3410" s="4"/>
      <c r="Y3410" s="4"/>
      <c r="Z3410" s="4"/>
      <c r="AA3410" s="4"/>
      <c r="AB3410" s="4"/>
      <c r="AC3410" s="7"/>
      <c r="AD3410" s="4"/>
      <c r="AE3410" s="4"/>
      <c r="AF3410" s="21"/>
    </row>
    <row r="3411" spans="24:32" x14ac:dyDescent="0.25">
      <c r="X3411" s="4"/>
      <c r="Y3411" s="4"/>
      <c r="Z3411" s="4"/>
      <c r="AA3411" s="4"/>
      <c r="AB3411" s="4"/>
      <c r="AC3411" s="7"/>
      <c r="AD3411" s="4"/>
      <c r="AE3411" s="4"/>
      <c r="AF3411" s="21"/>
    </row>
    <row r="3412" spans="24:32" x14ac:dyDescent="0.25">
      <c r="X3412" s="4"/>
      <c r="Y3412" s="4"/>
      <c r="Z3412" s="4"/>
      <c r="AA3412" s="4"/>
      <c r="AB3412" s="4"/>
      <c r="AC3412" s="7"/>
      <c r="AD3412" s="4"/>
      <c r="AE3412" s="4"/>
      <c r="AF3412" s="21"/>
    </row>
    <row r="3413" spans="24:32" x14ac:dyDescent="0.25">
      <c r="X3413" s="4"/>
      <c r="Y3413" s="4"/>
      <c r="Z3413" s="4"/>
      <c r="AA3413" s="4"/>
      <c r="AB3413" s="4"/>
      <c r="AC3413" s="7"/>
      <c r="AD3413" s="4"/>
      <c r="AE3413" s="4"/>
      <c r="AF3413" s="21"/>
    </row>
    <row r="3414" spans="24:32" x14ac:dyDescent="0.25">
      <c r="X3414" s="4"/>
      <c r="Y3414" s="4"/>
      <c r="Z3414" s="4"/>
      <c r="AA3414" s="4"/>
      <c r="AB3414" s="4"/>
      <c r="AC3414" s="7"/>
      <c r="AD3414" s="4"/>
      <c r="AE3414" s="4"/>
      <c r="AF3414" s="21"/>
    </row>
    <row r="3415" spans="24:32" x14ac:dyDescent="0.25">
      <c r="X3415" s="4"/>
      <c r="Y3415" s="4"/>
      <c r="Z3415" s="4"/>
      <c r="AA3415" s="4"/>
      <c r="AB3415" s="4"/>
      <c r="AC3415" s="7"/>
      <c r="AD3415" s="4"/>
      <c r="AE3415" s="4"/>
      <c r="AF3415" s="21"/>
    </row>
    <row r="3416" spans="24:32" x14ac:dyDescent="0.25">
      <c r="X3416" s="4"/>
      <c r="Y3416" s="4"/>
      <c r="Z3416" s="4"/>
      <c r="AA3416" s="4"/>
      <c r="AB3416" s="4"/>
      <c r="AC3416" s="7"/>
      <c r="AD3416" s="4"/>
      <c r="AE3416" s="4"/>
      <c r="AF3416" s="21"/>
    </row>
    <row r="3417" spans="24:32" x14ac:dyDescent="0.25">
      <c r="X3417" s="4"/>
      <c r="Y3417" s="4"/>
      <c r="Z3417" s="4"/>
      <c r="AA3417" s="4"/>
      <c r="AB3417" s="4"/>
      <c r="AC3417" s="7"/>
      <c r="AD3417" s="4"/>
      <c r="AE3417" s="4"/>
      <c r="AF3417" s="21"/>
    </row>
    <row r="3418" spans="24:32" x14ac:dyDescent="0.25">
      <c r="X3418" s="4"/>
      <c r="Y3418" s="4"/>
      <c r="Z3418" s="4"/>
      <c r="AA3418" s="4"/>
      <c r="AB3418" s="4"/>
      <c r="AC3418" s="7"/>
      <c r="AD3418" s="4"/>
      <c r="AE3418" s="4"/>
      <c r="AF3418" s="21"/>
    </row>
    <row r="3419" spans="24:32" x14ac:dyDescent="0.25">
      <c r="X3419" s="4"/>
      <c r="Y3419" s="4"/>
      <c r="Z3419" s="4"/>
      <c r="AA3419" s="4"/>
      <c r="AB3419" s="4"/>
      <c r="AC3419" s="7"/>
      <c r="AD3419" s="4"/>
      <c r="AE3419" s="4"/>
      <c r="AF3419" s="21"/>
    </row>
    <row r="3420" spans="24:32" x14ac:dyDescent="0.25">
      <c r="X3420" s="4"/>
      <c r="Y3420" s="4"/>
      <c r="Z3420" s="4"/>
      <c r="AA3420" s="4"/>
      <c r="AB3420" s="4"/>
      <c r="AC3420" s="7"/>
      <c r="AD3420" s="4"/>
      <c r="AE3420" s="4"/>
      <c r="AF3420" s="21"/>
    </row>
    <row r="3421" spans="24:32" x14ac:dyDescent="0.25">
      <c r="X3421" s="4"/>
      <c r="Y3421" s="4"/>
      <c r="Z3421" s="4"/>
      <c r="AA3421" s="4"/>
      <c r="AB3421" s="4"/>
      <c r="AC3421" s="7"/>
      <c r="AD3421" s="4"/>
      <c r="AE3421" s="4"/>
      <c r="AF3421" s="21"/>
    </row>
    <row r="3422" spans="24:32" x14ac:dyDescent="0.25">
      <c r="X3422" s="4"/>
      <c r="Y3422" s="4"/>
      <c r="Z3422" s="4"/>
      <c r="AA3422" s="4"/>
      <c r="AB3422" s="4"/>
      <c r="AC3422" s="7"/>
      <c r="AD3422" s="4"/>
      <c r="AE3422" s="4"/>
      <c r="AF3422" s="21"/>
    </row>
    <row r="3423" spans="24:32" x14ac:dyDescent="0.25">
      <c r="X3423" s="4"/>
      <c r="Y3423" s="4"/>
      <c r="Z3423" s="4"/>
      <c r="AA3423" s="4"/>
      <c r="AB3423" s="4"/>
      <c r="AC3423" s="7"/>
      <c r="AD3423" s="4"/>
      <c r="AE3423" s="4"/>
      <c r="AF3423" s="21"/>
    </row>
    <row r="3424" spans="24:32" x14ac:dyDescent="0.25">
      <c r="X3424" s="4"/>
      <c r="Y3424" s="4"/>
      <c r="Z3424" s="4"/>
      <c r="AA3424" s="4"/>
      <c r="AB3424" s="4"/>
      <c r="AC3424" s="7"/>
      <c r="AD3424" s="4"/>
      <c r="AE3424" s="4"/>
      <c r="AF3424" s="21"/>
    </row>
    <row r="3425" spans="24:32" x14ac:dyDescent="0.25">
      <c r="X3425" s="4"/>
      <c r="Y3425" s="4"/>
      <c r="Z3425" s="4"/>
      <c r="AA3425" s="4"/>
      <c r="AB3425" s="4"/>
      <c r="AC3425" s="7"/>
      <c r="AD3425" s="4"/>
      <c r="AE3425" s="4"/>
      <c r="AF3425" s="21"/>
    </row>
    <row r="3426" spans="24:32" x14ac:dyDescent="0.25">
      <c r="X3426" s="4"/>
      <c r="Y3426" s="4"/>
      <c r="Z3426" s="4"/>
      <c r="AA3426" s="4"/>
      <c r="AB3426" s="4"/>
      <c r="AC3426" s="7"/>
      <c r="AD3426" s="4"/>
      <c r="AE3426" s="4"/>
      <c r="AF3426" s="21"/>
    </row>
    <row r="3427" spans="24:32" x14ac:dyDescent="0.25">
      <c r="X3427" s="4"/>
      <c r="Y3427" s="4"/>
      <c r="Z3427" s="4"/>
      <c r="AA3427" s="4"/>
      <c r="AB3427" s="4"/>
      <c r="AC3427" s="7"/>
      <c r="AD3427" s="4"/>
      <c r="AE3427" s="4"/>
      <c r="AF3427" s="21"/>
    </row>
    <row r="3428" spans="24:32" x14ac:dyDescent="0.25">
      <c r="X3428" s="4"/>
      <c r="Y3428" s="4"/>
      <c r="Z3428" s="4"/>
      <c r="AA3428" s="4"/>
      <c r="AB3428" s="4"/>
      <c r="AC3428" s="7"/>
      <c r="AD3428" s="4"/>
      <c r="AE3428" s="4"/>
      <c r="AF3428" s="21"/>
    </row>
    <row r="3429" spans="24:32" x14ac:dyDescent="0.25">
      <c r="X3429" s="4"/>
      <c r="Y3429" s="4"/>
      <c r="Z3429" s="4"/>
      <c r="AA3429" s="4"/>
      <c r="AB3429" s="4"/>
      <c r="AC3429" s="7"/>
      <c r="AD3429" s="4"/>
      <c r="AE3429" s="4"/>
      <c r="AF3429" s="21"/>
    </row>
    <row r="3430" spans="24:32" x14ac:dyDescent="0.25">
      <c r="X3430" s="4"/>
      <c r="Y3430" s="4"/>
      <c r="Z3430" s="4"/>
      <c r="AA3430" s="4"/>
      <c r="AB3430" s="4"/>
      <c r="AC3430" s="7"/>
      <c r="AD3430" s="4"/>
      <c r="AE3430" s="4"/>
      <c r="AF3430" s="21"/>
    </row>
    <row r="3431" spans="24:32" x14ac:dyDescent="0.25">
      <c r="X3431" s="4"/>
      <c r="Y3431" s="4"/>
      <c r="Z3431" s="4"/>
      <c r="AA3431" s="4"/>
      <c r="AB3431" s="4"/>
      <c r="AC3431" s="7"/>
      <c r="AD3431" s="4"/>
      <c r="AE3431" s="4"/>
      <c r="AF3431" s="21"/>
    </row>
    <row r="3432" spans="24:32" x14ac:dyDescent="0.25">
      <c r="X3432" s="4"/>
      <c r="Y3432" s="4"/>
      <c r="Z3432" s="4"/>
      <c r="AA3432" s="4"/>
      <c r="AB3432" s="4"/>
      <c r="AC3432" s="7"/>
      <c r="AD3432" s="4"/>
      <c r="AE3432" s="4"/>
      <c r="AF3432" s="21"/>
    </row>
    <row r="3433" spans="24:32" x14ac:dyDescent="0.25">
      <c r="X3433" s="4"/>
      <c r="Y3433" s="4"/>
      <c r="Z3433" s="4"/>
      <c r="AA3433" s="4"/>
      <c r="AB3433" s="4"/>
      <c r="AC3433" s="7"/>
      <c r="AD3433" s="4"/>
      <c r="AE3433" s="4"/>
      <c r="AF3433" s="21"/>
    </row>
    <row r="3434" spans="24:32" x14ac:dyDescent="0.25">
      <c r="X3434" s="4"/>
      <c r="Y3434" s="4"/>
      <c r="Z3434" s="4"/>
      <c r="AA3434" s="4"/>
      <c r="AB3434" s="4"/>
      <c r="AC3434" s="7"/>
      <c r="AD3434" s="4"/>
      <c r="AE3434" s="4"/>
      <c r="AF3434" s="21"/>
    </row>
    <row r="3435" spans="24:32" x14ac:dyDescent="0.25">
      <c r="X3435" s="4"/>
      <c r="Y3435" s="4"/>
      <c r="Z3435" s="4"/>
      <c r="AA3435" s="4"/>
      <c r="AB3435" s="4"/>
      <c r="AC3435" s="7"/>
      <c r="AD3435" s="4"/>
      <c r="AE3435" s="4"/>
      <c r="AF3435" s="21"/>
    </row>
    <row r="3436" spans="24:32" x14ac:dyDescent="0.25">
      <c r="X3436" s="4"/>
      <c r="Y3436" s="4"/>
      <c r="Z3436" s="4"/>
      <c r="AA3436" s="4"/>
      <c r="AB3436" s="4"/>
      <c r="AC3436" s="7"/>
      <c r="AD3436" s="4"/>
      <c r="AE3436" s="4"/>
      <c r="AF3436" s="21"/>
    </row>
    <row r="3437" spans="24:32" x14ac:dyDescent="0.25">
      <c r="X3437" s="4"/>
      <c r="Y3437" s="4"/>
      <c r="Z3437" s="4"/>
      <c r="AA3437" s="4"/>
      <c r="AB3437" s="4"/>
      <c r="AC3437" s="7"/>
      <c r="AD3437" s="4"/>
      <c r="AE3437" s="4"/>
      <c r="AF3437" s="21"/>
    </row>
    <row r="3438" spans="24:32" x14ac:dyDescent="0.25">
      <c r="X3438" s="4"/>
      <c r="Y3438" s="4"/>
      <c r="Z3438" s="4"/>
      <c r="AA3438" s="4"/>
      <c r="AB3438" s="4"/>
      <c r="AC3438" s="7"/>
      <c r="AD3438" s="4"/>
      <c r="AE3438" s="4"/>
      <c r="AF3438" s="21"/>
    </row>
    <row r="3439" spans="24:32" x14ac:dyDescent="0.25">
      <c r="X3439" s="4"/>
      <c r="Y3439" s="4"/>
      <c r="Z3439" s="4"/>
      <c r="AA3439" s="4"/>
      <c r="AB3439" s="4"/>
      <c r="AC3439" s="7"/>
      <c r="AD3439" s="4"/>
      <c r="AE3439" s="4"/>
      <c r="AF3439" s="21"/>
    </row>
    <row r="3440" spans="24:32" x14ac:dyDescent="0.25">
      <c r="X3440" s="4"/>
      <c r="Y3440" s="4"/>
      <c r="Z3440" s="4"/>
      <c r="AA3440" s="4"/>
      <c r="AB3440" s="4"/>
      <c r="AC3440" s="7"/>
      <c r="AD3440" s="4"/>
      <c r="AE3440" s="4"/>
      <c r="AF3440" s="21"/>
    </row>
    <row r="3441" spans="24:32" x14ac:dyDescent="0.25">
      <c r="X3441" s="4"/>
      <c r="Y3441" s="4"/>
      <c r="Z3441" s="4"/>
      <c r="AA3441" s="4"/>
      <c r="AB3441" s="4"/>
      <c r="AC3441" s="7"/>
      <c r="AD3441" s="4"/>
      <c r="AE3441" s="4"/>
      <c r="AF3441" s="21"/>
    </row>
    <row r="3442" spans="24:32" x14ac:dyDescent="0.25">
      <c r="X3442" s="4"/>
      <c r="Y3442" s="4"/>
      <c r="Z3442" s="4"/>
      <c r="AA3442" s="4"/>
      <c r="AB3442" s="4"/>
      <c r="AC3442" s="7"/>
      <c r="AD3442" s="4"/>
      <c r="AE3442" s="4"/>
      <c r="AF3442" s="21"/>
    </row>
    <row r="3443" spans="24:32" x14ac:dyDescent="0.25">
      <c r="X3443" s="4"/>
      <c r="Y3443" s="4"/>
      <c r="Z3443" s="4"/>
      <c r="AA3443" s="4"/>
      <c r="AB3443" s="4"/>
      <c r="AC3443" s="7"/>
      <c r="AD3443" s="4"/>
      <c r="AE3443" s="4"/>
      <c r="AF3443" s="21"/>
    </row>
    <row r="3444" spans="24:32" x14ac:dyDescent="0.25">
      <c r="X3444" s="4"/>
      <c r="Y3444" s="4"/>
      <c r="Z3444" s="4"/>
      <c r="AA3444" s="4"/>
      <c r="AB3444" s="4"/>
      <c r="AC3444" s="7"/>
      <c r="AD3444" s="4"/>
      <c r="AE3444" s="4"/>
      <c r="AF3444" s="21"/>
    </row>
    <row r="3445" spans="24:32" x14ac:dyDescent="0.25">
      <c r="X3445" s="4"/>
      <c r="Y3445" s="4"/>
      <c r="Z3445" s="4"/>
      <c r="AA3445" s="4"/>
      <c r="AB3445" s="4"/>
      <c r="AC3445" s="7"/>
      <c r="AD3445" s="4"/>
      <c r="AE3445" s="4"/>
      <c r="AF3445" s="21"/>
    </row>
    <row r="3446" spans="24:32" x14ac:dyDescent="0.25">
      <c r="X3446" s="4"/>
      <c r="Y3446" s="4"/>
      <c r="Z3446" s="4"/>
      <c r="AA3446" s="4"/>
      <c r="AB3446" s="4"/>
      <c r="AC3446" s="7"/>
      <c r="AD3446" s="4"/>
      <c r="AE3446" s="4"/>
      <c r="AF3446" s="21"/>
    </row>
    <row r="3447" spans="24:32" x14ac:dyDescent="0.25">
      <c r="X3447" s="4"/>
      <c r="Y3447" s="4"/>
      <c r="Z3447" s="4"/>
      <c r="AA3447" s="4"/>
      <c r="AB3447" s="4"/>
      <c r="AC3447" s="7"/>
      <c r="AD3447" s="4"/>
      <c r="AE3447" s="4"/>
      <c r="AF3447" s="21"/>
    </row>
    <row r="3448" spans="24:32" x14ac:dyDescent="0.25">
      <c r="X3448" s="4"/>
      <c r="Y3448" s="4"/>
      <c r="Z3448" s="4"/>
      <c r="AA3448" s="4"/>
      <c r="AB3448" s="4"/>
      <c r="AC3448" s="7"/>
      <c r="AD3448" s="4"/>
      <c r="AE3448" s="4"/>
      <c r="AF3448" s="21"/>
    </row>
    <row r="3449" spans="24:32" x14ac:dyDescent="0.25">
      <c r="X3449" s="4"/>
      <c r="Y3449" s="4"/>
      <c r="Z3449" s="4"/>
      <c r="AA3449" s="4"/>
      <c r="AB3449" s="4"/>
      <c r="AC3449" s="7"/>
      <c r="AD3449" s="4"/>
      <c r="AE3449" s="4"/>
      <c r="AF3449" s="21"/>
    </row>
    <row r="3450" spans="24:32" x14ac:dyDescent="0.25">
      <c r="X3450" s="4"/>
      <c r="Y3450" s="4"/>
      <c r="Z3450" s="4"/>
      <c r="AA3450" s="4"/>
      <c r="AB3450" s="4"/>
      <c r="AC3450" s="7"/>
      <c r="AD3450" s="4"/>
      <c r="AE3450" s="4"/>
      <c r="AF3450" s="21"/>
    </row>
    <row r="3451" spans="24:32" x14ac:dyDescent="0.25">
      <c r="X3451" s="4"/>
      <c r="Y3451" s="4"/>
      <c r="Z3451" s="4"/>
      <c r="AA3451" s="4"/>
      <c r="AB3451" s="4"/>
      <c r="AC3451" s="7"/>
      <c r="AD3451" s="4"/>
      <c r="AE3451" s="4"/>
      <c r="AF3451" s="21"/>
    </row>
    <row r="3452" spans="24:32" x14ac:dyDescent="0.25">
      <c r="X3452" s="4"/>
      <c r="Y3452" s="4"/>
      <c r="Z3452" s="4"/>
      <c r="AA3452" s="4"/>
      <c r="AB3452" s="4"/>
      <c r="AC3452" s="7"/>
      <c r="AD3452" s="4"/>
      <c r="AE3452" s="4"/>
      <c r="AF3452" s="21"/>
    </row>
    <row r="3453" spans="24:32" x14ac:dyDescent="0.25">
      <c r="X3453" s="4"/>
      <c r="Y3453" s="4"/>
      <c r="Z3453" s="4"/>
      <c r="AA3453" s="4"/>
      <c r="AB3453" s="4"/>
      <c r="AC3453" s="7"/>
      <c r="AD3453" s="4"/>
      <c r="AE3453" s="4"/>
      <c r="AF3453" s="21"/>
    </row>
    <row r="3454" spans="24:32" x14ac:dyDescent="0.25">
      <c r="X3454" s="4"/>
      <c r="Y3454" s="4"/>
      <c r="Z3454" s="4"/>
      <c r="AA3454" s="4"/>
      <c r="AB3454" s="4"/>
      <c r="AC3454" s="7"/>
      <c r="AD3454" s="4"/>
      <c r="AE3454" s="4"/>
      <c r="AF3454" s="21"/>
    </row>
    <row r="3455" spans="24:32" x14ac:dyDescent="0.25">
      <c r="X3455" s="4"/>
      <c r="Y3455" s="4"/>
      <c r="Z3455" s="4"/>
      <c r="AA3455" s="4"/>
      <c r="AB3455" s="4"/>
      <c r="AC3455" s="7"/>
      <c r="AD3455" s="4"/>
      <c r="AE3455" s="4"/>
      <c r="AF3455" s="21"/>
    </row>
    <row r="3456" spans="24:32" x14ac:dyDescent="0.25">
      <c r="X3456" s="4"/>
      <c r="Y3456" s="4"/>
      <c r="Z3456" s="4"/>
      <c r="AA3456" s="4"/>
      <c r="AB3456" s="4"/>
      <c r="AC3456" s="7"/>
      <c r="AD3456" s="4"/>
      <c r="AE3456" s="4"/>
      <c r="AF3456" s="21"/>
    </row>
    <row r="3457" spans="24:32" x14ac:dyDescent="0.25">
      <c r="X3457" s="4"/>
      <c r="Y3457" s="4"/>
      <c r="Z3457" s="4"/>
      <c r="AA3457" s="4"/>
      <c r="AB3457" s="4"/>
      <c r="AC3457" s="7"/>
      <c r="AD3457" s="4"/>
      <c r="AE3457" s="4"/>
      <c r="AF3457" s="21"/>
    </row>
    <row r="3458" spans="24:32" x14ac:dyDescent="0.25">
      <c r="X3458" s="4"/>
      <c r="Y3458" s="4"/>
      <c r="Z3458" s="4"/>
      <c r="AA3458" s="4"/>
      <c r="AB3458" s="4"/>
      <c r="AC3458" s="7"/>
      <c r="AD3458" s="4"/>
      <c r="AE3458" s="4"/>
      <c r="AF3458" s="21"/>
    </row>
    <row r="3459" spans="24:32" x14ac:dyDescent="0.25">
      <c r="X3459" s="4"/>
      <c r="Y3459" s="4"/>
      <c r="Z3459" s="4"/>
      <c r="AA3459" s="4"/>
      <c r="AB3459" s="4"/>
      <c r="AC3459" s="7"/>
      <c r="AD3459" s="4"/>
      <c r="AE3459" s="4"/>
      <c r="AF3459" s="21"/>
    </row>
    <row r="3460" spans="24:32" x14ac:dyDescent="0.25">
      <c r="X3460" s="4"/>
      <c r="Y3460" s="4"/>
      <c r="Z3460" s="4"/>
      <c r="AA3460" s="4"/>
      <c r="AB3460" s="4"/>
      <c r="AC3460" s="7"/>
      <c r="AD3460" s="4"/>
      <c r="AE3460" s="4"/>
      <c r="AF3460" s="21"/>
    </row>
    <row r="3461" spans="24:32" x14ac:dyDescent="0.25">
      <c r="X3461" s="4"/>
      <c r="Y3461" s="4"/>
      <c r="Z3461" s="4"/>
      <c r="AA3461" s="4"/>
      <c r="AB3461" s="4"/>
      <c r="AC3461" s="7"/>
      <c r="AD3461" s="4"/>
      <c r="AE3461" s="4"/>
      <c r="AF3461" s="21"/>
    </row>
    <row r="3462" spans="24:32" x14ac:dyDescent="0.25">
      <c r="X3462" s="4"/>
      <c r="Y3462" s="4"/>
      <c r="Z3462" s="4"/>
      <c r="AA3462" s="4"/>
      <c r="AB3462" s="4"/>
      <c r="AC3462" s="7"/>
      <c r="AD3462" s="4"/>
      <c r="AE3462" s="4"/>
      <c r="AF3462" s="21"/>
    </row>
    <row r="3463" spans="24:32" x14ac:dyDescent="0.25">
      <c r="X3463" s="4"/>
      <c r="Y3463" s="4"/>
      <c r="Z3463" s="4"/>
      <c r="AA3463" s="4"/>
      <c r="AB3463" s="4"/>
      <c r="AC3463" s="7"/>
      <c r="AD3463" s="4"/>
      <c r="AE3463" s="4"/>
      <c r="AF3463" s="21"/>
    </row>
    <row r="3464" spans="24:32" x14ac:dyDescent="0.25">
      <c r="X3464" s="4"/>
      <c r="Y3464" s="4"/>
      <c r="Z3464" s="4"/>
      <c r="AA3464" s="4"/>
      <c r="AB3464" s="4"/>
      <c r="AC3464" s="7"/>
      <c r="AD3464" s="4"/>
      <c r="AE3464" s="4"/>
      <c r="AF3464" s="21"/>
    </row>
    <row r="3465" spans="24:32" x14ac:dyDescent="0.25">
      <c r="X3465" s="4"/>
      <c r="Y3465" s="4"/>
      <c r="Z3465" s="4"/>
      <c r="AA3465" s="4"/>
      <c r="AB3465" s="4"/>
      <c r="AC3465" s="7"/>
      <c r="AD3465" s="4"/>
      <c r="AE3465" s="4"/>
      <c r="AF3465" s="21"/>
    </row>
    <row r="3466" spans="24:32" x14ac:dyDescent="0.25">
      <c r="X3466" s="4"/>
      <c r="Y3466" s="4"/>
      <c r="Z3466" s="4"/>
      <c r="AA3466" s="4"/>
      <c r="AB3466" s="4"/>
      <c r="AC3466" s="7"/>
      <c r="AD3466" s="4"/>
      <c r="AE3466" s="4"/>
      <c r="AF3466" s="21"/>
    </row>
    <row r="3467" spans="24:32" x14ac:dyDescent="0.25">
      <c r="X3467" s="4"/>
      <c r="Y3467" s="4"/>
      <c r="Z3467" s="4"/>
      <c r="AA3467" s="4"/>
      <c r="AB3467" s="4"/>
      <c r="AC3467" s="7"/>
      <c r="AD3467" s="4"/>
      <c r="AE3467" s="4"/>
      <c r="AF3467" s="21"/>
    </row>
    <row r="3468" spans="24:32" x14ac:dyDescent="0.25">
      <c r="X3468" s="4"/>
      <c r="Y3468" s="4"/>
      <c r="Z3468" s="4"/>
      <c r="AA3468" s="4"/>
      <c r="AB3468" s="4"/>
      <c r="AC3468" s="7"/>
      <c r="AD3468" s="4"/>
      <c r="AE3468" s="4"/>
      <c r="AF3468" s="21"/>
    </row>
    <row r="3469" spans="24:32" x14ac:dyDescent="0.25">
      <c r="X3469" s="4"/>
      <c r="Y3469" s="4"/>
      <c r="Z3469" s="4"/>
      <c r="AA3469" s="4"/>
      <c r="AB3469" s="4"/>
      <c r="AC3469" s="7"/>
      <c r="AD3469" s="4"/>
      <c r="AE3469" s="4"/>
      <c r="AF3469" s="21"/>
    </row>
    <row r="3470" spans="24:32" x14ac:dyDescent="0.25">
      <c r="X3470" s="4"/>
      <c r="Y3470" s="4"/>
      <c r="Z3470" s="4"/>
      <c r="AA3470" s="4"/>
      <c r="AB3470" s="4"/>
      <c r="AC3470" s="7"/>
      <c r="AD3470" s="4"/>
      <c r="AE3470" s="4"/>
      <c r="AF3470" s="21"/>
    </row>
    <row r="3471" spans="24:32" x14ac:dyDescent="0.25">
      <c r="X3471" s="4"/>
      <c r="Y3471" s="4"/>
      <c r="Z3471" s="4"/>
      <c r="AA3471" s="4"/>
      <c r="AB3471" s="4"/>
      <c r="AC3471" s="7"/>
      <c r="AD3471" s="4"/>
      <c r="AE3471" s="4"/>
      <c r="AF3471" s="21"/>
    </row>
    <row r="3472" spans="24:32" x14ac:dyDescent="0.25">
      <c r="X3472" s="4"/>
      <c r="Y3472" s="4"/>
      <c r="Z3472" s="4"/>
      <c r="AA3472" s="4"/>
      <c r="AB3472" s="4"/>
      <c r="AC3472" s="7"/>
      <c r="AD3472" s="4"/>
      <c r="AE3472" s="4"/>
      <c r="AF3472" s="21"/>
    </row>
    <row r="3473" spans="24:32" x14ac:dyDescent="0.25">
      <c r="X3473" s="4"/>
      <c r="Y3473" s="4"/>
      <c r="Z3473" s="4"/>
      <c r="AA3473" s="4"/>
      <c r="AB3473" s="4"/>
      <c r="AC3473" s="7"/>
      <c r="AD3473" s="4"/>
      <c r="AE3473" s="4"/>
      <c r="AF3473" s="21"/>
    </row>
    <row r="3474" spans="24:32" x14ac:dyDescent="0.25">
      <c r="X3474" s="4"/>
      <c r="Y3474" s="4"/>
      <c r="Z3474" s="4"/>
      <c r="AA3474" s="4"/>
      <c r="AB3474" s="4"/>
      <c r="AC3474" s="7"/>
      <c r="AD3474" s="4"/>
      <c r="AE3474" s="4"/>
      <c r="AF3474" s="21"/>
    </row>
    <row r="3475" spans="24:32" x14ac:dyDescent="0.25">
      <c r="X3475" s="4"/>
      <c r="Y3475" s="4"/>
      <c r="Z3475" s="4"/>
      <c r="AA3475" s="4"/>
      <c r="AB3475" s="4"/>
      <c r="AC3475" s="7"/>
      <c r="AD3475" s="4"/>
      <c r="AE3475" s="4"/>
      <c r="AF3475" s="21"/>
    </row>
    <row r="3476" spans="24:32" x14ac:dyDescent="0.25">
      <c r="X3476" s="4"/>
      <c r="Y3476" s="4"/>
      <c r="Z3476" s="4"/>
      <c r="AA3476" s="4"/>
      <c r="AB3476" s="4"/>
      <c r="AC3476" s="7"/>
      <c r="AD3476" s="4"/>
      <c r="AE3476" s="4"/>
      <c r="AF3476" s="21"/>
    </row>
    <row r="3477" spans="24:32" x14ac:dyDescent="0.25">
      <c r="X3477" s="4"/>
      <c r="Y3477" s="4"/>
      <c r="Z3477" s="4"/>
      <c r="AA3477" s="4"/>
      <c r="AB3477" s="4"/>
      <c r="AC3477" s="7"/>
      <c r="AD3477" s="4"/>
      <c r="AE3477" s="4"/>
      <c r="AF3477" s="21"/>
    </row>
    <row r="3478" spans="24:32" x14ac:dyDescent="0.25">
      <c r="X3478" s="4"/>
      <c r="Y3478" s="4"/>
      <c r="Z3478" s="4"/>
      <c r="AA3478" s="4"/>
      <c r="AB3478" s="4"/>
      <c r="AC3478" s="7"/>
      <c r="AD3478" s="4"/>
      <c r="AE3478" s="4"/>
      <c r="AF3478" s="21"/>
    </row>
    <row r="3479" spans="24:32" x14ac:dyDescent="0.25">
      <c r="X3479" s="4"/>
      <c r="Y3479" s="4"/>
      <c r="Z3479" s="4"/>
      <c r="AA3479" s="4"/>
      <c r="AB3479" s="4"/>
      <c r="AC3479" s="7"/>
      <c r="AD3479" s="4"/>
      <c r="AE3479" s="4"/>
      <c r="AF3479" s="21"/>
    </row>
    <row r="3480" spans="24:32" x14ac:dyDescent="0.25">
      <c r="X3480" s="4"/>
      <c r="Y3480" s="4"/>
      <c r="Z3480" s="4"/>
      <c r="AA3480" s="4"/>
      <c r="AB3480" s="4"/>
      <c r="AC3480" s="7"/>
      <c r="AD3480" s="4"/>
      <c r="AE3480" s="4"/>
      <c r="AF3480" s="21"/>
    </row>
    <row r="3481" spans="24:32" x14ac:dyDescent="0.25">
      <c r="X3481" s="4"/>
      <c r="Y3481" s="4"/>
      <c r="Z3481" s="4"/>
      <c r="AA3481" s="4"/>
      <c r="AB3481" s="4"/>
      <c r="AC3481" s="7"/>
      <c r="AD3481" s="4"/>
      <c r="AE3481" s="4"/>
      <c r="AF3481" s="21"/>
    </row>
    <row r="3482" spans="24:32" x14ac:dyDescent="0.25">
      <c r="X3482" s="4"/>
      <c r="Y3482" s="4"/>
      <c r="Z3482" s="4"/>
      <c r="AA3482" s="4"/>
      <c r="AB3482" s="4"/>
      <c r="AC3482" s="7"/>
      <c r="AD3482" s="4"/>
      <c r="AE3482" s="4"/>
      <c r="AF3482" s="21"/>
    </row>
    <row r="3483" spans="24:32" x14ac:dyDescent="0.25">
      <c r="X3483" s="4"/>
      <c r="Y3483" s="4"/>
      <c r="Z3483" s="4"/>
      <c r="AA3483" s="4"/>
      <c r="AB3483" s="4"/>
      <c r="AC3483" s="7"/>
      <c r="AD3483" s="4"/>
      <c r="AE3483" s="4"/>
      <c r="AF3483" s="21"/>
    </row>
    <row r="3484" spans="24:32" x14ac:dyDescent="0.25">
      <c r="X3484" s="4"/>
      <c r="Y3484" s="4"/>
      <c r="Z3484" s="4"/>
      <c r="AA3484" s="4"/>
      <c r="AB3484" s="4"/>
      <c r="AC3484" s="7"/>
      <c r="AD3484" s="4"/>
      <c r="AE3484" s="4"/>
      <c r="AF3484" s="21"/>
    </row>
    <row r="3485" spans="24:32" x14ac:dyDescent="0.25">
      <c r="X3485" s="4"/>
      <c r="Y3485" s="4"/>
      <c r="Z3485" s="4"/>
      <c r="AA3485" s="4"/>
      <c r="AB3485" s="4"/>
      <c r="AC3485" s="7"/>
      <c r="AD3485" s="4"/>
      <c r="AE3485" s="4"/>
      <c r="AF3485" s="21"/>
    </row>
    <row r="3486" spans="24:32" x14ac:dyDescent="0.25">
      <c r="X3486" s="4"/>
      <c r="Y3486" s="4"/>
      <c r="Z3486" s="4"/>
      <c r="AA3486" s="4"/>
      <c r="AB3486" s="4"/>
      <c r="AC3486" s="7"/>
      <c r="AD3486" s="4"/>
      <c r="AE3486" s="4"/>
      <c r="AF3486" s="21"/>
    </row>
    <row r="3487" spans="24:32" x14ac:dyDescent="0.25">
      <c r="X3487" s="4"/>
      <c r="Y3487" s="4"/>
      <c r="Z3487" s="4"/>
      <c r="AA3487" s="4"/>
      <c r="AB3487" s="4"/>
      <c r="AC3487" s="7"/>
      <c r="AD3487" s="4"/>
      <c r="AE3487" s="4"/>
      <c r="AF3487" s="21"/>
    </row>
    <row r="3488" spans="24:32" x14ac:dyDescent="0.25">
      <c r="X3488" s="4"/>
      <c r="Y3488" s="4"/>
      <c r="Z3488" s="4"/>
      <c r="AA3488" s="4"/>
      <c r="AB3488" s="4"/>
      <c r="AC3488" s="7"/>
      <c r="AD3488" s="4"/>
      <c r="AE3488" s="4"/>
      <c r="AF3488" s="21"/>
    </row>
    <row r="3489" spans="24:32" x14ac:dyDescent="0.25">
      <c r="X3489" s="4"/>
      <c r="Y3489" s="4"/>
      <c r="Z3489" s="4"/>
      <c r="AA3489" s="4"/>
      <c r="AB3489" s="4"/>
      <c r="AC3489" s="7"/>
      <c r="AD3489" s="4"/>
      <c r="AE3489" s="4"/>
      <c r="AF3489" s="21"/>
    </row>
    <row r="3490" spans="24:32" x14ac:dyDescent="0.25">
      <c r="X3490" s="4"/>
      <c r="Y3490" s="4"/>
      <c r="Z3490" s="4"/>
      <c r="AA3490" s="4"/>
      <c r="AB3490" s="4"/>
      <c r="AC3490" s="7"/>
      <c r="AD3490" s="4"/>
      <c r="AE3490" s="4"/>
      <c r="AF3490" s="21"/>
    </row>
    <row r="3491" spans="24:32" x14ac:dyDescent="0.25">
      <c r="X3491" s="4"/>
      <c r="Y3491" s="4"/>
      <c r="Z3491" s="4"/>
      <c r="AA3491" s="4"/>
      <c r="AB3491" s="4"/>
      <c r="AC3491" s="7"/>
      <c r="AD3491" s="4"/>
      <c r="AE3491" s="4"/>
      <c r="AF3491" s="21"/>
    </row>
    <row r="3492" spans="24:32" x14ac:dyDescent="0.25">
      <c r="X3492" s="4"/>
      <c r="Y3492" s="4"/>
      <c r="Z3492" s="4"/>
      <c r="AA3492" s="4"/>
      <c r="AB3492" s="4"/>
      <c r="AC3492" s="7"/>
      <c r="AD3492" s="4"/>
      <c r="AE3492" s="4"/>
      <c r="AF3492" s="21"/>
    </row>
    <row r="3493" spans="24:32" x14ac:dyDescent="0.25">
      <c r="X3493" s="4"/>
      <c r="Y3493" s="4"/>
      <c r="Z3493" s="4"/>
      <c r="AA3493" s="4"/>
      <c r="AB3493" s="4"/>
      <c r="AC3493" s="7"/>
      <c r="AD3493" s="4"/>
      <c r="AE3493" s="4"/>
      <c r="AF3493" s="21"/>
    </row>
    <row r="3494" spans="24:32" x14ac:dyDescent="0.25">
      <c r="X3494" s="4"/>
      <c r="Y3494" s="4"/>
      <c r="Z3494" s="4"/>
      <c r="AA3494" s="4"/>
      <c r="AB3494" s="4"/>
      <c r="AC3494" s="7"/>
      <c r="AD3494" s="4"/>
      <c r="AE3494" s="4"/>
      <c r="AF3494" s="21"/>
    </row>
    <row r="3495" spans="24:32" x14ac:dyDescent="0.25">
      <c r="X3495" s="4"/>
      <c r="Y3495" s="4"/>
      <c r="Z3495" s="4"/>
      <c r="AA3495" s="4"/>
      <c r="AB3495" s="4"/>
      <c r="AC3495" s="7"/>
      <c r="AD3495" s="4"/>
      <c r="AE3495" s="4"/>
      <c r="AF3495" s="21"/>
    </row>
    <row r="3496" spans="24:32" x14ac:dyDescent="0.25">
      <c r="X3496" s="4"/>
      <c r="Y3496" s="4"/>
      <c r="Z3496" s="4"/>
      <c r="AA3496" s="4"/>
      <c r="AB3496" s="4"/>
      <c r="AC3496" s="7"/>
      <c r="AD3496" s="4"/>
      <c r="AE3496" s="4"/>
      <c r="AF3496" s="21"/>
    </row>
    <row r="3497" spans="24:32" x14ac:dyDescent="0.25">
      <c r="X3497" s="4"/>
      <c r="Y3497" s="4"/>
      <c r="Z3497" s="4"/>
      <c r="AA3497" s="4"/>
      <c r="AB3497" s="4"/>
      <c r="AC3497" s="7"/>
      <c r="AD3497" s="4"/>
      <c r="AE3497" s="4"/>
      <c r="AF3497" s="21"/>
    </row>
    <row r="3498" spans="24:32" x14ac:dyDescent="0.25">
      <c r="X3498" s="4"/>
      <c r="Y3498" s="4"/>
      <c r="Z3498" s="4"/>
      <c r="AA3498" s="4"/>
      <c r="AB3498" s="4"/>
      <c r="AC3498" s="7"/>
      <c r="AD3498" s="4"/>
      <c r="AE3498" s="4"/>
      <c r="AF3498" s="21"/>
    </row>
    <row r="3499" spans="24:32" x14ac:dyDescent="0.25">
      <c r="X3499" s="4"/>
      <c r="Y3499" s="4"/>
      <c r="Z3499" s="4"/>
      <c r="AA3499" s="4"/>
      <c r="AB3499" s="4"/>
      <c r="AC3499" s="7"/>
      <c r="AD3499" s="4"/>
      <c r="AE3499" s="4"/>
      <c r="AF3499" s="21"/>
    </row>
    <row r="3500" spans="24:32" x14ac:dyDescent="0.25">
      <c r="X3500" s="4"/>
      <c r="Y3500" s="4"/>
      <c r="Z3500" s="4"/>
      <c r="AA3500" s="4"/>
      <c r="AB3500" s="4"/>
      <c r="AC3500" s="7"/>
      <c r="AD3500" s="4"/>
      <c r="AE3500" s="4"/>
      <c r="AF3500" s="21"/>
    </row>
    <row r="3501" spans="24:32" x14ac:dyDescent="0.25">
      <c r="X3501" s="4"/>
      <c r="Y3501" s="4"/>
      <c r="Z3501" s="4"/>
      <c r="AA3501" s="4"/>
      <c r="AB3501" s="4"/>
      <c r="AC3501" s="7"/>
      <c r="AD3501" s="4"/>
      <c r="AE3501" s="4"/>
      <c r="AF3501" s="21"/>
    </row>
    <row r="3502" spans="24:32" x14ac:dyDescent="0.25">
      <c r="X3502" s="4"/>
      <c r="Y3502" s="4"/>
      <c r="Z3502" s="4"/>
      <c r="AA3502" s="4"/>
      <c r="AB3502" s="4"/>
      <c r="AC3502" s="7"/>
      <c r="AD3502" s="4"/>
      <c r="AE3502" s="4"/>
      <c r="AF3502" s="21"/>
    </row>
    <row r="3503" spans="24:32" x14ac:dyDescent="0.25">
      <c r="X3503" s="4"/>
      <c r="Y3503" s="4"/>
      <c r="Z3503" s="4"/>
      <c r="AA3503" s="4"/>
      <c r="AB3503" s="4"/>
      <c r="AC3503" s="7"/>
      <c r="AD3503" s="4"/>
      <c r="AE3503" s="4"/>
      <c r="AF3503" s="21"/>
    </row>
    <row r="3504" spans="24:32" x14ac:dyDescent="0.25">
      <c r="X3504" s="4"/>
      <c r="Y3504" s="4"/>
      <c r="Z3504" s="4"/>
      <c r="AA3504" s="4"/>
      <c r="AB3504" s="4"/>
      <c r="AC3504" s="7"/>
      <c r="AD3504" s="4"/>
      <c r="AE3504" s="4"/>
      <c r="AF3504" s="21"/>
    </row>
    <row r="3505" spans="24:32" x14ac:dyDescent="0.25">
      <c r="X3505" s="4"/>
      <c r="Y3505" s="4"/>
      <c r="Z3505" s="4"/>
      <c r="AA3505" s="4"/>
      <c r="AB3505" s="4"/>
      <c r="AC3505" s="7"/>
      <c r="AD3505" s="4"/>
      <c r="AE3505" s="4"/>
      <c r="AF3505" s="21"/>
    </row>
    <row r="3506" spans="24:32" x14ac:dyDescent="0.25">
      <c r="X3506" s="4"/>
      <c r="Y3506" s="4"/>
      <c r="Z3506" s="4"/>
      <c r="AA3506" s="4"/>
      <c r="AB3506" s="4"/>
      <c r="AC3506" s="7"/>
      <c r="AD3506" s="4"/>
      <c r="AE3506" s="4"/>
      <c r="AF3506" s="21"/>
    </row>
    <row r="3507" spans="24:32" x14ac:dyDescent="0.25">
      <c r="X3507" s="4"/>
      <c r="Y3507" s="4"/>
      <c r="Z3507" s="4"/>
      <c r="AA3507" s="4"/>
      <c r="AB3507" s="4"/>
      <c r="AC3507" s="7"/>
      <c r="AD3507" s="4"/>
      <c r="AE3507" s="4"/>
      <c r="AF3507" s="21"/>
    </row>
    <row r="3508" spans="24:32" x14ac:dyDescent="0.25">
      <c r="X3508" s="4"/>
      <c r="Y3508" s="4"/>
      <c r="Z3508" s="4"/>
      <c r="AA3508" s="4"/>
      <c r="AB3508" s="4"/>
      <c r="AC3508" s="7"/>
      <c r="AD3508" s="4"/>
      <c r="AE3508" s="4"/>
      <c r="AF3508" s="21"/>
    </row>
    <row r="3509" spans="24:32" x14ac:dyDescent="0.25">
      <c r="X3509" s="4"/>
      <c r="Y3509" s="4"/>
      <c r="Z3509" s="4"/>
      <c r="AA3509" s="4"/>
      <c r="AB3509" s="4"/>
      <c r="AC3509" s="7"/>
      <c r="AD3509" s="4"/>
      <c r="AE3509" s="4"/>
      <c r="AF3509" s="21"/>
    </row>
    <row r="3510" spans="24:32" x14ac:dyDescent="0.25">
      <c r="X3510" s="4"/>
      <c r="Y3510" s="4"/>
      <c r="Z3510" s="4"/>
      <c r="AA3510" s="4"/>
      <c r="AB3510" s="4"/>
      <c r="AC3510" s="7"/>
      <c r="AD3510" s="4"/>
      <c r="AE3510" s="4"/>
      <c r="AF3510" s="21"/>
    </row>
    <row r="3511" spans="24:32" x14ac:dyDescent="0.25">
      <c r="X3511" s="4"/>
      <c r="Y3511" s="4"/>
      <c r="Z3511" s="4"/>
      <c r="AA3511" s="4"/>
      <c r="AB3511" s="4"/>
      <c r="AC3511" s="7"/>
      <c r="AD3511" s="4"/>
      <c r="AE3511" s="4"/>
      <c r="AF3511" s="21"/>
    </row>
    <row r="3512" spans="24:32" x14ac:dyDescent="0.25">
      <c r="X3512" s="4"/>
      <c r="Y3512" s="4"/>
      <c r="Z3512" s="4"/>
      <c r="AA3512" s="4"/>
      <c r="AB3512" s="4"/>
      <c r="AC3512" s="7"/>
      <c r="AD3512" s="4"/>
      <c r="AE3512" s="4"/>
      <c r="AF3512" s="21"/>
    </row>
    <row r="3513" spans="24:32" x14ac:dyDescent="0.25">
      <c r="X3513" s="4"/>
      <c r="Y3513" s="4"/>
      <c r="Z3513" s="4"/>
      <c r="AA3513" s="4"/>
      <c r="AB3513" s="4"/>
      <c r="AC3513" s="7"/>
      <c r="AD3513" s="4"/>
      <c r="AE3513" s="4"/>
      <c r="AF3513" s="21"/>
    </row>
    <row r="3514" spans="24:32" x14ac:dyDescent="0.25">
      <c r="X3514" s="4"/>
      <c r="Y3514" s="4"/>
      <c r="Z3514" s="4"/>
      <c r="AA3514" s="4"/>
      <c r="AB3514" s="4"/>
      <c r="AC3514" s="7"/>
      <c r="AD3514" s="4"/>
      <c r="AE3514" s="4"/>
      <c r="AF3514" s="21"/>
    </row>
    <row r="3515" spans="24:32" x14ac:dyDescent="0.25">
      <c r="X3515" s="4"/>
      <c r="Y3515" s="4"/>
      <c r="Z3515" s="4"/>
      <c r="AA3515" s="4"/>
      <c r="AB3515" s="4"/>
      <c r="AC3515" s="7"/>
      <c r="AD3515" s="4"/>
      <c r="AE3515" s="4"/>
      <c r="AF3515" s="21"/>
    </row>
    <row r="3516" spans="24:32" x14ac:dyDescent="0.25">
      <c r="X3516" s="4"/>
      <c r="Y3516" s="4"/>
      <c r="Z3516" s="4"/>
      <c r="AA3516" s="4"/>
      <c r="AB3516" s="4"/>
      <c r="AC3516" s="7"/>
      <c r="AD3516" s="4"/>
      <c r="AE3516" s="4"/>
      <c r="AF3516" s="21"/>
    </row>
    <row r="3517" spans="24:32" x14ac:dyDescent="0.25">
      <c r="X3517" s="4"/>
      <c r="Y3517" s="4"/>
      <c r="Z3517" s="4"/>
      <c r="AA3517" s="4"/>
      <c r="AB3517" s="4"/>
      <c r="AC3517" s="7"/>
      <c r="AD3517" s="4"/>
      <c r="AE3517" s="4"/>
      <c r="AF3517" s="21"/>
    </row>
    <row r="3518" spans="24:32" x14ac:dyDescent="0.25">
      <c r="X3518" s="4"/>
      <c r="Y3518" s="4"/>
      <c r="Z3518" s="4"/>
      <c r="AA3518" s="4"/>
      <c r="AB3518" s="4"/>
      <c r="AC3518" s="7"/>
      <c r="AD3518" s="4"/>
      <c r="AE3518" s="4"/>
      <c r="AF3518" s="21"/>
    </row>
    <row r="3519" spans="24:32" x14ac:dyDescent="0.25">
      <c r="X3519" s="4"/>
      <c r="Y3519" s="4"/>
      <c r="Z3519" s="4"/>
      <c r="AA3519" s="4"/>
      <c r="AB3519" s="4"/>
      <c r="AC3519" s="7"/>
      <c r="AD3519" s="4"/>
      <c r="AE3519" s="4"/>
      <c r="AF3519" s="21"/>
    </row>
    <row r="3520" spans="24:32" x14ac:dyDescent="0.25">
      <c r="X3520" s="4"/>
      <c r="Y3520" s="4"/>
      <c r="Z3520" s="4"/>
      <c r="AA3520" s="4"/>
      <c r="AB3520" s="4"/>
      <c r="AC3520" s="7"/>
      <c r="AD3520" s="4"/>
      <c r="AE3520" s="4"/>
      <c r="AF3520" s="21"/>
    </row>
    <row r="3521" spans="24:32" x14ac:dyDescent="0.25">
      <c r="X3521" s="4"/>
      <c r="Y3521" s="4"/>
      <c r="Z3521" s="4"/>
      <c r="AA3521" s="4"/>
      <c r="AB3521" s="4"/>
      <c r="AC3521" s="7"/>
      <c r="AD3521" s="4"/>
      <c r="AE3521" s="4"/>
      <c r="AF3521" s="21"/>
    </row>
    <row r="3522" spans="24:32" x14ac:dyDescent="0.25">
      <c r="X3522" s="4"/>
      <c r="Y3522" s="4"/>
      <c r="Z3522" s="4"/>
      <c r="AA3522" s="4"/>
      <c r="AB3522" s="4"/>
      <c r="AC3522" s="7"/>
      <c r="AD3522" s="4"/>
      <c r="AE3522" s="4"/>
      <c r="AF3522" s="21"/>
    </row>
    <row r="3523" spans="24:32" x14ac:dyDescent="0.25">
      <c r="X3523" s="4"/>
      <c r="Y3523" s="4"/>
      <c r="Z3523" s="4"/>
      <c r="AA3523" s="4"/>
      <c r="AB3523" s="4"/>
      <c r="AC3523" s="7"/>
      <c r="AD3523" s="4"/>
      <c r="AE3523" s="4"/>
      <c r="AF3523" s="21"/>
    </row>
    <row r="3524" spans="24:32" x14ac:dyDescent="0.25">
      <c r="X3524" s="4"/>
      <c r="Y3524" s="4"/>
      <c r="Z3524" s="4"/>
      <c r="AA3524" s="4"/>
      <c r="AB3524" s="4"/>
      <c r="AC3524" s="7"/>
      <c r="AD3524" s="4"/>
      <c r="AE3524" s="4"/>
      <c r="AF3524" s="21"/>
    </row>
    <row r="3525" spans="24:32" x14ac:dyDescent="0.25">
      <c r="X3525" s="4"/>
      <c r="Y3525" s="4"/>
      <c r="Z3525" s="4"/>
      <c r="AA3525" s="4"/>
      <c r="AB3525" s="4"/>
      <c r="AC3525" s="7"/>
      <c r="AD3525" s="4"/>
      <c r="AE3525" s="4"/>
      <c r="AF3525" s="21"/>
    </row>
    <row r="3526" spans="24:32" x14ac:dyDescent="0.25">
      <c r="X3526" s="4"/>
      <c r="Y3526" s="4"/>
      <c r="Z3526" s="4"/>
      <c r="AA3526" s="4"/>
      <c r="AB3526" s="4"/>
      <c r="AC3526" s="7"/>
      <c r="AD3526" s="4"/>
      <c r="AE3526" s="4"/>
      <c r="AF3526" s="21"/>
    </row>
    <row r="3527" spans="24:32" x14ac:dyDescent="0.25">
      <c r="X3527" s="4"/>
      <c r="Y3527" s="4"/>
      <c r="Z3527" s="4"/>
      <c r="AA3527" s="4"/>
      <c r="AB3527" s="4"/>
      <c r="AC3527" s="7"/>
      <c r="AD3527" s="4"/>
      <c r="AE3527" s="4"/>
      <c r="AF3527" s="21"/>
    </row>
    <row r="3528" spans="24:32" x14ac:dyDescent="0.25">
      <c r="X3528" s="4"/>
      <c r="Y3528" s="4"/>
      <c r="Z3528" s="4"/>
      <c r="AA3528" s="4"/>
      <c r="AB3528" s="4"/>
      <c r="AC3528" s="7"/>
      <c r="AD3528" s="4"/>
      <c r="AE3528" s="4"/>
      <c r="AF3528" s="21"/>
    </row>
    <row r="3529" spans="24:32" x14ac:dyDescent="0.25">
      <c r="X3529" s="4"/>
      <c r="Y3529" s="4"/>
      <c r="Z3529" s="4"/>
      <c r="AA3529" s="4"/>
      <c r="AB3529" s="4"/>
      <c r="AC3529" s="7"/>
      <c r="AD3529" s="4"/>
      <c r="AE3529" s="4"/>
      <c r="AF3529" s="21"/>
    </row>
    <row r="3530" spans="24:32" x14ac:dyDescent="0.25">
      <c r="X3530" s="4"/>
      <c r="Y3530" s="4"/>
      <c r="Z3530" s="4"/>
      <c r="AA3530" s="4"/>
      <c r="AB3530" s="4"/>
      <c r="AC3530" s="7"/>
      <c r="AD3530" s="4"/>
      <c r="AE3530" s="4"/>
      <c r="AF3530" s="21"/>
    </row>
    <row r="3531" spans="24:32" x14ac:dyDescent="0.25">
      <c r="X3531" s="4"/>
      <c r="Y3531" s="4"/>
      <c r="Z3531" s="4"/>
      <c r="AA3531" s="4"/>
      <c r="AB3531" s="4"/>
      <c r="AC3531" s="7"/>
      <c r="AD3531" s="4"/>
      <c r="AE3531" s="4"/>
      <c r="AF3531" s="21"/>
    </row>
    <row r="3532" spans="24:32" x14ac:dyDescent="0.25">
      <c r="X3532" s="4"/>
      <c r="Y3532" s="4"/>
      <c r="Z3532" s="4"/>
      <c r="AA3532" s="4"/>
      <c r="AB3532" s="4"/>
      <c r="AC3532" s="7"/>
      <c r="AD3532" s="4"/>
      <c r="AE3532" s="4"/>
      <c r="AF3532" s="21"/>
    </row>
    <row r="3533" spans="24:32" x14ac:dyDescent="0.25">
      <c r="X3533" s="4"/>
      <c r="Y3533" s="4"/>
      <c r="Z3533" s="4"/>
      <c r="AA3533" s="4"/>
      <c r="AB3533" s="4"/>
      <c r="AC3533" s="7"/>
      <c r="AD3533" s="4"/>
      <c r="AE3533" s="4"/>
      <c r="AF3533" s="21"/>
    </row>
    <row r="3534" spans="24:32" x14ac:dyDescent="0.25">
      <c r="X3534" s="4"/>
      <c r="Y3534" s="4"/>
      <c r="Z3534" s="4"/>
      <c r="AA3534" s="4"/>
      <c r="AB3534" s="4"/>
      <c r="AC3534" s="7"/>
      <c r="AD3534" s="4"/>
      <c r="AE3534" s="4"/>
      <c r="AF3534" s="21"/>
    </row>
    <row r="3535" spans="24:32" x14ac:dyDescent="0.25">
      <c r="X3535" s="4"/>
      <c r="Y3535" s="4"/>
      <c r="Z3535" s="4"/>
      <c r="AA3535" s="4"/>
      <c r="AB3535" s="4"/>
      <c r="AC3535" s="7"/>
      <c r="AD3535" s="4"/>
      <c r="AE3535" s="4"/>
      <c r="AF3535" s="21"/>
    </row>
    <row r="3536" spans="24:32" x14ac:dyDescent="0.25">
      <c r="X3536" s="4"/>
      <c r="Y3536" s="4"/>
      <c r="Z3536" s="4"/>
      <c r="AA3536" s="4"/>
      <c r="AB3536" s="4"/>
      <c r="AC3536" s="7"/>
      <c r="AD3536" s="4"/>
      <c r="AE3536" s="4"/>
      <c r="AF3536" s="21"/>
    </row>
    <row r="3537" spans="24:32" x14ac:dyDescent="0.25">
      <c r="X3537" s="4"/>
      <c r="Y3537" s="4"/>
      <c r="Z3537" s="4"/>
      <c r="AA3537" s="4"/>
      <c r="AB3537" s="4"/>
      <c r="AC3537" s="7"/>
      <c r="AD3537" s="4"/>
      <c r="AE3537" s="4"/>
      <c r="AF3537" s="21"/>
    </row>
    <row r="3538" spans="24:32" x14ac:dyDescent="0.25">
      <c r="X3538" s="4"/>
      <c r="Y3538" s="4"/>
      <c r="Z3538" s="4"/>
      <c r="AA3538" s="4"/>
      <c r="AB3538" s="4"/>
      <c r="AC3538" s="7"/>
      <c r="AD3538" s="4"/>
      <c r="AE3538" s="4"/>
      <c r="AF3538" s="21"/>
    </row>
    <row r="3539" spans="24:32" x14ac:dyDescent="0.25">
      <c r="X3539" s="4"/>
      <c r="Y3539" s="4"/>
      <c r="Z3539" s="4"/>
      <c r="AA3539" s="4"/>
      <c r="AB3539" s="4"/>
      <c r="AC3539" s="7"/>
      <c r="AD3539" s="4"/>
      <c r="AE3539" s="4"/>
      <c r="AF3539" s="21"/>
    </row>
    <row r="3540" spans="24:32" x14ac:dyDescent="0.25">
      <c r="X3540" s="4"/>
      <c r="Y3540" s="4"/>
      <c r="Z3540" s="4"/>
      <c r="AA3540" s="4"/>
      <c r="AB3540" s="4"/>
      <c r="AC3540" s="7"/>
      <c r="AD3540" s="4"/>
      <c r="AE3540" s="4"/>
      <c r="AF3540" s="21"/>
    </row>
    <row r="3541" spans="24:32" x14ac:dyDescent="0.25">
      <c r="X3541" s="4"/>
      <c r="Y3541" s="4"/>
      <c r="Z3541" s="4"/>
      <c r="AA3541" s="4"/>
      <c r="AB3541" s="4"/>
      <c r="AC3541" s="7"/>
      <c r="AD3541" s="4"/>
      <c r="AE3541" s="4"/>
      <c r="AF3541" s="21"/>
    </row>
    <row r="3542" spans="24:32" x14ac:dyDescent="0.25">
      <c r="X3542" s="4"/>
      <c r="Y3542" s="4"/>
      <c r="Z3542" s="4"/>
      <c r="AA3542" s="4"/>
      <c r="AB3542" s="4"/>
      <c r="AC3542" s="7"/>
      <c r="AD3542" s="4"/>
      <c r="AE3542" s="4"/>
      <c r="AF3542" s="21"/>
    </row>
    <row r="3543" spans="24:32" x14ac:dyDescent="0.25">
      <c r="X3543" s="4"/>
      <c r="Y3543" s="4"/>
      <c r="Z3543" s="4"/>
      <c r="AA3543" s="4"/>
      <c r="AB3543" s="4"/>
      <c r="AC3543" s="7"/>
      <c r="AD3543" s="4"/>
      <c r="AE3543" s="4"/>
      <c r="AF3543" s="21"/>
    </row>
    <row r="3544" spans="24:32" x14ac:dyDescent="0.25">
      <c r="X3544" s="4"/>
      <c r="Y3544" s="4"/>
      <c r="Z3544" s="4"/>
      <c r="AA3544" s="4"/>
      <c r="AB3544" s="4"/>
      <c r="AC3544" s="7"/>
      <c r="AD3544" s="4"/>
      <c r="AE3544" s="4"/>
      <c r="AF3544" s="21"/>
    </row>
    <row r="3545" spans="24:32" x14ac:dyDescent="0.25">
      <c r="X3545" s="4"/>
      <c r="Y3545" s="4"/>
      <c r="Z3545" s="4"/>
      <c r="AA3545" s="4"/>
      <c r="AB3545" s="4"/>
      <c r="AC3545" s="7"/>
      <c r="AD3545" s="4"/>
      <c r="AE3545" s="4"/>
      <c r="AF3545" s="21"/>
    </row>
    <row r="3546" spans="24:32" x14ac:dyDescent="0.25">
      <c r="X3546" s="4"/>
      <c r="Y3546" s="4"/>
      <c r="Z3546" s="4"/>
      <c r="AA3546" s="4"/>
      <c r="AB3546" s="4"/>
      <c r="AC3546" s="7"/>
      <c r="AD3546" s="4"/>
      <c r="AE3546" s="4"/>
      <c r="AF3546" s="21"/>
    </row>
    <row r="3547" spans="24:32" x14ac:dyDescent="0.25">
      <c r="X3547" s="4"/>
      <c r="Y3547" s="4"/>
      <c r="Z3547" s="4"/>
      <c r="AA3547" s="4"/>
      <c r="AB3547" s="4"/>
      <c r="AC3547" s="7"/>
      <c r="AD3547" s="4"/>
      <c r="AE3547" s="4"/>
      <c r="AF3547" s="21"/>
    </row>
    <row r="3548" spans="24:32" x14ac:dyDescent="0.25">
      <c r="X3548" s="4"/>
      <c r="Y3548" s="4"/>
      <c r="Z3548" s="4"/>
      <c r="AA3548" s="4"/>
      <c r="AB3548" s="4"/>
      <c r="AC3548" s="7"/>
      <c r="AD3548" s="4"/>
      <c r="AE3548" s="4"/>
      <c r="AF3548" s="21"/>
    </row>
    <row r="3549" spans="24:32" x14ac:dyDescent="0.25">
      <c r="X3549" s="4"/>
      <c r="Y3549" s="4"/>
      <c r="Z3549" s="4"/>
      <c r="AA3549" s="4"/>
      <c r="AB3549" s="4"/>
      <c r="AC3549" s="7"/>
      <c r="AD3549" s="4"/>
      <c r="AE3549" s="4"/>
      <c r="AF3549" s="21"/>
    </row>
    <row r="3550" spans="24:32" x14ac:dyDescent="0.25">
      <c r="X3550" s="4"/>
      <c r="Y3550" s="4"/>
      <c r="Z3550" s="4"/>
      <c r="AA3550" s="4"/>
      <c r="AB3550" s="4"/>
      <c r="AC3550" s="7"/>
      <c r="AD3550" s="4"/>
      <c r="AE3550" s="4"/>
      <c r="AF3550" s="21"/>
    </row>
    <row r="3551" spans="24:32" x14ac:dyDescent="0.25">
      <c r="X3551" s="4"/>
      <c r="Y3551" s="4"/>
      <c r="Z3551" s="4"/>
      <c r="AA3551" s="4"/>
      <c r="AB3551" s="4"/>
      <c r="AC3551" s="7"/>
      <c r="AD3551" s="4"/>
      <c r="AE3551" s="4"/>
      <c r="AF3551" s="21"/>
    </row>
    <row r="3552" spans="24:32" x14ac:dyDescent="0.25">
      <c r="X3552" s="4"/>
      <c r="Y3552" s="4"/>
      <c r="Z3552" s="4"/>
      <c r="AA3552" s="4"/>
      <c r="AB3552" s="4"/>
      <c r="AC3552" s="7"/>
      <c r="AD3552" s="4"/>
      <c r="AE3552" s="4"/>
      <c r="AF3552" s="21"/>
    </row>
    <row r="3553" spans="24:32" x14ac:dyDescent="0.25">
      <c r="X3553" s="4"/>
      <c r="Y3553" s="4"/>
      <c r="Z3553" s="4"/>
      <c r="AA3553" s="4"/>
      <c r="AB3553" s="4"/>
      <c r="AC3553" s="7"/>
      <c r="AD3553" s="4"/>
      <c r="AE3553" s="4"/>
      <c r="AF3553" s="21"/>
    </row>
    <row r="3554" spans="24:32" x14ac:dyDescent="0.25">
      <c r="X3554" s="4"/>
      <c r="Y3554" s="4"/>
      <c r="Z3554" s="4"/>
      <c r="AA3554" s="4"/>
      <c r="AB3554" s="4"/>
      <c r="AC3554" s="7"/>
      <c r="AD3554" s="4"/>
      <c r="AE3554" s="4"/>
      <c r="AF3554" s="21"/>
    </row>
    <row r="3555" spans="24:32" x14ac:dyDescent="0.25">
      <c r="X3555" s="4"/>
      <c r="Y3555" s="4"/>
      <c r="Z3555" s="4"/>
      <c r="AA3555" s="4"/>
      <c r="AB3555" s="4"/>
      <c r="AC3555" s="7"/>
      <c r="AD3555" s="4"/>
      <c r="AE3555" s="4"/>
      <c r="AF3555" s="21"/>
    </row>
    <row r="3556" spans="24:32" x14ac:dyDescent="0.25">
      <c r="X3556" s="4"/>
      <c r="Y3556" s="4"/>
      <c r="Z3556" s="4"/>
      <c r="AA3556" s="4"/>
      <c r="AB3556" s="4"/>
      <c r="AC3556" s="7"/>
      <c r="AD3556" s="4"/>
      <c r="AE3556" s="4"/>
      <c r="AF3556" s="21"/>
    </row>
    <row r="3557" spans="24:32" x14ac:dyDescent="0.25">
      <c r="X3557" s="4"/>
      <c r="Y3557" s="4"/>
      <c r="Z3557" s="4"/>
      <c r="AA3557" s="4"/>
      <c r="AB3557" s="4"/>
      <c r="AC3557" s="7"/>
      <c r="AD3557" s="4"/>
      <c r="AE3557" s="4"/>
      <c r="AF3557" s="21"/>
    </row>
    <row r="3558" spans="24:32" x14ac:dyDescent="0.25">
      <c r="X3558" s="4"/>
      <c r="Y3558" s="4"/>
      <c r="Z3558" s="4"/>
      <c r="AA3558" s="4"/>
      <c r="AB3558" s="4"/>
      <c r="AC3558" s="7"/>
      <c r="AD3558" s="4"/>
      <c r="AE3558" s="4"/>
      <c r="AF3558" s="21"/>
    </row>
    <row r="3559" spans="24:32" x14ac:dyDescent="0.25">
      <c r="X3559" s="4"/>
      <c r="Y3559" s="4"/>
      <c r="Z3559" s="4"/>
      <c r="AA3559" s="4"/>
      <c r="AB3559" s="4"/>
      <c r="AC3559" s="7"/>
      <c r="AD3559" s="4"/>
      <c r="AE3559" s="4"/>
      <c r="AF3559" s="21"/>
    </row>
    <row r="3560" spans="24:32" x14ac:dyDescent="0.25">
      <c r="X3560" s="4"/>
      <c r="Y3560" s="4"/>
      <c r="Z3560" s="4"/>
      <c r="AA3560" s="4"/>
      <c r="AB3560" s="4"/>
      <c r="AC3560" s="7"/>
      <c r="AD3560" s="4"/>
      <c r="AE3560" s="4"/>
      <c r="AF3560" s="21"/>
    </row>
    <row r="3561" spans="24:32" x14ac:dyDescent="0.25">
      <c r="X3561" s="4"/>
      <c r="Y3561" s="4"/>
      <c r="Z3561" s="4"/>
      <c r="AA3561" s="4"/>
      <c r="AB3561" s="4"/>
      <c r="AC3561" s="7"/>
      <c r="AD3561" s="4"/>
      <c r="AE3561" s="4"/>
      <c r="AF3561" s="21"/>
    </row>
    <row r="3562" spans="24:32" x14ac:dyDescent="0.25">
      <c r="X3562" s="4"/>
      <c r="Y3562" s="4"/>
      <c r="Z3562" s="4"/>
      <c r="AA3562" s="4"/>
      <c r="AB3562" s="4"/>
      <c r="AC3562" s="7"/>
      <c r="AD3562" s="4"/>
      <c r="AE3562" s="4"/>
      <c r="AF3562" s="21"/>
    </row>
    <row r="3563" spans="24:32" x14ac:dyDescent="0.25">
      <c r="X3563" s="4"/>
      <c r="Y3563" s="4"/>
      <c r="Z3563" s="4"/>
      <c r="AA3563" s="4"/>
      <c r="AB3563" s="4"/>
      <c r="AC3563" s="7"/>
      <c r="AD3563" s="4"/>
      <c r="AE3563" s="4"/>
      <c r="AF3563" s="21"/>
    </row>
    <row r="3564" spans="24:32" x14ac:dyDescent="0.25">
      <c r="X3564" s="4"/>
      <c r="Y3564" s="4"/>
      <c r="Z3564" s="4"/>
      <c r="AA3564" s="4"/>
      <c r="AB3564" s="4"/>
      <c r="AC3564" s="7"/>
      <c r="AD3564" s="4"/>
      <c r="AE3564" s="4"/>
      <c r="AF3564" s="21"/>
    </row>
    <row r="3565" spans="24:32" x14ac:dyDescent="0.25">
      <c r="X3565" s="4"/>
      <c r="Y3565" s="4"/>
      <c r="Z3565" s="4"/>
      <c r="AA3565" s="4"/>
      <c r="AB3565" s="4"/>
      <c r="AC3565" s="7"/>
      <c r="AD3565" s="4"/>
      <c r="AE3565" s="4"/>
      <c r="AF3565" s="21"/>
    </row>
    <row r="3566" spans="24:32" x14ac:dyDescent="0.25">
      <c r="X3566" s="4"/>
      <c r="Y3566" s="4"/>
      <c r="Z3566" s="4"/>
      <c r="AA3566" s="4"/>
      <c r="AB3566" s="4"/>
      <c r="AC3566" s="7"/>
      <c r="AD3566" s="4"/>
      <c r="AE3566" s="4"/>
      <c r="AF3566" s="21"/>
    </row>
    <row r="3567" spans="24:32" x14ac:dyDescent="0.25">
      <c r="X3567" s="4"/>
      <c r="Y3567" s="4"/>
      <c r="Z3567" s="4"/>
      <c r="AA3567" s="4"/>
      <c r="AB3567" s="4"/>
      <c r="AC3567" s="7"/>
      <c r="AD3567" s="4"/>
      <c r="AE3567" s="4"/>
      <c r="AF3567" s="21"/>
    </row>
    <row r="3568" spans="24:32" x14ac:dyDescent="0.25">
      <c r="X3568" s="4"/>
      <c r="Y3568" s="4"/>
      <c r="Z3568" s="4"/>
      <c r="AA3568" s="4"/>
      <c r="AB3568" s="4"/>
      <c r="AC3568" s="7"/>
      <c r="AD3568" s="4"/>
      <c r="AE3568" s="4"/>
      <c r="AF3568" s="21"/>
    </row>
    <row r="3569" spans="24:32" x14ac:dyDescent="0.25">
      <c r="X3569" s="4"/>
      <c r="Y3569" s="4"/>
      <c r="Z3569" s="4"/>
      <c r="AA3569" s="4"/>
      <c r="AB3569" s="4"/>
      <c r="AC3569" s="7"/>
      <c r="AD3569" s="4"/>
      <c r="AE3569" s="4"/>
      <c r="AF3569" s="21"/>
    </row>
    <row r="3570" spans="24:32" x14ac:dyDescent="0.25">
      <c r="X3570" s="4"/>
      <c r="Y3570" s="4"/>
      <c r="Z3570" s="4"/>
      <c r="AA3570" s="4"/>
      <c r="AB3570" s="4"/>
      <c r="AC3570" s="7"/>
      <c r="AD3570" s="4"/>
      <c r="AE3570" s="4"/>
      <c r="AF3570" s="21"/>
    </row>
    <row r="3571" spans="24:32" x14ac:dyDescent="0.25">
      <c r="X3571" s="4"/>
      <c r="Y3571" s="4"/>
      <c r="Z3571" s="4"/>
      <c r="AA3571" s="4"/>
      <c r="AB3571" s="4"/>
      <c r="AC3571" s="7"/>
      <c r="AD3571" s="4"/>
      <c r="AE3571" s="4"/>
      <c r="AF3571" s="21"/>
    </row>
    <row r="3572" spans="24:32" x14ac:dyDescent="0.25">
      <c r="X3572" s="4"/>
      <c r="Y3572" s="4"/>
      <c r="Z3572" s="4"/>
      <c r="AA3572" s="4"/>
      <c r="AB3572" s="4"/>
      <c r="AC3572" s="7"/>
      <c r="AD3572" s="4"/>
      <c r="AE3572" s="4"/>
      <c r="AF3572" s="21"/>
    </row>
    <row r="3573" spans="24:32" x14ac:dyDescent="0.25">
      <c r="X3573" s="4"/>
      <c r="Y3573" s="4"/>
      <c r="Z3573" s="4"/>
      <c r="AA3573" s="4"/>
      <c r="AB3573" s="4"/>
      <c r="AC3573" s="7"/>
      <c r="AD3573" s="4"/>
      <c r="AE3573" s="4"/>
      <c r="AF3573" s="21"/>
    </row>
    <row r="3574" spans="24:32" x14ac:dyDescent="0.25">
      <c r="X3574" s="4"/>
      <c r="Y3574" s="4"/>
      <c r="Z3574" s="4"/>
      <c r="AA3574" s="4"/>
      <c r="AB3574" s="4"/>
      <c r="AC3574" s="7"/>
      <c r="AD3574" s="4"/>
      <c r="AE3574" s="4"/>
      <c r="AF3574" s="21"/>
    </row>
    <row r="3575" spans="24:32" x14ac:dyDescent="0.25">
      <c r="X3575" s="4"/>
      <c r="Y3575" s="4"/>
      <c r="Z3575" s="4"/>
      <c r="AA3575" s="4"/>
      <c r="AB3575" s="4"/>
      <c r="AC3575" s="7"/>
      <c r="AD3575" s="4"/>
      <c r="AE3575" s="4"/>
      <c r="AF3575" s="21"/>
    </row>
    <row r="3576" spans="24:32" x14ac:dyDescent="0.25">
      <c r="X3576" s="4"/>
      <c r="Y3576" s="4"/>
      <c r="Z3576" s="4"/>
      <c r="AA3576" s="4"/>
      <c r="AB3576" s="4"/>
      <c r="AC3576" s="7"/>
      <c r="AD3576" s="4"/>
      <c r="AE3576" s="4"/>
      <c r="AF3576" s="21"/>
    </row>
    <row r="3577" spans="24:32" x14ac:dyDescent="0.25">
      <c r="X3577" s="4"/>
      <c r="Y3577" s="4"/>
      <c r="Z3577" s="4"/>
      <c r="AA3577" s="4"/>
      <c r="AB3577" s="4"/>
      <c r="AC3577" s="7"/>
      <c r="AD3577" s="4"/>
      <c r="AE3577" s="4"/>
      <c r="AF3577" s="21"/>
    </row>
    <row r="3578" spans="24:32" x14ac:dyDescent="0.25">
      <c r="X3578" s="4"/>
      <c r="Y3578" s="4"/>
      <c r="Z3578" s="4"/>
      <c r="AA3578" s="4"/>
      <c r="AB3578" s="4"/>
      <c r="AC3578" s="7"/>
      <c r="AD3578" s="4"/>
      <c r="AE3578" s="4"/>
      <c r="AF3578" s="21"/>
    </row>
    <row r="3579" spans="24:32" x14ac:dyDescent="0.25">
      <c r="X3579" s="4"/>
      <c r="Y3579" s="4"/>
      <c r="Z3579" s="4"/>
      <c r="AA3579" s="4"/>
      <c r="AB3579" s="4"/>
      <c r="AC3579" s="7"/>
      <c r="AD3579" s="4"/>
      <c r="AE3579" s="4"/>
      <c r="AF3579" s="21"/>
    </row>
    <row r="3580" spans="24:32" x14ac:dyDescent="0.25">
      <c r="X3580" s="4"/>
      <c r="Y3580" s="4"/>
      <c r="Z3580" s="4"/>
      <c r="AA3580" s="4"/>
      <c r="AB3580" s="4"/>
      <c r="AC3580" s="7"/>
      <c r="AD3580" s="4"/>
      <c r="AE3580" s="4"/>
      <c r="AF3580" s="21"/>
    </row>
    <row r="3581" spans="24:32" x14ac:dyDescent="0.25">
      <c r="X3581" s="4"/>
      <c r="Y3581" s="4"/>
      <c r="Z3581" s="4"/>
      <c r="AA3581" s="4"/>
      <c r="AB3581" s="4"/>
      <c r="AC3581" s="7"/>
      <c r="AD3581" s="4"/>
      <c r="AE3581" s="4"/>
      <c r="AF3581" s="21"/>
    </row>
    <row r="3582" spans="24:32" x14ac:dyDescent="0.25">
      <c r="X3582" s="4"/>
      <c r="Y3582" s="4"/>
      <c r="Z3582" s="4"/>
      <c r="AA3582" s="4"/>
      <c r="AB3582" s="4"/>
      <c r="AC3582" s="7"/>
      <c r="AD3582" s="4"/>
      <c r="AE3582" s="4"/>
      <c r="AF3582" s="21"/>
    </row>
    <row r="3583" spans="24:32" x14ac:dyDescent="0.25">
      <c r="X3583" s="4"/>
      <c r="Y3583" s="4"/>
      <c r="Z3583" s="4"/>
      <c r="AA3583" s="4"/>
      <c r="AB3583" s="4"/>
      <c r="AC3583" s="7"/>
      <c r="AD3583" s="4"/>
      <c r="AE3583" s="4"/>
      <c r="AF3583" s="21"/>
    </row>
    <row r="3584" spans="24:32" x14ac:dyDescent="0.25">
      <c r="X3584" s="4"/>
      <c r="Y3584" s="4"/>
      <c r="Z3584" s="4"/>
      <c r="AA3584" s="4"/>
      <c r="AB3584" s="4"/>
      <c r="AC3584" s="7"/>
      <c r="AD3584" s="4"/>
      <c r="AE3584" s="4"/>
      <c r="AF3584" s="21"/>
    </row>
    <row r="3585" spans="24:32" x14ac:dyDescent="0.25">
      <c r="X3585" s="4"/>
      <c r="Y3585" s="4"/>
      <c r="Z3585" s="4"/>
      <c r="AA3585" s="4"/>
      <c r="AB3585" s="4"/>
      <c r="AC3585" s="7"/>
      <c r="AD3585" s="4"/>
      <c r="AE3585" s="4"/>
      <c r="AF3585" s="21"/>
    </row>
    <row r="3586" spans="24:32" x14ac:dyDescent="0.25">
      <c r="X3586" s="4"/>
      <c r="Y3586" s="4"/>
      <c r="Z3586" s="4"/>
      <c r="AA3586" s="4"/>
      <c r="AB3586" s="4"/>
      <c r="AC3586" s="7"/>
      <c r="AD3586" s="4"/>
      <c r="AE3586" s="4"/>
      <c r="AF3586" s="21"/>
    </row>
    <row r="3587" spans="24:32" x14ac:dyDescent="0.25">
      <c r="X3587" s="4"/>
      <c r="Y3587" s="4"/>
      <c r="Z3587" s="4"/>
      <c r="AA3587" s="4"/>
      <c r="AB3587" s="4"/>
      <c r="AC3587" s="7"/>
      <c r="AD3587" s="4"/>
      <c r="AE3587" s="4"/>
      <c r="AF3587" s="21"/>
    </row>
    <row r="3588" spans="24:32" x14ac:dyDescent="0.25">
      <c r="X3588" s="4"/>
      <c r="Y3588" s="4"/>
      <c r="Z3588" s="4"/>
      <c r="AA3588" s="4"/>
      <c r="AB3588" s="4"/>
      <c r="AC3588" s="7"/>
      <c r="AD3588" s="4"/>
      <c r="AE3588" s="4"/>
      <c r="AF3588" s="21"/>
    </row>
    <row r="3589" spans="24:32" x14ac:dyDescent="0.25">
      <c r="X3589" s="4"/>
      <c r="Y3589" s="4"/>
      <c r="Z3589" s="4"/>
      <c r="AA3589" s="4"/>
      <c r="AB3589" s="4"/>
      <c r="AC3589" s="7"/>
      <c r="AD3589" s="4"/>
      <c r="AE3589" s="4"/>
      <c r="AF3589" s="21"/>
    </row>
    <row r="3590" spans="24:32" x14ac:dyDescent="0.25">
      <c r="X3590" s="4"/>
      <c r="Y3590" s="4"/>
      <c r="Z3590" s="4"/>
      <c r="AA3590" s="4"/>
      <c r="AB3590" s="4"/>
      <c r="AC3590" s="7"/>
      <c r="AD3590" s="4"/>
      <c r="AE3590" s="4"/>
      <c r="AF3590" s="21"/>
    </row>
    <row r="3591" spans="24:32" x14ac:dyDescent="0.25">
      <c r="X3591" s="4"/>
      <c r="Y3591" s="4"/>
      <c r="Z3591" s="4"/>
      <c r="AA3591" s="4"/>
      <c r="AB3591" s="4"/>
      <c r="AC3591" s="7"/>
      <c r="AD3591" s="4"/>
      <c r="AE3591" s="4"/>
      <c r="AF3591" s="21"/>
    </row>
    <row r="3592" spans="24:32" x14ac:dyDescent="0.25">
      <c r="X3592" s="4"/>
      <c r="Y3592" s="4"/>
      <c r="Z3592" s="4"/>
      <c r="AA3592" s="4"/>
      <c r="AB3592" s="4"/>
      <c r="AC3592" s="7"/>
      <c r="AD3592" s="4"/>
      <c r="AE3592" s="4"/>
      <c r="AF3592" s="21"/>
    </row>
    <row r="3593" spans="24:32" x14ac:dyDescent="0.25">
      <c r="X3593" s="4"/>
      <c r="Y3593" s="4"/>
      <c r="Z3593" s="4"/>
      <c r="AA3593" s="4"/>
      <c r="AB3593" s="4"/>
      <c r="AC3593" s="7"/>
      <c r="AD3593" s="4"/>
      <c r="AE3593" s="4"/>
      <c r="AF3593" s="21"/>
    </row>
    <row r="3594" spans="24:32" x14ac:dyDescent="0.25">
      <c r="X3594" s="4"/>
      <c r="Y3594" s="4"/>
      <c r="Z3594" s="4"/>
      <c r="AA3594" s="4"/>
      <c r="AB3594" s="4"/>
      <c r="AC3594" s="7"/>
      <c r="AD3594" s="4"/>
      <c r="AE3594" s="4"/>
      <c r="AF3594" s="21"/>
    </row>
    <row r="3595" spans="24:32" x14ac:dyDescent="0.25">
      <c r="X3595" s="4"/>
      <c r="Y3595" s="4"/>
      <c r="Z3595" s="4"/>
      <c r="AA3595" s="4"/>
      <c r="AB3595" s="4"/>
      <c r="AC3595" s="7"/>
      <c r="AD3595" s="4"/>
      <c r="AE3595" s="4"/>
      <c r="AF3595" s="21"/>
    </row>
    <row r="3596" spans="24:32" x14ac:dyDescent="0.25">
      <c r="X3596" s="4"/>
      <c r="Y3596" s="4"/>
      <c r="Z3596" s="4"/>
      <c r="AA3596" s="4"/>
      <c r="AB3596" s="4"/>
      <c r="AC3596" s="7"/>
      <c r="AD3596" s="4"/>
      <c r="AE3596" s="4"/>
      <c r="AF3596" s="21"/>
    </row>
    <row r="3597" spans="24:32" x14ac:dyDescent="0.25">
      <c r="X3597" s="4"/>
      <c r="Y3597" s="4"/>
      <c r="Z3597" s="4"/>
      <c r="AA3597" s="4"/>
      <c r="AB3597" s="4"/>
      <c r="AC3597" s="7"/>
      <c r="AD3597" s="4"/>
      <c r="AE3597" s="4"/>
      <c r="AF3597" s="21"/>
    </row>
    <row r="3598" spans="24:32" x14ac:dyDescent="0.25">
      <c r="X3598" s="4"/>
      <c r="Y3598" s="4"/>
      <c r="Z3598" s="4"/>
      <c r="AA3598" s="4"/>
      <c r="AB3598" s="4"/>
      <c r="AC3598" s="7"/>
      <c r="AD3598" s="4"/>
      <c r="AE3598" s="4"/>
      <c r="AF3598" s="21"/>
    </row>
    <row r="3599" spans="24:32" x14ac:dyDescent="0.25">
      <c r="X3599" s="4"/>
      <c r="Y3599" s="4"/>
      <c r="Z3599" s="4"/>
      <c r="AA3599" s="4"/>
      <c r="AB3599" s="4"/>
      <c r="AC3599" s="7"/>
      <c r="AD3599" s="4"/>
      <c r="AE3599" s="4"/>
      <c r="AF3599" s="21"/>
    </row>
    <row r="3600" spans="24:32" x14ac:dyDescent="0.25">
      <c r="X3600" s="4"/>
      <c r="Y3600" s="4"/>
      <c r="Z3600" s="4"/>
      <c r="AA3600" s="4"/>
      <c r="AB3600" s="4"/>
      <c r="AC3600" s="7"/>
      <c r="AD3600" s="4"/>
      <c r="AE3600" s="4"/>
      <c r="AF3600" s="21"/>
    </row>
    <row r="3601" spans="24:32" x14ac:dyDescent="0.25">
      <c r="X3601" s="4"/>
      <c r="Y3601" s="4"/>
      <c r="Z3601" s="4"/>
      <c r="AA3601" s="4"/>
      <c r="AB3601" s="4"/>
      <c r="AC3601" s="7"/>
      <c r="AD3601" s="4"/>
      <c r="AE3601" s="4"/>
      <c r="AF3601" s="21"/>
    </row>
    <row r="3602" spans="24:32" x14ac:dyDescent="0.25">
      <c r="X3602" s="4"/>
      <c r="Y3602" s="4"/>
      <c r="Z3602" s="4"/>
      <c r="AA3602" s="4"/>
      <c r="AB3602" s="4"/>
      <c r="AC3602" s="7"/>
      <c r="AD3602" s="4"/>
      <c r="AE3602" s="4"/>
      <c r="AF3602" s="21"/>
    </row>
    <row r="3603" spans="24:32" x14ac:dyDescent="0.25">
      <c r="X3603" s="4"/>
      <c r="Y3603" s="4"/>
      <c r="Z3603" s="4"/>
      <c r="AA3603" s="4"/>
      <c r="AB3603" s="4"/>
      <c r="AC3603" s="7"/>
      <c r="AD3603" s="4"/>
      <c r="AE3603" s="4"/>
      <c r="AF3603" s="21"/>
    </row>
    <row r="3604" spans="24:32" x14ac:dyDescent="0.25">
      <c r="X3604" s="4"/>
      <c r="Y3604" s="4"/>
      <c r="Z3604" s="4"/>
      <c r="AA3604" s="4"/>
      <c r="AB3604" s="4"/>
      <c r="AC3604" s="7"/>
      <c r="AD3604" s="4"/>
      <c r="AE3604" s="4"/>
      <c r="AF3604" s="21"/>
    </row>
    <row r="3605" spans="24:32" x14ac:dyDescent="0.25">
      <c r="X3605" s="4"/>
      <c r="Y3605" s="4"/>
      <c r="Z3605" s="4"/>
      <c r="AA3605" s="4"/>
      <c r="AB3605" s="4"/>
      <c r="AC3605" s="7"/>
      <c r="AD3605" s="4"/>
      <c r="AE3605" s="4"/>
      <c r="AF3605" s="21"/>
    </row>
    <row r="3606" spans="24:32" x14ac:dyDescent="0.25">
      <c r="X3606" s="4"/>
      <c r="Y3606" s="4"/>
      <c r="Z3606" s="4"/>
      <c r="AA3606" s="4"/>
      <c r="AB3606" s="4"/>
      <c r="AC3606" s="7"/>
      <c r="AD3606" s="4"/>
      <c r="AE3606" s="4"/>
      <c r="AF3606" s="21"/>
    </row>
    <row r="3607" spans="24:32" x14ac:dyDescent="0.25">
      <c r="X3607" s="4"/>
      <c r="Y3607" s="4"/>
      <c r="Z3607" s="4"/>
      <c r="AA3607" s="4"/>
      <c r="AB3607" s="4"/>
      <c r="AC3607" s="7"/>
      <c r="AD3607" s="4"/>
      <c r="AE3607" s="4"/>
      <c r="AF3607" s="21"/>
    </row>
    <row r="3608" spans="24:32" x14ac:dyDescent="0.25">
      <c r="X3608" s="4"/>
      <c r="Y3608" s="4"/>
      <c r="Z3608" s="4"/>
      <c r="AA3608" s="4"/>
      <c r="AB3608" s="4"/>
      <c r="AC3608" s="7"/>
      <c r="AD3608" s="4"/>
      <c r="AE3608" s="4"/>
      <c r="AF3608" s="21"/>
    </row>
    <row r="3609" spans="24:32" x14ac:dyDescent="0.25">
      <c r="X3609" s="4"/>
      <c r="Y3609" s="4"/>
      <c r="Z3609" s="4"/>
      <c r="AA3609" s="4"/>
      <c r="AB3609" s="4"/>
      <c r="AC3609" s="7"/>
      <c r="AD3609" s="4"/>
      <c r="AE3609" s="4"/>
      <c r="AF3609" s="21"/>
    </row>
    <row r="3610" spans="24:32" x14ac:dyDescent="0.25">
      <c r="X3610" s="4"/>
      <c r="Y3610" s="4"/>
      <c r="Z3610" s="4"/>
      <c r="AA3610" s="4"/>
      <c r="AB3610" s="4"/>
      <c r="AC3610" s="7"/>
      <c r="AD3610" s="4"/>
      <c r="AE3610" s="4"/>
      <c r="AF3610" s="21"/>
    </row>
    <row r="3611" spans="24:32" x14ac:dyDescent="0.25">
      <c r="X3611" s="4"/>
      <c r="Y3611" s="4"/>
      <c r="Z3611" s="4"/>
      <c r="AA3611" s="4"/>
      <c r="AB3611" s="4"/>
      <c r="AC3611" s="7"/>
      <c r="AD3611" s="4"/>
      <c r="AE3611" s="4"/>
      <c r="AF3611" s="21"/>
    </row>
    <row r="3612" spans="24:32" x14ac:dyDescent="0.25">
      <c r="X3612" s="4"/>
      <c r="Y3612" s="4"/>
      <c r="Z3612" s="4"/>
      <c r="AA3612" s="4"/>
      <c r="AB3612" s="4"/>
      <c r="AC3612" s="7"/>
      <c r="AD3612" s="4"/>
      <c r="AE3612" s="4"/>
      <c r="AF3612" s="21"/>
    </row>
    <row r="3613" spans="24:32" x14ac:dyDescent="0.25">
      <c r="X3613" s="4"/>
      <c r="Y3613" s="4"/>
      <c r="Z3613" s="4"/>
      <c r="AA3613" s="4"/>
      <c r="AB3613" s="4"/>
      <c r="AC3613" s="7"/>
      <c r="AD3613" s="4"/>
      <c r="AE3613" s="4"/>
      <c r="AF3613" s="21"/>
    </row>
    <row r="3614" spans="24:32" x14ac:dyDescent="0.25">
      <c r="X3614" s="4"/>
      <c r="Y3614" s="4"/>
      <c r="Z3614" s="4"/>
      <c r="AA3614" s="4"/>
      <c r="AB3614" s="4"/>
      <c r="AC3614" s="7"/>
      <c r="AD3614" s="4"/>
      <c r="AE3614" s="4"/>
      <c r="AF3614" s="21"/>
    </row>
    <row r="3615" spans="24:32" x14ac:dyDescent="0.25">
      <c r="X3615" s="4"/>
      <c r="Y3615" s="4"/>
      <c r="Z3615" s="4"/>
      <c r="AA3615" s="4"/>
      <c r="AB3615" s="4"/>
      <c r="AC3615" s="7"/>
      <c r="AD3615" s="4"/>
      <c r="AE3615" s="4"/>
      <c r="AF3615" s="21"/>
    </row>
    <row r="3616" spans="24:32" x14ac:dyDescent="0.25">
      <c r="X3616" s="4"/>
      <c r="Y3616" s="4"/>
      <c r="Z3616" s="4"/>
      <c r="AA3616" s="4"/>
      <c r="AB3616" s="4"/>
      <c r="AC3616" s="7"/>
      <c r="AD3616" s="4"/>
      <c r="AE3616" s="4"/>
      <c r="AF3616" s="21"/>
    </row>
    <row r="3617" spans="24:32" x14ac:dyDescent="0.25">
      <c r="X3617" s="4"/>
      <c r="Y3617" s="4"/>
      <c r="Z3617" s="4"/>
      <c r="AA3617" s="4"/>
      <c r="AB3617" s="4"/>
      <c r="AC3617" s="7"/>
      <c r="AD3617" s="4"/>
      <c r="AE3617" s="4"/>
      <c r="AF3617" s="21"/>
    </row>
    <row r="3618" spans="24:32" x14ac:dyDescent="0.25">
      <c r="X3618" s="4"/>
      <c r="Y3618" s="4"/>
      <c r="Z3618" s="4"/>
      <c r="AA3618" s="4"/>
      <c r="AB3618" s="4"/>
      <c r="AC3618" s="7"/>
      <c r="AD3618" s="4"/>
      <c r="AE3618" s="4"/>
      <c r="AF3618" s="21"/>
    </row>
    <row r="3619" spans="24:32" x14ac:dyDescent="0.25">
      <c r="X3619" s="4"/>
      <c r="Y3619" s="4"/>
      <c r="Z3619" s="4"/>
      <c r="AA3619" s="4"/>
      <c r="AB3619" s="4"/>
      <c r="AC3619" s="7"/>
      <c r="AD3619" s="4"/>
      <c r="AE3619" s="4"/>
      <c r="AF3619" s="21"/>
    </row>
    <row r="3620" spans="24:32" x14ac:dyDescent="0.25">
      <c r="X3620" s="4"/>
      <c r="Y3620" s="4"/>
      <c r="Z3620" s="4"/>
      <c r="AA3620" s="4"/>
      <c r="AB3620" s="4"/>
      <c r="AC3620" s="7"/>
      <c r="AD3620" s="4"/>
      <c r="AE3620" s="4"/>
      <c r="AF3620" s="21"/>
    </row>
    <row r="3621" spans="24:32" x14ac:dyDescent="0.25">
      <c r="X3621" s="4"/>
      <c r="Y3621" s="4"/>
      <c r="Z3621" s="4"/>
      <c r="AA3621" s="4"/>
      <c r="AB3621" s="4"/>
      <c r="AC3621" s="7"/>
      <c r="AD3621" s="4"/>
      <c r="AE3621" s="4"/>
      <c r="AF3621" s="21"/>
    </row>
    <row r="3622" spans="24:32" x14ac:dyDescent="0.25">
      <c r="X3622" s="4"/>
      <c r="Y3622" s="4"/>
      <c r="Z3622" s="4"/>
      <c r="AA3622" s="4"/>
      <c r="AB3622" s="4"/>
      <c r="AC3622" s="7"/>
      <c r="AD3622" s="4"/>
      <c r="AE3622" s="4"/>
      <c r="AF3622" s="21"/>
    </row>
    <row r="3623" spans="24:32" x14ac:dyDescent="0.25">
      <c r="X3623" s="4"/>
      <c r="Y3623" s="4"/>
      <c r="Z3623" s="4"/>
      <c r="AA3623" s="4"/>
      <c r="AB3623" s="4"/>
      <c r="AC3623" s="7"/>
      <c r="AD3623" s="4"/>
      <c r="AE3623" s="4"/>
      <c r="AF3623" s="21"/>
    </row>
    <row r="3624" spans="24:32" x14ac:dyDescent="0.25">
      <c r="X3624" s="4"/>
      <c r="Y3624" s="4"/>
      <c r="Z3624" s="4"/>
      <c r="AA3624" s="4"/>
      <c r="AB3624" s="4"/>
      <c r="AC3624" s="7"/>
      <c r="AD3624" s="4"/>
      <c r="AE3624" s="4"/>
      <c r="AF3624" s="21"/>
    </row>
    <row r="3625" spans="24:32" x14ac:dyDescent="0.25">
      <c r="X3625" s="4"/>
      <c r="Y3625" s="4"/>
      <c r="Z3625" s="4"/>
      <c r="AA3625" s="4"/>
      <c r="AB3625" s="4"/>
      <c r="AC3625" s="7"/>
      <c r="AD3625" s="4"/>
      <c r="AE3625" s="4"/>
      <c r="AF3625" s="21"/>
    </row>
    <row r="3626" spans="24:32" x14ac:dyDescent="0.25">
      <c r="X3626" s="4"/>
      <c r="Y3626" s="4"/>
      <c r="Z3626" s="4"/>
      <c r="AA3626" s="4"/>
      <c r="AB3626" s="4"/>
      <c r="AC3626" s="7"/>
      <c r="AD3626" s="4"/>
      <c r="AE3626" s="4"/>
      <c r="AF3626" s="21"/>
    </row>
    <row r="3627" spans="24:32" x14ac:dyDescent="0.25">
      <c r="X3627" s="4"/>
      <c r="Y3627" s="4"/>
      <c r="Z3627" s="4"/>
      <c r="AA3627" s="4"/>
      <c r="AB3627" s="4"/>
      <c r="AC3627" s="7"/>
      <c r="AD3627" s="4"/>
      <c r="AE3627" s="4"/>
      <c r="AF3627" s="21"/>
    </row>
    <row r="3628" spans="24:32" x14ac:dyDescent="0.25">
      <c r="X3628" s="4"/>
      <c r="Y3628" s="4"/>
      <c r="Z3628" s="4"/>
      <c r="AA3628" s="4"/>
      <c r="AB3628" s="4"/>
      <c r="AC3628" s="7"/>
      <c r="AD3628" s="4"/>
      <c r="AE3628" s="4"/>
      <c r="AF3628" s="21"/>
    </row>
    <row r="3629" spans="24:32" x14ac:dyDescent="0.25">
      <c r="X3629" s="4"/>
      <c r="Y3629" s="4"/>
      <c r="Z3629" s="4"/>
      <c r="AA3629" s="4"/>
      <c r="AB3629" s="4"/>
      <c r="AC3629" s="7"/>
      <c r="AD3629" s="4"/>
      <c r="AE3629" s="4"/>
      <c r="AF3629" s="21"/>
    </row>
    <row r="3630" spans="24:32" x14ac:dyDescent="0.25">
      <c r="X3630" s="4"/>
      <c r="Y3630" s="4"/>
      <c r="Z3630" s="4"/>
      <c r="AA3630" s="4"/>
      <c r="AB3630" s="4"/>
      <c r="AC3630" s="7"/>
      <c r="AD3630" s="4"/>
      <c r="AE3630" s="4"/>
      <c r="AF3630" s="21"/>
    </row>
    <row r="3631" spans="24:32" x14ac:dyDescent="0.25">
      <c r="X3631" s="4"/>
      <c r="Y3631" s="4"/>
      <c r="Z3631" s="4"/>
      <c r="AA3631" s="4"/>
      <c r="AB3631" s="4"/>
      <c r="AC3631" s="7"/>
      <c r="AD3631" s="4"/>
      <c r="AE3631" s="4"/>
      <c r="AF3631" s="21"/>
    </row>
    <row r="3632" spans="24:32" x14ac:dyDescent="0.25">
      <c r="X3632" s="4"/>
      <c r="Y3632" s="4"/>
      <c r="Z3632" s="4"/>
      <c r="AA3632" s="4"/>
      <c r="AB3632" s="4"/>
      <c r="AC3632" s="7"/>
      <c r="AD3632" s="4"/>
      <c r="AE3632" s="4"/>
      <c r="AF3632" s="21"/>
    </row>
    <row r="3633" spans="24:32" x14ac:dyDescent="0.25">
      <c r="X3633" s="4"/>
      <c r="Y3633" s="4"/>
      <c r="Z3633" s="4"/>
      <c r="AA3633" s="4"/>
      <c r="AB3633" s="4"/>
      <c r="AC3633" s="7"/>
      <c r="AD3633" s="4"/>
      <c r="AE3633" s="4"/>
      <c r="AF3633" s="21"/>
    </row>
    <row r="3634" spans="24:32" x14ac:dyDescent="0.25">
      <c r="X3634" s="4"/>
      <c r="Y3634" s="4"/>
      <c r="Z3634" s="4"/>
      <c r="AA3634" s="4"/>
      <c r="AB3634" s="4"/>
      <c r="AC3634" s="7"/>
      <c r="AD3634" s="4"/>
      <c r="AE3634" s="4"/>
      <c r="AF3634" s="21"/>
    </row>
    <row r="3635" spans="24:32" x14ac:dyDescent="0.25">
      <c r="X3635" s="4"/>
      <c r="Y3635" s="4"/>
      <c r="Z3635" s="4"/>
      <c r="AA3635" s="4"/>
      <c r="AB3635" s="4"/>
      <c r="AC3635" s="7"/>
      <c r="AD3635" s="4"/>
      <c r="AE3635" s="4"/>
      <c r="AF3635" s="21"/>
    </row>
    <row r="3636" spans="24:32" x14ac:dyDescent="0.25">
      <c r="X3636" s="4"/>
      <c r="Y3636" s="4"/>
      <c r="Z3636" s="4"/>
      <c r="AA3636" s="4"/>
      <c r="AB3636" s="4"/>
      <c r="AC3636" s="7"/>
      <c r="AD3636" s="4"/>
      <c r="AE3636" s="4"/>
      <c r="AF3636" s="21"/>
    </row>
    <row r="3637" spans="24:32" x14ac:dyDescent="0.25">
      <c r="X3637" s="4"/>
      <c r="Y3637" s="4"/>
      <c r="Z3637" s="4"/>
      <c r="AA3637" s="4"/>
      <c r="AB3637" s="4"/>
      <c r="AC3637" s="7"/>
      <c r="AD3637" s="4"/>
      <c r="AE3637" s="4"/>
      <c r="AF3637" s="21"/>
    </row>
    <row r="3638" spans="24:32" x14ac:dyDescent="0.25">
      <c r="X3638" s="4"/>
      <c r="Y3638" s="4"/>
      <c r="Z3638" s="4"/>
      <c r="AA3638" s="4"/>
      <c r="AB3638" s="4"/>
      <c r="AC3638" s="7"/>
      <c r="AD3638" s="4"/>
      <c r="AE3638" s="4"/>
      <c r="AF3638" s="21"/>
    </row>
    <row r="3639" spans="24:32" x14ac:dyDescent="0.25">
      <c r="X3639" s="4"/>
      <c r="Y3639" s="4"/>
      <c r="Z3639" s="4"/>
      <c r="AA3639" s="4"/>
      <c r="AB3639" s="4"/>
      <c r="AC3639" s="7"/>
      <c r="AD3639" s="4"/>
      <c r="AE3639" s="4"/>
      <c r="AF3639" s="21"/>
    </row>
    <row r="3640" spans="24:32" x14ac:dyDescent="0.25">
      <c r="X3640" s="4"/>
      <c r="Y3640" s="4"/>
      <c r="Z3640" s="4"/>
      <c r="AA3640" s="4"/>
      <c r="AB3640" s="4"/>
      <c r="AC3640" s="7"/>
      <c r="AD3640" s="4"/>
      <c r="AE3640" s="4"/>
      <c r="AF3640" s="21"/>
    </row>
    <row r="3641" spans="24:32" x14ac:dyDescent="0.25">
      <c r="X3641" s="4"/>
      <c r="Y3641" s="4"/>
      <c r="Z3641" s="4"/>
      <c r="AA3641" s="4"/>
      <c r="AB3641" s="4"/>
      <c r="AC3641" s="7"/>
      <c r="AD3641" s="4"/>
      <c r="AE3641" s="4"/>
      <c r="AF3641" s="21"/>
    </row>
    <row r="3642" spans="24:32" x14ac:dyDescent="0.25">
      <c r="X3642" s="4"/>
      <c r="Y3642" s="4"/>
      <c r="Z3642" s="4"/>
      <c r="AA3642" s="4"/>
      <c r="AB3642" s="4"/>
      <c r="AC3642" s="7"/>
      <c r="AD3642" s="4"/>
      <c r="AE3642" s="4"/>
      <c r="AF3642" s="21"/>
    </row>
    <row r="3643" spans="24:32" x14ac:dyDescent="0.25">
      <c r="X3643" s="4"/>
      <c r="Y3643" s="4"/>
      <c r="Z3643" s="4"/>
      <c r="AA3643" s="4"/>
      <c r="AB3643" s="4"/>
      <c r="AC3643" s="7"/>
      <c r="AD3643" s="4"/>
      <c r="AE3643" s="4"/>
      <c r="AF3643" s="21"/>
    </row>
    <row r="3644" spans="24:32" x14ac:dyDescent="0.25">
      <c r="X3644" s="4"/>
      <c r="Y3644" s="4"/>
      <c r="Z3644" s="4"/>
      <c r="AA3644" s="4"/>
      <c r="AB3644" s="4"/>
      <c r="AC3644" s="7"/>
      <c r="AD3644" s="4"/>
      <c r="AE3644" s="4"/>
      <c r="AF3644" s="21"/>
    </row>
    <row r="3645" spans="24:32" x14ac:dyDescent="0.25">
      <c r="X3645" s="4"/>
      <c r="Y3645" s="4"/>
      <c r="Z3645" s="4"/>
      <c r="AA3645" s="4"/>
      <c r="AB3645" s="4"/>
      <c r="AC3645" s="7"/>
      <c r="AD3645" s="4"/>
      <c r="AE3645" s="4"/>
      <c r="AF3645" s="21"/>
    </row>
    <row r="3646" spans="24:32" x14ac:dyDescent="0.25">
      <c r="X3646" s="4"/>
      <c r="Y3646" s="4"/>
      <c r="Z3646" s="4"/>
      <c r="AA3646" s="4"/>
      <c r="AB3646" s="4"/>
      <c r="AC3646" s="7"/>
      <c r="AD3646" s="4"/>
      <c r="AE3646" s="4"/>
      <c r="AF3646" s="21"/>
    </row>
    <row r="3647" spans="24:32" x14ac:dyDescent="0.25">
      <c r="X3647" s="4"/>
      <c r="Y3647" s="4"/>
      <c r="Z3647" s="4"/>
      <c r="AA3647" s="4"/>
      <c r="AB3647" s="4"/>
      <c r="AC3647" s="7"/>
      <c r="AD3647" s="4"/>
      <c r="AE3647" s="4"/>
      <c r="AF3647" s="21"/>
    </row>
    <row r="3648" spans="24:32" x14ac:dyDescent="0.25">
      <c r="X3648" s="4"/>
      <c r="Y3648" s="4"/>
      <c r="Z3648" s="4"/>
      <c r="AA3648" s="4"/>
      <c r="AB3648" s="4"/>
      <c r="AC3648" s="7"/>
      <c r="AD3648" s="4"/>
      <c r="AE3648" s="4"/>
      <c r="AF3648" s="21"/>
    </row>
    <row r="3649" spans="24:32" x14ac:dyDescent="0.25">
      <c r="X3649" s="4"/>
      <c r="Y3649" s="4"/>
      <c r="Z3649" s="4"/>
      <c r="AA3649" s="4"/>
      <c r="AB3649" s="4"/>
      <c r="AC3649" s="7"/>
      <c r="AD3649" s="4"/>
      <c r="AE3649" s="4"/>
      <c r="AF3649" s="21"/>
    </row>
    <row r="3650" spans="24:32" x14ac:dyDescent="0.25">
      <c r="X3650" s="4"/>
      <c r="Y3650" s="4"/>
      <c r="Z3650" s="4"/>
      <c r="AA3650" s="4"/>
      <c r="AB3650" s="4"/>
      <c r="AC3650" s="7"/>
      <c r="AD3650" s="4"/>
      <c r="AE3650" s="4"/>
      <c r="AF3650" s="21"/>
    </row>
    <row r="3651" spans="24:32" x14ac:dyDescent="0.25">
      <c r="X3651" s="4"/>
      <c r="Y3651" s="4"/>
      <c r="Z3651" s="4"/>
      <c r="AA3651" s="4"/>
      <c r="AB3651" s="4"/>
      <c r="AC3651" s="7"/>
      <c r="AD3651" s="4"/>
      <c r="AE3651" s="4"/>
      <c r="AF3651" s="21"/>
    </row>
    <row r="3652" spans="24:32" x14ac:dyDescent="0.25">
      <c r="X3652" s="4"/>
      <c r="Y3652" s="4"/>
      <c r="Z3652" s="4"/>
      <c r="AA3652" s="4"/>
      <c r="AB3652" s="4"/>
      <c r="AC3652" s="7"/>
      <c r="AD3652" s="4"/>
      <c r="AE3652" s="4"/>
      <c r="AF3652" s="21"/>
    </row>
    <row r="3653" spans="24:32" x14ac:dyDescent="0.25">
      <c r="X3653" s="4"/>
      <c r="Y3653" s="4"/>
      <c r="Z3653" s="4"/>
      <c r="AA3653" s="4"/>
      <c r="AB3653" s="4"/>
      <c r="AC3653" s="7"/>
      <c r="AD3653" s="4"/>
      <c r="AE3653" s="4"/>
      <c r="AF3653" s="21"/>
    </row>
    <row r="3654" spans="24:32" x14ac:dyDescent="0.25">
      <c r="X3654" s="4"/>
      <c r="Y3654" s="4"/>
      <c r="Z3654" s="4"/>
      <c r="AA3654" s="4"/>
      <c r="AB3654" s="4"/>
      <c r="AC3654" s="7"/>
      <c r="AD3654" s="4"/>
      <c r="AE3654" s="4"/>
      <c r="AF3654" s="21"/>
    </row>
    <row r="3655" spans="24:32" x14ac:dyDescent="0.25">
      <c r="X3655" s="4"/>
      <c r="Y3655" s="4"/>
      <c r="Z3655" s="4"/>
      <c r="AA3655" s="4"/>
      <c r="AB3655" s="4"/>
      <c r="AC3655" s="7"/>
      <c r="AD3655" s="4"/>
      <c r="AE3655" s="4"/>
      <c r="AF3655" s="21"/>
    </row>
    <row r="3656" spans="24:32" x14ac:dyDescent="0.25">
      <c r="X3656" s="4"/>
      <c r="Y3656" s="4"/>
      <c r="Z3656" s="4"/>
      <c r="AA3656" s="4"/>
      <c r="AB3656" s="4"/>
      <c r="AC3656" s="7"/>
      <c r="AD3656" s="4"/>
      <c r="AE3656" s="4"/>
      <c r="AF3656" s="21"/>
    </row>
    <row r="3657" spans="24:32" x14ac:dyDescent="0.25">
      <c r="X3657" s="4"/>
      <c r="Y3657" s="4"/>
      <c r="Z3657" s="4"/>
      <c r="AA3657" s="4"/>
      <c r="AB3657" s="4"/>
      <c r="AC3657" s="7"/>
      <c r="AD3657" s="4"/>
      <c r="AE3657" s="4"/>
      <c r="AF3657" s="21"/>
    </row>
    <row r="3658" spans="24:32" x14ac:dyDescent="0.25">
      <c r="X3658" s="4"/>
      <c r="Y3658" s="4"/>
      <c r="Z3658" s="4"/>
      <c r="AA3658" s="4"/>
      <c r="AB3658" s="4"/>
      <c r="AC3658" s="7"/>
      <c r="AD3658" s="4"/>
      <c r="AE3658" s="4"/>
      <c r="AF3658" s="21"/>
    </row>
    <row r="3659" spans="24:32" x14ac:dyDescent="0.25">
      <c r="X3659" s="4"/>
      <c r="Y3659" s="4"/>
      <c r="Z3659" s="4"/>
      <c r="AA3659" s="4"/>
      <c r="AB3659" s="4"/>
      <c r="AC3659" s="7"/>
      <c r="AD3659" s="4"/>
      <c r="AE3659" s="4"/>
      <c r="AF3659" s="21"/>
    </row>
    <row r="3660" spans="24:32" x14ac:dyDescent="0.25">
      <c r="X3660" s="4"/>
      <c r="Y3660" s="4"/>
      <c r="Z3660" s="4"/>
      <c r="AA3660" s="4"/>
      <c r="AB3660" s="4"/>
      <c r="AC3660" s="7"/>
      <c r="AD3660" s="4"/>
      <c r="AE3660" s="4"/>
      <c r="AF3660" s="21"/>
    </row>
    <row r="3661" spans="24:32" x14ac:dyDescent="0.25">
      <c r="X3661" s="4"/>
      <c r="Y3661" s="4"/>
      <c r="Z3661" s="4"/>
      <c r="AA3661" s="4"/>
      <c r="AB3661" s="4"/>
      <c r="AC3661" s="7"/>
      <c r="AD3661" s="4"/>
      <c r="AE3661" s="4"/>
      <c r="AF3661" s="21"/>
    </row>
    <row r="3662" spans="24:32" x14ac:dyDescent="0.25">
      <c r="X3662" s="4"/>
      <c r="Y3662" s="4"/>
      <c r="Z3662" s="4"/>
      <c r="AA3662" s="4"/>
      <c r="AB3662" s="4"/>
      <c r="AC3662" s="7"/>
      <c r="AD3662" s="4"/>
      <c r="AE3662" s="4"/>
      <c r="AF3662" s="21"/>
    </row>
    <row r="3663" spans="24:32" x14ac:dyDescent="0.25">
      <c r="X3663" s="4"/>
      <c r="Y3663" s="4"/>
      <c r="Z3663" s="4"/>
      <c r="AA3663" s="4"/>
      <c r="AB3663" s="4"/>
      <c r="AC3663" s="7"/>
      <c r="AD3663" s="4"/>
      <c r="AE3663" s="4"/>
      <c r="AF3663" s="21"/>
    </row>
    <row r="3664" spans="24:32" x14ac:dyDescent="0.25">
      <c r="X3664" s="4"/>
      <c r="Y3664" s="4"/>
      <c r="Z3664" s="4"/>
      <c r="AA3664" s="4"/>
      <c r="AB3664" s="4"/>
      <c r="AC3664" s="7"/>
      <c r="AD3664" s="4"/>
      <c r="AE3664" s="4"/>
      <c r="AF3664" s="21"/>
    </row>
    <row r="3665" spans="24:32" x14ac:dyDescent="0.25">
      <c r="X3665" s="4"/>
      <c r="Y3665" s="4"/>
      <c r="Z3665" s="4"/>
      <c r="AA3665" s="4"/>
      <c r="AB3665" s="4"/>
      <c r="AC3665" s="7"/>
      <c r="AD3665" s="4"/>
      <c r="AE3665" s="4"/>
      <c r="AF3665" s="21"/>
    </row>
    <row r="3666" spans="24:32" x14ac:dyDescent="0.25">
      <c r="X3666" s="4"/>
      <c r="Y3666" s="4"/>
      <c r="Z3666" s="4"/>
      <c r="AA3666" s="4"/>
      <c r="AB3666" s="4"/>
      <c r="AC3666" s="7"/>
      <c r="AD3666" s="4"/>
      <c r="AE3666" s="4"/>
      <c r="AF3666" s="21"/>
    </row>
    <row r="3667" spans="24:32" x14ac:dyDescent="0.25">
      <c r="X3667" s="4"/>
      <c r="Y3667" s="4"/>
      <c r="Z3667" s="4"/>
      <c r="AA3667" s="4"/>
      <c r="AB3667" s="4"/>
      <c r="AC3667" s="7"/>
      <c r="AD3667" s="4"/>
      <c r="AE3667" s="4"/>
      <c r="AF3667" s="21"/>
    </row>
    <row r="3668" spans="24:32" x14ac:dyDescent="0.25">
      <c r="X3668" s="4"/>
      <c r="Y3668" s="4"/>
      <c r="Z3668" s="4"/>
      <c r="AA3668" s="4"/>
      <c r="AB3668" s="4"/>
      <c r="AC3668" s="7"/>
      <c r="AD3668" s="4"/>
      <c r="AE3668" s="4"/>
      <c r="AF3668" s="21"/>
    </row>
    <row r="3669" spans="24:32" x14ac:dyDescent="0.25">
      <c r="X3669" s="4"/>
      <c r="Y3669" s="4"/>
      <c r="Z3669" s="4"/>
      <c r="AA3669" s="4"/>
      <c r="AB3669" s="4"/>
      <c r="AC3669" s="7"/>
      <c r="AD3669" s="4"/>
      <c r="AE3669" s="4"/>
      <c r="AF3669" s="21"/>
    </row>
    <row r="3670" spans="24:32" x14ac:dyDescent="0.25">
      <c r="X3670" s="4"/>
      <c r="Y3670" s="4"/>
      <c r="Z3670" s="4"/>
      <c r="AA3670" s="4"/>
      <c r="AB3670" s="4"/>
      <c r="AC3670" s="7"/>
      <c r="AD3670" s="4"/>
      <c r="AE3670" s="4"/>
      <c r="AF3670" s="21"/>
    </row>
    <row r="3671" spans="24:32" x14ac:dyDescent="0.25">
      <c r="X3671" s="4"/>
      <c r="Y3671" s="4"/>
      <c r="Z3671" s="4"/>
      <c r="AA3671" s="4"/>
      <c r="AB3671" s="4"/>
      <c r="AC3671" s="7"/>
      <c r="AD3671" s="4"/>
      <c r="AE3671" s="4"/>
      <c r="AF3671" s="21"/>
    </row>
    <row r="3672" spans="24:32" x14ac:dyDescent="0.25">
      <c r="X3672" s="4"/>
      <c r="Y3672" s="4"/>
      <c r="Z3672" s="4"/>
      <c r="AA3672" s="4"/>
      <c r="AB3672" s="4"/>
      <c r="AC3672" s="7"/>
      <c r="AD3672" s="4"/>
      <c r="AE3672" s="4"/>
      <c r="AF3672" s="21"/>
    </row>
    <row r="3673" spans="24:32" x14ac:dyDescent="0.25">
      <c r="X3673" s="4"/>
      <c r="Y3673" s="4"/>
      <c r="Z3673" s="4"/>
      <c r="AA3673" s="4"/>
      <c r="AB3673" s="4"/>
      <c r="AC3673" s="7"/>
      <c r="AD3673" s="4"/>
      <c r="AE3673" s="4"/>
      <c r="AF3673" s="21"/>
    </row>
    <row r="3674" spans="24:32" x14ac:dyDescent="0.25">
      <c r="X3674" s="4"/>
      <c r="Y3674" s="4"/>
      <c r="Z3674" s="4"/>
      <c r="AA3674" s="4"/>
      <c r="AB3674" s="4"/>
      <c r="AC3674" s="7"/>
      <c r="AD3674" s="4"/>
      <c r="AE3674" s="4"/>
      <c r="AF3674" s="21"/>
    </row>
    <row r="3675" spans="24:32" x14ac:dyDescent="0.25">
      <c r="X3675" s="4"/>
      <c r="Y3675" s="4"/>
      <c r="Z3675" s="4"/>
      <c r="AA3675" s="4"/>
      <c r="AB3675" s="4"/>
      <c r="AC3675" s="7"/>
      <c r="AD3675" s="4"/>
      <c r="AE3675" s="4"/>
      <c r="AF3675" s="21"/>
    </row>
    <row r="3676" spans="24:32" x14ac:dyDescent="0.25">
      <c r="X3676" s="4"/>
      <c r="Y3676" s="4"/>
      <c r="Z3676" s="4"/>
      <c r="AA3676" s="4"/>
      <c r="AB3676" s="4"/>
      <c r="AC3676" s="7"/>
      <c r="AD3676" s="4"/>
      <c r="AE3676" s="4"/>
      <c r="AF3676" s="21"/>
    </row>
    <row r="3677" spans="24:32" x14ac:dyDescent="0.25">
      <c r="X3677" s="4"/>
      <c r="Y3677" s="4"/>
      <c r="Z3677" s="4"/>
      <c r="AA3677" s="4"/>
      <c r="AB3677" s="4"/>
      <c r="AC3677" s="7"/>
      <c r="AD3677" s="4"/>
      <c r="AE3677" s="4"/>
      <c r="AF3677" s="21"/>
    </row>
    <row r="3678" spans="24:32" x14ac:dyDescent="0.25">
      <c r="X3678" s="4"/>
      <c r="Y3678" s="4"/>
      <c r="Z3678" s="4"/>
      <c r="AA3678" s="4"/>
      <c r="AB3678" s="4"/>
      <c r="AC3678" s="7"/>
      <c r="AD3678" s="4"/>
      <c r="AE3678" s="4"/>
      <c r="AF3678" s="21"/>
    </row>
    <row r="3679" spans="24:32" x14ac:dyDescent="0.25">
      <c r="X3679" s="4"/>
      <c r="Y3679" s="4"/>
      <c r="Z3679" s="4"/>
      <c r="AA3679" s="4"/>
      <c r="AB3679" s="4"/>
      <c r="AC3679" s="7"/>
      <c r="AD3679" s="4"/>
      <c r="AE3679" s="4"/>
      <c r="AF3679" s="21"/>
    </row>
    <row r="3680" spans="24:32" x14ac:dyDescent="0.25">
      <c r="X3680" s="4"/>
      <c r="Y3680" s="4"/>
      <c r="Z3680" s="4"/>
      <c r="AA3680" s="4"/>
      <c r="AB3680" s="4"/>
      <c r="AC3680" s="7"/>
      <c r="AD3680" s="4"/>
      <c r="AE3680" s="4"/>
      <c r="AF3680" s="21"/>
    </row>
    <row r="3681" spans="24:32" x14ac:dyDescent="0.25">
      <c r="X3681" s="4"/>
      <c r="Y3681" s="4"/>
      <c r="Z3681" s="4"/>
      <c r="AA3681" s="4"/>
      <c r="AB3681" s="4"/>
      <c r="AC3681" s="7"/>
      <c r="AD3681" s="4"/>
      <c r="AE3681" s="4"/>
      <c r="AF3681" s="21"/>
    </row>
    <row r="3682" spans="24:32" x14ac:dyDescent="0.25">
      <c r="X3682" s="4"/>
      <c r="Y3682" s="4"/>
      <c r="Z3682" s="4"/>
      <c r="AA3682" s="4"/>
      <c r="AB3682" s="4"/>
      <c r="AC3682" s="7"/>
      <c r="AD3682" s="4"/>
      <c r="AE3682" s="4"/>
      <c r="AF3682" s="21"/>
    </row>
    <row r="3683" spans="24:32" x14ac:dyDescent="0.25">
      <c r="X3683" s="4"/>
      <c r="Y3683" s="4"/>
      <c r="Z3683" s="4"/>
      <c r="AA3683" s="4"/>
      <c r="AB3683" s="4"/>
      <c r="AC3683" s="7"/>
      <c r="AD3683" s="4"/>
      <c r="AE3683" s="4"/>
      <c r="AF3683" s="21"/>
    </row>
    <row r="3684" spans="24:32" x14ac:dyDescent="0.25">
      <c r="X3684" s="4"/>
      <c r="Y3684" s="4"/>
      <c r="Z3684" s="4"/>
      <c r="AA3684" s="4"/>
      <c r="AB3684" s="4"/>
      <c r="AC3684" s="7"/>
      <c r="AD3684" s="4"/>
      <c r="AE3684" s="4"/>
      <c r="AF3684" s="21"/>
    </row>
    <row r="3685" spans="24:32" x14ac:dyDescent="0.25">
      <c r="X3685" s="4"/>
      <c r="Y3685" s="4"/>
      <c r="Z3685" s="4"/>
      <c r="AA3685" s="4"/>
      <c r="AB3685" s="4"/>
      <c r="AC3685" s="7"/>
      <c r="AD3685" s="4"/>
      <c r="AE3685" s="4"/>
      <c r="AF3685" s="21"/>
    </row>
    <row r="3686" spans="24:32" x14ac:dyDescent="0.25">
      <c r="X3686" s="4"/>
      <c r="Y3686" s="4"/>
      <c r="Z3686" s="4"/>
      <c r="AA3686" s="4"/>
      <c r="AB3686" s="4"/>
      <c r="AC3686" s="7"/>
      <c r="AD3686" s="4"/>
      <c r="AE3686" s="4"/>
      <c r="AF3686" s="21"/>
    </row>
    <row r="3687" spans="24:32" x14ac:dyDescent="0.25">
      <c r="X3687" s="4"/>
      <c r="Y3687" s="4"/>
      <c r="Z3687" s="4"/>
      <c r="AA3687" s="4"/>
      <c r="AB3687" s="4"/>
      <c r="AC3687" s="7"/>
      <c r="AD3687" s="4"/>
      <c r="AE3687" s="4"/>
      <c r="AF3687" s="21"/>
    </row>
    <row r="3688" spans="24:32" x14ac:dyDescent="0.25">
      <c r="X3688" s="4"/>
      <c r="Y3688" s="4"/>
      <c r="Z3688" s="4"/>
      <c r="AA3688" s="4"/>
      <c r="AB3688" s="4"/>
      <c r="AC3688" s="7"/>
      <c r="AD3688" s="4"/>
      <c r="AE3688" s="4"/>
      <c r="AF3688" s="21"/>
    </row>
    <row r="3689" spans="24:32" x14ac:dyDescent="0.25">
      <c r="X3689" s="4"/>
      <c r="Y3689" s="4"/>
      <c r="Z3689" s="4"/>
      <c r="AA3689" s="4"/>
      <c r="AB3689" s="4"/>
      <c r="AC3689" s="7"/>
      <c r="AD3689" s="4"/>
      <c r="AE3689" s="4"/>
      <c r="AF3689" s="21"/>
    </row>
    <row r="3690" spans="24:32" x14ac:dyDescent="0.25">
      <c r="X3690" s="4"/>
      <c r="Y3690" s="4"/>
      <c r="Z3690" s="4"/>
      <c r="AA3690" s="4"/>
      <c r="AB3690" s="4"/>
      <c r="AC3690" s="7"/>
      <c r="AD3690" s="4"/>
      <c r="AE3690" s="4"/>
      <c r="AF3690" s="21"/>
    </row>
    <row r="3691" spans="24:32" x14ac:dyDescent="0.25">
      <c r="X3691" s="4"/>
      <c r="Y3691" s="4"/>
      <c r="Z3691" s="4"/>
      <c r="AA3691" s="4"/>
      <c r="AB3691" s="4"/>
      <c r="AC3691" s="7"/>
      <c r="AD3691" s="4"/>
      <c r="AE3691" s="4"/>
      <c r="AF3691" s="21"/>
    </row>
    <row r="3692" spans="24:32" x14ac:dyDescent="0.25">
      <c r="X3692" s="4"/>
      <c r="Y3692" s="4"/>
      <c r="Z3692" s="4"/>
      <c r="AA3692" s="4"/>
      <c r="AB3692" s="4"/>
      <c r="AC3692" s="7"/>
      <c r="AD3692" s="4"/>
      <c r="AE3692" s="4"/>
      <c r="AF3692" s="21"/>
    </row>
    <row r="3693" spans="24:32" x14ac:dyDescent="0.25">
      <c r="X3693" s="4"/>
      <c r="Y3693" s="4"/>
      <c r="Z3693" s="4"/>
      <c r="AA3693" s="4"/>
      <c r="AB3693" s="4"/>
      <c r="AC3693" s="7"/>
      <c r="AD3693" s="4"/>
      <c r="AE3693" s="4"/>
      <c r="AF3693" s="21"/>
    </row>
    <row r="3694" spans="24:32" x14ac:dyDescent="0.25">
      <c r="X3694" s="4"/>
      <c r="Y3694" s="4"/>
      <c r="Z3694" s="4"/>
      <c r="AA3694" s="4"/>
      <c r="AB3694" s="4"/>
      <c r="AC3694" s="7"/>
      <c r="AD3694" s="4"/>
      <c r="AE3694" s="4"/>
      <c r="AF3694" s="21"/>
    </row>
    <row r="3695" spans="24:32" x14ac:dyDescent="0.25">
      <c r="X3695" s="4"/>
      <c r="Y3695" s="4"/>
      <c r="Z3695" s="4"/>
      <c r="AA3695" s="4"/>
      <c r="AB3695" s="4"/>
      <c r="AC3695" s="7"/>
      <c r="AD3695" s="4"/>
      <c r="AE3695" s="4"/>
      <c r="AF3695" s="21"/>
    </row>
    <row r="3696" spans="24:32" x14ac:dyDescent="0.25">
      <c r="X3696" s="4"/>
      <c r="Y3696" s="4"/>
      <c r="Z3696" s="4"/>
      <c r="AA3696" s="4"/>
      <c r="AB3696" s="4"/>
      <c r="AC3696" s="7"/>
      <c r="AD3696" s="4"/>
      <c r="AE3696" s="4"/>
      <c r="AF3696" s="21"/>
    </row>
    <row r="3697" spans="24:32" x14ac:dyDescent="0.25">
      <c r="X3697" s="4"/>
      <c r="Y3697" s="4"/>
      <c r="Z3697" s="4"/>
      <c r="AA3697" s="4"/>
      <c r="AB3697" s="4"/>
      <c r="AC3697" s="7"/>
      <c r="AD3697" s="4"/>
      <c r="AE3697" s="4"/>
      <c r="AF3697" s="21"/>
    </row>
    <row r="3698" spans="24:32" x14ac:dyDescent="0.25">
      <c r="X3698" s="4"/>
      <c r="Y3698" s="4"/>
      <c r="Z3698" s="4"/>
      <c r="AA3698" s="4"/>
      <c r="AB3698" s="4"/>
      <c r="AC3698" s="7"/>
      <c r="AD3698" s="4"/>
      <c r="AE3698" s="4"/>
      <c r="AF3698" s="21"/>
    </row>
    <row r="3699" spans="24:32" x14ac:dyDescent="0.25">
      <c r="X3699" s="4"/>
      <c r="Y3699" s="4"/>
      <c r="Z3699" s="4"/>
      <c r="AA3699" s="4"/>
      <c r="AB3699" s="4"/>
      <c r="AC3699" s="7"/>
      <c r="AD3699" s="4"/>
      <c r="AE3699" s="4"/>
      <c r="AF3699" s="21"/>
    </row>
    <row r="3700" spans="24:32" x14ac:dyDescent="0.25">
      <c r="X3700" s="4"/>
      <c r="Y3700" s="4"/>
      <c r="Z3700" s="4"/>
      <c r="AA3700" s="4"/>
      <c r="AB3700" s="4"/>
      <c r="AC3700" s="7"/>
      <c r="AD3700" s="4"/>
      <c r="AE3700" s="4"/>
      <c r="AF3700" s="21"/>
    </row>
    <row r="3701" spans="24:32" x14ac:dyDescent="0.25">
      <c r="X3701" s="4"/>
      <c r="Y3701" s="4"/>
      <c r="Z3701" s="4"/>
      <c r="AA3701" s="4"/>
      <c r="AB3701" s="4"/>
      <c r="AC3701" s="7"/>
      <c r="AD3701" s="4"/>
      <c r="AE3701" s="4"/>
      <c r="AF3701" s="21"/>
    </row>
    <row r="3702" spans="24:32" x14ac:dyDescent="0.25">
      <c r="X3702" s="4"/>
      <c r="Y3702" s="4"/>
      <c r="Z3702" s="4"/>
      <c r="AA3702" s="4"/>
      <c r="AB3702" s="4"/>
      <c r="AC3702" s="7"/>
      <c r="AD3702" s="4"/>
      <c r="AE3702" s="4"/>
      <c r="AF3702" s="21"/>
    </row>
    <row r="3703" spans="24:32" x14ac:dyDescent="0.25">
      <c r="X3703" s="4"/>
      <c r="Y3703" s="4"/>
      <c r="Z3703" s="4"/>
      <c r="AA3703" s="4"/>
      <c r="AB3703" s="4"/>
      <c r="AC3703" s="7"/>
      <c r="AD3703" s="4"/>
      <c r="AE3703" s="4"/>
      <c r="AF3703" s="21"/>
    </row>
    <row r="3704" spans="24:32" x14ac:dyDescent="0.25">
      <c r="X3704" s="4"/>
      <c r="Y3704" s="4"/>
      <c r="Z3704" s="4"/>
      <c r="AA3704" s="4"/>
      <c r="AB3704" s="4"/>
      <c r="AC3704" s="7"/>
      <c r="AD3704" s="4"/>
      <c r="AE3704" s="4"/>
      <c r="AF3704" s="21"/>
    </row>
    <row r="3705" spans="24:32" x14ac:dyDescent="0.25">
      <c r="X3705" s="4"/>
      <c r="Y3705" s="4"/>
      <c r="Z3705" s="4"/>
      <c r="AA3705" s="4"/>
      <c r="AB3705" s="4"/>
      <c r="AC3705" s="7"/>
      <c r="AD3705" s="4"/>
      <c r="AE3705" s="4"/>
      <c r="AF3705" s="21"/>
    </row>
    <row r="3706" spans="24:32" x14ac:dyDescent="0.25">
      <c r="X3706" s="4"/>
      <c r="Y3706" s="4"/>
      <c r="Z3706" s="4"/>
      <c r="AA3706" s="4"/>
      <c r="AB3706" s="4"/>
      <c r="AC3706" s="7"/>
      <c r="AD3706" s="4"/>
      <c r="AE3706" s="4"/>
      <c r="AF3706" s="21"/>
    </row>
    <row r="3707" spans="24:32" x14ac:dyDescent="0.25">
      <c r="X3707" s="4"/>
      <c r="Y3707" s="4"/>
      <c r="Z3707" s="4"/>
      <c r="AA3707" s="4"/>
      <c r="AB3707" s="4"/>
      <c r="AC3707" s="7"/>
      <c r="AD3707" s="4"/>
      <c r="AE3707" s="4"/>
      <c r="AF3707" s="21"/>
    </row>
    <row r="3708" spans="24:32" x14ac:dyDescent="0.25">
      <c r="X3708" s="4"/>
      <c r="Y3708" s="4"/>
      <c r="Z3708" s="4"/>
      <c r="AA3708" s="4"/>
      <c r="AB3708" s="4"/>
      <c r="AC3708" s="7"/>
      <c r="AD3708" s="4"/>
      <c r="AE3708" s="4"/>
      <c r="AF3708" s="21"/>
    </row>
    <row r="3709" spans="24:32" x14ac:dyDescent="0.25">
      <c r="X3709" s="4"/>
      <c r="Y3709" s="4"/>
      <c r="Z3709" s="4"/>
      <c r="AA3709" s="4"/>
      <c r="AB3709" s="4"/>
      <c r="AC3709" s="7"/>
      <c r="AD3709" s="4"/>
      <c r="AE3709" s="4"/>
      <c r="AF3709" s="21"/>
    </row>
    <row r="3710" spans="24:32" x14ac:dyDescent="0.25">
      <c r="X3710" s="4"/>
      <c r="Y3710" s="4"/>
      <c r="Z3710" s="4"/>
      <c r="AA3710" s="4"/>
      <c r="AB3710" s="4"/>
      <c r="AC3710" s="7"/>
      <c r="AD3710" s="4"/>
      <c r="AE3710" s="4"/>
      <c r="AF3710" s="21"/>
    </row>
    <row r="3711" spans="24:32" x14ac:dyDescent="0.25">
      <c r="X3711" s="4"/>
      <c r="Y3711" s="4"/>
      <c r="Z3711" s="4"/>
      <c r="AA3711" s="4"/>
      <c r="AB3711" s="4"/>
      <c r="AC3711" s="7"/>
      <c r="AD3711" s="4"/>
      <c r="AE3711" s="4"/>
      <c r="AF3711" s="21"/>
    </row>
    <row r="3712" spans="24:32" x14ac:dyDescent="0.25">
      <c r="X3712" s="4"/>
      <c r="Y3712" s="4"/>
      <c r="Z3712" s="4"/>
      <c r="AA3712" s="4"/>
      <c r="AB3712" s="4"/>
      <c r="AC3712" s="7"/>
      <c r="AD3712" s="4"/>
      <c r="AE3712" s="4"/>
      <c r="AF3712" s="21"/>
    </row>
    <row r="3713" spans="24:32" x14ac:dyDescent="0.25">
      <c r="X3713" s="4"/>
      <c r="Y3713" s="4"/>
      <c r="Z3713" s="4"/>
      <c r="AA3713" s="4"/>
      <c r="AB3713" s="4"/>
      <c r="AC3713" s="7"/>
      <c r="AD3713" s="4"/>
      <c r="AE3713" s="4"/>
      <c r="AF3713" s="21"/>
    </row>
    <row r="3714" spans="24:32" x14ac:dyDescent="0.25">
      <c r="X3714" s="4"/>
      <c r="Y3714" s="4"/>
      <c r="Z3714" s="4"/>
      <c r="AA3714" s="4"/>
      <c r="AB3714" s="4"/>
      <c r="AC3714" s="7"/>
      <c r="AD3714" s="4"/>
      <c r="AE3714" s="4"/>
      <c r="AF3714" s="21"/>
    </row>
    <row r="3715" spans="24:32" x14ac:dyDescent="0.25">
      <c r="X3715" s="4"/>
      <c r="Y3715" s="4"/>
      <c r="Z3715" s="4"/>
      <c r="AA3715" s="4"/>
      <c r="AB3715" s="4"/>
      <c r="AC3715" s="7"/>
      <c r="AD3715" s="4"/>
      <c r="AE3715" s="4"/>
      <c r="AF3715" s="21"/>
    </row>
    <row r="3716" spans="24:32" x14ac:dyDescent="0.25">
      <c r="X3716" s="4"/>
      <c r="Y3716" s="4"/>
      <c r="Z3716" s="4"/>
      <c r="AA3716" s="4"/>
      <c r="AB3716" s="4"/>
      <c r="AC3716" s="7"/>
      <c r="AD3716" s="4"/>
      <c r="AE3716" s="4"/>
      <c r="AF3716" s="21"/>
    </row>
    <row r="3717" spans="24:32" x14ac:dyDescent="0.25">
      <c r="X3717" s="4"/>
      <c r="Y3717" s="4"/>
      <c r="Z3717" s="4"/>
      <c r="AA3717" s="4"/>
      <c r="AB3717" s="4"/>
      <c r="AC3717" s="7"/>
      <c r="AD3717" s="4"/>
      <c r="AE3717" s="4"/>
      <c r="AF3717" s="21"/>
    </row>
    <row r="3718" spans="24:32" x14ac:dyDescent="0.25">
      <c r="X3718" s="4"/>
      <c r="Y3718" s="4"/>
      <c r="Z3718" s="4"/>
      <c r="AA3718" s="4"/>
      <c r="AB3718" s="4"/>
      <c r="AC3718" s="7"/>
      <c r="AD3718" s="4"/>
      <c r="AE3718" s="4"/>
      <c r="AF3718" s="21"/>
    </row>
    <row r="3719" spans="24:32" x14ac:dyDescent="0.25">
      <c r="X3719" s="4"/>
      <c r="Y3719" s="4"/>
      <c r="Z3719" s="4"/>
      <c r="AA3719" s="4"/>
      <c r="AB3719" s="4"/>
      <c r="AC3719" s="7"/>
      <c r="AD3719" s="4"/>
      <c r="AE3719" s="4"/>
      <c r="AF3719" s="21"/>
    </row>
    <row r="3720" spans="24:32" x14ac:dyDescent="0.25">
      <c r="X3720" s="4"/>
      <c r="Y3720" s="4"/>
      <c r="Z3720" s="4"/>
      <c r="AA3720" s="4"/>
      <c r="AB3720" s="4"/>
      <c r="AC3720" s="7"/>
      <c r="AD3720" s="4"/>
      <c r="AE3720" s="4"/>
      <c r="AF3720" s="21"/>
    </row>
    <row r="3721" spans="24:32" x14ac:dyDescent="0.25">
      <c r="X3721" s="4"/>
      <c r="Y3721" s="4"/>
      <c r="Z3721" s="4"/>
      <c r="AA3721" s="4"/>
      <c r="AB3721" s="4"/>
      <c r="AC3721" s="7"/>
      <c r="AD3721" s="4"/>
      <c r="AE3721" s="4"/>
      <c r="AF3721" s="21"/>
    </row>
    <row r="3722" spans="24:32" x14ac:dyDescent="0.25">
      <c r="X3722" s="4"/>
      <c r="Y3722" s="4"/>
      <c r="Z3722" s="4"/>
      <c r="AA3722" s="4"/>
      <c r="AB3722" s="4"/>
      <c r="AC3722" s="7"/>
      <c r="AD3722" s="4"/>
      <c r="AE3722" s="4"/>
      <c r="AF3722" s="21"/>
    </row>
    <row r="3723" spans="24:32" x14ac:dyDescent="0.25">
      <c r="X3723" s="4"/>
      <c r="Y3723" s="4"/>
      <c r="Z3723" s="4"/>
      <c r="AA3723" s="4"/>
      <c r="AB3723" s="4"/>
      <c r="AC3723" s="7"/>
      <c r="AD3723" s="4"/>
      <c r="AE3723" s="4"/>
      <c r="AF3723" s="21"/>
    </row>
    <row r="3724" spans="24:32" x14ac:dyDescent="0.25">
      <c r="X3724" s="4"/>
      <c r="Y3724" s="4"/>
      <c r="Z3724" s="4"/>
      <c r="AA3724" s="4"/>
      <c r="AB3724" s="4"/>
      <c r="AC3724" s="7"/>
      <c r="AD3724" s="4"/>
      <c r="AE3724" s="4"/>
      <c r="AF3724" s="21"/>
    </row>
    <row r="3725" spans="24:32" x14ac:dyDescent="0.25">
      <c r="X3725" s="4"/>
      <c r="Y3725" s="4"/>
      <c r="Z3725" s="4"/>
      <c r="AA3725" s="4"/>
      <c r="AB3725" s="4"/>
      <c r="AC3725" s="7"/>
      <c r="AD3725" s="4"/>
      <c r="AE3725" s="4"/>
      <c r="AF3725" s="21"/>
    </row>
    <row r="3726" spans="24:32" x14ac:dyDescent="0.25">
      <c r="X3726" s="4"/>
      <c r="Y3726" s="4"/>
      <c r="Z3726" s="4"/>
      <c r="AA3726" s="4"/>
      <c r="AB3726" s="4"/>
      <c r="AC3726" s="7"/>
      <c r="AD3726" s="4"/>
      <c r="AE3726" s="4"/>
      <c r="AF3726" s="21"/>
    </row>
    <row r="3727" spans="24:32" x14ac:dyDescent="0.25">
      <c r="X3727" s="4"/>
      <c r="Y3727" s="4"/>
      <c r="Z3727" s="4"/>
      <c r="AA3727" s="4"/>
      <c r="AB3727" s="4"/>
      <c r="AC3727" s="7"/>
      <c r="AD3727" s="4"/>
      <c r="AE3727" s="4"/>
      <c r="AF3727" s="21"/>
    </row>
    <row r="3728" spans="24:32" x14ac:dyDescent="0.25">
      <c r="X3728" s="4"/>
      <c r="Y3728" s="4"/>
      <c r="Z3728" s="4"/>
      <c r="AA3728" s="4"/>
      <c r="AB3728" s="4"/>
      <c r="AC3728" s="7"/>
      <c r="AD3728" s="4"/>
      <c r="AE3728" s="4"/>
      <c r="AF3728" s="21"/>
    </row>
    <row r="3729" spans="24:32" x14ac:dyDescent="0.25">
      <c r="X3729" s="4"/>
      <c r="Y3729" s="4"/>
      <c r="Z3729" s="4"/>
      <c r="AA3729" s="4"/>
      <c r="AB3729" s="4"/>
      <c r="AC3729" s="7"/>
      <c r="AD3729" s="4"/>
      <c r="AE3729" s="4"/>
      <c r="AF3729" s="21"/>
    </row>
    <row r="3730" spans="24:32" x14ac:dyDescent="0.25">
      <c r="X3730" s="4"/>
      <c r="Y3730" s="4"/>
      <c r="Z3730" s="4"/>
      <c r="AA3730" s="4"/>
      <c r="AB3730" s="4"/>
      <c r="AC3730" s="7"/>
      <c r="AD3730" s="4"/>
      <c r="AE3730" s="4"/>
      <c r="AF3730" s="21"/>
    </row>
    <row r="3731" spans="24:32" x14ac:dyDescent="0.25">
      <c r="X3731" s="4"/>
      <c r="Y3731" s="4"/>
      <c r="Z3731" s="4"/>
      <c r="AA3731" s="4"/>
      <c r="AB3731" s="4"/>
      <c r="AC3731" s="7"/>
      <c r="AD3731" s="4"/>
      <c r="AE3731" s="4"/>
      <c r="AF3731" s="21"/>
    </row>
    <row r="3732" spans="24:32" x14ac:dyDescent="0.25">
      <c r="X3732" s="4"/>
      <c r="Y3732" s="4"/>
      <c r="Z3732" s="4"/>
      <c r="AA3732" s="4"/>
      <c r="AB3732" s="4"/>
      <c r="AC3732" s="7"/>
      <c r="AD3732" s="4"/>
      <c r="AE3732" s="4"/>
      <c r="AF3732" s="21"/>
    </row>
    <row r="3733" spans="24:32" x14ac:dyDescent="0.25">
      <c r="X3733" s="4"/>
      <c r="Y3733" s="4"/>
      <c r="Z3733" s="4"/>
      <c r="AA3733" s="4"/>
      <c r="AB3733" s="4"/>
      <c r="AC3733" s="7"/>
      <c r="AD3733" s="4"/>
      <c r="AE3733" s="4"/>
      <c r="AF3733" s="21"/>
    </row>
    <row r="3734" spans="24:32" x14ac:dyDescent="0.25">
      <c r="X3734" s="4"/>
      <c r="Y3734" s="4"/>
      <c r="Z3734" s="4"/>
      <c r="AA3734" s="4"/>
      <c r="AB3734" s="4"/>
      <c r="AC3734" s="7"/>
      <c r="AD3734" s="4"/>
      <c r="AE3734" s="4"/>
      <c r="AF3734" s="21"/>
    </row>
    <row r="3735" spans="24:32" x14ac:dyDescent="0.25">
      <c r="X3735" s="4"/>
      <c r="Y3735" s="4"/>
      <c r="Z3735" s="4"/>
      <c r="AA3735" s="4"/>
      <c r="AB3735" s="4"/>
      <c r="AC3735" s="7"/>
      <c r="AD3735" s="4"/>
      <c r="AE3735" s="4"/>
      <c r="AF3735" s="21"/>
    </row>
    <row r="3736" spans="24:32" x14ac:dyDescent="0.25">
      <c r="X3736" s="4"/>
      <c r="Y3736" s="4"/>
      <c r="Z3736" s="4"/>
      <c r="AA3736" s="4"/>
      <c r="AB3736" s="4"/>
      <c r="AC3736" s="7"/>
      <c r="AD3736" s="4"/>
      <c r="AE3736" s="4"/>
      <c r="AF3736" s="21"/>
    </row>
    <row r="3737" spans="24:32" x14ac:dyDescent="0.25">
      <c r="X3737" s="4"/>
      <c r="Y3737" s="4"/>
      <c r="Z3737" s="4"/>
      <c r="AA3737" s="4"/>
      <c r="AB3737" s="4"/>
      <c r="AC3737" s="7"/>
      <c r="AD3737" s="4"/>
      <c r="AE3737" s="4"/>
      <c r="AF3737" s="21"/>
    </row>
    <row r="3738" spans="24:32" x14ac:dyDescent="0.25">
      <c r="X3738" s="4"/>
      <c r="Y3738" s="4"/>
      <c r="Z3738" s="4"/>
      <c r="AA3738" s="4"/>
      <c r="AB3738" s="4"/>
      <c r="AC3738" s="7"/>
      <c r="AD3738" s="4"/>
      <c r="AE3738" s="4"/>
      <c r="AF3738" s="21"/>
    </row>
    <row r="3739" spans="24:32" x14ac:dyDescent="0.25">
      <c r="X3739" s="4"/>
      <c r="Y3739" s="4"/>
      <c r="Z3739" s="4"/>
      <c r="AA3739" s="4"/>
      <c r="AB3739" s="4"/>
      <c r="AC3739" s="7"/>
      <c r="AD3739" s="4"/>
      <c r="AE3739" s="4"/>
      <c r="AF3739" s="21"/>
    </row>
    <row r="3740" spans="24:32" x14ac:dyDescent="0.25">
      <c r="X3740" s="4"/>
      <c r="Y3740" s="4"/>
      <c r="Z3740" s="4"/>
      <c r="AA3740" s="4"/>
      <c r="AB3740" s="4"/>
      <c r="AC3740" s="7"/>
      <c r="AD3740" s="4"/>
      <c r="AE3740" s="4"/>
      <c r="AF3740" s="21"/>
    </row>
    <row r="3741" spans="24:32" x14ac:dyDescent="0.25">
      <c r="X3741" s="4"/>
      <c r="Y3741" s="4"/>
      <c r="Z3741" s="4"/>
      <c r="AA3741" s="4"/>
      <c r="AB3741" s="4"/>
      <c r="AC3741" s="7"/>
      <c r="AD3741" s="4"/>
      <c r="AE3741" s="4"/>
      <c r="AF3741" s="21"/>
    </row>
    <row r="3742" spans="24:32" x14ac:dyDescent="0.25">
      <c r="X3742" s="4"/>
      <c r="Y3742" s="4"/>
      <c r="Z3742" s="4"/>
      <c r="AA3742" s="4"/>
      <c r="AB3742" s="4"/>
      <c r="AC3742" s="7"/>
      <c r="AD3742" s="4"/>
      <c r="AE3742" s="4"/>
      <c r="AF3742" s="21"/>
    </row>
    <row r="3743" spans="24:32" x14ac:dyDescent="0.25">
      <c r="X3743" s="4"/>
      <c r="Y3743" s="4"/>
      <c r="Z3743" s="4"/>
      <c r="AA3743" s="4"/>
      <c r="AB3743" s="4"/>
      <c r="AC3743" s="7"/>
      <c r="AD3743" s="4"/>
      <c r="AE3743" s="4"/>
      <c r="AF3743" s="21"/>
    </row>
    <row r="3744" spans="24:32" x14ac:dyDescent="0.25">
      <c r="X3744" s="4"/>
      <c r="Y3744" s="4"/>
      <c r="Z3744" s="4"/>
      <c r="AA3744" s="4"/>
      <c r="AB3744" s="4"/>
      <c r="AC3744" s="7"/>
      <c r="AD3744" s="4"/>
      <c r="AE3744" s="4"/>
      <c r="AF3744" s="21"/>
    </row>
    <row r="3745" spans="24:32" x14ac:dyDescent="0.25">
      <c r="X3745" s="4"/>
      <c r="Y3745" s="4"/>
      <c r="Z3745" s="4"/>
      <c r="AA3745" s="4"/>
      <c r="AB3745" s="4"/>
      <c r="AC3745" s="7"/>
      <c r="AD3745" s="4"/>
      <c r="AE3745" s="4"/>
      <c r="AF3745" s="21"/>
    </row>
    <row r="3746" spans="24:32" x14ac:dyDescent="0.25">
      <c r="X3746" s="4"/>
      <c r="Y3746" s="4"/>
      <c r="Z3746" s="4"/>
      <c r="AA3746" s="4"/>
      <c r="AB3746" s="4"/>
      <c r="AC3746" s="7"/>
      <c r="AD3746" s="4"/>
      <c r="AE3746" s="4"/>
      <c r="AF3746" s="21"/>
    </row>
    <row r="3747" spans="24:32" x14ac:dyDescent="0.25">
      <c r="X3747" s="4"/>
      <c r="Y3747" s="4"/>
      <c r="Z3747" s="4"/>
      <c r="AA3747" s="4"/>
      <c r="AB3747" s="4"/>
      <c r="AC3747" s="7"/>
      <c r="AD3747" s="4"/>
      <c r="AE3747" s="4"/>
      <c r="AF3747" s="21"/>
    </row>
    <row r="3748" spans="24:32" x14ac:dyDescent="0.25">
      <c r="X3748" s="4"/>
      <c r="Y3748" s="4"/>
      <c r="Z3748" s="4"/>
      <c r="AA3748" s="4"/>
      <c r="AB3748" s="4"/>
      <c r="AC3748" s="7"/>
      <c r="AD3748" s="4"/>
      <c r="AE3748" s="4"/>
      <c r="AF3748" s="21"/>
    </row>
    <row r="3749" spans="24:32" x14ac:dyDescent="0.25">
      <c r="X3749" s="4"/>
      <c r="Y3749" s="4"/>
      <c r="Z3749" s="4"/>
      <c r="AA3749" s="4"/>
      <c r="AB3749" s="4"/>
      <c r="AC3749" s="7"/>
      <c r="AD3749" s="4"/>
      <c r="AE3749" s="4"/>
      <c r="AF3749" s="21"/>
    </row>
    <row r="3750" spans="24:32" x14ac:dyDescent="0.25">
      <c r="X3750" s="4"/>
      <c r="Y3750" s="4"/>
      <c r="Z3750" s="4"/>
      <c r="AA3750" s="4"/>
      <c r="AB3750" s="4"/>
      <c r="AC3750" s="7"/>
      <c r="AD3750" s="4"/>
      <c r="AE3750" s="4"/>
      <c r="AF3750" s="21"/>
    </row>
    <row r="3751" spans="24:32" x14ac:dyDescent="0.25">
      <c r="X3751" s="4"/>
      <c r="Y3751" s="4"/>
      <c r="Z3751" s="4"/>
      <c r="AA3751" s="4"/>
      <c r="AB3751" s="4"/>
      <c r="AC3751" s="7"/>
      <c r="AD3751" s="4"/>
      <c r="AE3751" s="4"/>
      <c r="AF3751" s="21"/>
    </row>
    <row r="3752" spans="24:32" x14ac:dyDescent="0.25">
      <c r="X3752" s="4"/>
      <c r="Y3752" s="4"/>
      <c r="Z3752" s="4"/>
      <c r="AA3752" s="4"/>
      <c r="AB3752" s="4"/>
      <c r="AC3752" s="7"/>
      <c r="AD3752" s="4"/>
      <c r="AE3752" s="4"/>
      <c r="AF3752" s="21"/>
    </row>
    <row r="3753" spans="24:32" x14ac:dyDescent="0.25">
      <c r="X3753" s="4"/>
      <c r="Y3753" s="4"/>
      <c r="Z3753" s="4"/>
      <c r="AA3753" s="4"/>
      <c r="AB3753" s="4"/>
      <c r="AC3753" s="7"/>
      <c r="AD3753" s="4"/>
      <c r="AE3753" s="4"/>
      <c r="AF3753" s="21"/>
    </row>
    <row r="3754" spans="24:32" x14ac:dyDescent="0.25">
      <c r="X3754" s="4"/>
      <c r="Y3754" s="4"/>
      <c r="Z3754" s="4"/>
      <c r="AA3754" s="4"/>
      <c r="AB3754" s="4"/>
      <c r="AC3754" s="7"/>
      <c r="AD3754" s="4"/>
      <c r="AE3754" s="4"/>
      <c r="AF3754" s="21"/>
    </row>
    <row r="3755" spans="24:32" x14ac:dyDescent="0.25">
      <c r="X3755" s="4"/>
      <c r="Y3755" s="4"/>
      <c r="Z3755" s="4"/>
      <c r="AA3755" s="4"/>
      <c r="AB3755" s="4"/>
      <c r="AC3755" s="7"/>
      <c r="AD3755" s="4"/>
      <c r="AE3755" s="4"/>
      <c r="AF3755" s="21"/>
    </row>
    <row r="3756" spans="24:32" x14ac:dyDescent="0.25">
      <c r="X3756" s="4"/>
      <c r="Y3756" s="4"/>
      <c r="Z3756" s="4"/>
      <c r="AA3756" s="4"/>
      <c r="AB3756" s="4"/>
      <c r="AC3756" s="7"/>
      <c r="AD3756" s="4"/>
      <c r="AE3756" s="4"/>
      <c r="AF3756" s="21"/>
    </row>
    <row r="3757" spans="24:32" x14ac:dyDescent="0.25">
      <c r="X3757" s="4"/>
      <c r="Y3757" s="4"/>
      <c r="Z3757" s="4"/>
      <c r="AA3757" s="4"/>
      <c r="AB3757" s="4"/>
      <c r="AC3757" s="7"/>
      <c r="AD3757" s="4"/>
      <c r="AE3757" s="4"/>
      <c r="AF3757" s="21"/>
    </row>
    <row r="3758" spans="24:32" x14ac:dyDescent="0.25">
      <c r="X3758" s="4"/>
      <c r="Y3758" s="4"/>
      <c r="Z3758" s="4"/>
      <c r="AA3758" s="4"/>
      <c r="AB3758" s="4"/>
      <c r="AC3758" s="7"/>
      <c r="AD3758" s="4"/>
      <c r="AE3758" s="4"/>
      <c r="AF3758" s="21"/>
    </row>
    <row r="3759" spans="24:32" x14ac:dyDescent="0.25">
      <c r="X3759" s="4"/>
      <c r="Y3759" s="4"/>
      <c r="Z3759" s="4"/>
      <c r="AA3759" s="4"/>
      <c r="AB3759" s="4"/>
      <c r="AC3759" s="7"/>
      <c r="AD3759" s="4"/>
      <c r="AE3759" s="4"/>
      <c r="AF3759" s="21"/>
    </row>
    <row r="3760" spans="24:32" x14ac:dyDescent="0.25">
      <c r="X3760" s="4"/>
      <c r="Y3760" s="4"/>
      <c r="Z3760" s="4"/>
      <c r="AA3760" s="4"/>
      <c r="AB3760" s="4"/>
      <c r="AC3760" s="7"/>
      <c r="AD3760" s="4"/>
      <c r="AE3760" s="4"/>
      <c r="AF3760" s="21"/>
    </row>
    <row r="3761" spans="24:32" x14ac:dyDescent="0.25">
      <c r="X3761" s="4"/>
      <c r="Y3761" s="4"/>
      <c r="Z3761" s="4"/>
      <c r="AA3761" s="4"/>
      <c r="AB3761" s="4"/>
      <c r="AC3761" s="7"/>
      <c r="AD3761" s="4"/>
      <c r="AE3761" s="4"/>
      <c r="AF3761" s="21"/>
    </row>
    <row r="3762" spans="24:32" x14ac:dyDescent="0.25">
      <c r="X3762" s="4"/>
      <c r="Y3762" s="4"/>
      <c r="Z3762" s="4"/>
      <c r="AA3762" s="4"/>
      <c r="AB3762" s="4"/>
      <c r="AC3762" s="7"/>
      <c r="AD3762" s="4"/>
      <c r="AE3762" s="4"/>
      <c r="AF3762" s="21"/>
    </row>
    <row r="3763" spans="24:32" x14ac:dyDescent="0.25">
      <c r="X3763" s="4"/>
      <c r="Y3763" s="4"/>
      <c r="Z3763" s="4"/>
      <c r="AA3763" s="4"/>
      <c r="AB3763" s="4"/>
      <c r="AC3763" s="7"/>
      <c r="AD3763" s="4"/>
      <c r="AE3763" s="4"/>
      <c r="AF3763" s="21"/>
    </row>
    <row r="3764" spans="24:32" x14ac:dyDescent="0.25">
      <c r="X3764" s="4"/>
      <c r="Y3764" s="4"/>
      <c r="Z3764" s="4"/>
      <c r="AA3764" s="4"/>
      <c r="AB3764" s="4"/>
      <c r="AC3764" s="7"/>
      <c r="AD3764" s="4"/>
      <c r="AE3764" s="4"/>
      <c r="AF3764" s="21"/>
    </row>
    <row r="3765" spans="24:32" x14ac:dyDescent="0.25">
      <c r="X3765" s="4"/>
      <c r="Y3765" s="4"/>
      <c r="Z3765" s="4"/>
      <c r="AA3765" s="4"/>
      <c r="AB3765" s="4"/>
      <c r="AC3765" s="7"/>
      <c r="AD3765" s="4"/>
      <c r="AE3765" s="4"/>
      <c r="AF3765" s="21"/>
    </row>
    <row r="3766" spans="24:32" x14ac:dyDescent="0.25">
      <c r="X3766" s="4"/>
      <c r="Y3766" s="4"/>
      <c r="Z3766" s="4"/>
      <c r="AA3766" s="4"/>
      <c r="AB3766" s="4"/>
      <c r="AC3766" s="7"/>
      <c r="AD3766" s="4"/>
      <c r="AE3766" s="4"/>
      <c r="AF3766" s="21"/>
    </row>
    <row r="3767" spans="24:32" x14ac:dyDescent="0.25">
      <c r="X3767" s="4"/>
      <c r="Y3767" s="4"/>
      <c r="Z3767" s="4"/>
      <c r="AA3767" s="4"/>
      <c r="AB3767" s="4"/>
      <c r="AC3767" s="7"/>
      <c r="AD3767" s="4"/>
      <c r="AE3767" s="4"/>
      <c r="AF3767" s="21"/>
    </row>
    <row r="3768" spans="24:32" x14ac:dyDescent="0.25">
      <c r="X3768" s="4"/>
      <c r="Y3768" s="4"/>
      <c r="Z3768" s="4"/>
      <c r="AA3768" s="4"/>
      <c r="AB3768" s="4"/>
      <c r="AC3768" s="7"/>
      <c r="AD3768" s="4"/>
      <c r="AE3768" s="4"/>
      <c r="AF3768" s="21"/>
    </row>
    <row r="3769" spans="24:32" x14ac:dyDescent="0.25">
      <c r="X3769" s="4"/>
      <c r="Y3769" s="4"/>
      <c r="Z3769" s="4"/>
      <c r="AA3769" s="4"/>
      <c r="AB3769" s="4"/>
      <c r="AC3769" s="7"/>
      <c r="AD3769" s="4"/>
      <c r="AE3769" s="4"/>
      <c r="AF3769" s="21"/>
    </row>
    <row r="3770" spans="24:32" x14ac:dyDescent="0.25">
      <c r="X3770" s="4"/>
      <c r="Y3770" s="4"/>
      <c r="Z3770" s="4"/>
      <c r="AA3770" s="4"/>
      <c r="AB3770" s="4"/>
      <c r="AC3770" s="7"/>
      <c r="AD3770" s="4"/>
      <c r="AE3770" s="4"/>
      <c r="AF3770" s="21"/>
    </row>
    <row r="3771" spans="24:32" x14ac:dyDescent="0.25">
      <c r="X3771" s="4"/>
      <c r="Y3771" s="4"/>
      <c r="Z3771" s="4"/>
      <c r="AA3771" s="4"/>
      <c r="AB3771" s="4"/>
      <c r="AC3771" s="7"/>
      <c r="AD3771" s="4"/>
      <c r="AE3771" s="4"/>
      <c r="AF3771" s="21"/>
    </row>
    <row r="3772" spans="24:32" x14ac:dyDescent="0.25">
      <c r="X3772" s="4"/>
      <c r="Y3772" s="4"/>
      <c r="Z3772" s="4"/>
      <c r="AA3772" s="4"/>
      <c r="AB3772" s="4"/>
      <c r="AC3772" s="7"/>
      <c r="AD3772" s="4"/>
      <c r="AE3772" s="4"/>
      <c r="AF3772" s="21"/>
    </row>
    <row r="3773" spans="24:32" x14ac:dyDescent="0.25">
      <c r="X3773" s="4"/>
      <c r="Y3773" s="4"/>
      <c r="Z3773" s="4"/>
      <c r="AA3773" s="4"/>
      <c r="AB3773" s="4"/>
      <c r="AC3773" s="7"/>
      <c r="AD3773" s="4"/>
      <c r="AE3773" s="4"/>
      <c r="AF3773" s="21"/>
    </row>
    <row r="3774" spans="24:32" x14ac:dyDescent="0.25">
      <c r="X3774" s="4"/>
      <c r="Y3774" s="4"/>
      <c r="Z3774" s="4"/>
      <c r="AA3774" s="4"/>
      <c r="AB3774" s="4"/>
      <c r="AC3774" s="7"/>
      <c r="AD3774" s="4"/>
      <c r="AE3774" s="4"/>
      <c r="AF3774" s="21"/>
    </row>
    <row r="3775" spans="24:32" x14ac:dyDescent="0.25">
      <c r="X3775" s="4"/>
      <c r="Y3775" s="4"/>
      <c r="Z3775" s="4"/>
      <c r="AA3775" s="4"/>
      <c r="AB3775" s="4"/>
      <c r="AC3775" s="7"/>
      <c r="AD3775" s="4"/>
      <c r="AE3775" s="4"/>
      <c r="AF3775" s="21"/>
    </row>
    <row r="3776" spans="24:32" x14ac:dyDescent="0.25">
      <c r="X3776" s="4"/>
      <c r="Y3776" s="4"/>
      <c r="Z3776" s="4"/>
      <c r="AA3776" s="4"/>
      <c r="AB3776" s="4"/>
      <c r="AC3776" s="7"/>
      <c r="AD3776" s="4"/>
      <c r="AE3776" s="4"/>
      <c r="AF3776" s="21"/>
    </row>
    <row r="3777" spans="24:32" x14ac:dyDescent="0.25">
      <c r="X3777" s="4"/>
      <c r="Y3777" s="4"/>
      <c r="Z3777" s="4"/>
      <c r="AA3777" s="4"/>
      <c r="AB3777" s="4"/>
      <c r="AC3777" s="7"/>
      <c r="AD3777" s="4"/>
      <c r="AE3777" s="4"/>
      <c r="AF3777" s="21"/>
    </row>
    <row r="3778" spans="24:32" x14ac:dyDescent="0.25">
      <c r="X3778" s="4"/>
      <c r="Y3778" s="4"/>
      <c r="Z3778" s="4"/>
      <c r="AA3778" s="4"/>
      <c r="AB3778" s="4"/>
      <c r="AC3778" s="7"/>
      <c r="AD3778" s="4"/>
      <c r="AE3778" s="4"/>
      <c r="AF3778" s="21"/>
    </row>
    <row r="3779" spans="24:32" x14ac:dyDescent="0.25">
      <c r="X3779" s="4"/>
      <c r="Y3779" s="4"/>
      <c r="Z3779" s="4"/>
      <c r="AA3779" s="4"/>
      <c r="AB3779" s="4"/>
      <c r="AC3779" s="7"/>
      <c r="AD3779" s="4"/>
      <c r="AE3779" s="4"/>
      <c r="AF3779" s="21"/>
    </row>
    <row r="3780" spans="24:32" x14ac:dyDescent="0.25">
      <c r="X3780" s="4"/>
      <c r="Y3780" s="4"/>
      <c r="Z3780" s="4"/>
      <c r="AA3780" s="4"/>
      <c r="AB3780" s="4"/>
      <c r="AC3780" s="7"/>
      <c r="AD3780" s="4"/>
      <c r="AE3780" s="4"/>
      <c r="AF3780" s="21"/>
    </row>
    <row r="3781" spans="24:32" x14ac:dyDescent="0.25">
      <c r="X3781" s="4"/>
      <c r="Y3781" s="4"/>
      <c r="Z3781" s="4"/>
      <c r="AA3781" s="4"/>
      <c r="AB3781" s="4"/>
      <c r="AC3781" s="7"/>
      <c r="AD3781" s="4"/>
      <c r="AE3781" s="4"/>
      <c r="AF3781" s="21"/>
    </row>
    <row r="3782" spans="24:32" x14ac:dyDescent="0.25">
      <c r="X3782" s="4"/>
      <c r="Y3782" s="4"/>
      <c r="Z3782" s="4"/>
      <c r="AA3782" s="4"/>
      <c r="AB3782" s="4"/>
      <c r="AC3782" s="7"/>
      <c r="AD3782" s="4"/>
      <c r="AE3782" s="4"/>
      <c r="AF3782" s="21"/>
    </row>
    <row r="3783" spans="24:32" x14ac:dyDescent="0.25">
      <c r="X3783" s="4"/>
      <c r="Y3783" s="4"/>
      <c r="Z3783" s="4"/>
      <c r="AA3783" s="4"/>
      <c r="AB3783" s="4"/>
      <c r="AC3783" s="7"/>
      <c r="AD3783" s="4"/>
      <c r="AE3783" s="4"/>
      <c r="AF3783" s="21"/>
    </row>
    <row r="3784" spans="24:32" x14ac:dyDescent="0.25">
      <c r="X3784" s="4"/>
      <c r="Y3784" s="4"/>
      <c r="Z3784" s="4"/>
      <c r="AA3784" s="4"/>
      <c r="AB3784" s="4"/>
      <c r="AC3784" s="7"/>
      <c r="AD3784" s="4"/>
      <c r="AE3784" s="4"/>
      <c r="AF3784" s="21"/>
    </row>
    <row r="3785" spans="24:32" x14ac:dyDescent="0.25">
      <c r="X3785" s="4"/>
      <c r="Y3785" s="4"/>
      <c r="Z3785" s="4"/>
      <c r="AA3785" s="4"/>
      <c r="AB3785" s="4"/>
      <c r="AC3785" s="7"/>
      <c r="AD3785" s="4"/>
      <c r="AE3785" s="4"/>
      <c r="AF3785" s="21"/>
    </row>
    <row r="3786" spans="24:32" x14ac:dyDescent="0.25">
      <c r="X3786" s="4"/>
      <c r="Y3786" s="4"/>
      <c r="Z3786" s="4"/>
      <c r="AA3786" s="4"/>
      <c r="AB3786" s="4"/>
      <c r="AC3786" s="7"/>
      <c r="AD3786" s="4"/>
      <c r="AE3786" s="4"/>
      <c r="AF3786" s="21"/>
    </row>
    <row r="3787" spans="24:32" x14ac:dyDescent="0.25">
      <c r="X3787" s="4"/>
      <c r="Y3787" s="4"/>
      <c r="Z3787" s="4"/>
      <c r="AA3787" s="4"/>
      <c r="AB3787" s="4"/>
      <c r="AC3787" s="7"/>
      <c r="AD3787" s="4"/>
      <c r="AE3787" s="4"/>
      <c r="AF3787" s="21"/>
    </row>
    <row r="3788" spans="24:32" x14ac:dyDescent="0.25">
      <c r="X3788" s="4"/>
      <c r="Y3788" s="4"/>
      <c r="Z3788" s="4"/>
      <c r="AA3788" s="4"/>
      <c r="AB3788" s="4"/>
      <c r="AC3788" s="7"/>
      <c r="AD3788" s="4"/>
      <c r="AE3788" s="4"/>
      <c r="AF3788" s="21"/>
    </row>
    <row r="3789" spans="24:32" x14ac:dyDescent="0.25">
      <c r="X3789" s="4"/>
      <c r="Y3789" s="4"/>
      <c r="Z3789" s="4"/>
      <c r="AA3789" s="4"/>
      <c r="AB3789" s="4"/>
      <c r="AC3789" s="7"/>
      <c r="AD3789" s="4"/>
      <c r="AE3789" s="4"/>
      <c r="AF3789" s="21"/>
    </row>
    <row r="3790" spans="24:32" x14ac:dyDescent="0.25">
      <c r="X3790" s="4"/>
      <c r="Y3790" s="4"/>
      <c r="Z3790" s="4"/>
      <c r="AA3790" s="4"/>
      <c r="AB3790" s="4"/>
      <c r="AC3790" s="7"/>
      <c r="AD3790" s="4"/>
      <c r="AE3790" s="4"/>
      <c r="AF3790" s="21"/>
    </row>
    <row r="3791" spans="24:32" x14ac:dyDescent="0.25">
      <c r="X3791" s="4"/>
      <c r="Y3791" s="4"/>
      <c r="Z3791" s="4"/>
      <c r="AA3791" s="4"/>
      <c r="AB3791" s="4"/>
      <c r="AC3791" s="7"/>
      <c r="AD3791" s="4"/>
      <c r="AE3791" s="4"/>
      <c r="AF3791" s="21"/>
    </row>
    <row r="3792" spans="24:32" x14ac:dyDescent="0.25">
      <c r="X3792" s="4"/>
      <c r="Y3792" s="4"/>
      <c r="Z3792" s="4"/>
      <c r="AA3792" s="4"/>
      <c r="AB3792" s="4"/>
      <c r="AC3792" s="7"/>
      <c r="AD3792" s="4"/>
      <c r="AE3792" s="4"/>
      <c r="AF3792" s="21"/>
    </row>
    <row r="3793" spans="24:32" x14ac:dyDescent="0.25">
      <c r="X3793" s="4"/>
      <c r="Y3793" s="4"/>
      <c r="Z3793" s="4"/>
      <c r="AA3793" s="4"/>
      <c r="AB3793" s="4"/>
      <c r="AC3793" s="7"/>
      <c r="AD3793" s="4"/>
      <c r="AE3793" s="4"/>
      <c r="AF3793" s="21"/>
    </row>
    <row r="3794" spans="24:32" x14ac:dyDescent="0.25">
      <c r="X3794" s="4"/>
      <c r="Y3794" s="4"/>
      <c r="Z3794" s="4"/>
      <c r="AA3794" s="4"/>
      <c r="AB3794" s="4"/>
      <c r="AC3794" s="7"/>
      <c r="AD3794" s="4"/>
      <c r="AE3794" s="4"/>
      <c r="AF3794" s="21"/>
    </row>
    <row r="3795" spans="24:32" x14ac:dyDescent="0.25">
      <c r="X3795" s="4"/>
      <c r="Y3795" s="4"/>
      <c r="Z3795" s="4"/>
      <c r="AA3795" s="4"/>
      <c r="AB3795" s="4"/>
      <c r="AC3795" s="7"/>
      <c r="AD3795" s="4"/>
      <c r="AE3795" s="4"/>
      <c r="AF3795" s="21"/>
    </row>
    <row r="3796" spans="24:32" x14ac:dyDescent="0.25">
      <c r="X3796" s="4"/>
      <c r="Y3796" s="4"/>
      <c r="Z3796" s="4"/>
      <c r="AA3796" s="4"/>
      <c r="AB3796" s="4"/>
      <c r="AC3796" s="7"/>
      <c r="AD3796" s="4"/>
      <c r="AE3796" s="4"/>
      <c r="AF3796" s="21"/>
    </row>
    <row r="3797" spans="24:32" x14ac:dyDescent="0.25">
      <c r="X3797" s="4"/>
      <c r="Y3797" s="4"/>
      <c r="Z3797" s="4"/>
      <c r="AA3797" s="4"/>
      <c r="AB3797" s="4"/>
      <c r="AC3797" s="7"/>
      <c r="AD3797" s="4"/>
      <c r="AE3797" s="4"/>
      <c r="AF3797" s="21"/>
    </row>
    <row r="3798" spans="24:32" x14ac:dyDescent="0.25">
      <c r="X3798" s="4"/>
      <c r="Y3798" s="4"/>
      <c r="Z3798" s="4"/>
      <c r="AA3798" s="4"/>
      <c r="AB3798" s="4"/>
      <c r="AC3798" s="7"/>
      <c r="AD3798" s="4"/>
      <c r="AE3798" s="4"/>
      <c r="AF3798" s="21"/>
    </row>
    <row r="3799" spans="24:32" x14ac:dyDescent="0.25">
      <c r="X3799" s="4"/>
      <c r="Y3799" s="4"/>
      <c r="Z3799" s="4"/>
      <c r="AA3799" s="4"/>
      <c r="AB3799" s="4"/>
      <c r="AC3799" s="7"/>
      <c r="AD3799" s="4"/>
      <c r="AE3799" s="4"/>
      <c r="AF3799" s="21"/>
    </row>
    <row r="3800" spans="24:32" x14ac:dyDescent="0.25">
      <c r="X3800" s="4"/>
      <c r="Y3800" s="4"/>
      <c r="Z3800" s="4"/>
      <c r="AA3800" s="4"/>
      <c r="AB3800" s="4"/>
      <c r="AC3800" s="7"/>
      <c r="AD3800" s="4"/>
      <c r="AE3800" s="4"/>
      <c r="AF3800" s="21"/>
    </row>
    <row r="3801" spans="24:32" x14ac:dyDescent="0.25">
      <c r="X3801" s="4"/>
      <c r="Y3801" s="4"/>
      <c r="Z3801" s="4"/>
      <c r="AA3801" s="4"/>
      <c r="AB3801" s="4"/>
      <c r="AC3801" s="7"/>
      <c r="AD3801" s="4"/>
      <c r="AE3801" s="4"/>
      <c r="AF3801" s="21"/>
    </row>
    <row r="3802" spans="24:32" x14ac:dyDescent="0.25">
      <c r="X3802" s="4"/>
      <c r="Y3802" s="4"/>
      <c r="Z3802" s="4"/>
      <c r="AA3802" s="4"/>
      <c r="AB3802" s="4"/>
      <c r="AC3802" s="7"/>
      <c r="AD3802" s="4"/>
      <c r="AE3802" s="4"/>
      <c r="AF3802" s="21"/>
    </row>
    <row r="3803" spans="24:32" x14ac:dyDescent="0.25">
      <c r="X3803" s="4"/>
      <c r="Y3803" s="4"/>
      <c r="Z3803" s="4"/>
      <c r="AA3803" s="4"/>
      <c r="AB3803" s="4"/>
      <c r="AC3803" s="7"/>
      <c r="AD3803" s="4"/>
      <c r="AE3803" s="4"/>
      <c r="AF3803" s="21"/>
    </row>
    <row r="3804" spans="24:32" x14ac:dyDescent="0.25">
      <c r="X3804" s="4"/>
      <c r="Y3804" s="4"/>
      <c r="Z3804" s="4"/>
      <c r="AA3804" s="4"/>
      <c r="AB3804" s="4"/>
      <c r="AC3804" s="7"/>
      <c r="AD3804" s="4"/>
      <c r="AE3804" s="4"/>
      <c r="AF3804" s="21"/>
    </row>
    <row r="3805" spans="24:32" x14ac:dyDescent="0.25">
      <c r="X3805" s="4"/>
      <c r="Y3805" s="4"/>
      <c r="Z3805" s="4"/>
      <c r="AA3805" s="4"/>
      <c r="AB3805" s="4"/>
      <c r="AC3805" s="7"/>
      <c r="AD3805" s="4"/>
      <c r="AE3805" s="4"/>
      <c r="AF3805" s="21"/>
    </row>
    <row r="3806" spans="24:32" x14ac:dyDescent="0.25">
      <c r="X3806" s="4"/>
      <c r="Y3806" s="4"/>
      <c r="Z3806" s="4"/>
      <c r="AA3806" s="4"/>
      <c r="AB3806" s="4"/>
      <c r="AC3806" s="7"/>
      <c r="AD3806" s="4"/>
      <c r="AE3806" s="4"/>
      <c r="AF3806" s="21"/>
    </row>
    <row r="3807" spans="24:32" x14ac:dyDescent="0.25">
      <c r="X3807" s="4"/>
      <c r="Y3807" s="4"/>
      <c r="Z3807" s="4"/>
      <c r="AA3807" s="4"/>
      <c r="AB3807" s="4"/>
      <c r="AC3807" s="7"/>
      <c r="AD3807" s="4"/>
      <c r="AE3807" s="4"/>
      <c r="AF3807" s="21"/>
    </row>
    <row r="3808" spans="24:32" x14ac:dyDescent="0.25">
      <c r="X3808" s="4"/>
      <c r="Y3808" s="4"/>
      <c r="Z3808" s="4"/>
      <c r="AA3808" s="4"/>
      <c r="AB3808" s="4"/>
      <c r="AC3808" s="7"/>
      <c r="AD3808" s="4"/>
      <c r="AE3808" s="4"/>
      <c r="AF3808" s="21"/>
    </row>
    <row r="3809" spans="24:32" x14ac:dyDescent="0.25">
      <c r="X3809" s="4"/>
      <c r="Y3809" s="4"/>
      <c r="Z3809" s="4"/>
      <c r="AA3809" s="4"/>
      <c r="AB3809" s="4"/>
      <c r="AC3809" s="7"/>
      <c r="AD3809" s="4"/>
      <c r="AE3809" s="4"/>
      <c r="AF3809" s="21"/>
    </row>
    <row r="3810" spans="24:32" x14ac:dyDescent="0.25">
      <c r="X3810" s="4"/>
      <c r="Y3810" s="4"/>
      <c r="Z3810" s="4"/>
      <c r="AA3810" s="4"/>
      <c r="AB3810" s="4"/>
      <c r="AC3810" s="7"/>
      <c r="AD3810" s="4"/>
      <c r="AE3810" s="4"/>
      <c r="AF3810" s="21"/>
    </row>
    <row r="3811" spans="24:32" x14ac:dyDescent="0.25">
      <c r="X3811" s="4"/>
      <c r="Y3811" s="4"/>
      <c r="Z3811" s="4"/>
      <c r="AA3811" s="4"/>
      <c r="AB3811" s="4"/>
      <c r="AC3811" s="7"/>
      <c r="AD3811" s="4"/>
      <c r="AE3811" s="4"/>
      <c r="AF3811" s="21"/>
    </row>
    <row r="3812" spans="24:32" x14ac:dyDescent="0.25">
      <c r="X3812" s="4"/>
      <c r="Y3812" s="4"/>
      <c r="Z3812" s="4"/>
      <c r="AA3812" s="4"/>
      <c r="AB3812" s="4"/>
      <c r="AC3812" s="7"/>
      <c r="AD3812" s="4"/>
      <c r="AE3812" s="4"/>
      <c r="AF3812" s="21"/>
    </row>
    <row r="3813" spans="24:32" x14ac:dyDescent="0.25">
      <c r="X3813" s="4"/>
      <c r="Y3813" s="4"/>
      <c r="Z3813" s="4"/>
      <c r="AA3813" s="4"/>
      <c r="AB3813" s="4"/>
      <c r="AC3813" s="7"/>
      <c r="AD3813" s="4"/>
      <c r="AE3813" s="4"/>
      <c r="AF3813" s="21"/>
    </row>
    <row r="3814" spans="24:32" x14ac:dyDescent="0.25">
      <c r="X3814" s="4"/>
      <c r="Y3814" s="4"/>
      <c r="Z3814" s="4"/>
      <c r="AA3814" s="4"/>
      <c r="AB3814" s="4"/>
      <c r="AC3814" s="7"/>
      <c r="AD3814" s="4"/>
      <c r="AE3814" s="4"/>
      <c r="AF3814" s="21"/>
    </row>
    <row r="3815" spans="24:32" x14ac:dyDescent="0.25">
      <c r="X3815" s="4"/>
      <c r="Y3815" s="4"/>
      <c r="Z3815" s="4"/>
      <c r="AA3815" s="4"/>
      <c r="AB3815" s="4"/>
      <c r="AC3815" s="7"/>
      <c r="AD3815" s="4"/>
      <c r="AE3815" s="4"/>
      <c r="AF3815" s="21"/>
    </row>
    <row r="3816" spans="24:32" x14ac:dyDescent="0.25">
      <c r="X3816" s="4"/>
      <c r="Y3816" s="4"/>
      <c r="Z3816" s="4"/>
      <c r="AA3816" s="4"/>
      <c r="AB3816" s="4"/>
      <c r="AC3816" s="7"/>
      <c r="AD3816" s="4"/>
      <c r="AE3816" s="4"/>
      <c r="AF3816" s="21"/>
    </row>
    <row r="3817" spans="24:32" x14ac:dyDescent="0.25">
      <c r="X3817" s="4"/>
      <c r="Y3817" s="4"/>
      <c r="Z3817" s="4"/>
      <c r="AA3817" s="4"/>
      <c r="AB3817" s="4"/>
      <c r="AC3817" s="7"/>
      <c r="AD3817" s="4"/>
      <c r="AE3817" s="4"/>
      <c r="AF3817" s="21"/>
    </row>
    <row r="3818" spans="24:32" x14ac:dyDescent="0.25">
      <c r="X3818" s="4"/>
      <c r="Y3818" s="4"/>
      <c r="Z3818" s="4"/>
      <c r="AA3818" s="4"/>
      <c r="AB3818" s="4"/>
      <c r="AC3818" s="7"/>
      <c r="AD3818" s="4"/>
      <c r="AE3818" s="4"/>
      <c r="AF3818" s="21"/>
    </row>
    <row r="3819" spans="24:32" x14ac:dyDescent="0.25">
      <c r="X3819" s="4"/>
      <c r="Y3819" s="4"/>
      <c r="Z3819" s="4"/>
      <c r="AA3819" s="4"/>
      <c r="AB3819" s="4"/>
      <c r="AC3819" s="7"/>
      <c r="AD3819" s="4"/>
      <c r="AE3819" s="4"/>
      <c r="AF3819" s="21"/>
    </row>
    <row r="3820" spans="24:32" x14ac:dyDescent="0.25">
      <c r="X3820" s="4"/>
      <c r="Y3820" s="4"/>
      <c r="Z3820" s="4"/>
      <c r="AA3820" s="4"/>
      <c r="AB3820" s="4"/>
      <c r="AC3820" s="7"/>
      <c r="AD3820" s="4"/>
      <c r="AE3820" s="4"/>
      <c r="AF3820" s="21"/>
    </row>
    <row r="3821" spans="24:32" x14ac:dyDescent="0.25">
      <c r="X3821" s="4"/>
      <c r="Y3821" s="4"/>
      <c r="Z3821" s="4"/>
      <c r="AA3821" s="4"/>
      <c r="AB3821" s="4"/>
      <c r="AC3821" s="7"/>
      <c r="AD3821" s="4"/>
      <c r="AE3821" s="4"/>
      <c r="AF3821" s="21"/>
    </row>
    <row r="3822" spans="24:32" x14ac:dyDescent="0.25">
      <c r="X3822" s="4"/>
      <c r="Y3822" s="4"/>
      <c r="Z3822" s="4"/>
      <c r="AA3822" s="4"/>
      <c r="AB3822" s="4"/>
      <c r="AC3822" s="7"/>
      <c r="AD3822" s="4"/>
      <c r="AE3822" s="4"/>
      <c r="AF3822" s="21"/>
    </row>
    <row r="3823" spans="24:32" x14ac:dyDescent="0.25">
      <c r="X3823" s="4"/>
      <c r="Y3823" s="4"/>
      <c r="Z3823" s="4"/>
      <c r="AA3823" s="4"/>
      <c r="AB3823" s="4"/>
      <c r="AC3823" s="7"/>
      <c r="AD3823" s="4"/>
      <c r="AE3823" s="4"/>
      <c r="AF3823" s="21"/>
    </row>
    <row r="3824" spans="24:32" x14ac:dyDescent="0.25">
      <c r="X3824" s="4"/>
      <c r="Y3824" s="4"/>
      <c r="Z3824" s="4"/>
      <c r="AA3824" s="4"/>
      <c r="AB3824" s="4"/>
      <c r="AC3824" s="7"/>
      <c r="AD3824" s="4"/>
      <c r="AE3824" s="4"/>
      <c r="AF3824" s="21"/>
    </row>
    <row r="3825" spans="24:32" x14ac:dyDescent="0.25">
      <c r="X3825" s="4"/>
      <c r="Y3825" s="4"/>
      <c r="Z3825" s="4"/>
      <c r="AA3825" s="4"/>
      <c r="AB3825" s="4"/>
      <c r="AC3825" s="7"/>
      <c r="AD3825" s="4"/>
      <c r="AE3825" s="4"/>
      <c r="AF3825" s="21"/>
    </row>
    <row r="3826" spans="24:32" x14ac:dyDescent="0.25">
      <c r="X3826" s="4"/>
      <c r="Y3826" s="4"/>
      <c r="Z3826" s="4"/>
      <c r="AA3826" s="4"/>
      <c r="AB3826" s="4"/>
      <c r="AC3826" s="7"/>
      <c r="AD3826" s="4"/>
      <c r="AE3826" s="4"/>
      <c r="AF3826" s="21"/>
    </row>
    <row r="3827" spans="24:32" x14ac:dyDescent="0.25">
      <c r="X3827" s="4"/>
      <c r="Y3827" s="4"/>
      <c r="Z3827" s="4"/>
      <c r="AA3827" s="4"/>
      <c r="AB3827" s="4"/>
      <c r="AC3827" s="7"/>
      <c r="AD3827" s="4"/>
      <c r="AE3827" s="4"/>
      <c r="AF3827" s="21"/>
    </row>
    <row r="3828" spans="24:32" x14ac:dyDescent="0.25">
      <c r="X3828" s="4"/>
      <c r="Y3828" s="4"/>
      <c r="Z3828" s="4"/>
      <c r="AA3828" s="4"/>
      <c r="AB3828" s="4"/>
      <c r="AC3828" s="7"/>
      <c r="AD3828" s="4"/>
      <c r="AE3828" s="4"/>
      <c r="AF3828" s="21"/>
    </row>
    <row r="3829" spans="24:32" x14ac:dyDescent="0.25">
      <c r="X3829" s="4"/>
      <c r="Y3829" s="4"/>
      <c r="Z3829" s="4"/>
      <c r="AA3829" s="4"/>
      <c r="AB3829" s="4"/>
      <c r="AC3829" s="7"/>
      <c r="AD3829" s="4"/>
      <c r="AE3829" s="4"/>
      <c r="AF3829" s="21"/>
    </row>
    <row r="3830" spans="24:32" x14ac:dyDescent="0.25">
      <c r="X3830" s="4"/>
      <c r="Y3830" s="4"/>
      <c r="Z3830" s="4"/>
      <c r="AA3830" s="4"/>
      <c r="AB3830" s="4"/>
      <c r="AC3830" s="7"/>
      <c r="AD3830" s="4"/>
      <c r="AE3830" s="4"/>
      <c r="AF3830" s="21"/>
    </row>
    <row r="3831" spans="24:32" x14ac:dyDescent="0.25">
      <c r="X3831" s="4"/>
      <c r="Y3831" s="4"/>
      <c r="Z3831" s="4"/>
      <c r="AA3831" s="4"/>
      <c r="AB3831" s="4"/>
      <c r="AC3831" s="7"/>
      <c r="AD3831" s="4"/>
      <c r="AE3831" s="4"/>
      <c r="AF3831" s="21"/>
    </row>
    <row r="3832" spans="24:32" x14ac:dyDescent="0.25">
      <c r="X3832" s="4"/>
      <c r="Y3832" s="4"/>
      <c r="Z3832" s="4"/>
      <c r="AA3832" s="4"/>
      <c r="AB3832" s="4"/>
      <c r="AC3832" s="7"/>
      <c r="AD3832" s="4"/>
      <c r="AE3832" s="4"/>
      <c r="AF3832" s="21"/>
    </row>
    <row r="3833" spans="24:32" x14ac:dyDescent="0.25">
      <c r="X3833" s="4"/>
      <c r="Y3833" s="4"/>
      <c r="Z3833" s="4"/>
      <c r="AA3833" s="4"/>
      <c r="AB3833" s="4"/>
      <c r="AC3833" s="7"/>
      <c r="AD3833" s="4"/>
      <c r="AE3833" s="4"/>
      <c r="AF3833" s="21"/>
    </row>
    <row r="3834" spans="24:32" x14ac:dyDescent="0.25">
      <c r="X3834" s="4"/>
      <c r="Y3834" s="4"/>
      <c r="Z3834" s="4"/>
      <c r="AA3834" s="4"/>
      <c r="AB3834" s="4"/>
      <c r="AC3834" s="7"/>
      <c r="AD3834" s="4"/>
      <c r="AE3834" s="4"/>
      <c r="AF3834" s="21"/>
    </row>
    <row r="3835" spans="24:32" x14ac:dyDescent="0.25">
      <c r="X3835" s="4"/>
      <c r="Y3835" s="4"/>
      <c r="Z3835" s="4"/>
      <c r="AA3835" s="4"/>
      <c r="AB3835" s="4"/>
      <c r="AC3835" s="7"/>
      <c r="AD3835" s="4"/>
      <c r="AE3835" s="4"/>
      <c r="AF3835" s="21"/>
    </row>
    <row r="3836" spans="24:32" x14ac:dyDescent="0.25">
      <c r="X3836" s="4"/>
      <c r="Y3836" s="4"/>
      <c r="Z3836" s="4"/>
      <c r="AA3836" s="4"/>
      <c r="AB3836" s="4"/>
      <c r="AC3836" s="7"/>
      <c r="AD3836" s="4"/>
      <c r="AE3836" s="4"/>
      <c r="AF3836" s="21"/>
    </row>
    <row r="3837" spans="24:32" x14ac:dyDescent="0.25">
      <c r="X3837" s="4"/>
      <c r="Y3837" s="4"/>
      <c r="Z3837" s="4"/>
      <c r="AA3837" s="4"/>
      <c r="AB3837" s="4"/>
      <c r="AC3837" s="7"/>
      <c r="AD3837" s="4"/>
      <c r="AE3837" s="4"/>
      <c r="AF3837" s="21"/>
    </row>
    <row r="3838" spans="24:32" x14ac:dyDescent="0.25">
      <c r="X3838" s="4"/>
      <c r="Y3838" s="4"/>
      <c r="Z3838" s="4"/>
      <c r="AA3838" s="4"/>
      <c r="AB3838" s="4"/>
      <c r="AC3838" s="7"/>
      <c r="AD3838" s="4"/>
      <c r="AE3838" s="4"/>
      <c r="AF3838" s="21"/>
    </row>
    <row r="3839" spans="24:32" x14ac:dyDescent="0.25">
      <c r="X3839" s="4"/>
      <c r="Y3839" s="4"/>
      <c r="Z3839" s="4"/>
      <c r="AA3839" s="4"/>
      <c r="AB3839" s="4"/>
      <c r="AC3839" s="7"/>
      <c r="AD3839" s="4"/>
      <c r="AE3839" s="4"/>
      <c r="AF3839" s="21"/>
    </row>
    <row r="3840" spans="24:32" x14ac:dyDescent="0.25">
      <c r="X3840" s="4"/>
      <c r="Y3840" s="4"/>
      <c r="Z3840" s="4"/>
      <c r="AA3840" s="4"/>
      <c r="AB3840" s="4"/>
      <c r="AC3840" s="7"/>
      <c r="AD3840" s="4"/>
      <c r="AE3840" s="4"/>
      <c r="AF3840" s="21"/>
    </row>
    <row r="3841" spans="24:32" x14ac:dyDescent="0.25">
      <c r="X3841" s="4"/>
      <c r="Y3841" s="4"/>
      <c r="Z3841" s="4"/>
      <c r="AA3841" s="4"/>
      <c r="AB3841" s="4"/>
      <c r="AC3841" s="7"/>
      <c r="AD3841" s="4"/>
      <c r="AE3841" s="4"/>
      <c r="AF3841" s="21"/>
    </row>
    <row r="3842" spans="24:32" x14ac:dyDescent="0.25">
      <c r="X3842" s="4"/>
      <c r="Y3842" s="4"/>
      <c r="Z3842" s="4"/>
      <c r="AA3842" s="4"/>
      <c r="AB3842" s="4"/>
      <c r="AC3842" s="7"/>
      <c r="AD3842" s="4"/>
      <c r="AE3842" s="4"/>
      <c r="AF3842" s="21"/>
    </row>
    <row r="3843" spans="24:32" x14ac:dyDescent="0.25">
      <c r="X3843" s="4"/>
      <c r="Y3843" s="4"/>
      <c r="Z3843" s="4"/>
      <c r="AA3843" s="4"/>
      <c r="AB3843" s="4"/>
      <c r="AC3843" s="7"/>
      <c r="AD3843" s="4"/>
      <c r="AE3843" s="4"/>
      <c r="AF3843" s="21"/>
    </row>
    <row r="3844" spans="24:32" x14ac:dyDescent="0.25">
      <c r="X3844" s="4"/>
      <c r="Y3844" s="4"/>
      <c r="Z3844" s="4"/>
      <c r="AA3844" s="4"/>
      <c r="AB3844" s="4"/>
      <c r="AC3844" s="7"/>
      <c r="AD3844" s="4"/>
      <c r="AE3844" s="4"/>
      <c r="AF3844" s="21"/>
    </row>
    <row r="3845" spans="24:32" x14ac:dyDescent="0.25">
      <c r="X3845" s="4"/>
      <c r="Y3845" s="4"/>
      <c r="Z3845" s="4"/>
      <c r="AA3845" s="4"/>
      <c r="AB3845" s="4"/>
      <c r="AC3845" s="7"/>
      <c r="AD3845" s="4"/>
      <c r="AE3845" s="4"/>
      <c r="AF3845" s="21"/>
    </row>
    <row r="3846" spans="24:32" x14ac:dyDescent="0.25">
      <c r="X3846" s="4"/>
      <c r="Y3846" s="4"/>
      <c r="Z3846" s="4"/>
      <c r="AA3846" s="4"/>
      <c r="AB3846" s="4"/>
      <c r="AC3846" s="7"/>
      <c r="AD3846" s="4"/>
      <c r="AE3846" s="4"/>
      <c r="AF3846" s="21"/>
    </row>
    <row r="3847" spans="24:32" x14ac:dyDescent="0.25">
      <c r="X3847" s="4"/>
      <c r="Y3847" s="4"/>
      <c r="Z3847" s="4"/>
      <c r="AA3847" s="4"/>
      <c r="AB3847" s="4"/>
      <c r="AC3847" s="7"/>
      <c r="AD3847" s="4"/>
      <c r="AE3847" s="4"/>
      <c r="AF3847" s="21"/>
    </row>
    <row r="3848" spans="24:32" x14ac:dyDescent="0.25">
      <c r="X3848" s="4"/>
      <c r="Y3848" s="4"/>
      <c r="Z3848" s="4"/>
      <c r="AA3848" s="4"/>
      <c r="AB3848" s="4"/>
      <c r="AC3848" s="7"/>
      <c r="AD3848" s="4"/>
      <c r="AE3848" s="4"/>
      <c r="AF3848" s="21"/>
    </row>
    <row r="3849" spans="24:32" x14ac:dyDescent="0.25">
      <c r="X3849" s="4"/>
      <c r="Y3849" s="4"/>
      <c r="Z3849" s="4"/>
      <c r="AA3849" s="4"/>
      <c r="AB3849" s="4"/>
      <c r="AC3849" s="7"/>
      <c r="AD3849" s="4"/>
      <c r="AE3849" s="4"/>
      <c r="AF3849" s="21"/>
    </row>
    <row r="3850" spans="24:32" x14ac:dyDescent="0.25">
      <c r="X3850" s="4"/>
      <c r="Y3850" s="4"/>
      <c r="Z3850" s="4"/>
      <c r="AA3850" s="4"/>
      <c r="AB3850" s="4"/>
      <c r="AC3850" s="7"/>
      <c r="AD3850" s="4"/>
      <c r="AE3850" s="4"/>
      <c r="AF3850" s="21"/>
    </row>
    <row r="3851" spans="24:32" x14ac:dyDescent="0.25">
      <c r="X3851" s="4"/>
      <c r="Y3851" s="4"/>
      <c r="Z3851" s="4"/>
      <c r="AA3851" s="4"/>
      <c r="AB3851" s="4"/>
      <c r="AC3851" s="7"/>
      <c r="AD3851" s="4"/>
      <c r="AE3851" s="4"/>
      <c r="AF3851" s="21"/>
    </row>
    <row r="3852" spans="24:32" x14ac:dyDescent="0.25">
      <c r="X3852" s="4"/>
      <c r="Y3852" s="4"/>
      <c r="Z3852" s="4"/>
      <c r="AA3852" s="4"/>
      <c r="AB3852" s="4"/>
      <c r="AC3852" s="7"/>
      <c r="AD3852" s="4"/>
      <c r="AE3852" s="4"/>
      <c r="AF3852" s="21"/>
    </row>
    <row r="3853" spans="24:32" x14ac:dyDescent="0.25">
      <c r="X3853" s="4"/>
      <c r="Y3853" s="4"/>
      <c r="Z3853" s="4"/>
      <c r="AA3853" s="4"/>
      <c r="AB3853" s="4"/>
      <c r="AC3853" s="7"/>
      <c r="AD3853" s="4"/>
      <c r="AE3853" s="4"/>
      <c r="AF3853" s="21"/>
    </row>
    <row r="3854" spans="24:32" x14ac:dyDescent="0.25">
      <c r="X3854" s="4"/>
      <c r="Y3854" s="4"/>
      <c r="Z3854" s="4"/>
      <c r="AA3854" s="4"/>
      <c r="AB3854" s="4"/>
      <c r="AC3854" s="7"/>
      <c r="AD3854" s="4"/>
      <c r="AE3854" s="4"/>
      <c r="AF3854" s="21"/>
    </row>
    <row r="3855" spans="24:32" x14ac:dyDescent="0.25">
      <c r="X3855" s="4"/>
      <c r="Y3855" s="4"/>
      <c r="Z3855" s="4"/>
      <c r="AA3855" s="4"/>
      <c r="AB3855" s="4"/>
      <c r="AC3855" s="7"/>
      <c r="AD3855" s="4"/>
      <c r="AE3855" s="4"/>
      <c r="AF3855" s="21"/>
    </row>
    <row r="3856" spans="24:32" x14ac:dyDescent="0.25">
      <c r="X3856" s="4"/>
      <c r="Y3856" s="4"/>
      <c r="Z3856" s="4"/>
      <c r="AA3856" s="4"/>
      <c r="AB3856" s="4"/>
      <c r="AC3856" s="7"/>
      <c r="AD3856" s="4"/>
      <c r="AE3856" s="4"/>
      <c r="AF3856" s="21"/>
    </row>
    <row r="3857" spans="24:32" x14ac:dyDescent="0.25">
      <c r="X3857" s="4"/>
      <c r="Y3857" s="4"/>
      <c r="Z3857" s="4"/>
      <c r="AA3857" s="4"/>
      <c r="AB3857" s="4"/>
      <c r="AC3857" s="7"/>
      <c r="AD3857" s="4"/>
      <c r="AE3857" s="4"/>
      <c r="AF3857" s="21"/>
    </row>
    <row r="3858" spans="24:32" x14ac:dyDescent="0.25">
      <c r="X3858" s="4"/>
      <c r="Y3858" s="4"/>
      <c r="Z3858" s="4"/>
      <c r="AA3858" s="4"/>
      <c r="AB3858" s="4"/>
      <c r="AC3858" s="7"/>
      <c r="AD3858" s="4"/>
      <c r="AE3858" s="4"/>
      <c r="AF3858" s="21"/>
    </row>
    <row r="3859" spans="24:32" x14ac:dyDescent="0.25">
      <c r="X3859" s="4"/>
      <c r="Y3859" s="4"/>
      <c r="Z3859" s="4"/>
      <c r="AA3859" s="4"/>
      <c r="AB3859" s="4"/>
      <c r="AC3859" s="7"/>
      <c r="AD3859" s="4"/>
      <c r="AE3859" s="4"/>
      <c r="AF3859" s="21"/>
    </row>
    <row r="3860" spans="24:32" x14ac:dyDescent="0.25">
      <c r="X3860" s="4"/>
      <c r="Y3860" s="4"/>
      <c r="Z3860" s="4"/>
      <c r="AA3860" s="4"/>
      <c r="AB3860" s="4"/>
      <c r="AC3860" s="7"/>
      <c r="AD3860" s="4"/>
      <c r="AE3860" s="4"/>
      <c r="AF3860" s="21"/>
    </row>
    <row r="3861" spans="24:32" x14ac:dyDescent="0.25">
      <c r="X3861" s="4"/>
      <c r="Y3861" s="4"/>
      <c r="Z3861" s="4"/>
      <c r="AA3861" s="4"/>
      <c r="AB3861" s="4"/>
      <c r="AC3861" s="7"/>
      <c r="AD3861" s="4"/>
      <c r="AE3861" s="4"/>
      <c r="AF3861" s="21"/>
    </row>
    <row r="3862" spans="24:32" x14ac:dyDescent="0.25">
      <c r="X3862" s="4"/>
      <c r="Y3862" s="4"/>
      <c r="Z3862" s="4"/>
      <c r="AA3862" s="4"/>
      <c r="AB3862" s="4"/>
      <c r="AC3862" s="7"/>
      <c r="AD3862" s="4"/>
      <c r="AE3862" s="4"/>
      <c r="AF3862" s="21"/>
    </row>
    <row r="3863" spans="24:32" x14ac:dyDescent="0.25">
      <c r="X3863" s="4"/>
      <c r="Y3863" s="4"/>
      <c r="Z3863" s="4"/>
      <c r="AA3863" s="4"/>
      <c r="AB3863" s="4"/>
      <c r="AC3863" s="7"/>
      <c r="AD3863" s="4"/>
      <c r="AE3863" s="4"/>
      <c r="AF3863" s="21"/>
    </row>
    <row r="3864" spans="24:32" x14ac:dyDescent="0.25">
      <c r="X3864" s="4"/>
      <c r="Y3864" s="4"/>
      <c r="Z3864" s="4"/>
      <c r="AA3864" s="4"/>
      <c r="AB3864" s="4"/>
      <c r="AC3864" s="7"/>
      <c r="AD3864" s="4"/>
      <c r="AE3864" s="4"/>
      <c r="AF3864" s="21"/>
    </row>
    <row r="3865" spans="24:32" x14ac:dyDescent="0.25">
      <c r="X3865" s="4"/>
      <c r="Y3865" s="4"/>
      <c r="Z3865" s="4"/>
      <c r="AA3865" s="4"/>
      <c r="AB3865" s="4"/>
      <c r="AC3865" s="7"/>
      <c r="AD3865" s="4"/>
      <c r="AE3865" s="4"/>
      <c r="AF3865" s="21"/>
    </row>
    <row r="3866" spans="24:32" x14ac:dyDescent="0.25">
      <c r="X3866" s="4"/>
      <c r="Y3866" s="4"/>
      <c r="Z3866" s="4"/>
      <c r="AA3866" s="4"/>
      <c r="AB3866" s="4"/>
      <c r="AC3866" s="7"/>
      <c r="AD3866" s="4"/>
      <c r="AE3866" s="4"/>
      <c r="AF3866" s="21"/>
    </row>
    <row r="3867" spans="24:32" x14ac:dyDescent="0.25">
      <c r="X3867" s="4"/>
      <c r="Y3867" s="4"/>
      <c r="Z3867" s="4"/>
      <c r="AA3867" s="4"/>
      <c r="AB3867" s="4"/>
      <c r="AC3867" s="7"/>
      <c r="AD3867" s="4"/>
      <c r="AE3867" s="4"/>
      <c r="AF3867" s="21"/>
    </row>
    <row r="3868" spans="24:32" x14ac:dyDescent="0.25">
      <c r="X3868" s="4"/>
      <c r="Y3868" s="4"/>
      <c r="Z3868" s="4"/>
      <c r="AA3868" s="4"/>
      <c r="AB3868" s="4"/>
      <c r="AC3868" s="7"/>
      <c r="AD3868" s="4"/>
      <c r="AE3868" s="4"/>
      <c r="AF3868" s="21"/>
    </row>
    <row r="3869" spans="24:32" x14ac:dyDescent="0.25">
      <c r="X3869" s="4"/>
      <c r="Y3869" s="4"/>
      <c r="Z3869" s="4"/>
      <c r="AA3869" s="4"/>
      <c r="AB3869" s="4"/>
      <c r="AC3869" s="7"/>
      <c r="AD3869" s="4"/>
      <c r="AE3869" s="4"/>
      <c r="AF3869" s="21"/>
    </row>
    <row r="3870" spans="24:32" x14ac:dyDescent="0.25">
      <c r="X3870" s="4"/>
      <c r="Y3870" s="4"/>
      <c r="Z3870" s="4"/>
      <c r="AA3870" s="4"/>
      <c r="AB3870" s="4"/>
      <c r="AC3870" s="7"/>
      <c r="AD3870" s="4"/>
      <c r="AE3870" s="4"/>
      <c r="AF3870" s="21"/>
    </row>
    <row r="3871" spans="24:32" x14ac:dyDescent="0.25">
      <c r="X3871" s="4"/>
      <c r="Y3871" s="4"/>
      <c r="Z3871" s="4"/>
      <c r="AA3871" s="4"/>
      <c r="AB3871" s="4"/>
      <c r="AC3871" s="7"/>
      <c r="AD3871" s="4"/>
      <c r="AE3871" s="4"/>
      <c r="AF3871" s="21"/>
    </row>
    <row r="3872" spans="24:32" x14ac:dyDescent="0.25">
      <c r="X3872" s="4"/>
      <c r="Y3872" s="4"/>
      <c r="Z3872" s="4"/>
      <c r="AA3872" s="4"/>
      <c r="AB3872" s="4"/>
      <c r="AC3872" s="7"/>
      <c r="AD3872" s="4"/>
      <c r="AE3872" s="4"/>
      <c r="AF3872" s="21"/>
    </row>
    <row r="3873" spans="24:32" x14ac:dyDescent="0.25">
      <c r="X3873" s="4"/>
      <c r="Y3873" s="4"/>
      <c r="Z3873" s="4"/>
      <c r="AA3873" s="4"/>
      <c r="AB3873" s="4"/>
      <c r="AC3873" s="7"/>
      <c r="AD3873" s="4"/>
      <c r="AE3873" s="4"/>
      <c r="AF3873" s="21"/>
    </row>
    <row r="3874" spans="24:32" x14ac:dyDescent="0.25">
      <c r="X3874" s="4"/>
      <c r="Y3874" s="4"/>
      <c r="Z3874" s="4"/>
      <c r="AA3874" s="4"/>
      <c r="AB3874" s="4"/>
      <c r="AC3874" s="7"/>
      <c r="AD3874" s="4"/>
      <c r="AE3874" s="4"/>
      <c r="AF3874" s="21"/>
    </row>
    <row r="3875" spans="24:32" x14ac:dyDescent="0.25">
      <c r="X3875" s="4"/>
      <c r="Y3875" s="4"/>
      <c r="Z3875" s="4"/>
      <c r="AA3875" s="4"/>
      <c r="AB3875" s="4"/>
      <c r="AC3875" s="7"/>
      <c r="AD3875" s="4"/>
      <c r="AE3875" s="4"/>
      <c r="AF3875" s="21"/>
    </row>
    <row r="3876" spans="24:32" x14ac:dyDescent="0.25">
      <c r="X3876" s="4"/>
      <c r="Y3876" s="4"/>
      <c r="Z3876" s="4"/>
      <c r="AA3876" s="4"/>
      <c r="AB3876" s="4"/>
      <c r="AC3876" s="7"/>
      <c r="AD3876" s="4"/>
      <c r="AE3876" s="4"/>
      <c r="AF3876" s="21"/>
    </row>
    <row r="3877" spans="24:32" x14ac:dyDescent="0.25">
      <c r="X3877" s="4"/>
      <c r="Y3877" s="4"/>
      <c r="Z3877" s="4"/>
      <c r="AA3877" s="4"/>
      <c r="AB3877" s="4"/>
      <c r="AC3877" s="7"/>
      <c r="AD3877" s="4"/>
      <c r="AE3877" s="4"/>
      <c r="AF3877" s="21"/>
    </row>
    <row r="3878" spans="24:32" x14ac:dyDescent="0.25">
      <c r="X3878" s="4"/>
      <c r="Y3878" s="4"/>
      <c r="Z3878" s="4"/>
      <c r="AA3878" s="4"/>
      <c r="AB3878" s="4"/>
      <c r="AC3878" s="7"/>
      <c r="AD3878" s="4"/>
      <c r="AE3878" s="4"/>
      <c r="AF3878" s="21"/>
    </row>
    <row r="3879" spans="24:32" x14ac:dyDescent="0.25">
      <c r="X3879" s="4"/>
      <c r="Y3879" s="4"/>
      <c r="Z3879" s="4"/>
      <c r="AA3879" s="4"/>
      <c r="AB3879" s="4"/>
      <c r="AC3879" s="7"/>
      <c r="AD3879" s="4"/>
      <c r="AE3879" s="4"/>
      <c r="AF3879" s="21"/>
    </row>
    <row r="3880" spans="24:32" x14ac:dyDescent="0.25">
      <c r="X3880" s="4"/>
      <c r="Y3880" s="4"/>
      <c r="Z3880" s="4"/>
      <c r="AA3880" s="4"/>
      <c r="AB3880" s="4"/>
      <c r="AC3880" s="7"/>
      <c r="AD3880" s="4"/>
      <c r="AE3880" s="4"/>
      <c r="AF3880" s="21"/>
    </row>
    <row r="3881" spans="24:32" x14ac:dyDescent="0.25">
      <c r="X3881" s="4"/>
      <c r="Y3881" s="4"/>
      <c r="Z3881" s="4"/>
      <c r="AA3881" s="4"/>
      <c r="AB3881" s="4"/>
      <c r="AC3881" s="7"/>
      <c r="AD3881" s="4"/>
      <c r="AE3881" s="4"/>
      <c r="AF3881" s="21"/>
    </row>
    <row r="3882" spans="24:32" x14ac:dyDescent="0.25">
      <c r="X3882" s="4"/>
      <c r="Y3882" s="4"/>
      <c r="Z3882" s="4"/>
      <c r="AA3882" s="4"/>
      <c r="AB3882" s="4"/>
      <c r="AC3882" s="7"/>
      <c r="AD3882" s="4"/>
      <c r="AE3882" s="4"/>
      <c r="AF3882" s="21"/>
    </row>
    <row r="3883" spans="24:32" x14ac:dyDescent="0.25">
      <c r="X3883" s="4"/>
      <c r="Y3883" s="4"/>
      <c r="Z3883" s="4"/>
      <c r="AA3883" s="4"/>
      <c r="AB3883" s="4"/>
      <c r="AC3883" s="7"/>
      <c r="AD3883" s="4"/>
      <c r="AE3883" s="4"/>
      <c r="AF3883" s="21"/>
    </row>
    <row r="3884" spans="24:32" x14ac:dyDescent="0.25">
      <c r="X3884" s="4"/>
      <c r="Y3884" s="4"/>
      <c r="Z3884" s="4"/>
      <c r="AA3884" s="4"/>
      <c r="AB3884" s="4"/>
      <c r="AC3884" s="7"/>
      <c r="AD3884" s="4"/>
      <c r="AE3884" s="4"/>
      <c r="AF3884" s="21"/>
    </row>
    <row r="3885" spans="24:32" x14ac:dyDescent="0.25">
      <c r="X3885" s="4"/>
      <c r="Y3885" s="4"/>
      <c r="Z3885" s="4"/>
      <c r="AA3885" s="4"/>
      <c r="AB3885" s="4"/>
      <c r="AC3885" s="7"/>
      <c r="AD3885" s="4"/>
      <c r="AE3885" s="4"/>
      <c r="AF3885" s="21"/>
    </row>
    <row r="3886" spans="24:32" x14ac:dyDescent="0.25">
      <c r="X3886" s="4"/>
      <c r="Y3886" s="4"/>
      <c r="Z3886" s="4"/>
      <c r="AA3886" s="4"/>
      <c r="AB3886" s="4"/>
      <c r="AC3886" s="7"/>
      <c r="AD3886" s="4"/>
      <c r="AE3886" s="4"/>
      <c r="AF3886" s="21"/>
    </row>
    <row r="3887" spans="24:32" x14ac:dyDescent="0.25">
      <c r="X3887" s="4"/>
      <c r="Y3887" s="4"/>
      <c r="Z3887" s="4"/>
      <c r="AA3887" s="4"/>
      <c r="AB3887" s="4"/>
      <c r="AC3887" s="7"/>
      <c r="AD3887" s="4"/>
      <c r="AE3887" s="4"/>
      <c r="AF3887" s="21"/>
    </row>
    <row r="3888" spans="24:32" x14ac:dyDescent="0.25">
      <c r="X3888" s="4"/>
      <c r="Y3888" s="4"/>
      <c r="Z3888" s="4"/>
      <c r="AA3888" s="4"/>
      <c r="AB3888" s="4"/>
      <c r="AC3888" s="7"/>
      <c r="AD3888" s="4"/>
      <c r="AE3888" s="4"/>
      <c r="AF3888" s="21"/>
    </row>
    <row r="3889" spans="24:32" x14ac:dyDescent="0.25">
      <c r="X3889" s="4"/>
      <c r="Y3889" s="4"/>
      <c r="Z3889" s="4"/>
      <c r="AA3889" s="4"/>
      <c r="AB3889" s="4"/>
      <c r="AC3889" s="7"/>
      <c r="AD3889" s="4"/>
      <c r="AE3889" s="4"/>
      <c r="AF3889" s="21"/>
    </row>
    <row r="3890" spans="24:32" x14ac:dyDescent="0.25">
      <c r="X3890" s="4"/>
      <c r="Y3890" s="4"/>
      <c r="Z3890" s="4"/>
      <c r="AA3890" s="4"/>
      <c r="AB3890" s="4"/>
      <c r="AC3890" s="7"/>
      <c r="AD3890" s="4"/>
      <c r="AE3890" s="4"/>
      <c r="AF3890" s="21"/>
    </row>
    <row r="3891" spans="24:32" x14ac:dyDescent="0.25">
      <c r="X3891" s="4"/>
      <c r="Y3891" s="4"/>
      <c r="Z3891" s="4"/>
      <c r="AA3891" s="4"/>
      <c r="AB3891" s="4"/>
      <c r="AC3891" s="7"/>
      <c r="AD3891" s="4"/>
      <c r="AE3891" s="4"/>
      <c r="AF3891" s="21"/>
    </row>
    <row r="3892" spans="24:32" x14ac:dyDescent="0.25">
      <c r="X3892" s="4"/>
      <c r="Y3892" s="4"/>
      <c r="Z3892" s="4"/>
      <c r="AA3892" s="4"/>
      <c r="AB3892" s="4"/>
      <c r="AC3892" s="7"/>
      <c r="AD3892" s="4"/>
      <c r="AE3892" s="4"/>
      <c r="AF3892" s="21"/>
    </row>
    <row r="3893" spans="24:32" x14ac:dyDescent="0.25">
      <c r="X3893" s="4"/>
      <c r="Y3893" s="4"/>
      <c r="Z3893" s="4"/>
      <c r="AA3893" s="4"/>
      <c r="AB3893" s="4"/>
      <c r="AC3893" s="7"/>
      <c r="AD3893" s="4"/>
      <c r="AE3893" s="4"/>
      <c r="AF3893" s="21"/>
    </row>
    <row r="3894" spans="24:32" x14ac:dyDescent="0.25">
      <c r="X3894" s="4"/>
      <c r="Y3894" s="4"/>
      <c r="Z3894" s="4"/>
      <c r="AA3894" s="4"/>
      <c r="AB3894" s="4"/>
      <c r="AC3894" s="7"/>
      <c r="AD3894" s="4"/>
      <c r="AE3894" s="4"/>
      <c r="AF3894" s="21"/>
    </row>
    <row r="3895" spans="24:32" x14ac:dyDescent="0.25">
      <c r="X3895" s="4"/>
      <c r="Y3895" s="4"/>
      <c r="Z3895" s="4"/>
      <c r="AA3895" s="4"/>
      <c r="AB3895" s="4"/>
      <c r="AC3895" s="7"/>
      <c r="AD3895" s="4"/>
      <c r="AE3895" s="4"/>
      <c r="AF3895" s="21"/>
    </row>
    <row r="3896" spans="24:32" x14ac:dyDescent="0.25">
      <c r="X3896" s="4"/>
      <c r="Y3896" s="4"/>
      <c r="Z3896" s="4"/>
      <c r="AA3896" s="4"/>
      <c r="AB3896" s="4"/>
      <c r="AC3896" s="7"/>
      <c r="AD3896" s="4"/>
      <c r="AE3896" s="4"/>
      <c r="AF3896" s="21"/>
    </row>
    <row r="3897" spans="24:32" x14ac:dyDescent="0.25">
      <c r="X3897" s="4"/>
      <c r="Y3897" s="4"/>
      <c r="Z3897" s="4"/>
      <c r="AA3897" s="4"/>
      <c r="AB3897" s="4"/>
      <c r="AC3897" s="7"/>
      <c r="AD3897" s="4"/>
      <c r="AE3897" s="4"/>
      <c r="AF3897" s="21"/>
    </row>
    <row r="3898" spans="24:32" x14ac:dyDescent="0.25">
      <c r="X3898" s="4"/>
      <c r="Y3898" s="4"/>
      <c r="Z3898" s="4"/>
      <c r="AA3898" s="4"/>
      <c r="AB3898" s="4"/>
      <c r="AC3898" s="7"/>
      <c r="AD3898" s="4"/>
      <c r="AE3898" s="4"/>
      <c r="AF3898" s="21"/>
    </row>
    <row r="3899" spans="24:32" x14ac:dyDescent="0.25">
      <c r="X3899" s="4"/>
      <c r="Y3899" s="4"/>
      <c r="Z3899" s="4"/>
      <c r="AA3899" s="4"/>
      <c r="AB3899" s="4"/>
      <c r="AC3899" s="7"/>
      <c r="AD3899" s="4"/>
      <c r="AE3899" s="4"/>
      <c r="AF3899" s="21"/>
    </row>
    <row r="3900" spans="24:32" x14ac:dyDescent="0.25">
      <c r="X3900" s="4"/>
      <c r="Y3900" s="4"/>
      <c r="Z3900" s="4"/>
      <c r="AA3900" s="4"/>
      <c r="AB3900" s="4"/>
      <c r="AC3900" s="7"/>
      <c r="AD3900" s="4"/>
      <c r="AE3900" s="4"/>
      <c r="AF3900" s="21"/>
    </row>
    <row r="3901" spans="24:32" x14ac:dyDescent="0.25">
      <c r="X3901" s="4"/>
      <c r="Y3901" s="4"/>
      <c r="Z3901" s="4"/>
      <c r="AA3901" s="4"/>
      <c r="AB3901" s="4"/>
      <c r="AC3901" s="7"/>
      <c r="AD3901" s="4"/>
      <c r="AE3901" s="4"/>
      <c r="AF3901" s="21"/>
    </row>
    <row r="3902" spans="24:32" x14ac:dyDescent="0.25">
      <c r="X3902" s="4"/>
      <c r="Y3902" s="4"/>
      <c r="Z3902" s="4"/>
      <c r="AA3902" s="4"/>
      <c r="AB3902" s="4"/>
      <c r="AC3902" s="7"/>
      <c r="AD3902" s="4"/>
      <c r="AE3902" s="4"/>
      <c r="AF3902" s="21"/>
    </row>
    <row r="3903" spans="24:32" x14ac:dyDescent="0.25">
      <c r="X3903" s="4"/>
      <c r="Y3903" s="4"/>
      <c r="Z3903" s="4"/>
      <c r="AA3903" s="4"/>
      <c r="AB3903" s="4"/>
      <c r="AC3903" s="7"/>
      <c r="AD3903" s="4"/>
      <c r="AE3903" s="4"/>
      <c r="AF3903" s="21"/>
    </row>
    <row r="3904" spans="24:32" x14ac:dyDescent="0.25">
      <c r="X3904" s="4"/>
      <c r="Y3904" s="4"/>
      <c r="Z3904" s="4"/>
      <c r="AA3904" s="4"/>
      <c r="AB3904" s="4"/>
      <c r="AC3904" s="7"/>
      <c r="AD3904" s="4"/>
      <c r="AE3904" s="4"/>
      <c r="AF3904" s="21"/>
    </row>
    <row r="3905" spans="24:32" x14ac:dyDescent="0.25">
      <c r="X3905" s="4"/>
      <c r="Y3905" s="4"/>
      <c r="Z3905" s="4"/>
      <c r="AA3905" s="4"/>
      <c r="AB3905" s="4"/>
      <c r="AC3905" s="7"/>
      <c r="AD3905" s="4"/>
      <c r="AE3905" s="4"/>
      <c r="AF3905" s="21"/>
    </row>
    <row r="3906" spans="24:32" x14ac:dyDescent="0.25">
      <c r="X3906" s="4"/>
      <c r="Y3906" s="4"/>
      <c r="Z3906" s="4"/>
      <c r="AA3906" s="4"/>
      <c r="AB3906" s="4"/>
      <c r="AC3906" s="7"/>
      <c r="AD3906" s="4"/>
      <c r="AE3906" s="4"/>
      <c r="AF3906" s="21"/>
    </row>
    <row r="3907" spans="24:32" x14ac:dyDescent="0.25">
      <c r="X3907" s="4"/>
      <c r="Y3907" s="4"/>
      <c r="Z3907" s="4"/>
      <c r="AA3907" s="4"/>
      <c r="AB3907" s="4"/>
      <c r="AC3907" s="7"/>
      <c r="AD3907" s="4"/>
      <c r="AE3907" s="4"/>
      <c r="AF3907" s="21"/>
    </row>
    <row r="3908" spans="24:32" x14ac:dyDescent="0.25">
      <c r="X3908" s="4"/>
      <c r="Y3908" s="4"/>
      <c r="Z3908" s="4"/>
      <c r="AA3908" s="4"/>
      <c r="AB3908" s="4"/>
      <c r="AC3908" s="7"/>
      <c r="AD3908" s="4"/>
      <c r="AE3908" s="4"/>
      <c r="AF3908" s="21"/>
    </row>
    <row r="3909" spans="24:32" x14ac:dyDescent="0.25">
      <c r="X3909" s="4"/>
      <c r="Y3909" s="4"/>
      <c r="Z3909" s="4"/>
      <c r="AA3909" s="4"/>
      <c r="AB3909" s="4"/>
      <c r="AC3909" s="7"/>
      <c r="AD3909" s="4"/>
      <c r="AE3909" s="4"/>
      <c r="AF3909" s="21"/>
    </row>
    <row r="3910" spans="24:32" x14ac:dyDescent="0.25">
      <c r="X3910" s="4"/>
      <c r="Y3910" s="4"/>
      <c r="Z3910" s="4"/>
      <c r="AA3910" s="4"/>
      <c r="AB3910" s="4"/>
      <c r="AC3910" s="7"/>
      <c r="AD3910" s="4"/>
      <c r="AE3910" s="4"/>
      <c r="AF3910" s="21"/>
    </row>
    <row r="3911" spans="24:32" x14ac:dyDescent="0.25">
      <c r="X3911" s="4"/>
      <c r="Y3911" s="4"/>
      <c r="Z3911" s="4"/>
      <c r="AA3911" s="4"/>
      <c r="AB3911" s="4"/>
      <c r="AC3911" s="7"/>
      <c r="AD3911" s="4"/>
      <c r="AE3911" s="4"/>
      <c r="AF3911" s="21"/>
    </row>
    <row r="3912" spans="24:32" x14ac:dyDescent="0.25">
      <c r="X3912" s="4"/>
      <c r="Y3912" s="4"/>
      <c r="Z3912" s="4"/>
      <c r="AA3912" s="4"/>
      <c r="AB3912" s="4"/>
      <c r="AC3912" s="7"/>
      <c r="AD3912" s="4"/>
      <c r="AE3912" s="4"/>
      <c r="AF3912" s="21"/>
    </row>
    <row r="3913" spans="24:32" x14ac:dyDescent="0.25">
      <c r="X3913" s="4"/>
      <c r="Y3913" s="4"/>
      <c r="Z3913" s="4"/>
      <c r="AA3913" s="4"/>
      <c r="AB3913" s="4"/>
      <c r="AC3913" s="7"/>
      <c r="AD3913" s="4"/>
      <c r="AE3913" s="4"/>
      <c r="AF3913" s="21"/>
    </row>
    <row r="3914" spans="24:32" x14ac:dyDescent="0.25">
      <c r="X3914" s="4"/>
      <c r="Y3914" s="4"/>
      <c r="Z3914" s="4"/>
      <c r="AA3914" s="4"/>
      <c r="AB3914" s="4"/>
      <c r="AC3914" s="7"/>
      <c r="AD3914" s="4"/>
      <c r="AE3914" s="4"/>
      <c r="AF3914" s="21"/>
    </row>
    <row r="3915" spans="24:32" x14ac:dyDescent="0.25">
      <c r="X3915" s="4"/>
      <c r="Y3915" s="4"/>
      <c r="Z3915" s="4"/>
      <c r="AA3915" s="4"/>
      <c r="AB3915" s="4"/>
      <c r="AC3915" s="7"/>
      <c r="AD3915" s="4"/>
      <c r="AE3915" s="4"/>
      <c r="AF3915" s="21"/>
    </row>
    <row r="3916" spans="24:32" x14ac:dyDescent="0.25">
      <c r="X3916" s="4"/>
      <c r="Y3916" s="4"/>
      <c r="Z3916" s="4"/>
      <c r="AA3916" s="4"/>
      <c r="AB3916" s="4"/>
      <c r="AC3916" s="7"/>
      <c r="AD3916" s="4"/>
      <c r="AE3916" s="4"/>
      <c r="AF3916" s="21"/>
    </row>
    <row r="3917" spans="24:32" x14ac:dyDescent="0.25">
      <c r="X3917" s="4"/>
      <c r="Y3917" s="4"/>
      <c r="Z3917" s="4"/>
      <c r="AA3917" s="4"/>
      <c r="AB3917" s="4"/>
      <c r="AC3917" s="7"/>
      <c r="AD3917" s="4"/>
      <c r="AE3917" s="4"/>
      <c r="AF3917" s="21"/>
    </row>
    <row r="3918" spans="24:32" x14ac:dyDescent="0.25">
      <c r="X3918" s="4"/>
      <c r="Y3918" s="4"/>
      <c r="Z3918" s="4"/>
      <c r="AA3918" s="4"/>
      <c r="AB3918" s="4"/>
      <c r="AC3918" s="7"/>
      <c r="AD3918" s="4"/>
      <c r="AE3918" s="4"/>
      <c r="AF3918" s="21"/>
    </row>
    <row r="3919" spans="24:32" x14ac:dyDescent="0.25">
      <c r="X3919" s="4"/>
      <c r="Y3919" s="4"/>
      <c r="Z3919" s="4"/>
      <c r="AA3919" s="4"/>
      <c r="AB3919" s="4"/>
      <c r="AC3919" s="7"/>
      <c r="AD3919" s="4"/>
      <c r="AE3919" s="4"/>
      <c r="AF3919" s="21"/>
    </row>
    <row r="3920" spans="24:32" x14ac:dyDescent="0.25">
      <c r="X3920" s="4"/>
      <c r="Y3920" s="4"/>
      <c r="Z3920" s="4"/>
      <c r="AA3920" s="4"/>
      <c r="AB3920" s="4"/>
      <c r="AC3920" s="7"/>
      <c r="AD3920" s="4"/>
      <c r="AE3920" s="4"/>
      <c r="AF3920" s="21"/>
    </row>
    <row r="3921" spans="24:32" x14ac:dyDescent="0.25">
      <c r="X3921" s="4"/>
      <c r="Y3921" s="4"/>
      <c r="Z3921" s="4"/>
      <c r="AA3921" s="4"/>
      <c r="AB3921" s="4"/>
      <c r="AC3921" s="7"/>
      <c r="AD3921" s="4"/>
      <c r="AE3921" s="4"/>
      <c r="AF3921" s="21"/>
    </row>
    <row r="3922" spans="24:32" x14ac:dyDescent="0.25">
      <c r="X3922" s="4"/>
      <c r="Y3922" s="4"/>
      <c r="Z3922" s="4"/>
      <c r="AA3922" s="4"/>
      <c r="AB3922" s="4"/>
      <c r="AC3922" s="7"/>
      <c r="AD3922" s="4"/>
      <c r="AE3922" s="4"/>
      <c r="AF3922" s="21"/>
    </row>
    <row r="3923" spans="24:32" x14ac:dyDescent="0.25">
      <c r="X3923" s="4"/>
      <c r="Y3923" s="4"/>
      <c r="Z3923" s="4"/>
      <c r="AA3923" s="4"/>
      <c r="AB3923" s="4"/>
      <c r="AC3923" s="7"/>
      <c r="AD3923" s="4"/>
      <c r="AE3923" s="4"/>
      <c r="AF3923" s="21"/>
    </row>
    <row r="3924" spans="24:32" x14ac:dyDescent="0.25">
      <c r="X3924" s="4"/>
      <c r="Y3924" s="4"/>
      <c r="Z3924" s="4"/>
      <c r="AA3924" s="4"/>
      <c r="AB3924" s="4"/>
      <c r="AC3924" s="7"/>
      <c r="AD3924" s="4"/>
      <c r="AE3924" s="4"/>
      <c r="AF3924" s="21"/>
    </row>
    <row r="3925" spans="24:32" x14ac:dyDescent="0.25">
      <c r="X3925" s="4"/>
      <c r="Y3925" s="4"/>
      <c r="Z3925" s="4"/>
      <c r="AA3925" s="4"/>
      <c r="AB3925" s="4"/>
      <c r="AC3925" s="7"/>
      <c r="AD3925" s="4"/>
      <c r="AE3925" s="4"/>
      <c r="AF3925" s="21"/>
    </row>
    <row r="3926" spans="24:32" x14ac:dyDescent="0.25">
      <c r="X3926" s="4"/>
      <c r="Y3926" s="4"/>
      <c r="Z3926" s="4"/>
      <c r="AA3926" s="4"/>
      <c r="AB3926" s="4"/>
      <c r="AC3926" s="7"/>
      <c r="AD3926" s="4"/>
      <c r="AE3926" s="4"/>
      <c r="AF3926" s="21"/>
    </row>
    <row r="3927" spans="24:32" x14ac:dyDescent="0.25">
      <c r="X3927" s="4"/>
      <c r="Y3927" s="4"/>
      <c r="Z3927" s="4"/>
      <c r="AA3927" s="4"/>
      <c r="AB3927" s="4"/>
      <c r="AC3927" s="7"/>
      <c r="AD3927" s="4"/>
      <c r="AE3927" s="4"/>
      <c r="AF3927" s="21"/>
    </row>
    <row r="3928" spans="24:32" x14ac:dyDescent="0.25">
      <c r="X3928" s="4"/>
      <c r="Y3928" s="4"/>
      <c r="Z3928" s="4"/>
      <c r="AA3928" s="4"/>
      <c r="AB3928" s="4"/>
      <c r="AC3928" s="7"/>
      <c r="AD3928" s="4"/>
      <c r="AE3928" s="4"/>
      <c r="AF3928" s="21"/>
    </row>
    <row r="3929" spans="24:32" x14ac:dyDescent="0.25">
      <c r="X3929" s="4"/>
      <c r="Y3929" s="4"/>
      <c r="Z3929" s="4"/>
      <c r="AA3929" s="4"/>
      <c r="AB3929" s="4"/>
      <c r="AC3929" s="7"/>
      <c r="AD3929" s="4"/>
      <c r="AE3929" s="4"/>
      <c r="AF3929" s="21"/>
    </row>
    <row r="3930" spans="24:32" x14ac:dyDescent="0.25">
      <c r="X3930" s="4"/>
      <c r="Y3930" s="4"/>
      <c r="Z3930" s="4"/>
      <c r="AA3930" s="4"/>
      <c r="AB3930" s="4"/>
      <c r="AC3930" s="7"/>
      <c r="AD3930" s="4"/>
      <c r="AE3930" s="4"/>
      <c r="AF3930" s="21"/>
    </row>
    <row r="3931" spans="24:32" x14ac:dyDescent="0.25">
      <c r="X3931" s="4"/>
      <c r="Y3931" s="4"/>
      <c r="Z3931" s="4"/>
      <c r="AA3931" s="4"/>
      <c r="AB3931" s="4"/>
      <c r="AC3931" s="7"/>
      <c r="AD3931" s="4"/>
      <c r="AE3931" s="4"/>
      <c r="AF3931" s="21"/>
    </row>
    <row r="3932" spans="24:32" x14ac:dyDescent="0.25">
      <c r="X3932" s="4"/>
      <c r="Y3932" s="4"/>
      <c r="Z3932" s="4"/>
      <c r="AA3932" s="4"/>
      <c r="AB3932" s="4"/>
      <c r="AC3932" s="7"/>
      <c r="AD3932" s="4"/>
      <c r="AE3932" s="4"/>
      <c r="AF3932" s="21"/>
    </row>
    <row r="3933" spans="24:32" x14ac:dyDescent="0.25">
      <c r="X3933" s="4"/>
      <c r="Y3933" s="4"/>
      <c r="Z3933" s="4"/>
      <c r="AA3933" s="4"/>
      <c r="AB3933" s="4"/>
      <c r="AC3933" s="7"/>
      <c r="AD3933" s="4"/>
      <c r="AE3933" s="4"/>
      <c r="AF3933" s="21"/>
    </row>
    <row r="3934" spans="24:32" x14ac:dyDescent="0.25">
      <c r="X3934" s="4"/>
      <c r="Y3934" s="4"/>
      <c r="Z3934" s="4"/>
      <c r="AA3934" s="4"/>
      <c r="AB3934" s="4"/>
      <c r="AC3934" s="7"/>
      <c r="AD3934" s="4"/>
      <c r="AE3934" s="4"/>
      <c r="AF3934" s="21"/>
    </row>
    <row r="3935" spans="24:32" x14ac:dyDescent="0.25">
      <c r="X3935" s="4"/>
      <c r="Y3935" s="4"/>
      <c r="Z3935" s="4"/>
      <c r="AA3935" s="4"/>
      <c r="AB3935" s="4"/>
      <c r="AC3935" s="7"/>
      <c r="AD3935" s="4"/>
      <c r="AE3935" s="4"/>
      <c r="AF3935" s="21"/>
    </row>
    <row r="3936" spans="24:32" x14ac:dyDescent="0.25">
      <c r="X3936" s="4"/>
      <c r="Y3936" s="4"/>
      <c r="Z3936" s="4"/>
      <c r="AA3936" s="4"/>
      <c r="AB3936" s="4"/>
      <c r="AC3936" s="7"/>
      <c r="AD3936" s="4"/>
      <c r="AE3936" s="4"/>
      <c r="AF3936" s="21"/>
    </row>
    <row r="3937" spans="24:32" x14ac:dyDescent="0.25">
      <c r="X3937" s="4"/>
      <c r="Y3937" s="4"/>
      <c r="Z3937" s="4"/>
      <c r="AA3937" s="4"/>
      <c r="AB3937" s="4"/>
      <c r="AC3937" s="7"/>
      <c r="AD3937" s="4"/>
      <c r="AE3937" s="4"/>
      <c r="AF3937" s="21"/>
    </row>
    <row r="3938" spans="24:32" x14ac:dyDescent="0.25">
      <c r="X3938" s="4"/>
      <c r="Y3938" s="4"/>
      <c r="Z3938" s="4"/>
      <c r="AA3938" s="4"/>
      <c r="AB3938" s="4"/>
      <c r="AC3938" s="7"/>
      <c r="AD3938" s="4"/>
      <c r="AE3938" s="4"/>
      <c r="AF3938" s="21"/>
    </row>
    <row r="3939" spans="24:32" x14ac:dyDescent="0.25">
      <c r="X3939" s="4"/>
      <c r="Y3939" s="4"/>
      <c r="Z3939" s="4"/>
      <c r="AA3939" s="4"/>
      <c r="AB3939" s="4"/>
      <c r="AC3939" s="7"/>
      <c r="AD3939" s="4"/>
      <c r="AE3939" s="4"/>
      <c r="AF3939" s="21"/>
    </row>
    <row r="3940" spans="24:32" x14ac:dyDescent="0.25">
      <c r="X3940" s="4"/>
      <c r="Y3940" s="4"/>
      <c r="Z3940" s="4"/>
      <c r="AA3940" s="4"/>
      <c r="AB3940" s="4"/>
      <c r="AC3940" s="7"/>
      <c r="AD3940" s="4"/>
      <c r="AE3940" s="4"/>
      <c r="AF3940" s="21"/>
    </row>
    <row r="3941" spans="24:32" x14ac:dyDescent="0.25">
      <c r="X3941" s="4"/>
      <c r="Y3941" s="4"/>
      <c r="Z3941" s="4"/>
      <c r="AA3941" s="4"/>
      <c r="AB3941" s="4"/>
      <c r="AC3941" s="7"/>
      <c r="AD3941" s="4"/>
      <c r="AE3941" s="4"/>
      <c r="AF3941" s="21"/>
    </row>
    <row r="3942" spans="24:32" x14ac:dyDescent="0.25">
      <c r="X3942" s="4"/>
      <c r="Y3942" s="4"/>
      <c r="Z3942" s="4"/>
      <c r="AA3942" s="4"/>
      <c r="AB3942" s="4"/>
      <c r="AC3942" s="7"/>
      <c r="AD3942" s="4"/>
      <c r="AE3942" s="4"/>
      <c r="AF3942" s="21"/>
    </row>
    <row r="3943" spans="24:32" x14ac:dyDescent="0.25">
      <c r="X3943" s="4"/>
      <c r="Y3943" s="4"/>
      <c r="Z3943" s="4"/>
      <c r="AA3943" s="4"/>
      <c r="AB3943" s="4"/>
      <c r="AC3943" s="7"/>
      <c r="AD3943" s="4"/>
      <c r="AE3943" s="4"/>
      <c r="AF3943" s="21"/>
    </row>
    <row r="3944" spans="24:32" x14ac:dyDescent="0.25">
      <c r="X3944" s="4"/>
      <c r="Y3944" s="4"/>
      <c r="Z3944" s="4"/>
      <c r="AA3944" s="4"/>
      <c r="AB3944" s="4"/>
      <c r="AC3944" s="7"/>
      <c r="AD3944" s="4"/>
      <c r="AE3944" s="4"/>
      <c r="AF3944" s="21"/>
    </row>
    <row r="3945" spans="24:32" x14ac:dyDescent="0.25">
      <c r="X3945" s="4"/>
      <c r="Y3945" s="4"/>
      <c r="Z3945" s="4"/>
      <c r="AA3945" s="4"/>
      <c r="AB3945" s="4"/>
      <c r="AC3945" s="7"/>
      <c r="AD3945" s="4"/>
      <c r="AE3945" s="4"/>
      <c r="AF3945" s="21"/>
    </row>
    <row r="3946" spans="24:32" x14ac:dyDescent="0.25">
      <c r="X3946" s="4"/>
      <c r="Y3946" s="4"/>
      <c r="Z3946" s="4"/>
      <c r="AA3946" s="4"/>
      <c r="AB3946" s="4"/>
      <c r="AC3946" s="7"/>
      <c r="AD3946" s="4"/>
      <c r="AE3946" s="4"/>
      <c r="AF3946" s="21"/>
    </row>
    <row r="3947" spans="24:32" x14ac:dyDescent="0.25">
      <c r="X3947" s="4"/>
      <c r="Y3947" s="4"/>
      <c r="Z3947" s="4"/>
      <c r="AA3947" s="4"/>
      <c r="AB3947" s="4"/>
      <c r="AC3947" s="7"/>
      <c r="AD3947" s="4"/>
      <c r="AE3947" s="4"/>
      <c r="AF3947" s="21"/>
    </row>
    <row r="3948" spans="24:32" x14ac:dyDescent="0.25">
      <c r="X3948" s="4"/>
      <c r="Y3948" s="4"/>
      <c r="Z3948" s="4"/>
      <c r="AA3948" s="4"/>
      <c r="AB3948" s="4"/>
      <c r="AC3948" s="7"/>
      <c r="AD3948" s="4"/>
      <c r="AE3948" s="4"/>
      <c r="AF3948" s="21"/>
    </row>
    <row r="3949" spans="24:32" x14ac:dyDescent="0.25">
      <c r="X3949" s="4"/>
      <c r="Y3949" s="4"/>
      <c r="Z3949" s="4"/>
      <c r="AA3949" s="4"/>
      <c r="AB3949" s="4"/>
      <c r="AC3949" s="7"/>
      <c r="AD3949" s="4"/>
      <c r="AE3949" s="4"/>
      <c r="AF3949" s="21"/>
    </row>
    <row r="3950" spans="24:32" x14ac:dyDescent="0.25">
      <c r="X3950" s="4"/>
      <c r="Y3950" s="4"/>
      <c r="Z3950" s="4"/>
      <c r="AA3950" s="4"/>
      <c r="AB3950" s="4"/>
      <c r="AC3950" s="7"/>
      <c r="AD3950" s="4"/>
      <c r="AE3950" s="4"/>
      <c r="AF3950" s="21"/>
    </row>
    <row r="3951" spans="24:32" x14ac:dyDescent="0.25">
      <c r="X3951" s="4"/>
      <c r="Y3951" s="4"/>
      <c r="Z3951" s="4"/>
      <c r="AA3951" s="4"/>
      <c r="AB3951" s="4"/>
      <c r="AC3951" s="7"/>
      <c r="AD3951" s="4"/>
      <c r="AE3951" s="4"/>
      <c r="AF3951" s="21"/>
    </row>
    <row r="3952" spans="24:32" x14ac:dyDescent="0.25">
      <c r="X3952" s="4"/>
      <c r="Y3952" s="4"/>
      <c r="Z3952" s="4"/>
      <c r="AA3952" s="4"/>
      <c r="AB3952" s="4"/>
      <c r="AC3952" s="7"/>
      <c r="AD3952" s="4"/>
      <c r="AE3952" s="4"/>
      <c r="AF3952" s="21"/>
    </row>
    <row r="3953" spans="24:32" x14ac:dyDescent="0.25">
      <c r="X3953" s="4"/>
      <c r="Y3953" s="4"/>
      <c r="Z3953" s="4"/>
      <c r="AA3953" s="4"/>
      <c r="AB3953" s="4"/>
      <c r="AC3953" s="7"/>
      <c r="AD3953" s="4"/>
      <c r="AE3953" s="4"/>
      <c r="AF3953" s="21"/>
    </row>
    <row r="3954" spans="24:32" x14ac:dyDescent="0.25">
      <c r="X3954" s="4"/>
      <c r="Y3954" s="4"/>
      <c r="Z3954" s="4"/>
      <c r="AA3954" s="4"/>
      <c r="AB3954" s="4"/>
      <c r="AC3954" s="7"/>
      <c r="AD3954" s="4"/>
      <c r="AE3954" s="4"/>
      <c r="AF3954" s="21"/>
    </row>
    <row r="3955" spans="24:32" x14ac:dyDescent="0.25">
      <c r="X3955" s="4"/>
      <c r="Y3955" s="4"/>
      <c r="Z3955" s="4"/>
      <c r="AA3955" s="4"/>
      <c r="AB3955" s="4"/>
      <c r="AC3955" s="7"/>
      <c r="AD3955" s="4"/>
      <c r="AE3955" s="4"/>
      <c r="AF3955" s="21"/>
    </row>
    <row r="3956" spans="24:32" x14ac:dyDescent="0.25">
      <c r="X3956" s="4"/>
      <c r="Y3956" s="4"/>
      <c r="Z3956" s="4"/>
      <c r="AA3956" s="4"/>
      <c r="AB3956" s="4"/>
      <c r="AC3956" s="7"/>
      <c r="AD3956" s="4"/>
      <c r="AE3956" s="4"/>
      <c r="AF3956" s="21"/>
    </row>
    <row r="3957" spans="24:32" x14ac:dyDescent="0.25">
      <c r="X3957" s="4"/>
      <c r="Y3957" s="4"/>
      <c r="Z3957" s="4"/>
      <c r="AA3957" s="4"/>
      <c r="AB3957" s="4"/>
      <c r="AC3957" s="7"/>
      <c r="AD3957" s="4"/>
      <c r="AE3957" s="4"/>
      <c r="AF3957" s="21"/>
    </row>
    <row r="3958" spans="24:32" x14ac:dyDescent="0.25">
      <c r="X3958" s="4"/>
      <c r="Y3958" s="4"/>
      <c r="Z3958" s="4"/>
      <c r="AA3958" s="4"/>
      <c r="AB3958" s="4"/>
      <c r="AC3958" s="7"/>
      <c r="AD3958" s="4"/>
      <c r="AE3958" s="4"/>
      <c r="AF3958" s="21"/>
    </row>
    <row r="3959" spans="24:32" x14ac:dyDescent="0.25">
      <c r="X3959" s="4"/>
      <c r="Y3959" s="4"/>
      <c r="Z3959" s="4"/>
      <c r="AA3959" s="4"/>
      <c r="AB3959" s="4"/>
      <c r="AC3959" s="7"/>
      <c r="AD3959" s="4"/>
      <c r="AE3959" s="4"/>
      <c r="AF3959" s="21"/>
    </row>
    <row r="3960" spans="24:32" x14ac:dyDescent="0.25">
      <c r="X3960" s="4"/>
      <c r="Y3960" s="4"/>
      <c r="Z3960" s="4"/>
      <c r="AA3960" s="4"/>
      <c r="AB3960" s="4"/>
      <c r="AC3960" s="7"/>
      <c r="AD3960" s="4"/>
      <c r="AE3960" s="4"/>
      <c r="AF3960" s="21"/>
    </row>
    <row r="3961" spans="24:32" x14ac:dyDescent="0.25">
      <c r="X3961" s="4"/>
      <c r="Y3961" s="4"/>
      <c r="Z3961" s="4"/>
      <c r="AA3961" s="4"/>
      <c r="AB3961" s="4"/>
      <c r="AC3961" s="7"/>
      <c r="AD3961" s="4"/>
      <c r="AE3961" s="4"/>
      <c r="AF3961" s="21"/>
    </row>
    <row r="3962" spans="24:32" x14ac:dyDescent="0.25">
      <c r="X3962" s="4"/>
      <c r="Y3962" s="4"/>
      <c r="Z3962" s="4"/>
      <c r="AA3962" s="4"/>
      <c r="AB3962" s="4"/>
      <c r="AC3962" s="7"/>
      <c r="AD3962" s="4"/>
      <c r="AE3962" s="4"/>
      <c r="AF3962" s="21"/>
    </row>
    <row r="3963" spans="24:32" x14ac:dyDescent="0.25">
      <c r="X3963" s="4"/>
      <c r="Y3963" s="4"/>
      <c r="Z3963" s="4"/>
      <c r="AA3963" s="4"/>
      <c r="AB3963" s="4"/>
      <c r="AC3963" s="7"/>
      <c r="AD3963" s="4"/>
      <c r="AE3963" s="4"/>
      <c r="AF3963" s="21"/>
    </row>
    <row r="3964" spans="24:32" x14ac:dyDescent="0.25">
      <c r="X3964" s="4"/>
      <c r="Y3964" s="4"/>
      <c r="Z3964" s="4"/>
      <c r="AA3964" s="4"/>
      <c r="AB3964" s="4"/>
      <c r="AC3964" s="7"/>
      <c r="AD3964" s="4"/>
      <c r="AE3964" s="4"/>
      <c r="AF3964" s="21"/>
    </row>
    <row r="3965" spans="24:32" x14ac:dyDescent="0.25">
      <c r="X3965" s="4"/>
      <c r="Y3965" s="4"/>
      <c r="Z3965" s="4"/>
      <c r="AA3965" s="4"/>
      <c r="AB3965" s="4"/>
      <c r="AC3965" s="7"/>
      <c r="AD3965" s="4"/>
      <c r="AE3965" s="4"/>
      <c r="AF3965" s="21"/>
    </row>
    <row r="3966" spans="24:32" x14ac:dyDescent="0.25">
      <c r="X3966" s="4"/>
      <c r="Y3966" s="4"/>
      <c r="Z3966" s="4"/>
      <c r="AA3966" s="4"/>
      <c r="AB3966" s="4"/>
      <c r="AC3966" s="7"/>
      <c r="AD3966" s="4"/>
      <c r="AE3966" s="4"/>
      <c r="AF3966" s="21"/>
    </row>
    <row r="3967" spans="24:32" x14ac:dyDescent="0.25">
      <c r="X3967" s="4"/>
      <c r="Y3967" s="4"/>
      <c r="Z3967" s="4"/>
      <c r="AA3967" s="4"/>
      <c r="AB3967" s="4"/>
      <c r="AC3967" s="7"/>
      <c r="AD3967" s="4"/>
      <c r="AE3967" s="4"/>
      <c r="AF3967" s="21"/>
    </row>
    <row r="3968" spans="24:32" x14ac:dyDescent="0.25">
      <c r="X3968" s="4"/>
      <c r="Y3968" s="4"/>
      <c r="Z3968" s="4"/>
      <c r="AA3968" s="4"/>
      <c r="AB3968" s="4"/>
      <c r="AC3968" s="7"/>
      <c r="AD3968" s="4"/>
      <c r="AE3968" s="4"/>
      <c r="AF3968" s="21"/>
    </row>
    <row r="3969" spans="24:32" x14ac:dyDescent="0.25">
      <c r="X3969" s="4"/>
      <c r="Y3969" s="4"/>
      <c r="Z3969" s="4"/>
      <c r="AA3969" s="4"/>
      <c r="AB3969" s="4"/>
      <c r="AC3969" s="7"/>
      <c r="AD3969" s="4"/>
      <c r="AE3969" s="4"/>
      <c r="AF3969" s="21"/>
    </row>
    <row r="3970" spans="24:32" x14ac:dyDescent="0.25">
      <c r="X3970" s="4"/>
      <c r="Y3970" s="4"/>
      <c r="Z3970" s="4"/>
      <c r="AA3970" s="4"/>
      <c r="AB3970" s="4"/>
      <c r="AC3970" s="7"/>
      <c r="AD3970" s="4"/>
      <c r="AE3970" s="4"/>
      <c r="AF3970" s="21"/>
    </row>
    <row r="3971" spans="24:32" x14ac:dyDescent="0.25">
      <c r="X3971" s="4"/>
      <c r="Y3971" s="4"/>
      <c r="Z3971" s="4"/>
      <c r="AA3971" s="4"/>
      <c r="AB3971" s="4"/>
      <c r="AC3971" s="7"/>
      <c r="AD3971" s="4"/>
      <c r="AE3971" s="4"/>
      <c r="AF3971" s="21"/>
    </row>
    <row r="3972" spans="24:32" x14ac:dyDescent="0.25">
      <c r="X3972" s="4"/>
      <c r="Y3972" s="4"/>
      <c r="Z3972" s="4"/>
      <c r="AA3972" s="4"/>
      <c r="AB3972" s="4"/>
      <c r="AC3972" s="7"/>
      <c r="AD3972" s="4"/>
      <c r="AE3972" s="4"/>
      <c r="AF3972" s="21"/>
    </row>
    <row r="3973" spans="24:32" x14ac:dyDescent="0.25">
      <c r="X3973" s="4"/>
      <c r="Y3973" s="4"/>
      <c r="Z3973" s="4"/>
      <c r="AA3973" s="4"/>
      <c r="AB3973" s="4"/>
      <c r="AC3973" s="7"/>
      <c r="AD3973" s="4"/>
      <c r="AE3973" s="4"/>
      <c r="AF3973" s="21"/>
    </row>
    <row r="3974" spans="24:32" x14ac:dyDescent="0.25">
      <c r="X3974" s="4"/>
      <c r="Y3974" s="4"/>
      <c r="Z3974" s="4"/>
      <c r="AA3974" s="4"/>
      <c r="AB3974" s="4"/>
      <c r="AC3974" s="7"/>
      <c r="AD3974" s="4"/>
      <c r="AE3974" s="4"/>
      <c r="AF3974" s="21"/>
    </row>
    <row r="3975" spans="24:32" x14ac:dyDescent="0.25">
      <c r="X3975" s="4"/>
      <c r="Y3975" s="4"/>
      <c r="Z3975" s="4"/>
      <c r="AA3975" s="4"/>
      <c r="AB3975" s="4"/>
      <c r="AC3975" s="7"/>
      <c r="AD3975" s="4"/>
      <c r="AE3975" s="4"/>
      <c r="AF3975" s="21"/>
    </row>
    <row r="3976" spans="24:32" x14ac:dyDescent="0.25">
      <c r="X3976" s="4"/>
      <c r="Y3976" s="4"/>
      <c r="Z3976" s="4"/>
      <c r="AA3976" s="4"/>
      <c r="AB3976" s="4"/>
      <c r="AC3976" s="7"/>
      <c r="AD3976" s="4"/>
      <c r="AE3976" s="4"/>
      <c r="AF3976" s="21"/>
    </row>
    <row r="3977" spans="24:32" x14ac:dyDescent="0.25">
      <c r="X3977" s="4"/>
      <c r="Y3977" s="4"/>
      <c r="Z3977" s="4"/>
      <c r="AA3977" s="4"/>
      <c r="AB3977" s="4"/>
      <c r="AC3977" s="7"/>
      <c r="AD3977" s="4"/>
      <c r="AE3977" s="4"/>
      <c r="AF3977" s="21"/>
    </row>
    <row r="3978" spans="24:32" x14ac:dyDescent="0.25">
      <c r="X3978" s="4"/>
      <c r="Y3978" s="4"/>
      <c r="Z3978" s="4"/>
      <c r="AA3978" s="4"/>
      <c r="AB3978" s="4"/>
      <c r="AC3978" s="7"/>
      <c r="AD3978" s="4"/>
      <c r="AE3978" s="4"/>
      <c r="AF3978" s="21"/>
    </row>
    <row r="3979" spans="24:32" x14ac:dyDescent="0.25">
      <c r="X3979" s="4"/>
      <c r="Y3979" s="4"/>
      <c r="Z3979" s="4"/>
      <c r="AA3979" s="4"/>
      <c r="AB3979" s="4"/>
      <c r="AC3979" s="7"/>
      <c r="AD3979" s="4"/>
      <c r="AE3979" s="4"/>
      <c r="AF3979" s="21"/>
    </row>
    <row r="3980" spans="24:32" x14ac:dyDescent="0.25">
      <c r="X3980" s="4"/>
      <c r="Y3980" s="4"/>
      <c r="Z3980" s="4"/>
      <c r="AA3980" s="4"/>
      <c r="AB3980" s="4"/>
      <c r="AC3980" s="7"/>
      <c r="AD3980" s="4"/>
      <c r="AE3980" s="4"/>
      <c r="AF3980" s="21"/>
    </row>
    <row r="3981" spans="24:32" x14ac:dyDescent="0.25">
      <c r="X3981" s="4"/>
      <c r="Y3981" s="4"/>
      <c r="Z3981" s="4"/>
      <c r="AA3981" s="4"/>
      <c r="AB3981" s="4"/>
      <c r="AC3981" s="7"/>
      <c r="AD3981" s="4"/>
      <c r="AE3981" s="4"/>
      <c r="AF3981" s="21"/>
    </row>
    <row r="3982" spans="24:32" x14ac:dyDescent="0.25">
      <c r="X3982" s="4"/>
      <c r="Y3982" s="4"/>
      <c r="Z3982" s="4"/>
      <c r="AA3982" s="4"/>
      <c r="AB3982" s="4"/>
      <c r="AC3982" s="7"/>
      <c r="AD3982" s="4"/>
      <c r="AE3982" s="4"/>
      <c r="AF3982" s="21"/>
    </row>
    <row r="3983" spans="24:32" x14ac:dyDescent="0.25">
      <c r="X3983" s="4"/>
      <c r="Y3983" s="4"/>
      <c r="Z3983" s="4"/>
      <c r="AA3983" s="4"/>
      <c r="AB3983" s="4"/>
      <c r="AC3983" s="7"/>
      <c r="AD3983" s="4"/>
      <c r="AE3983" s="4"/>
      <c r="AF3983" s="21"/>
    </row>
    <row r="3984" spans="24:32" x14ac:dyDescent="0.25">
      <c r="X3984" s="4"/>
      <c r="Y3984" s="4"/>
      <c r="Z3984" s="4"/>
      <c r="AA3984" s="4"/>
      <c r="AB3984" s="4"/>
      <c r="AC3984" s="7"/>
      <c r="AD3984" s="4"/>
      <c r="AE3984" s="4"/>
      <c r="AF3984" s="21"/>
    </row>
    <row r="3985" spans="24:32" x14ac:dyDescent="0.25">
      <c r="X3985" s="4"/>
      <c r="Y3985" s="4"/>
      <c r="Z3985" s="4"/>
      <c r="AA3985" s="4"/>
      <c r="AB3985" s="4"/>
      <c r="AC3985" s="7"/>
      <c r="AD3985" s="4"/>
      <c r="AE3985" s="4"/>
      <c r="AF3985" s="21"/>
    </row>
    <row r="3986" spans="24:32" x14ac:dyDescent="0.25">
      <c r="X3986" s="4"/>
      <c r="Y3986" s="4"/>
      <c r="Z3986" s="4"/>
      <c r="AA3986" s="4"/>
      <c r="AB3986" s="4"/>
      <c r="AC3986" s="7"/>
      <c r="AD3986" s="4"/>
      <c r="AE3986" s="4"/>
      <c r="AF3986" s="21"/>
    </row>
    <row r="3987" spans="24:32" x14ac:dyDescent="0.25">
      <c r="X3987" s="4"/>
      <c r="Y3987" s="4"/>
      <c r="Z3987" s="4"/>
      <c r="AA3987" s="4"/>
      <c r="AB3987" s="4"/>
      <c r="AC3987" s="7"/>
      <c r="AD3987" s="4"/>
      <c r="AE3987" s="4"/>
      <c r="AF3987" s="21"/>
    </row>
    <row r="3988" spans="24:32" x14ac:dyDescent="0.25">
      <c r="X3988" s="4"/>
      <c r="Y3988" s="4"/>
      <c r="Z3988" s="4"/>
      <c r="AA3988" s="4"/>
      <c r="AB3988" s="4"/>
      <c r="AC3988" s="7"/>
      <c r="AD3988" s="4"/>
      <c r="AE3988" s="4"/>
      <c r="AF3988" s="21"/>
    </row>
    <row r="3989" spans="24:32" x14ac:dyDescent="0.25">
      <c r="X3989" s="4"/>
      <c r="Y3989" s="4"/>
      <c r="Z3989" s="4"/>
      <c r="AA3989" s="4"/>
      <c r="AB3989" s="4"/>
      <c r="AC3989" s="7"/>
      <c r="AD3989" s="4"/>
      <c r="AE3989" s="4"/>
      <c r="AF3989" s="21"/>
    </row>
    <row r="3990" spans="24:32" x14ac:dyDescent="0.25">
      <c r="X3990" s="4"/>
      <c r="Y3990" s="4"/>
      <c r="Z3990" s="4"/>
      <c r="AA3990" s="4"/>
      <c r="AB3990" s="4"/>
      <c r="AC3990" s="7"/>
      <c r="AD3990" s="4"/>
      <c r="AE3990" s="4"/>
      <c r="AF3990" s="21"/>
    </row>
    <row r="3991" spans="24:32" x14ac:dyDescent="0.25">
      <c r="X3991" s="4"/>
      <c r="Y3991" s="4"/>
      <c r="Z3991" s="4"/>
      <c r="AA3991" s="4"/>
      <c r="AB3991" s="4"/>
      <c r="AC3991" s="7"/>
      <c r="AD3991" s="4"/>
      <c r="AE3991" s="4"/>
      <c r="AF3991" s="21"/>
    </row>
    <row r="3992" spans="24:32" x14ac:dyDescent="0.25">
      <c r="X3992" s="4"/>
      <c r="Y3992" s="4"/>
      <c r="Z3992" s="4"/>
      <c r="AA3992" s="4"/>
      <c r="AB3992" s="4"/>
      <c r="AC3992" s="7"/>
      <c r="AD3992" s="4"/>
      <c r="AE3992" s="4"/>
      <c r="AF3992" s="21"/>
    </row>
    <row r="3993" spans="24:32" x14ac:dyDescent="0.25">
      <c r="X3993" s="4"/>
      <c r="Y3993" s="4"/>
      <c r="Z3993" s="4"/>
      <c r="AA3993" s="4"/>
      <c r="AB3993" s="4"/>
      <c r="AC3993" s="7"/>
      <c r="AD3993" s="4"/>
      <c r="AE3993" s="4"/>
      <c r="AF3993" s="21"/>
    </row>
    <row r="3994" spans="24:32" x14ac:dyDescent="0.25">
      <c r="X3994" s="4"/>
      <c r="Y3994" s="4"/>
      <c r="Z3994" s="4"/>
      <c r="AA3994" s="4"/>
      <c r="AB3994" s="4"/>
      <c r="AC3994" s="7"/>
      <c r="AD3994" s="4"/>
      <c r="AE3994" s="4"/>
      <c r="AF3994" s="21"/>
    </row>
    <row r="3995" spans="24:32" x14ac:dyDescent="0.25">
      <c r="X3995" s="4"/>
      <c r="Y3995" s="4"/>
      <c r="Z3995" s="4"/>
      <c r="AA3995" s="4"/>
      <c r="AB3995" s="4"/>
      <c r="AC3995" s="7"/>
      <c r="AD3995" s="4"/>
      <c r="AE3995" s="4"/>
      <c r="AF3995" s="21"/>
    </row>
    <row r="3996" spans="24:32" x14ac:dyDescent="0.25">
      <c r="X3996" s="4"/>
      <c r="Y3996" s="4"/>
      <c r="Z3996" s="4"/>
      <c r="AA3996" s="4"/>
      <c r="AB3996" s="4"/>
      <c r="AC3996" s="7"/>
      <c r="AD3996" s="4"/>
      <c r="AE3996" s="4"/>
      <c r="AF3996" s="21"/>
    </row>
    <row r="3997" spans="24:32" x14ac:dyDescent="0.25">
      <c r="X3997" s="4"/>
      <c r="Y3997" s="4"/>
      <c r="Z3997" s="4"/>
      <c r="AA3997" s="4"/>
      <c r="AB3997" s="4"/>
      <c r="AC3997" s="7"/>
      <c r="AD3997" s="4"/>
      <c r="AE3997" s="4"/>
      <c r="AF3997" s="21"/>
    </row>
    <row r="3998" spans="24:32" x14ac:dyDescent="0.25">
      <c r="X3998" s="4"/>
      <c r="Y3998" s="4"/>
      <c r="Z3998" s="4"/>
      <c r="AA3998" s="4"/>
      <c r="AB3998" s="4"/>
      <c r="AC3998" s="7"/>
      <c r="AD3998" s="4"/>
      <c r="AE3998" s="4"/>
      <c r="AF3998" s="21"/>
    </row>
    <row r="3999" spans="24:32" x14ac:dyDescent="0.25">
      <c r="X3999" s="4"/>
      <c r="Y3999" s="4"/>
      <c r="Z3999" s="4"/>
      <c r="AA3999" s="4"/>
      <c r="AB3999" s="4"/>
      <c r="AC3999" s="7"/>
      <c r="AD3999" s="4"/>
      <c r="AE3999" s="4"/>
      <c r="AF3999" s="21"/>
    </row>
    <row r="4000" spans="24:32" x14ac:dyDescent="0.25">
      <c r="X4000" s="4"/>
      <c r="Y4000" s="4"/>
      <c r="Z4000" s="4"/>
      <c r="AA4000" s="4"/>
      <c r="AB4000" s="4"/>
      <c r="AC4000" s="7"/>
      <c r="AD4000" s="4"/>
      <c r="AE4000" s="4"/>
      <c r="AF4000" s="21"/>
    </row>
    <row r="4001" spans="24:32" x14ac:dyDescent="0.25">
      <c r="X4001" s="4"/>
      <c r="Y4001" s="4"/>
      <c r="Z4001" s="4"/>
      <c r="AA4001" s="4"/>
      <c r="AB4001" s="4"/>
      <c r="AC4001" s="7"/>
      <c r="AD4001" s="4"/>
      <c r="AE4001" s="4"/>
      <c r="AF4001" s="21"/>
    </row>
    <row r="4002" spans="24:32" x14ac:dyDescent="0.25">
      <c r="X4002" s="4"/>
      <c r="Y4002" s="4"/>
      <c r="Z4002" s="4"/>
      <c r="AA4002" s="4"/>
      <c r="AB4002" s="4"/>
      <c r="AC4002" s="7"/>
      <c r="AD4002" s="4"/>
      <c r="AE4002" s="4"/>
      <c r="AF4002" s="21"/>
    </row>
    <row r="4003" spans="24:32" x14ac:dyDescent="0.25">
      <c r="X4003" s="4"/>
      <c r="Y4003" s="4"/>
      <c r="Z4003" s="4"/>
      <c r="AA4003" s="4"/>
      <c r="AB4003" s="4"/>
      <c r="AC4003" s="7"/>
      <c r="AD4003" s="4"/>
      <c r="AE4003" s="4"/>
      <c r="AF4003" s="21"/>
    </row>
    <row r="4004" spans="24:32" x14ac:dyDescent="0.25">
      <c r="X4004" s="4"/>
      <c r="Y4004" s="4"/>
      <c r="Z4004" s="4"/>
      <c r="AA4004" s="4"/>
      <c r="AB4004" s="4"/>
      <c r="AC4004" s="7"/>
      <c r="AD4004" s="4"/>
      <c r="AE4004" s="4"/>
      <c r="AF4004" s="21"/>
    </row>
    <row r="4005" spans="24:32" x14ac:dyDescent="0.25">
      <c r="X4005" s="4"/>
      <c r="Y4005" s="4"/>
      <c r="Z4005" s="4"/>
      <c r="AA4005" s="4"/>
      <c r="AB4005" s="4"/>
      <c r="AC4005" s="7"/>
      <c r="AD4005" s="4"/>
      <c r="AE4005" s="4"/>
      <c r="AF4005" s="21"/>
    </row>
    <row r="4006" spans="24:32" x14ac:dyDescent="0.25">
      <c r="X4006" s="4"/>
      <c r="Y4006" s="4"/>
      <c r="Z4006" s="4"/>
      <c r="AA4006" s="4"/>
      <c r="AB4006" s="4"/>
      <c r="AC4006" s="7"/>
      <c r="AD4006" s="4"/>
      <c r="AE4006" s="4"/>
      <c r="AF4006" s="21"/>
    </row>
    <row r="4007" spans="24:32" x14ac:dyDescent="0.25">
      <c r="X4007" s="4"/>
      <c r="Y4007" s="4"/>
      <c r="Z4007" s="4"/>
      <c r="AA4007" s="4"/>
      <c r="AB4007" s="4"/>
      <c r="AC4007" s="7"/>
      <c r="AD4007" s="4"/>
      <c r="AE4007" s="4"/>
      <c r="AF4007" s="21"/>
    </row>
    <row r="4008" spans="24:32" x14ac:dyDescent="0.25">
      <c r="X4008" s="4"/>
      <c r="Y4008" s="4"/>
      <c r="Z4008" s="4"/>
      <c r="AA4008" s="4"/>
      <c r="AB4008" s="4"/>
      <c r="AC4008" s="7"/>
      <c r="AD4008" s="4"/>
      <c r="AE4008" s="4"/>
      <c r="AF4008" s="21"/>
    </row>
    <row r="4009" spans="24:32" x14ac:dyDescent="0.25">
      <c r="X4009" s="4"/>
      <c r="Y4009" s="4"/>
      <c r="Z4009" s="4"/>
      <c r="AA4009" s="4"/>
      <c r="AB4009" s="4"/>
      <c r="AC4009" s="7"/>
      <c r="AD4009" s="4"/>
      <c r="AE4009" s="4"/>
      <c r="AF4009" s="21"/>
    </row>
    <row r="4010" spans="24:32" x14ac:dyDescent="0.25">
      <c r="X4010" s="4"/>
      <c r="Y4010" s="4"/>
      <c r="Z4010" s="4"/>
      <c r="AA4010" s="4"/>
      <c r="AB4010" s="4"/>
      <c r="AC4010" s="7"/>
      <c r="AD4010" s="4"/>
      <c r="AE4010" s="4"/>
      <c r="AF4010" s="21"/>
    </row>
    <row r="4011" spans="24:32" x14ac:dyDescent="0.25">
      <c r="X4011" s="4"/>
      <c r="Y4011" s="4"/>
      <c r="Z4011" s="4"/>
      <c r="AA4011" s="4"/>
      <c r="AB4011" s="4"/>
      <c r="AC4011" s="7"/>
      <c r="AD4011" s="4"/>
      <c r="AE4011" s="4"/>
      <c r="AF4011" s="21"/>
    </row>
    <row r="4012" spans="24:32" x14ac:dyDescent="0.25">
      <c r="X4012" s="4"/>
      <c r="Y4012" s="4"/>
      <c r="Z4012" s="4"/>
      <c r="AA4012" s="4"/>
      <c r="AB4012" s="4"/>
      <c r="AC4012" s="7"/>
      <c r="AD4012" s="4"/>
      <c r="AE4012" s="4"/>
      <c r="AF4012" s="21"/>
    </row>
    <row r="4013" spans="24:32" x14ac:dyDescent="0.25">
      <c r="X4013" s="4"/>
      <c r="Y4013" s="4"/>
      <c r="Z4013" s="4"/>
      <c r="AA4013" s="4"/>
      <c r="AB4013" s="4"/>
      <c r="AC4013" s="7"/>
      <c r="AD4013" s="4"/>
      <c r="AE4013" s="4"/>
      <c r="AF4013" s="21"/>
    </row>
    <row r="4014" spans="24:32" x14ac:dyDescent="0.25">
      <c r="X4014" s="4"/>
      <c r="Y4014" s="4"/>
      <c r="Z4014" s="4"/>
      <c r="AA4014" s="4"/>
      <c r="AB4014" s="4"/>
      <c r="AC4014" s="7"/>
      <c r="AD4014" s="4"/>
      <c r="AE4014" s="4"/>
      <c r="AF4014" s="21"/>
    </row>
    <row r="4015" spans="24:32" x14ac:dyDescent="0.25">
      <c r="X4015" s="4"/>
      <c r="Y4015" s="4"/>
      <c r="Z4015" s="4"/>
      <c r="AA4015" s="4"/>
      <c r="AB4015" s="4"/>
      <c r="AC4015" s="7"/>
      <c r="AD4015" s="4"/>
      <c r="AE4015" s="4"/>
      <c r="AF4015" s="21"/>
    </row>
    <row r="4016" spans="24:32" x14ac:dyDescent="0.25">
      <c r="X4016" s="4"/>
      <c r="Y4016" s="4"/>
      <c r="Z4016" s="4"/>
      <c r="AA4016" s="4"/>
      <c r="AB4016" s="4"/>
      <c r="AC4016" s="7"/>
      <c r="AD4016" s="4"/>
      <c r="AE4016" s="4"/>
      <c r="AF4016" s="21"/>
    </row>
    <row r="4017" spans="24:32" x14ac:dyDescent="0.25">
      <c r="X4017" s="4"/>
      <c r="Y4017" s="4"/>
      <c r="Z4017" s="4"/>
      <c r="AA4017" s="4"/>
      <c r="AB4017" s="4"/>
      <c r="AC4017" s="7"/>
      <c r="AD4017" s="4"/>
      <c r="AE4017" s="4"/>
      <c r="AF4017" s="21"/>
    </row>
    <row r="4018" spans="24:32" x14ac:dyDescent="0.25">
      <c r="X4018" s="4"/>
      <c r="Y4018" s="4"/>
      <c r="Z4018" s="4"/>
      <c r="AA4018" s="4"/>
      <c r="AB4018" s="4"/>
      <c r="AC4018" s="7"/>
      <c r="AD4018" s="4"/>
      <c r="AE4018" s="4"/>
      <c r="AF4018" s="21"/>
    </row>
    <row r="4019" spans="24:32" x14ac:dyDescent="0.25">
      <c r="X4019" s="4"/>
      <c r="Y4019" s="4"/>
      <c r="Z4019" s="4"/>
      <c r="AA4019" s="4"/>
      <c r="AB4019" s="4"/>
      <c r="AC4019" s="7"/>
      <c r="AD4019" s="4"/>
      <c r="AE4019" s="4"/>
      <c r="AF4019" s="21"/>
    </row>
    <row r="4020" spans="24:32" x14ac:dyDescent="0.25">
      <c r="X4020" s="4"/>
      <c r="Y4020" s="4"/>
      <c r="Z4020" s="4"/>
      <c r="AA4020" s="4"/>
      <c r="AB4020" s="4"/>
      <c r="AC4020" s="7"/>
      <c r="AD4020" s="4"/>
      <c r="AE4020" s="4"/>
      <c r="AF4020" s="21"/>
    </row>
    <row r="4021" spans="24:32" x14ac:dyDescent="0.25">
      <c r="X4021" s="4"/>
      <c r="Y4021" s="4"/>
      <c r="Z4021" s="4"/>
      <c r="AA4021" s="4"/>
      <c r="AB4021" s="4"/>
      <c r="AC4021" s="7"/>
      <c r="AD4021" s="4"/>
      <c r="AE4021" s="4"/>
      <c r="AF4021" s="21"/>
    </row>
    <row r="4022" spans="24:32" x14ac:dyDescent="0.25">
      <c r="X4022" s="4"/>
      <c r="Y4022" s="4"/>
      <c r="Z4022" s="4"/>
      <c r="AA4022" s="4"/>
      <c r="AB4022" s="4"/>
      <c r="AC4022" s="7"/>
      <c r="AD4022" s="4"/>
      <c r="AE4022" s="4"/>
      <c r="AF4022" s="21"/>
    </row>
    <row r="4023" spans="24:32" x14ac:dyDescent="0.25">
      <c r="X4023" s="4"/>
      <c r="Y4023" s="4"/>
      <c r="Z4023" s="4"/>
      <c r="AA4023" s="4"/>
      <c r="AB4023" s="4"/>
      <c r="AC4023" s="7"/>
      <c r="AD4023" s="4"/>
      <c r="AE4023" s="4"/>
      <c r="AF4023" s="21"/>
    </row>
    <row r="4024" spans="24:32" x14ac:dyDescent="0.25">
      <c r="X4024" s="4"/>
      <c r="Y4024" s="4"/>
      <c r="Z4024" s="4"/>
      <c r="AA4024" s="4"/>
      <c r="AB4024" s="4"/>
      <c r="AC4024" s="7"/>
      <c r="AD4024" s="4"/>
      <c r="AE4024" s="4"/>
      <c r="AF4024" s="21"/>
    </row>
    <row r="4025" spans="24:32" x14ac:dyDescent="0.25">
      <c r="X4025" s="4"/>
      <c r="Y4025" s="4"/>
      <c r="Z4025" s="4"/>
      <c r="AA4025" s="4"/>
      <c r="AB4025" s="4"/>
      <c r="AC4025" s="7"/>
      <c r="AD4025" s="4"/>
      <c r="AE4025" s="4"/>
      <c r="AF4025" s="21"/>
    </row>
    <row r="4026" spans="24:32" x14ac:dyDescent="0.25">
      <c r="X4026" s="4"/>
      <c r="Y4026" s="4"/>
      <c r="Z4026" s="4"/>
      <c r="AA4026" s="4"/>
      <c r="AB4026" s="4"/>
      <c r="AC4026" s="7"/>
      <c r="AD4026" s="4"/>
      <c r="AE4026" s="4"/>
      <c r="AF4026" s="21"/>
    </row>
    <row r="4027" spans="24:32" x14ac:dyDescent="0.25">
      <c r="X4027" s="4"/>
      <c r="Y4027" s="4"/>
      <c r="Z4027" s="4"/>
      <c r="AA4027" s="4"/>
      <c r="AB4027" s="4"/>
      <c r="AC4027" s="7"/>
      <c r="AD4027" s="4"/>
      <c r="AE4027" s="4"/>
      <c r="AF4027" s="21"/>
    </row>
    <row r="4028" spans="24:32" x14ac:dyDescent="0.25">
      <c r="X4028" s="4"/>
      <c r="Y4028" s="4"/>
      <c r="Z4028" s="4"/>
      <c r="AA4028" s="4"/>
      <c r="AB4028" s="4"/>
      <c r="AC4028" s="7"/>
      <c r="AD4028" s="4"/>
      <c r="AE4028" s="4"/>
      <c r="AF4028" s="21"/>
    </row>
    <row r="4029" spans="24:32" x14ac:dyDescent="0.25">
      <c r="X4029" s="4"/>
      <c r="Y4029" s="4"/>
      <c r="Z4029" s="4"/>
      <c r="AA4029" s="4"/>
      <c r="AB4029" s="4"/>
      <c r="AC4029" s="7"/>
      <c r="AD4029" s="4"/>
      <c r="AE4029" s="4"/>
      <c r="AF4029" s="21"/>
    </row>
    <row r="4030" spans="24:32" x14ac:dyDescent="0.25">
      <c r="X4030" s="4"/>
      <c r="Y4030" s="4"/>
      <c r="Z4030" s="4"/>
      <c r="AA4030" s="4"/>
      <c r="AB4030" s="4"/>
      <c r="AC4030" s="7"/>
      <c r="AD4030" s="4"/>
      <c r="AE4030" s="4"/>
      <c r="AF4030" s="21"/>
    </row>
    <row r="4031" spans="24:32" x14ac:dyDescent="0.25">
      <c r="X4031" s="4"/>
      <c r="Y4031" s="4"/>
      <c r="Z4031" s="4"/>
      <c r="AA4031" s="4"/>
      <c r="AB4031" s="4"/>
      <c r="AC4031" s="7"/>
      <c r="AD4031" s="4"/>
      <c r="AE4031" s="4"/>
      <c r="AF4031" s="21"/>
    </row>
    <row r="4032" spans="24:32" x14ac:dyDescent="0.25">
      <c r="X4032" s="4"/>
      <c r="Y4032" s="4"/>
      <c r="Z4032" s="4"/>
      <c r="AA4032" s="4"/>
      <c r="AB4032" s="4"/>
      <c r="AC4032" s="7"/>
      <c r="AD4032" s="4"/>
      <c r="AE4032" s="4"/>
      <c r="AF4032" s="21"/>
    </row>
    <row r="4033" spans="24:32" x14ac:dyDescent="0.25">
      <c r="X4033" s="4"/>
      <c r="Y4033" s="4"/>
      <c r="Z4033" s="4"/>
      <c r="AA4033" s="4"/>
      <c r="AB4033" s="4"/>
      <c r="AC4033" s="7"/>
      <c r="AD4033" s="4"/>
      <c r="AE4033" s="4"/>
      <c r="AF4033" s="21"/>
    </row>
    <row r="4034" spans="24:32" x14ac:dyDescent="0.25">
      <c r="X4034" s="4"/>
      <c r="Y4034" s="4"/>
      <c r="Z4034" s="4"/>
      <c r="AA4034" s="4"/>
      <c r="AB4034" s="4"/>
      <c r="AC4034" s="7"/>
      <c r="AD4034" s="4"/>
      <c r="AE4034" s="4"/>
      <c r="AF4034" s="21"/>
    </row>
    <row r="4035" spans="24:32" x14ac:dyDescent="0.25">
      <c r="X4035" s="4"/>
      <c r="Y4035" s="4"/>
      <c r="Z4035" s="4"/>
      <c r="AA4035" s="4"/>
      <c r="AB4035" s="4"/>
      <c r="AC4035" s="7"/>
      <c r="AD4035" s="4"/>
      <c r="AE4035" s="4"/>
      <c r="AF4035" s="21"/>
    </row>
    <row r="4036" spans="24:32" x14ac:dyDescent="0.25">
      <c r="X4036" s="4"/>
      <c r="Y4036" s="4"/>
      <c r="Z4036" s="4"/>
      <c r="AA4036" s="4"/>
      <c r="AB4036" s="4"/>
      <c r="AC4036" s="7"/>
      <c r="AD4036" s="4"/>
      <c r="AE4036" s="4"/>
      <c r="AF4036" s="21"/>
    </row>
    <row r="4037" spans="24:32" x14ac:dyDescent="0.25">
      <c r="X4037" s="4"/>
      <c r="Y4037" s="4"/>
      <c r="Z4037" s="4"/>
      <c r="AA4037" s="4"/>
      <c r="AB4037" s="4"/>
      <c r="AC4037" s="7"/>
      <c r="AD4037" s="4"/>
      <c r="AE4037" s="4"/>
      <c r="AF4037" s="21"/>
    </row>
    <row r="4038" spans="24:32" x14ac:dyDescent="0.25">
      <c r="X4038" s="4"/>
      <c r="Y4038" s="4"/>
      <c r="Z4038" s="4"/>
      <c r="AA4038" s="4"/>
      <c r="AB4038" s="4"/>
      <c r="AC4038" s="7"/>
      <c r="AD4038" s="4"/>
      <c r="AE4038" s="4"/>
      <c r="AF4038" s="21"/>
    </row>
    <row r="4039" spans="24:32" x14ac:dyDescent="0.25">
      <c r="X4039" s="4"/>
      <c r="Y4039" s="4"/>
      <c r="Z4039" s="4"/>
      <c r="AA4039" s="4"/>
      <c r="AB4039" s="4"/>
      <c r="AC4039" s="7"/>
      <c r="AD4039" s="4"/>
      <c r="AE4039" s="4"/>
      <c r="AF4039" s="21"/>
    </row>
    <row r="4040" spans="24:32" x14ac:dyDescent="0.25">
      <c r="X4040" s="4"/>
      <c r="Y4040" s="4"/>
      <c r="Z4040" s="4"/>
      <c r="AA4040" s="4"/>
      <c r="AB4040" s="4"/>
      <c r="AC4040" s="7"/>
      <c r="AD4040" s="4"/>
      <c r="AE4040" s="4"/>
      <c r="AF4040" s="21"/>
    </row>
    <row r="4041" spans="24:32" x14ac:dyDescent="0.25">
      <c r="X4041" s="4"/>
      <c r="Y4041" s="4"/>
      <c r="Z4041" s="4"/>
      <c r="AA4041" s="4"/>
      <c r="AB4041" s="4"/>
      <c r="AC4041" s="7"/>
      <c r="AD4041" s="4"/>
      <c r="AE4041" s="4"/>
      <c r="AF4041" s="21"/>
    </row>
    <row r="4042" spans="24:32" x14ac:dyDescent="0.25">
      <c r="X4042" s="4"/>
      <c r="Y4042" s="4"/>
      <c r="Z4042" s="4"/>
      <c r="AA4042" s="4"/>
      <c r="AB4042" s="4"/>
      <c r="AC4042" s="7"/>
      <c r="AD4042" s="4"/>
      <c r="AE4042" s="4"/>
      <c r="AF4042" s="21"/>
    </row>
    <row r="4043" spans="24:32" x14ac:dyDescent="0.25">
      <c r="X4043" s="4"/>
      <c r="Y4043" s="4"/>
      <c r="Z4043" s="4"/>
      <c r="AA4043" s="4"/>
      <c r="AB4043" s="4"/>
      <c r="AC4043" s="7"/>
      <c r="AD4043" s="4"/>
      <c r="AE4043" s="4"/>
      <c r="AF4043" s="21"/>
    </row>
    <row r="4044" spans="24:32" x14ac:dyDescent="0.25">
      <c r="X4044" s="4"/>
      <c r="Y4044" s="4"/>
      <c r="Z4044" s="4"/>
      <c r="AA4044" s="4"/>
      <c r="AB4044" s="4"/>
      <c r="AC4044" s="7"/>
      <c r="AD4044" s="4"/>
      <c r="AE4044" s="4"/>
      <c r="AF4044" s="21"/>
    </row>
    <row r="4045" spans="24:32" x14ac:dyDescent="0.25">
      <c r="X4045" s="4"/>
      <c r="Y4045" s="4"/>
      <c r="Z4045" s="4"/>
      <c r="AA4045" s="4"/>
      <c r="AB4045" s="4"/>
      <c r="AC4045" s="7"/>
      <c r="AD4045" s="4"/>
      <c r="AE4045" s="4"/>
      <c r="AF4045" s="21"/>
    </row>
    <row r="4046" spans="24:32" x14ac:dyDescent="0.25">
      <c r="X4046" s="4"/>
      <c r="Y4046" s="4"/>
      <c r="Z4046" s="4"/>
      <c r="AA4046" s="4"/>
      <c r="AB4046" s="4"/>
      <c r="AC4046" s="7"/>
      <c r="AD4046" s="4"/>
      <c r="AE4046" s="4"/>
      <c r="AF4046" s="21"/>
    </row>
    <row r="4047" spans="24:32" x14ac:dyDescent="0.25">
      <c r="X4047" s="4"/>
      <c r="Y4047" s="4"/>
      <c r="Z4047" s="4"/>
      <c r="AA4047" s="4"/>
      <c r="AB4047" s="4"/>
      <c r="AC4047" s="7"/>
      <c r="AD4047" s="4"/>
      <c r="AE4047" s="4"/>
      <c r="AF4047" s="21"/>
    </row>
    <row r="4048" spans="24:32" x14ac:dyDescent="0.25">
      <c r="X4048" s="4"/>
      <c r="Y4048" s="4"/>
      <c r="Z4048" s="4"/>
      <c r="AA4048" s="4"/>
      <c r="AB4048" s="4"/>
      <c r="AC4048" s="7"/>
      <c r="AD4048" s="4"/>
      <c r="AE4048" s="4"/>
      <c r="AF4048" s="21"/>
    </row>
    <row r="4049" spans="24:32" x14ac:dyDescent="0.25">
      <c r="X4049" s="4"/>
      <c r="Y4049" s="4"/>
      <c r="Z4049" s="4"/>
      <c r="AA4049" s="4"/>
      <c r="AB4049" s="4"/>
      <c r="AC4049" s="7"/>
      <c r="AD4049" s="4"/>
      <c r="AE4049" s="4"/>
      <c r="AF4049" s="21"/>
    </row>
    <row r="4050" spans="24:32" x14ac:dyDescent="0.25">
      <c r="X4050" s="4"/>
      <c r="Y4050" s="4"/>
      <c r="Z4050" s="4"/>
      <c r="AA4050" s="4"/>
      <c r="AB4050" s="4"/>
      <c r="AC4050" s="7"/>
      <c r="AD4050" s="4"/>
      <c r="AE4050" s="4"/>
      <c r="AF4050" s="21"/>
    </row>
    <row r="4051" spans="24:32" x14ac:dyDescent="0.25">
      <c r="X4051" s="4"/>
      <c r="Y4051" s="4"/>
      <c r="Z4051" s="4"/>
      <c r="AA4051" s="4"/>
      <c r="AB4051" s="4"/>
      <c r="AC4051" s="7"/>
      <c r="AD4051" s="4"/>
      <c r="AE4051" s="4"/>
      <c r="AF4051" s="21"/>
    </row>
    <row r="4052" spans="24:32" x14ac:dyDescent="0.25">
      <c r="X4052" s="4"/>
      <c r="Y4052" s="4"/>
      <c r="Z4052" s="4"/>
      <c r="AA4052" s="4"/>
      <c r="AB4052" s="4"/>
      <c r="AC4052" s="7"/>
      <c r="AD4052" s="4"/>
      <c r="AE4052" s="4"/>
      <c r="AF4052" s="21"/>
    </row>
    <row r="4053" spans="24:32" x14ac:dyDescent="0.25">
      <c r="X4053" s="4"/>
      <c r="Y4053" s="4"/>
      <c r="Z4053" s="4"/>
      <c r="AA4053" s="4"/>
      <c r="AB4053" s="4"/>
      <c r="AC4053" s="7"/>
      <c r="AD4053" s="4"/>
      <c r="AE4053" s="4"/>
      <c r="AF4053" s="21"/>
    </row>
    <row r="4054" spans="24:32" x14ac:dyDescent="0.25">
      <c r="X4054" s="4"/>
      <c r="Y4054" s="4"/>
      <c r="Z4054" s="4"/>
      <c r="AA4054" s="4"/>
      <c r="AB4054" s="4"/>
      <c r="AC4054" s="7"/>
      <c r="AD4054" s="4"/>
      <c r="AE4054" s="4"/>
      <c r="AF4054" s="21"/>
    </row>
    <row r="4055" spans="24:32" x14ac:dyDescent="0.25">
      <c r="X4055" s="4"/>
      <c r="Y4055" s="4"/>
      <c r="Z4055" s="4"/>
      <c r="AA4055" s="4"/>
      <c r="AB4055" s="4"/>
      <c r="AC4055" s="7"/>
      <c r="AD4055" s="4"/>
      <c r="AE4055" s="4"/>
      <c r="AF4055" s="21"/>
    </row>
    <row r="4056" spans="24:32" x14ac:dyDescent="0.25">
      <c r="X4056" s="4"/>
      <c r="Y4056" s="4"/>
      <c r="Z4056" s="4"/>
      <c r="AA4056" s="4"/>
      <c r="AB4056" s="4"/>
      <c r="AC4056" s="7"/>
      <c r="AD4056" s="4"/>
      <c r="AE4056" s="4"/>
      <c r="AF4056" s="21"/>
    </row>
    <row r="4057" spans="24:32" x14ac:dyDescent="0.25">
      <c r="X4057" s="4"/>
      <c r="Y4057" s="4"/>
      <c r="Z4057" s="4"/>
      <c r="AA4057" s="4"/>
      <c r="AB4057" s="4"/>
      <c r="AC4057" s="7"/>
      <c r="AD4057" s="4"/>
      <c r="AE4057" s="4"/>
      <c r="AF4057" s="21"/>
    </row>
    <row r="4058" spans="24:32" x14ac:dyDescent="0.25">
      <c r="X4058" s="4"/>
      <c r="Y4058" s="4"/>
      <c r="Z4058" s="4"/>
      <c r="AA4058" s="4"/>
      <c r="AB4058" s="4"/>
      <c r="AC4058" s="7"/>
      <c r="AD4058" s="4"/>
      <c r="AE4058" s="4"/>
      <c r="AF4058" s="21"/>
    </row>
    <row r="4059" spans="24:32" x14ac:dyDescent="0.25">
      <c r="X4059" s="4"/>
      <c r="Y4059" s="4"/>
      <c r="Z4059" s="4"/>
      <c r="AA4059" s="4"/>
      <c r="AB4059" s="4"/>
      <c r="AC4059" s="7"/>
      <c r="AD4059" s="4"/>
      <c r="AE4059" s="4"/>
      <c r="AF4059" s="21"/>
    </row>
    <row r="4060" spans="24:32" x14ac:dyDescent="0.25">
      <c r="X4060" s="4"/>
      <c r="Y4060" s="4"/>
      <c r="Z4060" s="4"/>
      <c r="AA4060" s="4"/>
      <c r="AB4060" s="4"/>
      <c r="AC4060" s="7"/>
      <c r="AD4060" s="4"/>
      <c r="AE4060" s="4"/>
      <c r="AF4060" s="21"/>
    </row>
    <row r="4061" spans="24:32" x14ac:dyDescent="0.25">
      <c r="X4061" s="4"/>
      <c r="Y4061" s="4"/>
      <c r="Z4061" s="4"/>
      <c r="AA4061" s="4"/>
      <c r="AB4061" s="4"/>
      <c r="AC4061" s="7"/>
      <c r="AD4061" s="4"/>
      <c r="AE4061" s="4"/>
      <c r="AF4061" s="21"/>
    </row>
    <row r="4062" spans="24:32" x14ac:dyDescent="0.25">
      <c r="X4062" s="4"/>
      <c r="Y4062" s="4"/>
      <c r="Z4062" s="4"/>
      <c r="AA4062" s="4"/>
      <c r="AB4062" s="4"/>
      <c r="AC4062" s="7"/>
      <c r="AD4062" s="4"/>
      <c r="AE4062" s="4"/>
      <c r="AF4062" s="21"/>
    </row>
    <row r="4063" spans="24:32" x14ac:dyDescent="0.25">
      <c r="X4063" s="4"/>
      <c r="Y4063" s="4"/>
      <c r="Z4063" s="4"/>
      <c r="AA4063" s="4"/>
      <c r="AB4063" s="4"/>
      <c r="AC4063" s="7"/>
      <c r="AD4063" s="4"/>
      <c r="AE4063" s="4"/>
      <c r="AF4063" s="21"/>
    </row>
    <row r="4064" spans="24:32" x14ac:dyDescent="0.25">
      <c r="X4064" s="4"/>
      <c r="Y4064" s="4"/>
      <c r="Z4064" s="4"/>
      <c r="AA4064" s="4"/>
      <c r="AB4064" s="4"/>
      <c r="AC4064" s="7"/>
      <c r="AD4064" s="4"/>
      <c r="AE4064" s="4"/>
      <c r="AF4064" s="21"/>
    </row>
    <row r="4065" spans="24:32" x14ac:dyDescent="0.25">
      <c r="X4065" s="4"/>
      <c r="Y4065" s="4"/>
      <c r="Z4065" s="4"/>
      <c r="AA4065" s="4"/>
      <c r="AB4065" s="4"/>
      <c r="AC4065" s="7"/>
      <c r="AD4065" s="4"/>
      <c r="AE4065" s="4"/>
      <c r="AF4065" s="21"/>
    </row>
    <row r="4066" spans="24:32" x14ac:dyDescent="0.25">
      <c r="X4066" s="4"/>
      <c r="Y4066" s="4"/>
      <c r="Z4066" s="4"/>
      <c r="AA4066" s="4"/>
      <c r="AB4066" s="4"/>
      <c r="AC4066" s="7"/>
      <c r="AD4066" s="4"/>
      <c r="AE4066" s="4"/>
      <c r="AF4066" s="21"/>
    </row>
    <row r="4067" spans="24:32" x14ac:dyDescent="0.25">
      <c r="X4067" s="4"/>
      <c r="Y4067" s="4"/>
      <c r="Z4067" s="4"/>
      <c r="AA4067" s="4"/>
      <c r="AB4067" s="4"/>
      <c r="AC4067" s="7"/>
      <c r="AD4067" s="4"/>
      <c r="AE4067" s="4"/>
      <c r="AF4067" s="21"/>
    </row>
    <row r="4068" spans="24:32" x14ac:dyDescent="0.25">
      <c r="X4068" s="4"/>
      <c r="Y4068" s="4"/>
      <c r="Z4068" s="4"/>
      <c r="AA4068" s="4"/>
      <c r="AB4068" s="4"/>
      <c r="AC4068" s="7"/>
      <c r="AD4068" s="4"/>
      <c r="AE4068" s="4"/>
      <c r="AF4068" s="21"/>
    </row>
    <row r="4069" spans="24:32" x14ac:dyDescent="0.25">
      <c r="X4069" s="4"/>
      <c r="Y4069" s="4"/>
      <c r="Z4069" s="4"/>
      <c r="AA4069" s="4"/>
      <c r="AB4069" s="4"/>
      <c r="AC4069" s="7"/>
      <c r="AD4069" s="4"/>
      <c r="AE4069" s="4"/>
      <c r="AF4069" s="21"/>
    </row>
    <row r="4070" spans="24:32" x14ac:dyDescent="0.25">
      <c r="X4070" s="4"/>
      <c r="Y4070" s="4"/>
      <c r="Z4070" s="4"/>
      <c r="AA4070" s="4"/>
      <c r="AB4070" s="4"/>
      <c r="AC4070" s="7"/>
      <c r="AD4070" s="4"/>
      <c r="AE4070" s="4"/>
      <c r="AF4070" s="21"/>
    </row>
    <row r="4071" spans="24:32" x14ac:dyDescent="0.25">
      <c r="X4071" s="4"/>
      <c r="Y4071" s="4"/>
      <c r="Z4071" s="4"/>
      <c r="AA4071" s="4"/>
      <c r="AB4071" s="4"/>
      <c r="AC4071" s="7"/>
      <c r="AD4071" s="4"/>
      <c r="AE4071" s="4"/>
      <c r="AF4071" s="21"/>
    </row>
    <row r="4072" spans="24:32" x14ac:dyDescent="0.25">
      <c r="X4072" s="4"/>
      <c r="Y4072" s="4"/>
      <c r="Z4072" s="4"/>
      <c r="AA4072" s="4"/>
      <c r="AB4072" s="4"/>
      <c r="AC4072" s="7"/>
      <c r="AD4072" s="4"/>
      <c r="AE4072" s="4"/>
      <c r="AF4072" s="21"/>
    </row>
    <row r="4073" spans="24:32" x14ac:dyDescent="0.25">
      <c r="X4073" s="4"/>
      <c r="Y4073" s="4"/>
      <c r="Z4073" s="4"/>
      <c r="AA4073" s="4"/>
      <c r="AB4073" s="4"/>
      <c r="AC4073" s="7"/>
      <c r="AD4073" s="4"/>
      <c r="AE4073" s="4"/>
      <c r="AF4073" s="21"/>
    </row>
    <row r="4074" spans="24:32" x14ac:dyDescent="0.25">
      <c r="X4074" s="4"/>
      <c r="Y4074" s="4"/>
      <c r="Z4074" s="4"/>
      <c r="AA4074" s="4"/>
      <c r="AB4074" s="4"/>
      <c r="AC4074" s="7"/>
      <c r="AD4074" s="4"/>
      <c r="AE4074" s="4"/>
      <c r="AF4074" s="21"/>
    </row>
    <row r="4075" spans="24:32" x14ac:dyDescent="0.25">
      <c r="X4075" s="4"/>
      <c r="Y4075" s="4"/>
      <c r="Z4075" s="4"/>
      <c r="AA4075" s="4"/>
      <c r="AB4075" s="4"/>
      <c r="AC4075" s="7"/>
      <c r="AD4075" s="4"/>
      <c r="AE4075" s="4"/>
      <c r="AF4075" s="21"/>
    </row>
    <row r="4076" spans="24:32" x14ac:dyDescent="0.25">
      <c r="X4076" s="4"/>
      <c r="Y4076" s="4"/>
      <c r="Z4076" s="4"/>
      <c r="AA4076" s="4"/>
      <c r="AB4076" s="4"/>
      <c r="AC4076" s="7"/>
      <c r="AD4076" s="4"/>
      <c r="AE4076" s="4"/>
      <c r="AF4076" s="21"/>
    </row>
    <row r="4077" spans="24:32" x14ac:dyDescent="0.25">
      <c r="X4077" s="4"/>
      <c r="Y4077" s="4"/>
      <c r="Z4077" s="4"/>
      <c r="AA4077" s="4"/>
      <c r="AB4077" s="4"/>
      <c r="AC4077" s="7"/>
      <c r="AD4077" s="4"/>
      <c r="AE4077" s="4"/>
      <c r="AF4077" s="21"/>
    </row>
    <row r="4078" spans="24:32" x14ac:dyDescent="0.25">
      <c r="X4078" s="4"/>
      <c r="Y4078" s="4"/>
      <c r="Z4078" s="4"/>
      <c r="AA4078" s="4"/>
      <c r="AB4078" s="4"/>
      <c r="AC4078" s="7"/>
      <c r="AD4078" s="4"/>
      <c r="AE4078" s="4"/>
      <c r="AF4078" s="21"/>
    </row>
    <row r="4079" spans="24:32" x14ac:dyDescent="0.25">
      <c r="X4079" s="4"/>
      <c r="Y4079" s="4"/>
      <c r="Z4079" s="4"/>
      <c r="AA4079" s="4"/>
      <c r="AB4079" s="4"/>
      <c r="AC4079" s="7"/>
      <c r="AD4079" s="4"/>
      <c r="AE4079" s="4"/>
      <c r="AF4079" s="21"/>
    </row>
    <row r="4080" spans="24:32" x14ac:dyDescent="0.25">
      <c r="X4080" s="4"/>
      <c r="Y4080" s="4"/>
      <c r="Z4080" s="4"/>
      <c r="AA4080" s="4"/>
      <c r="AB4080" s="4"/>
      <c r="AC4080" s="7"/>
      <c r="AD4080" s="4"/>
      <c r="AE4080" s="4"/>
      <c r="AF4080" s="21"/>
    </row>
    <row r="4081" spans="24:32" x14ac:dyDescent="0.25">
      <c r="X4081" s="4"/>
      <c r="Y4081" s="4"/>
      <c r="Z4081" s="4"/>
      <c r="AA4081" s="4"/>
      <c r="AB4081" s="4"/>
      <c r="AC4081" s="7"/>
      <c r="AD4081" s="4"/>
      <c r="AE4081" s="4"/>
      <c r="AF4081" s="21"/>
    </row>
    <row r="4082" spans="24:32" x14ac:dyDescent="0.25">
      <c r="X4082" s="4"/>
      <c r="Y4082" s="4"/>
      <c r="Z4082" s="4"/>
      <c r="AA4082" s="4"/>
      <c r="AB4082" s="4"/>
      <c r="AC4082" s="7"/>
      <c r="AD4082" s="4"/>
      <c r="AE4082" s="4"/>
      <c r="AF4082" s="21"/>
    </row>
    <row r="4083" spans="24:32" x14ac:dyDescent="0.25">
      <c r="X4083" s="4"/>
      <c r="Y4083" s="4"/>
      <c r="Z4083" s="4"/>
      <c r="AA4083" s="4"/>
      <c r="AB4083" s="4"/>
      <c r="AC4083" s="7"/>
      <c r="AD4083" s="4"/>
      <c r="AE4083" s="4"/>
      <c r="AF4083" s="21"/>
    </row>
    <row r="4084" spans="24:32" x14ac:dyDescent="0.25">
      <c r="X4084" s="4"/>
      <c r="Y4084" s="4"/>
      <c r="Z4084" s="4"/>
      <c r="AA4084" s="4"/>
      <c r="AB4084" s="4"/>
      <c r="AC4084" s="7"/>
      <c r="AD4084" s="4"/>
      <c r="AE4084" s="4"/>
      <c r="AF4084" s="21"/>
    </row>
    <row r="4085" spans="24:32" x14ac:dyDescent="0.25">
      <c r="X4085" s="4"/>
      <c r="Y4085" s="4"/>
      <c r="Z4085" s="4"/>
      <c r="AA4085" s="4"/>
      <c r="AB4085" s="4"/>
      <c r="AC4085" s="7"/>
      <c r="AD4085" s="4"/>
      <c r="AE4085" s="4"/>
      <c r="AF4085" s="21"/>
    </row>
    <row r="4086" spans="24:32" x14ac:dyDescent="0.25">
      <c r="X4086" s="4"/>
      <c r="Y4086" s="4"/>
      <c r="Z4086" s="4"/>
      <c r="AA4086" s="4"/>
      <c r="AB4086" s="4"/>
      <c r="AC4086" s="7"/>
      <c r="AD4086" s="4"/>
      <c r="AE4086" s="4"/>
      <c r="AF4086" s="21"/>
    </row>
    <row r="4087" spans="24:32" x14ac:dyDescent="0.25">
      <c r="X4087" s="4"/>
      <c r="Y4087" s="4"/>
      <c r="Z4087" s="4"/>
      <c r="AA4087" s="4"/>
      <c r="AB4087" s="4"/>
      <c r="AC4087" s="7"/>
      <c r="AD4087" s="4"/>
      <c r="AE4087" s="4"/>
      <c r="AF4087" s="21"/>
    </row>
    <row r="4088" spans="24:32" x14ac:dyDescent="0.25">
      <c r="X4088" s="4"/>
      <c r="Y4088" s="4"/>
      <c r="Z4088" s="4"/>
      <c r="AA4088" s="4"/>
      <c r="AB4088" s="4"/>
      <c r="AC4088" s="7"/>
      <c r="AD4088" s="4"/>
      <c r="AE4088" s="4"/>
      <c r="AF4088" s="21"/>
    </row>
    <row r="4089" spans="24:32" x14ac:dyDescent="0.25">
      <c r="X4089" s="4"/>
      <c r="Y4089" s="4"/>
      <c r="Z4089" s="4"/>
      <c r="AA4089" s="4"/>
      <c r="AB4089" s="4"/>
      <c r="AC4089" s="7"/>
      <c r="AD4089" s="4"/>
      <c r="AE4089" s="4"/>
      <c r="AF4089" s="21"/>
    </row>
    <row r="4090" spans="24:32" x14ac:dyDescent="0.25">
      <c r="X4090" s="4"/>
      <c r="Y4090" s="4"/>
      <c r="Z4090" s="4"/>
      <c r="AA4090" s="4"/>
      <c r="AB4090" s="4"/>
      <c r="AC4090" s="7"/>
      <c r="AD4090" s="4"/>
      <c r="AE4090" s="4"/>
      <c r="AF4090" s="21"/>
    </row>
    <row r="4091" spans="24:32" x14ac:dyDescent="0.25">
      <c r="X4091" s="4"/>
      <c r="Y4091" s="4"/>
      <c r="Z4091" s="4"/>
      <c r="AA4091" s="4"/>
      <c r="AB4091" s="4"/>
      <c r="AC4091" s="7"/>
      <c r="AD4091" s="4"/>
      <c r="AE4091" s="4"/>
      <c r="AF4091" s="21"/>
    </row>
    <row r="4092" spans="24:32" x14ac:dyDescent="0.25">
      <c r="X4092" s="4"/>
      <c r="Y4092" s="4"/>
      <c r="Z4092" s="4"/>
      <c r="AA4092" s="4"/>
      <c r="AB4092" s="4"/>
      <c r="AC4092" s="7"/>
      <c r="AD4092" s="4"/>
      <c r="AE4092" s="4"/>
      <c r="AF4092" s="21"/>
    </row>
    <row r="4093" spans="24:32" x14ac:dyDescent="0.25">
      <c r="X4093" s="4"/>
      <c r="Y4093" s="4"/>
      <c r="Z4093" s="4"/>
      <c r="AA4093" s="4"/>
      <c r="AB4093" s="4"/>
      <c r="AC4093" s="7"/>
      <c r="AD4093" s="4"/>
      <c r="AE4093" s="4"/>
      <c r="AF4093" s="21"/>
    </row>
    <row r="4094" spans="24:32" x14ac:dyDescent="0.25">
      <c r="X4094" s="4"/>
      <c r="Y4094" s="4"/>
      <c r="Z4094" s="4"/>
      <c r="AA4094" s="4"/>
      <c r="AB4094" s="4"/>
      <c r="AC4094" s="7"/>
      <c r="AD4094" s="4"/>
      <c r="AE4094" s="4"/>
      <c r="AF4094" s="21"/>
    </row>
    <row r="4095" spans="24:32" x14ac:dyDescent="0.25">
      <c r="X4095" s="4"/>
      <c r="Y4095" s="4"/>
      <c r="Z4095" s="4"/>
      <c r="AA4095" s="4"/>
      <c r="AB4095" s="4"/>
      <c r="AC4095" s="7"/>
      <c r="AD4095" s="4"/>
      <c r="AE4095" s="4"/>
      <c r="AF4095" s="21"/>
    </row>
    <row r="4096" spans="24:32" x14ac:dyDescent="0.25">
      <c r="X4096" s="4"/>
      <c r="Y4096" s="4"/>
      <c r="Z4096" s="4"/>
      <c r="AA4096" s="4"/>
      <c r="AB4096" s="4"/>
      <c r="AC4096" s="7"/>
      <c r="AD4096" s="4"/>
      <c r="AE4096" s="4"/>
      <c r="AF4096" s="21"/>
    </row>
    <row r="4097" spans="24:32" x14ac:dyDescent="0.25">
      <c r="X4097" s="4"/>
      <c r="Y4097" s="4"/>
      <c r="Z4097" s="4"/>
      <c r="AA4097" s="4"/>
      <c r="AB4097" s="4"/>
      <c r="AC4097" s="7"/>
      <c r="AD4097" s="4"/>
      <c r="AE4097" s="4"/>
      <c r="AF4097" s="21"/>
    </row>
    <row r="4098" spans="24:32" x14ac:dyDescent="0.25">
      <c r="X4098" s="4"/>
      <c r="Y4098" s="4"/>
      <c r="Z4098" s="4"/>
      <c r="AA4098" s="4"/>
      <c r="AB4098" s="4"/>
      <c r="AC4098" s="7"/>
      <c r="AD4098" s="4"/>
      <c r="AE4098" s="4"/>
      <c r="AF4098" s="21"/>
    </row>
    <row r="4099" spans="24:32" x14ac:dyDescent="0.25">
      <c r="X4099" s="4"/>
      <c r="Y4099" s="4"/>
      <c r="Z4099" s="4"/>
      <c r="AA4099" s="4"/>
      <c r="AB4099" s="4"/>
      <c r="AC4099" s="7"/>
      <c r="AD4099" s="4"/>
      <c r="AE4099" s="4"/>
      <c r="AF4099" s="21"/>
    </row>
    <row r="4100" spans="24:32" x14ac:dyDescent="0.25">
      <c r="X4100" s="4"/>
      <c r="Y4100" s="4"/>
      <c r="Z4100" s="4"/>
      <c r="AA4100" s="4"/>
      <c r="AB4100" s="4"/>
      <c r="AC4100" s="7"/>
      <c r="AD4100" s="4"/>
      <c r="AE4100" s="4"/>
      <c r="AF4100" s="21"/>
    </row>
    <row r="4101" spans="24:32" x14ac:dyDescent="0.25">
      <c r="X4101" s="4"/>
      <c r="Y4101" s="4"/>
      <c r="Z4101" s="4"/>
      <c r="AA4101" s="4"/>
      <c r="AB4101" s="4"/>
      <c r="AC4101" s="7"/>
      <c r="AD4101" s="4"/>
      <c r="AE4101" s="4"/>
      <c r="AF4101" s="21"/>
    </row>
    <row r="4102" spans="24:32" x14ac:dyDescent="0.25">
      <c r="X4102" s="4"/>
      <c r="Y4102" s="4"/>
      <c r="Z4102" s="4"/>
      <c r="AA4102" s="4"/>
      <c r="AB4102" s="4"/>
      <c r="AC4102" s="7"/>
      <c r="AD4102" s="4"/>
      <c r="AE4102" s="4"/>
      <c r="AF4102" s="21"/>
    </row>
    <row r="4103" spans="24:32" x14ac:dyDescent="0.25">
      <c r="X4103" s="4"/>
      <c r="Y4103" s="4"/>
      <c r="Z4103" s="4"/>
      <c r="AA4103" s="4"/>
      <c r="AB4103" s="4"/>
      <c r="AC4103" s="7"/>
      <c r="AD4103" s="4"/>
      <c r="AE4103" s="4"/>
      <c r="AF4103" s="21"/>
    </row>
    <row r="4104" spans="24:32" x14ac:dyDescent="0.25">
      <c r="X4104" s="4"/>
      <c r="Y4104" s="4"/>
      <c r="Z4104" s="4"/>
      <c r="AA4104" s="4"/>
      <c r="AB4104" s="4"/>
      <c r="AC4104" s="7"/>
      <c r="AD4104" s="4"/>
      <c r="AE4104" s="4"/>
      <c r="AF4104" s="21"/>
    </row>
    <row r="4105" spans="24:32" x14ac:dyDescent="0.25">
      <c r="X4105" s="4"/>
      <c r="Y4105" s="4"/>
      <c r="Z4105" s="4"/>
      <c r="AA4105" s="4"/>
      <c r="AB4105" s="4"/>
      <c r="AC4105" s="7"/>
      <c r="AD4105" s="4"/>
      <c r="AE4105" s="4"/>
      <c r="AF4105" s="21"/>
    </row>
    <row r="4106" spans="24:32" x14ac:dyDescent="0.25">
      <c r="X4106" s="4"/>
      <c r="Y4106" s="4"/>
      <c r="Z4106" s="4"/>
      <c r="AA4106" s="4"/>
      <c r="AB4106" s="4"/>
      <c r="AC4106" s="7"/>
      <c r="AD4106" s="4"/>
      <c r="AE4106" s="4"/>
      <c r="AF4106" s="21"/>
    </row>
    <row r="4107" spans="24:32" x14ac:dyDescent="0.25">
      <c r="X4107" s="4"/>
      <c r="Y4107" s="4"/>
      <c r="Z4107" s="4"/>
      <c r="AA4107" s="4"/>
      <c r="AB4107" s="4"/>
      <c r="AC4107" s="7"/>
      <c r="AD4107" s="4"/>
      <c r="AE4107" s="4"/>
      <c r="AF4107" s="21"/>
    </row>
    <row r="4108" spans="24:32" x14ac:dyDescent="0.25">
      <c r="X4108" s="4"/>
      <c r="Y4108" s="4"/>
      <c r="Z4108" s="4"/>
      <c r="AA4108" s="4"/>
      <c r="AB4108" s="4"/>
      <c r="AC4108" s="7"/>
      <c r="AD4108" s="4"/>
      <c r="AE4108" s="4"/>
      <c r="AF4108" s="21"/>
    </row>
    <row r="4109" spans="24:32" x14ac:dyDescent="0.25">
      <c r="X4109" s="4"/>
      <c r="Y4109" s="4"/>
      <c r="Z4109" s="4"/>
      <c r="AA4109" s="4"/>
      <c r="AB4109" s="4"/>
      <c r="AC4109" s="7"/>
      <c r="AD4109" s="4"/>
      <c r="AE4109" s="4"/>
      <c r="AF4109" s="21"/>
    </row>
    <row r="4110" spans="24:32" x14ac:dyDescent="0.25">
      <c r="X4110" s="4"/>
      <c r="Y4110" s="4"/>
      <c r="Z4110" s="4"/>
      <c r="AA4110" s="4"/>
      <c r="AB4110" s="4"/>
      <c r="AC4110" s="7"/>
      <c r="AD4110" s="4"/>
      <c r="AE4110" s="4"/>
      <c r="AF4110" s="21"/>
    </row>
    <row r="4111" spans="24:32" x14ac:dyDescent="0.25">
      <c r="X4111" s="4"/>
      <c r="Y4111" s="4"/>
      <c r="Z4111" s="4"/>
      <c r="AA4111" s="4"/>
      <c r="AB4111" s="4"/>
      <c r="AC4111" s="7"/>
      <c r="AD4111" s="4"/>
      <c r="AE4111" s="4"/>
      <c r="AF4111" s="21"/>
    </row>
    <row r="4112" spans="24:32" x14ac:dyDescent="0.25">
      <c r="X4112" s="4"/>
      <c r="Y4112" s="4"/>
      <c r="Z4112" s="4"/>
      <c r="AA4112" s="4"/>
      <c r="AB4112" s="4"/>
      <c r="AC4112" s="7"/>
      <c r="AD4112" s="4"/>
      <c r="AE4112" s="4"/>
      <c r="AF4112" s="21"/>
    </row>
    <row r="4113" spans="24:32" x14ac:dyDescent="0.25">
      <c r="X4113" s="4"/>
      <c r="Y4113" s="4"/>
      <c r="Z4113" s="4"/>
      <c r="AA4113" s="4"/>
      <c r="AB4113" s="4"/>
      <c r="AC4113" s="7"/>
      <c r="AD4113" s="4"/>
      <c r="AE4113" s="4"/>
      <c r="AF4113" s="21"/>
    </row>
    <row r="4114" spans="24:32" x14ac:dyDescent="0.25">
      <c r="X4114" s="4"/>
      <c r="Y4114" s="4"/>
      <c r="Z4114" s="4"/>
      <c r="AA4114" s="4"/>
      <c r="AB4114" s="4"/>
      <c r="AC4114" s="7"/>
      <c r="AD4114" s="4"/>
      <c r="AE4114" s="4"/>
      <c r="AF4114" s="21"/>
    </row>
    <row r="4115" spans="24:32" x14ac:dyDescent="0.25">
      <c r="X4115" s="4"/>
      <c r="Y4115" s="4"/>
      <c r="Z4115" s="4"/>
      <c r="AA4115" s="4"/>
      <c r="AB4115" s="4"/>
      <c r="AC4115" s="7"/>
      <c r="AD4115" s="4"/>
      <c r="AE4115" s="4"/>
      <c r="AF4115" s="21"/>
    </row>
    <row r="4116" spans="24:32" x14ac:dyDescent="0.25">
      <c r="X4116" s="4"/>
      <c r="Y4116" s="4"/>
      <c r="Z4116" s="4"/>
      <c r="AA4116" s="4"/>
      <c r="AB4116" s="4"/>
      <c r="AC4116" s="7"/>
      <c r="AD4116" s="4"/>
      <c r="AE4116" s="4"/>
      <c r="AF4116" s="21"/>
    </row>
    <row r="4117" spans="24:32" x14ac:dyDescent="0.25">
      <c r="X4117" s="4"/>
      <c r="Y4117" s="4"/>
      <c r="Z4117" s="4"/>
      <c r="AA4117" s="4"/>
      <c r="AB4117" s="4"/>
      <c r="AC4117" s="7"/>
      <c r="AD4117" s="4"/>
      <c r="AE4117" s="4"/>
      <c r="AF4117" s="21"/>
    </row>
    <row r="4118" spans="24:32" x14ac:dyDescent="0.25">
      <c r="X4118" s="4"/>
      <c r="Y4118" s="4"/>
      <c r="Z4118" s="4"/>
      <c r="AA4118" s="4"/>
      <c r="AB4118" s="4"/>
      <c r="AC4118" s="7"/>
      <c r="AD4118" s="4"/>
      <c r="AE4118" s="4"/>
      <c r="AF4118" s="21"/>
    </row>
    <row r="4119" spans="24:32" x14ac:dyDescent="0.25">
      <c r="X4119" s="4"/>
      <c r="Y4119" s="4"/>
      <c r="Z4119" s="4"/>
      <c r="AA4119" s="4"/>
      <c r="AB4119" s="4"/>
      <c r="AC4119" s="7"/>
      <c r="AD4119" s="4"/>
      <c r="AE4119" s="4"/>
      <c r="AF4119" s="21"/>
    </row>
    <row r="4120" spans="24:32" x14ac:dyDescent="0.25">
      <c r="X4120" s="4"/>
      <c r="Y4120" s="4"/>
      <c r="Z4120" s="4"/>
      <c r="AA4120" s="4"/>
      <c r="AB4120" s="4"/>
      <c r="AC4120" s="7"/>
      <c r="AD4120" s="4"/>
      <c r="AE4120" s="4"/>
      <c r="AF4120" s="21"/>
    </row>
    <row r="4121" spans="24:32" x14ac:dyDescent="0.25">
      <c r="X4121" s="4"/>
      <c r="Y4121" s="4"/>
      <c r="Z4121" s="4"/>
      <c r="AA4121" s="4"/>
      <c r="AB4121" s="4"/>
      <c r="AC4121" s="7"/>
      <c r="AD4121" s="4"/>
      <c r="AE4121" s="4"/>
      <c r="AF4121" s="21"/>
    </row>
    <row r="4122" spans="24:32" x14ac:dyDescent="0.25">
      <c r="X4122" s="4"/>
      <c r="Y4122" s="4"/>
      <c r="Z4122" s="4"/>
      <c r="AA4122" s="4"/>
      <c r="AB4122" s="4"/>
      <c r="AC4122" s="7"/>
      <c r="AD4122" s="4"/>
      <c r="AE4122" s="4"/>
      <c r="AF4122" s="21"/>
    </row>
    <row r="4123" spans="24:32" x14ac:dyDescent="0.25">
      <c r="X4123" s="4"/>
      <c r="Y4123" s="4"/>
      <c r="Z4123" s="4"/>
      <c r="AA4123" s="4"/>
      <c r="AB4123" s="4"/>
      <c r="AC4123" s="7"/>
      <c r="AD4123" s="4"/>
      <c r="AE4123" s="4"/>
      <c r="AF4123" s="21"/>
    </row>
    <row r="4124" spans="24:32" x14ac:dyDescent="0.25">
      <c r="X4124" s="4"/>
      <c r="Y4124" s="4"/>
      <c r="Z4124" s="4"/>
      <c r="AA4124" s="4"/>
      <c r="AB4124" s="4"/>
      <c r="AC4124" s="7"/>
      <c r="AD4124" s="4"/>
      <c r="AE4124" s="4"/>
      <c r="AF4124" s="21"/>
    </row>
    <row r="4125" spans="24:32" x14ac:dyDescent="0.25">
      <c r="X4125" s="4"/>
      <c r="Y4125" s="4"/>
      <c r="Z4125" s="4"/>
      <c r="AA4125" s="4"/>
      <c r="AB4125" s="4"/>
      <c r="AC4125" s="7"/>
      <c r="AD4125" s="4"/>
      <c r="AE4125" s="4"/>
      <c r="AF4125" s="21"/>
    </row>
    <row r="4126" spans="24:32" x14ac:dyDescent="0.25">
      <c r="X4126" s="4"/>
      <c r="Y4126" s="4"/>
      <c r="Z4126" s="4"/>
      <c r="AA4126" s="4"/>
      <c r="AB4126" s="4"/>
      <c r="AC4126" s="7"/>
      <c r="AD4126" s="4"/>
      <c r="AE4126" s="4"/>
      <c r="AF4126" s="21"/>
    </row>
    <row r="4127" spans="24:32" x14ac:dyDescent="0.25">
      <c r="X4127" s="4"/>
      <c r="Y4127" s="4"/>
      <c r="Z4127" s="4"/>
      <c r="AA4127" s="4"/>
      <c r="AB4127" s="4"/>
      <c r="AC4127" s="7"/>
      <c r="AD4127" s="4"/>
      <c r="AE4127" s="4"/>
      <c r="AF4127" s="21"/>
    </row>
    <row r="4128" spans="24:32" x14ac:dyDescent="0.25">
      <c r="X4128" s="4"/>
      <c r="Y4128" s="4"/>
      <c r="Z4128" s="4"/>
      <c r="AA4128" s="4"/>
      <c r="AB4128" s="4"/>
      <c r="AC4128" s="7"/>
      <c r="AD4128" s="4"/>
      <c r="AE4128" s="4"/>
      <c r="AF4128" s="21"/>
    </row>
    <row r="4129" spans="24:32" x14ac:dyDescent="0.25">
      <c r="X4129" s="4"/>
      <c r="Y4129" s="4"/>
      <c r="Z4129" s="4"/>
      <c r="AA4129" s="4"/>
      <c r="AB4129" s="4"/>
      <c r="AC4129" s="7"/>
      <c r="AD4129" s="4"/>
      <c r="AE4129" s="4"/>
      <c r="AF4129" s="21"/>
    </row>
    <row r="4130" spans="24:32" x14ac:dyDescent="0.25">
      <c r="X4130" s="4"/>
      <c r="Y4130" s="4"/>
      <c r="Z4130" s="4"/>
      <c r="AA4130" s="4"/>
      <c r="AB4130" s="4"/>
      <c r="AC4130" s="7"/>
      <c r="AD4130" s="4"/>
      <c r="AE4130" s="4"/>
      <c r="AF4130" s="21"/>
    </row>
    <row r="4131" spans="24:32" x14ac:dyDescent="0.25">
      <c r="X4131" s="4"/>
      <c r="Y4131" s="4"/>
      <c r="Z4131" s="4"/>
      <c r="AA4131" s="4"/>
      <c r="AB4131" s="4"/>
      <c r="AC4131" s="7"/>
      <c r="AD4131" s="4"/>
      <c r="AE4131" s="4"/>
      <c r="AF4131" s="21"/>
    </row>
    <row r="4132" spans="24:32" x14ac:dyDescent="0.25">
      <c r="X4132" s="4"/>
      <c r="Y4132" s="4"/>
      <c r="Z4132" s="4"/>
      <c r="AA4132" s="4"/>
      <c r="AB4132" s="4"/>
      <c r="AC4132" s="7"/>
      <c r="AD4132" s="4"/>
      <c r="AE4132" s="4"/>
      <c r="AF4132" s="21"/>
    </row>
    <row r="4133" spans="24:32" x14ac:dyDescent="0.25">
      <c r="X4133" s="4"/>
      <c r="Y4133" s="4"/>
      <c r="Z4133" s="4"/>
      <c r="AA4133" s="4"/>
      <c r="AB4133" s="4"/>
      <c r="AC4133" s="7"/>
      <c r="AD4133" s="4"/>
      <c r="AE4133" s="4"/>
      <c r="AF4133" s="21"/>
    </row>
    <row r="4134" spans="24:32" x14ac:dyDescent="0.25">
      <c r="X4134" s="4"/>
      <c r="Y4134" s="4"/>
      <c r="Z4134" s="4"/>
      <c r="AA4134" s="4"/>
      <c r="AB4134" s="4"/>
      <c r="AC4134" s="7"/>
      <c r="AD4134" s="4"/>
      <c r="AE4134" s="4"/>
      <c r="AF4134" s="21"/>
    </row>
    <row r="4135" spans="24:32" x14ac:dyDescent="0.25">
      <c r="X4135" s="4"/>
      <c r="Y4135" s="4"/>
      <c r="Z4135" s="4"/>
      <c r="AA4135" s="4"/>
      <c r="AB4135" s="4"/>
      <c r="AC4135" s="7"/>
      <c r="AD4135" s="4"/>
      <c r="AE4135" s="4"/>
      <c r="AF4135" s="21"/>
    </row>
    <row r="4136" spans="24:32" x14ac:dyDescent="0.25">
      <c r="X4136" s="4"/>
      <c r="Y4136" s="4"/>
      <c r="Z4136" s="4"/>
      <c r="AA4136" s="4"/>
      <c r="AB4136" s="4"/>
      <c r="AC4136" s="7"/>
      <c r="AD4136" s="4"/>
      <c r="AE4136" s="4"/>
      <c r="AF4136" s="21"/>
    </row>
    <row r="4137" spans="24:32" x14ac:dyDescent="0.25">
      <c r="X4137" s="4"/>
      <c r="Y4137" s="4"/>
      <c r="Z4137" s="4"/>
      <c r="AA4137" s="4"/>
      <c r="AB4137" s="4"/>
      <c r="AC4137" s="7"/>
      <c r="AD4137" s="4"/>
      <c r="AE4137" s="4"/>
      <c r="AF4137" s="21"/>
    </row>
    <row r="4138" spans="24:32" x14ac:dyDescent="0.25">
      <c r="X4138" s="4"/>
      <c r="Y4138" s="4"/>
      <c r="Z4138" s="4"/>
      <c r="AA4138" s="4"/>
      <c r="AB4138" s="4"/>
      <c r="AC4138" s="7"/>
      <c r="AD4138" s="4"/>
      <c r="AE4138" s="4"/>
      <c r="AF4138" s="21"/>
    </row>
    <row r="4139" spans="24:32" x14ac:dyDescent="0.25">
      <c r="X4139" s="4"/>
      <c r="Y4139" s="4"/>
      <c r="Z4139" s="4"/>
      <c r="AA4139" s="4"/>
      <c r="AB4139" s="4"/>
      <c r="AC4139" s="7"/>
      <c r="AD4139" s="4"/>
      <c r="AE4139" s="4"/>
      <c r="AF4139" s="21"/>
    </row>
    <row r="4140" spans="24:32" x14ac:dyDescent="0.25">
      <c r="X4140" s="4"/>
      <c r="Y4140" s="4"/>
      <c r="Z4140" s="4"/>
      <c r="AA4140" s="4"/>
      <c r="AB4140" s="4"/>
      <c r="AC4140" s="7"/>
      <c r="AD4140" s="4"/>
      <c r="AE4140" s="4"/>
      <c r="AF4140" s="21"/>
    </row>
    <row r="4141" spans="24:32" x14ac:dyDescent="0.25">
      <c r="X4141" s="4"/>
      <c r="Y4141" s="4"/>
      <c r="Z4141" s="4"/>
      <c r="AA4141" s="4"/>
      <c r="AB4141" s="4"/>
      <c r="AC4141" s="7"/>
      <c r="AD4141" s="4"/>
      <c r="AE4141" s="4"/>
      <c r="AF4141" s="21"/>
    </row>
    <row r="4142" spans="24:32" x14ac:dyDescent="0.25">
      <c r="X4142" s="4"/>
      <c r="Y4142" s="4"/>
      <c r="Z4142" s="4"/>
      <c r="AA4142" s="4"/>
      <c r="AB4142" s="4"/>
      <c r="AC4142" s="7"/>
      <c r="AD4142" s="4"/>
      <c r="AE4142" s="4"/>
      <c r="AF4142" s="21"/>
    </row>
    <row r="4143" spans="24:32" x14ac:dyDescent="0.25">
      <c r="X4143" s="4"/>
      <c r="Y4143" s="4"/>
      <c r="Z4143" s="4"/>
      <c r="AA4143" s="4"/>
      <c r="AB4143" s="4"/>
      <c r="AC4143" s="7"/>
      <c r="AD4143" s="4"/>
      <c r="AE4143" s="4"/>
      <c r="AF4143" s="21"/>
    </row>
    <row r="4144" spans="24:32" x14ac:dyDescent="0.25">
      <c r="X4144" s="4"/>
      <c r="Y4144" s="4"/>
      <c r="Z4144" s="4"/>
      <c r="AA4144" s="4"/>
      <c r="AB4144" s="4"/>
      <c r="AC4144" s="7"/>
      <c r="AD4144" s="4"/>
      <c r="AE4144" s="4"/>
      <c r="AF4144" s="21"/>
    </row>
    <row r="4145" spans="24:32" x14ac:dyDescent="0.25">
      <c r="X4145" s="4"/>
      <c r="Y4145" s="4"/>
      <c r="Z4145" s="4"/>
      <c r="AA4145" s="4"/>
      <c r="AB4145" s="4"/>
      <c r="AC4145" s="7"/>
      <c r="AD4145" s="4"/>
      <c r="AE4145" s="4"/>
      <c r="AF4145" s="21"/>
    </row>
    <row r="4146" spans="24:32" x14ac:dyDescent="0.25">
      <c r="X4146" s="4"/>
      <c r="Y4146" s="4"/>
      <c r="Z4146" s="4"/>
      <c r="AA4146" s="4"/>
      <c r="AB4146" s="4"/>
      <c r="AC4146" s="7"/>
      <c r="AD4146" s="4"/>
      <c r="AE4146" s="4"/>
      <c r="AF4146" s="21"/>
    </row>
    <row r="4147" spans="24:32" x14ac:dyDescent="0.25">
      <c r="X4147" s="4"/>
      <c r="Y4147" s="4"/>
      <c r="Z4147" s="4"/>
      <c r="AA4147" s="4"/>
      <c r="AB4147" s="4"/>
      <c r="AC4147" s="7"/>
      <c r="AD4147" s="4"/>
      <c r="AE4147" s="4"/>
      <c r="AF4147" s="21"/>
    </row>
    <row r="4148" spans="24:32" x14ac:dyDescent="0.25">
      <c r="X4148" s="4"/>
      <c r="Y4148" s="4"/>
      <c r="Z4148" s="4"/>
      <c r="AA4148" s="4"/>
      <c r="AB4148" s="4"/>
      <c r="AC4148" s="7"/>
      <c r="AD4148" s="4"/>
      <c r="AE4148" s="4"/>
      <c r="AF4148" s="21"/>
    </row>
    <row r="4149" spans="24:32" x14ac:dyDescent="0.25">
      <c r="X4149" s="4"/>
      <c r="Y4149" s="4"/>
      <c r="Z4149" s="4"/>
      <c r="AA4149" s="4"/>
      <c r="AB4149" s="4"/>
      <c r="AC4149" s="7"/>
      <c r="AD4149" s="4"/>
      <c r="AE4149" s="4"/>
      <c r="AF4149" s="21"/>
    </row>
    <row r="4150" spans="24:32" x14ac:dyDescent="0.25">
      <c r="X4150" s="4"/>
      <c r="Y4150" s="4"/>
      <c r="Z4150" s="4"/>
      <c r="AA4150" s="4"/>
      <c r="AB4150" s="4"/>
      <c r="AC4150" s="7"/>
      <c r="AD4150" s="4"/>
      <c r="AE4150" s="4"/>
      <c r="AF4150" s="21"/>
    </row>
    <row r="4151" spans="24:32" x14ac:dyDescent="0.25">
      <c r="X4151" s="4"/>
      <c r="Y4151" s="4"/>
      <c r="Z4151" s="4"/>
      <c r="AA4151" s="4"/>
      <c r="AB4151" s="4"/>
      <c r="AC4151" s="7"/>
      <c r="AD4151" s="4"/>
      <c r="AE4151" s="4"/>
      <c r="AF4151" s="21"/>
    </row>
    <row r="4152" spans="24:32" x14ac:dyDescent="0.25">
      <c r="X4152" s="4"/>
      <c r="Y4152" s="4"/>
      <c r="Z4152" s="4"/>
      <c r="AA4152" s="4"/>
      <c r="AB4152" s="4"/>
      <c r="AC4152" s="7"/>
      <c r="AD4152" s="4"/>
      <c r="AE4152" s="4"/>
      <c r="AF4152" s="21"/>
    </row>
    <row r="4153" spans="24:32" x14ac:dyDescent="0.25">
      <c r="X4153" s="4"/>
      <c r="Y4153" s="4"/>
      <c r="Z4153" s="4"/>
      <c r="AA4153" s="4"/>
      <c r="AB4153" s="4"/>
      <c r="AC4153" s="7"/>
      <c r="AD4153" s="4"/>
      <c r="AE4153" s="4"/>
      <c r="AF4153" s="21"/>
    </row>
    <row r="4154" spans="24:32" x14ac:dyDescent="0.25">
      <c r="X4154" s="4"/>
      <c r="Y4154" s="4"/>
      <c r="Z4154" s="4"/>
      <c r="AA4154" s="4"/>
      <c r="AB4154" s="4"/>
      <c r="AC4154" s="7"/>
      <c r="AD4154" s="4"/>
      <c r="AE4154" s="4"/>
      <c r="AF4154" s="21"/>
    </row>
    <row r="4155" spans="24:32" x14ac:dyDescent="0.25">
      <c r="X4155" s="4"/>
      <c r="Y4155" s="4"/>
      <c r="Z4155" s="4"/>
      <c r="AA4155" s="4"/>
      <c r="AB4155" s="4"/>
      <c r="AC4155" s="7"/>
      <c r="AD4155" s="4"/>
      <c r="AE4155" s="4"/>
      <c r="AF4155" s="21"/>
    </row>
    <row r="4156" spans="24:32" x14ac:dyDescent="0.25">
      <c r="X4156" s="4"/>
      <c r="Y4156" s="4"/>
      <c r="Z4156" s="4"/>
      <c r="AA4156" s="4"/>
      <c r="AB4156" s="4"/>
      <c r="AC4156" s="7"/>
      <c r="AD4156" s="4"/>
      <c r="AE4156" s="4"/>
      <c r="AF4156" s="21"/>
    </row>
    <row r="4157" spans="24:32" x14ac:dyDescent="0.25">
      <c r="X4157" s="4"/>
      <c r="Y4157" s="4"/>
      <c r="Z4157" s="4"/>
      <c r="AA4157" s="4"/>
      <c r="AB4157" s="4"/>
      <c r="AC4157" s="7"/>
      <c r="AD4157" s="4"/>
      <c r="AE4157" s="4"/>
      <c r="AF4157" s="21"/>
    </row>
    <row r="4158" spans="24:32" x14ac:dyDescent="0.25">
      <c r="X4158" s="4"/>
      <c r="Y4158" s="4"/>
      <c r="Z4158" s="4"/>
      <c r="AA4158" s="4"/>
      <c r="AB4158" s="4"/>
      <c r="AC4158" s="7"/>
      <c r="AD4158" s="4"/>
      <c r="AE4158" s="4"/>
      <c r="AF4158" s="21"/>
    </row>
    <row r="4159" spans="24:32" x14ac:dyDescent="0.25">
      <c r="X4159" s="4"/>
      <c r="Y4159" s="4"/>
      <c r="Z4159" s="4"/>
      <c r="AA4159" s="4"/>
      <c r="AB4159" s="4"/>
      <c r="AC4159" s="7"/>
      <c r="AD4159" s="4"/>
      <c r="AE4159" s="4"/>
      <c r="AF4159" s="21"/>
    </row>
    <row r="4160" spans="24:32" x14ac:dyDescent="0.25">
      <c r="X4160" s="4"/>
      <c r="Y4160" s="4"/>
      <c r="Z4160" s="4"/>
      <c r="AA4160" s="4"/>
      <c r="AB4160" s="4"/>
      <c r="AC4160" s="7"/>
      <c r="AD4160" s="4"/>
      <c r="AE4160" s="4"/>
      <c r="AF4160" s="21"/>
    </row>
    <row r="4161" spans="24:32" x14ac:dyDescent="0.25">
      <c r="X4161" s="4"/>
      <c r="Y4161" s="4"/>
      <c r="Z4161" s="4"/>
      <c r="AA4161" s="4"/>
      <c r="AB4161" s="4"/>
      <c r="AC4161" s="7"/>
      <c r="AD4161" s="4"/>
      <c r="AE4161" s="4"/>
      <c r="AF4161" s="21"/>
    </row>
    <row r="4162" spans="24:32" x14ac:dyDescent="0.25">
      <c r="X4162" s="4"/>
      <c r="Y4162" s="4"/>
      <c r="Z4162" s="4"/>
      <c r="AA4162" s="4"/>
      <c r="AB4162" s="4"/>
      <c r="AC4162" s="7"/>
      <c r="AD4162" s="4"/>
      <c r="AE4162" s="4"/>
      <c r="AF4162" s="21"/>
    </row>
    <row r="4163" spans="24:32" x14ac:dyDescent="0.25">
      <c r="X4163" s="4"/>
      <c r="Y4163" s="4"/>
      <c r="Z4163" s="4"/>
      <c r="AA4163" s="4"/>
      <c r="AB4163" s="4"/>
      <c r="AC4163" s="7"/>
      <c r="AD4163" s="4"/>
      <c r="AE4163" s="4"/>
      <c r="AF4163" s="21"/>
    </row>
    <row r="4164" spans="24:32" x14ac:dyDescent="0.25">
      <c r="X4164" s="4"/>
      <c r="Y4164" s="4"/>
      <c r="Z4164" s="4"/>
      <c r="AA4164" s="4"/>
      <c r="AB4164" s="4"/>
      <c r="AC4164" s="7"/>
      <c r="AD4164" s="4"/>
      <c r="AE4164" s="4"/>
      <c r="AF4164" s="21"/>
    </row>
    <row r="4165" spans="24:32" x14ac:dyDescent="0.25">
      <c r="X4165" s="4"/>
      <c r="Y4165" s="4"/>
      <c r="Z4165" s="4"/>
      <c r="AA4165" s="4"/>
      <c r="AB4165" s="4"/>
      <c r="AC4165" s="7"/>
      <c r="AD4165" s="4"/>
      <c r="AE4165" s="4"/>
      <c r="AF4165" s="21"/>
    </row>
    <row r="4166" spans="24:32" x14ac:dyDescent="0.25">
      <c r="X4166" s="4"/>
      <c r="Y4166" s="4"/>
      <c r="Z4166" s="4"/>
      <c r="AA4166" s="4"/>
      <c r="AB4166" s="4"/>
      <c r="AC4166" s="7"/>
      <c r="AD4166" s="4"/>
      <c r="AE4166" s="4"/>
      <c r="AF4166" s="21"/>
    </row>
    <row r="4167" spans="24:32" x14ac:dyDescent="0.25">
      <c r="X4167" s="4"/>
      <c r="Y4167" s="4"/>
      <c r="Z4167" s="4"/>
      <c r="AA4167" s="4"/>
      <c r="AB4167" s="4"/>
      <c r="AC4167" s="7"/>
      <c r="AD4167" s="4"/>
      <c r="AE4167" s="4"/>
      <c r="AF4167" s="21"/>
    </row>
    <row r="4168" spans="24:32" x14ac:dyDescent="0.25">
      <c r="X4168" s="4"/>
      <c r="Y4168" s="4"/>
      <c r="Z4168" s="4"/>
      <c r="AA4168" s="4"/>
      <c r="AB4168" s="4"/>
      <c r="AC4168" s="7"/>
      <c r="AD4168" s="4"/>
      <c r="AE4168" s="4"/>
      <c r="AF4168" s="21"/>
    </row>
    <row r="4169" spans="24:32" x14ac:dyDescent="0.25">
      <c r="X4169" s="4"/>
      <c r="Y4169" s="4"/>
      <c r="Z4169" s="4"/>
      <c r="AA4169" s="4"/>
      <c r="AB4169" s="4"/>
      <c r="AC4169" s="7"/>
      <c r="AD4169" s="4"/>
      <c r="AE4169" s="4"/>
      <c r="AF4169" s="21"/>
    </row>
    <row r="4170" spans="24:32" x14ac:dyDescent="0.25">
      <c r="X4170" s="4"/>
      <c r="Y4170" s="4"/>
      <c r="Z4170" s="4"/>
      <c r="AA4170" s="4"/>
      <c r="AB4170" s="4"/>
      <c r="AC4170" s="7"/>
      <c r="AD4170" s="4"/>
      <c r="AE4170" s="4"/>
      <c r="AF4170" s="21"/>
    </row>
    <row r="4171" spans="24:32" x14ac:dyDescent="0.25">
      <c r="X4171" s="4"/>
      <c r="Y4171" s="4"/>
      <c r="Z4171" s="4"/>
      <c r="AA4171" s="4"/>
      <c r="AB4171" s="4"/>
      <c r="AC4171" s="7"/>
      <c r="AD4171" s="4"/>
      <c r="AE4171" s="4"/>
      <c r="AF4171" s="21"/>
    </row>
    <row r="4172" spans="24:32" x14ac:dyDescent="0.25">
      <c r="X4172" s="4"/>
      <c r="Y4172" s="4"/>
      <c r="Z4172" s="4"/>
      <c r="AA4172" s="4"/>
      <c r="AB4172" s="4"/>
      <c r="AC4172" s="7"/>
      <c r="AD4172" s="4"/>
      <c r="AE4172" s="4"/>
      <c r="AF4172" s="21"/>
    </row>
    <row r="4173" spans="24:32" x14ac:dyDescent="0.25">
      <c r="X4173" s="4"/>
      <c r="Y4173" s="4"/>
      <c r="Z4173" s="4"/>
      <c r="AA4173" s="4"/>
      <c r="AB4173" s="4"/>
      <c r="AC4173" s="7"/>
      <c r="AD4173" s="4"/>
      <c r="AE4173" s="4"/>
      <c r="AF4173" s="21"/>
    </row>
    <row r="4174" spans="24:32" x14ac:dyDescent="0.25">
      <c r="X4174" s="4"/>
      <c r="Y4174" s="4"/>
      <c r="Z4174" s="4"/>
      <c r="AA4174" s="4"/>
      <c r="AB4174" s="4"/>
      <c r="AC4174" s="7"/>
      <c r="AD4174" s="4"/>
      <c r="AE4174" s="4"/>
      <c r="AF4174" s="21"/>
    </row>
    <row r="4175" spans="24:32" x14ac:dyDescent="0.25">
      <c r="X4175" s="4"/>
      <c r="Y4175" s="4"/>
      <c r="Z4175" s="4"/>
      <c r="AA4175" s="4"/>
      <c r="AB4175" s="4"/>
      <c r="AC4175" s="7"/>
      <c r="AD4175" s="4"/>
      <c r="AE4175" s="4"/>
      <c r="AF4175" s="21"/>
    </row>
    <row r="4176" spans="24:32" x14ac:dyDescent="0.25">
      <c r="X4176" s="4"/>
      <c r="Y4176" s="4"/>
      <c r="Z4176" s="4"/>
      <c r="AA4176" s="4"/>
      <c r="AB4176" s="4"/>
      <c r="AC4176" s="7"/>
      <c r="AD4176" s="4"/>
      <c r="AE4176" s="4"/>
      <c r="AF4176" s="21"/>
    </row>
    <row r="4177" spans="24:32" x14ac:dyDescent="0.25">
      <c r="X4177" s="4"/>
      <c r="Y4177" s="4"/>
      <c r="Z4177" s="4"/>
      <c r="AA4177" s="4"/>
      <c r="AB4177" s="4"/>
      <c r="AC4177" s="7"/>
      <c r="AD4177" s="4"/>
      <c r="AE4177" s="4"/>
      <c r="AF4177" s="21"/>
    </row>
    <row r="4178" spans="24:32" x14ac:dyDescent="0.25">
      <c r="X4178" s="4"/>
      <c r="Y4178" s="4"/>
      <c r="Z4178" s="4"/>
      <c r="AA4178" s="4"/>
      <c r="AB4178" s="4"/>
      <c r="AC4178" s="7"/>
      <c r="AD4178" s="4"/>
      <c r="AE4178" s="4"/>
      <c r="AF4178" s="21"/>
    </row>
    <row r="4179" spans="24:32" x14ac:dyDescent="0.25">
      <c r="X4179" s="4"/>
      <c r="Y4179" s="4"/>
      <c r="Z4179" s="4"/>
      <c r="AA4179" s="4"/>
      <c r="AB4179" s="4"/>
      <c r="AC4179" s="7"/>
      <c r="AD4179" s="4"/>
      <c r="AE4179" s="4"/>
      <c r="AF4179" s="21"/>
    </row>
    <row r="4180" spans="24:32" x14ac:dyDescent="0.25">
      <c r="X4180" s="4"/>
      <c r="Y4180" s="4"/>
      <c r="Z4180" s="4"/>
      <c r="AA4180" s="4"/>
      <c r="AB4180" s="4"/>
      <c r="AC4180" s="7"/>
      <c r="AD4180" s="4"/>
      <c r="AE4180" s="4"/>
      <c r="AF4180" s="21"/>
    </row>
    <row r="4181" spans="24:32" x14ac:dyDescent="0.25">
      <c r="X4181" s="4"/>
      <c r="Y4181" s="4"/>
      <c r="Z4181" s="4"/>
      <c r="AA4181" s="4"/>
      <c r="AB4181" s="4"/>
      <c r="AC4181" s="7"/>
      <c r="AD4181" s="4"/>
      <c r="AE4181" s="4"/>
      <c r="AF4181" s="21"/>
    </row>
    <row r="4182" spans="24:32" x14ac:dyDescent="0.25">
      <c r="X4182" s="4"/>
      <c r="Y4182" s="4"/>
      <c r="Z4182" s="4"/>
      <c r="AA4182" s="4"/>
      <c r="AB4182" s="4"/>
      <c r="AC4182" s="7"/>
      <c r="AD4182" s="4"/>
      <c r="AE4182" s="4"/>
      <c r="AF4182" s="21"/>
    </row>
    <row r="4183" spans="24:32" x14ac:dyDescent="0.25">
      <c r="X4183" s="4"/>
      <c r="Y4183" s="4"/>
      <c r="Z4183" s="4"/>
      <c r="AA4183" s="4"/>
      <c r="AB4183" s="4"/>
      <c r="AC4183" s="7"/>
      <c r="AD4183" s="4"/>
      <c r="AE4183" s="4"/>
      <c r="AF4183" s="21"/>
    </row>
    <row r="4184" spans="24:32" x14ac:dyDescent="0.25">
      <c r="X4184" s="4"/>
      <c r="Y4184" s="4"/>
      <c r="Z4184" s="4"/>
      <c r="AA4184" s="4"/>
      <c r="AB4184" s="4"/>
      <c r="AC4184" s="7"/>
      <c r="AD4184" s="4"/>
      <c r="AE4184" s="4"/>
      <c r="AF4184" s="21"/>
    </row>
    <row r="4185" spans="24:32" x14ac:dyDescent="0.25">
      <c r="X4185" s="4"/>
      <c r="Y4185" s="4"/>
      <c r="Z4185" s="4"/>
      <c r="AA4185" s="4"/>
      <c r="AB4185" s="4"/>
      <c r="AC4185" s="7"/>
      <c r="AD4185" s="4"/>
      <c r="AE4185" s="4"/>
      <c r="AF4185" s="21"/>
    </row>
    <row r="4186" spans="24:32" x14ac:dyDescent="0.25">
      <c r="X4186" s="4"/>
      <c r="Y4186" s="4"/>
      <c r="Z4186" s="4"/>
      <c r="AA4186" s="4"/>
      <c r="AB4186" s="4"/>
      <c r="AC4186" s="7"/>
      <c r="AD4186" s="4"/>
      <c r="AE4186" s="4"/>
      <c r="AF4186" s="21"/>
    </row>
    <row r="4187" spans="24:32" x14ac:dyDescent="0.25">
      <c r="X4187" s="4"/>
      <c r="Y4187" s="4"/>
      <c r="Z4187" s="4"/>
      <c r="AA4187" s="4"/>
      <c r="AB4187" s="4"/>
      <c r="AC4187" s="7"/>
      <c r="AD4187" s="4"/>
      <c r="AE4187" s="4"/>
      <c r="AF4187" s="21"/>
    </row>
    <row r="4188" spans="24:32" x14ac:dyDescent="0.25">
      <c r="X4188" s="4"/>
      <c r="Y4188" s="4"/>
      <c r="Z4188" s="4"/>
      <c r="AA4188" s="4"/>
      <c r="AB4188" s="4"/>
      <c r="AC4188" s="7"/>
      <c r="AD4188" s="4"/>
      <c r="AE4188" s="4"/>
      <c r="AF4188" s="21"/>
    </row>
    <row r="4189" spans="24:32" x14ac:dyDescent="0.25">
      <c r="X4189" s="4"/>
      <c r="Y4189" s="4"/>
      <c r="Z4189" s="4"/>
      <c r="AA4189" s="4"/>
      <c r="AB4189" s="4"/>
      <c r="AC4189" s="7"/>
      <c r="AD4189" s="4"/>
      <c r="AE4189" s="4"/>
      <c r="AF4189" s="21"/>
    </row>
    <row r="4190" spans="24:32" x14ac:dyDescent="0.25">
      <c r="X4190" s="4"/>
      <c r="Y4190" s="4"/>
      <c r="Z4190" s="4"/>
      <c r="AA4190" s="4"/>
      <c r="AB4190" s="4"/>
      <c r="AC4190" s="7"/>
      <c r="AD4190" s="4"/>
      <c r="AE4190" s="4"/>
      <c r="AF4190" s="21"/>
    </row>
    <row r="4191" spans="24:32" x14ac:dyDescent="0.25">
      <c r="X4191" s="4"/>
      <c r="Y4191" s="4"/>
      <c r="Z4191" s="4"/>
      <c r="AA4191" s="4"/>
      <c r="AB4191" s="4"/>
      <c r="AC4191" s="7"/>
      <c r="AD4191" s="4"/>
      <c r="AE4191" s="4"/>
      <c r="AF4191" s="21"/>
    </row>
    <row r="4192" spans="24:32" x14ac:dyDescent="0.25">
      <c r="X4192" s="4"/>
      <c r="Y4192" s="4"/>
      <c r="Z4192" s="4"/>
      <c r="AA4192" s="4"/>
      <c r="AB4192" s="4"/>
      <c r="AC4192" s="7"/>
      <c r="AD4192" s="4"/>
      <c r="AE4192" s="4"/>
      <c r="AF4192" s="21"/>
    </row>
    <row r="4193" spans="24:32" x14ac:dyDescent="0.25">
      <c r="X4193" s="4"/>
      <c r="Y4193" s="4"/>
      <c r="Z4193" s="4"/>
      <c r="AA4193" s="4"/>
      <c r="AB4193" s="4"/>
      <c r="AC4193" s="7"/>
      <c r="AD4193" s="4"/>
      <c r="AE4193" s="4"/>
      <c r="AF4193" s="21"/>
    </row>
    <row r="4194" spans="24:32" x14ac:dyDescent="0.25">
      <c r="X4194" s="4"/>
      <c r="Y4194" s="4"/>
      <c r="Z4194" s="4"/>
      <c r="AA4194" s="4"/>
      <c r="AB4194" s="4"/>
      <c r="AC4194" s="7"/>
      <c r="AD4194" s="4"/>
      <c r="AE4194" s="4"/>
      <c r="AF4194" s="21"/>
    </row>
    <row r="4195" spans="24:32" x14ac:dyDescent="0.25">
      <c r="X4195" s="4"/>
      <c r="Y4195" s="4"/>
      <c r="Z4195" s="4"/>
      <c r="AA4195" s="4"/>
      <c r="AB4195" s="4"/>
      <c r="AC4195" s="7"/>
      <c r="AD4195" s="4"/>
      <c r="AE4195" s="4"/>
      <c r="AF4195" s="21"/>
    </row>
    <row r="4196" spans="24:32" x14ac:dyDescent="0.25">
      <c r="X4196" s="4"/>
      <c r="Y4196" s="4"/>
      <c r="Z4196" s="4"/>
      <c r="AA4196" s="4"/>
      <c r="AB4196" s="4"/>
      <c r="AC4196" s="7"/>
      <c r="AD4196" s="4"/>
      <c r="AE4196" s="4"/>
      <c r="AF4196" s="21"/>
    </row>
    <row r="4197" spans="24:32" x14ac:dyDescent="0.25">
      <c r="X4197" s="4"/>
      <c r="Y4197" s="4"/>
      <c r="Z4197" s="4"/>
      <c r="AA4197" s="4"/>
      <c r="AB4197" s="4"/>
      <c r="AC4197" s="7"/>
      <c r="AD4197" s="4"/>
      <c r="AE4197" s="4"/>
      <c r="AF4197" s="21"/>
    </row>
    <row r="4198" spans="24:32" x14ac:dyDescent="0.25">
      <c r="X4198" s="4"/>
      <c r="Y4198" s="4"/>
      <c r="Z4198" s="4"/>
      <c r="AA4198" s="4"/>
      <c r="AB4198" s="4"/>
      <c r="AC4198" s="7"/>
      <c r="AD4198" s="4"/>
      <c r="AE4198" s="4"/>
      <c r="AF4198" s="21"/>
    </row>
    <row r="4199" spans="24:32" x14ac:dyDescent="0.25">
      <c r="X4199" s="4"/>
      <c r="Y4199" s="4"/>
      <c r="Z4199" s="4"/>
      <c r="AA4199" s="4"/>
      <c r="AB4199" s="4"/>
      <c r="AC4199" s="7"/>
      <c r="AD4199" s="4"/>
      <c r="AE4199" s="4"/>
      <c r="AF4199" s="21"/>
    </row>
    <row r="4200" spans="24:32" x14ac:dyDescent="0.25">
      <c r="X4200" s="4"/>
      <c r="Y4200" s="4"/>
      <c r="Z4200" s="4"/>
      <c r="AA4200" s="4"/>
      <c r="AB4200" s="4"/>
      <c r="AC4200" s="7"/>
      <c r="AD4200" s="4"/>
      <c r="AE4200" s="4"/>
      <c r="AF4200" s="21"/>
    </row>
    <row r="4201" spans="24:32" x14ac:dyDescent="0.25">
      <c r="X4201" s="4"/>
      <c r="Y4201" s="4"/>
      <c r="Z4201" s="4"/>
      <c r="AA4201" s="4"/>
      <c r="AB4201" s="4"/>
      <c r="AC4201" s="7"/>
      <c r="AD4201" s="4"/>
      <c r="AE4201" s="4"/>
      <c r="AF4201" s="21"/>
    </row>
    <row r="4202" spans="24:32" x14ac:dyDescent="0.25">
      <c r="X4202" s="4"/>
      <c r="Y4202" s="4"/>
      <c r="Z4202" s="4"/>
      <c r="AA4202" s="4"/>
      <c r="AB4202" s="4"/>
      <c r="AC4202" s="7"/>
      <c r="AD4202" s="4"/>
      <c r="AE4202" s="4"/>
      <c r="AF4202" s="21"/>
    </row>
    <row r="4203" spans="24:32" x14ac:dyDescent="0.25">
      <c r="X4203" s="4"/>
      <c r="Y4203" s="4"/>
      <c r="Z4203" s="4"/>
      <c r="AA4203" s="4"/>
      <c r="AB4203" s="4"/>
      <c r="AC4203" s="7"/>
      <c r="AD4203" s="4"/>
      <c r="AE4203" s="4"/>
      <c r="AF4203" s="21"/>
    </row>
    <row r="4204" spans="24:32" x14ac:dyDescent="0.25">
      <c r="X4204" s="4"/>
      <c r="Y4204" s="4"/>
      <c r="Z4204" s="4"/>
      <c r="AA4204" s="4"/>
      <c r="AB4204" s="4"/>
      <c r="AC4204" s="7"/>
      <c r="AD4204" s="4"/>
      <c r="AE4204" s="4"/>
      <c r="AF4204" s="21"/>
    </row>
    <row r="4205" spans="24:32" x14ac:dyDescent="0.25">
      <c r="X4205" s="4"/>
      <c r="Y4205" s="4"/>
      <c r="Z4205" s="4"/>
      <c r="AA4205" s="4"/>
      <c r="AB4205" s="4"/>
      <c r="AC4205" s="7"/>
      <c r="AD4205" s="4"/>
      <c r="AE4205" s="4"/>
      <c r="AF4205" s="21"/>
    </row>
    <row r="4206" spans="24:32" x14ac:dyDescent="0.25">
      <c r="X4206" s="4"/>
      <c r="Y4206" s="4"/>
      <c r="Z4206" s="4"/>
      <c r="AA4206" s="4"/>
      <c r="AB4206" s="4"/>
      <c r="AC4206" s="7"/>
      <c r="AD4206" s="4"/>
      <c r="AE4206" s="4"/>
      <c r="AF4206" s="21"/>
    </row>
    <row r="4207" spans="24:32" x14ac:dyDescent="0.25">
      <c r="X4207" s="4"/>
      <c r="Y4207" s="4"/>
      <c r="Z4207" s="4"/>
      <c r="AA4207" s="4"/>
      <c r="AB4207" s="4"/>
      <c r="AC4207" s="7"/>
      <c r="AD4207" s="4"/>
      <c r="AE4207" s="4"/>
      <c r="AF4207" s="21"/>
    </row>
    <row r="4208" spans="24:32" x14ac:dyDescent="0.25">
      <c r="X4208" s="4"/>
      <c r="Y4208" s="4"/>
      <c r="Z4208" s="4"/>
      <c r="AA4208" s="4"/>
      <c r="AB4208" s="4"/>
      <c r="AC4208" s="7"/>
      <c r="AD4208" s="4"/>
      <c r="AE4208" s="4"/>
      <c r="AF4208" s="21"/>
    </row>
    <row r="4209" spans="24:32" x14ac:dyDescent="0.25">
      <c r="X4209" s="4"/>
      <c r="Y4209" s="4"/>
      <c r="Z4209" s="4"/>
      <c r="AA4209" s="4"/>
      <c r="AB4209" s="4"/>
      <c r="AC4209" s="7"/>
      <c r="AD4209" s="4"/>
      <c r="AE4209" s="4"/>
      <c r="AF4209" s="21"/>
    </row>
    <row r="4210" spans="24:32" x14ac:dyDescent="0.25">
      <c r="X4210" s="4"/>
      <c r="Y4210" s="4"/>
      <c r="Z4210" s="4"/>
      <c r="AA4210" s="4"/>
      <c r="AB4210" s="4"/>
      <c r="AC4210" s="7"/>
      <c r="AD4210" s="4"/>
      <c r="AE4210" s="4"/>
      <c r="AF4210" s="21"/>
    </row>
    <row r="4211" spans="24:32" x14ac:dyDescent="0.25">
      <c r="X4211" s="4"/>
      <c r="Y4211" s="4"/>
      <c r="Z4211" s="4"/>
      <c r="AA4211" s="4"/>
      <c r="AB4211" s="4"/>
      <c r="AC4211" s="7"/>
      <c r="AD4211" s="4"/>
      <c r="AE4211" s="4"/>
      <c r="AF4211" s="21"/>
    </row>
    <row r="4212" spans="24:32" x14ac:dyDescent="0.25">
      <c r="X4212" s="4"/>
      <c r="Y4212" s="4"/>
      <c r="Z4212" s="4"/>
      <c r="AA4212" s="4"/>
      <c r="AB4212" s="4"/>
      <c r="AC4212" s="7"/>
      <c r="AD4212" s="4"/>
      <c r="AE4212" s="4"/>
      <c r="AF4212" s="21"/>
    </row>
    <row r="4213" spans="24:32" x14ac:dyDescent="0.25">
      <c r="X4213" s="4"/>
      <c r="Y4213" s="4"/>
      <c r="Z4213" s="4"/>
      <c r="AA4213" s="4"/>
      <c r="AB4213" s="4"/>
      <c r="AC4213" s="7"/>
      <c r="AD4213" s="4"/>
      <c r="AE4213" s="4"/>
      <c r="AF4213" s="21"/>
    </row>
    <row r="4214" spans="24:32" x14ac:dyDescent="0.25">
      <c r="X4214" s="4"/>
      <c r="Y4214" s="4"/>
      <c r="Z4214" s="4"/>
      <c r="AA4214" s="4"/>
      <c r="AB4214" s="4"/>
      <c r="AC4214" s="7"/>
      <c r="AD4214" s="4"/>
      <c r="AE4214" s="4"/>
      <c r="AF4214" s="21"/>
    </row>
    <row r="4215" spans="24:32" x14ac:dyDescent="0.25">
      <c r="X4215" s="4"/>
      <c r="Y4215" s="4"/>
      <c r="Z4215" s="4"/>
      <c r="AA4215" s="4"/>
      <c r="AB4215" s="4"/>
      <c r="AC4215" s="7"/>
      <c r="AD4215" s="4"/>
      <c r="AE4215" s="4"/>
      <c r="AF4215" s="21"/>
    </row>
    <row r="4216" spans="24:32" x14ac:dyDescent="0.25">
      <c r="X4216" s="4"/>
      <c r="Y4216" s="4"/>
      <c r="Z4216" s="4"/>
      <c r="AA4216" s="4"/>
      <c r="AB4216" s="4"/>
      <c r="AC4216" s="7"/>
      <c r="AD4216" s="4"/>
      <c r="AE4216" s="4"/>
      <c r="AF4216" s="21"/>
    </row>
    <row r="4217" spans="24:32" x14ac:dyDescent="0.25">
      <c r="X4217" s="4"/>
      <c r="Y4217" s="4"/>
      <c r="Z4217" s="4"/>
      <c r="AA4217" s="4"/>
      <c r="AB4217" s="4"/>
      <c r="AC4217" s="7"/>
      <c r="AD4217" s="4"/>
      <c r="AE4217" s="4"/>
      <c r="AF4217" s="21"/>
    </row>
    <row r="4218" spans="24:32" x14ac:dyDescent="0.25">
      <c r="X4218" s="4"/>
      <c r="Y4218" s="4"/>
      <c r="Z4218" s="4"/>
      <c r="AA4218" s="4"/>
      <c r="AB4218" s="4"/>
      <c r="AC4218" s="7"/>
      <c r="AD4218" s="4"/>
      <c r="AE4218" s="4"/>
      <c r="AF4218" s="21"/>
    </row>
    <row r="4219" spans="24:32" x14ac:dyDescent="0.25">
      <c r="X4219" s="4"/>
      <c r="Y4219" s="4"/>
      <c r="Z4219" s="4"/>
      <c r="AA4219" s="4"/>
      <c r="AB4219" s="4"/>
      <c r="AC4219" s="7"/>
      <c r="AD4219" s="4"/>
      <c r="AE4219" s="4"/>
      <c r="AF4219" s="21"/>
    </row>
    <row r="4220" spans="24:32" x14ac:dyDescent="0.25">
      <c r="X4220" s="4"/>
      <c r="Y4220" s="4"/>
      <c r="Z4220" s="4"/>
      <c r="AA4220" s="4"/>
      <c r="AB4220" s="4"/>
      <c r="AC4220" s="7"/>
      <c r="AD4220" s="4"/>
      <c r="AE4220" s="4"/>
      <c r="AF4220" s="21"/>
    </row>
    <row r="4221" spans="24:32" x14ac:dyDescent="0.25">
      <c r="X4221" s="4"/>
      <c r="Y4221" s="4"/>
      <c r="Z4221" s="4"/>
      <c r="AA4221" s="4"/>
      <c r="AB4221" s="4"/>
      <c r="AC4221" s="7"/>
      <c r="AD4221" s="4"/>
      <c r="AE4221" s="4"/>
      <c r="AF4221" s="21"/>
    </row>
    <row r="4222" spans="24:32" x14ac:dyDescent="0.25">
      <c r="X4222" s="4"/>
      <c r="Y4222" s="4"/>
      <c r="Z4222" s="4"/>
      <c r="AA4222" s="4"/>
      <c r="AB4222" s="4"/>
      <c r="AC4222" s="7"/>
      <c r="AD4222" s="4"/>
      <c r="AE4222" s="4"/>
      <c r="AF4222" s="21"/>
    </row>
    <row r="4223" spans="24:32" x14ac:dyDescent="0.25">
      <c r="X4223" s="4"/>
      <c r="Y4223" s="4"/>
      <c r="Z4223" s="4"/>
      <c r="AA4223" s="4"/>
      <c r="AB4223" s="4"/>
      <c r="AC4223" s="7"/>
      <c r="AD4223" s="4"/>
      <c r="AE4223" s="4"/>
      <c r="AF4223" s="21"/>
    </row>
    <row r="4224" spans="24:32" x14ac:dyDescent="0.25">
      <c r="X4224" s="4"/>
      <c r="Y4224" s="4"/>
      <c r="Z4224" s="4"/>
      <c r="AA4224" s="4"/>
      <c r="AB4224" s="4"/>
      <c r="AC4224" s="7"/>
      <c r="AD4224" s="4"/>
      <c r="AE4224" s="4"/>
      <c r="AF4224" s="21"/>
    </row>
    <row r="4225" spans="24:32" x14ac:dyDescent="0.25">
      <c r="X4225" s="4"/>
      <c r="Y4225" s="4"/>
      <c r="Z4225" s="4"/>
      <c r="AA4225" s="4"/>
      <c r="AB4225" s="4"/>
      <c r="AC4225" s="7"/>
      <c r="AD4225" s="4"/>
      <c r="AE4225" s="4"/>
      <c r="AF4225" s="21"/>
    </row>
    <row r="4226" spans="24:32" x14ac:dyDescent="0.25">
      <c r="X4226" s="4"/>
      <c r="Y4226" s="4"/>
      <c r="Z4226" s="4"/>
      <c r="AA4226" s="4"/>
      <c r="AB4226" s="4"/>
      <c r="AC4226" s="7"/>
      <c r="AD4226" s="4"/>
      <c r="AE4226" s="4"/>
      <c r="AF4226" s="21"/>
    </row>
    <row r="4227" spans="24:32" x14ac:dyDescent="0.25">
      <c r="X4227" s="4"/>
      <c r="Y4227" s="4"/>
      <c r="Z4227" s="4"/>
      <c r="AA4227" s="4"/>
      <c r="AB4227" s="4"/>
      <c r="AC4227" s="7"/>
      <c r="AD4227" s="4"/>
      <c r="AE4227" s="4"/>
      <c r="AF4227" s="21"/>
    </row>
    <row r="4228" spans="24:32" x14ac:dyDescent="0.25">
      <c r="X4228" s="4"/>
      <c r="Y4228" s="4"/>
      <c r="Z4228" s="4"/>
      <c r="AA4228" s="4"/>
      <c r="AB4228" s="4"/>
      <c r="AC4228" s="7"/>
      <c r="AD4228" s="4"/>
      <c r="AE4228" s="4"/>
      <c r="AF4228" s="21"/>
    </row>
    <row r="4229" spans="24:32" x14ac:dyDescent="0.25">
      <c r="X4229" s="4"/>
      <c r="Y4229" s="4"/>
      <c r="Z4229" s="4"/>
      <c r="AA4229" s="4"/>
      <c r="AB4229" s="4"/>
      <c r="AC4229" s="7"/>
      <c r="AD4229" s="4"/>
      <c r="AE4229" s="4"/>
      <c r="AF4229" s="21"/>
    </row>
    <row r="4230" spans="24:32" x14ac:dyDescent="0.25">
      <c r="X4230" s="4"/>
      <c r="Y4230" s="4"/>
      <c r="Z4230" s="4"/>
      <c r="AA4230" s="4"/>
      <c r="AB4230" s="4"/>
      <c r="AC4230" s="7"/>
      <c r="AD4230" s="4"/>
      <c r="AE4230" s="4"/>
      <c r="AF4230" s="21"/>
    </row>
    <row r="4231" spans="24:32" x14ac:dyDescent="0.25">
      <c r="X4231" s="4"/>
      <c r="Y4231" s="4"/>
      <c r="Z4231" s="4"/>
      <c r="AA4231" s="4"/>
      <c r="AB4231" s="4"/>
      <c r="AC4231" s="7"/>
      <c r="AD4231" s="4"/>
      <c r="AE4231" s="4"/>
      <c r="AF4231" s="21"/>
    </row>
    <row r="4232" spans="24:32" x14ac:dyDescent="0.25">
      <c r="X4232" s="4"/>
      <c r="Y4232" s="4"/>
      <c r="Z4232" s="4"/>
      <c r="AA4232" s="4"/>
      <c r="AB4232" s="4"/>
      <c r="AC4232" s="7"/>
      <c r="AD4232" s="4"/>
      <c r="AE4232" s="4"/>
      <c r="AF4232" s="21"/>
    </row>
    <row r="4233" spans="24:32" x14ac:dyDescent="0.25">
      <c r="X4233" s="4"/>
      <c r="Y4233" s="4"/>
      <c r="Z4233" s="4"/>
      <c r="AA4233" s="4"/>
      <c r="AB4233" s="4"/>
      <c r="AC4233" s="7"/>
      <c r="AD4233" s="4"/>
      <c r="AE4233" s="4"/>
      <c r="AF4233" s="21"/>
    </row>
    <row r="4234" spans="24:32" x14ac:dyDescent="0.25">
      <c r="X4234" s="4"/>
      <c r="Y4234" s="4"/>
      <c r="Z4234" s="4"/>
      <c r="AA4234" s="4"/>
      <c r="AB4234" s="4"/>
      <c r="AC4234" s="7"/>
      <c r="AD4234" s="4"/>
      <c r="AE4234" s="4"/>
      <c r="AF4234" s="21"/>
    </row>
    <row r="4235" spans="24:32" x14ac:dyDescent="0.25">
      <c r="X4235" s="4"/>
      <c r="Y4235" s="4"/>
      <c r="Z4235" s="4"/>
      <c r="AA4235" s="4"/>
      <c r="AB4235" s="4"/>
      <c r="AC4235" s="7"/>
      <c r="AD4235" s="4"/>
      <c r="AE4235" s="4"/>
      <c r="AF4235" s="21"/>
    </row>
    <row r="4236" spans="24:32" x14ac:dyDescent="0.25">
      <c r="X4236" s="4"/>
      <c r="Y4236" s="4"/>
      <c r="Z4236" s="4"/>
      <c r="AA4236" s="4"/>
      <c r="AB4236" s="4"/>
      <c r="AC4236" s="7"/>
      <c r="AD4236" s="4"/>
      <c r="AE4236" s="4"/>
      <c r="AF4236" s="21"/>
    </row>
    <row r="4237" spans="24:32" x14ac:dyDescent="0.25">
      <c r="X4237" s="4"/>
      <c r="Y4237" s="4"/>
      <c r="Z4237" s="4"/>
      <c r="AA4237" s="4"/>
      <c r="AB4237" s="4"/>
      <c r="AC4237" s="7"/>
      <c r="AD4237" s="4"/>
      <c r="AE4237" s="4"/>
      <c r="AF4237" s="21"/>
    </row>
    <row r="4238" spans="24:32" x14ac:dyDescent="0.25">
      <c r="X4238" s="4"/>
      <c r="Y4238" s="4"/>
      <c r="Z4238" s="4"/>
      <c r="AA4238" s="4"/>
      <c r="AB4238" s="4"/>
      <c r="AC4238" s="7"/>
      <c r="AD4238" s="4"/>
      <c r="AE4238" s="4"/>
      <c r="AF4238" s="21"/>
    </row>
    <row r="4239" spans="24:32" x14ac:dyDescent="0.25">
      <c r="X4239" s="4"/>
      <c r="Y4239" s="4"/>
      <c r="Z4239" s="4"/>
      <c r="AA4239" s="4"/>
      <c r="AB4239" s="4"/>
      <c r="AC4239" s="7"/>
      <c r="AD4239" s="4"/>
      <c r="AE4239" s="4"/>
      <c r="AF4239" s="21"/>
    </row>
    <row r="4240" spans="24:32" x14ac:dyDescent="0.25">
      <c r="X4240" s="4"/>
      <c r="Y4240" s="4"/>
      <c r="Z4240" s="4"/>
      <c r="AA4240" s="4"/>
      <c r="AB4240" s="4"/>
      <c r="AC4240" s="7"/>
      <c r="AD4240" s="4"/>
      <c r="AE4240" s="4"/>
      <c r="AF4240" s="21"/>
    </row>
    <row r="4241" spans="24:32" x14ac:dyDescent="0.25">
      <c r="X4241" s="4"/>
      <c r="Y4241" s="4"/>
      <c r="Z4241" s="4"/>
      <c r="AA4241" s="4"/>
      <c r="AB4241" s="4"/>
      <c r="AC4241" s="7"/>
      <c r="AD4241" s="4"/>
      <c r="AE4241" s="4"/>
      <c r="AF4241" s="21"/>
    </row>
    <row r="4242" spans="24:32" x14ac:dyDescent="0.25">
      <c r="X4242" s="4"/>
      <c r="Y4242" s="4"/>
      <c r="Z4242" s="4"/>
      <c r="AA4242" s="4"/>
      <c r="AB4242" s="4"/>
      <c r="AC4242" s="7"/>
      <c r="AD4242" s="4"/>
      <c r="AE4242" s="4"/>
      <c r="AF4242" s="21"/>
    </row>
    <row r="4243" spans="24:32" x14ac:dyDescent="0.25">
      <c r="X4243" s="4"/>
      <c r="Y4243" s="4"/>
      <c r="Z4243" s="4"/>
      <c r="AA4243" s="4"/>
      <c r="AB4243" s="4"/>
      <c r="AC4243" s="7"/>
      <c r="AD4243" s="4"/>
      <c r="AE4243" s="4"/>
      <c r="AF4243" s="21"/>
    </row>
    <row r="4244" spans="24:32" x14ac:dyDescent="0.25">
      <c r="X4244" s="4"/>
      <c r="Y4244" s="4"/>
      <c r="Z4244" s="4"/>
      <c r="AA4244" s="4"/>
      <c r="AB4244" s="4"/>
      <c r="AC4244" s="7"/>
      <c r="AD4244" s="4"/>
      <c r="AE4244" s="4"/>
      <c r="AF4244" s="21"/>
    </row>
    <row r="4245" spans="24:32" x14ac:dyDescent="0.25">
      <c r="X4245" s="4"/>
      <c r="Y4245" s="4"/>
      <c r="Z4245" s="4"/>
      <c r="AA4245" s="4"/>
      <c r="AB4245" s="4"/>
      <c r="AC4245" s="7"/>
      <c r="AD4245" s="4"/>
      <c r="AE4245" s="4"/>
      <c r="AF4245" s="21"/>
    </row>
    <row r="4246" spans="24:32" x14ac:dyDescent="0.25">
      <c r="X4246" s="4"/>
      <c r="Y4246" s="4"/>
      <c r="Z4246" s="4"/>
      <c r="AA4246" s="4"/>
      <c r="AB4246" s="4"/>
      <c r="AC4246" s="7"/>
      <c r="AD4246" s="4"/>
      <c r="AE4246" s="4"/>
      <c r="AF4246" s="21"/>
    </row>
    <row r="4247" spans="24:32" x14ac:dyDescent="0.25">
      <c r="X4247" s="4"/>
      <c r="Y4247" s="4"/>
      <c r="Z4247" s="4"/>
      <c r="AA4247" s="4"/>
      <c r="AB4247" s="4"/>
      <c r="AC4247" s="7"/>
      <c r="AD4247" s="4"/>
      <c r="AE4247" s="4"/>
      <c r="AF4247" s="21"/>
    </row>
    <row r="4248" spans="24:32" x14ac:dyDescent="0.25">
      <c r="X4248" s="4"/>
      <c r="Y4248" s="4"/>
      <c r="Z4248" s="4"/>
      <c r="AA4248" s="4"/>
      <c r="AB4248" s="4"/>
      <c r="AC4248" s="7"/>
      <c r="AD4248" s="4"/>
      <c r="AE4248" s="4"/>
      <c r="AF4248" s="21"/>
    </row>
    <row r="4249" spans="24:32" x14ac:dyDescent="0.25">
      <c r="X4249" s="4"/>
      <c r="Y4249" s="4"/>
      <c r="Z4249" s="4"/>
      <c r="AA4249" s="4"/>
      <c r="AB4249" s="4"/>
      <c r="AC4249" s="7"/>
      <c r="AD4249" s="4"/>
      <c r="AE4249" s="4"/>
      <c r="AF4249" s="21"/>
    </row>
    <row r="4250" spans="24:32" x14ac:dyDescent="0.25">
      <c r="X4250" s="4"/>
      <c r="Y4250" s="4"/>
      <c r="Z4250" s="4"/>
      <c r="AA4250" s="4"/>
      <c r="AB4250" s="4"/>
      <c r="AC4250" s="7"/>
      <c r="AD4250" s="4"/>
      <c r="AE4250" s="4"/>
      <c r="AF4250" s="21"/>
    </row>
    <row r="4251" spans="24:32" x14ac:dyDescent="0.25">
      <c r="X4251" s="4"/>
      <c r="Y4251" s="4"/>
      <c r="Z4251" s="4"/>
      <c r="AA4251" s="4"/>
      <c r="AB4251" s="4"/>
      <c r="AC4251" s="7"/>
      <c r="AD4251" s="4"/>
      <c r="AE4251" s="4"/>
      <c r="AF4251" s="21"/>
    </row>
    <row r="4252" spans="24:32" x14ac:dyDescent="0.25">
      <c r="X4252" s="4"/>
      <c r="Y4252" s="4"/>
      <c r="Z4252" s="4"/>
      <c r="AA4252" s="4"/>
      <c r="AB4252" s="4"/>
      <c r="AC4252" s="7"/>
      <c r="AD4252" s="4"/>
      <c r="AE4252" s="4"/>
      <c r="AF4252" s="21"/>
    </row>
    <row r="4253" spans="24:32" x14ac:dyDescent="0.25">
      <c r="X4253" s="4"/>
      <c r="Y4253" s="4"/>
      <c r="Z4253" s="4"/>
      <c r="AA4253" s="4"/>
      <c r="AB4253" s="4"/>
      <c r="AC4253" s="7"/>
      <c r="AD4253" s="4"/>
      <c r="AE4253" s="4"/>
      <c r="AF4253" s="21"/>
    </row>
    <row r="4254" spans="24:32" x14ac:dyDescent="0.25">
      <c r="X4254" s="4"/>
      <c r="Y4254" s="4"/>
      <c r="Z4254" s="4"/>
      <c r="AA4254" s="4"/>
      <c r="AB4254" s="4"/>
      <c r="AC4254" s="7"/>
      <c r="AD4254" s="4"/>
      <c r="AE4254" s="4"/>
      <c r="AF4254" s="21"/>
    </row>
    <row r="4255" spans="24:32" x14ac:dyDescent="0.25">
      <c r="X4255" s="4"/>
      <c r="Y4255" s="4"/>
      <c r="Z4255" s="4"/>
      <c r="AA4255" s="4"/>
      <c r="AB4255" s="4"/>
      <c r="AC4255" s="7"/>
      <c r="AD4255" s="4"/>
      <c r="AE4255" s="4"/>
      <c r="AF4255" s="21"/>
    </row>
    <row r="4256" spans="24:32" x14ac:dyDescent="0.25">
      <c r="X4256" s="4"/>
      <c r="Y4256" s="4"/>
      <c r="Z4256" s="4"/>
      <c r="AA4256" s="4"/>
      <c r="AB4256" s="4"/>
      <c r="AC4256" s="7"/>
      <c r="AD4256" s="4"/>
      <c r="AE4256" s="4"/>
      <c r="AF4256" s="21"/>
    </row>
    <row r="4257" spans="24:32" x14ac:dyDescent="0.25">
      <c r="X4257" s="4"/>
      <c r="Y4257" s="4"/>
      <c r="Z4257" s="4"/>
      <c r="AA4257" s="4"/>
      <c r="AB4257" s="4"/>
      <c r="AC4257" s="7"/>
      <c r="AD4257" s="4"/>
      <c r="AE4257" s="4"/>
      <c r="AF4257" s="21"/>
    </row>
    <row r="4258" spans="24:32" x14ac:dyDescent="0.25">
      <c r="X4258" s="4"/>
      <c r="Y4258" s="4"/>
      <c r="Z4258" s="4"/>
      <c r="AA4258" s="4"/>
      <c r="AB4258" s="4"/>
      <c r="AC4258" s="7"/>
      <c r="AD4258" s="4"/>
      <c r="AE4258" s="4"/>
      <c r="AF4258" s="21"/>
    </row>
    <row r="4259" spans="24:32" x14ac:dyDescent="0.25">
      <c r="X4259" s="4"/>
      <c r="Y4259" s="4"/>
      <c r="Z4259" s="4"/>
      <c r="AA4259" s="4"/>
      <c r="AB4259" s="4"/>
      <c r="AC4259" s="7"/>
      <c r="AD4259" s="4"/>
      <c r="AE4259" s="4"/>
      <c r="AF4259" s="21"/>
    </row>
    <row r="4260" spans="24:32" x14ac:dyDescent="0.25">
      <c r="X4260" s="4"/>
      <c r="Y4260" s="4"/>
      <c r="Z4260" s="4"/>
      <c r="AA4260" s="4"/>
      <c r="AB4260" s="4"/>
      <c r="AC4260" s="7"/>
      <c r="AD4260" s="4"/>
      <c r="AE4260" s="4"/>
      <c r="AF4260" s="21"/>
    </row>
    <row r="4261" spans="24:32" x14ac:dyDescent="0.25">
      <c r="X4261" s="4"/>
      <c r="Y4261" s="4"/>
      <c r="Z4261" s="4"/>
      <c r="AA4261" s="4"/>
      <c r="AB4261" s="4"/>
      <c r="AC4261" s="7"/>
      <c r="AD4261" s="4"/>
      <c r="AE4261" s="4"/>
      <c r="AF4261" s="21"/>
    </row>
    <row r="4262" spans="24:32" x14ac:dyDescent="0.25">
      <c r="X4262" s="4"/>
      <c r="Y4262" s="4"/>
      <c r="Z4262" s="4"/>
      <c r="AA4262" s="4"/>
      <c r="AB4262" s="4"/>
      <c r="AC4262" s="7"/>
      <c r="AD4262" s="4"/>
      <c r="AE4262" s="4"/>
      <c r="AF4262" s="21"/>
    </row>
    <row r="4263" spans="24:32" x14ac:dyDescent="0.25">
      <c r="X4263" s="4"/>
      <c r="Y4263" s="4"/>
      <c r="Z4263" s="4"/>
      <c r="AA4263" s="4"/>
      <c r="AB4263" s="4"/>
      <c r="AC4263" s="7"/>
      <c r="AD4263" s="4"/>
      <c r="AE4263" s="4"/>
      <c r="AF4263" s="21"/>
    </row>
    <row r="4264" spans="24:32" x14ac:dyDescent="0.25">
      <c r="X4264" s="4"/>
      <c r="Y4264" s="4"/>
      <c r="Z4264" s="4"/>
      <c r="AA4264" s="4"/>
      <c r="AB4264" s="4"/>
      <c r="AC4264" s="7"/>
      <c r="AD4264" s="4"/>
      <c r="AE4264" s="4"/>
      <c r="AF4264" s="21"/>
    </row>
    <row r="4265" spans="24:32" x14ac:dyDescent="0.25">
      <c r="X4265" s="4"/>
      <c r="Y4265" s="4"/>
      <c r="Z4265" s="4"/>
      <c r="AA4265" s="4"/>
      <c r="AB4265" s="4"/>
      <c r="AC4265" s="7"/>
      <c r="AD4265" s="4"/>
      <c r="AE4265" s="4"/>
      <c r="AF4265" s="21"/>
    </row>
    <row r="4266" spans="24:32" x14ac:dyDescent="0.25">
      <c r="X4266" s="4"/>
      <c r="Y4266" s="4"/>
      <c r="Z4266" s="4"/>
      <c r="AA4266" s="4"/>
      <c r="AB4266" s="4"/>
      <c r="AC4266" s="7"/>
      <c r="AD4266" s="4"/>
      <c r="AE4266" s="4"/>
      <c r="AF4266" s="21"/>
    </row>
    <row r="4267" spans="24:32" x14ac:dyDescent="0.25">
      <c r="X4267" s="4"/>
      <c r="Y4267" s="4"/>
      <c r="Z4267" s="4"/>
      <c r="AA4267" s="4"/>
      <c r="AB4267" s="4"/>
      <c r="AC4267" s="7"/>
      <c r="AD4267" s="4"/>
      <c r="AE4267" s="4"/>
      <c r="AF4267" s="21"/>
    </row>
    <row r="4268" spans="24:32" x14ac:dyDescent="0.25">
      <c r="X4268" s="4"/>
      <c r="Y4268" s="4"/>
      <c r="Z4268" s="4"/>
      <c r="AA4268" s="4"/>
      <c r="AB4268" s="4"/>
      <c r="AC4268" s="7"/>
      <c r="AD4268" s="4"/>
      <c r="AE4268" s="4"/>
      <c r="AF4268" s="21"/>
    </row>
    <row r="4269" spans="24:32" x14ac:dyDescent="0.25">
      <c r="X4269" s="4"/>
      <c r="Y4269" s="4"/>
      <c r="Z4269" s="4"/>
      <c r="AA4269" s="4"/>
      <c r="AB4269" s="4"/>
      <c r="AC4269" s="7"/>
      <c r="AD4269" s="4"/>
      <c r="AE4269" s="4"/>
      <c r="AF4269" s="21"/>
    </row>
    <row r="4270" spans="24:32" x14ac:dyDescent="0.25">
      <c r="X4270" s="4"/>
      <c r="Y4270" s="4"/>
      <c r="Z4270" s="4"/>
      <c r="AA4270" s="4"/>
      <c r="AB4270" s="4"/>
      <c r="AC4270" s="7"/>
      <c r="AD4270" s="4"/>
      <c r="AE4270" s="4"/>
      <c r="AF4270" s="21"/>
    </row>
    <row r="4271" spans="24:32" x14ac:dyDescent="0.25">
      <c r="X4271" s="4"/>
      <c r="Y4271" s="4"/>
      <c r="Z4271" s="4"/>
      <c r="AA4271" s="4"/>
      <c r="AB4271" s="4"/>
      <c r="AC4271" s="7"/>
      <c r="AD4271" s="4"/>
      <c r="AE4271" s="4"/>
      <c r="AF4271" s="21"/>
    </row>
    <row r="4272" spans="24:32" x14ac:dyDescent="0.25">
      <c r="X4272" s="4"/>
      <c r="Y4272" s="4"/>
      <c r="Z4272" s="4"/>
      <c r="AA4272" s="4"/>
      <c r="AB4272" s="4"/>
      <c r="AC4272" s="7"/>
      <c r="AD4272" s="4"/>
      <c r="AE4272" s="4"/>
      <c r="AF4272" s="21"/>
    </row>
    <row r="4273" spans="24:32" x14ac:dyDescent="0.25">
      <c r="X4273" s="4"/>
      <c r="Y4273" s="4"/>
      <c r="Z4273" s="4"/>
      <c r="AA4273" s="4"/>
      <c r="AB4273" s="4"/>
      <c r="AC4273" s="7"/>
      <c r="AD4273" s="4"/>
      <c r="AE4273" s="4"/>
      <c r="AF4273" s="21"/>
    </row>
    <row r="4274" spans="24:32" x14ac:dyDescent="0.25">
      <c r="X4274" s="4"/>
      <c r="Y4274" s="4"/>
      <c r="Z4274" s="4"/>
      <c r="AA4274" s="4"/>
      <c r="AB4274" s="4"/>
      <c r="AC4274" s="7"/>
      <c r="AD4274" s="4"/>
      <c r="AE4274" s="4"/>
      <c r="AF4274" s="21"/>
    </row>
    <row r="4275" spans="24:32" x14ac:dyDescent="0.25">
      <c r="X4275" s="4"/>
      <c r="Y4275" s="4"/>
      <c r="Z4275" s="4"/>
      <c r="AA4275" s="4"/>
      <c r="AB4275" s="4"/>
      <c r="AC4275" s="7"/>
      <c r="AD4275" s="4"/>
      <c r="AE4275" s="4"/>
      <c r="AF4275" s="21"/>
    </row>
    <row r="4276" spans="24:32" x14ac:dyDescent="0.25">
      <c r="X4276" s="4"/>
      <c r="Y4276" s="4"/>
      <c r="Z4276" s="4"/>
      <c r="AA4276" s="4"/>
      <c r="AB4276" s="4"/>
      <c r="AC4276" s="7"/>
      <c r="AD4276" s="4"/>
      <c r="AE4276" s="4"/>
      <c r="AF4276" s="21"/>
    </row>
    <row r="4277" spans="24:32" x14ac:dyDescent="0.25">
      <c r="X4277" s="4"/>
      <c r="Y4277" s="4"/>
      <c r="Z4277" s="4"/>
      <c r="AA4277" s="4"/>
      <c r="AB4277" s="4"/>
      <c r="AC4277" s="7"/>
      <c r="AD4277" s="4"/>
      <c r="AE4277" s="4"/>
      <c r="AF4277" s="21"/>
    </row>
    <row r="4278" spans="24:32" x14ac:dyDescent="0.25">
      <c r="X4278" s="4"/>
      <c r="Y4278" s="4"/>
      <c r="Z4278" s="4"/>
      <c r="AA4278" s="4"/>
      <c r="AB4278" s="4"/>
      <c r="AC4278" s="7"/>
      <c r="AD4278" s="4"/>
      <c r="AE4278" s="4"/>
      <c r="AF4278" s="21"/>
    </row>
    <row r="4279" spans="24:32" x14ac:dyDescent="0.25">
      <c r="X4279" s="4"/>
      <c r="Y4279" s="4"/>
      <c r="Z4279" s="4"/>
      <c r="AA4279" s="4"/>
      <c r="AB4279" s="4"/>
      <c r="AC4279" s="7"/>
      <c r="AD4279" s="4"/>
      <c r="AE4279" s="4"/>
      <c r="AF4279" s="21"/>
    </row>
    <row r="4280" spans="24:32" x14ac:dyDescent="0.25">
      <c r="X4280" s="4"/>
      <c r="Y4280" s="4"/>
      <c r="Z4280" s="4"/>
      <c r="AA4280" s="4"/>
      <c r="AB4280" s="4"/>
      <c r="AC4280" s="7"/>
      <c r="AD4280" s="4"/>
      <c r="AE4280" s="4"/>
      <c r="AF4280" s="21"/>
    </row>
    <row r="4281" spans="24:32" x14ac:dyDescent="0.25">
      <c r="X4281" s="4"/>
      <c r="Y4281" s="4"/>
      <c r="Z4281" s="4"/>
      <c r="AA4281" s="4"/>
      <c r="AB4281" s="4"/>
      <c r="AC4281" s="7"/>
      <c r="AD4281" s="4"/>
      <c r="AE4281" s="4"/>
      <c r="AF4281" s="21"/>
    </row>
    <row r="4282" spans="24:32" x14ac:dyDescent="0.25">
      <c r="X4282" s="4"/>
      <c r="Y4282" s="4"/>
      <c r="Z4282" s="4"/>
      <c r="AA4282" s="4"/>
      <c r="AB4282" s="4"/>
      <c r="AC4282" s="7"/>
      <c r="AD4282" s="4"/>
      <c r="AE4282" s="4"/>
      <c r="AF4282" s="21"/>
    </row>
    <row r="4283" spans="24:32" x14ac:dyDescent="0.25">
      <c r="X4283" s="4"/>
      <c r="Y4283" s="4"/>
      <c r="Z4283" s="4"/>
      <c r="AA4283" s="4"/>
      <c r="AB4283" s="4"/>
      <c r="AC4283" s="7"/>
      <c r="AD4283" s="4"/>
      <c r="AE4283" s="4"/>
      <c r="AF4283" s="21"/>
    </row>
    <row r="4284" spans="24:32" x14ac:dyDescent="0.25">
      <c r="X4284" s="4"/>
      <c r="Y4284" s="4"/>
      <c r="Z4284" s="4"/>
      <c r="AA4284" s="4"/>
      <c r="AB4284" s="4"/>
      <c r="AC4284" s="7"/>
      <c r="AD4284" s="4"/>
      <c r="AE4284" s="4"/>
      <c r="AF4284" s="21"/>
    </row>
    <row r="4285" spans="24:32" x14ac:dyDescent="0.25">
      <c r="X4285" s="4"/>
      <c r="Y4285" s="4"/>
      <c r="Z4285" s="4"/>
      <c r="AA4285" s="4"/>
      <c r="AB4285" s="4"/>
      <c r="AC4285" s="7"/>
      <c r="AD4285" s="4"/>
      <c r="AE4285" s="4"/>
      <c r="AF4285" s="21"/>
    </row>
    <row r="4286" spans="24:32" x14ac:dyDescent="0.25">
      <c r="X4286" s="4"/>
      <c r="Y4286" s="4"/>
      <c r="Z4286" s="4"/>
      <c r="AA4286" s="4"/>
      <c r="AB4286" s="4"/>
      <c r="AC4286" s="7"/>
      <c r="AD4286" s="4"/>
      <c r="AE4286" s="4"/>
      <c r="AF4286" s="21"/>
    </row>
    <row r="4287" spans="24:32" x14ac:dyDescent="0.25">
      <c r="X4287" s="4"/>
      <c r="Y4287" s="4"/>
      <c r="Z4287" s="4"/>
      <c r="AA4287" s="4"/>
      <c r="AB4287" s="4"/>
      <c r="AC4287" s="7"/>
      <c r="AD4287" s="4"/>
      <c r="AE4287" s="4"/>
      <c r="AF4287" s="21"/>
    </row>
    <row r="4288" spans="24:32" x14ac:dyDescent="0.25">
      <c r="X4288" s="4"/>
      <c r="Y4288" s="4"/>
      <c r="Z4288" s="4"/>
      <c r="AA4288" s="4"/>
      <c r="AB4288" s="4"/>
      <c r="AC4288" s="7"/>
      <c r="AD4288" s="4"/>
      <c r="AE4288" s="4"/>
      <c r="AF4288" s="21"/>
    </row>
    <row r="4289" spans="24:32" x14ac:dyDescent="0.25">
      <c r="X4289" s="4"/>
      <c r="Y4289" s="4"/>
      <c r="Z4289" s="4"/>
      <c r="AA4289" s="4"/>
      <c r="AB4289" s="4"/>
      <c r="AC4289" s="7"/>
      <c r="AD4289" s="4"/>
      <c r="AE4289" s="4"/>
      <c r="AF4289" s="21"/>
    </row>
    <row r="4290" spans="24:32" x14ac:dyDescent="0.25">
      <c r="X4290" s="4"/>
      <c r="Y4290" s="4"/>
      <c r="Z4290" s="4"/>
      <c r="AA4290" s="4"/>
      <c r="AB4290" s="4"/>
      <c r="AC4290" s="7"/>
      <c r="AD4290" s="4"/>
      <c r="AE4290" s="4"/>
      <c r="AF4290" s="21"/>
    </row>
    <row r="4291" spans="24:32" x14ac:dyDescent="0.25">
      <c r="X4291" s="4"/>
      <c r="Y4291" s="4"/>
      <c r="Z4291" s="4"/>
      <c r="AA4291" s="4"/>
      <c r="AB4291" s="4"/>
      <c r="AC4291" s="7"/>
      <c r="AD4291" s="4"/>
      <c r="AE4291" s="4"/>
      <c r="AF4291" s="21"/>
    </row>
    <row r="4292" spans="24:32" x14ac:dyDescent="0.25">
      <c r="X4292" s="4"/>
      <c r="Y4292" s="4"/>
      <c r="Z4292" s="4"/>
      <c r="AA4292" s="4"/>
      <c r="AB4292" s="4"/>
      <c r="AC4292" s="7"/>
      <c r="AD4292" s="4"/>
      <c r="AE4292" s="4"/>
      <c r="AF4292" s="21"/>
    </row>
    <row r="4293" spans="24:32" x14ac:dyDescent="0.25">
      <c r="X4293" s="4"/>
      <c r="Y4293" s="4"/>
      <c r="Z4293" s="4"/>
      <c r="AA4293" s="4"/>
      <c r="AB4293" s="4"/>
      <c r="AC4293" s="7"/>
      <c r="AD4293" s="4"/>
      <c r="AE4293" s="4"/>
      <c r="AF4293" s="21"/>
    </row>
    <row r="4294" spans="24:32" x14ac:dyDescent="0.25">
      <c r="X4294" s="4"/>
      <c r="Y4294" s="4"/>
      <c r="Z4294" s="4"/>
      <c r="AA4294" s="4"/>
      <c r="AB4294" s="4"/>
      <c r="AC4294" s="7"/>
      <c r="AD4294" s="4"/>
      <c r="AE4294" s="4"/>
      <c r="AF4294" s="21"/>
    </row>
    <row r="4295" spans="24:32" x14ac:dyDescent="0.25">
      <c r="X4295" s="4"/>
      <c r="Y4295" s="4"/>
      <c r="Z4295" s="4"/>
      <c r="AA4295" s="4"/>
      <c r="AB4295" s="4"/>
      <c r="AC4295" s="7"/>
      <c r="AD4295" s="4"/>
      <c r="AE4295" s="4"/>
      <c r="AF4295" s="21"/>
    </row>
    <row r="4296" spans="24:32" x14ac:dyDescent="0.25">
      <c r="X4296" s="4"/>
      <c r="Y4296" s="4"/>
      <c r="Z4296" s="4"/>
      <c r="AA4296" s="4"/>
      <c r="AB4296" s="4"/>
      <c r="AC4296" s="7"/>
      <c r="AD4296" s="4"/>
      <c r="AE4296" s="4"/>
      <c r="AF4296" s="21"/>
    </row>
    <row r="4297" spans="24:32" x14ac:dyDescent="0.25">
      <c r="X4297" s="4"/>
      <c r="Y4297" s="4"/>
      <c r="Z4297" s="4"/>
      <c r="AA4297" s="4"/>
      <c r="AB4297" s="4"/>
      <c r="AC4297" s="7"/>
      <c r="AD4297" s="4"/>
      <c r="AE4297" s="4"/>
      <c r="AF4297" s="21"/>
    </row>
    <row r="4298" spans="24:32" x14ac:dyDescent="0.25">
      <c r="X4298" s="4"/>
      <c r="Y4298" s="4"/>
      <c r="Z4298" s="4"/>
      <c r="AA4298" s="4"/>
      <c r="AB4298" s="4"/>
      <c r="AC4298" s="7"/>
      <c r="AD4298" s="4"/>
      <c r="AE4298" s="4"/>
      <c r="AF4298" s="21"/>
    </row>
    <row r="4299" spans="24:32" x14ac:dyDescent="0.25">
      <c r="X4299" s="4"/>
      <c r="Y4299" s="4"/>
      <c r="Z4299" s="4"/>
      <c r="AA4299" s="4"/>
      <c r="AB4299" s="4"/>
      <c r="AC4299" s="7"/>
      <c r="AD4299" s="4"/>
      <c r="AE4299" s="4"/>
      <c r="AF4299" s="21"/>
    </row>
    <row r="4300" spans="24:32" x14ac:dyDescent="0.25">
      <c r="X4300" s="4"/>
      <c r="Y4300" s="4"/>
      <c r="Z4300" s="4"/>
      <c r="AA4300" s="4"/>
      <c r="AB4300" s="4"/>
      <c r="AC4300" s="7"/>
      <c r="AD4300" s="4"/>
      <c r="AE4300" s="4"/>
      <c r="AF4300" s="21"/>
    </row>
    <row r="4301" spans="24:32" x14ac:dyDescent="0.25">
      <c r="X4301" s="4"/>
      <c r="Y4301" s="4"/>
      <c r="Z4301" s="4"/>
      <c r="AA4301" s="4"/>
      <c r="AB4301" s="4"/>
      <c r="AC4301" s="7"/>
      <c r="AD4301" s="4"/>
      <c r="AE4301" s="4"/>
      <c r="AF4301" s="21"/>
    </row>
    <row r="4302" spans="24:32" x14ac:dyDescent="0.25">
      <c r="X4302" s="4"/>
      <c r="Y4302" s="4"/>
      <c r="Z4302" s="4"/>
      <c r="AA4302" s="4"/>
      <c r="AB4302" s="4"/>
      <c r="AC4302" s="7"/>
      <c r="AD4302" s="4"/>
      <c r="AE4302" s="4"/>
      <c r="AF4302" s="21"/>
    </row>
    <row r="4303" spans="24:32" x14ac:dyDescent="0.25">
      <c r="X4303" s="4"/>
      <c r="Y4303" s="4"/>
      <c r="Z4303" s="4"/>
      <c r="AA4303" s="4"/>
      <c r="AB4303" s="4"/>
      <c r="AC4303" s="7"/>
      <c r="AD4303" s="4"/>
      <c r="AE4303" s="4"/>
      <c r="AF4303" s="21"/>
    </row>
    <row r="4304" spans="24:32" x14ac:dyDescent="0.25">
      <c r="X4304" s="4"/>
      <c r="Y4304" s="4"/>
      <c r="Z4304" s="4"/>
      <c r="AA4304" s="4"/>
      <c r="AB4304" s="4"/>
      <c r="AC4304" s="7"/>
      <c r="AD4304" s="4"/>
      <c r="AE4304" s="4"/>
      <c r="AF4304" s="21"/>
    </row>
    <row r="4305" spans="24:32" x14ac:dyDescent="0.25">
      <c r="X4305" s="4"/>
      <c r="Y4305" s="4"/>
      <c r="Z4305" s="4"/>
      <c r="AA4305" s="4"/>
      <c r="AB4305" s="4"/>
      <c r="AC4305" s="7"/>
      <c r="AD4305" s="4"/>
      <c r="AE4305" s="4"/>
      <c r="AF4305" s="21"/>
    </row>
    <row r="4306" spans="24:32" x14ac:dyDescent="0.25">
      <c r="X4306" s="4"/>
      <c r="Y4306" s="4"/>
      <c r="Z4306" s="4"/>
      <c r="AA4306" s="4"/>
      <c r="AB4306" s="4"/>
      <c r="AC4306" s="7"/>
      <c r="AD4306" s="4"/>
      <c r="AE4306" s="4"/>
      <c r="AF4306" s="21"/>
    </row>
    <row r="4307" spans="24:32" x14ac:dyDescent="0.25">
      <c r="X4307" s="4"/>
      <c r="Y4307" s="4"/>
      <c r="Z4307" s="4"/>
      <c r="AA4307" s="4"/>
      <c r="AB4307" s="4"/>
      <c r="AC4307" s="7"/>
      <c r="AD4307" s="4"/>
      <c r="AE4307" s="4"/>
      <c r="AF4307" s="21"/>
    </row>
    <row r="4308" spans="24:32" x14ac:dyDescent="0.25">
      <c r="X4308" s="4"/>
      <c r="Y4308" s="4"/>
      <c r="Z4308" s="4"/>
      <c r="AA4308" s="4"/>
      <c r="AB4308" s="4"/>
      <c r="AC4308" s="7"/>
      <c r="AD4308" s="4"/>
      <c r="AE4308" s="4"/>
      <c r="AF4308" s="21"/>
    </row>
    <row r="4309" spans="24:32" x14ac:dyDescent="0.25">
      <c r="X4309" s="4"/>
      <c r="Y4309" s="4"/>
      <c r="Z4309" s="4"/>
      <c r="AA4309" s="4"/>
      <c r="AB4309" s="4"/>
      <c r="AC4309" s="7"/>
      <c r="AD4309" s="4"/>
      <c r="AE4309" s="4"/>
      <c r="AF4309" s="21"/>
    </row>
    <row r="4310" spans="24:32" x14ac:dyDescent="0.25">
      <c r="X4310" s="4"/>
      <c r="Y4310" s="4"/>
      <c r="Z4310" s="4"/>
      <c r="AA4310" s="4"/>
      <c r="AB4310" s="4"/>
      <c r="AC4310" s="7"/>
      <c r="AD4310" s="4"/>
      <c r="AE4310" s="4"/>
      <c r="AF4310" s="21"/>
    </row>
    <row r="4311" spans="24:32" x14ac:dyDescent="0.25">
      <c r="X4311" s="4"/>
      <c r="Y4311" s="4"/>
      <c r="Z4311" s="4"/>
      <c r="AA4311" s="4"/>
      <c r="AB4311" s="4"/>
      <c r="AC4311" s="7"/>
      <c r="AD4311" s="4"/>
      <c r="AE4311" s="4"/>
      <c r="AF4311" s="21"/>
    </row>
    <row r="4312" spans="24:32" x14ac:dyDescent="0.25">
      <c r="X4312" s="4"/>
      <c r="Y4312" s="4"/>
      <c r="Z4312" s="4"/>
      <c r="AA4312" s="4"/>
      <c r="AB4312" s="4"/>
      <c r="AC4312" s="7"/>
      <c r="AD4312" s="4"/>
      <c r="AE4312" s="4"/>
      <c r="AF4312" s="21"/>
    </row>
    <row r="4313" spans="24:32" x14ac:dyDescent="0.25">
      <c r="X4313" s="4"/>
      <c r="Y4313" s="4"/>
      <c r="Z4313" s="4"/>
      <c r="AA4313" s="4"/>
      <c r="AB4313" s="4"/>
      <c r="AC4313" s="7"/>
      <c r="AD4313" s="4"/>
      <c r="AE4313" s="4"/>
      <c r="AF4313" s="21"/>
    </row>
    <row r="4314" spans="24:32" x14ac:dyDescent="0.25">
      <c r="X4314" s="4"/>
      <c r="Y4314" s="4"/>
      <c r="Z4314" s="4"/>
      <c r="AA4314" s="4"/>
      <c r="AB4314" s="4"/>
      <c r="AC4314" s="7"/>
      <c r="AD4314" s="4"/>
      <c r="AE4314" s="4"/>
      <c r="AF4314" s="21"/>
    </row>
    <row r="4315" spans="24:32" x14ac:dyDescent="0.25">
      <c r="X4315" s="4"/>
      <c r="Y4315" s="4"/>
      <c r="Z4315" s="4"/>
      <c r="AA4315" s="4"/>
      <c r="AB4315" s="4"/>
      <c r="AC4315" s="7"/>
      <c r="AD4315" s="4"/>
      <c r="AE4315" s="4"/>
      <c r="AF4315" s="21"/>
    </row>
    <row r="4316" spans="24:32" x14ac:dyDescent="0.25">
      <c r="X4316" s="4"/>
      <c r="Y4316" s="4"/>
      <c r="Z4316" s="4"/>
      <c r="AA4316" s="4"/>
      <c r="AB4316" s="4"/>
      <c r="AC4316" s="7"/>
      <c r="AD4316" s="4"/>
      <c r="AE4316" s="4"/>
      <c r="AF4316" s="21"/>
    </row>
    <row r="4317" spans="24:32" x14ac:dyDescent="0.25">
      <c r="X4317" s="4"/>
      <c r="Y4317" s="4"/>
      <c r="Z4317" s="4"/>
      <c r="AA4317" s="4"/>
      <c r="AB4317" s="4"/>
      <c r="AC4317" s="7"/>
      <c r="AD4317" s="4"/>
      <c r="AE4317" s="4"/>
      <c r="AF4317" s="21"/>
    </row>
    <row r="4318" spans="24:32" x14ac:dyDescent="0.25">
      <c r="X4318" s="4"/>
      <c r="Y4318" s="4"/>
      <c r="Z4318" s="4"/>
      <c r="AA4318" s="4"/>
      <c r="AB4318" s="4"/>
      <c r="AC4318" s="7"/>
      <c r="AD4318" s="4"/>
      <c r="AE4318" s="4"/>
      <c r="AF4318" s="21"/>
    </row>
    <row r="4319" spans="24:32" x14ac:dyDescent="0.25">
      <c r="X4319" s="4"/>
      <c r="Y4319" s="4"/>
      <c r="Z4319" s="4"/>
      <c r="AA4319" s="4"/>
      <c r="AB4319" s="4"/>
      <c r="AC4319" s="7"/>
      <c r="AD4319" s="4"/>
      <c r="AE4319" s="4"/>
      <c r="AF4319" s="21"/>
    </row>
    <row r="4320" spans="24:32" x14ac:dyDescent="0.25">
      <c r="X4320" s="4"/>
      <c r="Y4320" s="4"/>
      <c r="Z4320" s="4"/>
      <c r="AA4320" s="4"/>
      <c r="AB4320" s="4"/>
      <c r="AC4320" s="7"/>
      <c r="AD4320" s="4"/>
      <c r="AE4320" s="4"/>
      <c r="AF4320" s="21"/>
    </row>
    <row r="4321" spans="24:32" x14ac:dyDescent="0.25">
      <c r="X4321" s="4"/>
      <c r="Y4321" s="4"/>
      <c r="Z4321" s="4"/>
      <c r="AA4321" s="4"/>
      <c r="AB4321" s="4"/>
      <c r="AC4321" s="7"/>
      <c r="AD4321" s="4"/>
      <c r="AE4321" s="4"/>
      <c r="AF4321" s="21"/>
    </row>
    <row r="4322" spans="24:32" x14ac:dyDescent="0.25">
      <c r="X4322" s="4"/>
      <c r="Y4322" s="4"/>
      <c r="Z4322" s="4"/>
      <c r="AA4322" s="4"/>
      <c r="AB4322" s="4"/>
      <c r="AC4322" s="7"/>
      <c r="AD4322" s="4"/>
      <c r="AE4322" s="4"/>
      <c r="AF4322" s="21"/>
    </row>
    <row r="4323" spans="24:32" x14ac:dyDescent="0.25">
      <c r="X4323" s="4"/>
      <c r="Y4323" s="4"/>
      <c r="Z4323" s="4"/>
      <c r="AA4323" s="4"/>
      <c r="AB4323" s="4"/>
      <c r="AC4323" s="7"/>
      <c r="AD4323" s="4"/>
      <c r="AE4323" s="4"/>
      <c r="AF4323" s="21"/>
    </row>
    <row r="4324" spans="24:32" x14ac:dyDescent="0.25">
      <c r="X4324" s="4"/>
      <c r="Y4324" s="4"/>
      <c r="Z4324" s="4"/>
      <c r="AA4324" s="4"/>
      <c r="AB4324" s="4"/>
      <c r="AC4324" s="7"/>
      <c r="AD4324" s="4"/>
      <c r="AE4324" s="4"/>
      <c r="AF4324" s="21"/>
    </row>
    <row r="4325" spans="24:32" x14ac:dyDescent="0.25">
      <c r="X4325" s="4"/>
      <c r="Y4325" s="4"/>
      <c r="Z4325" s="4"/>
      <c r="AA4325" s="4"/>
      <c r="AB4325" s="4"/>
      <c r="AC4325" s="7"/>
      <c r="AD4325" s="4"/>
      <c r="AE4325" s="4"/>
      <c r="AF4325" s="21"/>
    </row>
    <row r="4326" spans="24:32" x14ac:dyDescent="0.25">
      <c r="X4326" s="4"/>
      <c r="Y4326" s="4"/>
      <c r="Z4326" s="4"/>
      <c r="AA4326" s="4"/>
      <c r="AB4326" s="4"/>
      <c r="AC4326" s="7"/>
      <c r="AD4326" s="4"/>
      <c r="AE4326" s="4"/>
      <c r="AF4326" s="21"/>
    </row>
    <row r="4327" spans="24:32" x14ac:dyDescent="0.25">
      <c r="X4327" s="4"/>
      <c r="Y4327" s="4"/>
      <c r="Z4327" s="4"/>
      <c r="AA4327" s="4"/>
      <c r="AB4327" s="4"/>
      <c r="AC4327" s="7"/>
      <c r="AD4327" s="4"/>
      <c r="AE4327" s="4"/>
      <c r="AF4327" s="21"/>
    </row>
    <row r="4328" spans="24:32" x14ac:dyDescent="0.25">
      <c r="X4328" s="4"/>
      <c r="Y4328" s="4"/>
      <c r="Z4328" s="4"/>
      <c r="AA4328" s="4"/>
      <c r="AB4328" s="4"/>
      <c r="AC4328" s="7"/>
      <c r="AD4328" s="4"/>
      <c r="AE4328" s="4"/>
      <c r="AF4328" s="21"/>
    </row>
    <row r="4329" spans="24:32" x14ac:dyDescent="0.25">
      <c r="X4329" s="4"/>
      <c r="Y4329" s="4"/>
      <c r="Z4329" s="4"/>
      <c r="AA4329" s="4"/>
      <c r="AB4329" s="4"/>
      <c r="AC4329" s="7"/>
      <c r="AD4329" s="4"/>
      <c r="AE4329" s="4"/>
      <c r="AF4329" s="21"/>
    </row>
    <row r="4330" spans="24:32" x14ac:dyDescent="0.25">
      <c r="X4330" s="4"/>
      <c r="Y4330" s="4"/>
      <c r="Z4330" s="4"/>
      <c r="AA4330" s="4"/>
      <c r="AB4330" s="4"/>
      <c r="AC4330" s="7"/>
      <c r="AD4330" s="4"/>
      <c r="AE4330" s="4"/>
      <c r="AF4330" s="21"/>
    </row>
    <row r="4331" spans="24:32" x14ac:dyDescent="0.25">
      <c r="X4331" s="4"/>
      <c r="Y4331" s="4"/>
      <c r="Z4331" s="4"/>
      <c r="AA4331" s="4"/>
      <c r="AB4331" s="4"/>
      <c r="AC4331" s="7"/>
      <c r="AD4331" s="4"/>
      <c r="AE4331" s="4"/>
      <c r="AF4331" s="21"/>
    </row>
    <row r="4332" spans="24:32" x14ac:dyDescent="0.25">
      <c r="X4332" s="4"/>
      <c r="Y4332" s="4"/>
      <c r="Z4332" s="4"/>
      <c r="AA4332" s="4"/>
      <c r="AB4332" s="4"/>
      <c r="AC4332" s="7"/>
      <c r="AD4332" s="4"/>
      <c r="AE4332" s="4"/>
      <c r="AF4332" s="21"/>
    </row>
    <row r="4333" spans="24:32" x14ac:dyDescent="0.25">
      <c r="X4333" s="4"/>
      <c r="Y4333" s="4"/>
      <c r="Z4333" s="4"/>
      <c r="AA4333" s="4"/>
      <c r="AB4333" s="4"/>
      <c r="AC4333" s="7"/>
      <c r="AD4333" s="4"/>
      <c r="AE4333" s="4"/>
      <c r="AF4333" s="21"/>
    </row>
    <row r="4334" spans="24:32" x14ac:dyDescent="0.25">
      <c r="X4334" s="4"/>
      <c r="Y4334" s="4"/>
      <c r="Z4334" s="4"/>
      <c r="AA4334" s="4"/>
      <c r="AB4334" s="4"/>
      <c r="AC4334" s="7"/>
      <c r="AD4334" s="4"/>
      <c r="AE4334" s="4"/>
      <c r="AF4334" s="21"/>
    </row>
    <row r="4335" spans="24:32" x14ac:dyDescent="0.25">
      <c r="X4335" s="4"/>
      <c r="Y4335" s="4"/>
      <c r="Z4335" s="4"/>
      <c r="AA4335" s="4"/>
      <c r="AB4335" s="4"/>
      <c r="AC4335" s="7"/>
      <c r="AD4335" s="4"/>
      <c r="AE4335" s="4"/>
      <c r="AF4335" s="21"/>
    </row>
    <row r="4336" spans="24:32" x14ac:dyDescent="0.25">
      <c r="X4336" s="4"/>
      <c r="Y4336" s="4"/>
      <c r="Z4336" s="4"/>
      <c r="AA4336" s="4"/>
      <c r="AB4336" s="4"/>
      <c r="AC4336" s="7"/>
      <c r="AD4336" s="4"/>
      <c r="AE4336" s="4"/>
      <c r="AF4336" s="21"/>
    </row>
    <row r="4337" spans="24:32" x14ac:dyDescent="0.25">
      <c r="X4337" s="4"/>
      <c r="Y4337" s="4"/>
      <c r="Z4337" s="4"/>
      <c r="AA4337" s="4"/>
      <c r="AB4337" s="4"/>
      <c r="AC4337" s="7"/>
      <c r="AD4337" s="4"/>
      <c r="AE4337" s="4"/>
      <c r="AF4337" s="21"/>
    </row>
    <row r="4338" spans="24:32" x14ac:dyDescent="0.25">
      <c r="X4338" s="4"/>
      <c r="Y4338" s="4"/>
      <c r="Z4338" s="4"/>
      <c r="AA4338" s="4"/>
      <c r="AB4338" s="4"/>
      <c r="AC4338" s="7"/>
      <c r="AD4338" s="4"/>
      <c r="AE4338" s="4"/>
      <c r="AF4338" s="21"/>
    </row>
    <row r="4339" spans="24:32" x14ac:dyDescent="0.25">
      <c r="X4339" s="4"/>
      <c r="Y4339" s="4"/>
      <c r="Z4339" s="4"/>
      <c r="AA4339" s="4"/>
      <c r="AB4339" s="4"/>
      <c r="AC4339" s="7"/>
      <c r="AD4339" s="4"/>
      <c r="AE4339" s="4"/>
      <c r="AF4339" s="21"/>
    </row>
    <row r="4340" spans="24:32" x14ac:dyDescent="0.25">
      <c r="X4340" s="4"/>
      <c r="Y4340" s="4"/>
      <c r="Z4340" s="4"/>
      <c r="AA4340" s="4"/>
      <c r="AB4340" s="4"/>
      <c r="AC4340" s="7"/>
      <c r="AD4340" s="4"/>
      <c r="AE4340" s="4"/>
      <c r="AF4340" s="21"/>
    </row>
    <row r="4341" spans="24:32" x14ac:dyDescent="0.25">
      <c r="X4341" s="4"/>
      <c r="Y4341" s="4"/>
      <c r="Z4341" s="4"/>
      <c r="AA4341" s="4"/>
      <c r="AB4341" s="4"/>
      <c r="AC4341" s="7"/>
      <c r="AD4341" s="4"/>
      <c r="AE4341" s="4"/>
      <c r="AF4341" s="21"/>
    </row>
    <row r="4342" spans="24:32" x14ac:dyDescent="0.25">
      <c r="X4342" s="4"/>
      <c r="Y4342" s="4"/>
      <c r="Z4342" s="4"/>
      <c r="AA4342" s="4"/>
      <c r="AB4342" s="4"/>
      <c r="AC4342" s="7"/>
      <c r="AD4342" s="4"/>
      <c r="AE4342" s="4"/>
      <c r="AF4342" s="21"/>
    </row>
    <row r="4343" spans="24:32" x14ac:dyDescent="0.25">
      <c r="X4343" s="4"/>
      <c r="Y4343" s="4"/>
      <c r="Z4343" s="4"/>
      <c r="AA4343" s="4"/>
      <c r="AB4343" s="4"/>
      <c r="AC4343" s="7"/>
      <c r="AD4343" s="4"/>
      <c r="AE4343" s="4"/>
      <c r="AF4343" s="21"/>
    </row>
    <row r="4344" spans="24:32" x14ac:dyDescent="0.25">
      <c r="X4344" s="4"/>
      <c r="Y4344" s="4"/>
      <c r="Z4344" s="4"/>
      <c r="AA4344" s="4"/>
      <c r="AB4344" s="4"/>
      <c r="AC4344" s="7"/>
      <c r="AD4344" s="4"/>
      <c r="AE4344" s="4"/>
      <c r="AF4344" s="21"/>
    </row>
    <row r="4345" spans="24:32" x14ac:dyDescent="0.25">
      <c r="X4345" s="4"/>
      <c r="Y4345" s="4"/>
      <c r="Z4345" s="4"/>
      <c r="AA4345" s="4"/>
      <c r="AB4345" s="4"/>
      <c r="AC4345" s="7"/>
      <c r="AD4345" s="4"/>
      <c r="AE4345" s="4"/>
      <c r="AF4345" s="21"/>
    </row>
    <row r="4346" spans="24:32" x14ac:dyDescent="0.25">
      <c r="X4346" s="4"/>
      <c r="Y4346" s="4"/>
      <c r="Z4346" s="4"/>
      <c r="AA4346" s="4"/>
      <c r="AB4346" s="4"/>
      <c r="AC4346" s="7"/>
      <c r="AD4346" s="4"/>
      <c r="AE4346" s="4"/>
      <c r="AF4346" s="21"/>
    </row>
    <row r="4347" spans="24:32" x14ac:dyDescent="0.25">
      <c r="X4347" s="4"/>
      <c r="Y4347" s="4"/>
      <c r="Z4347" s="4"/>
      <c r="AA4347" s="4"/>
      <c r="AB4347" s="4"/>
      <c r="AC4347" s="7"/>
      <c r="AD4347" s="4"/>
      <c r="AE4347" s="4"/>
      <c r="AF4347" s="21"/>
    </row>
    <row r="4348" spans="24:32" x14ac:dyDescent="0.25">
      <c r="X4348" s="4"/>
      <c r="Y4348" s="4"/>
      <c r="Z4348" s="4"/>
      <c r="AA4348" s="4"/>
      <c r="AB4348" s="4"/>
      <c r="AC4348" s="7"/>
      <c r="AD4348" s="4"/>
      <c r="AE4348" s="4"/>
      <c r="AF4348" s="21"/>
    </row>
    <row r="4349" spans="24:32" x14ac:dyDescent="0.25">
      <c r="X4349" s="4"/>
      <c r="Y4349" s="4"/>
      <c r="Z4349" s="4"/>
      <c r="AA4349" s="4"/>
      <c r="AB4349" s="4"/>
      <c r="AC4349" s="7"/>
      <c r="AD4349" s="4"/>
      <c r="AE4349" s="4"/>
      <c r="AF4349" s="21"/>
    </row>
    <row r="4350" spans="24:32" x14ac:dyDescent="0.25">
      <c r="X4350" s="4"/>
      <c r="Y4350" s="4"/>
      <c r="Z4350" s="4"/>
      <c r="AA4350" s="4"/>
      <c r="AB4350" s="4"/>
      <c r="AC4350" s="7"/>
      <c r="AD4350" s="4"/>
      <c r="AE4350" s="4"/>
      <c r="AF4350" s="21"/>
    </row>
    <row r="4351" spans="24:32" x14ac:dyDescent="0.25">
      <c r="X4351" s="4"/>
      <c r="Y4351" s="4"/>
      <c r="Z4351" s="4"/>
      <c r="AA4351" s="4"/>
      <c r="AB4351" s="4"/>
      <c r="AC4351" s="7"/>
      <c r="AD4351" s="4"/>
      <c r="AE4351" s="4"/>
      <c r="AF4351" s="21"/>
    </row>
    <row r="4352" spans="24:32" x14ac:dyDescent="0.25">
      <c r="X4352" s="4"/>
      <c r="Y4352" s="4"/>
      <c r="Z4352" s="4"/>
      <c r="AA4352" s="4"/>
      <c r="AB4352" s="4"/>
      <c r="AC4352" s="7"/>
      <c r="AD4352" s="4"/>
      <c r="AE4352" s="4"/>
      <c r="AF4352" s="21"/>
    </row>
    <row r="4353" spans="24:32" x14ac:dyDescent="0.25">
      <c r="X4353" s="4"/>
      <c r="Y4353" s="4"/>
      <c r="Z4353" s="4"/>
      <c r="AA4353" s="4"/>
      <c r="AB4353" s="4"/>
      <c r="AC4353" s="7"/>
      <c r="AD4353" s="4"/>
      <c r="AE4353" s="4"/>
      <c r="AF4353" s="21"/>
    </row>
    <row r="4354" spans="24:32" x14ac:dyDescent="0.25">
      <c r="X4354" s="4"/>
      <c r="Y4354" s="4"/>
      <c r="Z4354" s="4"/>
      <c r="AA4354" s="4"/>
      <c r="AB4354" s="4"/>
      <c r="AC4354" s="7"/>
      <c r="AD4354" s="4"/>
      <c r="AE4354" s="4"/>
      <c r="AF4354" s="21"/>
    </row>
    <row r="4355" spans="24:32" x14ac:dyDescent="0.25">
      <c r="X4355" s="4"/>
      <c r="Y4355" s="4"/>
      <c r="Z4355" s="4"/>
      <c r="AA4355" s="4"/>
      <c r="AB4355" s="4"/>
      <c r="AC4355" s="7"/>
      <c r="AD4355" s="4"/>
      <c r="AE4355" s="4"/>
      <c r="AF4355" s="21"/>
    </row>
    <row r="4356" spans="24:32" x14ac:dyDescent="0.25">
      <c r="X4356" s="4"/>
      <c r="Y4356" s="4"/>
      <c r="Z4356" s="4"/>
      <c r="AA4356" s="4"/>
      <c r="AB4356" s="4"/>
      <c r="AC4356" s="7"/>
      <c r="AD4356" s="4"/>
      <c r="AE4356" s="4"/>
      <c r="AF4356" s="21"/>
    </row>
    <row r="4357" spans="24:32" x14ac:dyDescent="0.25">
      <c r="X4357" s="4"/>
      <c r="Y4357" s="4"/>
      <c r="Z4357" s="4"/>
      <c r="AA4357" s="4"/>
      <c r="AB4357" s="4"/>
      <c r="AC4357" s="7"/>
      <c r="AD4357" s="4"/>
      <c r="AE4357" s="4"/>
      <c r="AF4357" s="21"/>
    </row>
    <row r="4358" spans="24:32" x14ac:dyDescent="0.25">
      <c r="X4358" s="4"/>
      <c r="Y4358" s="4"/>
      <c r="Z4358" s="4"/>
      <c r="AA4358" s="4"/>
      <c r="AB4358" s="4"/>
      <c r="AC4358" s="7"/>
      <c r="AD4358" s="4"/>
      <c r="AE4358" s="4"/>
      <c r="AF4358" s="21"/>
    </row>
    <row r="4359" spans="24:32" x14ac:dyDescent="0.25">
      <c r="X4359" s="4"/>
      <c r="Y4359" s="4"/>
      <c r="Z4359" s="4"/>
      <c r="AA4359" s="4"/>
      <c r="AB4359" s="4"/>
      <c r="AC4359" s="7"/>
      <c r="AD4359" s="4"/>
      <c r="AE4359" s="4"/>
      <c r="AF4359" s="21"/>
    </row>
    <row r="4360" spans="24:32" x14ac:dyDescent="0.25">
      <c r="X4360" s="4"/>
      <c r="Y4360" s="4"/>
      <c r="Z4360" s="4"/>
      <c r="AA4360" s="4"/>
      <c r="AB4360" s="4"/>
      <c r="AC4360" s="7"/>
      <c r="AD4360" s="4"/>
      <c r="AE4360" s="4"/>
      <c r="AF4360" s="21"/>
    </row>
    <row r="4361" spans="24:32" x14ac:dyDescent="0.25">
      <c r="X4361" s="4"/>
      <c r="Y4361" s="4"/>
      <c r="Z4361" s="4"/>
      <c r="AA4361" s="4"/>
      <c r="AB4361" s="4"/>
      <c r="AC4361" s="7"/>
      <c r="AD4361" s="4"/>
      <c r="AE4361" s="4"/>
      <c r="AF4361" s="21"/>
    </row>
    <row r="4362" spans="24:32" x14ac:dyDescent="0.25">
      <c r="X4362" s="4"/>
      <c r="Y4362" s="4"/>
      <c r="Z4362" s="4"/>
      <c r="AA4362" s="4"/>
      <c r="AB4362" s="4"/>
      <c r="AC4362" s="7"/>
      <c r="AD4362" s="4"/>
      <c r="AE4362" s="4"/>
      <c r="AF4362" s="21"/>
    </row>
    <row r="4363" spans="24:32" x14ac:dyDescent="0.25">
      <c r="X4363" s="4"/>
      <c r="Y4363" s="4"/>
      <c r="Z4363" s="4"/>
      <c r="AA4363" s="4"/>
      <c r="AB4363" s="4"/>
      <c r="AC4363" s="7"/>
      <c r="AD4363" s="4"/>
      <c r="AE4363" s="4"/>
      <c r="AF4363" s="21"/>
    </row>
    <row r="4364" spans="24:32" x14ac:dyDescent="0.25">
      <c r="X4364" s="4"/>
      <c r="Y4364" s="4"/>
      <c r="Z4364" s="4"/>
      <c r="AA4364" s="4"/>
      <c r="AB4364" s="4"/>
      <c r="AC4364" s="7"/>
      <c r="AD4364" s="4"/>
      <c r="AE4364" s="4"/>
      <c r="AF4364" s="21"/>
    </row>
    <row r="4365" spans="24:32" x14ac:dyDescent="0.25">
      <c r="X4365" s="4"/>
      <c r="Y4365" s="4"/>
      <c r="Z4365" s="4"/>
      <c r="AA4365" s="4"/>
      <c r="AB4365" s="4"/>
      <c r="AC4365" s="7"/>
      <c r="AD4365" s="4"/>
      <c r="AE4365" s="4"/>
      <c r="AF4365" s="21"/>
    </row>
    <row r="4366" spans="24:32" x14ac:dyDescent="0.25">
      <c r="X4366" s="4"/>
      <c r="Y4366" s="4"/>
      <c r="Z4366" s="4"/>
      <c r="AA4366" s="4"/>
      <c r="AB4366" s="4"/>
      <c r="AC4366" s="7"/>
      <c r="AD4366" s="4"/>
      <c r="AE4366" s="4"/>
      <c r="AF4366" s="21"/>
    </row>
    <row r="4367" spans="24:32" x14ac:dyDescent="0.25">
      <c r="X4367" s="4"/>
      <c r="Y4367" s="4"/>
      <c r="Z4367" s="4"/>
      <c r="AA4367" s="4"/>
      <c r="AB4367" s="4"/>
      <c r="AC4367" s="7"/>
      <c r="AD4367" s="4"/>
      <c r="AE4367" s="4"/>
      <c r="AF4367" s="21"/>
    </row>
    <row r="4368" spans="24:32" x14ac:dyDescent="0.25">
      <c r="X4368" s="4"/>
      <c r="Y4368" s="4"/>
      <c r="Z4368" s="4"/>
      <c r="AA4368" s="4"/>
      <c r="AB4368" s="4"/>
      <c r="AC4368" s="7"/>
      <c r="AD4368" s="4"/>
      <c r="AE4368" s="4"/>
      <c r="AF4368" s="21"/>
    </row>
    <row r="4369" spans="24:32" x14ac:dyDescent="0.25">
      <c r="X4369" s="4"/>
      <c r="Y4369" s="4"/>
      <c r="Z4369" s="4"/>
      <c r="AA4369" s="4"/>
      <c r="AB4369" s="4"/>
      <c r="AC4369" s="7"/>
      <c r="AD4369" s="4"/>
      <c r="AE4369" s="4"/>
      <c r="AF4369" s="21"/>
    </row>
    <row r="4370" spans="24:32" x14ac:dyDescent="0.25">
      <c r="X4370" s="4"/>
      <c r="Y4370" s="4"/>
      <c r="Z4370" s="4"/>
      <c r="AA4370" s="4"/>
      <c r="AB4370" s="4"/>
      <c r="AC4370" s="7"/>
      <c r="AD4370" s="4"/>
      <c r="AE4370" s="4"/>
      <c r="AF4370" s="21"/>
    </row>
    <row r="4371" spans="24:32" x14ac:dyDescent="0.25">
      <c r="X4371" s="4"/>
      <c r="Y4371" s="4"/>
      <c r="Z4371" s="4"/>
      <c r="AA4371" s="4"/>
      <c r="AB4371" s="4"/>
      <c r="AC4371" s="7"/>
      <c r="AD4371" s="4"/>
      <c r="AE4371" s="4"/>
      <c r="AF4371" s="21"/>
    </row>
    <row r="4372" spans="24:32" x14ac:dyDescent="0.25">
      <c r="X4372" s="4"/>
      <c r="Y4372" s="4"/>
      <c r="Z4372" s="4"/>
      <c r="AA4372" s="4"/>
      <c r="AB4372" s="4"/>
      <c r="AC4372" s="7"/>
      <c r="AD4372" s="4"/>
      <c r="AE4372" s="4"/>
      <c r="AF4372" s="21"/>
    </row>
    <row r="4373" spans="24:32" x14ac:dyDescent="0.25">
      <c r="X4373" s="4"/>
      <c r="Y4373" s="4"/>
      <c r="Z4373" s="4"/>
      <c r="AA4373" s="4"/>
      <c r="AB4373" s="4"/>
      <c r="AC4373" s="7"/>
      <c r="AD4373" s="4"/>
      <c r="AE4373" s="4"/>
      <c r="AF4373" s="21"/>
    </row>
    <row r="4374" spans="24:32" x14ac:dyDescent="0.25">
      <c r="X4374" s="4"/>
      <c r="Y4374" s="4"/>
      <c r="Z4374" s="4"/>
      <c r="AA4374" s="4"/>
      <c r="AB4374" s="4"/>
      <c r="AC4374" s="7"/>
      <c r="AD4374" s="4"/>
      <c r="AE4374" s="4"/>
      <c r="AF4374" s="21"/>
    </row>
    <row r="4375" spans="24:32" x14ac:dyDescent="0.25">
      <c r="X4375" s="4"/>
      <c r="Y4375" s="4"/>
      <c r="Z4375" s="4"/>
      <c r="AA4375" s="4"/>
      <c r="AB4375" s="4"/>
      <c r="AC4375" s="7"/>
      <c r="AD4375" s="4"/>
      <c r="AE4375" s="4"/>
      <c r="AF4375" s="21"/>
    </row>
    <row r="4376" spans="24:32" x14ac:dyDescent="0.25">
      <c r="X4376" s="4"/>
      <c r="Y4376" s="4"/>
      <c r="Z4376" s="4"/>
      <c r="AA4376" s="4"/>
      <c r="AB4376" s="4"/>
      <c r="AC4376" s="7"/>
      <c r="AD4376" s="4"/>
      <c r="AE4376" s="4"/>
      <c r="AF4376" s="21"/>
    </row>
    <row r="4377" spans="24:32" x14ac:dyDescent="0.25">
      <c r="X4377" s="4"/>
      <c r="Y4377" s="4"/>
      <c r="Z4377" s="4"/>
      <c r="AA4377" s="4"/>
      <c r="AB4377" s="4"/>
      <c r="AC4377" s="7"/>
      <c r="AD4377" s="4"/>
      <c r="AE4377" s="4"/>
      <c r="AF4377" s="21"/>
    </row>
    <row r="4378" spans="24:32" x14ac:dyDescent="0.25">
      <c r="X4378" s="4"/>
      <c r="Y4378" s="4"/>
      <c r="Z4378" s="4"/>
      <c r="AA4378" s="4"/>
      <c r="AB4378" s="4"/>
      <c r="AC4378" s="7"/>
      <c r="AD4378" s="4"/>
      <c r="AE4378" s="4"/>
      <c r="AF4378" s="21"/>
    </row>
    <row r="4379" spans="24:32" x14ac:dyDescent="0.25">
      <c r="X4379" s="4"/>
      <c r="Y4379" s="4"/>
      <c r="Z4379" s="4"/>
      <c r="AA4379" s="4"/>
      <c r="AB4379" s="4"/>
      <c r="AC4379" s="7"/>
      <c r="AD4379" s="4"/>
      <c r="AE4379" s="4"/>
      <c r="AF4379" s="21"/>
    </row>
    <row r="4380" spans="24:32" x14ac:dyDescent="0.25">
      <c r="X4380" s="4"/>
      <c r="Y4380" s="4"/>
      <c r="Z4380" s="4"/>
      <c r="AA4380" s="4"/>
      <c r="AB4380" s="4"/>
      <c r="AC4380" s="7"/>
      <c r="AD4380" s="4"/>
      <c r="AE4380" s="4"/>
      <c r="AF4380" s="21"/>
    </row>
    <row r="4381" spans="24:32" x14ac:dyDescent="0.25">
      <c r="X4381" s="4"/>
      <c r="Y4381" s="4"/>
      <c r="Z4381" s="4"/>
      <c r="AA4381" s="4"/>
      <c r="AB4381" s="4"/>
      <c r="AC4381" s="7"/>
      <c r="AD4381" s="4"/>
      <c r="AE4381" s="4"/>
      <c r="AF4381" s="21"/>
    </row>
    <row r="4382" spans="24:32" x14ac:dyDescent="0.25">
      <c r="X4382" s="4"/>
      <c r="Y4382" s="4"/>
      <c r="Z4382" s="4"/>
      <c r="AA4382" s="4"/>
      <c r="AB4382" s="4"/>
      <c r="AC4382" s="7"/>
      <c r="AD4382" s="4"/>
      <c r="AE4382" s="4"/>
      <c r="AF4382" s="21"/>
    </row>
    <row r="4383" spans="24:32" x14ac:dyDescent="0.25">
      <c r="X4383" s="4"/>
      <c r="Y4383" s="4"/>
      <c r="Z4383" s="4"/>
      <c r="AA4383" s="4"/>
      <c r="AB4383" s="4"/>
      <c r="AC4383" s="7"/>
      <c r="AD4383" s="4"/>
      <c r="AE4383" s="4"/>
      <c r="AF4383" s="21"/>
    </row>
    <row r="4384" spans="24:32" x14ac:dyDescent="0.25">
      <c r="X4384" s="4"/>
      <c r="Y4384" s="4"/>
      <c r="Z4384" s="4"/>
      <c r="AA4384" s="4"/>
      <c r="AB4384" s="4"/>
      <c r="AC4384" s="7"/>
      <c r="AD4384" s="4"/>
      <c r="AE4384" s="4"/>
      <c r="AF4384" s="21"/>
    </row>
    <row r="4385" spans="24:32" x14ac:dyDescent="0.25">
      <c r="X4385" s="4"/>
      <c r="Y4385" s="4"/>
      <c r="Z4385" s="4"/>
      <c r="AA4385" s="4"/>
      <c r="AB4385" s="4"/>
      <c r="AC4385" s="7"/>
      <c r="AD4385" s="4"/>
      <c r="AE4385" s="4"/>
      <c r="AF4385" s="21"/>
    </row>
    <row r="4386" spans="24:32" x14ac:dyDescent="0.25">
      <c r="X4386" s="4"/>
      <c r="Y4386" s="4"/>
      <c r="Z4386" s="4"/>
      <c r="AA4386" s="4"/>
      <c r="AB4386" s="4"/>
      <c r="AC4386" s="7"/>
      <c r="AD4386" s="4"/>
      <c r="AE4386" s="4"/>
      <c r="AF4386" s="21"/>
    </row>
    <row r="4387" spans="24:32" x14ac:dyDescent="0.25">
      <c r="X4387" s="4"/>
      <c r="Y4387" s="4"/>
      <c r="Z4387" s="4"/>
      <c r="AA4387" s="4"/>
      <c r="AB4387" s="4"/>
      <c r="AC4387" s="7"/>
      <c r="AD4387" s="4"/>
      <c r="AE4387" s="4"/>
      <c r="AF4387" s="21"/>
    </row>
    <row r="4388" spans="24:32" x14ac:dyDescent="0.25">
      <c r="X4388" s="4"/>
      <c r="Y4388" s="4"/>
      <c r="Z4388" s="4"/>
      <c r="AA4388" s="4"/>
      <c r="AB4388" s="4"/>
      <c r="AC4388" s="7"/>
      <c r="AD4388" s="4"/>
      <c r="AE4388" s="4"/>
      <c r="AF4388" s="21"/>
    </row>
    <row r="4389" spans="24:32" x14ac:dyDescent="0.25">
      <c r="X4389" s="4"/>
      <c r="Y4389" s="4"/>
      <c r="Z4389" s="4"/>
      <c r="AA4389" s="4"/>
      <c r="AB4389" s="4"/>
      <c r="AC4389" s="7"/>
      <c r="AD4389" s="4"/>
      <c r="AE4389" s="4"/>
      <c r="AF4389" s="21"/>
    </row>
    <row r="4390" spans="24:32" x14ac:dyDescent="0.25">
      <c r="X4390" s="4"/>
      <c r="Y4390" s="4"/>
      <c r="Z4390" s="4"/>
      <c r="AA4390" s="4"/>
      <c r="AB4390" s="4"/>
      <c r="AC4390" s="7"/>
      <c r="AD4390" s="4"/>
      <c r="AE4390" s="4"/>
      <c r="AF4390" s="21"/>
    </row>
    <row r="4391" spans="24:32" x14ac:dyDescent="0.25">
      <c r="X4391" s="4"/>
      <c r="Y4391" s="4"/>
      <c r="Z4391" s="4"/>
      <c r="AA4391" s="4"/>
      <c r="AB4391" s="4"/>
      <c r="AC4391" s="7"/>
      <c r="AD4391" s="4"/>
      <c r="AE4391" s="4"/>
      <c r="AF4391" s="21"/>
    </row>
    <row r="4392" spans="24:32" x14ac:dyDescent="0.25">
      <c r="X4392" s="4"/>
      <c r="Y4392" s="4"/>
      <c r="Z4392" s="4"/>
      <c r="AA4392" s="4"/>
      <c r="AB4392" s="4"/>
      <c r="AC4392" s="7"/>
      <c r="AD4392" s="4"/>
      <c r="AE4392" s="4"/>
      <c r="AF4392" s="21"/>
    </row>
    <row r="4393" spans="24:32" x14ac:dyDescent="0.25">
      <c r="X4393" s="4"/>
      <c r="Y4393" s="4"/>
      <c r="Z4393" s="4"/>
      <c r="AA4393" s="4"/>
      <c r="AB4393" s="4"/>
      <c r="AC4393" s="7"/>
      <c r="AD4393" s="4"/>
      <c r="AE4393" s="4"/>
      <c r="AF4393" s="21"/>
    </row>
    <row r="4394" spans="24:32" x14ac:dyDescent="0.25">
      <c r="X4394" s="4"/>
      <c r="Y4394" s="4"/>
      <c r="Z4394" s="4"/>
      <c r="AA4394" s="4"/>
      <c r="AB4394" s="4"/>
      <c r="AC4394" s="7"/>
      <c r="AD4394" s="4"/>
      <c r="AE4394" s="4"/>
      <c r="AF4394" s="21"/>
    </row>
    <row r="4395" spans="24:32" x14ac:dyDescent="0.25">
      <c r="X4395" s="4"/>
      <c r="Y4395" s="4"/>
      <c r="Z4395" s="4"/>
      <c r="AA4395" s="4"/>
      <c r="AB4395" s="4"/>
      <c r="AC4395" s="7"/>
      <c r="AD4395" s="4"/>
      <c r="AE4395" s="4"/>
      <c r="AF4395" s="21"/>
    </row>
    <row r="4396" spans="24:32" x14ac:dyDescent="0.25">
      <c r="X4396" s="4"/>
      <c r="Y4396" s="4"/>
      <c r="Z4396" s="4"/>
      <c r="AA4396" s="4"/>
      <c r="AB4396" s="4"/>
      <c r="AC4396" s="7"/>
      <c r="AD4396" s="4"/>
      <c r="AE4396" s="4"/>
      <c r="AF4396" s="21"/>
    </row>
    <row r="4397" spans="24:32" x14ac:dyDescent="0.25">
      <c r="X4397" s="4"/>
      <c r="Y4397" s="4"/>
      <c r="Z4397" s="4"/>
      <c r="AA4397" s="4"/>
      <c r="AB4397" s="4"/>
      <c r="AC4397" s="7"/>
      <c r="AD4397" s="4"/>
      <c r="AE4397" s="4"/>
      <c r="AF4397" s="21"/>
    </row>
    <row r="4398" spans="24:32" x14ac:dyDescent="0.25">
      <c r="X4398" s="4"/>
      <c r="Y4398" s="4"/>
      <c r="Z4398" s="4"/>
      <c r="AA4398" s="4"/>
      <c r="AB4398" s="4"/>
      <c r="AC4398" s="7"/>
      <c r="AD4398" s="4"/>
      <c r="AE4398" s="4"/>
      <c r="AF4398" s="21"/>
    </row>
    <row r="4399" spans="24:32" x14ac:dyDescent="0.25">
      <c r="X4399" s="4"/>
      <c r="Y4399" s="4"/>
      <c r="Z4399" s="4"/>
      <c r="AA4399" s="4"/>
      <c r="AB4399" s="4"/>
      <c r="AC4399" s="7"/>
      <c r="AD4399" s="4"/>
      <c r="AE4399" s="4"/>
      <c r="AF4399" s="21"/>
    </row>
    <row r="4400" spans="24:32" x14ac:dyDescent="0.25">
      <c r="X4400" s="4"/>
      <c r="Y4400" s="4"/>
      <c r="Z4400" s="4"/>
      <c r="AA4400" s="4"/>
      <c r="AB4400" s="4"/>
      <c r="AC4400" s="7"/>
      <c r="AD4400" s="4"/>
      <c r="AE4400" s="4"/>
      <c r="AF4400" s="21"/>
    </row>
    <row r="4401" spans="24:32" x14ac:dyDescent="0.25">
      <c r="X4401" s="4"/>
      <c r="Y4401" s="4"/>
      <c r="Z4401" s="4"/>
      <c r="AA4401" s="4"/>
      <c r="AB4401" s="4"/>
      <c r="AC4401" s="7"/>
      <c r="AD4401" s="4"/>
      <c r="AE4401" s="4"/>
      <c r="AF4401" s="21"/>
    </row>
    <row r="4402" spans="24:32" x14ac:dyDescent="0.25">
      <c r="X4402" s="4"/>
      <c r="Y4402" s="4"/>
      <c r="Z4402" s="4"/>
      <c r="AA4402" s="4"/>
      <c r="AB4402" s="4"/>
      <c r="AC4402" s="7"/>
      <c r="AD4402" s="4"/>
      <c r="AE4402" s="4"/>
      <c r="AF4402" s="21"/>
    </row>
    <row r="4403" spans="24:32" x14ac:dyDescent="0.25">
      <c r="X4403" s="4"/>
      <c r="Y4403" s="4"/>
      <c r="Z4403" s="4"/>
      <c r="AA4403" s="4"/>
      <c r="AB4403" s="4"/>
      <c r="AC4403" s="7"/>
      <c r="AD4403" s="4"/>
      <c r="AE4403" s="4"/>
      <c r="AF4403" s="21"/>
    </row>
    <row r="4404" spans="24:32" x14ac:dyDescent="0.25">
      <c r="X4404" s="4"/>
      <c r="Y4404" s="4"/>
      <c r="Z4404" s="4"/>
      <c r="AA4404" s="4"/>
      <c r="AB4404" s="4"/>
      <c r="AC4404" s="7"/>
      <c r="AD4404" s="4"/>
      <c r="AE4404" s="4"/>
      <c r="AF4404" s="21"/>
    </row>
    <row r="4405" spans="24:32" x14ac:dyDescent="0.25">
      <c r="X4405" s="4"/>
      <c r="Y4405" s="4"/>
      <c r="Z4405" s="4"/>
      <c r="AA4405" s="4"/>
      <c r="AB4405" s="4"/>
      <c r="AC4405" s="7"/>
      <c r="AD4405" s="4"/>
      <c r="AE4405" s="4"/>
      <c r="AF4405" s="21"/>
    </row>
    <row r="4406" spans="24:32" x14ac:dyDescent="0.25">
      <c r="X4406" s="4"/>
      <c r="Y4406" s="4"/>
      <c r="Z4406" s="4"/>
      <c r="AA4406" s="4"/>
      <c r="AB4406" s="4"/>
      <c r="AC4406" s="7"/>
      <c r="AD4406" s="4"/>
      <c r="AE4406" s="4"/>
      <c r="AF4406" s="21"/>
    </row>
    <row r="4407" spans="24:32" x14ac:dyDescent="0.25">
      <c r="X4407" s="4"/>
      <c r="Y4407" s="4"/>
      <c r="Z4407" s="4"/>
      <c r="AA4407" s="4"/>
      <c r="AB4407" s="4"/>
      <c r="AC4407" s="7"/>
      <c r="AD4407" s="4"/>
      <c r="AE4407" s="4"/>
      <c r="AF4407" s="21"/>
    </row>
    <row r="4408" spans="24:32" x14ac:dyDescent="0.25">
      <c r="X4408" s="4"/>
      <c r="Y4408" s="4"/>
      <c r="Z4408" s="4"/>
      <c r="AA4408" s="4"/>
      <c r="AB4408" s="4"/>
      <c r="AC4408" s="7"/>
      <c r="AD4408" s="4"/>
      <c r="AE4408" s="4"/>
      <c r="AF4408" s="21"/>
    </row>
    <row r="4409" spans="24:32" x14ac:dyDescent="0.25">
      <c r="X4409" s="4"/>
      <c r="Y4409" s="4"/>
      <c r="Z4409" s="4"/>
      <c r="AA4409" s="4"/>
      <c r="AB4409" s="4"/>
      <c r="AC4409" s="7"/>
      <c r="AD4409" s="4"/>
      <c r="AE4409" s="4"/>
      <c r="AF4409" s="21"/>
    </row>
    <row r="4410" spans="24:32" x14ac:dyDescent="0.25">
      <c r="X4410" s="4"/>
      <c r="Y4410" s="4"/>
      <c r="Z4410" s="4"/>
      <c r="AA4410" s="4"/>
      <c r="AB4410" s="4"/>
      <c r="AC4410" s="7"/>
      <c r="AD4410" s="4"/>
      <c r="AE4410" s="4"/>
      <c r="AF4410" s="21"/>
    </row>
    <row r="4411" spans="24:32" x14ac:dyDescent="0.25">
      <c r="X4411" s="4"/>
      <c r="Y4411" s="4"/>
      <c r="Z4411" s="4"/>
      <c r="AA4411" s="4"/>
      <c r="AB4411" s="4"/>
      <c r="AC4411" s="7"/>
      <c r="AD4411" s="4"/>
      <c r="AE4411" s="4"/>
      <c r="AF4411" s="21"/>
    </row>
    <row r="4412" spans="24:32" x14ac:dyDescent="0.25">
      <c r="X4412" s="4"/>
      <c r="Y4412" s="4"/>
      <c r="Z4412" s="4"/>
      <c r="AA4412" s="4"/>
      <c r="AB4412" s="4"/>
      <c r="AC4412" s="7"/>
      <c r="AD4412" s="4"/>
      <c r="AE4412" s="4"/>
      <c r="AF4412" s="21"/>
    </row>
    <row r="4413" spans="24:32" x14ac:dyDescent="0.25">
      <c r="X4413" s="4"/>
      <c r="Y4413" s="4"/>
      <c r="Z4413" s="4"/>
      <c r="AA4413" s="4"/>
      <c r="AB4413" s="4"/>
      <c r="AC4413" s="7"/>
      <c r="AD4413" s="4"/>
      <c r="AE4413" s="4"/>
      <c r="AF4413" s="21"/>
    </row>
    <row r="4414" spans="24:32" x14ac:dyDescent="0.25">
      <c r="X4414" s="4"/>
      <c r="Y4414" s="4"/>
      <c r="Z4414" s="4"/>
      <c r="AA4414" s="4"/>
      <c r="AB4414" s="4"/>
      <c r="AC4414" s="7"/>
      <c r="AD4414" s="4"/>
      <c r="AE4414" s="4"/>
      <c r="AF4414" s="21"/>
    </row>
    <row r="4415" spans="24:32" x14ac:dyDescent="0.25">
      <c r="X4415" s="4"/>
      <c r="Y4415" s="4"/>
      <c r="Z4415" s="4"/>
      <c r="AA4415" s="4"/>
      <c r="AB4415" s="4"/>
      <c r="AC4415" s="7"/>
      <c r="AD4415" s="4"/>
      <c r="AE4415" s="4"/>
      <c r="AF4415" s="21"/>
    </row>
    <row r="4416" spans="24:32" x14ac:dyDescent="0.25">
      <c r="X4416" s="4"/>
      <c r="Y4416" s="4"/>
      <c r="Z4416" s="4"/>
      <c r="AA4416" s="4"/>
      <c r="AB4416" s="4"/>
      <c r="AC4416" s="7"/>
      <c r="AD4416" s="4"/>
      <c r="AE4416" s="4"/>
      <c r="AF4416" s="21"/>
    </row>
    <row r="4417" spans="24:32" x14ac:dyDescent="0.25">
      <c r="X4417" s="4"/>
      <c r="Y4417" s="4"/>
      <c r="Z4417" s="4"/>
      <c r="AA4417" s="4"/>
      <c r="AB4417" s="4"/>
      <c r="AC4417" s="7"/>
      <c r="AD4417" s="4"/>
      <c r="AE4417" s="4"/>
      <c r="AF4417" s="21"/>
    </row>
    <row r="4418" spans="24:32" x14ac:dyDescent="0.25">
      <c r="X4418" s="4"/>
      <c r="Y4418" s="4"/>
      <c r="Z4418" s="4"/>
      <c r="AA4418" s="4"/>
      <c r="AB4418" s="4"/>
      <c r="AC4418" s="7"/>
      <c r="AD4418" s="4"/>
      <c r="AE4418" s="4"/>
      <c r="AF4418" s="21"/>
    </row>
    <row r="4419" spans="24:32" x14ac:dyDescent="0.25">
      <c r="X4419" s="4"/>
      <c r="Y4419" s="4"/>
      <c r="Z4419" s="4"/>
      <c r="AA4419" s="4"/>
      <c r="AB4419" s="4"/>
      <c r="AC4419" s="7"/>
      <c r="AD4419" s="4"/>
      <c r="AE4419" s="4"/>
      <c r="AF4419" s="21"/>
    </row>
    <row r="4420" spans="24:32" x14ac:dyDescent="0.25">
      <c r="X4420" s="4"/>
      <c r="Y4420" s="4"/>
      <c r="Z4420" s="4"/>
      <c r="AA4420" s="4"/>
      <c r="AB4420" s="4"/>
      <c r="AC4420" s="7"/>
      <c r="AD4420" s="4"/>
      <c r="AE4420" s="4"/>
      <c r="AF4420" s="21"/>
    </row>
    <row r="4421" spans="24:32" x14ac:dyDescent="0.25">
      <c r="X4421" s="4"/>
      <c r="Y4421" s="4"/>
      <c r="Z4421" s="4"/>
      <c r="AA4421" s="4"/>
      <c r="AB4421" s="4"/>
      <c r="AC4421" s="7"/>
      <c r="AD4421" s="4"/>
      <c r="AE4421" s="4"/>
      <c r="AF4421" s="21"/>
    </row>
    <row r="4422" spans="24:32" x14ac:dyDescent="0.25">
      <c r="X4422" s="4"/>
      <c r="Y4422" s="4"/>
      <c r="Z4422" s="4"/>
      <c r="AA4422" s="4"/>
      <c r="AB4422" s="4"/>
      <c r="AC4422" s="7"/>
      <c r="AD4422" s="4"/>
      <c r="AE4422" s="4"/>
      <c r="AF4422" s="21"/>
    </row>
    <row r="4423" spans="24:32" x14ac:dyDescent="0.25">
      <c r="X4423" s="4"/>
      <c r="Y4423" s="4"/>
      <c r="Z4423" s="4"/>
      <c r="AA4423" s="4"/>
      <c r="AB4423" s="4"/>
      <c r="AC4423" s="7"/>
      <c r="AD4423" s="4"/>
      <c r="AE4423" s="4"/>
      <c r="AF4423" s="21"/>
    </row>
    <row r="4424" spans="24:32" x14ac:dyDescent="0.25">
      <c r="X4424" s="4"/>
      <c r="Y4424" s="4"/>
      <c r="Z4424" s="4"/>
      <c r="AA4424" s="4"/>
      <c r="AB4424" s="4"/>
      <c r="AC4424" s="7"/>
      <c r="AD4424" s="4"/>
      <c r="AE4424" s="4"/>
      <c r="AF4424" s="21"/>
    </row>
    <row r="4425" spans="24:32" x14ac:dyDescent="0.25">
      <c r="X4425" s="4"/>
      <c r="Y4425" s="4"/>
      <c r="Z4425" s="4"/>
      <c r="AA4425" s="4"/>
      <c r="AB4425" s="4"/>
      <c r="AC4425" s="7"/>
      <c r="AD4425" s="4"/>
      <c r="AE4425" s="4"/>
      <c r="AF4425" s="21"/>
    </row>
    <row r="4426" spans="24:32" x14ac:dyDescent="0.25">
      <c r="X4426" s="4"/>
      <c r="Y4426" s="4"/>
      <c r="Z4426" s="4"/>
      <c r="AA4426" s="4"/>
      <c r="AB4426" s="4"/>
      <c r="AC4426" s="7"/>
      <c r="AD4426" s="4"/>
      <c r="AE4426" s="4"/>
      <c r="AF4426" s="21"/>
    </row>
    <row r="4427" spans="24:32" x14ac:dyDescent="0.25">
      <c r="X4427" s="4"/>
      <c r="Y4427" s="4"/>
      <c r="Z4427" s="4"/>
      <c r="AA4427" s="4"/>
      <c r="AB4427" s="4"/>
      <c r="AC4427" s="7"/>
      <c r="AD4427" s="4"/>
      <c r="AE4427" s="4"/>
      <c r="AF4427" s="21"/>
    </row>
    <row r="4428" spans="24:32" x14ac:dyDescent="0.25">
      <c r="X4428" s="4"/>
      <c r="Y4428" s="4"/>
      <c r="Z4428" s="4"/>
      <c r="AA4428" s="4"/>
      <c r="AB4428" s="4"/>
      <c r="AC4428" s="7"/>
      <c r="AD4428" s="4"/>
      <c r="AE4428" s="4"/>
      <c r="AF4428" s="21"/>
    </row>
    <row r="4429" spans="24:32" x14ac:dyDescent="0.25">
      <c r="X4429" s="4"/>
      <c r="Y4429" s="4"/>
      <c r="Z4429" s="4"/>
      <c r="AA4429" s="4"/>
      <c r="AB4429" s="4"/>
      <c r="AC4429" s="7"/>
      <c r="AD4429" s="4"/>
      <c r="AE4429" s="4"/>
      <c r="AF4429" s="21"/>
    </row>
    <row r="4430" spans="24:32" x14ac:dyDescent="0.25">
      <c r="X4430" s="4"/>
      <c r="Y4430" s="4"/>
      <c r="Z4430" s="4"/>
      <c r="AA4430" s="4"/>
      <c r="AB4430" s="4"/>
      <c r="AC4430" s="7"/>
      <c r="AD4430" s="4"/>
      <c r="AE4430" s="4"/>
      <c r="AF4430" s="21"/>
    </row>
    <row r="4431" spans="24:32" x14ac:dyDescent="0.25">
      <c r="X4431" s="4"/>
      <c r="Y4431" s="4"/>
      <c r="Z4431" s="4"/>
      <c r="AA4431" s="4"/>
      <c r="AB4431" s="4"/>
      <c r="AC4431" s="7"/>
      <c r="AD4431" s="4"/>
      <c r="AE4431" s="4"/>
      <c r="AF4431" s="21"/>
    </row>
    <row r="4432" spans="24:32" x14ac:dyDescent="0.25">
      <c r="X4432" s="4"/>
      <c r="Y4432" s="4"/>
      <c r="Z4432" s="4"/>
      <c r="AA4432" s="4"/>
      <c r="AB4432" s="4"/>
      <c r="AC4432" s="7"/>
      <c r="AD4432" s="4"/>
      <c r="AE4432" s="4"/>
      <c r="AF4432" s="21"/>
    </row>
    <row r="4433" spans="24:32" x14ac:dyDescent="0.25">
      <c r="X4433" s="4"/>
      <c r="Y4433" s="4"/>
      <c r="Z4433" s="4"/>
      <c r="AA4433" s="4"/>
      <c r="AB4433" s="4"/>
      <c r="AC4433" s="7"/>
      <c r="AD4433" s="4"/>
      <c r="AE4433" s="4"/>
      <c r="AF4433" s="21"/>
    </row>
    <row r="4434" spans="24:32" x14ac:dyDescent="0.25">
      <c r="X4434" s="4"/>
      <c r="Y4434" s="4"/>
      <c r="Z4434" s="4"/>
      <c r="AA4434" s="4"/>
      <c r="AB4434" s="4"/>
      <c r="AC4434" s="7"/>
      <c r="AD4434" s="4"/>
      <c r="AE4434" s="4"/>
      <c r="AF4434" s="21"/>
    </row>
    <row r="4435" spans="24:32" x14ac:dyDescent="0.25">
      <c r="X4435" s="4"/>
      <c r="Y4435" s="4"/>
      <c r="Z4435" s="4"/>
      <c r="AA4435" s="4"/>
      <c r="AB4435" s="4"/>
      <c r="AC4435" s="7"/>
      <c r="AD4435" s="4"/>
      <c r="AE4435" s="4"/>
      <c r="AF4435" s="21"/>
    </row>
    <row r="4436" spans="24:32" x14ac:dyDescent="0.25">
      <c r="X4436" s="4"/>
      <c r="Y4436" s="4"/>
      <c r="Z4436" s="4"/>
      <c r="AA4436" s="4"/>
      <c r="AB4436" s="4"/>
      <c r="AC4436" s="7"/>
      <c r="AD4436" s="4"/>
      <c r="AE4436" s="4"/>
      <c r="AF4436" s="21"/>
    </row>
    <row r="4437" spans="24:32" x14ac:dyDescent="0.25">
      <c r="X4437" s="4"/>
      <c r="Y4437" s="4"/>
      <c r="Z4437" s="4"/>
      <c r="AA4437" s="4"/>
      <c r="AB4437" s="4"/>
      <c r="AC4437" s="7"/>
      <c r="AD4437" s="4"/>
      <c r="AE4437" s="4"/>
      <c r="AF4437" s="21"/>
    </row>
    <row r="4438" spans="24:32" x14ac:dyDescent="0.25">
      <c r="X4438" s="4"/>
      <c r="Y4438" s="4"/>
      <c r="Z4438" s="4"/>
      <c r="AA4438" s="4"/>
      <c r="AB4438" s="4"/>
      <c r="AC4438" s="7"/>
      <c r="AD4438" s="4"/>
      <c r="AE4438" s="4"/>
      <c r="AF4438" s="21"/>
    </row>
    <row r="4439" spans="24:32" x14ac:dyDescent="0.25">
      <c r="X4439" s="4"/>
      <c r="Y4439" s="4"/>
      <c r="Z4439" s="4"/>
      <c r="AA4439" s="4"/>
      <c r="AB4439" s="4"/>
      <c r="AC4439" s="7"/>
      <c r="AD4439" s="4"/>
      <c r="AE4439" s="4"/>
      <c r="AF4439" s="21"/>
    </row>
    <row r="4440" spans="24:32" x14ac:dyDescent="0.25">
      <c r="X4440" s="4"/>
      <c r="Y4440" s="4"/>
      <c r="Z4440" s="4"/>
      <c r="AA4440" s="4"/>
      <c r="AB4440" s="4"/>
      <c r="AC4440" s="7"/>
      <c r="AD4440" s="4"/>
      <c r="AE4440" s="4"/>
      <c r="AF4440" s="21"/>
    </row>
    <row r="4441" spans="24:32" x14ac:dyDescent="0.25">
      <c r="X4441" s="4"/>
      <c r="Y4441" s="4"/>
      <c r="Z4441" s="4"/>
      <c r="AA4441" s="4"/>
      <c r="AB4441" s="4"/>
      <c r="AC4441" s="7"/>
      <c r="AD4441" s="4"/>
      <c r="AE4441" s="4"/>
      <c r="AF4441" s="21"/>
    </row>
    <row r="4442" spans="24:32" x14ac:dyDescent="0.25">
      <c r="X4442" s="4"/>
      <c r="Y4442" s="4"/>
      <c r="Z4442" s="4"/>
      <c r="AA4442" s="4"/>
      <c r="AB4442" s="4"/>
      <c r="AC4442" s="7"/>
      <c r="AD4442" s="4"/>
      <c r="AE4442" s="4"/>
      <c r="AF4442" s="21"/>
    </row>
    <row r="4443" spans="24:32" x14ac:dyDescent="0.25">
      <c r="X4443" s="4"/>
      <c r="Y4443" s="4"/>
      <c r="Z4443" s="4"/>
      <c r="AA4443" s="4"/>
      <c r="AB4443" s="4"/>
      <c r="AC4443" s="7"/>
      <c r="AD4443" s="4"/>
      <c r="AE4443" s="4"/>
      <c r="AF4443" s="21"/>
    </row>
    <row r="4444" spans="24:32" x14ac:dyDescent="0.25">
      <c r="X4444" s="4"/>
      <c r="Y4444" s="4"/>
      <c r="Z4444" s="4"/>
      <c r="AA4444" s="4"/>
      <c r="AB4444" s="4"/>
      <c r="AC4444" s="7"/>
      <c r="AD4444" s="4"/>
      <c r="AE4444" s="4"/>
      <c r="AF4444" s="21"/>
    </row>
    <row r="4445" spans="24:32" x14ac:dyDescent="0.25">
      <c r="X4445" s="4"/>
      <c r="Y4445" s="4"/>
      <c r="Z4445" s="4"/>
      <c r="AA4445" s="4"/>
      <c r="AB4445" s="4"/>
      <c r="AC4445" s="7"/>
      <c r="AD4445" s="4"/>
      <c r="AE4445" s="4"/>
      <c r="AF4445" s="21"/>
    </row>
    <row r="4446" spans="24:32" x14ac:dyDescent="0.25">
      <c r="X4446" s="4"/>
      <c r="Y4446" s="4"/>
      <c r="Z4446" s="4"/>
      <c r="AA4446" s="4"/>
      <c r="AB4446" s="4"/>
      <c r="AC4446" s="7"/>
      <c r="AD4446" s="4"/>
      <c r="AE4446" s="4"/>
      <c r="AF4446" s="21"/>
    </row>
    <row r="4447" spans="24:32" x14ac:dyDescent="0.25">
      <c r="X4447" s="4"/>
      <c r="Y4447" s="4"/>
      <c r="Z4447" s="4"/>
      <c r="AA4447" s="4"/>
      <c r="AB4447" s="4"/>
      <c r="AC4447" s="7"/>
      <c r="AD4447" s="4"/>
      <c r="AE4447" s="4"/>
      <c r="AF4447" s="21"/>
    </row>
    <row r="4448" spans="24:32" x14ac:dyDescent="0.25">
      <c r="X4448" s="4"/>
      <c r="Y4448" s="4"/>
      <c r="Z4448" s="4"/>
      <c r="AA4448" s="4"/>
      <c r="AB4448" s="4"/>
      <c r="AC4448" s="7"/>
      <c r="AD4448" s="4"/>
      <c r="AE4448" s="4"/>
      <c r="AF4448" s="21"/>
    </row>
    <row r="4449" spans="24:32" x14ac:dyDescent="0.25">
      <c r="X4449" s="4"/>
      <c r="Y4449" s="4"/>
      <c r="Z4449" s="4"/>
      <c r="AA4449" s="4"/>
      <c r="AB4449" s="4"/>
      <c r="AC4449" s="7"/>
      <c r="AD4449" s="4"/>
      <c r="AE4449" s="4"/>
      <c r="AF4449" s="21"/>
    </row>
    <row r="4450" spans="24:32" x14ac:dyDescent="0.25">
      <c r="X4450" s="4"/>
      <c r="Y4450" s="4"/>
      <c r="Z4450" s="4"/>
      <c r="AA4450" s="4"/>
      <c r="AB4450" s="4"/>
      <c r="AC4450" s="7"/>
      <c r="AD4450" s="4"/>
      <c r="AE4450" s="4"/>
      <c r="AF4450" s="21"/>
    </row>
    <row r="4451" spans="24:32" x14ac:dyDescent="0.25">
      <c r="X4451" s="4"/>
      <c r="Y4451" s="4"/>
      <c r="Z4451" s="4"/>
      <c r="AA4451" s="4"/>
      <c r="AB4451" s="4"/>
      <c r="AC4451" s="7"/>
      <c r="AD4451" s="4"/>
      <c r="AE4451" s="4"/>
      <c r="AF4451" s="21"/>
    </row>
    <row r="4452" spans="24:32" x14ac:dyDescent="0.25">
      <c r="X4452" s="4"/>
      <c r="Y4452" s="4"/>
      <c r="Z4452" s="4"/>
      <c r="AA4452" s="4"/>
      <c r="AB4452" s="4"/>
      <c r="AC4452" s="7"/>
      <c r="AD4452" s="4"/>
      <c r="AE4452" s="4"/>
      <c r="AF4452" s="21"/>
    </row>
    <row r="4453" spans="24:32" x14ac:dyDescent="0.25">
      <c r="X4453" s="4"/>
      <c r="Y4453" s="4"/>
      <c r="Z4453" s="4"/>
      <c r="AA4453" s="4"/>
      <c r="AB4453" s="4"/>
      <c r="AC4453" s="7"/>
      <c r="AD4453" s="4"/>
      <c r="AE4453" s="4"/>
      <c r="AF4453" s="21"/>
    </row>
    <row r="4454" spans="24:32" x14ac:dyDescent="0.25">
      <c r="X4454" s="4"/>
      <c r="Y4454" s="4"/>
      <c r="Z4454" s="4"/>
      <c r="AA4454" s="4"/>
      <c r="AB4454" s="4"/>
      <c r="AC4454" s="7"/>
      <c r="AD4454" s="4"/>
      <c r="AE4454" s="4"/>
      <c r="AF4454" s="21"/>
    </row>
    <row r="4455" spans="24:32" x14ac:dyDescent="0.25">
      <c r="X4455" s="4"/>
      <c r="Y4455" s="4"/>
      <c r="Z4455" s="4"/>
      <c r="AA4455" s="4"/>
      <c r="AB4455" s="4"/>
      <c r="AC4455" s="7"/>
      <c r="AD4455" s="4"/>
      <c r="AE4455" s="4"/>
      <c r="AF4455" s="21"/>
    </row>
    <row r="4456" spans="24:32" x14ac:dyDescent="0.25">
      <c r="X4456" s="4"/>
      <c r="Y4456" s="4"/>
      <c r="Z4456" s="4"/>
      <c r="AA4456" s="4"/>
      <c r="AB4456" s="4"/>
      <c r="AC4456" s="7"/>
      <c r="AD4456" s="4"/>
      <c r="AE4456" s="4"/>
      <c r="AF4456" s="21"/>
    </row>
    <row r="4457" spans="24:32" x14ac:dyDescent="0.25">
      <c r="X4457" s="4"/>
      <c r="Y4457" s="4"/>
      <c r="Z4457" s="4"/>
      <c r="AA4457" s="4"/>
      <c r="AB4457" s="4"/>
      <c r="AC4457" s="7"/>
      <c r="AD4457" s="4"/>
      <c r="AE4457" s="4"/>
      <c r="AF4457" s="21"/>
    </row>
    <row r="4458" spans="24:32" x14ac:dyDescent="0.25">
      <c r="X4458" s="4"/>
      <c r="Y4458" s="4"/>
      <c r="Z4458" s="4"/>
      <c r="AA4458" s="4"/>
      <c r="AB4458" s="4"/>
      <c r="AC4458" s="7"/>
      <c r="AD4458" s="4"/>
      <c r="AE4458" s="4"/>
      <c r="AF4458" s="21"/>
    </row>
    <row r="4459" spans="24:32" x14ac:dyDescent="0.25">
      <c r="X4459" s="4"/>
      <c r="Y4459" s="4"/>
      <c r="Z4459" s="4"/>
      <c r="AA4459" s="4"/>
      <c r="AB4459" s="4"/>
      <c r="AC4459" s="7"/>
      <c r="AD4459" s="4"/>
      <c r="AE4459" s="4"/>
      <c r="AF4459" s="21"/>
    </row>
    <row r="4460" spans="24:32" x14ac:dyDescent="0.25">
      <c r="X4460" s="4"/>
      <c r="Y4460" s="4"/>
      <c r="Z4460" s="4"/>
      <c r="AA4460" s="4"/>
      <c r="AB4460" s="4"/>
      <c r="AC4460" s="7"/>
      <c r="AD4460" s="4"/>
      <c r="AE4460" s="4"/>
      <c r="AF4460" s="21"/>
    </row>
    <row r="4461" spans="24:32" x14ac:dyDescent="0.25">
      <c r="X4461" s="4"/>
      <c r="Y4461" s="4"/>
      <c r="Z4461" s="4"/>
      <c r="AA4461" s="4"/>
      <c r="AB4461" s="4"/>
      <c r="AC4461" s="7"/>
      <c r="AD4461" s="4"/>
      <c r="AE4461" s="4"/>
      <c r="AF4461" s="21"/>
    </row>
    <row r="4462" spans="24:32" x14ac:dyDescent="0.25">
      <c r="X4462" s="4"/>
      <c r="Y4462" s="4"/>
      <c r="Z4462" s="4"/>
      <c r="AA4462" s="4"/>
      <c r="AB4462" s="4"/>
      <c r="AC4462" s="7"/>
      <c r="AD4462" s="4"/>
      <c r="AE4462" s="4"/>
      <c r="AF4462" s="21"/>
    </row>
    <row r="4463" spans="24:32" x14ac:dyDescent="0.25">
      <c r="X4463" s="4"/>
      <c r="Y4463" s="4"/>
      <c r="Z4463" s="4"/>
      <c r="AA4463" s="4"/>
      <c r="AB4463" s="4"/>
      <c r="AC4463" s="7"/>
      <c r="AD4463" s="4"/>
      <c r="AE4463" s="4"/>
      <c r="AF4463" s="21"/>
    </row>
    <row r="4464" spans="24:32" x14ac:dyDescent="0.25">
      <c r="X4464" s="4"/>
      <c r="Y4464" s="4"/>
      <c r="Z4464" s="4"/>
      <c r="AA4464" s="4"/>
      <c r="AB4464" s="4"/>
      <c r="AC4464" s="7"/>
      <c r="AD4464" s="4"/>
      <c r="AE4464" s="4"/>
      <c r="AF4464" s="21"/>
    </row>
    <row r="4465" spans="24:32" x14ac:dyDescent="0.25">
      <c r="X4465" s="4"/>
      <c r="Y4465" s="4"/>
      <c r="Z4465" s="4"/>
      <c r="AA4465" s="4"/>
      <c r="AB4465" s="4"/>
      <c r="AC4465" s="7"/>
      <c r="AD4465" s="4"/>
      <c r="AE4465" s="4"/>
      <c r="AF4465" s="21"/>
    </row>
    <row r="4466" spans="24:32" x14ac:dyDescent="0.25">
      <c r="X4466" s="4"/>
      <c r="Y4466" s="4"/>
      <c r="Z4466" s="4"/>
      <c r="AA4466" s="4"/>
      <c r="AB4466" s="4"/>
      <c r="AC4466" s="7"/>
      <c r="AD4466" s="4"/>
      <c r="AE4466" s="4"/>
      <c r="AF4466" s="21"/>
    </row>
    <row r="4467" spans="24:32" x14ac:dyDescent="0.25">
      <c r="X4467" s="4"/>
      <c r="Y4467" s="4"/>
      <c r="Z4467" s="4"/>
      <c r="AA4467" s="4"/>
      <c r="AB4467" s="4"/>
      <c r="AC4467" s="7"/>
      <c r="AD4467" s="4"/>
      <c r="AE4467" s="4"/>
      <c r="AF4467" s="21"/>
    </row>
    <row r="4468" spans="24:32" x14ac:dyDescent="0.25">
      <c r="X4468" s="4"/>
      <c r="Y4468" s="4"/>
      <c r="Z4468" s="4"/>
      <c r="AA4468" s="4"/>
      <c r="AB4468" s="4"/>
      <c r="AC4468" s="7"/>
      <c r="AD4468" s="4"/>
      <c r="AE4468" s="4"/>
      <c r="AF4468" s="21"/>
    </row>
    <row r="4469" spans="24:32" x14ac:dyDescent="0.25">
      <c r="X4469" s="4"/>
      <c r="Y4469" s="4"/>
      <c r="Z4469" s="4"/>
      <c r="AA4469" s="4"/>
      <c r="AB4469" s="4"/>
      <c r="AC4469" s="7"/>
      <c r="AD4469" s="4"/>
      <c r="AE4469" s="4"/>
      <c r="AF4469" s="21"/>
    </row>
    <row r="4470" spans="24:32" x14ac:dyDescent="0.25">
      <c r="X4470" s="4"/>
      <c r="Y4470" s="4"/>
      <c r="Z4470" s="4"/>
      <c r="AA4470" s="4"/>
      <c r="AB4470" s="4"/>
      <c r="AC4470" s="7"/>
      <c r="AD4470" s="4"/>
      <c r="AE4470" s="4"/>
      <c r="AF4470" s="21"/>
    </row>
    <row r="4471" spans="24:32" x14ac:dyDescent="0.25">
      <c r="X4471" s="4"/>
      <c r="Y4471" s="4"/>
      <c r="Z4471" s="4"/>
      <c r="AA4471" s="4"/>
      <c r="AB4471" s="4"/>
      <c r="AC4471" s="7"/>
      <c r="AD4471" s="4"/>
      <c r="AE4471" s="4"/>
      <c r="AF4471" s="21"/>
    </row>
    <row r="4472" spans="24:32" x14ac:dyDescent="0.25">
      <c r="X4472" s="4"/>
      <c r="Y4472" s="4"/>
      <c r="Z4472" s="4"/>
      <c r="AA4472" s="4"/>
      <c r="AB4472" s="4"/>
      <c r="AC4472" s="7"/>
      <c r="AD4472" s="4"/>
      <c r="AE4472" s="4"/>
      <c r="AF4472" s="21"/>
    </row>
    <row r="4473" spans="24:32" x14ac:dyDescent="0.25">
      <c r="X4473" s="4"/>
      <c r="Y4473" s="4"/>
      <c r="Z4473" s="4"/>
      <c r="AA4473" s="4"/>
      <c r="AB4473" s="4"/>
      <c r="AC4473" s="7"/>
      <c r="AD4473" s="4"/>
      <c r="AE4473" s="4"/>
      <c r="AF4473" s="21"/>
    </row>
    <row r="4474" spans="24:32" x14ac:dyDescent="0.25">
      <c r="X4474" s="4"/>
      <c r="Y4474" s="4"/>
      <c r="Z4474" s="4"/>
      <c r="AA4474" s="4"/>
      <c r="AB4474" s="4"/>
      <c r="AC4474" s="7"/>
      <c r="AD4474" s="4"/>
      <c r="AE4474" s="4"/>
      <c r="AF4474" s="21"/>
    </row>
    <row r="4475" spans="24:32" x14ac:dyDescent="0.25">
      <c r="X4475" s="4"/>
      <c r="Y4475" s="4"/>
      <c r="Z4475" s="4"/>
      <c r="AA4475" s="4"/>
      <c r="AB4475" s="4"/>
      <c r="AC4475" s="7"/>
      <c r="AD4475" s="4"/>
      <c r="AE4475" s="4"/>
      <c r="AF4475" s="21"/>
    </row>
    <row r="4476" spans="24:32" x14ac:dyDescent="0.25">
      <c r="X4476" s="4"/>
      <c r="Y4476" s="4"/>
      <c r="Z4476" s="4"/>
      <c r="AA4476" s="4"/>
      <c r="AB4476" s="4"/>
      <c r="AC4476" s="7"/>
      <c r="AD4476" s="4"/>
      <c r="AE4476" s="4"/>
      <c r="AF4476" s="21"/>
    </row>
    <row r="4477" spans="24:32" x14ac:dyDescent="0.25">
      <c r="X4477" s="4"/>
      <c r="Y4477" s="4"/>
      <c r="Z4477" s="4"/>
      <c r="AA4477" s="4"/>
      <c r="AB4477" s="4"/>
      <c r="AC4477" s="7"/>
      <c r="AD4477" s="4"/>
      <c r="AE4477" s="4"/>
      <c r="AF4477" s="21"/>
    </row>
    <row r="4478" spans="24:32" x14ac:dyDescent="0.25">
      <c r="X4478" s="4"/>
      <c r="Y4478" s="4"/>
      <c r="Z4478" s="4"/>
      <c r="AA4478" s="4"/>
      <c r="AB4478" s="4"/>
      <c r="AC4478" s="7"/>
      <c r="AD4478" s="4"/>
      <c r="AE4478" s="4"/>
      <c r="AF4478" s="21"/>
    </row>
    <row r="4479" spans="24:32" x14ac:dyDescent="0.25">
      <c r="X4479" s="4"/>
      <c r="Y4479" s="4"/>
      <c r="Z4479" s="4"/>
      <c r="AA4479" s="4"/>
      <c r="AB4479" s="4"/>
      <c r="AC4479" s="7"/>
      <c r="AD4479" s="4"/>
      <c r="AE4479" s="4"/>
      <c r="AF4479" s="21"/>
    </row>
    <row r="4480" spans="24:32" x14ac:dyDescent="0.25">
      <c r="X4480" s="4"/>
      <c r="Y4480" s="4"/>
      <c r="Z4480" s="4"/>
      <c r="AA4480" s="4"/>
      <c r="AB4480" s="4"/>
      <c r="AC4480" s="7"/>
      <c r="AD4480" s="4"/>
      <c r="AE4480" s="4"/>
      <c r="AF4480" s="21"/>
    </row>
    <row r="4481" spans="24:32" x14ac:dyDescent="0.25">
      <c r="X4481" s="4"/>
      <c r="Y4481" s="4"/>
      <c r="Z4481" s="4"/>
      <c r="AA4481" s="4"/>
      <c r="AB4481" s="4"/>
      <c r="AC4481" s="7"/>
      <c r="AD4481" s="4"/>
      <c r="AE4481" s="4"/>
      <c r="AF4481" s="21"/>
    </row>
    <row r="4482" spans="24:32" x14ac:dyDescent="0.25">
      <c r="X4482" s="4"/>
      <c r="Y4482" s="4"/>
      <c r="Z4482" s="4"/>
      <c r="AA4482" s="4"/>
      <c r="AB4482" s="4"/>
      <c r="AC4482" s="7"/>
      <c r="AD4482" s="4"/>
      <c r="AE4482" s="4"/>
      <c r="AF4482" s="21"/>
    </row>
    <row r="4483" spans="24:32" x14ac:dyDescent="0.25">
      <c r="X4483" s="4"/>
      <c r="Y4483" s="4"/>
      <c r="Z4483" s="4"/>
      <c r="AA4483" s="4"/>
      <c r="AB4483" s="4"/>
      <c r="AC4483" s="7"/>
      <c r="AD4483" s="4"/>
      <c r="AE4483" s="4"/>
      <c r="AF4483" s="21"/>
    </row>
    <row r="4484" spans="24:32" x14ac:dyDescent="0.25">
      <c r="X4484" s="4"/>
      <c r="Y4484" s="4"/>
      <c r="Z4484" s="4"/>
      <c r="AA4484" s="4"/>
      <c r="AB4484" s="4"/>
      <c r="AC4484" s="7"/>
      <c r="AD4484" s="4"/>
      <c r="AE4484" s="4"/>
      <c r="AF4484" s="21"/>
    </row>
    <row r="4485" spans="24:32" x14ac:dyDescent="0.25">
      <c r="X4485" s="4"/>
      <c r="Y4485" s="4"/>
      <c r="Z4485" s="4"/>
      <c r="AA4485" s="4"/>
      <c r="AB4485" s="4"/>
      <c r="AC4485" s="7"/>
      <c r="AD4485" s="4"/>
      <c r="AE4485" s="4"/>
      <c r="AF4485" s="21"/>
    </row>
    <row r="4486" spans="24:32" x14ac:dyDescent="0.25">
      <c r="X4486" s="4"/>
      <c r="Y4486" s="4"/>
      <c r="Z4486" s="4"/>
      <c r="AA4486" s="4"/>
      <c r="AB4486" s="4"/>
      <c r="AC4486" s="7"/>
      <c r="AD4486" s="4"/>
      <c r="AE4486" s="4"/>
      <c r="AF4486" s="21"/>
    </row>
    <row r="4487" spans="24:32" x14ac:dyDescent="0.25">
      <c r="X4487" s="4"/>
      <c r="Y4487" s="4"/>
      <c r="Z4487" s="4"/>
      <c r="AA4487" s="4"/>
      <c r="AB4487" s="4"/>
      <c r="AC4487" s="7"/>
      <c r="AD4487" s="4"/>
      <c r="AE4487" s="4"/>
      <c r="AF4487" s="21"/>
    </row>
    <row r="4488" spans="24:32" x14ac:dyDescent="0.25">
      <c r="X4488" s="4"/>
      <c r="Y4488" s="4"/>
      <c r="Z4488" s="4"/>
      <c r="AA4488" s="4"/>
      <c r="AB4488" s="4"/>
      <c r="AC4488" s="7"/>
      <c r="AD4488" s="4"/>
      <c r="AE4488" s="4"/>
      <c r="AF4488" s="21"/>
    </row>
    <row r="4489" spans="24:32" x14ac:dyDescent="0.25">
      <c r="X4489" s="4"/>
      <c r="Y4489" s="4"/>
      <c r="Z4489" s="4"/>
      <c r="AA4489" s="4"/>
      <c r="AB4489" s="4"/>
      <c r="AC4489" s="7"/>
      <c r="AD4489" s="4"/>
      <c r="AE4489" s="4"/>
      <c r="AF4489" s="21"/>
    </row>
    <row r="4490" spans="24:32" x14ac:dyDescent="0.25">
      <c r="X4490" s="4"/>
      <c r="Y4490" s="4"/>
      <c r="Z4490" s="4"/>
      <c r="AA4490" s="4"/>
      <c r="AB4490" s="4"/>
      <c r="AC4490" s="7"/>
      <c r="AD4490" s="4"/>
      <c r="AE4490" s="4"/>
      <c r="AF4490" s="21"/>
    </row>
    <row r="4491" spans="24:32" x14ac:dyDescent="0.25">
      <c r="X4491" s="4"/>
      <c r="Y4491" s="4"/>
      <c r="Z4491" s="4"/>
      <c r="AA4491" s="4"/>
      <c r="AB4491" s="4"/>
      <c r="AC4491" s="7"/>
      <c r="AD4491" s="4"/>
      <c r="AE4491" s="4"/>
      <c r="AF4491" s="21"/>
    </row>
    <row r="4492" spans="24:32" x14ac:dyDescent="0.25">
      <c r="X4492" s="4"/>
      <c r="Y4492" s="4"/>
      <c r="Z4492" s="4"/>
      <c r="AA4492" s="4"/>
      <c r="AB4492" s="4"/>
      <c r="AC4492" s="7"/>
      <c r="AD4492" s="4"/>
      <c r="AE4492" s="4"/>
      <c r="AF4492" s="21"/>
    </row>
    <row r="4493" spans="24:32" x14ac:dyDescent="0.25">
      <c r="X4493" s="4"/>
      <c r="Y4493" s="4"/>
      <c r="Z4493" s="4"/>
      <c r="AA4493" s="4"/>
      <c r="AB4493" s="4"/>
      <c r="AC4493" s="7"/>
      <c r="AD4493" s="4"/>
      <c r="AE4493" s="4"/>
      <c r="AF4493" s="21"/>
    </row>
    <row r="4494" spans="24:32" x14ac:dyDescent="0.25">
      <c r="X4494" s="4"/>
      <c r="Y4494" s="4"/>
      <c r="Z4494" s="4"/>
      <c r="AA4494" s="4"/>
      <c r="AB4494" s="4"/>
      <c r="AC4494" s="7"/>
      <c r="AD4494" s="4"/>
      <c r="AE4494" s="4"/>
      <c r="AF4494" s="21"/>
    </row>
    <row r="4495" spans="24:32" x14ac:dyDescent="0.25">
      <c r="X4495" s="4"/>
      <c r="Y4495" s="4"/>
      <c r="Z4495" s="4"/>
      <c r="AA4495" s="4"/>
      <c r="AB4495" s="4"/>
      <c r="AC4495" s="7"/>
      <c r="AD4495" s="4"/>
      <c r="AE4495" s="4"/>
      <c r="AF4495" s="21"/>
    </row>
    <row r="4496" spans="24:32" x14ac:dyDescent="0.25">
      <c r="X4496" s="4"/>
      <c r="Y4496" s="4"/>
      <c r="Z4496" s="4"/>
      <c r="AA4496" s="4"/>
      <c r="AB4496" s="4"/>
      <c r="AC4496" s="7"/>
      <c r="AD4496" s="4"/>
      <c r="AE4496" s="4"/>
      <c r="AF4496" s="21"/>
    </row>
    <row r="4497" spans="24:32" x14ac:dyDescent="0.25">
      <c r="X4497" s="4"/>
      <c r="Y4497" s="4"/>
      <c r="Z4497" s="4"/>
      <c r="AA4497" s="4"/>
      <c r="AB4497" s="4"/>
      <c r="AC4497" s="7"/>
      <c r="AD4497" s="4"/>
      <c r="AE4497" s="4"/>
      <c r="AF4497" s="21"/>
    </row>
    <row r="4498" spans="24:32" x14ac:dyDescent="0.25">
      <c r="X4498" s="4"/>
      <c r="Y4498" s="4"/>
      <c r="Z4498" s="4"/>
      <c r="AA4498" s="4"/>
      <c r="AB4498" s="4"/>
      <c r="AC4498" s="7"/>
      <c r="AD4498" s="4"/>
      <c r="AE4498" s="4"/>
      <c r="AF4498" s="21"/>
    </row>
    <row r="4499" spans="24:32" x14ac:dyDescent="0.25">
      <c r="X4499" s="4"/>
      <c r="Y4499" s="4"/>
      <c r="Z4499" s="4"/>
      <c r="AA4499" s="4"/>
      <c r="AB4499" s="4"/>
      <c r="AC4499" s="7"/>
      <c r="AD4499" s="4"/>
      <c r="AE4499" s="4"/>
      <c r="AF4499" s="21"/>
    </row>
    <row r="4500" spans="24:32" x14ac:dyDescent="0.25">
      <c r="X4500" s="4"/>
      <c r="Y4500" s="4"/>
      <c r="Z4500" s="4"/>
      <c r="AA4500" s="4"/>
      <c r="AB4500" s="4"/>
      <c r="AC4500" s="7"/>
      <c r="AD4500" s="4"/>
      <c r="AE4500" s="4"/>
      <c r="AF4500" s="21"/>
    </row>
    <row r="4501" spans="24:32" x14ac:dyDescent="0.25">
      <c r="X4501" s="4"/>
      <c r="Y4501" s="4"/>
      <c r="Z4501" s="4"/>
      <c r="AA4501" s="4"/>
      <c r="AB4501" s="4"/>
      <c r="AC4501" s="7"/>
      <c r="AD4501" s="4"/>
      <c r="AE4501" s="4"/>
      <c r="AF4501" s="21"/>
    </row>
    <row r="4502" spans="24:32" x14ac:dyDescent="0.25">
      <c r="X4502" s="4"/>
      <c r="Y4502" s="4"/>
      <c r="Z4502" s="4"/>
      <c r="AA4502" s="4"/>
      <c r="AB4502" s="4"/>
      <c r="AC4502" s="7"/>
      <c r="AD4502" s="4"/>
      <c r="AE4502" s="4"/>
      <c r="AF4502" s="21"/>
    </row>
    <row r="4503" spans="24:32" x14ac:dyDescent="0.25">
      <c r="X4503" s="4"/>
      <c r="Y4503" s="4"/>
      <c r="Z4503" s="4"/>
      <c r="AA4503" s="4"/>
      <c r="AB4503" s="4"/>
      <c r="AC4503" s="7"/>
      <c r="AD4503" s="4"/>
      <c r="AE4503" s="4"/>
      <c r="AF4503" s="21"/>
    </row>
    <row r="4504" spans="24:32" x14ac:dyDescent="0.25">
      <c r="X4504" s="4"/>
      <c r="Y4504" s="4"/>
      <c r="Z4504" s="4"/>
      <c r="AA4504" s="4"/>
      <c r="AB4504" s="4"/>
      <c r="AC4504" s="7"/>
      <c r="AD4504" s="4"/>
      <c r="AE4504" s="4"/>
      <c r="AF4504" s="21"/>
    </row>
    <row r="4505" spans="24:32" x14ac:dyDescent="0.25">
      <c r="X4505" s="4"/>
      <c r="Y4505" s="4"/>
      <c r="Z4505" s="4"/>
      <c r="AA4505" s="4"/>
      <c r="AB4505" s="4"/>
      <c r="AC4505" s="7"/>
      <c r="AD4505" s="4"/>
      <c r="AE4505" s="4"/>
      <c r="AF4505" s="21"/>
    </row>
    <row r="4506" spans="24:32" x14ac:dyDescent="0.25">
      <c r="X4506" s="4"/>
      <c r="Y4506" s="4"/>
      <c r="Z4506" s="4"/>
      <c r="AA4506" s="4"/>
      <c r="AB4506" s="4"/>
      <c r="AC4506" s="7"/>
      <c r="AD4506" s="4"/>
      <c r="AE4506" s="4"/>
      <c r="AF4506" s="21"/>
    </row>
    <row r="4507" spans="24:32" x14ac:dyDescent="0.25">
      <c r="X4507" s="4"/>
      <c r="Y4507" s="4"/>
      <c r="Z4507" s="4"/>
      <c r="AA4507" s="4"/>
      <c r="AB4507" s="4"/>
      <c r="AC4507" s="7"/>
      <c r="AD4507" s="4"/>
      <c r="AE4507" s="4"/>
      <c r="AF4507" s="21"/>
    </row>
    <row r="4508" spans="24:32" x14ac:dyDescent="0.25">
      <c r="X4508" s="4"/>
      <c r="Y4508" s="4"/>
      <c r="Z4508" s="4"/>
      <c r="AA4508" s="4"/>
      <c r="AB4508" s="4"/>
      <c r="AC4508" s="7"/>
      <c r="AD4508" s="4"/>
      <c r="AE4508" s="4"/>
      <c r="AF4508" s="21"/>
    </row>
    <row r="4509" spans="24:32" x14ac:dyDescent="0.25">
      <c r="X4509" s="4"/>
      <c r="Y4509" s="4"/>
      <c r="Z4509" s="4"/>
      <c r="AA4509" s="4"/>
      <c r="AB4509" s="4"/>
      <c r="AC4509" s="7"/>
      <c r="AD4509" s="4"/>
      <c r="AE4509" s="4"/>
      <c r="AF4509" s="21"/>
    </row>
    <row r="4510" spans="24:32" x14ac:dyDescent="0.25">
      <c r="X4510" s="4"/>
      <c r="Y4510" s="4"/>
      <c r="Z4510" s="4"/>
      <c r="AA4510" s="4"/>
      <c r="AB4510" s="4"/>
      <c r="AC4510" s="7"/>
      <c r="AD4510" s="4"/>
      <c r="AE4510" s="4"/>
      <c r="AF4510" s="21"/>
    </row>
    <row r="4511" spans="24:32" x14ac:dyDescent="0.25">
      <c r="X4511" s="4"/>
      <c r="Y4511" s="4"/>
      <c r="Z4511" s="4"/>
      <c r="AA4511" s="4"/>
      <c r="AB4511" s="4"/>
      <c r="AC4511" s="7"/>
      <c r="AD4511" s="4"/>
      <c r="AE4511" s="4"/>
      <c r="AF4511" s="21"/>
    </row>
    <row r="4512" spans="24:32" x14ac:dyDescent="0.25">
      <c r="X4512" s="4"/>
      <c r="Y4512" s="4"/>
      <c r="Z4512" s="4"/>
      <c r="AA4512" s="4"/>
      <c r="AB4512" s="4"/>
      <c r="AC4512" s="7"/>
      <c r="AD4512" s="4"/>
      <c r="AE4512" s="4"/>
      <c r="AF4512" s="21"/>
    </row>
    <row r="4513" spans="24:32" x14ac:dyDescent="0.25">
      <c r="X4513" s="4"/>
      <c r="Y4513" s="4"/>
      <c r="Z4513" s="4"/>
      <c r="AA4513" s="4"/>
      <c r="AB4513" s="4"/>
      <c r="AC4513" s="7"/>
      <c r="AD4513" s="4"/>
      <c r="AE4513" s="4"/>
      <c r="AF4513" s="21"/>
    </row>
    <row r="4514" spans="24:32" x14ac:dyDescent="0.25">
      <c r="X4514" s="4"/>
      <c r="Y4514" s="4"/>
      <c r="Z4514" s="4"/>
      <c r="AA4514" s="4"/>
      <c r="AB4514" s="4"/>
      <c r="AC4514" s="7"/>
      <c r="AD4514" s="4"/>
      <c r="AE4514" s="4"/>
      <c r="AF4514" s="21"/>
    </row>
    <row r="4515" spans="24:32" x14ac:dyDescent="0.25">
      <c r="X4515" s="4"/>
      <c r="Y4515" s="4"/>
      <c r="Z4515" s="4"/>
      <c r="AA4515" s="4"/>
      <c r="AB4515" s="4"/>
      <c r="AC4515" s="7"/>
      <c r="AD4515" s="4"/>
      <c r="AE4515" s="4"/>
      <c r="AF4515" s="21"/>
    </row>
    <row r="4516" spans="24:32" x14ac:dyDescent="0.25">
      <c r="X4516" s="4"/>
      <c r="Y4516" s="4"/>
      <c r="Z4516" s="4"/>
      <c r="AA4516" s="4"/>
      <c r="AB4516" s="4"/>
      <c r="AC4516" s="7"/>
      <c r="AD4516" s="4"/>
      <c r="AE4516" s="4"/>
      <c r="AF4516" s="21"/>
    </row>
    <row r="4517" spans="24:32" x14ac:dyDescent="0.25">
      <c r="X4517" s="4"/>
      <c r="Y4517" s="4"/>
      <c r="Z4517" s="4"/>
      <c r="AA4517" s="4"/>
      <c r="AB4517" s="4"/>
      <c r="AC4517" s="7"/>
      <c r="AD4517" s="4"/>
      <c r="AE4517" s="4"/>
      <c r="AF4517" s="21"/>
    </row>
    <row r="4518" spans="24:32" x14ac:dyDescent="0.25">
      <c r="X4518" s="4"/>
      <c r="Y4518" s="4"/>
      <c r="Z4518" s="4"/>
      <c r="AA4518" s="4"/>
      <c r="AB4518" s="4"/>
      <c r="AC4518" s="7"/>
      <c r="AD4518" s="4"/>
      <c r="AE4518" s="4"/>
      <c r="AF4518" s="21"/>
    </row>
    <row r="4519" spans="24:32" x14ac:dyDescent="0.25">
      <c r="X4519" s="4"/>
      <c r="Y4519" s="4"/>
      <c r="Z4519" s="4"/>
      <c r="AA4519" s="4"/>
      <c r="AB4519" s="4"/>
      <c r="AC4519" s="7"/>
      <c r="AD4519" s="4"/>
      <c r="AE4519" s="4"/>
      <c r="AF4519" s="21"/>
    </row>
    <row r="4520" spans="24:32" x14ac:dyDescent="0.25">
      <c r="X4520" s="4"/>
      <c r="Y4520" s="4"/>
      <c r="Z4520" s="4"/>
      <c r="AA4520" s="4"/>
      <c r="AB4520" s="4"/>
      <c r="AC4520" s="7"/>
      <c r="AD4520" s="4"/>
      <c r="AE4520" s="4"/>
      <c r="AF4520" s="21"/>
    </row>
    <row r="4521" spans="24:32" x14ac:dyDescent="0.25">
      <c r="X4521" s="4"/>
      <c r="Y4521" s="4"/>
      <c r="Z4521" s="4"/>
      <c r="AA4521" s="4"/>
      <c r="AB4521" s="4"/>
      <c r="AC4521" s="7"/>
      <c r="AD4521" s="4"/>
      <c r="AE4521" s="4"/>
      <c r="AF4521" s="21"/>
    </row>
    <row r="4522" spans="24:32" x14ac:dyDescent="0.25">
      <c r="X4522" s="4"/>
      <c r="Y4522" s="4"/>
      <c r="Z4522" s="4"/>
      <c r="AA4522" s="4"/>
      <c r="AB4522" s="4"/>
      <c r="AC4522" s="7"/>
      <c r="AD4522" s="4"/>
      <c r="AE4522" s="4"/>
      <c r="AF4522" s="21"/>
    </row>
    <row r="4523" spans="24:32" x14ac:dyDescent="0.25">
      <c r="X4523" s="4"/>
      <c r="Y4523" s="4"/>
      <c r="Z4523" s="4"/>
      <c r="AA4523" s="4"/>
      <c r="AB4523" s="4"/>
      <c r="AC4523" s="7"/>
      <c r="AD4523" s="4"/>
      <c r="AE4523" s="4"/>
      <c r="AF4523" s="21"/>
    </row>
    <row r="4524" spans="24:32" x14ac:dyDescent="0.25">
      <c r="X4524" s="4"/>
      <c r="Y4524" s="4"/>
      <c r="Z4524" s="4"/>
      <c r="AA4524" s="4"/>
      <c r="AB4524" s="4"/>
      <c r="AC4524" s="7"/>
      <c r="AD4524" s="4"/>
      <c r="AE4524" s="4"/>
      <c r="AF4524" s="21"/>
    </row>
    <row r="4525" spans="24:32" x14ac:dyDescent="0.25">
      <c r="X4525" s="4"/>
      <c r="Y4525" s="4"/>
      <c r="Z4525" s="4"/>
      <c r="AA4525" s="4"/>
      <c r="AB4525" s="4"/>
      <c r="AC4525" s="7"/>
      <c r="AD4525" s="4"/>
      <c r="AE4525" s="4"/>
      <c r="AF4525" s="21"/>
    </row>
    <row r="4526" spans="24:32" x14ac:dyDescent="0.25">
      <c r="X4526" s="4"/>
      <c r="Y4526" s="4"/>
      <c r="Z4526" s="4"/>
      <c r="AA4526" s="4"/>
      <c r="AB4526" s="4"/>
      <c r="AC4526" s="7"/>
      <c r="AD4526" s="4"/>
      <c r="AE4526" s="4"/>
      <c r="AF4526" s="21"/>
    </row>
    <row r="4527" spans="24:32" x14ac:dyDescent="0.25">
      <c r="X4527" s="4"/>
      <c r="Y4527" s="4"/>
      <c r="Z4527" s="4"/>
      <c r="AA4527" s="4"/>
      <c r="AB4527" s="4"/>
      <c r="AC4527" s="7"/>
      <c r="AD4527" s="4"/>
      <c r="AE4527" s="4"/>
      <c r="AF4527" s="21"/>
    </row>
    <row r="4528" spans="24:32" x14ac:dyDescent="0.25">
      <c r="X4528" s="4"/>
      <c r="Y4528" s="4"/>
      <c r="Z4528" s="4"/>
      <c r="AA4528" s="4"/>
      <c r="AB4528" s="4"/>
      <c r="AC4528" s="7"/>
      <c r="AD4528" s="4"/>
      <c r="AE4528" s="4"/>
      <c r="AF4528" s="21"/>
    </row>
    <row r="4529" spans="24:32" x14ac:dyDescent="0.25">
      <c r="X4529" s="4"/>
      <c r="Y4529" s="4"/>
      <c r="Z4529" s="4"/>
      <c r="AA4529" s="4"/>
      <c r="AB4529" s="4"/>
      <c r="AC4529" s="7"/>
      <c r="AD4529" s="4"/>
      <c r="AE4529" s="4"/>
      <c r="AF4529" s="21"/>
    </row>
    <row r="4530" spans="24:32" x14ac:dyDescent="0.25">
      <c r="X4530" s="4"/>
      <c r="Y4530" s="4"/>
      <c r="Z4530" s="4"/>
      <c r="AA4530" s="4"/>
      <c r="AB4530" s="4"/>
      <c r="AC4530" s="7"/>
      <c r="AD4530" s="4"/>
      <c r="AE4530" s="4"/>
      <c r="AF4530" s="21"/>
    </row>
    <row r="4531" spans="24:32" x14ac:dyDescent="0.25">
      <c r="X4531" s="4"/>
      <c r="Y4531" s="4"/>
      <c r="Z4531" s="4"/>
      <c r="AA4531" s="4"/>
      <c r="AB4531" s="4"/>
      <c r="AC4531" s="7"/>
      <c r="AD4531" s="4"/>
      <c r="AE4531" s="4"/>
      <c r="AF4531" s="21"/>
    </row>
    <row r="4532" spans="24:32" x14ac:dyDescent="0.25">
      <c r="X4532" s="4"/>
      <c r="Y4532" s="4"/>
      <c r="Z4532" s="4"/>
      <c r="AA4532" s="4"/>
      <c r="AB4532" s="4"/>
      <c r="AC4532" s="7"/>
      <c r="AD4532" s="4"/>
      <c r="AE4532" s="4"/>
      <c r="AF4532" s="21"/>
    </row>
    <row r="4533" spans="24:32" x14ac:dyDescent="0.25">
      <c r="X4533" s="4"/>
      <c r="Y4533" s="4"/>
      <c r="Z4533" s="4"/>
      <c r="AA4533" s="4"/>
      <c r="AB4533" s="4"/>
      <c r="AC4533" s="7"/>
      <c r="AD4533" s="4"/>
      <c r="AE4533" s="4"/>
      <c r="AF4533" s="21"/>
    </row>
    <row r="4534" spans="24:32" x14ac:dyDescent="0.25">
      <c r="X4534" s="4"/>
      <c r="Y4534" s="4"/>
      <c r="Z4534" s="4"/>
      <c r="AA4534" s="4"/>
      <c r="AB4534" s="4"/>
      <c r="AC4534" s="7"/>
      <c r="AD4534" s="4"/>
      <c r="AE4534" s="4"/>
      <c r="AF4534" s="21"/>
    </row>
    <row r="4535" spans="24:32" x14ac:dyDescent="0.25">
      <c r="X4535" s="4"/>
      <c r="Y4535" s="4"/>
      <c r="Z4535" s="4"/>
      <c r="AA4535" s="4"/>
      <c r="AB4535" s="4"/>
      <c r="AC4535" s="7"/>
      <c r="AD4535" s="4"/>
      <c r="AE4535" s="4"/>
      <c r="AF4535" s="21"/>
    </row>
    <row r="4536" spans="24:32" x14ac:dyDescent="0.25">
      <c r="X4536" s="4"/>
      <c r="Y4536" s="4"/>
      <c r="Z4536" s="4"/>
      <c r="AA4536" s="4"/>
      <c r="AB4536" s="4"/>
      <c r="AC4536" s="7"/>
      <c r="AD4536" s="4"/>
      <c r="AE4536" s="4"/>
      <c r="AF4536" s="21"/>
    </row>
    <row r="4537" spans="24:32" x14ac:dyDescent="0.25">
      <c r="X4537" s="4"/>
      <c r="Y4537" s="4"/>
      <c r="Z4537" s="4"/>
      <c r="AA4537" s="4"/>
      <c r="AB4537" s="4"/>
      <c r="AC4537" s="7"/>
      <c r="AD4537" s="4"/>
      <c r="AE4537" s="4"/>
      <c r="AF4537" s="21"/>
    </row>
    <row r="4538" spans="24:32" x14ac:dyDescent="0.25">
      <c r="X4538" s="4"/>
      <c r="Y4538" s="4"/>
      <c r="Z4538" s="4"/>
      <c r="AA4538" s="4"/>
      <c r="AB4538" s="4"/>
      <c r="AC4538" s="7"/>
      <c r="AD4538" s="4"/>
      <c r="AE4538" s="4"/>
      <c r="AF4538" s="21"/>
    </row>
    <row r="4539" spans="24:32" x14ac:dyDescent="0.25">
      <c r="X4539" s="4"/>
      <c r="Y4539" s="4"/>
      <c r="Z4539" s="4"/>
      <c r="AA4539" s="4"/>
      <c r="AB4539" s="4"/>
      <c r="AC4539" s="7"/>
      <c r="AD4539" s="4"/>
      <c r="AE4539" s="4"/>
      <c r="AF4539" s="21"/>
    </row>
    <row r="4540" spans="24:32" x14ac:dyDescent="0.25">
      <c r="X4540" s="4"/>
      <c r="Y4540" s="4"/>
      <c r="Z4540" s="4"/>
      <c r="AA4540" s="4"/>
      <c r="AB4540" s="4"/>
      <c r="AC4540" s="7"/>
      <c r="AD4540" s="4"/>
      <c r="AE4540" s="4"/>
      <c r="AF4540" s="21"/>
    </row>
    <row r="4541" spans="24:32" x14ac:dyDescent="0.25">
      <c r="X4541" s="4"/>
      <c r="Y4541" s="4"/>
      <c r="Z4541" s="4"/>
      <c r="AA4541" s="4"/>
      <c r="AB4541" s="4"/>
      <c r="AC4541" s="7"/>
      <c r="AD4541" s="4"/>
      <c r="AE4541" s="4"/>
      <c r="AF4541" s="21"/>
    </row>
    <row r="4542" spans="24:32" x14ac:dyDescent="0.25">
      <c r="X4542" s="4"/>
      <c r="Y4542" s="4"/>
      <c r="Z4542" s="4"/>
      <c r="AA4542" s="4"/>
      <c r="AB4542" s="4"/>
      <c r="AC4542" s="7"/>
      <c r="AD4542" s="4"/>
      <c r="AE4542" s="4"/>
      <c r="AF4542" s="21"/>
    </row>
    <row r="4543" spans="24:32" x14ac:dyDescent="0.25">
      <c r="X4543" s="4"/>
      <c r="Y4543" s="4"/>
      <c r="Z4543" s="4"/>
      <c r="AA4543" s="4"/>
      <c r="AB4543" s="4"/>
      <c r="AC4543" s="7"/>
      <c r="AD4543" s="4"/>
      <c r="AE4543" s="4"/>
      <c r="AF4543" s="21"/>
    </row>
    <row r="4544" spans="24:32" x14ac:dyDescent="0.25">
      <c r="X4544" s="4"/>
      <c r="Y4544" s="4"/>
      <c r="Z4544" s="4"/>
      <c r="AA4544" s="4"/>
      <c r="AB4544" s="4"/>
      <c r="AC4544" s="7"/>
      <c r="AD4544" s="4"/>
      <c r="AE4544" s="4"/>
      <c r="AF4544" s="21"/>
    </row>
    <row r="4545" spans="24:32" x14ac:dyDescent="0.25">
      <c r="X4545" s="4"/>
      <c r="Y4545" s="4"/>
      <c r="Z4545" s="4"/>
      <c r="AA4545" s="4"/>
      <c r="AB4545" s="4"/>
      <c r="AC4545" s="7"/>
      <c r="AD4545" s="4"/>
      <c r="AE4545" s="4"/>
      <c r="AF4545" s="21"/>
    </row>
    <row r="4546" spans="24:32" x14ac:dyDescent="0.25">
      <c r="X4546" s="4"/>
      <c r="Y4546" s="4"/>
      <c r="Z4546" s="4"/>
      <c r="AA4546" s="4"/>
      <c r="AB4546" s="4"/>
      <c r="AC4546" s="7"/>
      <c r="AD4546" s="4"/>
      <c r="AE4546" s="4"/>
      <c r="AF4546" s="21"/>
    </row>
    <row r="4547" spans="24:32" x14ac:dyDescent="0.25">
      <c r="X4547" s="4"/>
      <c r="Y4547" s="4"/>
      <c r="Z4547" s="4"/>
      <c r="AA4547" s="4"/>
      <c r="AB4547" s="4"/>
      <c r="AC4547" s="7"/>
      <c r="AD4547" s="4"/>
      <c r="AE4547" s="4"/>
      <c r="AF4547" s="21"/>
    </row>
    <row r="4548" spans="24:32" x14ac:dyDescent="0.25">
      <c r="X4548" s="4"/>
      <c r="Y4548" s="4"/>
      <c r="Z4548" s="4"/>
      <c r="AA4548" s="4"/>
      <c r="AB4548" s="4"/>
      <c r="AC4548" s="7"/>
      <c r="AD4548" s="4"/>
      <c r="AE4548" s="4"/>
      <c r="AF4548" s="21"/>
    </row>
    <row r="4549" spans="24:32" x14ac:dyDescent="0.25">
      <c r="X4549" s="4"/>
      <c r="Y4549" s="4"/>
      <c r="Z4549" s="4"/>
      <c r="AA4549" s="4"/>
      <c r="AB4549" s="4"/>
      <c r="AC4549" s="7"/>
      <c r="AD4549" s="4"/>
      <c r="AE4549" s="4"/>
      <c r="AF4549" s="21"/>
    </row>
    <row r="4550" spans="24:32" x14ac:dyDescent="0.25">
      <c r="X4550" s="4"/>
      <c r="Y4550" s="4"/>
      <c r="Z4550" s="4"/>
      <c r="AA4550" s="4"/>
      <c r="AB4550" s="4"/>
      <c r="AC4550" s="7"/>
      <c r="AD4550" s="4"/>
      <c r="AE4550" s="4"/>
      <c r="AF4550" s="21"/>
    </row>
    <row r="4551" spans="24:32" x14ac:dyDescent="0.25">
      <c r="X4551" s="4"/>
      <c r="Y4551" s="4"/>
      <c r="Z4551" s="4"/>
      <c r="AA4551" s="4"/>
      <c r="AB4551" s="4"/>
      <c r="AC4551" s="7"/>
      <c r="AD4551" s="4"/>
      <c r="AE4551" s="4"/>
      <c r="AF4551" s="21"/>
    </row>
    <row r="4552" spans="24:32" x14ac:dyDescent="0.25">
      <c r="X4552" s="4"/>
      <c r="Y4552" s="4"/>
      <c r="Z4552" s="4"/>
      <c r="AA4552" s="4"/>
      <c r="AB4552" s="4"/>
      <c r="AC4552" s="7"/>
      <c r="AD4552" s="4"/>
      <c r="AE4552" s="4"/>
      <c r="AF4552" s="21"/>
    </row>
    <row r="4553" spans="24:32" x14ac:dyDescent="0.25">
      <c r="X4553" s="4"/>
      <c r="Y4553" s="4"/>
      <c r="Z4553" s="4"/>
      <c r="AA4553" s="4"/>
      <c r="AB4553" s="4"/>
      <c r="AC4553" s="7"/>
      <c r="AD4553" s="4"/>
      <c r="AE4553" s="4"/>
      <c r="AF4553" s="21"/>
    </row>
    <row r="4554" spans="24:32" x14ac:dyDescent="0.25">
      <c r="X4554" s="4"/>
      <c r="Y4554" s="4"/>
      <c r="Z4554" s="4"/>
      <c r="AA4554" s="4"/>
      <c r="AB4554" s="4"/>
      <c r="AC4554" s="7"/>
      <c r="AD4554" s="4"/>
      <c r="AE4554" s="4"/>
      <c r="AF4554" s="21"/>
    </row>
    <row r="4555" spans="24:32" x14ac:dyDescent="0.25">
      <c r="X4555" s="4"/>
      <c r="Y4555" s="4"/>
      <c r="Z4555" s="4"/>
      <c r="AA4555" s="4"/>
      <c r="AB4555" s="4"/>
      <c r="AC4555" s="7"/>
      <c r="AD4555" s="4"/>
      <c r="AE4555" s="4"/>
      <c r="AF4555" s="21"/>
    </row>
    <row r="4556" spans="24:32" x14ac:dyDescent="0.25">
      <c r="X4556" s="4"/>
      <c r="Y4556" s="4"/>
      <c r="Z4556" s="4"/>
      <c r="AA4556" s="4"/>
      <c r="AB4556" s="4"/>
      <c r="AC4556" s="7"/>
      <c r="AD4556" s="4"/>
      <c r="AE4556" s="4"/>
      <c r="AF4556" s="21"/>
    </row>
    <row r="4557" spans="24:32" x14ac:dyDescent="0.25">
      <c r="X4557" s="4"/>
      <c r="Y4557" s="4"/>
      <c r="Z4557" s="4"/>
      <c r="AA4557" s="4"/>
      <c r="AB4557" s="4"/>
      <c r="AC4557" s="7"/>
      <c r="AD4557" s="4"/>
      <c r="AE4557" s="4"/>
      <c r="AF4557" s="21"/>
    </row>
    <row r="4558" spans="24:32" x14ac:dyDescent="0.25">
      <c r="X4558" s="4"/>
      <c r="Y4558" s="4"/>
      <c r="Z4558" s="4"/>
      <c r="AA4558" s="4"/>
      <c r="AB4558" s="4"/>
      <c r="AC4558" s="7"/>
      <c r="AD4558" s="4"/>
      <c r="AE4558" s="4"/>
      <c r="AF4558" s="21"/>
    </row>
    <row r="4559" spans="24:32" x14ac:dyDescent="0.25">
      <c r="X4559" s="4"/>
      <c r="Y4559" s="4"/>
      <c r="Z4559" s="4"/>
      <c r="AA4559" s="4"/>
      <c r="AB4559" s="4"/>
      <c r="AC4559" s="7"/>
      <c r="AD4559" s="4"/>
      <c r="AE4559" s="4"/>
      <c r="AF4559" s="21"/>
    </row>
    <row r="4560" spans="24:32" x14ac:dyDescent="0.25">
      <c r="X4560" s="4"/>
      <c r="Y4560" s="4"/>
      <c r="Z4560" s="4"/>
      <c r="AA4560" s="4"/>
      <c r="AB4560" s="4"/>
      <c r="AC4560" s="7"/>
      <c r="AD4560" s="4"/>
      <c r="AE4560" s="4"/>
      <c r="AF4560" s="21"/>
    </row>
    <row r="4561" spans="24:32" x14ac:dyDescent="0.25">
      <c r="X4561" s="4"/>
      <c r="Y4561" s="4"/>
      <c r="Z4561" s="4"/>
      <c r="AA4561" s="4"/>
      <c r="AB4561" s="4"/>
      <c r="AC4561" s="7"/>
      <c r="AD4561" s="4"/>
      <c r="AE4561" s="4"/>
      <c r="AF4561" s="21"/>
    </row>
    <row r="4562" spans="24:32" x14ac:dyDescent="0.25">
      <c r="X4562" s="4"/>
      <c r="Y4562" s="4"/>
      <c r="Z4562" s="4"/>
      <c r="AA4562" s="4"/>
      <c r="AB4562" s="4"/>
      <c r="AC4562" s="7"/>
      <c r="AD4562" s="4"/>
      <c r="AE4562" s="4"/>
      <c r="AF4562" s="21"/>
    </row>
    <row r="4563" spans="24:32" x14ac:dyDescent="0.25">
      <c r="X4563" s="4"/>
      <c r="Y4563" s="4"/>
      <c r="Z4563" s="4"/>
      <c r="AA4563" s="4"/>
      <c r="AB4563" s="4"/>
      <c r="AC4563" s="7"/>
      <c r="AD4563" s="4"/>
      <c r="AE4563" s="4"/>
      <c r="AF4563" s="21"/>
    </row>
    <row r="4564" spans="24:32" x14ac:dyDescent="0.25">
      <c r="X4564" s="4"/>
      <c r="Y4564" s="4"/>
      <c r="Z4564" s="4"/>
      <c r="AA4564" s="4"/>
      <c r="AB4564" s="4"/>
      <c r="AC4564" s="7"/>
      <c r="AD4564" s="4"/>
      <c r="AE4564" s="4"/>
      <c r="AF4564" s="21"/>
    </row>
    <row r="4565" spans="24:32" x14ac:dyDescent="0.25">
      <c r="X4565" s="4"/>
      <c r="Y4565" s="4"/>
      <c r="Z4565" s="4"/>
      <c r="AA4565" s="4"/>
      <c r="AB4565" s="4"/>
      <c r="AC4565" s="7"/>
      <c r="AD4565" s="4"/>
      <c r="AE4565" s="4"/>
      <c r="AF4565" s="21"/>
    </row>
    <row r="4566" spans="24:32" x14ac:dyDescent="0.25">
      <c r="X4566" s="4"/>
      <c r="Y4566" s="4"/>
      <c r="Z4566" s="4"/>
      <c r="AA4566" s="4"/>
      <c r="AB4566" s="4"/>
      <c r="AC4566" s="7"/>
      <c r="AD4566" s="4"/>
      <c r="AE4566" s="4"/>
      <c r="AF4566" s="21"/>
    </row>
    <row r="4567" spans="24:32" x14ac:dyDescent="0.25">
      <c r="X4567" s="4"/>
      <c r="Y4567" s="4"/>
      <c r="Z4567" s="4"/>
      <c r="AA4567" s="4"/>
      <c r="AB4567" s="4"/>
      <c r="AC4567" s="7"/>
      <c r="AD4567" s="4"/>
      <c r="AE4567" s="4"/>
      <c r="AF4567" s="21"/>
    </row>
    <row r="4568" spans="24:32" x14ac:dyDescent="0.25">
      <c r="X4568" s="4"/>
      <c r="Y4568" s="4"/>
      <c r="Z4568" s="4"/>
      <c r="AA4568" s="4"/>
      <c r="AB4568" s="4"/>
      <c r="AC4568" s="7"/>
      <c r="AD4568" s="4"/>
      <c r="AE4568" s="4"/>
      <c r="AF4568" s="21"/>
    </row>
    <row r="4569" spans="24:32" x14ac:dyDescent="0.25">
      <c r="X4569" s="4"/>
      <c r="Y4569" s="4"/>
      <c r="Z4569" s="4"/>
      <c r="AA4569" s="4"/>
      <c r="AB4569" s="4"/>
      <c r="AC4569" s="7"/>
      <c r="AD4569" s="4"/>
      <c r="AE4569" s="4"/>
      <c r="AF4569" s="21"/>
    </row>
    <row r="4570" spans="24:32" x14ac:dyDescent="0.25">
      <c r="X4570" s="4"/>
      <c r="Y4570" s="4"/>
      <c r="Z4570" s="4"/>
      <c r="AA4570" s="4"/>
      <c r="AB4570" s="4"/>
      <c r="AC4570" s="7"/>
      <c r="AD4570" s="4"/>
      <c r="AE4570" s="4"/>
      <c r="AF4570" s="21"/>
    </row>
    <row r="4571" spans="24:32" x14ac:dyDescent="0.25">
      <c r="X4571" s="4"/>
      <c r="Y4571" s="4"/>
      <c r="Z4571" s="4"/>
      <c r="AA4571" s="4"/>
      <c r="AB4571" s="4"/>
      <c r="AC4571" s="7"/>
      <c r="AD4571" s="4"/>
      <c r="AE4571" s="4"/>
      <c r="AF4571" s="21"/>
    </row>
    <row r="4572" spans="24:32" x14ac:dyDescent="0.25">
      <c r="X4572" s="4"/>
      <c r="Y4572" s="4"/>
      <c r="Z4572" s="4"/>
      <c r="AA4572" s="4"/>
      <c r="AB4572" s="4"/>
      <c r="AC4572" s="7"/>
      <c r="AD4572" s="4"/>
      <c r="AE4572" s="4"/>
      <c r="AF4572" s="21"/>
    </row>
    <row r="4573" spans="24:32" x14ac:dyDescent="0.25">
      <c r="X4573" s="4"/>
      <c r="Y4573" s="4"/>
      <c r="Z4573" s="4"/>
      <c r="AA4573" s="4"/>
      <c r="AB4573" s="4"/>
      <c r="AC4573" s="7"/>
      <c r="AD4573" s="4"/>
      <c r="AE4573" s="4"/>
      <c r="AF4573" s="21"/>
    </row>
    <row r="4574" spans="24:32" x14ac:dyDescent="0.25">
      <c r="X4574" s="4"/>
      <c r="Y4574" s="4"/>
      <c r="Z4574" s="4"/>
      <c r="AA4574" s="4"/>
      <c r="AB4574" s="4"/>
      <c r="AC4574" s="7"/>
      <c r="AD4574" s="4"/>
      <c r="AE4574" s="4"/>
      <c r="AF4574" s="21"/>
    </row>
    <row r="4575" spans="24:32" x14ac:dyDescent="0.25">
      <c r="X4575" s="4"/>
      <c r="Y4575" s="4"/>
      <c r="Z4575" s="4"/>
      <c r="AA4575" s="4"/>
      <c r="AB4575" s="4"/>
      <c r="AC4575" s="7"/>
      <c r="AD4575" s="4"/>
      <c r="AE4575" s="4"/>
      <c r="AF4575" s="21"/>
    </row>
    <row r="4576" spans="24:32" x14ac:dyDescent="0.25">
      <c r="X4576" s="4"/>
      <c r="Y4576" s="4"/>
      <c r="Z4576" s="4"/>
      <c r="AA4576" s="4"/>
      <c r="AB4576" s="4"/>
      <c r="AC4576" s="7"/>
      <c r="AD4576" s="4"/>
      <c r="AE4576" s="4"/>
      <c r="AF4576" s="21"/>
    </row>
    <row r="4577" spans="24:32" x14ac:dyDescent="0.25">
      <c r="X4577" s="4"/>
      <c r="Y4577" s="4"/>
      <c r="Z4577" s="4"/>
      <c r="AA4577" s="4"/>
      <c r="AB4577" s="4"/>
      <c r="AC4577" s="7"/>
      <c r="AD4577" s="4"/>
      <c r="AE4577" s="4"/>
      <c r="AF4577" s="21"/>
    </row>
    <row r="4578" spans="24:32" x14ac:dyDescent="0.25">
      <c r="X4578" s="4"/>
      <c r="Y4578" s="4"/>
      <c r="Z4578" s="4"/>
      <c r="AA4578" s="4"/>
      <c r="AB4578" s="4"/>
      <c r="AC4578" s="7"/>
      <c r="AD4578" s="4"/>
      <c r="AE4578" s="4"/>
      <c r="AF4578" s="21"/>
    </row>
    <row r="4579" spans="24:32" x14ac:dyDescent="0.25">
      <c r="X4579" s="4"/>
      <c r="Y4579" s="4"/>
      <c r="Z4579" s="4"/>
      <c r="AA4579" s="4"/>
      <c r="AB4579" s="4"/>
      <c r="AC4579" s="7"/>
      <c r="AD4579" s="4"/>
      <c r="AE4579" s="4"/>
      <c r="AF4579" s="21"/>
    </row>
    <row r="4580" spans="24:32" x14ac:dyDescent="0.25">
      <c r="X4580" s="4"/>
      <c r="Y4580" s="4"/>
      <c r="Z4580" s="4"/>
      <c r="AA4580" s="4"/>
      <c r="AB4580" s="4"/>
      <c r="AC4580" s="7"/>
      <c r="AD4580" s="4"/>
      <c r="AE4580" s="4"/>
      <c r="AF4580" s="21"/>
    </row>
    <row r="4581" spans="24:32" x14ac:dyDescent="0.25">
      <c r="X4581" s="4"/>
      <c r="Y4581" s="4"/>
      <c r="Z4581" s="4"/>
      <c r="AA4581" s="4"/>
      <c r="AB4581" s="4"/>
      <c r="AC4581" s="7"/>
      <c r="AD4581" s="4"/>
      <c r="AE4581" s="4"/>
      <c r="AF4581" s="21"/>
    </row>
    <row r="4582" spans="24:32" x14ac:dyDescent="0.25">
      <c r="X4582" s="4"/>
      <c r="Y4582" s="4"/>
      <c r="Z4582" s="4"/>
      <c r="AA4582" s="4"/>
      <c r="AB4582" s="4"/>
      <c r="AC4582" s="7"/>
      <c r="AD4582" s="4"/>
      <c r="AE4582" s="4"/>
      <c r="AF4582" s="21"/>
    </row>
    <row r="4583" spans="24:32" x14ac:dyDescent="0.25">
      <c r="X4583" s="4"/>
      <c r="Y4583" s="4"/>
      <c r="Z4583" s="4"/>
      <c r="AA4583" s="4"/>
      <c r="AB4583" s="4"/>
      <c r="AC4583" s="7"/>
      <c r="AD4583" s="4"/>
      <c r="AE4583" s="4"/>
      <c r="AF4583" s="21"/>
    </row>
    <row r="4584" spans="24:32" x14ac:dyDescent="0.25">
      <c r="X4584" s="4"/>
      <c r="Y4584" s="4"/>
      <c r="Z4584" s="4"/>
      <c r="AA4584" s="4"/>
      <c r="AB4584" s="4"/>
      <c r="AC4584" s="7"/>
      <c r="AD4584" s="4"/>
      <c r="AE4584" s="4"/>
      <c r="AF4584" s="21"/>
    </row>
    <row r="4585" spans="24:32" x14ac:dyDescent="0.25">
      <c r="X4585" s="4"/>
      <c r="Y4585" s="4"/>
      <c r="Z4585" s="4"/>
      <c r="AA4585" s="4"/>
      <c r="AB4585" s="4"/>
      <c r="AC4585" s="7"/>
      <c r="AD4585" s="4"/>
      <c r="AE4585" s="4"/>
      <c r="AF4585" s="21"/>
    </row>
    <row r="4586" spans="24:32" x14ac:dyDescent="0.25">
      <c r="X4586" s="4"/>
      <c r="Y4586" s="4"/>
      <c r="Z4586" s="4"/>
      <c r="AA4586" s="4"/>
      <c r="AB4586" s="4"/>
      <c r="AC4586" s="7"/>
      <c r="AD4586" s="4"/>
      <c r="AE4586" s="4"/>
      <c r="AF4586" s="21"/>
    </row>
    <row r="4587" spans="24:32" x14ac:dyDescent="0.25">
      <c r="X4587" s="4"/>
      <c r="Y4587" s="4"/>
      <c r="Z4587" s="4"/>
      <c r="AA4587" s="4"/>
      <c r="AB4587" s="4"/>
      <c r="AC4587" s="7"/>
      <c r="AD4587" s="4"/>
      <c r="AE4587" s="4"/>
      <c r="AF4587" s="21"/>
    </row>
    <row r="4588" spans="24:32" x14ac:dyDescent="0.25">
      <c r="X4588" s="4"/>
      <c r="Y4588" s="4"/>
      <c r="Z4588" s="4"/>
      <c r="AA4588" s="4"/>
      <c r="AB4588" s="4"/>
      <c r="AC4588" s="7"/>
      <c r="AD4588" s="4"/>
      <c r="AE4588" s="4"/>
      <c r="AF4588" s="21"/>
    </row>
    <row r="4589" spans="24:32" x14ac:dyDescent="0.25">
      <c r="X4589" s="4"/>
      <c r="Y4589" s="4"/>
      <c r="Z4589" s="4"/>
      <c r="AA4589" s="4"/>
      <c r="AB4589" s="4"/>
      <c r="AC4589" s="7"/>
      <c r="AD4589" s="4"/>
      <c r="AE4589" s="4"/>
      <c r="AF4589" s="21"/>
    </row>
    <row r="4590" spans="24:32" x14ac:dyDescent="0.25">
      <c r="X4590" s="4"/>
      <c r="Y4590" s="4"/>
      <c r="Z4590" s="4"/>
      <c r="AA4590" s="4"/>
      <c r="AB4590" s="4"/>
      <c r="AC4590" s="7"/>
      <c r="AD4590" s="4"/>
      <c r="AE4590" s="4"/>
      <c r="AF4590" s="21"/>
    </row>
    <row r="4591" spans="24:32" x14ac:dyDescent="0.25">
      <c r="X4591" s="4"/>
      <c r="Y4591" s="4"/>
      <c r="Z4591" s="4"/>
      <c r="AA4591" s="4"/>
      <c r="AB4591" s="4"/>
      <c r="AC4591" s="7"/>
      <c r="AD4591" s="4"/>
      <c r="AE4591" s="4"/>
      <c r="AF4591" s="21"/>
    </row>
    <row r="4592" spans="24:32" x14ac:dyDescent="0.25">
      <c r="X4592" s="4"/>
      <c r="Y4592" s="4"/>
      <c r="Z4592" s="4"/>
      <c r="AA4592" s="4"/>
      <c r="AB4592" s="4"/>
      <c r="AC4592" s="7"/>
      <c r="AD4592" s="4"/>
      <c r="AE4592" s="4"/>
      <c r="AF4592" s="21"/>
    </row>
    <row r="4593" spans="24:32" x14ac:dyDescent="0.25">
      <c r="X4593" s="4"/>
      <c r="Y4593" s="4"/>
      <c r="Z4593" s="4"/>
      <c r="AA4593" s="4"/>
      <c r="AB4593" s="4"/>
      <c r="AC4593" s="7"/>
      <c r="AD4593" s="4"/>
      <c r="AE4593" s="4"/>
      <c r="AF4593" s="21"/>
    </row>
    <row r="4594" spans="24:32" x14ac:dyDescent="0.25">
      <c r="X4594" s="4"/>
      <c r="Y4594" s="4"/>
      <c r="Z4594" s="4"/>
      <c r="AA4594" s="4"/>
      <c r="AB4594" s="4"/>
      <c r="AC4594" s="7"/>
      <c r="AD4594" s="4"/>
      <c r="AE4594" s="4"/>
      <c r="AF4594" s="21"/>
    </row>
    <row r="4595" spans="24:32" x14ac:dyDescent="0.25">
      <c r="X4595" s="4"/>
      <c r="Y4595" s="4"/>
      <c r="Z4595" s="4"/>
      <c r="AA4595" s="4"/>
      <c r="AB4595" s="4"/>
      <c r="AC4595" s="7"/>
      <c r="AD4595" s="4"/>
      <c r="AE4595" s="4"/>
      <c r="AF4595" s="21"/>
    </row>
    <row r="4596" spans="24:32" x14ac:dyDescent="0.25">
      <c r="X4596" s="4"/>
      <c r="Y4596" s="4"/>
      <c r="Z4596" s="4"/>
      <c r="AA4596" s="4"/>
      <c r="AB4596" s="4"/>
      <c r="AC4596" s="7"/>
      <c r="AD4596" s="4"/>
      <c r="AE4596" s="4"/>
      <c r="AF4596" s="21"/>
    </row>
    <row r="4597" spans="24:32" x14ac:dyDescent="0.25">
      <c r="X4597" s="4"/>
      <c r="Y4597" s="4"/>
      <c r="Z4597" s="4"/>
      <c r="AA4597" s="4"/>
      <c r="AB4597" s="4"/>
      <c r="AC4597" s="7"/>
      <c r="AD4597" s="4"/>
      <c r="AE4597" s="4"/>
      <c r="AF4597" s="21"/>
    </row>
    <row r="4598" spans="24:32" x14ac:dyDescent="0.25">
      <c r="X4598" s="4"/>
      <c r="Y4598" s="4"/>
      <c r="Z4598" s="4"/>
      <c r="AA4598" s="4"/>
      <c r="AB4598" s="4"/>
      <c r="AC4598" s="7"/>
      <c r="AD4598" s="4"/>
      <c r="AE4598" s="4"/>
      <c r="AF4598" s="21"/>
    </row>
    <row r="4599" spans="24:32" x14ac:dyDescent="0.25">
      <c r="X4599" s="4"/>
      <c r="Y4599" s="4"/>
      <c r="Z4599" s="4"/>
      <c r="AA4599" s="4"/>
      <c r="AB4599" s="4"/>
      <c r="AC4599" s="7"/>
      <c r="AD4599" s="4"/>
      <c r="AE4599" s="4"/>
      <c r="AF4599" s="21"/>
    </row>
    <row r="4600" spans="24:32" x14ac:dyDescent="0.25">
      <c r="X4600" s="4"/>
      <c r="Y4600" s="4"/>
      <c r="Z4600" s="4"/>
      <c r="AA4600" s="4"/>
      <c r="AB4600" s="4"/>
      <c r="AC4600" s="7"/>
      <c r="AD4600" s="4"/>
      <c r="AE4600" s="4"/>
      <c r="AF4600" s="21"/>
    </row>
    <row r="4601" spans="24:32" x14ac:dyDescent="0.25">
      <c r="X4601" s="4"/>
      <c r="Y4601" s="4"/>
      <c r="Z4601" s="4"/>
      <c r="AA4601" s="4"/>
      <c r="AB4601" s="4"/>
      <c r="AC4601" s="7"/>
      <c r="AD4601" s="4"/>
      <c r="AE4601" s="4"/>
      <c r="AF4601" s="21"/>
    </row>
    <row r="4602" spans="24:32" x14ac:dyDescent="0.25">
      <c r="X4602" s="4"/>
      <c r="Y4602" s="4"/>
      <c r="Z4602" s="4"/>
      <c r="AA4602" s="4"/>
      <c r="AB4602" s="4"/>
      <c r="AC4602" s="7"/>
      <c r="AD4602" s="4"/>
      <c r="AE4602" s="4"/>
      <c r="AF4602" s="21"/>
    </row>
    <row r="4603" spans="24:32" x14ac:dyDescent="0.25">
      <c r="X4603" s="4"/>
      <c r="Y4603" s="4"/>
      <c r="Z4603" s="4"/>
      <c r="AA4603" s="4"/>
      <c r="AB4603" s="4"/>
      <c r="AC4603" s="7"/>
      <c r="AD4603" s="4"/>
      <c r="AE4603" s="4"/>
      <c r="AF4603" s="21"/>
    </row>
    <row r="4604" spans="24:32" x14ac:dyDescent="0.25">
      <c r="X4604" s="4"/>
      <c r="Y4604" s="4"/>
      <c r="Z4604" s="4"/>
      <c r="AA4604" s="4"/>
      <c r="AB4604" s="4"/>
      <c r="AC4604" s="7"/>
      <c r="AD4604" s="4"/>
      <c r="AE4604" s="4"/>
      <c r="AF4604" s="21"/>
    </row>
    <row r="4605" spans="24:32" x14ac:dyDescent="0.25">
      <c r="X4605" s="4"/>
      <c r="Y4605" s="4"/>
      <c r="Z4605" s="4"/>
      <c r="AA4605" s="4"/>
      <c r="AB4605" s="4"/>
      <c r="AC4605" s="7"/>
      <c r="AD4605" s="4"/>
      <c r="AE4605" s="4"/>
      <c r="AF4605" s="21"/>
    </row>
    <row r="4606" spans="24:32" x14ac:dyDescent="0.25">
      <c r="X4606" s="4"/>
      <c r="Y4606" s="4"/>
      <c r="Z4606" s="4"/>
      <c r="AA4606" s="4"/>
      <c r="AB4606" s="4"/>
      <c r="AC4606" s="7"/>
      <c r="AD4606" s="4"/>
      <c r="AE4606" s="4"/>
      <c r="AF4606" s="21"/>
    </row>
    <row r="4607" spans="24:32" x14ac:dyDescent="0.25">
      <c r="X4607" s="4"/>
      <c r="Y4607" s="4"/>
      <c r="Z4607" s="4"/>
      <c r="AA4607" s="4"/>
      <c r="AB4607" s="4"/>
      <c r="AC4607" s="7"/>
      <c r="AD4607" s="4"/>
      <c r="AE4607" s="4"/>
      <c r="AF4607" s="21"/>
    </row>
    <row r="4608" spans="24:32" x14ac:dyDescent="0.25">
      <c r="X4608" s="4"/>
      <c r="Y4608" s="4"/>
      <c r="Z4608" s="4"/>
      <c r="AA4608" s="4"/>
      <c r="AB4608" s="4"/>
      <c r="AC4608" s="7"/>
      <c r="AD4608" s="4"/>
      <c r="AE4608" s="4"/>
      <c r="AF4608" s="21"/>
    </row>
    <row r="4609" spans="24:32" x14ac:dyDescent="0.25">
      <c r="X4609" s="4"/>
      <c r="Y4609" s="4"/>
      <c r="Z4609" s="4"/>
      <c r="AA4609" s="4"/>
      <c r="AB4609" s="4"/>
      <c r="AC4609" s="7"/>
      <c r="AD4609" s="4"/>
      <c r="AE4609" s="4"/>
      <c r="AF4609" s="21"/>
    </row>
    <row r="4610" spans="24:32" x14ac:dyDescent="0.25">
      <c r="X4610" s="4"/>
      <c r="Y4610" s="4"/>
      <c r="Z4610" s="4"/>
      <c r="AA4610" s="4"/>
      <c r="AB4610" s="4"/>
      <c r="AC4610" s="7"/>
      <c r="AD4610" s="4"/>
      <c r="AE4610" s="4"/>
      <c r="AF4610" s="21"/>
    </row>
    <row r="4611" spans="24:32" x14ac:dyDescent="0.25">
      <c r="X4611" s="4"/>
      <c r="Y4611" s="4"/>
      <c r="Z4611" s="4"/>
      <c r="AA4611" s="4"/>
      <c r="AB4611" s="4"/>
      <c r="AC4611" s="7"/>
      <c r="AD4611" s="4"/>
      <c r="AE4611" s="4"/>
      <c r="AF4611" s="21"/>
    </row>
    <row r="4612" spans="24:32" x14ac:dyDescent="0.25">
      <c r="X4612" s="4"/>
      <c r="Y4612" s="4"/>
      <c r="Z4612" s="4"/>
      <c r="AA4612" s="4"/>
      <c r="AB4612" s="4"/>
      <c r="AC4612" s="7"/>
      <c r="AD4612" s="4"/>
      <c r="AE4612" s="4"/>
      <c r="AF4612" s="21"/>
    </row>
    <row r="4613" spans="24:32" x14ac:dyDescent="0.25">
      <c r="X4613" s="4"/>
      <c r="Y4613" s="4"/>
      <c r="Z4613" s="4"/>
      <c r="AA4613" s="4"/>
      <c r="AB4613" s="4"/>
      <c r="AC4613" s="7"/>
      <c r="AD4613" s="4"/>
      <c r="AE4613" s="4"/>
      <c r="AF4613" s="21"/>
    </row>
    <row r="4614" spans="24:32" x14ac:dyDescent="0.25">
      <c r="X4614" s="4"/>
      <c r="Y4614" s="4"/>
      <c r="Z4614" s="4"/>
      <c r="AA4614" s="4"/>
      <c r="AB4614" s="4"/>
      <c r="AC4614" s="7"/>
      <c r="AD4614" s="4"/>
      <c r="AE4614" s="4"/>
      <c r="AF4614" s="21"/>
    </row>
    <row r="4615" spans="24:32" x14ac:dyDescent="0.25">
      <c r="X4615" s="4"/>
      <c r="Y4615" s="4"/>
      <c r="Z4615" s="4"/>
      <c r="AA4615" s="4"/>
      <c r="AB4615" s="4"/>
      <c r="AC4615" s="7"/>
      <c r="AD4615" s="4"/>
      <c r="AE4615" s="4"/>
      <c r="AF4615" s="21"/>
    </row>
    <row r="4616" spans="24:32" x14ac:dyDescent="0.25">
      <c r="X4616" s="4"/>
      <c r="Y4616" s="4"/>
      <c r="Z4616" s="4"/>
      <c r="AA4616" s="4"/>
      <c r="AB4616" s="4"/>
      <c r="AC4616" s="7"/>
      <c r="AD4616" s="4"/>
      <c r="AE4616" s="4"/>
      <c r="AF4616" s="21"/>
    </row>
    <row r="4617" spans="24:32" x14ac:dyDescent="0.25">
      <c r="X4617" s="4"/>
      <c r="Y4617" s="4"/>
      <c r="Z4617" s="4"/>
      <c r="AA4617" s="4"/>
      <c r="AB4617" s="4"/>
      <c r="AC4617" s="7"/>
      <c r="AD4617" s="4"/>
      <c r="AE4617" s="4"/>
      <c r="AF4617" s="21"/>
    </row>
    <row r="4618" spans="24:32" x14ac:dyDescent="0.25">
      <c r="X4618" s="4"/>
      <c r="Y4618" s="4"/>
      <c r="Z4618" s="4"/>
      <c r="AA4618" s="4"/>
      <c r="AB4618" s="4"/>
      <c r="AC4618" s="7"/>
      <c r="AD4618" s="4"/>
      <c r="AE4618" s="4"/>
      <c r="AF4618" s="21"/>
    </row>
    <row r="4619" spans="24:32" x14ac:dyDescent="0.25">
      <c r="X4619" s="4"/>
      <c r="Y4619" s="4"/>
      <c r="Z4619" s="4"/>
      <c r="AA4619" s="4"/>
      <c r="AB4619" s="4"/>
      <c r="AC4619" s="7"/>
      <c r="AD4619" s="4"/>
      <c r="AE4619" s="4"/>
      <c r="AF4619" s="21"/>
    </row>
    <row r="4620" spans="24:32" x14ac:dyDescent="0.25">
      <c r="X4620" s="4"/>
      <c r="Y4620" s="4"/>
      <c r="Z4620" s="4"/>
      <c r="AA4620" s="4"/>
      <c r="AB4620" s="4"/>
      <c r="AC4620" s="7"/>
      <c r="AD4620" s="4"/>
      <c r="AE4620" s="4"/>
      <c r="AF4620" s="21"/>
    </row>
    <row r="4621" spans="24:32" x14ac:dyDescent="0.25">
      <c r="X4621" s="4"/>
      <c r="Y4621" s="4"/>
      <c r="Z4621" s="4"/>
      <c r="AA4621" s="4"/>
      <c r="AB4621" s="4"/>
      <c r="AC4621" s="7"/>
      <c r="AD4621" s="4"/>
      <c r="AE4621" s="4"/>
      <c r="AF4621" s="21"/>
    </row>
    <row r="4622" spans="24:32" x14ac:dyDescent="0.25">
      <c r="X4622" s="4"/>
      <c r="Y4622" s="4"/>
      <c r="Z4622" s="4"/>
      <c r="AA4622" s="4"/>
      <c r="AB4622" s="4"/>
      <c r="AC4622" s="7"/>
      <c r="AD4622" s="4"/>
      <c r="AE4622" s="4"/>
      <c r="AF4622" s="21"/>
    </row>
    <row r="4623" spans="24:32" x14ac:dyDescent="0.25">
      <c r="X4623" s="4"/>
      <c r="Y4623" s="4"/>
      <c r="Z4623" s="4"/>
      <c r="AA4623" s="4"/>
      <c r="AB4623" s="4"/>
      <c r="AC4623" s="7"/>
      <c r="AD4623" s="4"/>
      <c r="AE4623" s="4"/>
      <c r="AF4623" s="21"/>
    </row>
    <row r="4624" spans="24:32" x14ac:dyDescent="0.25">
      <c r="X4624" s="4"/>
      <c r="Y4624" s="4"/>
      <c r="Z4624" s="4"/>
      <c r="AA4624" s="4"/>
      <c r="AB4624" s="4"/>
      <c r="AC4624" s="7"/>
      <c r="AD4624" s="4"/>
      <c r="AE4624" s="4"/>
      <c r="AF4624" s="21"/>
    </row>
    <row r="4625" spans="24:32" x14ac:dyDescent="0.25">
      <c r="X4625" s="4"/>
      <c r="Y4625" s="4"/>
      <c r="Z4625" s="4"/>
      <c r="AA4625" s="4"/>
      <c r="AB4625" s="4"/>
      <c r="AC4625" s="7"/>
      <c r="AD4625" s="4"/>
      <c r="AE4625" s="4"/>
      <c r="AF4625" s="21"/>
    </row>
    <row r="4626" spans="24:32" x14ac:dyDescent="0.25">
      <c r="X4626" s="4"/>
      <c r="Y4626" s="4"/>
      <c r="Z4626" s="4"/>
      <c r="AA4626" s="4"/>
      <c r="AB4626" s="4"/>
      <c r="AC4626" s="7"/>
      <c r="AD4626" s="4"/>
      <c r="AE4626" s="4"/>
      <c r="AF4626" s="21"/>
    </row>
    <row r="4627" spans="24:32" x14ac:dyDescent="0.25">
      <c r="X4627" s="4"/>
      <c r="Y4627" s="4"/>
      <c r="Z4627" s="4"/>
      <c r="AA4627" s="4"/>
      <c r="AB4627" s="4"/>
      <c r="AC4627" s="7"/>
      <c r="AD4627" s="4"/>
      <c r="AE4627" s="4"/>
      <c r="AF4627" s="21"/>
    </row>
    <row r="4628" spans="24:32" x14ac:dyDescent="0.25">
      <c r="X4628" s="4"/>
      <c r="Y4628" s="4"/>
      <c r="Z4628" s="4"/>
      <c r="AA4628" s="4"/>
      <c r="AB4628" s="4"/>
      <c r="AC4628" s="7"/>
      <c r="AD4628" s="4"/>
      <c r="AE4628" s="4"/>
      <c r="AF4628" s="21"/>
    </row>
    <row r="4629" spans="24:32" x14ac:dyDescent="0.25">
      <c r="X4629" s="4"/>
      <c r="Y4629" s="4"/>
      <c r="Z4629" s="4"/>
      <c r="AA4629" s="4"/>
      <c r="AB4629" s="4"/>
      <c r="AC4629" s="7"/>
      <c r="AD4629" s="4"/>
      <c r="AE4629" s="4"/>
      <c r="AF4629" s="21"/>
    </row>
    <row r="4630" spans="24:32" x14ac:dyDescent="0.25">
      <c r="X4630" s="4"/>
      <c r="Y4630" s="4"/>
      <c r="Z4630" s="4"/>
      <c r="AA4630" s="4"/>
      <c r="AB4630" s="4"/>
      <c r="AC4630" s="7"/>
      <c r="AD4630" s="4"/>
      <c r="AE4630" s="4"/>
      <c r="AF4630" s="21"/>
    </row>
    <row r="4631" spans="24:32" x14ac:dyDescent="0.25">
      <c r="X4631" s="4"/>
      <c r="Y4631" s="4"/>
      <c r="Z4631" s="4"/>
      <c r="AA4631" s="4"/>
      <c r="AB4631" s="4"/>
      <c r="AC4631" s="7"/>
      <c r="AD4631" s="4"/>
      <c r="AE4631" s="4"/>
      <c r="AF4631" s="21"/>
    </row>
    <row r="4632" spans="24:32" x14ac:dyDescent="0.25">
      <c r="X4632" s="4"/>
      <c r="Y4632" s="4"/>
      <c r="Z4632" s="4"/>
      <c r="AA4632" s="4"/>
      <c r="AB4632" s="4"/>
      <c r="AC4632" s="7"/>
      <c r="AD4632" s="4"/>
      <c r="AE4632" s="4"/>
      <c r="AF4632" s="21"/>
    </row>
    <row r="4633" spans="24:32" x14ac:dyDescent="0.25">
      <c r="X4633" s="4"/>
      <c r="Y4633" s="4"/>
      <c r="Z4633" s="4"/>
      <c r="AA4633" s="4"/>
      <c r="AB4633" s="4"/>
      <c r="AC4633" s="7"/>
      <c r="AD4633" s="4"/>
      <c r="AE4633" s="4"/>
      <c r="AF4633" s="21"/>
    </row>
    <row r="4634" spans="24:32" x14ac:dyDescent="0.25">
      <c r="X4634" s="4"/>
      <c r="Y4634" s="4"/>
      <c r="Z4634" s="4"/>
      <c r="AA4634" s="4"/>
      <c r="AB4634" s="4"/>
      <c r="AC4634" s="7"/>
      <c r="AD4634" s="4"/>
      <c r="AE4634" s="4"/>
      <c r="AF4634" s="21"/>
    </row>
    <row r="4635" spans="24:32" x14ac:dyDescent="0.25">
      <c r="X4635" s="4"/>
      <c r="Y4635" s="4"/>
      <c r="Z4635" s="4"/>
      <c r="AA4635" s="4"/>
      <c r="AB4635" s="4"/>
      <c r="AC4635" s="7"/>
      <c r="AD4635" s="4"/>
      <c r="AE4635" s="4"/>
      <c r="AF4635" s="21"/>
    </row>
    <row r="4636" spans="24:32" x14ac:dyDescent="0.25">
      <c r="X4636" s="4"/>
      <c r="Y4636" s="4"/>
      <c r="Z4636" s="4"/>
      <c r="AA4636" s="4"/>
      <c r="AB4636" s="4"/>
      <c r="AC4636" s="7"/>
      <c r="AD4636" s="4"/>
      <c r="AE4636" s="4"/>
      <c r="AF4636" s="21"/>
    </row>
    <row r="4637" spans="24:32" x14ac:dyDescent="0.25">
      <c r="X4637" s="4"/>
      <c r="Y4637" s="4"/>
      <c r="Z4637" s="4"/>
      <c r="AA4637" s="4"/>
      <c r="AB4637" s="4"/>
      <c r="AC4637" s="7"/>
      <c r="AD4637" s="4"/>
      <c r="AE4637" s="4"/>
      <c r="AF4637" s="21"/>
    </row>
    <row r="4638" spans="24:32" x14ac:dyDescent="0.25">
      <c r="X4638" s="4"/>
      <c r="Y4638" s="4"/>
      <c r="Z4638" s="4"/>
      <c r="AA4638" s="4"/>
      <c r="AB4638" s="4"/>
      <c r="AC4638" s="7"/>
      <c r="AD4638" s="4"/>
      <c r="AE4638" s="4"/>
      <c r="AF4638" s="21"/>
    </row>
    <row r="4639" spans="24:32" x14ac:dyDescent="0.25">
      <c r="X4639" s="4"/>
      <c r="Y4639" s="4"/>
      <c r="Z4639" s="4"/>
      <c r="AA4639" s="4"/>
      <c r="AB4639" s="4"/>
      <c r="AC4639" s="7"/>
      <c r="AD4639" s="4"/>
      <c r="AE4639" s="4"/>
      <c r="AF4639" s="21"/>
    </row>
    <row r="4640" spans="24:32" x14ac:dyDescent="0.25">
      <c r="X4640" s="4"/>
      <c r="Y4640" s="4"/>
      <c r="Z4640" s="4"/>
      <c r="AA4640" s="4"/>
      <c r="AB4640" s="4"/>
      <c r="AC4640" s="7"/>
      <c r="AD4640" s="4"/>
      <c r="AE4640" s="4"/>
      <c r="AF4640" s="21"/>
    </row>
    <row r="4641" spans="24:32" x14ac:dyDescent="0.25">
      <c r="X4641" s="4"/>
      <c r="Y4641" s="4"/>
      <c r="Z4641" s="4"/>
      <c r="AA4641" s="4"/>
      <c r="AB4641" s="4"/>
      <c r="AC4641" s="7"/>
      <c r="AD4641" s="4"/>
      <c r="AE4641" s="4"/>
      <c r="AF4641" s="21"/>
    </row>
    <row r="4642" spans="24:32" x14ac:dyDescent="0.25">
      <c r="X4642" s="4"/>
      <c r="Y4642" s="4"/>
      <c r="Z4642" s="4"/>
      <c r="AA4642" s="4"/>
      <c r="AB4642" s="4"/>
      <c r="AC4642" s="7"/>
      <c r="AD4642" s="4"/>
      <c r="AE4642" s="4"/>
      <c r="AF4642" s="21"/>
    </row>
    <row r="4643" spans="24:32" x14ac:dyDescent="0.25">
      <c r="X4643" s="4"/>
      <c r="Y4643" s="4"/>
      <c r="Z4643" s="4"/>
      <c r="AA4643" s="4"/>
      <c r="AB4643" s="4"/>
      <c r="AC4643" s="7"/>
      <c r="AD4643" s="4"/>
      <c r="AE4643" s="4"/>
      <c r="AF4643" s="21"/>
    </row>
    <row r="4644" spans="24:32" x14ac:dyDescent="0.25">
      <c r="X4644" s="4"/>
      <c r="Y4644" s="4"/>
      <c r="Z4644" s="4"/>
      <c r="AA4644" s="4"/>
      <c r="AB4644" s="4"/>
      <c r="AC4644" s="7"/>
      <c r="AD4644" s="4"/>
      <c r="AE4644" s="4"/>
      <c r="AF4644" s="21"/>
    </row>
    <row r="4645" spans="24:32" x14ac:dyDescent="0.25">
      <c r="X4645" s="4"/>
      <c r="Y4645" s="4"/>
      <c r="Z4645" s="4"/>
      <c r="AA4645" s="4"/>
      <c r="AB4645" s="4"/>
      <c r="AC4645" s="7"/>
      <c r="AD4645" s="4"/>
      <c r="AE4645" s="4"/>
      <c r="AF4645" s="21"/>
    </row>
    <row r="4646" spans="24:32" x14ac:dyDescent="0.25">
      <c r="X4646" s="4"/>
      <c r="Y4646" s="4"/>
      <c r="Z4646" s="4"/>
      <c r="AA4646" s="4"/>
      <c r="AB4646" s="4"/>
      <c r="AC4646" s="7"/>
      <c r="AD4646" s="4"/>
      <c r="AE4646" s="4"/>
      <c r="AF4646" s="21"/>
    </row>
    <row r="4647" spans="24:32" x14ac:dyDescent="0.25">
      <c r="X4647" s="4"/>
      <c r="Y4647" s="4"/>
      <c r="Z4647" s="4"/>
      <c r="AA4647" s="4"/>
      <c r="AB4647" s="4"/>
      <c r="AC4647" s="7"/>
      <c r="AD4647" s="4"/>
      <c r="AE4647" s="4"/>
      <c r="AF4647" s="21"/>
    </row>
    <row r="4648" spans="24:32" x14ac:dyDescent="0.25">
      <c r="X4648" s="4"/>
      <c r="Y4648" s="4"/>
      <c r="Z4648" s="4"/>
      <c r="AA4648" s="4"/>
      <c r="AB4648" s="4"/>
      <c r="AC4648" s="7"/>
      <c r="AD4648" s="4"/>
      <c r="AE4648" s="4"/>
      <c r="AF4648" s="21"/>
    </row>
    <row r="4649" spans="24:32" x14ac:dyDescent="0.25">
      <c r="X4649" s="4"/>
      <c r="Y4649" s="4"/>
      <c r="Z4649" s="4"/>
      <c r="AA4649" s="4"/>
      <c r="AB4649" s="4"/>
      <c r="AC4649" s="7"/>
      <c r="AD4649" s="4"/>
      <c r="AE4649" s="4"/>
      <c r="AF4649" s="21"/>
    </row>
    <row r="4650" spans="24:32" x14ac:dyDescent="0.25">
      <c r="X4650" s="4"/>
      <c r="Y4650" s="4"/>
      <c r="Z4650" s="4"/>
      <c r="AA4650" s="4"/>
      <c r="AB4650" s="4"/>
      <c r="AC4650" s="7"/>
      <c r="AD4650" s="4"/>
      <c r="AE4650" s="4"/>
      <c r="AF4650" s="21"/>
    </row>
    <row r="4651" spans="24:32" x14ac:dyDescent="0.25">
      <c r="X4651" s="4"/>
      <c r="Y4651" s="4"/>
      <c r="Z4651" s="4"/>
      <c r="AA4651" s="4"/>
      <c r="AB4651" s="4"/>
      <c r="AC4651" s="7"/>
      <c r="AD4651" s="4"/>
      <c r="AE4651" s="4"/>
      <c r="AF4651" s="21"/>
    </row>
    <row r="4652" spans="24:32" x14ac:dyDescent="0.25">
      <c r="X4652" s="4"/>
      <c r="Y4652" s="4"/>
      <c r="Z4652" s="4"/>
      <c r="AA4652" s="4"/>
      <c r="AB4652" s="4"/>
      <c r="AC4652" s="7"/>
      <c r="AD4652" s="4"/>
      <c r="AE4652" s="4"/>
      <c r="AF4652" s="21"/>
    </row>
    <row r="4653" spans="24:32" x14ac:dyDescent="0.25">
      <c r="X4653" s="4"/>
      <c r="Y4653" s="4"/>
      <c r="Z4653" s="4"/>
      <c r="AA4653" s="4"/>
      <c r="AB4653" s="4"/>
      <c r="AC4653" s="7"/>
      <c r="AD4653" s="4"/>
      <c r="AE4653" s="4"/>
      <c r="AF4653" s="21"/>
    </row>
    <row r="4654" spans="24:32" x14ac:dyDescent="0.25">
      <c r="X4654" s="4"/>
      <c r="Y4654" s="4"/>
      <c r="Z4654" s="4"/>
      <c r="AA4654" s="4"/>
      <c r="AB4654" s="4"/>
      <c r="AC4654" s="7"/>
      <c r="AD4654" s="4"/>
      <c r="AE4654" s="4"/>
      <c r="AF4654" s="21"/>
    </row>
    <row r="4655" spans="24:32" x14ac:dyDescent="0.25">
      <c r="X4655" s="4"/>
      <c r="Y4655" s="4"/>
      <c r="Z4655" s="4"/>
      <c r="AA4655" s="4"/>
      <c r="AB4655" s="4"/>
      <c r="AC4655" s="7"/>
      <c r="AD4655" s="4"/>
      <c r="AE4655" s="4"/>
      <c r="AF4655" s="21"/>
    </row>
    <row r="4656" spans="24:32" x14ac:dyDescent="0.25">
      <c r="X4656" s="4"/>
      <c r="Y4656" s="4"/>
      <c r="Z4656" s="4"/>
      <c r="AA4656" s="4"/>
      <c r="AB4656" s="4"/>
      <c r="AC4656" s="7"/>
      <c r="AD4656" s="4"/>
      <c r="AE4656" s="4"/>
      <c r="AF4656" s="21"/>
    </row>
    <row r="4657" spans="24:32" x14ac:dyDescent="0.25">
      <c r="X4657" s="4"/>
      <c r="Y4657" s="4"/>
      <c r="Z4657" s="4"/>
      <c r="AA4657" s="4"/>
      <c r="AB4657" s="4"/>
      <c r="AC4657" s="7"/>
      <c r="AD4657" s="4"/>
      <c r="AE4657" s="4"/>
      <c r="AF4657" s="21"/>
    </row>
    <row r="4658" spans="24:32" x14ac:dyDescent="0.25">
      <c r="X4658" s="4"/>
      <c r="Y4658" s="4"/>
      <c r="Z4658" s="4"/>
      <c r="AA4658" s="4"/>
      <c r="AB4658" s="4"/>
      <c r="AC4658" s="7"/>
      <c r="AD4658" s="4"/>
      <c r="AE4658" s="4"/>
      <c r="AF4658" s="21"/>
    </row>
    <row r="4659" spans="24:32" x14ac:dyDescent="0.25">
      <c r="X4659" s="4"/>
      <c r="Y4659" s="4"/>
      <c r="Z4659" s="4"/>
      <c r="AA4659" s="4"/>
      <c r="AB4659" s="4"/>
      <c r="AC4659" s="7"/>
      <c r="AD4659" s="4"/>
      <c r="AE4659" s="4"/>
      <c r="AF4659" s="21"/>
    </row>
    <row r="4660" spans="24:32" x14ac:dyDescent="0.25">
      <c r="X4660" s="4"/>
      <c r="Y4660" s="4"/>
      <c r="Z4660" s="4"/>
      <c r="AA4660" s="4"/>
      <c r="AB4660" s="4"/>
      <c r="AC4660" s="7"/>
      <c r="AD4660" s="4"/>
      <c r="AE4660" s="4"/>
      <c r="AF4660" s="21"/>
    </row>
    <row r="4661" spans="24:32" x14ac:dyDescent="0.25">
      <c r="X4661" s="4"/>
      <c r="Y4661" s="4"/>
      <c r="Z4661" s="4"/>
      <c r="AA4661" s="4"/>
      <c r="AB4661" s="4"/>
      <c r="AC4661" s="7"/>
      <c r="AD4661" s="4"/>
      <c r="AE4661" s="4"/>
      <c r="AF4661" s="21"/>
    </row>
    <row r="4662" spans="24:32" x14ac:dyDescent="0.25">
      <c r="X4662" s="4"/>
      <c r="Y4662" s="4"/>
      <c r="Z4662" s="4"/>
      <c r="AA4662" s="4"/>
      <c r="AB4662" s="4"/>
      <c r="AC4662" s="7"/>
      <c r="AD4662" s="4"/>
      <c r="AE4662" s="4"/>
      <c r="AF4662" s="21"/>
    </row>
    <row r="4663" spans="24:32" x14ac:dyDescent="0.25">
      <c r="X4663" s="4"/>
      <c r="Y4663" s="4"/>
      <c r="Z4663" s="4"/>
      <c r="AA4663" s="4"/>
      <c r="AB4663" s="4"/>
      <c r="AC4663" s="7"/>
      <c r="AD4663" s="4"/>
      <c r="AE4663" s="4"/>
      <c r="AF4663" s="21"/>
    </row>
    <row r="4664" spans="24:32" x14ac:dyDescent="0.25">
      <c r="X4664" s="4"/>
      <c r="Y4664" s="4"/>
      <c r="Z4664" s="4"/>
      <c r="AA4664" s="4"/>
      <c r="AB4664" s="4"/>
      <c r="AC4664" s="7"/>
      <c r="AD4664" s="4"/>
      <c r="AE4664" s="4"/>
      <c r="AF4664" s="21"/>
    </row>
    <row r="4665" spans="24:32" x14ac:dyDescent="0.25">
      <c r="X4665" s="4"/>
      <c r="Y4665" s="4"/>
      <c r="Z4665" s="4"/>
      <c r="AA4665" s="4"/>
      <c r="AB4665" s="4"/>
      <c r="AC4665" s="7"/>
      <c r="AD4665" s="4"/>
      <c r="AE4665" s="4"/>
      <c r="AF4665" s="21"/>
    </row>
    <row r="4666" spans="24:32" x14ac:dyDescent="0.25">
      <c r="X4666" s="4"/>
      <c r="Y4666" s="4"/>
      <c r="Z4666" s="4"/>
      <c r="AA4666" s="4"/>
      <c r="AB4666" s="4"/>
      <c r="AC4666" s="7"/>
      <c r="AD4666" s="4"/>
      <c r="AE4666" s="4"/>
      <c r="AF4666" s="21"/>
    </row>
    <row r="4667" spans="24:32" x14ac:dyDescent="0.25">
      <c r="X4667" s="4"/>
      <c r="Y4667" s="4"/>
      <c r="Z4667" s="4"/>
      <c r="AA4667" s="4"/>
      <c r="AB4667" s="4"/>
      <c r="AC4667" s="7"/>
      <c r="AD4667" s="4"/>
      <c r="AE4667" s="4"/>
      <c r="AF4667" s="21"/>
    </row>
    <row r="4668" spans="24:32" x14ac:dyDescent="0.25">
      <c r="X4668" s="4"/>
      <c r="Y4668" s="4"/>
      <c r="Z4668" s="4"/>
      <c r="AA4668" s="4"/>
      <c r="AB4668" s="4"/>
      <c r="AC4668" s="7"/>
      <c r="AD4668" s="4"/>
      <c r="AE4668" s="4"/>
      <c r="AF4668" s="21"/>
    </row>
    <row r="4669" spans="24:32" x14ac:dyDescent="0.25">
      <c r="X4669" s="4"/>
      <c r="Y4669" s="4"/>
      <c r="Z4669" s="4"/>
      <c r="AA4669" s="4"/>
      <c r="AB4669" s="4"/>
      <c r="AC4669" s="7"/>
      <c r="AD4669" s="4"/>
      <c r="AE4669" s="4"/>
      <c r="AF4669" s="21"/>
    </row>
    <row r="4670" spans="24:32" x14ac:dyDescent="0.25">
      <c r="X4670" s="4"/>
      <c r="Y4670" s="4"/>
      <c r="Z4670" s="4"/>
      <c r="AA4670" s="4"/>
      <c r="AB4670" s="4"/>
      <c r="AC4670" s="7"/>
      <c r="AD4670" s="4"/>
      <c r="AE4670" s="4"/>
      <c r="AF4670" s="21"/>
    </row>
    <row r="4671" spans="24:32" x14ac:dyDescent="0.25">
      <c r="X4671" s="4"/>
      <c r="Y4671" s="4"/>
      <c r="Z4671" s="4"/>
      <c r="AA4671" s="4"/>
      <c r="AB4671" s="4"/>
      <c r="AC4671" s="7"/>
      <c r="AD4671" s="4"/>
      <c r="AE4671" s="4"/>
      <c r="AF4671" s="21"/>
    </row>
    <row r="4672" spans="24:32" x14ac:dyDescent="0.25">
      <c r="X4672" s="4"/>
      <c r="Y4672" s="4"/>
      <c r="Z4672" s="4"/>
      <c r="AA4672" s="4"/>
      <c r="AB4672" s="4"/>
      <c r="AC4672" s="7"/>
      <c r="AD4672" s="4"/>
      <c r="AE4672" s="4"/>
      <c r="AF4672" s="21"/>
    </row>
    <row r="4673" spans="24:32" x14ac:dyDescent="0.25">
      <c r="X4673" s="4"/>
      <c r="Y4673" s="4"/>
      <c r="Z4673" s="4"/>
      <c r="AA4673" s="4"/>
      <c r="AB4673" s="4"/>
      <c r="AC4673" s="7"/>
      <c r="AD4673" s="4"/>
      <c r="AE4673" s="4"/>
      <c r="AF4673" s="21"/>
    </row>
    <row r="4674" spans="24:32" x14ac:dyDescent="0.25">
      <c r="X4674" s="4"/>
      <c r="Y4674" s="4"/>
      <c r="Z4674" s="4"/>
      <c r="AA4674" s="4"/>
      <c r="AB4674" s="4"/>
      <c r="AC4674" s="7"/>
      <c r="AD4674" s="4"/>
      <c r="AE4674" s="4"/>
      <c r="AF4674" s="21"/>
    </row>
    <row r="4675" spans="24:32" x14ac:dyDescent="0.25">
      <c r="X4675" s="4"/>
      <c r="Y4675" s="4"/>
      <c r="Z4675" s="4"/>
      <c r="AA4675" s="4"/>
      <c r="AB4675" s="4"/>
      <c r="AC4675" s="7"/>
      <c r="AD4675" s="4"/>
      <c r="AE4675" s="4"/>
      <c r="AF4675" s="21"/>
    </row>
    <row r="4676" spans="24:32" x14ac:dyDescent="0.25">
      <c r="X4676" s="4"/>
      <c r="Y4676" s="4"/>
      <c r="Z4676" s="4"/>
      <c r="AA4676" s="4"/>
      <c r="AB4676" s="4"/>
      <c r="AC4676" s="7"/>
      <c r="AD4676" s="4"/>
      <c r="AE4676" s="4"/>
      <c r="AF4676" s="21"/>
    </row>
    <row r="4677" spans="24:32" x14ac:dyDescent="0.25">
      <c r="X4677" s="4"/>
      <c r="Y4677" s="4"/>
      <c r="Z4677" s="4"/>
      <c r="AA4677" s="4"/>
      <c r="AB4677" s="4"/>
      <c r="AC4677" s="7"/>
      <c r="AD4677" s="4"/>
      <c r="AE4677" s="4"/>
      <c r="AF4677" s="21"/>
    </row>
    <row r="4678" spans="24:32" x14ac:dyDescent="0.25">
      <c r="X4678" s="4"/>
      <c r="Y4678" s="4"/>
      <c r="Z4678" s="4"/>
      <c r="AA4678" s="4"/>
      <c r="AB4678" s="4"/>
      <c r="AC4678" s="7"/>
      <c r="AD4678" s="4"/>
      <c r="AE4678" s="4"/>
      <c r="AF4678" s="21"/>
    </row>
    <row r="4679" spans="24:32" x14ac:dyDescent="0.25">
      <c r="X4679" s="4"/>
      <c r="Y4679" s="4"/>
      <c r="Z4679" s="4"/>
      <c r="AA4679" s="4"/>
      <c r="AB4679" s="4"/>
      <c r="AC4679" s="7"/>
      <c r="AD4679" s="4"/>
      <c r="AE4679" s="4"/>
      <c r="AF4679" s="21"/>
    </row>
    <row r="4680" spans="24:32" x14ac:dyDescent="0.25">
      <c r="X4680" s="4"/>
      <c r="Y4680" s="4"/>
      <c r="Z4680" s="4"/>
      <c r="AA4680" s="4"/>
      <c r="AB4680" s="4"/>
      <c r="AC4680" s="7"/>
      <c r="AD4680" s="4"/>
      <c r="AE4680" s="4"/>
      <c r="AF4680" s="21"/>
    </row>
    <row r="4681" spans="24:32" x14ac:dyDescent="0.25">
      <c r="X4681" s="4"/>
      <c r="Y4681" s="4"/>
      <c r="Z4681" s="4"/>
      <c r="AA4681" s="4"/>
      <c r="AB4681" s="4"/>
      <c r="AC4681" s="7"/>
      <c r="AD4681" s="4"/>
      <c r="AE4681" s="4"/>
      <c r="AF4681" s="21"/>
    </row>
    <row r="4682" spans="24:32" x14ac:dyDescent="0.25">
      <c r="X4682" s="4"/>
      <c r="Y4682" s="4"/>
      <c r="Z4682" s="4"/>
      <c r="AA4682" s="4"/>
      <c r="AB4682" s="4"/>
      <c r="AC4682" s="7"/>
      <c r="AD4682" s="4"/>
      <c r="AE4682" s="4"/>
      <c r="AF4682" s="21"/>
    </row>
    <row r="4683" spans="24:32" x14ac:dyDescent="0.25">
      <c r="X4683" s="4"/>
      <c r="Y4683" s="4"/>
      <c r="Z4683" s="4"/>
      <c r="AA4683" s="4"/>
      <c r="AB4683" s="4"/>
      <c r="AC4683" s="7"/>
      <c r="AD4683" s="4"/>
      <c r="AE4683" s="4"/>
      <c r="AF4683" s="21"/>
    </row>
    <row r="4684" spans="24:32" x14ac:dyDescent="0.25">
      <c r="X4684" s="4"/>
      <c r="Y4684" s="4"/>
      <c r="Z4684" s="4"/>
      <c r="AA4684" s="4"/>
      <c r="AB4684" s="4"/>
      <c r="AC4684" s="7"/>
      <c r="AD4684" s="4"/>
      <c r="AE4684" s="4"/>
      <c r="AF4684" s="21"/>
    </row>
    <row r="4685" spans="24:32" x14ac:dyDescent="0.25">
      <c r="X4685" s="4"/>
      <c r="Y4685" s="4"/>
      <c r="Z4685" s="4"/>
      <c r="AA4685" s="4"/>
      <c r="AB4685" s="4"/>
      <c r="AC4685" s="7"/>
      <c r="AD4685" s="4"/>
      <c r="AE4685" s="4"/>
      <c r="AF4685" s="21"/>
    </row>
    <row r="4686" spans="24:32" x14ac:dyDescent="0.25">
      <c r="X4686" s="4"/>
      <c r="Y4686" s="4"/>
      <c r="Z4686" s="4"/>
      <c r="AA4686" s="4"/>
      <c r="AB4686" s="4"/>
      <c r="AC4686" s="7"/>
      <c r="AD4686" s="4"/>
      <c r="AE4686" s="4"/>
      <c r="AF4686" s="21"/>
    </row>
    <row r="4687" spans="24:32" x14ac:dyDescent="0.25">
      <c r="X4687" s="4"/>
      <c r="Y4687" s="4"/>
      <c r="Z4687" s="4"/>
      <c r="AA4687" s="4"/>
      <c r="AB4687" s="4"/>
      <c r="AC4687" s="7"/>
      <c r="AD4687" s="4"/>
      <c r="AE4687" s="4"/>
      <c r="AF4687" s="21"/>
    </row>
    <row r="4688" spans="24:32" x14ac:dyDescent="0.25">
      <c r="X4688" s="4"/>
      <c r="Y4688" s="4"/>
      <c r="Z4688" s="4"/>
      <c r="AA4688" s="4"/>
      <c r="AB4688" s="4"/>
      <c r="AC4688" s="7"/>
      <c r="AD4688" s="4"/>
      <c r="AE4688" s="4"/>
      <c r="AF4688" s="21"/>
    </row>
    <row r="4689" spans="24:32" x14ac:dyDescent="0.25">
      <c r="X4689" s="4"/>
      <c r="Y4689" s="4"/>
      <c r="Z4689" s="4"/>
      <c r="AA4689" s="4"/>
      <c r="AB4689" s="4"/>
      <c r="AC4689" s="7"/>
      <c r="AD4689" s="4"/>
      <c r="AE4689" s="4"/>
      <c r="AF4689" s="21"/>
    </row>
    <row r="4690" spans="24:32" x14ac:dyDescent="0.25">
      <c r="X4690" s="4"/>
      <c r="Y4690" s="4"/>
      <c r="Z4690" s="4"/>
      <c r="AA4690" s="4"/>
      <c r="AB4690" s="4"/>
      <c r="AC4690" s="7"/>
      <c r="AD4690" s="4"/>
      <c r="AE4690" s="4"/>
      <c r="AF4690" s="21"/>
    </row>
    <row r="4691" spans="24:32" x14ac:dyDescent="0.25">
      <c r="X4691" s="4"/>
      <c r="Y4691" s="4"/>
      <c r="Z4691" s="4"/>
      <c r="AA4691" s="4"/>
      <c r="AB4691" s="4"/>
      <c r="AC4691" s="7"/>
      <c r="AD4691" s="4"/>
      <c r="AE4691" s="4"/>
      <c r="AF4691" s="21"/>
    </row>
    <row r="4692" spans="24:32" x14ac:dyDescent="0.25">
      <c r="X4692" s="4"/>
      <c r="Y4692" s="4"/>
      <c r="Z4692" s="4"/>
      <c r="AA4692" s="4"/>
      <c r="AB4692" s="4"/>
      <c r="AC4692" s="7"/>
      <c r="AD4692" s="4"/>
      <c r="AE4692" s="4"/>
      <c r="AF4692" s="21"/>
    </row>
    <row r="4693" spans="24:32" x14ac:dyDescent="0.25">
      <c r="X4693" s="4"/>
      <c r="Y4693" s="4"/>
      <c r="Z4693" s="4"/>
      <c r="AA4693" s="4"/>
      <c r="AB4693" s="4"/>
      <c r="AC4693" s="7"/>
      <c r="AD4693" s="4"/>
      <c r="AE4693" s="4"/>
      <c r="AF4693" s="21"/>
    </row>
    <row r="4694" spans="24:32" x14ac:dyDescent="0.25">
      <c r="X4694" s="4"/>
      <c r="Y4694" s="4"/>
      <c r="Z4694" s="4"/>
      <c r="AA4694" s="4"/>
      <c r="AB4694" s="4"/>
      <c r="AC4694" s="7"/>
      <c r="AD4694" s="4"/>
      <c r="AE4694" s="4"/>
      <c r="AF4694" s="21"/>
    </row>
    <row r="4695" spans="24:32" x14ac:dyDescent="0.25">
      <c r="X4695" s="4"/>
      <c r="Y4695" s="4"/>
      <c r="Z4695" s="4"/>
      <c r="AA4695" s="4"/>
      <c r="AB4695" s="4"/>
      <c r="AC4695" s="7"/>
      <c r="AD4695" s="4"/>
      <c r="AE4695" s="4"/>
      <c r="AF4695" s="21"/>
    </row>
    <row r="4696" spans="24:32" x14ac:dyDescent="0.25">
      <c r="X4696" s="4"/>
      <c r="Y4696" s="4"/>
      <c r="Z4696" s="4"/>
      <c r="AA4696" s="4"/>
      <c r="AB4696" s="4"/>
      <c r="AC4696" s="7"/>
      <c r="AD4696" s="4"/>
      <c r="AE4696" s="4"/>
      <c r="AF4696" s="21"/>
    </row>
    <row r="4697" spans="24:32" x14ac:dyDescent="0.25">
      <c r="X4697" s="4"/>
      <c r="Y4697" s="4"/>
      <c r="Z4697" s="4"/>
      <c r="AA4697" s="4"/>
      <c r="AB4697" s="4"/>
      <c r="AC4697" s="7"/>
      <c r="AD4697" s="4"/>
      <c r="AE4697" s="4"/>
      <c r="AF4697" s="21"/>
    </row>
    <row r="4698" spans="24:32" x14ac:dyDescent="0.25">
      <c r="X4698" s="4"/>
      <c r="Y4698" s="4"/>
      <c r="Z4698" s="4"/>
      <c r="AA4698" s="4"/>
      <c r="AB4698" s="4"/>
      <c r="AC4698" s="7"/>
      <c r="AD4698" s="4"/>
      <c r="AE4698" s="4"/>
      <c r="AF4698" s="21"/>
    </row>
    <row r="4699" spans="24:32" x14ac:dyDescent="0.25">
      <c r="X4699" s="4"/>
      <c r="Y4699" s="4"/>
      <c r="Z4699" s="4"/>
      <c r="AA4699" s="4"/>
      <c r="AB4699" s="4"/>
      <c r="AC4699" s="7"/>
      <c r="AD4699" s="4"/>
      <c r="AE4699" s="4"/>
      <c r="AF4699" s="21"/>
    </row>
    <row r="4700" spans="24:32" x14ac:dyDescent="0.25">
      <c r="X4700" s="4"/>
      <c r="Y4700" s="4"/>
      <c r="Z4700" s="4"/>
      <c r="AA4700" s="4"/>
      <c r="AB4700" s="4"/>
      <c r="AC4700" s="7"/>
      <c r="AD4700" s="4"/>
      <c r="AE4700" s="4"/>
      <c r="AF4700" s="21"/>
    </row>
    <row r="4701" spans="24:32" x14ac:dyDescent="0.25">
      <c r="X4701" s="4"/>
      <c r="Y4701" s="4"/>
      <c r="Z4701" s="4"/>
      <c r="AA4701" s="4"/>
      <c r="AB4701" s="4"/>
      <c r="AC4701" s="7"/>
      <c r="AD4701" s="4"/>
      <c r="AE4701" s="4"/>
      <c r="AF4701" s="21"/>
    </row>
    <row r="4702" spans="24:32" x14ac:dyDescent="0.25">
      <c r="X4702" s="4"/>
      <c r="Y4702" s="4"/>
      <c r="Z4702" s="4"/>
      <c r="AA4702" s="4"/>
      <c r="AB4702" s="4"/>
      <c r="AC4702" s="7"/>
      <c r="AD4702" s="4"/>
      <c r="AE4702" s="4"/>
      <c r="AF4702" s="21"/>
    </row>
    <row r="4703" spans="24:32" x14ac:dyDescent="0.25">
      <c r="X4703" s="4"/>
      <c r="Y4703" s="4"/>
      <c r="Z4703" s="4"/>
      <c r="AA4703" s="4"/>
      <c r="AB4703" s="4"/>
      <c r="AC4703" s="7"/>
      <c r="AD4703" s="4"/>
      <c r="AE4703" s="4"/>
      <c r="AF4703" s="21"/>
    </row>
    <row r="4704" spans="24:32" x14ac:dyDescent="0.25">
      <c r="X4704" s="4"/>
      <c r="Y4704" s="4"/>
      <c r="Z4704" s="4"/>
      <c r="AA4704" s="4"/>
      <c r="AB4704" s="4"/>
      <c r="AC4704" s="7"/>
      <c r="AD4704" s="4"/>
      <c r="AE4704" s="4"/>
      <c r="AF4704" s="21"/>
    </row>
    <row r="4705" spans="24:32" x14ac:dyDescent="0.25">
      <c r="X4705" s="4"/>
      <c r="Y4705" s="4"/>
      <c r="Z4705" s="4"/>
      <c r="AA4705" s="4"/>
      <c r="AB4705" s="4"/>
      <c r="AC4705" s="7"/>
      <c r="AD4705" s="4"/>
      <c r="AE4705" s="4"/>
      <c r="AF4705" s="21"/>
    </row>
    <row r="4706" spans="24:32" x14ac:dyDescent="0.25">
      <c r="X4706" s="4"/>
      <c r="Y4706" s="4"/>
      <c r="Z4706" s="4"/>
      <c r="AA4706" s="4"/>
      <c r="AB4706" s="4"/>
      <c r="AC4706" s="7"/>
      <c r="AD4706" s="4"/>
      <c r="AE4706" s="4"/>
      <c r="AF4706" s="21"/>
    </row>
    <row r="4707" spans="24:32" x14ac:dyDescent="0.25">
      <c r="X4707" s="4"/>
      <c r="Y4707" s="4"/>
      <c r="Z4707" s="4"/>
      <c r="AA4707" s="4"/>
      <c r="AB4707" s="4"/>
      <c r="AC4707" s="7"/>
      <c r="AD4707" s="4"/>
      <c r="AE4707" s="4"/>
      <c r="AF4707" s="21"/>
    </row>
    <row r="4708" spans="24:32" x14ac:dyDescent="0.25">
      <c r="X4708" s="4"/>
      <c r="Y4708" s="4"/>
      <c r="Z4708" s="4"/>
      <c r="AA4708" s="4"/>
      <c r="AB4708" s="4"/>
      <c r="AC4708" s="7"/>
      <c r="AD4708" s="4"/>
      <c r="AE4708" s="4"/>
      <c r="AF4708" s="21"/>
    </row>
    <row r="4709" spans="24:32" x14ac:dyDescent="0.25">
      <c r="X4709" s="4"/>
      <c r="Y4709" s="4"/>
      <c r="Z4709" s="4"/>
      <c r="AA4709" s="4"/>
      <c r="AB4709" s="4"/>
      <c r="AC4709" s="7"/>
      <c r="AD4709" s="4"/>
      <c r="AE4709" s="4"/>
      <c r="AF4709" s="21"/>
    </row>
    <row r="4710" spans="24:32" x14ac:dyDescent="0.25">
      <c r="X4710" s="4"/>
      <c r="Y4710" s="4"/>
      <c r="Z4710" s="4"/>
      <c r="AA4710" s="4"/>
      <c r="AB4710" s="4"/>
      <c r="AC4710" s="7"/>
      <c r="AD4710" s="4"/>
      <c r="AE4710" s="4"/>
      <c r="AF4710" s="21"/>
    </row>
    <row r="4711" spans="24:32" x14ac:dyDescent="0.25">
      <c r="X4711" s="4"/>
      <c r="Y4711" s="4"/>
      <c r="Z4711" s="4"/>
      <c r="AA4711" s="4"/>
      <c r="AB4711" s="4"/>
      <c r="AC4711" s="7"/>
      <c r="AD4711" s="4"/>
      <c r="AE4711" s="4"/>
      <c r="AF4711" s="21"/>
    </row>
    <row r="4712" spans="24:32" x14ac:dyDescent="0.25">
      <c r="X4712" s="4"/>
      <c r="Y4712" s="4"/>
      <c r="Z4712" s="4"/>
      <c r="AA4712" s="4"/>
      <c r="AB4712" s="4"/>
      <c r="AC4712" s="7"/>
      <c r="AD4712" s="4"/>
      <c r="AE4712" s="4"/>
      <c r="AF4712" s="21"/>
    </row>
    <row r="4713" spans="24:32" x14ac:dyDescent="0.25">
      <c r="X4713" s="4"/>
      <c r="Y4713" s="4"/>
      <c r="Z4713" s="4"/>
      <c r="AA4713" s="4"/>
      <c r="AB4713" s="4"/>
      <c r="AC4713" s="7"/>
      <c r="AD4713" s="4"/>
      <c r="AE4713" s="4"/>
      <c r="AF4713" s="21"/>
    </row>
    <row r="4714" spans="24:32" x14ac:dyDescent="0.25">
      <c r="X4714" s="4"/>
      <c r="Y4714" s="4"/>
      <c r="Z4714" s="4"/>
      <c r="AA4714" s="4"/>
      <c r="AB4714" s="4"/>
      <c r="AC4714" s="7"/>
      <c r="AD4714" s="4"/>
      <c r="AE4714" s="4"/>
      <c r="AF4714" s="21"/>
    </row>
    <row r="4715" spans="24:32" x14ac:dyDescent="0.25">
      <c r="X4715" s="4"/>
      <c r="Y4715" s="4"/>
      <c r="Z4715" s="4"/>
      <c r="AA4715" s="4"/>
      <c r="AB4715" s="4"/>
      <c r="AC4715" s="7"/>
      <c r="AD4715" s="4"/>
      <c r="AE4715" s="4"/>
      <c r="AF4715" s="21"/>
    </row>
    <row r="4716" spans="24:32" x14ac:dyDescent="0.25">
      <c r="X4716" s="4"/>
      <c r="Y4716" s="4"/>
      <c r="Z4716" s="4"/>
      <c r="AA4716" s="4"/>
      <c r="AB4716" s="4"/>
      <c r="AC4716" s="7"/>
      <c r="AD4716" s="4"/>
      <c r="AE4716" s="4"/>
      <c r="AF4716" s="21"/>
    </row>
    <row r="4717" spans="24:32" x14ac:dyDescent="0.25">
      <c r="X4717" s="4"/>
      <c r="Y4717" s="4"/>
      <c r="Z4717" s="4"/>
      <c r="AA4717" s="4"/>
      <c r="AB4717" s="4"/>
      <c r="AC4717" s="7"/>
      <c r="AD4717" s="4"/>
      <c r="AE4717" s="4"/>
      <c r="AF4717" s="21"/>
    </row>
    <row r="4718" spans="24:32" x14ac:dyDescent="0.25">
      <c r="X4718" s="4"/>
      <c r="Y4718" s="4"/>
      <c r="Z4718" s="4"/>
      <c r="AA4718" s="4"/>
      <c r="AB4718" s="4"/>
      <c r="AC4718" s="7"/>
      <c r="AD4718" s="4"/>
      <c r="AE4718" s="4"/>
      <c r="AF4718" s="21"/>
    </row>
    <row r="4719" spans="24:32" x14ac:dyDescent="0.25">
      <c r="X4719" s="4"/>
      <c r="Y4719" s="4"/>
      <c r="Z4719" s="4"/>
      <c r="AA4719" s="4"/>
      <c r="AB4719" s="4"/>
      <c r="AC4719" s="7"/>
      <c r="AD4719" s="4"/>
      <c r="AE4719" s="4"/>
      <c r="AF4719" s="21"/>
    </row>
    <row r="4720" spans="24:32" x14ac:dyDescent="0.25">
      <c r="X4720" s="4"/>
      <c r="Y4720" s="4"/>
      <c r="Z4720" s="4"/>
      <c r="AA4720" s="4"/>
      <c r="AB4720" s="4"/>
      <c r="AC4720" s="7"/>
      <c r="AD4720" s="4"/>
      <c r="AE4720" s="4"/>
      <c r="AF4720" s="21"/>
    </row>
    <row r="4721" spans="24:32" x14ac:dyDescent="0.25">
      <c r="X4721" s="4"/>
      <c r="Y4721" s="4"/>
      <c r="Z4721" s="4"/>
      <c r="AA4721" s="4"/>
      <c r="AB4721" s="4"/>
      <c r="AC4721" s="7"/>
      <c r="AD4721" s="4"/>
      <c r="AE4721" s="4"/>
      <c r="AF4721" s="21"/>
    </row>
    <row r="4722" spans="24:32" x14ac:dyDescent="0.25">
      <c r="X4722" s="4"/>
      <c r="Y4722" s="4"/>
      <c r="Z4722" s="4"/>
      <c r="AA4722" s="4"/>
      <c r="AB4722" s="4"/>
      <c r="AC4722" s="7"/>
      <c r="AD4722" s="4"/>
      <c r="AE4722" s="4"/>
      <c r="AF4722" s="21"/>
    </row>
    <row r="4723" spans="24:32" x14ac:dyDescent="0.25">
      <c r="X4723" s="4"/>
      <c r="Y4723" s="4"/>
      <c r="Z4723" s="4"/>
      <c r="AA4723" s="4"/>
      <c r="AB4723" s="4"/>
      <c r="AC4723" s="7"/>
      <c r="AD4723" s="4"/>
      <c r="AE4723" s="4"/>
      <c r="AF4723" s="21"/>
    </row>
    <row r="4724" spans="24:32" x14ac:dyDescent="0.25">
      <c r="X4724" s="4"/>
      <c r="Y4724" s="4"/>
      <c r="Z4724" s="4"/>
      <c r="AA4724" s="4"/>
      <c r="AB4724" s="4"/>
      <c r="AC4724" s="7"/>
      <c r="AD4724" s="4"/>
      <c r="AE4724" s="4"/>
      <c r="AF4724" s="21"/>
    </row>
    <row r="4725" spans="24:32" x14ac:dyDescent="0.25">
      <c r="X4725" s="4"/>
      <c r="Y4725" s="4"/>
      <c r="Z4725" s="4"/>
      <c r="AA4725" s="4"/>
      <c r="AB4725" s="4"/>
      <c r="AC4725" s="7"/>
      <c r="AD4725" s="4"/>
      <c r="AE4725" s="4"/>
      <c r="AF4725" s="21"/>
    </row>
    <row r="4726" spans="24:32" x14ac:dyDescent="0.25">
      <c r="X4726" s="4"/>
      <c r="Y4726" s="4"/>
      <c r="Z4726" s="4"/>
      <c r="AA4726" s="4"/>
      <c r="AB4726" s="4"/>
      <c r="AC4726" s="7"/>
      <c r="AD4726" s="4"/>
      <c r="AE4726" s="4"/>
      <c r="AF4726" s="21"/>
    </row>
    <row r="4727" spans="24:32" x14ac:dyDescent="0.25">
      <c r="X4727" s="4"/>
      <c r="Y4727" s="4"/>
      <c r="Z4727" s="4"/>
      <c r="AA4727" s="4"/>
      <c r="AB4727" s="4"/>
      <c r="AC4727" s="7"/>
      <c r="AD4727" s="4"/>
      <c r="AE4727" s="4"/>
      <c r="AF4727" s="21"/>
    </row>
    <row r="4728" spans="24:32" x14ac:dyDescent="0.25">
      <c r="X4728" s="4"/>
      <c r="Y4728" s="4"/>
      <c r="Z4728" s="4"/>
      <c r="AA4728" s="4"/>
      <c r="AB4728" s="4"/>
      <c r="AC4728" s="7"/>
      <c r="AD4728" s="4"/>
      <c r="AE4728" s="4"/>
      <c r="AF4728" s="21"/>
    </row>
    <row r="4729" spans="24:32" x14ac:dyDescent="0.25">
      <c r="X4729" s="4"/>
      <c r="Y4729" s="4"/>
      <c r="Z4729" s="4"/>
      <c r="AA4729" s="4"/>
      <c r="AB4729" s="4"/>
      <c r="AC4729" s="7"/>
      <c r="AD4729" s="4"/>
      <c r="AE4729" s="4"/>
      <c r="AF4729" s="21"/>
    </row>
    <row r="4730" spans="24:32" x14ac:dyDescent="0.25">
      <c r="X4730" s="4"/>
      <c r="Y4730" s="4"/>
      <c r="Z4730" s="4"/>
      <c r="AA4730" s="4"/>
      <c r="AB4730" s="4"/>
      <c r="AC4730" s="7"/>
      <c r="AD4730" s="4"/>
      <c r="AE4730" s="4"/>
      <c r="AF4730" s="21"/>
    </row>
    <row r="4731" spans="24:32" x14ac:dyDescent="0.25">
      <c r="X4731" s="4"/>
      <c r="Y4731" s="4"/>
      <c r="Z4731" s="4"/>
      <c r="AA4731" s="4"/>
      <c r="AB4731" s="4"/>
      <c r="AC4731" s="7"/>
      <c r="AD4731" s="4"/>
      <c r="AE4731" s="4"/>
      <c r="AF4731" s="21"/>
    </row>
    <row r="4732" spans="24:32" x14ac:dyDescent="0.25">
      <c r="X4732" s="4"/>
      <c r="Y4732" s="4"/>
      <c r="Z4732" s="4"/>
      <c r="AA4732" s="4"/>
      <c r="AB4732" s="4"/>
      <c r="AC4732" s="7"/>
      <c r="AD4732" s="4"/>
      <c r="AE4732" s="4"/>
      <c r="AF4732" s="21"/>
    </row>
    <row r="4733" spans="24:32" x14ac:dyDescent="0.25">
      <c r="X4733" s="4"/>
      <c r="Y4733" s="4"/>
      <c r="Z4733" s="4"/>
      <c r="AA4733" s="4"/>
      <c r="AB4733" s="4"/>
      <c r="AC4733" s="7"/>
      <c r="AD4733" s="4"/>
      <c r="AE4733" s="4"/>
      <c r="AF4733" s="21"/>
    </row>
    <row r="4734" spans="24:32" x14ac:dyDescent="0.25">
      <c r="X4734" s="4"/>
      <c r="Y4734" s="4"/>
      <c r="Z4734" s="4"/>
      <c r="AA4734" s="4"/>
      <c r="AB4734" s="4"/>
      <c r="AC4734" s="7"/>
      <c r="AD4734" s="4"/>
      <c r="AE4734" s="4"/>
      <c r="AF4734" s="21"/>
    </row>
    <row r="4735" spans="24:32" x14ac:dyDescent="0.25">
      <c r="X4735" s="4"/>
      <c r="Y4735" s="4"/>
      <c r="Z4735" s="4"/>
      <c r="AA4735" s="4"/>
      <c r="AB4735" s="4"/>
      <c r="AC4735" s="7"/>
      <c r="AD4735" s="4"/>
      <c r="AE4735" s="4"/>
      <c r="AF4735" s="21"/>
    </row>
    <row r="4736" spans="24:32" x14ac:dyDescent="0.25">
      <c r="X4736" s="4"/>
      <c r="Y4736" s="4"/>
      <c r="Z4736" s="4"/>
      <c r="AA4736" s="4"/>
      <c r="AB4736" s="4"/>
      <c r="AC4736" s="7"/>
      <c r="AD4736" s="4"/>
      <c r="AE4736" s="4"/>
      <c r="AF4736" s="21"/>
    </row>
    <row r="4737" spans="24:32" x14ac:dyDescent="0.25">
      <c r="X4737" s="4"/>
      <c r="Y4737" s="4"/>
      <c r="Z4737" s="4"/>
      <c r="AA4737" s="4"/>
      <c r="AB4737" s="4"/>
      <c r="AC4737" s="7"/>
      <c r="AD4737" s="4"/>
      <c r="AE4737" s="4"/>
      <c r="AF4737" s="21"/>
    </row>
    <row r="4738" spans="24:32" x14ac:dyDescent="0.25">
      <c r="X4738" s="4"/>
      <c r="Y4738" s="4"/>
      <c r="Z4738" s="4"/>
      <c r="AA4738" s="4"/>
      <c r="AB4738" s="4"/>
      <c r="AC4738" s="7"/>
      <c r="AD4738" s="4"/>
      <c r="AE4738" s="4"/>
      <c r="AF4738" s="21"/>
    </row>
    <row r="4739" spans="24:32" x14ac:dyDescent="0.25">
      <c r="X4739" s="4"/>
      <c r="Y4739" s="4"/>
      <c r="Z4739" s="4"/>
      <c r="AA4739" s="4"/>
      <c r="AB4739" s="4"/>
      <c r="AC4739" s="7"/>
      <c r="AD4739" s="4"/>
      <c r="AE4739" s="4"/>
      <c r="AF4739" s="21"/>
    </row>
    <row r="4740" spans="24:32" x14ac:dyDescent="0.25">
      <c r="X4740" s="4"/>
      <c r="Y4740" s="4"/>
      <c r="Z4740" s="4"/>
      <c r="AA4740" s="4"/>
      <c r="AB4740" s="4"/>
      <c r="AC4740" s="7"/>
      <c r="AD4740" s="4"/>
      <c r="AE4740" s="4"/>
      <c r="AF4740" s="21"/>
    </row>
    <row r="4741" spans="24:32" x14ac:dyDescent="0.25">
      <c r="X4741" s="4"/>
      <c r="Y4741" s="4"/>
      <c r="Z4741" s="4"/>
      <c r="AA4741" s="4"/>
      <c r="AB4741" s="4"/>
      <c r="AC4741" s="7"/>
      <c r="AD4741" s="4"/>
      <c r="AE4741" s="4"/>
      <c r="AF4741" s="21"/>
    </row>
    <row r="4742" spans="24:32" x14ac:dyDescent="0.25">
      <c r="X4742" s="4"/>
      <c r="Y4742" s="4"/>
      <c r="Z4742" s="4"/>
      <c r="AA4742" s="4"/>
      <c r="AB4742" s="4"/>
      <c r="AC4742" s="7"/>
      <c r="AD4742" s="4"/>
      <c r="AE4742" s="4"/>
      <c r="AF4742" s="21"/>
    </row>
    <row r="4743" spans="24:32" x14ac:dyDescent="0.25">
      <c r="X4743" s="4"/>
      <c r="Y4743" s="4"/>
      <c r="Z4743" s="4"/>
      <c r="AA4743" s="4"/>
      <c r="AB4743" s="4"/>
      <c r="AC4743" s="7"/>
      <c r="AD4743" s="4"/>
      <c r="AE4743" s="4"/>
      <c r="AF4743" s="21"/>
    </row>
    <row r="4744" spans="24:32" x14ac:dyDescent="0.25">
      <c r="X4744" s="4"/>
      <c r="Y4744" s="4"/>
      <c r="Z4744" s="4"/>
      <c r="AA4744" s="4"/>
      <c r="AB4744" s="4"/>
      <c r="AC4744" s="7"/>
      <c r="AD4744" s="4"/>
      <c r="AE4744" s="4"/>
      <c r="AF4744" s="21"/>
    </row>
    <row r="4745" spans="24:32" x14ac:dyDescent="0.25">
      <c r="X4745" s="4"/>
      <c r="Y4745" s="4"/>
      <c r="Z4745" s="4"/>
      <c r="AA4745" s="4"/>
      <c r="AB4745" s="4"/>
      <c r="AC4745" s="7"/>
      <c r="AD4745" s="4"/>
      <c r="AE4745" s="4"/>
      <c r="AF4745" s="21"/>
    </row>
    <row r="4746" spans="24:32" x14ac:dyDescent="0.25">
      <c r="X4746" s="4"/>
      <c r="Y4746" s="4"/>
      <c r="Z4746" s="4"/>
      <c r="AA4746" s="4"/>
      <c r="AB4746" s="4"/>
      <c r="AC4746" s="7"/>
      <c r="AD4746" s="4"/>
      <c r="AE4746" s="4"/>
      <c r="AF4746" s="21"/>
    </row>
    <row r="4747" spans="24:32" x14ac:dyDescent="0.25">
      <c r="X4747" s="4"/>
      <c r="Y4747" s="4"/>
      <c r="Z4747" s="4"/>
      <c r="AA4747" s="4"/>
      <c r="AB4747" s="4"/>
      <c r="AC4747" s="7"/>
      <c r="AD4747" s="4"/>
      <c r="AE4747" s="4"/>
      <c r="AF4747" s="21"/>
    </row>
    <row r="4748" spans="24:32" x14ac:dyDescent="0.25">
      <c r="X4748" s="4"/>
      <c r="Y4748" s="4"/>
      <c r="Z4748" s="4"/>
      <c r="AA4748" s="4"/>
      <c r="AB4748" s="4"/>
      <c r="AC4748" s="7"/>
      <c r="AD4748" s="4"/>
      <c r="AE4748" s="4"/>
      <c r="AF4748" s="21"/>
    </row>
    <row r="4749" spans="24:32" x14ac:dyDescent="0.25">
      <c r="X4749" s="4"/>
      <c r="Y4749" s="4"/>
      <c r="Z4749" s="4"/>
      <c r="AA4749" s="4"/>
      <c r="AB4749" s="4"/>
      <c r="AC4749" s="7"/>
      <c r="AD4749" s="4"/>
      <c r="AE4749" s="4"/>
      <c r="AF4749" s="21"/>
    </row>
    <row r="4750" spans="24:32" x14ac:dyDescent="0.25">
      <c r="X4750" s="4"/>
      <c r="Y4750" s="4"/>
      <c r="Z4750" s="4"/>
      <c r="AA4750" s="4"/>
      <c r="AB4750" s="4"/>
      <c r="AC4750" s="7"/>
      <c r="AD4750" s="4"/>
      <c r="AE4750" s="4"/>
      <c r="AF4750" s="21"/>
    </row>
    <row r="4751" spans="24:32" x14ac:dyDescent="0.25">
      <c r="X4751" s="4"/>
      <c r="Y4751" s="4"/>
      <c r="Z4751" s="4"/>
      <c r="AA4751" s="4"/>
      <c r="AB4751" s="4"/>
      <c r="AC4751" s="7"/>
      <c r="AD4751" s="4"/>
      <c r="AE4751" s="4"/>
      <c r="AF4751" s="21"/>
    </row>
    <row r="4752" spans="24:32" x14ac:dyDescent="0.25">
      <c r="X4752" s="4"/>
      <c r="Y4752" s="4"/>
      <c r="Z4752" s="4"/>
      <c r="AA4752" s="4"/>
      <c r="AB4752" s="4"/>
      <c r="AC4752" s="7"/>
      <c r="AD4752" s="4"/>
      <c r="AE4752" s="4"/>
      <c r="AF4752" s="21"/>
    </row>
    <row r="4753" spans="24:32" x14ac:dyDescent="0.25">
      <c r="X4753" s="4"/>
      <c r="Y4753" s="4"/>
      <c r="Z4753" s="4"/>
      <c r="AA4753" s="4"/>
      <c r="AB4753" s="4"/>
      <c r="AC4753" s="7"/>
      <c r="AD4753" s="4"/>
      <c r="AE4753" s="4"/>
      <c r="AF4753" s="21"/>
    </row>
    <row r="4754" spans="24:32" x14ac:dyDescent="0.25">
      <c r="X4754" s="4"/>
      <c r="Y4754" s="4"/>
      <c r="Z4754" s="4"/>
      <c r="AA4754" s="4"/>
      <c r="AB4754" s="4"/>
      <c r="AC4754" s="7"/>
      <c r="AD4754" s="4"/>
      <c r="AE4754" s="4"/>
      <c r="AF4754" s="21"/>
    </row>
    <row r="4755" spans="24:32" x14ac:dyDescent="0.25">
      <c r="X4755" s="4"/>
      <c r="Y4755" s="4"/>
      <c r="Z4755" s="4"/>
      <c r="AA4755" s="4"/>
      <c r="AB4755" s="4"/>
      <c r="AC4755" s="7"/>
      <c r="AD4755" s="4"/>
      <c r="AE4755" s="4"/>
      <c r="AF4755" s="21"/>
    </row>
    <row r="4756" spans="24:32" x14ac:dyDescent="0.25">
      <c r="X4756" s="4"/>
      <c r="Y4756" s="4"/>
      <c r="Z4756" s="4"/>
      <c r="AA4756" s="4"/>
      <c r="AB4756" s="4"/>
      <c r="AC4756" s="7"/>
      <c r="AD4756" s="4"/>
      <c r="AE4756" s="4"/>
      <c r="AF4756" s="21"/>
    </row>
    <row r="4757" spans="24:32" x14ac:dyDescent="0.25">
      <c r="X4757" s="4"/>
      <c r="Y4757" s="4"/>
      <c r="Z4757" s="4"/>
      <c r="AA4757" s="4"/>
      <c r="AB4757" s="4"/>
      <c r="AC4757" s="7"/>
      <c r="AD4757" s="4"/>
      <c r="AE4757" s="4"/>
      <c r="AF4757" s="21"/>
    </row>
    <row r="4758" spans="24:32" x14ac:dyDescent="0.25">
      <c r="X4758" s="4"/>
      <c r="Y4758" s="4"/>
      <c r="Z4758" s="4"/>
      <c r="AA4758" s="4"/>
      <c r="AB4758" s="4"/>
      <c r="AC4758" s="7"/>
      <c r="AD4758" s="4"/>
      <c r="AE4758" s="4"/>
      <c r="AF4758" s="21"/>
    </row>
    <row r="4759" spans="24:32" x14ac:dyDescent="0.25">
      <c r="X4759" s="4"/>
      <c r="Y4759" s="4"/>
      <c r="Z4759" s="4"/>
      <c r="AA4759" s="4"/>
      <c r="AB4759" s="4"/>
      <c r="AC4759" s="7"/>
      <c r="AD4759" s="4"/>
      <c r="AE4759" s="4"/>
      <c r="AF4759" s="21"/>
    </row>
    <row r="4760" spans="24:32" x14ac:dyDescent="0.25">
      <c r="X4760" s="4"/>
      <c r="Y4760" s="4"/>
      <c r="Z4760" s="4"/>
      <c r="AA4760" s="4"/>
      <c r="AB4760" s="4"/>
      <c r="AC4760" s="7"/>
      <c r="AD4760" s="4"/>
      <c r="AE4760" s="4"/>
      <c r="AF4760" s="21"/>
    </row>
    <row r="4761" spans="24:32" x14ac:dyDescent="0.25">
      <c r="X4761" s="4"/>
      <c r="Y4761" s="4"/>
      <c r="Z4761" s="4"/>
      <c r="AA4761" s="4"/>
      <c r="AB4761" s="4"/>
      <c r="AC4761" s="7"/>
      <c r="AD4761" s="4"/>
      <c r="AE4761" s="4"/>
      <c r="AF4761" s="21"/>
    </row>
    <row r="4762" spans="24:32" x14ac:dyDescent="0.25">
      <c r="X4762" s="4"/>
      <c r="Y4762" s="4"/>
      <c r="Z4762" s="4"/>
      <c r="AA4762" s="4"/>
      <c r="AB4762" s="4"/>
      <c r="AC4762" s="7"/>
      <c r="AD4762" s="4"/>
      <c r="AE4762" s="4"/>
      <c r="AF4762" s="21"/>
    </row>
    <row r="4763" spans="24:32" x14ac:dyDescent="0.25">
      <c r="X4763" s="4"/>
      <c r="Y4763" s="4"/>
      <c r="Z4763" s="4"/>
      <c r="AA4763" s="4"/>
      <c r="AB4763" s="4"/>
      <c r="AC4763" s="7"/>
      <c r="AD4763" s="4"/>
      <c r="AE4763" s="4"/>
      <c r="AF4763" s="21"/>
    </row>
    <row r="4764" spans="24:32" x14ac:dyDescent="0.25">
      <c r="X4764" s="4"/>
      <c r="Y4764" s="4"/>
      <c r="Z4764" s="4"/>
      <c r="AA4764" s="4"/>
      <c r="AB4764" s="4"/>
      <c r="AC4764" s="7"/>
      <c r="AD4764" s="4"/>
      <c r="AE4764" s="4"/>
      <c r="AF4764" s="21"/>
    </row>
    <row r="4765" spans="24:32" x14ac:dyDescent="0.25">
      <c r="X4765" s="4"/>
      <c r="Y4765" s="4"/>
      <c r="Z4765" s="4"/>
      <c r="AA4765" s="4"/>
      <c r="AB4765" s="4"/>
      <c r="AC4765" s="7"/>
      <c r="AD4765" s="4"/>
      <c r="AE4765" s="4"/>
      <c r="AF4765" s="21"/>
    </row>
    <row r="4766" spans="24:32" x14ac:dyDescent="0.25">
      <c r="X4766" s="4"/>
      <c r="Y4766" s="4"/>
      <c r="Z4766" s="4"/>
      <c r="AA4766" s="4"/>
      <c r="AB4766" s="4"/>
      <c r="AC4766" s="7"/>
      <c r="AD4766" s="4"/>
      <c r="AE4766" s="4"/>
      <c r="AF4766" s="21"/>
    </row>
    <row r="4767" spans="24:32" x14ac:dyDescent="0.25">
      <c r="X4767" s="4"/>
      <c r="Y4767" s="4"/>
      <c r="Z4767" s="4"/>
      <c r="AA4767" s="4"/>
      <c r="AB4767" s="4"/>
      <c r="AC4767" s="7"/>
      <c r="AD4767" s="4"/>
      <c r="AE4767" s="4"/>
      <c r="AF4767" s="21"/>
    </row>
    <row r="4768" spans="24:32" x14ac:dyDescent="0.25">
      <c r="X4768" s="4"/>
      <c r="Y4768" s="4"/>
      <c r="Z4768" s="4"/>
      <c r="AA4768" s="4"/>
      <c r="AB4768" s="4"/>
      <c r="AC4768" s="7"/>
      <c r="AD4768" s="4"/>
      <c r="AE4768" s="4"/>
      <c r="AF4768" s="21"/>
    </row>
    <row r="4769" spans="24:32" x14ac:dyDescent="0.25">
      <c r="X4769" s="4"/>
      <c r="Y4769" s="4"/>
      <c r="Z4769" s="4"/>
      <c r="AA4769" s="4"/>
      <c r="AB4769" s="4"/>
      <c r="AC4769" s="7"/>
      <c r="AD4769" s="4"/>
      <c r="AE4769" s="4"/>
      <c r="AF4769" s="21"/>
    </row>
    <row r="4770" spans="24:32" x14ac:dyDescent="0.25">
      <c r="X4770" s="4"/>
      <c r="Y4770" s="4"/>
      <c r="Z4770" s="4"/>
      <c r="AA4770" s="4"/>
      <c r="AB4770" s="4"/>
      <c r="AC4770" s="7"/>
      <c r="AD4770" s="4"/>
      <c r="AE4770" s="4"/>
      <c r="AF4770" s="21"/>
    </row>
    <row r="4771" spans="24:32" x14ac:dyDescent="0.25">
      <c r="X4771" s="4"/>
      <c r="Y4771" s="4"/>
      <c r="Z4771" s="4"/>
      <c r="AA4771" s="4"/>
      <c r="AB4771" s="4"/>
      <c r="AC4771" s="7"/>
      <c r="AD4771" s="4"/>
      <c r="AE4771" s="4"/>
      <c r="AF4771" s="21"/>
    </row>
    <row r="4772" spans="24:32" x14ac:dyDescent="0.25">
      <c r="X4772" s="4"/>
      <c r="Y4772" s="4"/>
      <c r="Z4772" s="4"/>
      <c r="AA4772" s="4"/>
      <c r="AB4772" s="4"/>
      <c r="AC4772" s="7"/>
      <c r="AD4772" s="4"/>
      <c r="AE4772" s="4"/>
      <c r="AF4772" s="21"/>
    </row>
    <row r="4773" spans="24:32" x14ac:dyDescent="0.25">
      <c r="X4773" s="4"/>
      <c r="Y4773" s="4"/>
      <c r="Z4773" s="4"/>
      <c r="AA4773" s="4"/>
      <c r="AB4773" s="4"/>
      <c r="AC4773" s="7"/>
      <c r="AD4773" s="4"/>
      <c r="AE4773" s="4"/>
      <c r="AF4773" s="21"/>
    </row>
    <row r="4774" spans="24:32" x14ac:dyDescent="0.25">
      <c r="X4774" s="4"/>
      <c r="Y4774" s="4"/>
      <c r="Z4774" s="4"/>
      <c r="AA4774" s="4"/>
      <c r="AB4774" s="4"/>
      <c r="AC4774" s="7"/>
      <c r="AD4774" s="4"/>
      <c r="AE4774" s="4"/>
      <c r="AF4774" s="21"/>
    </row>
    <row r="4775" spans="24:32" x14ac:dyDescent="0.25">
      <c r="X4775" s="4"/>
      <c r="Y4775" s="4"/>
      <c r="Z4775" s="4"/>
      <c r="AA4775" s="4"/>
      <c r="AB4775" s="4"/>
      <c r="AC4775" s="7"/>
      <c r="AD4775" s="4"/>
      <c r="AE4775" s="4"/>
      <c r="AF4775" s="21"/>
    </row>
    <row r="4776" spans="24:32" x14ac:dyDescent="0.25">
      <c r="X4776" s="4"/>
      <c r="Y4776" s="4"/>
      <c r="Z4776" s="4"/>
      <c r="AA4776" s="4"/>
      <c r="AB4776" s="4"/>
      <c r="AC4776" s="7"/>
      <c r="AD4776" s="4"/>
      <c r="AE4776" s="4"/>
      <c r="AF4776" s="21"/>
    </row>
    <row r="4777" spans="24:32" x14ac:dyDescent="0.25">
      <c r="X4777" s="4"/>
      <c r="Y4777" s="4"/>
      <c r="Z4777" s="4"/>
      <c r="AA4777" s="4"/>
      <c r="AB4777" s="4"/>
      <c r="AC4777" s="7"/>
      <c r="AD4777" s="4"/>
      <c r="AE4777" s="4"/>
      <c r="AF4777" s="21"/>
    </row>
    <row r="4778" spans="24:32" x14ac:dyDescent="0.25">
      <c r="X4778" s="4"/>
      <c r="Y4778" s="4"/>
      <c r="Z4778" s="4"/>
      <c r="AA4778" s="4"/>
      <c r="AB4778" s="4"/>
      <c r="AC4778" s="7"/>
      <c r="AD4778" s="4"/>
      <c r="AE4778" s="4"/>
      <c r="AF4778" s="21"/>
    </row>
    <row r="4779" spans="24:32" x14ac:dyDescent="0.25">
      <c r="X4779" s="4"/>
      <c r="Y4779" s="4"/>
      <c r="Z4779" s="4"/>
      <c r="AA4779" s="4"/>
      <c r="AB4779" s="4"/>
      <c r="AC4779" s="7"/>
      <c r="AD4779" s="4"/>
      <c r="AE4779" s="4"/>
      <c r="AF4779" s="21"/>
    </row>
    <row r="4780" spans="24:32" x14ac:dyDescent="0.25">
      <c r="X4780" s="4"/>
      <c r="Y4780" s="4"/>
      <c r="Z4780" s="4"/>
      <c r="AA4780" s="4"/>
      <c r="AB4780" s="4"/>
      <c r="AC4780" s="7"/>
      <c r="AD4780" s="4"/>
      <c r="AE4780" s="4"/>
      <c r="AF4780" s="21"/>
    </row>
    <row r="4781" spans="24:32" x14ac:dyDescent="0.25">
      <c r="X4781" s="4"/>
      <c r="Y4781" s="4"/>
      <c r="Z4781" s="4"/>
      <c r="AA4781" s="4"/>
      <c r="AB4781" s="4"/>
      <c r="AC4781" s="7"/>
      <c r="AD4781" s="4"/>
      <c r="AE4781" s="4"/>
      <c r="AF4781" s="21"/>
    </row>
    <row r="4782" spans="24:32" x14ac:dyDescent="0.25">
      <c r="X4782" s="4"/>
      <c r="Y4782" s="4"/>
      <c r="Z4782" s="4"/>
      <c r="AA4782" s="4"/>
      <c r="AB4782" s="4"/>
      <c r="AC4782" s="7"/>
      <c r="AD4782" s="4"/>
      <c r="AE4782" s="4"/>
      <c r="AF4782" s="21"/>
    </row>
    <row r="4783" spans="24:32" x14ac:dyDescent="0.25">
      <c r="X4783" s="4"/>
      <c r="Y4783" s="4"/>
      <c r="Z4783" s="4"/>
      <c r="AA4783" s="4"/>
      <c r="AB4783" s="4"/>
      <c r="AC4783" s="7"/>
      <c r="AD4783" s="4"/>
      <c r="AE4783" s="4"/>
      <c r="AF4783" s="21"/>
    </row>
    <row r="4784" spans="24:32" x14ac:dyDescent="0.25">
      <c r="X4784" s="4"/>
      <c r="Y4784" s="4"/>
      <c r="Z4784" s="4"/>
      <c r="AA4784" s="4"/>
      <c r="AB4784" s="4"/>
      <c r="AC4784" s="7"/>
      <c r="AD4784" s="4"/>
      <c r="AE4784" s="4"/>
      <c r="AF4784" s="21"/>
    </row>
    <row r="4785" spans="24:32" x14ac:dyDescent="0.25">
      <c r="X4785" s="4"/>
      <c r="Y4785" s="4"/>
      <c r="Z4785" s="4"/>
      <c r="AA4785" s="4"/>
      <c r="AB4785" s="4"/>
      <c r="AC4785" s="7"/>
      <c r="AD4785" s="4"/>
      <c r="AE4785" s="4"/>
      <c r="AF4785" s="21"/>
    </row>
    <row r="4786" spans="24:32" x14ac:dyDescent="0.25">
      <c r="X4786" s="4"/>
      <c r="Y4786" s="4"/>
      <c r="Z4786" s="4"/>
      <c r="AA4786" s="4"/>
      <c r="AB4786" s="4"/>
      <c r="AC4786" s="7"/>
      <c r="AD4786" s="4"/>
      <c r="AE4786" s="4"/>
      <c r="AF4786" s="21"/>
    </row>
    <row r="4787" spans="24:32" x14ac:dyDescent="0.25">
      <c r="X4787" s="4"/>
      <c r="Y4787" s="4"/>
      <c r="Z4787" s="4"/>
      <c r="AA4787" s="4"/>
      <c r="AB4787" s="4"/>
      <c r="AC4787" s="7"/>
      <c r="AD4787" s="4"/>
      <c r="AE4787" s="4"/>
      <c r="AF4787" s="21"/>
    </row>
    <row r="4788" spans="24:32" x14ac:dyDescent="0.25">
      <c r="X4788" s="4"/>
      <c r="Y4788" s="4"/>
      <c r="Z4788" s="4"/>
      <c r="AA4788" s="4"/>
      <c r="AB4788" s="4"/>
      <c r="AC4788" s="7"/>
      <c r="AD4788" s="4"/>
      <c r="AE4788" s="4"/>
      <c r="AF4788" s="21"/>
    </row>
    <row r="4789" spans="24:32" x14ac:dyDescent="0.25">
      <c r="X4789" s="4"/>
      <c r="Y4789" s="4"/>
      <c r="Z4789" s="4"/>
      <c r="AA4789" s="4"/>
      <c r="AB4789" s="4"/>
      <c r="AC4789" s="7"/>
      <c r="AD4789" s="4"/>
      <c r="AE4789" s="4"/>
      <c r="AF4789" s="21"/>
    </row>
    <row r="4790" spans="24:32" x14ac:dyDescent="0.25">
      <c r="X4790" s="4"/>
      <c r="Y4790" s="4"/>
      <c r="Z4790" s="4"/>
      <c r="AA4790" s="4"/>
      <c r="AB4790" s="4"/>
      <c r="AC4790" s="7"/>
      <c r="AD4790" s="4"/>
      <c r="AE4790" s="4"/>
      <c r="AF4790" s="21"/>
    </row>
    <row r="4791" spans="24:32" x14ac:dyDescent="0.25">
      <c r="X4791" s="4"/>
      <c r="Y4791" s="4"/>
      <c r="Z4791" s="4"/>
      <c r="AA4791" s="4"/>
      <c r="AB4791" s="4"/>
      <c r="AC4791" s="7"/>
      <c r="AD4791" s="4"/>
      <c r="AE4791" s="4"/>
      <c r="AF4791" s="21"/>
    </row>
    <row r="4792" spans="24:32" x14ac:dyDescent="0.25">
      <c r="X4792" s="4"/>
      <c r="Y4792" s="4"/>
      <c r="Z4792" s="4"/>
      <c r="AA4792" s="4"/>
      <c r="AB4792" s="4"/>
      <c r="AC4792" s="7"/>
      <c r="AD4792" s="4"/>
      <c r="AE4792" s="4"/>
      <c r="AF4792" s="21"/>
    </row>
    <row r="4793" spans="24:32" x14ac:dyDescent="0.25">
      <c r="X4793" s="4"/>
      <c r="Y4793" s="4"/>
      <c r="Z4793" s="4"/>
      <c r="AA4793" s="4"/>
      <c r="AB4793" s="4"/>
      <c r="AC4793" s="7"/>
      <c r="AD4793" s="4"/>
      <c r="AE4793" s="4"/>
      <c r="AF4793" s="21"/>
    </row>
    <row r="4794" spans="24:32" x14ac:dyDescent="0.25">
      <c r="X4794" s="4"/>
      <c r="Y4794" s="4"/>
      <c r="Z4794" s="4"/>
      <c r="AA4794" s="4"/>
      <c r="AB4794" s="4"/>
      <c r="AC4794" s="7"/>
      <c r="AD4794" s="4"/>
      <c r="AE4794" s="4"/>
      <c r="AF4794" s="21"/>
    </row>
    <row r="4795" spans="24:32" x14ac:dyDescent="0.25">
      <c r="X4795" s="4"/>
      <c r="Y4795" s="4"/>
      <c r="Z4795" s="4"/>
      <c r="AA4795" s="4"/>
      <c r="AB4795" s="4"/>
      <c r="AC4795" s="7"/>
      <c r="AD4795" s="4"/>
      <c r="AE4795" s="4"/>
      <c r="AF4795" s="21"/>
    </row>
    <row r="4796" spans="24:32" x14ac:dyDescent="0.25">
      <c r="X4796" s="4"/>
      <c r="Y4796" s="4"/>
      <c r="Z4796" s="4"/>
      <c r="AA4796" s="4"/>
      <c r="AB4796" s="4"/>
      <c r="AC4796" s="7"/>
      <c r="AD4796" s="4"/>
      <c r="AE4796" s="4"/>
      <c r="AF4796" s="21"/>
    </row>
    <row r="4797" spans="24:32" x14ac:dyDescent="0.25">
      <c r="X4797" s="4"/>
      <c r="Y4797" s="4"/>
      <c r="Z4797" s="4"/>
      <c r="AA4797" s="4"/>
      <c r="AB4797" s="4"/>
      <c r="AC4797" s="7"/>
      <c r="AD4797" s="4"/>
      <c r="AE4797" s="4"/>
      <c r="AF4797" s="21"/>
    </row>
    <row r="4798" spans="24:32" x14ac:dyDescent="0.25">
      <c r="X4798" s="4"/>
      <c r="Y4798" s="4"/>
      <c r="Z4798" s="4"/>
      <c r="AA4798" s="4"/>
      <c r="AB4798" s="4"/>
      <c r="AC4798" s="7"/>
      <c r="AD4798" s="4"/>
      <c r="AE4798" s="4"/>
      <c r="AF4798" s="21"/>
    </row>
    <row r="4799" spans="24:32" x14ac:dyDescent="0.25">
      <c r="X4799" s="4"/>
      <c r="Y4799" s="4"/>
      <c r="Z4799" s="4"/>
      <c r="AA4799" s="4"/>
      <c r="AB4799" s="4"/>
      <c r="AC4799" s="7"/>
      <c r="AD4799" s="4"/>
      <c r="AE4799" s="4"/>
      <c r="AF4799" s="21"/>
    </row>
    <row r="4800" spans="24:32" x14ac:dyDescent="0.25">
      <c r="X4800" s="4"/>
      <c r="Y4800" s="4"/>
      <c r="Z4800" s="4"/>
      <c r="AA4800" s="4"/>
      <c r="AB4800" s="4"/>
      <c r="AC4800" s="7"/>
      <c r="AD4800" s="4"/>
      <c r="AE4800" s="4"/>
      <c r="AF4800" s="21"/>
    </row>
    <row r="4801" spans="24:32" x14ac:dyDescent="0.25">
      <c r="X4801" s="4"/>
      <c r="Y4801" s="4"/>
      <c r="Z4801" s="4"/>
      <c r="AA4801" s="4"/>
      <c r="AB4801" s="4"/>
      <c r="AC4801" s="7"/>
      <c r="AD4801" s="4"/>
      <c r="AE4801" s="4"/>
      <c r="AF4801" s="21"/>
    </row>
    <row r="4802" spans="24:32" x14ac:dyDescent="0.25">
      <c r="X4802" s="4"/>
      <c r="Y4802" s="4"/>
      <c r="Z4802" s="4"/>
      <c r="AA4802" s="4"/>
      <c r="AB4802" s="4"/>
      <c r="AC4802" s="7"/>
      <c r="AD4802" s="4"/>
      <c r="AE4802" s="4"/>
      <c r="AF4802" s="21"/>
    </row>
    <row r="4803" spans="24:32" x14ac:dyDescent="0.25">
      <c r="X4803" s="4"/>
      <c r="Y4803" s="4"/>
      <c r="Z4803" s="4"/>
      <c r="AA4803" s="4"/>
      <c r="AB4803" s="4"/>
      <c r="AC4803" s="7"/>
      <c r="AD4803" s="4"/>
      <c r="AE4803" s="4"/>
      <c r="AF4803" s="21"/>
    </row>
    <row r="4804" spans="24:32" x14ac:dyDescent="0.25">
      <c r="X4804" s="4"/>
      <c r="Y4804" s="4"/>
      <c r="Z4804" s="4"/>
      <c r="AA4804" s="4"/>
      <c r="AB4804" s="4"/>
      <c r="AC4804" s="7"/>
      <c r="AD4804" s="4"/>
      <c r="AE4804" s="4"/>
      <c r="AF4804" s="21"/>
    </row>
    <row r="4805" spans="24:32" x14ac:dyDescent="0.25">
      <c r="X4805" s="4"/>
      <c r="Y4805" s="4"/>
      <c r="Z4805" s="4"/>
      <c r="AA4805" s="4"/>
      <c r="AB4805" s="4"/>
      <c r="AC4805" s="7"/>
      <c r="AD4805" s="4"/>
      <c r="AE4805" s="4"/>
      <c r="AF4805" s="21"/>
    </row>
    <row r="4806" spans="24:32" x14ac:dyDescent="0.25">
      <c r="X4806" s="4"/>
      <c r="Y4806" s="4"/>
      <c r="Z4806" s="4"/>
      <c r="AA4806" s="4"/>
      <c r="AB4806" s="4"/>
      <c r="AC4806" s="7"/>
      <c r="AD4806" s="4"/>
      <c r="AE4806" s="4"/>
      <c r="AF4806" s="21"/>
    </row>
    <row r="4807" spans="24:32" x14ac:dyDescent="0.25">
      <c r="X4807" s="4"/>
      <c r="Y4807" s="4"/>
      <c r="Z4807" s="4"/>
      <c r="AA4807" s="4"/>
      <c r="AB4807" s="4"/>
      <c r="AC4807" s="7"/>
      <c r="AD4807" s="4"/>
      <c r="AE4807" s="4"/>
      <c r="AF4807" s="21"/>
    </row>
    <row r="4808" spans="24:32" x14ac:dyDescent="0.25">
      <c r="X4808" s="4"/>
      <c r="Y4808" s="4"/>
      <c r="Z4808" s="4"/>
      <c r="AA4808" s="4"/>
      <c r="AB4808" s="4"/>
      <c r="AC4808" s="7"/>
      <c r="AD4808" s="4"/>
      <c r="AE4808" s="4"/>
      <c r="AF4808" s="21"/>
    </row>
    <row r="4809" spans="24:32" x14ac:dyDescent="0.25">
      <c r="X4809" s="4"/>
      <c r="Y4809" s="4"/>
      <c r="Z4809" s="4"/>
      <c r="AA4809" s="4"/>
      <c r="AB4809" s="4"/>
      <c r="AC4809" s="7"/>
      <c r="AD4809" s="4"/>
      <c r="AE4809" s="4"/>
      <c r="AF4809" s="21"/>
    </row>
    <row r="4810" spans="24:32" x14ac:dyDescent="0.25">
      <c r="X4810" s="4"/>
      <c r="Y4810" s="4"/>
      <c r="Z4810" s="4"/>
      <c r="AA4810" s="4"/>
      <c r="AB4810" s="4"/>
      <c r="AC4810" s="7"/>
      <c r="AD4810" s="4"/>
      <c r="AE4810" s="4"/>
      <c r="AF4810" s="21"/>
    </row>
    <row r="4811" spans="24:32" x14ac:dyDescent="0.25">
      <c r="X4811" s="4"/>
      <c r="Y4811" s="4"/>
      <c r="Z4811" s="4"/>
      <c r="AA4811" s="4"/>
      <c r="AB4811" s="4"/>
      <c r="AC4811" s="7"/>
      <c r="AD4811" s="4"/>
      <c r="AE4811" s="4"/>
      <c r="AF4811" s="21"/>
    </row>
    <row r="4812" spans="24:32" x14ac:dyDescent="0.25">
      <c r="X4812" s="4"/>
      <c r="Y4812" s="4"/>
      <c r="Z4812" s="4"/>
      <c r="AA4812" s="4"/>
      <c r="AB4812" s="4"/>
      <c r="AC4812" s="7"/>
      <c r="AD4812" s="4"/>
      <c r="AE4812" s="4"/>
      <c r="AF4812" s="21"/>
    </row>
    <row r="4813" spans="24:32" x14ac:dyDescent="0.25">
      <c r="X4813" s="4"/>
      <c r="Y4813" s="4"/>
      <c r="Z4813" s="4"/>
      <c r="AA4813" s="4"/>
      <c r="AB4813" s="4"/>
      <c r="AC4813" s="7"/>
      <c r="AD4813" s="4"/>
      <c r="AE4813" s="4"/>
      <c r="AF4813" s="21"/>
    </row>
    <row r="4814" spans="24:32" x14ac:dyDescent="0.25">
      <c r="X4814" s="4"/>
      <c r="Y4814" s="4"/>
      <c r="Z4814" s="4"/>
      <c r="AA4814" s="4"/>
      <c r="AB4814" s="4"/>
      <c r="AC4814" s="7"/>
      <c r="AD4814" s="4"/>
      <c r="AE4814" s="4"/>
      <c r="AF4814" s="21"/>
    </row>
    <row r="4815" spans="24:32" x14ac:dyDescent="0.25">
      <c r="X4815" s="4"/>
      <c r="Y4815" s="4"/>
      <c r="Z4815" s="4"/>
      <c r="AA4815" s="4"/>
      <c r="AB4815" s="4"/>
      <c r="AC4815" s="7"/>
      <c r="AD4815" s="4"/>
      <c r="AE4815" s="4"/>
      <c r="AF4815" s="21"/>
    </row>
    <row r="4816" spans="24:32" x14ac:dyDescent="0.25">
      <c r="X4816" s="4"/>
      <c r="Y4816" s="4"/>
      <c r="Z4816" s="4"/>
      <c r="AA4816" s="4"/>
      <c r="AB4816" s="4"/>
      <c r="AC4816" s="7"/>
      <c r="AD4816" s="4"/>
      <c r="AE4816" s="4"/>
      <c r="AF4816" s="21"/>
    </row>
    <row r="4817" spans="24:32" x14ac:dyDescent="0.25">
      <c r="X4817" s="4"/>
      <c r="Y4817" s="4"/>
      <c r="Z4817" s="4"/>
      <c r="AA4817" s="4"/>
      <c r="AB4817" s="4"/>
      <c r="AC4817" s="7"/>
      <c r="AD4817" s="4"/>
      <c r="AE4817" s="4"/>
      <c r="AF4817" s="21"/>
    </row>
    <row r="4818" spans="24:32" x14ac:dyDescent="0.25">
      <c r="X4818" s="4"/>
      <c r="Y4818" s="4"/>
      <c r="Z4818" s="4"/>
      <c r="AA4818" s="4"/>
      <c r="AB4818" s="4"/>
      <c r="AC4818" s="7"/>
      <c r="AD4818" s="4"/>
      <c r="AE4818" s="4"/>
      <c r="AF4818" s="21"/>
    </row>
    <row r="4819" spans="24:32" x14ac:dyDescent="0.25">
      <c r="X4819" s="4"/>
      <c r="Y4819" s="4"/>
      <c r="Z4819" s="4"/>
      <c r="AA4819" s="4"/>
      <c r="AB4819" s="4"/>
      <c r="AC4819" s="7"/>
      <c r="AD4819" s="4"/>
      <c r="AE4819" s="4"/>
      <c r="AF4819" s="21"/>
    </row>
    <row r="4820" spans="24:32" x14ac:dyDescent="0.25">
      <c r="X4820" s="4"/>
      <c r="Y4820" s="4"/>
      <c r="Z4820" s="4"/>
      <c r="AA4820" s="4"/>
      <c r="AB4820" s="4"/>
      <c r="AC4820" s="7"/>
      <c r="AD4820" s="4"/>
      <c r="AE4820" s="4"/>
      <c r="AF4820" s="21"/>
    </row>
    <row r="4821" spans="24:32" x14ac:dyDescent="0.25">
      <c r="X4821" s="4"/>
      <c r="Y4821" s="4"/>
      <c r="Z4821" s="4"/>
      <c r="AA4821" s="4"/>
      <c r="AB4821" s="4"/>
      <c r="AC4821" s="7"/>
      <c r="AD4821" s="4"/>
      <c r="AE4821" s="4"/>
      <c r="AF4821" s="21"/>
    </row>
    <row r="4822" spans="24:32" x14ac:dyDescent="0.25">
      <c r="X4822" s="4"/>
      <c r="Y4822" s="4"/>
      <c r="Z4822" s="4"/>
      <c r="AA4822" s="4"/>
      <c r="AB4822" s="4"/>
      <c r="AC4822" s="7"/>
      <c r="AD4822" s="4"/>
      <c r="AE4822" s="4"/>
      <c r="AF4822" s="21"/>
    </row>
    <row r="4823" spans="24:32" x14ac:dyDescent="0.25">
      <c r="X4823" s="4"/>
      <c r="Y4823" s="4"/>
      <c r="Z4823" s="4"/>
      <c r="AA4823" s="4"/>
      <c r="AB4823" s="4"/>
      <c r="AC4823" s="7"/>
      <c r="AD4823" s="4"/>
      <c r="AE4823" s="4"/>
      <c r="AF4823" s="21"/>
    </row>
    <row r="4824" spans="24:32" x14ac:dyDescent="0.25">
      <c r="X4824" s="4"/>
      <c r="Y4824" s="4"/>
      <c r="Z4824" s="4"/>
      <c r="AA4824" s="4"/>
      <c r="AB4824" s="4"/>
      <c r="AC4824" s="7"/>
      <c r="AD4824" s="4"/>
      <c r="AE4824" s="4"/>
      <c r="AF4824" s="21"/>
    </row>
    <row r="4825" spans="24:32" x14ac:dyDescent="0.25">
      <c r="X4825" s="4"/>
      <c r="Y4825" s="4"/>
      <c r="Z4825" s="4"/>
      <c r="AA4825" s="4"/>
      <c r="AB4825" s="4"/>
      <c r="AC4825" s="7"/>
      <c r="AD4825" s="4"/>
      <c r="AE4825" s="4"/>
      <c r="AF4825" s="21"/>
    </row>
    <row r="4826" spans="24:32" x14ac:dyDescent="0.25">
      <c r="X4826" s="4"/>
      <c r="Y4826" s="4"/>
      <c r="Z4826" s="4"/>
      <c r="AA4826" s="4"/>
      <c r="AB4826" s="4"/>
      <c r="AC4826" s="7"/>
      <c r="AD4826" s="4"/>
      <c r="AE4826" s="4"/>
      <c r="AF4826" s="21"/>
    </row>
    <row r="4827" spans="24:32" x14ac:dyDescent="0.25">
      <c r="X4827" s="4"/>
      <c r="Y4827" s="4"/>
      <c r="Z4827" s="4"/>
      <c r="AA4827" s="4"/>
      <c r="AB4827" s="4"/>
      <c r="AC4827" s="7"/>
      <c r="AD4827" s="4"/>
      <c r="AE4827" s="4"/>
      <c r="AF4827" s="21"/>
    </row>
    <row r="4828" spans="24:32" x14ac:dyDescent="0.25">
      <c r="X4828" s="4"/>
      <c r="Y4828" s="4"/>
      <c r="Z4828" s="4"/>
      <c r="AA4828" s="4"/>
      <c r="AB4828" s="4"/>
      <c r="AC4828" s="7"/>
      <c r="AD4828" s="4"/>
      <c r="AE4828" s="4"/>
      <c r="AF4828" s="21"/>
    </row>
    <row r="4829" spans="24:32" x14ac:dyDescent="0.25">
      <c r="X4829" s="4"/>
      <c r="Y4829" s="4"/>
      <c r="Z4829" s="4"/>
      <c r="AA4829" s="4"/>
      <c r="AB4829" s="4"/>
      <c r="AC4829" s="7"/>
      <c r="AD4829" s="4"/>
      <c r="AE4829" s="4"/>
      <c r="AF4829" s="21"/>
    </row>
    <row r="4830" spans="24:32" x14ac:dyDescent="0.25">
      <c r="X4830" s="4"/>
      <c r="Y4830" s="4"/>
      <c r="Z4830" s="4"/>
      <c r="AA4830" s="4"/>
      <c r="AB4830" s="4"/>
      <c r="AC4830" s="7"/>
      <c r="AD4830" s="4"/>
      <c r="AE4830" s="4"/>
      <c r="AF4830" s="21"/>
    </row>
    <row r="4831" spans="24:32" x14ac:dyDescent="0.25">
      <c r="X4831" s="4"/>
      <c r="Y4831" s="4"/>
      <c r="Z4831" s="4"/>
      <c r="AA4831" s="4"/>
      <c r="AB4831" s="4"/>
      <c r="AC4831" s="7"/>
      <c r="AD4831" s="4"/>
      <c r="AE4831" s="4"/>
      <c r="AF4831" s="21"/>
    </row>
    <row r="4832" spans="24:32" x14ac:dyDescent="0.25">
      <c r="X4832" s="4"/>
      <c r="Y4832" s="4"/>
      <c r="Z4832" s="4"/>
      <c r="AA4832" s="4"/>
      <c r="AB4832" s="4"/>
      <c r="AC4832" s="7"/>
      <c r="AD4832" s="4"/>
      <c r="AE4832" s="4"/>
      <c r="AF4832" s="21"/>
    </row>
    <row r="4833" spans="24:32" x14ac:dyDescent="0.25">
      <c r="X4833" s="4"/>
      <c r="Y4833" s="4"/>
      <c r="Z4833" s="4"/>
      <c r="AA4833" s="4"/>
      <c r="AB4833" s="4"/>
      <c r="AC4833" s="7"/>
      <c r="AD4833" s="4"/>
      <c r="AE4833" s="4"/>
      <c r="AF4833" s="21"/>
    </row>
    <row r="4834" spans="24:32" x14ac:dyDescent="0.25">
      <c r="X4834" s="4"/>
      <c r="Y4834" s="4"/>
      <c r="Z4834" s="4"/>
      <c r="AA4834" s="4"/>
      <c r="AB4834" s="4"/>
      <c r="AC4834" s="7"/>
      <c r="AD4834" s="4"/>
      <c r="AE4834" s="4"/>
      <c r="AF4834" s="21"/>
    </row>
    <row r="4835" spans="24:32" x14ac:dyDescent="0.25">
      <c r="X4835" s="4"/>
      <c r="Y4835" s="4"/>
      <c r="Z4835" s="4"/>
      <c r="AA4835" s="4"/>
      <c r="AB4835" s="4"/>
      <c r="AC4835" s="7"/>
      <c r="AD4835" s="4"/>
      <c r="AE4835" s="4"/>
      <c r="AF4835" s="21"/>
    </row>
    <row r="4836" spans="24:32" x14ac:dyDescent="0.25">
      <c r="X4836" s="4"/>
      <c r="Y4836" s="4"/>
      <c r="Z4836" s="4"/>
      <c r="AA4836" s="4"/>
      <c r="AB4836" s="4"/>
      <c r="AC4836" s="7"/>
      <c r="AD4836" s="4"/>
      <c r="AE4836" s="4"/>
      <c r="AF4836" s="21"/>
    </row>
    <row r="4837" spans="24:32" x14ac:dyDescent="0.25">
      <c r="X4837" s="4"/>
      <c r="Y4837" s="4"/>
      <c r="Z4837" s="4"/>
      <c r="AA4837" s="4"/>
      <c r="AB4837" s="4"/>
      <c r="AC4837" s="7"/>
      <c r="AD4837" s="4"/>
      <c r="AE4837" s="4"/>
      <c r="AF4837" s="21"/>
    </row>
    <row r="4838" spans="24:32" x14ac:dyDescent="0.25">
      <c r="X4838" s="4"/>
      <c r="Y4838" s="4"/>
      <c r="Z4838" s="4"/>
      <c r="AA4838" s="4"/>
      <c r="AB4838" s="4"/>
      <c r="AC4838" s="7"/>
      <c r="AD4838" s="4"/>
      <c r="AE4838" s="4"/>
      <c r="AF4838" s="21"/>
    </row>
    <row r="4839" spans="24:32" x14ac:dyDescent="0.25">
      <c r="X4839" s="4"/>
      <c r="Y4839" s="4"/>
      <c r="Z4839" s="4"/>
      <c r="AA4839" s="4"/>
      <c r="AB4839" s="4"/>
      <c r="AC4839" s="7"/>
      <c r="AD4839" s="4"/>
      <c r="AE4839" s="4"/>
      <c r="AF4839" s="21"/>
    </row>
    <row r="4840" spans="24:32" x14ac:dyDescent="0.25">
      <c r="X4840" s="4"/>
      <c r="Y4840" s="4"/>
      <c r="Z4840" s="4"/>
      <c r="AA4840" s="4"/>
      <c r="AB4840" s="4"/>
      <c r="AC4840" s="7"/>
      <c r="AD4840" s="4"/>
      <c r="AE4840" s="4"/>
      <c r="AF4840" s="21"/>
    </row>
    <row r="4841" spans="24:32" x14ac:dyDescent="0.25">
      <c r="X4841" s="4"/>
      <c r="Y4841" s="4"/>
      <c r="Z4841" s="4"/>
      <c r="AA4841" s="4"/>
      <c r="AB4841" s="4"/>
      <c r="AC4841" s="7"/>
      <c r="AD4841" s="4"/>
      <c r="AE4841" s="4"/>
      <c r="AF4841" s="21"/>
    </row>
    <row r="4842" spans="24:32" x14ac:dyDescent="0.25">
      <c r="X4842" s="4"/>
      <c r="Y4842" s="4"/>
      <c r="Z4842" s="4"/>
      <c r="AA4842" s="4"/>
      <c r="AB4842" s="4"/>
      <c r="AC4842" s="7"/>
      <c r="AD4842" s="4"/>
      <c r="AE4842" s="4"/>
      <c r="AF4842" s="21"/>
    </row>
    <row r="4843" spans="24:32" x14ac:dyDescent="0.25">
      <c r="X4843" s="4"/>
      <c r="Y4843" s="4"/>
      <c r="Z4843" s="4"/>
      <c r="AA4843" s="4"/>
      <c r="AB4843" s="4"/>
      <c r="AC4843" s="7"/>
      <c r="AD4843" s="4"/>
      <c r="AE4843" s="4"/>
      <c r="AF4843" s="21"/>
    </row>
    <row r="4844" spans="24:32" x14ac:dyDescent="0.25">
      <c r="X4844" s="4"/>
      <c r="Y4844" s="4"/>
      <c r="Z4844" s="4"/>
      <c r="AA4844" s="4"/>
      <c r="AB4844" s="4"/>
      <c r="AC4844" s="7"/>
      <c r="AD4844" s="4"/>
      <c r="AE4844" s="4"/>
      <c r="AF4844" s="21"/>
    </row>
    <row r="4845" spans="24:32" x14ac:dyDescent="0.25">
      <c r="X4845" s="4"/>
      <c r="Y4845" s="4"/>
      <c r="Z4845" s="4"/>
      <c r="AA4845" s="4"/>
      <c r="AB4845" s="4"/>
      <c r="AC4845" s="7"/>
      <c r="AD4845" s="4"/>
      <c r="AE4845" s="4"/>
      <c r="AF4845" s="21"/>
    </row>
    <row r="4846" spans="24:32" x14ac:dyDescent="0.25">
      <c r="X4846" s="4"/>
      <c r="Y4846" s="4"/>
      <c r="Z4846" s="4"/>
      <c r="AA4846" s="4"/>
      <c r="AB4846" s="4"/>
      <c r="AC4846" s="7"/>
      <c r="AD4846" s="4"/>
      <c r="AE4846" s="4"/>
      <c r="AF4846" s="21"/>
    </row>
    <row r="4847" spans="24:32" x14ac:dyDescent="0.25">
      <c r="X4847" s="4"/>
      <c r="Y4847" s="4"/>
      <c r="Z4847" s="4"/>
      <c r="AA4847" s="4"/>
      <c r="AB4847" s="4"/>
      <c r="AC4847" s="7"/>
      <c r="AD4847" s="4"/>
      <c r="AE4847" s="4"/>
      <c r="AF4847" s="21"/>
    </row>
    <row r="4848" spans="24:32" x14ac:dyDescent="0.25">
      <c r="X4848" s="4"/>
      <c r="Y4848" s="4"/>
      <c r="Z4848" s="4"/>
      <c r="AA4848" s="4"/>
      <c r="AB4848" s="4"/>
      <c r="AC4848" s="7"/>
      <c r="AD4848" s="4"/>
      <c r="AE4848" s="4"/>
      <c r="AF4848" s="21"/>
    </row>
    <row r="4849" spans="24:32" x14ac:dyDescent="0.25">
      <c r="X4849" s="4"/>
      <c r="Y4849" s="4"/>
      <c r="Z4849" s="4"/>
      <c r="AA4849" s="4"/>
      <c r="AB4849" s="4"/>
      <c r="AC4849" s="7"/>
      <c r="AD4849" s="4"/>
      <c r="AE4849" s="4"/>
      <c r="AF4849" s="21"/>
    </row>
    <row r="4850" spans="24:32" x14ac:dyDescent="0.25">
      <c r="X4850" s="4"/>
      <c r="Y4850" s="4"/>
      <c r="Z4850" s="4"/>
      <c r="AA4850" s="4"/>
      <c r="AB4850" s="4"/>
      <c r="AC4850" s="7"/>
      <c r="AD4850" s="4"/>
      <c r="AE4850" s="4"/>
      <c r="AF4850" s="21"/>
    </row>
    <row r="4851" spans="24:32" x14ac:dyDescent="0.25">
      <c r="X4851" s="4"/>
      <c r="Y4851" s="4"/>
      <c r="Z4851" s="4"/>
      <c r="AA4851" s="4"/>
      <c r="AB4851" s="4"/>
      <c r="AC4851" s="7"/>
      <c r="AD4851" s="4"/>
      <c r="AE4851" s="4"/>
      <c r="AF4851" s="21"/>
    </row>
    <row r="4852" spans="24:32" x14ac:dyDescent="0.25">
      <c r="X4852" s="4"/>
      <c r="Y4852" s="4"/>
      <c r="Z4852" s="4"/>
      <c r="AA4852" s="4"/>
      <c r="AB4852" s="4"/>
      <c r="AC4852" s="7"/>
      <c r="AD4852" s="4"/>
      <c r="AE4852" s="4"/>
      <c r="AF4852" s="21"/>
    </row>
    <row r="4853" spans="24:32" x14ac:dyDescent="0.25">
      <c r="X4853" s="4"/>
      <c r="Y4853" s="4"/>
      <c r="Z4853" s="4"/>
      <c r="AA4853" s="4"/>
      <c r="AB4853" s="4"/>
      <c r="AC4853" s="7"/>
      <c r="AD4853" s="4"/>
      <c r="AE4853" s="4"/>
      <c r="AF4853" s="21"/>
    </row>
    <row r="4854" spans="24:32" x14ac:dyDescent="0.25">
      <c r="X4854" s="4"/>
      <c r="Y4854" s="4"/>
      <c r="Z4854" s="4"/>
      <c r="AA4854" s="4"/>
      <c r="AB4854" s="4"/>
      <c r="AC4854" s="7"/>
      <c r="AD4854" s="4"/>
      <c r="AE4854" s="4"/>
      <c r="AF4854" s="21"/>
    </row>
    <row r="4855" spans="24:32" x14ac:dyDescent="0.25">
      <c r="X4855" s="4"/>
      <c r="Y4855" s="4"/>
      <c r="Z4855" s="4"/>
      <c r="AA4855" s="4"/>
      <c r="AB4855" s="4"/>
      <c r="AC4855" s="7"/>
      <c r="AD4855" s="4"/>
      <c r="AE4855" s="4"/>
      <c r="AF4855" s="21"/>
    </row>
    <row r="4856" spans="24:32" x14ac:dyDescent="0.25">
      <c r="X4856" s="4"/>
      <c r="Y4856" s="4"/>
      <c r="Z4856" s="4"/>
      <c r="AA4856" s="4"/>
      <c r="AB4856" s="4"/>
      <c r="AC4856" s="7"/>
      <c r="AD4856" s="4"/>
      <c r="AE4856" s="4"/>
      <c r="AF4856" s="21"/>
    </row>
    <row r="4857" spans="24:32" x14ac:dyDescent="0.25">
      <c r="X4857" s="4"/>
      <c r="Y4857" s="4"/>
      <c r="Z4857" s="4"/>
      <c r="AA4857" s="4"/>
      <c r="AB4857" s="4"/>
      <c r="AC4857" s="7"/>
      <c r="AD4857" s="4"/>
      <c r="AE4857" s="4"/>
      <c r="AF4857" s="21"/>
    </row>
    <row r="4858" spans="24:32" x14ac:dyDescent="0.25">
      <c r="X4858" s="4"/>
      <c r="Y4858" s="4"/>
      <c r="Z4858" s="4"/>
      <c r="AA4858" s="4"/>
      <c r="AB4858" s="4"/>
      <c r="AC4858" s="7"/>
      <c r="AD4858" s="4"/>
      <c r="AE4858" s="4"/>
      <c r="AF4858" s="21"/>
    </row>
    <row r="4859" spans="24:32" x14ac:dyDescent="0.25">
      <c r="X4859" s="4"/>
      <c r="Y4859" s="4"/>
      <c r="Z4859" s="4"/>
      <c r="AA4859" s="4"/>
      <c r="AB4859" s="4"/>
      <c r="AC4859" s="7"/>
      <c r="AD4859" s="4"/>
      <c r="AE4859" s="4"/>
      <c r="AF4859" s="21"/>
    </row>
    <row r="4860" spans="24:32" x14ac:dyDescent="0.25">
      <c r="X4860" s="4"/>
      <c r="Y4860" s="4"/>
      <c r="Z4860" s="4"/>
      <c r="AA4860" s="4"/>
      <c r="AB4860" s="4"/>
      <c r="AC4860" s="7"/>
      <c r="AD4860" s="4"/>
      <c r="AE4860" s="4"/>
      <c r="AF4860" s="21"/>
    </row>
    <row r="4861" spans="24:32" x14ac:dyDescent="0.25">
      <c r="X4861" s="4"/>
      <c r="Y4861" s="4"/>
      <c r="Z4861" s="4"/>
      <c r="AA4861" s="4"/>
      <c r="AB4861" s="4"/>
      <c r="AC4861" s="7"/>
      <c r="AD4861" s="4"/>
      <c r="AE4861" s="4"/>
      <c r="AF4861" s="21"/>
    </row>
    <row r="4862" spans="24:32" x14ac:dyDescent="0.25">
      <c r="X4862" s="4"/>
      <c r="Y4862" s="4"/>
      <c r="Z4862" s="4"/>
      <c r="AA4862" s="4"/>
      <c r="AB4862" s="4"/>
      <c r="AC4862" s="7"/>
      <c r="AD4862" s="4"/>
      <c r="AE4862" s="4"/>
      <c r="AF4862" s="21"/>
    </row>
    <row r="4863" spans="24:32" x14ac:dyDescent="0.25">
      <c r="X4863" s="4"/>
      <c r="Y4863" s="4"/>
      <c r="Z4863" s="4"/>
      <c r="AA4863" s="4"/>
      <c r="AB4863" s="4"/>
      <c r="AC4863" s="7"/>
      <c r="AD4863" s="4"/>
      <c r="AE4863" s="4"/>
      <c r="AF4863" s="21"/>
    </row>
    <row r="4864" spans="24:32" x14ac:dyDescent="0.25">
      <c r="X4864" s="4"/>
      <c r="Y4864" s="4"/>
      <c r="Z4864" s="4"/>
      <c r="AA4864" s="4"/>
      <c r="AB4864" s="4"/>
      <c r="AC4864" s="7"/>
      <c r="AD4864" s="4"/>
      <c r="AE4864" s="4"/>
      <c r="AF4864" s="21"/>
    </row>
    <row r="4865" spans="24:32" x14ac:dyDescent="0.25">
      <c r="X4865" s="4"/>
      <c r="Y4865" s="4"/>
      <c r="Z4865" s="4"/>
      <c r="AA4865" s="4"/>
      <c r="AB4865" s="4"/>
      <c r="AC4865" s="7"/>
      <c r="AD4865" s="4"/>
      <c r="AE4865" s="4"/>
      <c r="AF4865" s="21"/>
    </row>
    <row r="4866" spans="24:32" x14ac:dyDescent="0.25">
      <c r="X4866" s="4"/>
      <c r="Y4866" s="4"/>
      <c r="Z4866" s="4"/>
      <c r="AA4866" s="4"/>
      <c r="AB4866" s="4"/>
      <c r="AC4866" s="7"/>
      <c r="AD4866" s="4"/>
      <c r="AE4866" s="4"/>
      <c r="AF4866" s="21"/>
    </row>
    <row r="4867" spans="24:32" x14ac:dyDescent="0.25">
      <c r="X4867" s="4"/>
      <c r="Y4867" s="4"/>
      <c r="Z4867" s="4"/>
      <c r="AA4867" s="4"/>
      <c r="AB4867" s="4"/>
      <c r="AC4867" s="7"/>
      <c r="AD4867" s="4"/>
      <c r="AE4867" s="4"/>
      <c r="AF4867" s="21"/>
    </row>
    <row r="4868" spans="24:32" x14ac:dyDescent="0.25">
      <c r="X4868" s="4"/>
      <c r="Y4868" s="4"/>
      <c r="Z4868" s="4"/>
      <c r="AA4868" s="4"/>
      <c r="AB4868" s="4"/>
      <c r="AC4868" s="7"/>
      <c r="AD4868" s="4"/>
      <c r="AE4868" s="4"/>
      <c r="AF4868" s="21"/>
    </row>
    <row r="4869" spans="24:32" x14ac:dyDescent="0.25">
      <c r="X4869" s="4"/>
      <c r="Y4869" s="4"/>
      <c r="Z4869" s="4"/>
      <c r="AA4869" s="4"/>
      <c r="AB4869" s="4"/>
      <c r="AC4869" s="7"/>
      <c r="AD4869" s="4"/>
      <c r="AE4869" s="4"/>
      <c r="AF4869" s="21"/>
    </row>
    <row r="4870" spans="24:32" x14ac:dyDescent="0.25">
      <c r="X4870" s="4"/>
      <c r="Y4870" s="4"/>
      <c r="Z4870" s="4"/>
      <c r="AA4870" s="4"/>
      <c r="AB4870" s="4"/>
      <c r="AC4870" s="7"/>
      <c r="AD4870" s="4"/>
      <c r="AE4870" s="4"/>
      <c r="AF4870" s="21"/>
    </row>
    <row r="4871" spans="24:32" x14ac:dyDescent="0.25">
      <c r="X4871" s="4"/>
      <c r="Y4871" s="4"/>
      <c r="Z4871" s="4"/>
      <c r="AA4871" s="4"/>
      <c r="AB4871" s="4"/>
      <c r="AC4871" s="7"/>
      <c r="AD4871" s="4"/>
      <c r="AE4871" s="4"/>
      <c r="AF4871" s="21"/>
    </row>
    <row r="4872" spans="24:32" x14ac:dyDescent="0.25">
      <c r="X4872" s="4"/>
      <c r="Y4872" s="4"/>
      <c r="Z4872" s="4"/>
      <c r="AA4872" s="4"/>
      <c r="AB4872" s="4"/>
      <c r="AC4872" s="7"/>
      <c r="AD4872" s="4"/>
      <c r="AE4872" s="4"/>
      <c r="AF4872" s="21"/>
    </row>
    <row r="4873" spans="24:32" x14ac:dyDescent="0.25">
      <c r="X4873" s="4"/>
      <c r="Y4873" s="4"/>
      <c r="Z4873" s="4"/>
      <c r="AA4873" s="4"/>
      <c r="AB4873" s="4"/>
      <c r="AC4873" s="7"/>
      <c r="AD4873" s="4"/>
      <c r="AE4873" s="4"/>
      <c r="AF4873" s="21"/>
    </row>
    <row r="4874" spans="24:32" x14ac:dyDescent="0.25">
      <c r="X4874" s="4"/>
      <c r="Y4874" s="4"/>
      <c r="Z4874" s="4"/>
      <c r="AA4874" s="4"/>
      <c r="AB4874" s="4"/>
      <c r="AC4874" s="7"/>
      <c r="AD4874" s="4"/>
      <c r="AE4874" s="4"/>
      <c r="AF4874" s="21"/>
    </row>
    <row r="4875" spans="24:32" x14ac:dyDescent="0.25">
      <c r="X4875" s="4"/>
      <c r="Y4875" s="4"/>
      <c r="Z4875" s="4"/>
      <c r="AA4875" s="4"/>
      <c r="AB4875" s="4"/>
      <c r="AC4875" s="7"/>
      <c r="AD4875" s="4"/>
      <c r="AE4875" s="4"/>
      <c r="AF4875" s="21"/>
    </row>
    <row r="4876" spans="24:32" x14ac:dyDescent="0.25">
      <c r="X4876" s="4"/>
      <c r="Y4876" s="4"/>
      <c r="Z4876" s="4"/>
      <c r="AA4876" s="4"/>
      <c r="AB4876" s="4"/>
      <c r="AC4876" s="7"/>
      <c r="AD4876" s="4"/>
      <c r="AE4876" s="4"/>
      <c r="AF4876" s="21"/>
    </row>
    <row r="4877" spans="24:32" x14ac:dyDescent="0.25">
      <c r="X4877" s="4"/>
      <c r="Y4877" s="4"/>
      <c r="Z4877" s="4"/>
      <c r="AA4877" s="4"/>
      <c r="AB4877" s="4"/>
      <c r="AC4877" s="7"/>
      <c r="AD4877" s="4"/>
      <c r="AE4877" s="4"/>
      <c r="AF4877" s="21"/>
    </row>
    <row r="4878" spans="24:32" x14ac:dyDescent="0.25">
      <c r="X4878" s="4"/>
      <c r="Y4878" s="4"/>
      <c r="Z4878" s="4"/>
      <c r="AA4878" s="4"/>
      <c r="AB4878" s="4"/>
      <c r="AC4878" s="7"/>
      <c r="AD4878" s="4"/>
      <c r="AE4878" s="4"/>
      <c r="AF4878" s="21"/>
    </row>
    <row r="4879" spans="24:32" x14ac:dyDescent="0.25">
      <c r="X4879" s="4"/>
      <c r="Y4879" s="4"/>
      <c r="Z4879" s="4"/>
      <c r="AA4879" s="4"/>
      <c r="AB4879" s="4"/>
      <c r="AC4879" s="7"/>
      <c r="AD4879" s="4"/>
      <c r="AE4879" s="4"/>
      <c r="AF4879" s="21"/>
    </row>
    <row r="4880" spans="24:32" x14ac:dyDescent="0.25">
      <c r="X4880" s="4"/>
      <c r="Y4880" s="4"/>
      <c r="Z4880" s="4"/>
      <c r="AA4880" s="4"/>
      <c r="AB4880" s="4"/>
      <c r="AC4880" s="7"/>
      <c r="AD4880" s="4"/>
      <c r="AE4880" s="4"/>
      <c r="AF4880" s="21"/>
    </row>
    <row r="4881" spans="24:32" x14ac:dyDescent="0.25">
      <c r="X4881" s="4"/>
      <c r="Y4881" s="4"/>
      <c r="Z4881" s="4"/>
      <c r="AA4881" s="4"/>
      <c r="AB4881" s="4"/>
      <c r="AC4881" s="7"/>
      <c r="AD4881" s="4"/>
      <c r="AE4881" s="4"/>
      <c r="AF4881" s="21"/>
    </row>
    <row r="4882" spans="24:32" x14ac:dyDescent="0.25">
      <c r="X4882" s="4"/>
      <c r="Y4882" s="4"/>
      <c r="Z4882" s="4"/>
      <c r="AA4882" s="4"/>
      <c r="AB4882" s="4"/>
      <c r="AC4882" s="7"/>
      <c r="AD4882" s="4"/>
      <c r="AE4882" s="4"/>
      <c r="AF4882" s="21"/>
    </row>
    <row r="4883" spans="24:32" x14ac:dyDescent="0.25">
      <c r="X4883" s="4"/>
      <c r="Y4883" s="4"/>
      <c r="Z4883" s="4"/>
      <c r="AA4883" s="4"/>
      <c r="AB4883" s="4"/>
      <c r="AC4883" s="7"/>
      <c r="AD4883" s="4"/>
      <c r="AE4883" s="4"/>
      <c r="AF4883" s="21"/>
    </row>
    <row r="4884" spans="24:32" x14ac:dyDescent="0.25">
      <c r="X4884" s="4"/>
      <c r="Y4884" s="4"/>
      <c r="Z4884" s="4"/>
      <c r="AA4884" s="4"/>
      <c r="AB4884" s="4"/>
      <c r="AC4884" s="7"/>
      <c r="AD4884" s="4"/>
      <c r="AE4884" s="4"/>
      <c r="AF4884" s="21"/>
    </row>
    <row r="4885" spans="24:32" x14ac:dyDescent="0.25">
      <c r="X4885" s="4"/>
      <c r="Y4885" s="4"/>
      <c r="Z4885" s="4"/>
      <c r="AA4885" s="4"/>
      <c r="AB4885" s="4"/>
      <c r="AC4885" s="7"/>
      <c r="AD4885" s="4"/>
      <c r="AE4885" s="4"/>
      <c r="AF4885" s="21"/>
    </row>
    <row r="4886" spans="24:32" x14ac:dyDescent="0.25">
      <c r="X4886" s="4"/>
      <c r="Y4886" s="4"/>
      <c r="Z4886" s="4"/>
      <c r="AA4886" s="4"/>
      <c r="AB4886" s="4"/>
      <c r="AC4886" s="7"/>
      <c r="AD4886" s="4"/>
      <c r="AE4886" s="4"/>
      <c r="AF4886" s="21"/>
    </row>
    <row r="4887" spans="24:32" x14ac:dyDescent="0.25">
      <c r="X4887" s="4"/>
      <c r="Y4887" s="4"/>
      <c r="Z4887" s="4"/>
      <c r="AA4887" s="4"/>
      <c r="AB4887" s="4"/>
      <c r="AC4887" s="7"/>
      <c r="AD4887" s="4"/>
      <c r="AE4887" s="4"/>
      <c r="AF4887" s="21"/>
    </row>
    <row r="4888" spans="24:32" x14ac:dyDescent="0.25">
      <c r="X4888" s="4"/>
      <c r="Y4888" s="4"/>
      <c r="Z4888" s="4"/>
      <c r="AA4888" s="4"/>
      <c r="AB4888" s="4"/>
      <c r="AC4888" s="7"/>
      <c r="AD4888" s="4"/>
      <c r="AE4888" s="4"/>
      <c r="AF4888" s="21"/>
    </row>
    <row r="4889" spans="24:32" x14ac:dyDescent="0.25">
      <c r="X4889" s="4"/>
      <c r="Y4889" s="4"/>
      <c r="Z4889" s="4"/>
      <c r="AA4889" s="4"/>
      <c r="AB4889" s="4"/>
      <c r="AC4889" s="7"/>
      <c r="AD4889" s="4"/>
      <c r="AE4889" s="4"/>
      <c r="AF4889" s="21"/>
    </row>
    <row r="4890" spans="24:32" x14ac:dyDescent="0.25">
      <c r="X4890" s="4"/>
      <c r="Y4890" s="4"/>
      <c r="Z4890" s="4"/>
      <c r="AA4890" s="4"/>
      <c r="AB4890" s="4"/>
      <c r="AC4890" s="7"/>
      <c r="AD4890" s="4"/>
      <c r="AE4890" s="4"/>
      <c r="AF4890" s="21"/>
    </row>
    <row r="4891" spans="24:32" x14ac:dyDescent="0.25">
      <c r="X4891" s="4"/>
      <c r="Y4891" s="4"/>
      <c r="Z4891" s="4"/>
      <c r="AA4891" s="4"/>
      <c r="AB4891" s="4"/>
      <c r="AC4891" s="7"/>
      <c r="AD4891" s="4"/>
      <c r="AE4891" s="4"/>
      <c r="AF4891" s="21"/>
    </row>
    <row r="4892" spans="24:32" x14ac:dyDescent="0.25">
      <c r="X4892" s="4"/>
      <c r="Y4892" s="4"/>
      <c r="Z4892" s="4"/>
      <c r="AA4892" s="4"/>
      <c r="AB4892" s="4"/>
      <c r="AC4892" s="7"/>
      <c r="AD4892" s="4"/>
      <c r="AE4892" s="4"/>
      <c r="AF4892" s="21"/>
    </row>
    <row r="4893" spans="24:32" x14ac:dyDescent="0.25">
      <c r="X4893" s="4"/>
      <c r="Y4893" s="4"/>
      <c r="Z4893" s="4"/>
      <c r="AA4893" s="4"/>
      <c r="AB4893" s="4"/>
      <c r="AC4893" s="7"/>
      <c r="AD4893" s="4"/>
      <c r="AE4893" s="4"/>
      <c r="AF4893" s="21"/>
    </row>
    <row r="4894" spans="24:32" x14ac:dyDescent="0.25">
      <c r="X4894" s="4"/>
      <c r="Y4894" s="4"/>
      <c r="Z4894" s="4"/>
      <c r="AA4894" s="4"/>
      <c r="AB4894" s="4"/>
      <c r="AC4894" s="7"/>
      <c r="AD4894" s="4"/>
      <c r="AE4894" s="4"/>
      <c r="AF4894" s="21"/>
    </row>
    <row r="4895" spans="24:32" x14ac:dyDescent="0.25">
      <c r="X4895" s="4"/>
      <c r="Y4895" s="4"/>
      <c r="Z4895" s="4"/>
      <c r="AA4895" s="4"/>
      <c r="AB4895" s="4"/>
      <c r="AC4895" s="7"/>
      <c r="AD4895" s="4"/>
      <c r="AE4895" s="4"/>
      <c r="AF4895" s="21"/>
    </row>
    <row r="4896" spans="24:32" x14ac:dyDescent="0.25">
      <c r="X4896" s="4"/>
      <c r="Y4896" s="4"/>
      <c r="Z4896" s="4"/>
      <c r="AA4896" s="4"/>
      <c r="AB4896" s="4"/>
      <c r="AC4896" s="7"/>
      <c r="AD4896" s="4"/>
      <c r="AE4896" s="4"/>
      <c r="AF4896" s="21"/>
    </row>
    <row r="4897" spans="24:32" x14ac:dyDescent="0.25">
      <c r="X4897" s="4"/>
      <c r="Y4897" s="4"/>
      <c r="Z4897" s="4"/>
      <c r="AA4897" s="4"/>
      <c r="AB4897" s="4"/>
      <c r="AC4897" s="7"/>
      <c r="AD4897" s="4"/>
      <c r="AE4897" s="4"/>
      <c r="AF4897" s="21"/>
    </row>
    <row r="4898" spans="24:32" x14ac:dyDescent="0.25">
      <c r="X4898" s="4"/>
      <c r="Y4898" s="4"/>
      <c r="Z4898" s="4"/>
      <c r="AA4898" s="4"/>
      <c r="AB4898" s="4"/>
      <c r="AC4898" s="7"/>
      <c r="AD4898" s="4"/>
      <c r="AE4898" s="4"/>
      <c r="AF4898" s="21"/>
    </row>
    <row r="4899" spans="24:32" x14ac:dyDescent="0.25">
      <c r="X4899" s="4"/>
      <c r="Y4899" s="4"/>
      <c r="Z4899" s="4"/>
      <c r="AA4899" s="4"/>
      <c r="AB4899" s="4"/>
      <c r="AC4899" s="7"/>
      <c r="AD4899" s="4"/>
      <c r="AE4899" s="4"/>
      <c r="AF4899" s="21"/>
    </row>
    <row r="4900" spans="24:32" x14ac:dyDescent="0.25">
      <c r="X4900" s="4"/>
      <c r="Y4900" s="4"/>
      <c r="Z4900" s="4"/>
      <c r="AA4900" s="4"/>
      <c r="AB4900" s="4"/>
      <c r="AC4900" s="7"/>
      <c r="AD4900" s="4"/>
      <c r="AE4900" s="4"/>
      <c r="AF4900" s="21"/>
    </row>
    <row r="4901" spans="24:32" x14ac:dyDescent="0.25">
      <c r="X4901" s="4"/>
      <c r="Y4901" s="4"/>
      <c r="Z4901" s="4"/>
      <c r="AA4901" s="4"/>
      <c r="AB4901" s="4"/>
      <c r="AC4901" s="7"/>
      <c r="AD4901" s="4"/>
      <c r="AE4901" s="4"/>
      <c r="AF4901" s="21"/>
    </row>
    <row r="4902" spans="24:32" x14ac:dyDescent="0.25">
      <c r="X4902" s="4"/>
      <c r="Y4902" s="4"/>
      <c r="Z4902" s="4"/>
      <c r="AA4902" s="4"/>
      <c r="AB4902" s="4"/>
      <c r="AC4902" s="7"/>
      <c r="AD4902" s="4"/>
      <c r="AE4902" s="4"/>
      <c r="AF4902" s="21"/>
    </row>
    <row r="4903" spans="24:32" x14ac:dyDescent="0.25">
      <c r="X4903" s="4"/>
      <c r="Y4903" s="4"/>
      <c r="Z4903" s="4"/>
      <c r="AA4903" s="4"/>
      <c r="AB4903" s="4"/>
      <c r="AC4903" s="7"/>
      <c r="AD4903" s="4"/>
      <c r="AE4903" s="4"/>
      <c r="AF4903" s="21"/>
    </row>
    <row r="4904" spans="24:32" x14ac:dyDescent="0.25">
      <c r="X4904" s="4"/>
      <c r="Y4904" s="4"/>
      <c r="Z4904" s="4"/>
      <c r="AA4904" s="4"/>
      <c r="AB4904" s="4"/>
      <c r="AC4904" s="7"/>
      <c r="AD4904" s="4"/>
      <c r="AE4904" s="4"/>
      <c r="AF4904" s="21"/>
    </row>
    <row r="4905" spans="24:32" x14ac:dyDescent="0.25">
      <c r="X4905" s="4"/>
      <c r="Y4905" s="4"/>
      <c r="Z4905" s="4"/>
      <c r="AA4905" s="4"/>
      <c r="AB4905" s="4"/>
      <c r="AC4905" s="7"/>
      <c r="AD4905" s="4"/>
      <c r="AE4905" s="4"/>
      <c r="AF4905" s="21"/>
    </row>
    <row r="4906" spans="24:32" x14ac:dyDescent="0.25">
      <c r="X4906" s="4"/>
      <c r="Y4906" s="4"/>
      <c r="Z4906" s="4"/>
      <c r="AA4906" s="4"/>
      <c r="AB4906" s="4"/>
      <c r="AC4906" s="7"/>
      <c r="AD4906" s="4"/>
      <c r="AE4906" s="4"/>
      <c r="AF4906" s="21"/>
    </row>
    <row r="4907" spans="24:32" x14ac:dyDescent="0.25">
      <c r="X4907" s="4"/>
      <c r="Y4907" s="4"/>
      <c r="Z4907" s="4"/>
      <c r="AA4907" s="4"/>
      <c r="AB4907" s="4"/>
      <c r="AC4907" s="7"/>
      <c r="AD4907" s="4"/>
      <c r="AE4907" s="4"/>
      <c r="AF4907" s="21"/>
    </row>
    <row r="4908" spans="24:32" x14ac:dyDescent="0.25">
      <c r="X4908" s="4"/>
      <c r="Y4908" s="4"/>
      <c r="Z4908" s="4"/>
      <c r="AA4908" s="4"/>
      <c r="AB4908" s="4"/>
      <c r="AC4908" s="7"/>
      <c r="AD4908" s="4"/>
      <c r="AE4908" s="4"/>
      <c r="AF4908" s="21"/>
    </row>
    <row r="4909" spans="24:32" x14ac:dyDescent="0.25">
      <c r="X4909" s="4"/>
      <c r="Y4909" s="4"/>
      <c r="Z4909" s="4"/>
      <c r="AA4909" s="4"/>
      <c r="AB4909" s="4"/>
      <c r="AC4909" s="7"/>
      <c r="AD4909" s="4"/>
      <c r="AE4909" s="4"/>
      <c r="AF4909" s="21"/>
    </row>
    <row r="4910" spans="24:32" x14ac:dyDescent="0.25">
      <c r="X4910" s="4"/>
      <c r="Y4910" s="4"/>
      <c r="Z4910" s="4"/>
      <c r="AA4910" s="4"/>
      <c r="AB4910" s="4"/>
      <c r="AC4910" s="7"/>
      <c r="AD4910" s="4"/>
      <c r="AE4910" s="4"/>
      <c r="AF4910" s="21"/>
    </row>
    <row r="4911" spans="24:32" x14ac:dyDescent="0.25">
      <c r="X4911" s="4"/>
      <c r="Y4911" s="4"/>
      <c r="Z4911" s="4"/>
      <c r="AA4911" s="4"/>
      <c r="AB4911" s="4"/>
      <c r="AC4911" s="7"/>
      <c r="AD4911" s="4"/>
      <c r="AE4911" s="4"/>
      <c r="AF4911" s="21"/>
    </row>
    <row r="4912" spans="24:32" x14ac:dyDescent="0.25">
      <c r="X4912" s="4"/>
      <c r="Y4912" s="4"/>
      <c r="Z4912" s="4"/>
      <c r="AA4912" s="4"/>
      <c r="AB4912" s="4"/>
      <c r="AC4912" s="7"/>
      <c r="AD4912" s="4"/>
      <c r="AE4912" s="4"/>
      <c r="AF4912" s="21"/>
    </row>
    <row r="4913" spans="24:32" x14ac:dyDescent="0.25">
      <c r="X4913" s="4"/>
      <c r="Y4913" s="4"/>
      <c r="Z4913" s="4"/>
      <c r="AA4913" s="4"/>
      <c r="AB4913" s="4"/>
      <c r="AC4913" s="7"/>
      <c r="AD4913" s="4"/>
      <c r="AE4913" s="4"/>
      <c r="AF4913" s="21"/>
    </row>
    <row r="4914" spans="24:32" x14ac:dyDescent="0.25">
      <c r="X4914" s="4"/>
      <c r="Y4914" s="4"/>
      <c r="Z4914" s="4"/>
      <c r="AA4914" s="4"/>
      <c r="AB4914" s="4"/>
      <c r="AC4914" s="7"/>
      <c r="AD4914" s="4"/>
      <c r="AE4914" s="4"/>
      <c r="AF4914" s="21"/>
    </row>
    <row r="4915" spans="24:32" x14ac:dyDescent="0.25">
      <c r="X4915" s="4"/>
      <c r="Y4915" s="4"/>
      <c r="Z4915" s="4"/>
      <c r="AA4915" s="4"/>
      <c r="AB4915" s="4"/>
      <c r="AC4915" s="7"/>
      <c r="AD4915" s="4"/>
      <c r="AE4915" s="4"/>
      <c r="AF4915" s="21"/>
    </row>
    <row r="4916" spans="24:32" x14ac:dyDescent="0.25">
      <c r="X4916" s="4"/>
      <c r="Y4916" s="4"/>
      <c r="Z4916" s="4"/>
      <c r="AA4916" s="4"/>
      <c r="AB4916" s="4"/>
      <c r="AC4916" s="7"/>
      <c r="AD4916" s="4"/>
      <c r="AE4916" s="4"/>
      <c r="AF4916" s="21"/>
    </row>
    <row r="4917" spans="24:32" x14ac:dyDescent="0.25">
      <c r="X4917" s="4"/>
      <c r="Y4917" s="4"/>
      <c r="Z4917" s="4"/>
      <c r="AA4917" s="4"/>
      <c r="AB4917" s="4"/>
      <c r="AC4917" s="7"/>
      <c r="AD4917" s="4"/>
      <c r="AE4917" s="4"/>
      <c r="AF4917" s="21"/>
    </row>
    <row r="4918" spans="24:32" x14ac:dyDescent="0.25">
      <c r="X4918" s="4"/>
      <c r="Y4918" s="4"/>
      <c r="Z4918" s="4"/>
      <c r="AA4918" s="4"/>
      <c r="AB4918" s="4"/>
      <c r="AC4918" s="7"/>
      <c r="AD4918" s="4"/>
      <c r="AE4918" s="4"/>
      <c r="AF4918" s="21"/>
    </row>
    <row r="4919" spans="24:32" x14ac:dyDescent="0.25">
      <c r="X4919" s="4"/>
      <c r="Y4919" s="4"/>
      <c r="Z4919" s="4"/>
      <c r="AA4919" s="4"/>
      <c r="AB4919" s="4"/>
      <c r="AC4919" s="7"/>
      <c r="AD4919" s="4"/>
      <c r="AE4919" s="4"/>
      <c r="AF4919" s="21"/>
    </row>
    <row r="4920" spans="24:32" x14ac:dyDescent="0.25">
      <c r="X4920" s="4"/>
      <c r="Y4920" s="4"/>
      <c r="Z4920" s="4"/>
      <c r="AA4920" s="4"/>
      <c r="AB4920" s="4"/>
      <c r="AC4920" s="7"/>
      <c r="AD4920" s="4"/>
      <c r="AE4920" s="4"/>
      <c r="AF4920" s="21"/>
    </row>
    <row r="4921" spans="24:32" x14ac:dyDescent="0.25">
      <c r="X4921" s="4"/>
      <c r="Y4921" s="4"/>
      <c r="Z4921" s="4"/>
      <c r="AA4921" s="4"/>
      <c r="AB4921" s="4"/>
      <c r="AC4921" s="7"/>
      <c r="AD4921" s="4"/>
      <c r="AE4921" s="4"/>
      <c r="AF4921" s="21"/>
    </row>
    <row r="4922" spans="24:32" x14ac:dyDescent="0.25">
      <c r="X4922" s="4"/>
      <c r="Y4922" s="4"/>
      <c r="Z4922" s="4"/>
      <c r="AA4922" s="4"/>
      <c r="AB4922" s="4"/>
      <c r="AC4922" s="7"/>
      <c r="AD4922" s="4"/>
      <c r="AE4922" s="4"/>
      <c r="AF4922" s="21"/>
    </row>
    <row r="4923" spans="24:32" x14ac:dyDescent="0.25">
      <c r="X4923" s="4"/>
      <c r="Y4923" s="4"/>
      <c r="Z4923" s="4"/>
      <c r="AA4923" s="4"/>
      <c r="AB4923" s="4"/>
      <c r="AC4923" s="7"/>
      <c r="AD4923" s="4"/>
      <c r="AE4923" s="4"/>
      <c r="AF4923" s="21"/>
    </row>
    <row r="4924" spans="24:32" x14ac:dyDescent="0.25">
      <c r="X4924" s="4"/>
      <c r="Y4924" s="4"/>
      <c r="Z4924" s="4"/>
      <c r="AA4924" s="4"/>
      <c r="AB4924" s="4"/>
      <c r="AC4924" s="7"/>
      <c r="AD4924" s="4"/>
      <c r="AE4924" s="4"/>
      <c r="AF4924" s="21"/>
    </row>
    <row r="4925" spans="24:32" x14ac:dyDescent="0.25">
      <c r="X4925" s="4"/>
      <c r="Y4925" s="4"/>
      <c r="Z4925" s="4"/>
      <c r="AA4925" s="4"/>
      <c r="AB4925" s="4"/>
      <c r="AC4925" s="7"/>
      <c r="AD4925" s="4"/>
      <c r="AE4925" s="4"/>
      <c r="AF4925" s="21"/>
    </row>
    <row r="4926" spans="24:32" x14ac:dyDescent="0.25">
      <c r="X4926" s="4"/>
      <c r="Y4926" s="4"/>
      <c r="Z4926" s="4"/>
      <c r="AA4926" s="4"/>
      <c r="AB4926" s="4"/>
      <c r="AC4926" s="7"/>
      <c r="AD4926" s="4"/>
      <c r="AE4926" s="4"/>
      <c r="AF4926" s="21"/>
    </row>
    <row r="4927" spans="24:32" x14ac:dyDescent="0.25">
      <c r="X4927" s="4"/>
      <c r="Y4927" s="4"/>
      <c r="Z4927" s="4"/>
      <c r="AA4927" s="4"/>
      <c r="AB4927" s="4"/>
      <c r="AC4927" s="7"/>
      <c r="AD4927" s="4"/>
      <c r="AE4927" s="4"/>
      <c r="AF4927" s="21"/>
    </row>
    <row r="4928" spans="24:32" x14ac:dyDescent="0.25">
      <c r="X4928" s="4"/>
      <c r="Y4928" s="4"/>
      <c r="Z4928" s="4"/>
      <c r="AA4928" s="4"/>
      <c r="AB4928" s="4"/>
      <c r="AC4928" s="7"/>
      <c r="AD4928" s="4"/>
      <c r="AE4928" s="4"/>
      <c r="AF4928" s="21"/>
    </row>
    <row r="4929" spans="24:32" x14ac:dyDescent="0.25">
      <c r="X4929" s="4"/>
      <c r="Y4929" s="4"/>
      <c r="Z4929" s="4"/>
      <c r="AA4929" s="4"/>
      <c r="AB4929" s="4"/>
      <c r="AC4929" s="7"/>
      <c r="AD4929" s="4"/>
      <c r="AE4929" s="4"/>
      <c r="AF4929" s="21"/>
    </row>
    <row r="4930" spans="24:32" x14ac:dyDescent="0.25">
      <c r="X4930" s="4"/>
      <c r="Y4930" s="4"/>
      <c r="Z4930" s="4"/>
      <c r="AA4930" s="4"/>
      <c r="AB4930" s="4"/>
      <c r="AC4930" s="7"/>
      <c r="AD4930" s="4"/>
      <c r="AE4930" s="4"/>
      <c r="AF4930" s="21"/>
    </row>
    <row r="4931" spans="24:32" x14ac:dyDescent="0.25">
      <c r="X4931" s="4"/>
      <c r="Y4931" s="4"/>
      <c r="Z4931" s="4"/>
      <c r="AA4931" s="4"/>
      <c r="AB4931" s="4"/>
      <c r="AC4931" s="7"/>
      <c r="AD4931" s="4"/>
      <c r="AE4931" s="4"/>
      <c r="AF4931" s="21"/>
    </row>
    <row r="4932" spans="24:32" x14ac:dyDescent="0.25">
      <c r="X4932" s="4"/>
      <c r="Y4932" s="4"/>
      <c r="Z4932" s="4"/>
      <c r="AA4932" s="4"/>
      <c r="AB4932" s="4"/>
      <c r="AC4932" s="7"/>
      <c r="AD4932" s="4"/>
      <c r="AE4932" s="4"/>
      <c r="AF4932" s="21"/>
    </row>
    <row r="4933" spans="24:32" x14ac:dyDescent="0.25">
      <c r="X4933" s="4"/>
      <c r="Y4933" s="4"/>
      <c r="Z4933" s="4"/>
      <c r="AA4933" s="4"/>
      <c r="AB4933" s="4"/>
      <c r="AC4933" s="7"/>
      <c r="AD4933" s="4"/>
      <c r="AE4933" s="4"/>
      <c r="AF4933" s="21"/>
    </row>
    <row r="4934" spans="24:32" x14ac:dyDescent="0.25">
      <c r="X4934" s="4"/>
      <c r="Y4934" s="4"/>
      <c r="Z4934" s="4"/>
      <c r="AA4934" s="4"/>
      <c r="AB4934" s="4"/>
      <c r="AC4934" s="7"/>
      <c r="AD4934" s="4"/>
      <c r="AE4934" s="4"/>
      <c r="AF4934" s="21"/>
    </row>
    <row r="4935" spans="24:32" x14ac:dyDescent="0.25">
      <c r="X4935" s="4"/>
      <c r="Y4935" s="4"/>
      <c r="Z4935" s="4"/>
      <c r="AA4935" s="4"/>
      <c r="AB4935" s="4"/>
      <c r="AC4935" s="7"/>
      <c r="AD4935" s="4"/>
      <c r="AE4935" s="4"/>
      <c r="AF4935" s="21"/>
    </row>
    <row r="4936" spans="24:32" x14ac:dyDescent="0.25">
      <c r="X4936" s="4"/>
      <c r="Y4936" s="4"/>
      <c r="Z4936" s="4"/>
      <c r="AA4936" s="4"/>
      <c r="AB4936" s="4"/>
      <c r="AC4936" s="7"/>
      <c r="AD4936" s="4"/>
      <c r="AE4936" s="4"/>
      <c r="AF4936" s="21"/>
    </row>
    <row r="4937" spans="24:32" x14ac:dyDescent="0.25">
      <c r="X4937" s="4"/>
      <c r="Y4937" s="4"/>
      <c r="Z4937" s="4"/>
      <c r="AA4937" s="4"/>
      <c r="AB4937" s="4"/>
      <c r="AC4937" s="7"/>
      <c r="AD4937" s="4"/>
      <c r="AE4937" s="4"/>
      <c r="AF4937" s="21"/>
    </row>
    <row r="4938" spans="24:32" x14ac:dyDescent="0.25">
      <c r="X4938" s="4"/>
      <c r="Y4938" s="4"/>
      <c r="Z4938" s="4"/>
      <c r="AA4938" s="4"/>
      <c r="AB4938" s="4"/>
      <c r="AC4938" s="7"/>
      <c r="AD4938" s="4"/>
      <c r="AE4938" s="4"/>
      <c r="AF4938" s="21"/>
    </row>
    <row r="4939" spans="24:32" x14ac:dyDescent="0.25">
      <c r="X4939" s="4"/>
      <c r="Y4939" s="4"/>
      <c r="Z4939" s="4"/>
      <c r="AA4939" s="4"/>
      <c r="AB4939" s="4"/>
      <c r="AC4939" s="7"/>
      <c r="AD4939" s="4"/>
      <c r="AE4939" s="4"/>
      <c r="AF4939" s="21"/>
    </row>
    <row r="4940" spans="24:32" x14ac:dyDescent="0.25">
      <c r="X4940" s="4"/>
      <c r="Y4940" s="4"/>
      <c r="Z4940" s="4"/>
      <c r="AA4940" s="4"/>
      <c r="AB4940" s="4"/>
      <c r="AC4940" s="7"/>
      <c r="AD4940" s="4"/>
      <c r="AE4940" s="4"/>
      <c r="AF4940" s="21"/>
    </row>
    <row r="4941" spans="24:32" x14ac:dyDescent="0.25">
      <c r="X4941" s="4"/>
      <c r="Y4941" s="4"/>
      <c r="Z4941" s="4"/>
      <c r="AA4941" s="4"/>
      <c r="AB4941" s="4"/>
      <c r="AC4941" s="7"/>
      <c r="AD4941" s="4"/>
      <c r="AE4941" s="4"/>
      <c r="AF4941" s="21"/>
    </row>
    <row r="4942" spans="24:32" x14ac:dyDescent="0.25">
      <c r="X4942" s="4"/>
      <c r="Y4942" s="4"/>
      <c r="Z4942" s="4"/>
      <c r="AA4942" s="4"/>
      <c r="AB4942" s="4"/>
      <c r="AC4942" s="7"/>
      <c r="AD4942" s="4"/>
      <c r="AE4942" s="4"/>
      <c r="AF4942" s="21"/>
    </row>
    <row r="4943" spans="24:32" x14ac:dyDescent="0.25">
      <c r="X4943" s="4"/>
      <c r="Y4943" s="4"/>
      <c r="Z4943" s="4"/>
      <c r="AA4943" s="4"/>
      <c r="AB4943" s="4"/>
      <c r="AC4943" s="7"/>
      <c r="AD4943" s="4"/>
      <c r="AE4943" s="4"/>
      <c r="AF4943" s="21"/>
    </row>
    <row r="4944" spans="24:32" x14ac:dyDescent="0.25">
      <c r="X4944" s="4"/>
      <c r="Y4944" s="4"/>
      <c r="Z4944" s="4"/>
      <c r="AA4944" s="4"/>
      <c r="AB4944" s="4"/>
      <c r="AC4944" s="7"/>
      <c r="AD4944" s="4"/>
      <c r="AE4944" s="4"/>
      <c r="AF4944" s="21"/>
    </row>
    <row r="4945" spans="24:32" x14ac:dyDescent="0.25">
      <c r="X4945" s="4"/>
      <c r="Y4945" s="4"/>
      <c r="Z4945" s="4"/>
      <c r="AA4945" s="4"/>
      <c r="AB4945" s="4"/>
      <c r="AC4945" s="7"/>
      <c r="AD4945" s="4"/>
      <c r="AE4945" s="4"/>
      <c r="AF4945" s="21"/>
    </row>
    <row r="4946" spans="24:32" x14ac:dyDescent="0.25">
      <c r="X4946" s="4"/>
      <c r="Y4946" s="4"/>
      <c r="Z4946" s="4"/>
      <c r="AA4946" s="4"/>
      <c r="AB4946" s="4"/>
      <c r="AC4946" s="7"/>
      <c r="AD4946" s="4"/>
      <c r="AE4946" s="4"/>
      <c r="AF4946" s="21"/>
    </row>
    <row r="4947" spans="24:32" x14ac:dyDescent="0.25">
      <c r="X4947" s="4"/>
      <c r="Y4947" s="4"/>
      <c r="Z4947" s="4"/>
      <c r="AA4947" s="4"/>
      <c r="AB4947" s="4"/>
      <c r="AC4947" s="7"/>
      <c r="AD4947" s="4"/>
      <c r="AE4947" s="4"/>
      <c r="AF4947" s="21"/>
    </row>
    <row r="4948" spans="24:32" x14ac:dyDescent="0.25">
      <c r="X4948" s="4"/>
      <c r="Y4948" s="4"/>
      <c r="Z4948" s="4"/>
      <c r="AA4948" s="4"/>
      <c r="AB4948" s="4"/>
      <c r="AC4948" s="7"/>
      <c r="AD4948" s="4"/>
      <c r="AE4948" s="4"/>
      <c r="AF4948" s="21"/>
    </row>
    <row r="4949" spans="24:32" x14ac:dyDescent="0.25">
      <c r="X4949" s="4"/>
      <c r="Y4949" s="4"/>
      <c r="Z4949" s="4"/>
      <c r="AA4949" s="4"/>
      <c r="AB4949" s="4"/>
      <c r="AC4949" s="7"/>
      <c r="AD4949" s="4"/>
      <c r="AE4949" s="4"/>
      <c r="AF4949" s="21"/>
    </row>
    <row r="4950" spans="24:32" x14ac:dyDescent="0.25">
      <c r="X4950" s="4"/>
      <c r="Y4950" s="4"/>
      <c r="Z4950" s="4"/>
      <c r="AA4950" s="4"/>
      <c r="AB4950" s="4"/>
      <c r="AC4950" s="7"/>
      <c r="AD4950" s="4"/>
      <c r="AE4950" s="4"/>
      <c r="AF4950" s="21"/>
    </row>
    <row r="4951" spans="24:32" x14ac:dyDescent="0.25">
      <c r="X4951" s="4"/>
      <c r="Y4951" s="4"/>
      <c r="Z4951" s="4"/>
      <c r="AA4951" s="4"/>
      <c r="AB4951" s="4"/>
      <c r="AC4951" s="7"/>
      <c r="AD4951" s="4"/>
      <c r="AE4951" s="4"/>
      <c r="AF4951" s="21"/>
    </row>
    <row r="4952" spans="24:32" x14ac:dyDescent="0.25">
      <c r="X4952" s="4"/>
      <c r="Y4952" s="4"/>
      <c r="Z4952" s="4"/>
      <c r="AA4952" s="4"/>
      <c r="AB4952" s="4"/>
      <c r="AC4952" s="7"/>
      <c r="AD4952" s="4"/>
      <c r="AE4952" s="4"/>
      <c r="AF4952" s="21"/>
    </row>
    <row r="4953" spans="24:32" x14ac:dyDescent="0.25">
      <c r="X4953" s="4"/>
      <c r="Y4953" s="4"/>
      <c r="Z4953" s="4"/>
      <c r="AA4953" s="4"/>
      <c r="AB4953" s="4"/>
      <c r="AC4953" s="7"/>
      <c r="AD4953" s="4"/>
      <c r="AE4953" s="4"/>
      <c r="AF4953" s="21"/>
    </row>
    <row r="4954" spans="24:32" x14ac:dyDescent="0.25">
      <c r="X4954" s="4"/>
      <c r="Y4954" s="4"/>
      <c r="Z4954" s="4"/>
      <c r="AA4954" s="4"/>
      <c r="AB4954" s="4"/>
      <c r="AC4954" s="7"/>
      <c r="AD4954" s="4"/>
      <c r="AE4954" s="4"/>
      <c r="AF4954" s="21"/>
    </row>
    <row r="4955" spans="24:32" x14ac:dyDescent="0.25">
      <c r="X4955" s="4"/>
      <c r="Y4955" s="4"/>
      <c r="Z4955" s="4"/>
      <c r="AA4955" s="4"/>
      <c r="AB4955" s="4"/>
      <c r="AC4955" s="7"/>
      <c r="AD4955" s="4"/>
      <c r="AE4955" s="4"/>
      <c r="AF4955" s="21"/>
    </row>
    <row r="4956" spans="24:32" x14ac:dyDescent="0.25">
      <c r="X4956" s="4"/>
      <c r="Y4956" s="4"/>
      <c r="Z4956" s="4"/>
      <c r="AA4956" s="4"/>
      <c r="AB4956" s="4"/>
      <c r="AC4956" s="7"/>
      <c r="AD4956" s="4"/>
      <c r="AE4956" s="4"/>
      <c r="AF4956" s="21"/>
    </row>
    <row r="4957" spans="24:32" x14ac:dyDescent="0.25">
      <c r="X4957" s="4"/>
      <c r="Y4957" s="4"/>
      <c r="Z4957" s="4"/>
      <c r="AA4957" s="4"/>
      <c r="AB4957" s="4"/>
      <c r="AC4957" s="7"/>
      <c r="AD4957" s="4"/>
      <c r="AE4957" s="4"/>
      <c r="AF4957" s="21"/>
    </row>
    <row r="4958" spans="24:32" x14ac:dyDescent="0.25">
      <c r="X4958" s="4"/>
      <c r="Y4958" s="4"/>
      <c r="Z4958" s="4"/>
      <c r="AA4958" s="4"/>
      <c r="AB4958" s="4"/>
      <c r="AC4958" s="7"/>
      <c r="AD4958" s="4"/>
      <c r="AE4958" s="4"/>
      <c r="AF4958" s="21"/>
    </row>
    <row r="4959" spans="24:32" x14ac:dyDescent="0.25">
      <c r="X4959" s="4"/>
      <c r="Y4959" s="4"/>
      <c r="Z4959" s="4"/>
      <c r="AA4959" s="4"/>
      <c r="AB4959" s="4"/>
      <c r="AC4959" s="7"/>
      <c r="AD4959" s="4"/>
      <c r="AE4959" s="4"/>
      <c r="AF4959" s="21"/>
    </row>
    <row r="4960" spans="24:32" x14ac:dyDescent="0.25">
      <c r="X4960" s="4"/>
      <c r="Y4960" s="4"/>
      <c r="Z4960" s="4"/>
      <c r="AA4960" s="4"/>
      <c r="AB4960" s="4"/>
      <c r="AC4960" s="7"/>
      <c r="AD4960" s="4"/>
      <c r="AE4960" s="4"/>
      <c r="AF4960" s="21"/>
    </row>
    <row r="4961" spans="24:32" x14ac:dyDescent="0.25">
      <c r="X4961" s="4"/>
      <c r="Y4961" s="4"/>
      <c r="Z4961" s="4"/>
      <c r="AA4961" s="4"/>
      <c r="AB4961" s="4"/>
      <c r="AC4961" s="7"/>
      <c r="AD4961" s="4"/>
      <c r="AE4961" s="4"/>
      <c r="AF4961" s="21"/>
    </row>
    <row r="4962" spans="24:32" x14ac:dyDescent="0.25">
      <c r="X4962" s="4"/>
      <c r="Y4962" s="4"/>
      <c r="Z4962" s="4"/>
      <c r="AA4962" s="4"/>
      <c r="AB4962" s="4"/>
      <c r="AC4962" s="7"/>
      <c r="AD4962" s="4"/>
      <c r="AE4962" s="4"/>
      <c r="AF4962" s="21"/>
    </row>
    <row r="4963" spans="24:32" x14ac:dyDescent="0.25">
      <c r="X4963" s="4"/>
      <c r="Y4963" s="4"/>
      <c r="Z4963" s="4"/>
      <c r="AA4963" s="4"/>
      <c r="AB4963" s="4"/>
      <c r="AC4963" s="7"/>
      <c r="AD4963" s="4"/>
      <c r="AE4963" s="4"/>
      <c r="AF4963" s="21"/>
    </row>
    <row r="4964" spans="24:32" x14ac:dyDescent="0.25">
      <c r="X4964" s="4"/>
      <c r="Y4964" s="4"/>
      <c r="Z4964" s="4"/>
      <c r="AA4964" s="4"/>
      <c r="AB4964" s="4"/>
      <c r="AC4964" s="7"/>
      <c r="AD4964" s="4"/>
      <c r="AE4964" s="4"/>
      <c r="AF4964" s="21"/>
    </row>
    <row r="4965" spans="24:32" x14ac:dyDescent="0.25">
      <c r="X4965" s="4"/>
      <c r="Y4965" s="4"/>
      <c r="Z4965" s="4"/>
      <c r="AA4965" s="4"/>
      <c r="AB4965" s="4"/>
      <c r="AC4965" s="7"/>
      <c r="AD4965" s="4"/>
      <c r="AE4965" s="4"/>
      <c r="AF4965" s="21"/>
    </row>
    <row r="4966" spans="24:32" x14ac:dyDescent="0.25">
      <c r="X4966" s="4"/>
      <c r="Y4966" s="4"/>
      <c r="Z4966" s="4"/>
      <c r="AA4966" s="4"/>
      <c r="AB4966" s="4"/>
      <c r="AC4966" s="7"/>
      <c r="AD4966" s="4"/>
      <c r="AE4966" s="4"/>
      <c r="AF4966" s="21"/>
    </row>
    <row r="4967" spans="24:32" x14ac:dyDescent="0.25">
      <c r="X4967" s="4"/>
      <c r="Y4967" s="4"/>
      <c r="Z4967" s="4"/>
      <c r="AA4967" s="4"/>
      <c r="AB4967" s="4"/>
      <c r="AC4967" s="7"/>
      <c r="AD4967" s="4"/>
      <c r="AE4967" s="4"/>
      <c r="AF4967" s="21"/>
    </row>
    <row r="4968" spans="24:32" x14ac:dyDescent="0.25">
      <c r="X4968" s="4"/>
      <c r="Y4968" s="4"/>
      <c r="Z4968" s="4"/>
      <c r="AA4968" s="4"/>
      <c r="AB4968" s="4"/>
      <c r="AC4968" s="7"/>
      <c r="AD4968" s="4"/>
      <c r="AE4968" s="4"/>
      <c r="AF4968" s="21"/>
    </row>
    <row r="4969" spans="24:32" x14ac:dyDescent="0.25">
      <c r="X4969" s="4"/>
      <c r="Y4969" s="4"/>
      <c r="Z4969" s="4"/>
      <c r="AA4969" s="4"/>
      <c r="AB4969" s="4"/>
      <c r="AC4969" s="7"/>
      <c r="AD4969" s="4"/>
      <c r="AE4969" s="4"/>
      <c r="AF4969" s="21"/>
    </row>
    <row r="4970" spans="24:32" x14ac:dyDescent="0.25">
      <c r="X4970" s="4"/>
      <c r="Y4970" s="4"/>
      <c r="Z4970" s="4"/>
      <c r="AA4970" s="4"/>
      <c r="AB4970" s="4"/>
      <c r="AC4970" s="7"/>
      <c r="AD4970" s="4"/>
      <c r="AE4970" s="4"/>
      <c r="AF4970" s="21"/>
    </row>
    <row r="4971" spans="24:32" x14ac:dyDescent="0.25">
      <c r="X4971" s="4"/>
      <c r="Y4971" s="4"/>
      <c r="Z4971" s="4"/>
      <c r="AA4971" s="4"/>
      <c r="AB4971" s="4"/>
      <c r="AC4971" s="7"/>
      <c r="AD4971" s="4"/>
      <c r="AE4971" s="4"/>
      <c r="AF4971" s="21"/>
    </row>
    <row r="4972" spans="24:32" x14ac:dyDescent="0.25">
      <c r="X4972" s="4"/>
      <c r="Y4972" s="4"/>
      <c r="Z4972" s="4"/>
      <c r="AA4972" s="4"/>
      <c r="AB4972" s="4"/>
      <c r="AC4972" s="7"/>
      <c r="AD4972" s="4"/>
      <c r="AE4972" s="4"/>
      <c r="AF4972" s="21"/>
    </row>
    <row r="4973" spans="24:32" x14ac:dyDescent="0.25">
      <c r="X4973" s="4"/>
      <c r="Y4973" s="4"/>
      <c r="Z4973" s="4"/>
      <c r="AA4973" s="4"/>
      <c r="AB4973" s="4"/>
      <c r="AC4973" s="7"/>
      <c r="AD4973" s="4"/>
      <c r="AE4973" s="4"/>
      <c r="AF4973" s="21"/>
    </row>
    <row r="4974" spans="24:32" x14ac:dyDescent="0.25">
      <c r="X4974" s="4"/>
      <c r="Y4974" s="4"/>
      <c r="Z4974" s="4"/>
      <c r="AA4974" s="4"/>
      <c r="AB4974" s="4"/>
      <c r="AC4974" s="7"/>
      <c r="AD4974" s="4"/>
      <c r="AE4974" s="4"/>
      <c r="AF4974" s="21"/>
    </row>
    <row r="4975" spans="24:32" x14ac:dyDescent="0.25">
      <c r="X4975" s="4"/>
      <c r="Y4975" s="4"/>
      <c r="Z4975" s="4"/>
      <c r="AA4975" s="4"/>
      <c r="AB4975" s="4"/>
      <c r="AC4975" s="7"/>
      <c r="AD4975" s="4"/>
      <c r="AE4975" s="4"/>
      <c r="AF4975" s="21"/>
    </row>
    <row r="4976" spans="24:32" x14ac:dyDescent="0.25">
      <c r="X4976" s="4"/>
      <c r="Y4976" s="4"/>
      <c r="Z4976" s="4"/>
      <c r="AA4976" s="4"/>
      <c r="AB4976" s="4"/>
      <c r="AC4976" s="7"/>
      <c r="AD4976" s="4"/>
      <c r="AE4976" s="4"/>
      <c r="AF4976" s="21"/>
    </row>
    <row r="4977" spans="24:32" x14ac:dyDescent="0.25">
      <c r="X4977" s="4"/>
      <c r="Y4977" s="4"/>
      <c r="Z4977" s="4"/>
      <c r="AA4977" s="4"/>
      <c r="AB4977" s="4"/>
      <c r="AC4977" s="7"/>
      <c r="AD4977" s="4"/>
      <c r="AE4977" s="4"/>
      <c r="AF4977" s="21"/>
    </row>
    <row r="4978" spans="24:32" x14ac:dyDescent="0.25">
      <c r="X4978" s="4"/>
      <c r="Y4978" s="4"/>
      <c r="Z4978" s="4"/>
      <c r="AA4978" s="4"/>
      <c r="AB4978" s="4"/>
      <c r="AC4978" s="7"/>
      <c r="AD4978" s="4"/>
      <c r="AE4978" s="4"/>
      <c r="AF4978" s="21"/>
    </row>
    <row r="4979" spans="24:32" x14ac:dyDescent="0.25">
      <c r="X4979" s="4"/>
      <c r="Y4979" s="4"/>
      <c r="Z4979" s="4"/>
      <c r="AA4979" s="4"/>
      <c r="AB4979" s="4"/>
      <c r="AC4979" s="7"/>
      <c r="AD4979" s="4"/>
      <c r="AE4979" s="4"/>
      <c r="AF4979" s="21"/>
    </row>
    <row r="4980" spans="24:32" x14ac:dyDescent="0.25">
      <c r="X4980" s="4"/>
      <c r="Y4980" s="4"/>
      <c r="Z4980" s="4"/>
      <c r="AA4980" s="4"/>
      <c r="AB4980" s="4"/>
      <c r="AC4980" s="7"/>
      <c r="AD4980" s="4"/>
      <c r="AE4980" s="4"/>
      <c r="AF4980" s="21"/>
    </row>
    <row r="4981" spans="24:32" x14ac:dyDescent="0.25">
      <c r="X4981" s="4"/>
      <c r="Y4981" s="4"/>
      <c r="Z4981" s="4"/>
      <c r="AA4981" s="4"/>
      <c r="AB4981" s="4"/>
      <c r="AC4981" s="7"/>
      <c r="AD4981" s="4"/>
      <c r="AE4981" s="4"/>
      <c r="AF4981" s="21"/>
    </row>
    <row r="4982" spans="24:32" x14ac:dyDescent="0.25">
      <c r="X4982" s="4"/>
      <c r="Y4982" s="4"/>
      <c r="Z4982" s="4"/>
      <c r="AA4982" s="4"/>
      <c r="AB4982" s="4"/>
      <c r="AC4982" s="7"/>
      <c r="AD4982" s="4"/>
      <c r="AE4982" s="4"/>
      <c r="AF4982" s="21"/>
    </row>
    <row r="4983" spans="24:32" x14ac:dyDescent="0.25">
      <c r="X4983" s="4"/>
      <c r="Y4983" s="4"/>
      <c r="Z4983" s="4"/>
      <c r="AA4983" s="4"/>
      <c r="AB4983" s="4"/>
      <c r="AC4983" s="7"/>
      <c r="AD4983" s="4"/>
      <c r="AE4983" s="4"/>
      <c r="AF4983" s="21"/>
    </row>
    <row r="4984" spans="24:32" x14ac:dyDescent="0.25">
      <c r="X4984" s="4"/>
      <c r="Y4984" s="4"/>
      <c r="Z4984" s="4"/>
      <c r="AA4984" s="4"/>
      <c r="AB4984" s="4"/>
      <c r="AC4984" s="7"/>
      <c r="AD4984" s="4"/>
      <c r="AE4984" s="4"/>
      <c r="AF4984" s="21"/>
    </row>
    <row r="4985" spans="24:32" x14ac:dyDescent="0.25">
      <c r="X4985" s="4"/>
      <c r="Y4985" s="4"/>
      <c r="Z4985" s="4"/>
      <c r="AA4985" s="4"/>
      <c r="AB4985" s="4"/>
      <c r="AC4985" s="7"/>
      <c r="AD4985" s="4"/>
      <c r="AE4985" s="4"/>
      <c r="AF4985" s="21"/>
    </row>
    <row r="4986" spans="24:32" x14ac:dyDescent="0.25">
      <c r="X4986" s="4"/>
      <c r="Y4986" s="4"/>
      <c r="Z4986" s="4"/>
      <c r="AA4986" s="4"/>
      <c r="AB4986" s="4"/>
      <c r="AC4986" s="7"/>
      <c r="AD4986" s="4"/>
      <c r="AE4986" s="4"/>
      <c r="AF4986" s="21"/>
    </row>
    <row r="4987" spans="24:32" x14ac:dyDescent="0.25">
      <c r="X4987" s="4"/>
      <c r="Y4987" s="4"/>
      <c r="Z4987" s="4"/>
      <c r="AA4987" s="4"/>
      <c r="AB4987" s="4"/>
      <c r="AC4987" s="7"/>
      <c r="AD4987" s="4"/>
      <c r="AE4987" s="4"/>
      <c r="AF4987" s="21"/>
    </row>
    <row r="4988" spans="24:32" x14ac:dyDescent="0.25">
      <c r="X4988" s="4"/>
      <c r="Y4988" s="4"/>
      <c r="Z4988" s="4"/>
      <c r="AA4988" s="4"/>
      <c r="AB4988" s="4"/>
      <c r="AC4988" s="7"/>
      <c r="AD4988" s="4"/>
      <c r="AE4988" s="4"/>
      <c r="AF4988" s="21"/>
    </row>
    <row r="4989" spans="24:32" x14ac:dyDescent="0.25">
      <c r="X4989" s="4"/>
      <c r="Y4989" s="4"/>
      <c r="Z4989" s="4"/>
      <c r="AA4989" s="4"/>
      <c r="AB4989" s="4"/>
      <c r="AC4989" s="7"/>
      <c r="AD4989" s="4"/>
      <c r="AE4989" s="4"/>
      <c r="AF4989" s="21"/>
    </row>
    <row r="4990" spans="24:32" x14ac:dyDescent="0.25">
      <c r="X4990" s="4"/>
      <c r="Y4990" s="4"/>
      <c r="Z4990" s="4"/>
      <c r="AA4990" s="4"/>
      <c r="AB4990" s="4"/>
      <c r="AC4990" s="7"/>
      <c r="AD4990" s="4"/>
      <c r="AE4990" s="4"/>
      <c r="AF4990" s="21"/>
    </row>
    <row r="4991" spans="24:32" x14ac:dyDescent="0.25">
      <c r="X4991" s="4"/>
      <c r="Y4991" s="4"/>
      <c r="Z4991" s="4"/>
      <c r="AA4991" s="4"/>
      <c r="AB4991" s="4"/>
      <c r="AC4991" s="7"/>
      <c r="AD4991" s="4"/>
      <c r="AE4991" s="4"/>
      <c r="AF4991" s="21"/>
    </row>
    <row r="4992" spans="24:32" x14ac:dyDescent="0.25">
      <c r="X4992" s="4"/>
      <c r="Y4992" s="4"/>
      <c r="Z4992" s="4"/>
      <c r="AA4992" s="4"/>
      <c r="AB4992" s="4"/>
      <c r="AC4992" s="7"/>
      <c r="AD4992" s="4"/>
      <c r="AE4992" s="4"/>
      <c r="AF4992" s="21"/>
    </row>
    <row r="4993" spans="24:32" x14ac:dyDescent="0.25">
      <c r="X4993" s="4"/>
      <c r="Y4993" s="4"/>
      <c r="Z4993" s="4"/>
      <c r="AA4993" s="4"/>
      <c r="AB4993" s="4"/>
      <c r="AC4993" s="7"/>
      <c r="AD4993" s="4"/>
      <c r="AE4993" s="4"/>
      <c r="AF4993" s="21"/>
    </row>
    <row r="4994" spans="24:32" x14ac:dyDescent="0.25">
      <c r="X4994" s="4"/>
      <c r="Y4994" s="4"/>
      <c r="Z4994" s="4"/>
      <c r="AA4994" s="4"/>
      <c r="AB4994" s="4"/>
      <c r="AC4994" s="7"/>
      <c r="AD4994" s="4"/>
      <c r="AE4994" s="4"/>
      <c r="AF4994" s="21"/>
    </row>
    <row r="4995" spans="24:32" x14ac:dyDescent="0.25">
      <c r="X4995" s="4"/>
      <c r="Y4995" s="4"/>
      <c r="Z4995" s="4"/>
      <c r="AA4995" s="4"/>
      <c r="AB4995" s="4"/>
      <c r="AC4995" s="7"/>
      <c r="AD4995" s="4"/>
      <c r="AE4995" s="4"/>
      <c r="AF4995" s="21"/>
    </row>
    <row r="4996" spans="24:32" x14ac:dyDescent="0.25">
      <c r="X4996" s="4"/>
      <c r="Y4996" s="4"/>
      <c r="Z4996" s="4"/>
      <c r="AA4996" s="4"/>
      <c r="AB4996" s="4"/>
      <c r="AC4996" s="7"/>
      <c r="AD4996" s="4"/>
      <c r="AE4996" s="4"/>
      <c r="AF4996" s="21"/>
    </row>
    <row r="4997" spans="24:32" x14ac:dyDescent="0.25">
      <c r="X4997" s="4"/>
      <c r="Y4997" s="4"/>
      <c r="Z4997" s="4"/>
      <c r="AA4997" s="4"/>
      <c r="AB4997" s="4"/>
      <c r="AC4997" s="7"/>
      <c r="AD4997" s="4"/>
      <c r="AE4997" s="4"/>
      <c r="AF4997" s="21"/>
    </row>
    <row r="4998" spans="24:32" x14ac:dyDescent="0.25">
      <c r="X4998" s="4"/>
      <c r="Y4998" s="4"/>
      <c r="Z4998" s="4"/>
      <c r="AA4998" s="4"/>
      <c r="AB4998" s="4"/>
      <c r="AC4998" s="7"/>
      <c r="AD4998" s="4"/>
      <c r="AE4998" s="4"/>
      <c r="AF4998" s="21"/>
    </row>
    <row r="4999" spans="24:32" x14ac:dyDescent="0.25">
      <c r="X4999" s="4"/>
      <c r="Y4999" s="4"/>
      <c r="Z4999" s="4"/>
      <c r="AA4999" s="4"/>
      <c r="AB4999" s="4"/>
      <c r="AC4999" s="7"/>
      <c r="AD4999" s="4"/>
      <c r="AE4999" s="4"/>
      <c r="AF4999" s="21"/>
    </row>
    <row r="5000" spans="24:32" x14ac:dyDescent="0.25">
      <c r="X5000" s="4"/>
      <c r="Y5000" s="4"/>
      <c r="Z5000" s="4"/>
      <c r="AA5000" s="4"/>
      <c r="AB5000" s="4"/>
      <c r="AC5000" s="7"/>
      <c r="AD5000" s="4"/>
      <c r="AE5000" s="4"/>
      <c r="AF5000" s="21"/>
    </row>
    <row r="5001" spans="24:32" x14ac:dyDescent="0.25">
      <c r="X5001" s="4"/>
      <c r="Y5001" s="4"/>
      <c r="Z5001" s="4"/>
      <c r="AA5001" s="4"/>
      <c r="AB5001" s="4"/>
      <c r="AC5001" s="7"/>
      <c r="AD5001" s="4"/>
      <c r="AE5001" s="4"/>
      <c r="AF5001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DeMeo, Roy E.</cp:lastModifiedBy>
  <dcterms:created xsi:type="dcterms:W3CDTF">2015-02-01T19:25:23Z</dcterms:created>
  <dcterms:modified xsi:type="dcterms:W3CDTF">2017-01-27T13:44:41Z</dcterms:modified>
</cp:coreProperties>
</file>